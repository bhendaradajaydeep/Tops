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quations pretical\"/>
    </mc:Choice>
  </mc:AlternateContent>
  <xr:revisionPtr revIDLastSave="0" documentId="13_ncr:1_{BA880139-25C1-40C3-900A-9E85D7F7F6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Y131" i="1"/>
  <c r="Y195" i="1"/>
  <c r="X2" i="1"/>
  <c r="Y2" i="1" s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X9" i="1"/>
  <c r="Y9" i="1" s="1"/>
  <c r="X10" i="1"/>
  <c r="Y10" i="1" s="1"/>
  <c r="X11" i="1"/>
  <c r="Y11" i="1" s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45" i="1"/>
  <c r="Y45" i="1" s="1"/>
  <c r="X46" i="1"/>
  <c r="Y46" i="1" s="1"/>
  <c r="X47" i="1"/>
  <c r="Y47" i="1" s="1"/>
  <c r="X48" i="1"/>
  <c r="Y48" i="1" s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 s="1"/>
  <c r="X59" i="1"/>
  <c r="Y59" i="1" s="1"/>
  <c r="X60" i="1"/>
  <c r="Y60" i="1" s="1"/>
  <c r="X61" i="1"/>
  <c r="Y61" i="1" s="1"/>
  <c r="X62" i="1"/>
  <c r="Y62" i="1" s="1"/>
  <c r="X63" i="1"/>
  <c r="Y63" i="1" s="1"/>
  <c r="X64" i="1"/>
  <c r="Y64" i="1" s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1" i="1"/>
  <c r="Y91" i="1" s="1"/>
  <c r="X92" i="1"/>
  <c r="Y92" i="1" s="1"/>
  <c r="X93" i="1"/>
  <c r="Y93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Y99" i="1" s="1"/>
  <c r="X100" i="1"/>
  <c r="Y100" i="1" s="1"/>
  <c r="X101" i="1"/>
  <c r="Y101" i="1" s="1"/>
  <c r="X102" i="1"/>
  <c r="Y102" i="1" s="1"/>
  <c r="X103" i="1"/>
  <c r="Y103" i="1" s="1"/>
  <c r="X104" i="1"/>
  <c r="Y104" i="1" s="1"/>
  <c r="X105" i="1"/>
  <c r="Y105" i="1" s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7" i="1"/>
  <c r="Y117" i="1" s="1"/>
  <c r="X118" i="1"/>
  <c r="Y118" i="1" s="1"/>
  <c r="X119" i="1"/>
  <c r="Y119" i="1" s="1"/>
  <c r="X120" i="1"/>
  <c r="Y120" i="1" s="1"/>
  <c r="X121" i="1"/>
  <c r="Y121" i="1" s="1"/>
  <c r="X122" i="1"/>
  <c r="Y122" i="1" s="1"/>
  <c r="X123" i="1"/>
  <c r="Y123" i="1" s="1"/>
  <c r="X124" i="1"/>
  <c r="Y124" i="1" s="1"/>
  <c r="X125" i="1"/>
  <c r="Y125" i="1" s="1"/>
  <c r="X126" i="1"/>
  <c r="Y126" i="1" s="1"/>
  <c r="X127" i="1"/>
  <c r="Y127" i="1" s="1"/>
  <c r="X128" i="1"/>
  <c r="Y128" i="1" s="1"/>
  <c r="X129" i="1"/>
  <c r="Y129" i="1" s="1"/>
  <c r="X130" i="1"/>
  <c r="Y130" i="1" s="1"/>
  <c r="X131" i="1"/>
  <c r="X132" i="1"/>
  <c r="Y132" i="1" s="1"/>
  <c r="X133" i="1"/>
  <c r="Y133" i="1" s="1"/>
  <c r="X134" i="1"/>
  <c r="Y134" i="1" s="1"/>
  <c r="X135" i="1"/>
  <c r="Y135" i="1" s="1"/>
  <c r="X136" i="1"/>
  <c r="Y136" i="1" s="1"/>
  <c r="X137" i="1"/>
  <c r="Y137" i="1" s="1"/>
  <c r="X138" i="1"/>
  <c r="Y138" i="1" s="1"/>
  <c r="X139" i="1"/>
  <c r="Y139" i="1" s="1"/>
  <c r="X140" i="1"/>
  <c r="Y140" i="1" s="1"/>
  <c r="X141" i="1"/>
  <c r="Y141" i="1" s="1"/>
  <c r="X142" i="1"/>
  <c r="Y142" i="1" s="1"/>
  <c r="X143" i="1"/>
  <c r="Y143" i="1" s="1"/>
  <c r="X144" i="1"/>
  <c r="Y144" i="1" s="1"/>
  <c r="X145" i="1"/>
  <c r="Y145" i="1" s="1"/>
  <c r="X146" i="1"/>
  <c r="Y146" i="1" s="1"/>
  <c r="X147" i="1"/>
  <c r="Y147" i="1" s="1"/>
  <c r="X148" i="1"/>
  <c r="Y148" i="1" s="1"/>
  <c r="X149" i="1"/>
  <c r="Y149" i="1" s="1"/>
  <c r="X150" i="1"/>
  <c r="Y150" i="1" s="1"/>
  <c r="X151" i="1"/>
  <c r="Y151" i="1" s="1"/>
  <c r="X152" i="1"/>
  <c r="Y152" i="1" s="1"/>
  <c r="X153" i="1"/>
  <c r="Y153" i="1" s="1"/>
  <c r="X154" i="1"/>
  <c r="Y154" i="1" s="1"/>
  <c r="X155" i="1"/>
  <c r="Y155" i="1" s="1"/>
  <c r="X156" i="1"/>
  <c r="Y156" i="1" s="1"/>
  <c r="X157" i="1"/>
  <c r="Y157" i="1" s="1"/>
  <c r="X158" i="1"/>
  <c r="Y158" i="1" s="1"/>
  <c r="X159" i="1"/>
  <c r="Y159" i="1" s="1"/>
  <c r="X160" i="1"/>
  <c r="Y160" i="1" s="1"/>
  <c r="X161" i="1"/>
  <c r="Y161" i="1" s="1"/>
  <c r="X162" i="1"/>
  <c r="Y162" i="1" s="1"/>
  <c r="X163" i="1"/>
  <c r="Y163" i="1" s="1"/>
  <c r="X164" i="1"/>
  <c r="Y164" i="1" s="1"/>
  <c r="X165" i="1"/>
  <c r="Y165" i="1" s="1"/>
  <c r="X166" i="1"/>
  <c r="Y166" i="1" s="1"/>
  <c r="X167" i="1"/>
  <c r="Y167" i="1" s="1"/>
  <c r="X168" i="1"/>
  <c r="Y168" i="1" s="1"/>
  <c r="X169" i="1"/>
  <c r="Y169" i="1" s="1"/>
  <c r="X170" i="1"/>
  <c r="Y170" i="1" s="1"/>
  <c r="X171" i="1"/>
  <c r="Y171" i="1" s="1"/>
  <c r="X172" i="1"/>
  <c r="Y172" i="1" s="1"/>
  <c r="X173" i="1"/>
  <c r="Y173" i="1" s="1"/>
  <c r="X174" i="1"/>
  <c r="Y174" i="1" s="1"/>
  <c r="X175" i="1"/>
  <c r="Y175" i="1" s="1"/>
  <c r="X176" i="1"/>
  <c r="Y176" i="1" s="1"/>
  <c r="X177" i="1"/>
  <c r="Y177" i="1" s="1"/>
  <c r="X178" i="1"/>
  <c r="Y178" i="1" s="1"/>
  <c r="X179" i="1"/>
  <c r="Y179" i="1" s="1"/>
  <c r="X180" i="1"/>
  <c r="Y180" i="1" s="1"/>
  <c r="X181" i="1"/>
  <c r="Y181" i="1" s="1"/>
  <c r="X182" i="1"/>
  <c r="Y182" i="1" s="1"/>
  <c r="X183" i="1"/>
  <c r="Y183" i="1" s="1"/>
  <c r="X184" i="1"/>
  <c r="Y184" i="1" s="1"/>
  <c r="X185" i="1"/>
  <c r="Y185" i="1" s="1"/>
  <c r="X186" i="1"/>
  <c r="Y186" i="1" s="1"/>
  <c r="X187" i="1"/>
  <c r="Y187" i="1" s="1"/>
  <c r="X188" i="1"/>
  <c r="Y188" i="1" s="1"/>
  <c r="X189" i="1"/>
  <c r="Y189" i="1" s="1"/>
  <c r="X190" i="1"/>
  <c r="Y190" i="1" s="1"/>
  <c r="X191" i="1"/>
  <c r="Y191" i="1" s="1"/>
  <c r="X192" i="1"/>
  <c r="Y192" i="1" s="1"/>
  <c r="X193" i="1"/>
  <c r="Y193" i="1" s="1"/>
  <c r="X194" i="1"/>
  <c r="Y194" i="1" s="1"/>
  <c r="X195" i="1"/>
  <c r="X196" i="1"/>
  <c r="Y196" i="1" s="1"/>
  <c r="X197" i="1"/>
  <c r="Y197" i="1" s="1"/>
  <c r="X198" i="1"/>
  <c r="Y198" i="1" s="1"/>
  <c r="X199" i="1"/>
  <c r="Y199" i="1" s="1"/>
  <c r="X200" i="1"/>
  <c r="Y200" i="1" s="1"/>
  <c r="X201" i="1"/>
  <c r="Y201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N2" i="1"/>
  <c r="P2" i="1" s="1"/>
  <c r="N3" i="1"/>
  <c r="P3" i="1" s="1"/>
  <c r="N4" i="1"/>
  <c r="P4" i="1" s="1"/>
  <c r="N5" i="1"/>
  <c r="P5" i="1" s="1"/>
  <c r="R5" i="1" s="1"/>
  <c r="N6" i="1"/>
  <c r="P6" i="1" s="1"/>
  <c r="N7" i="1"/>
  <c r="P7" i="1" s="1"/>
  <c r="N8" i="1"/>
  <c r="P8" i="1" s="1"/>
  <c r="N9" i="1"/>
  <c r="P9" i="1" s="1"/>
  <c r="R9" i="1" s="1"/>
  <c r="N10" i="1"/>
  <c r="P10" i="1" s="1"/>
  <c r="N11" i="1"/>
  <c r="P11" i="1" s="1"/>
  <c r="N12" i="1"/>
  <c r="P12" i="1" s="1"/>
  <c r="N13" i="1"/>
  <c r="P13" i="1" s="1"/>
  <c r="Q13" i="1" s="1"/>
  <c r="N14" i="1"/>
  <c r="P14" i="1" s="1"/>
  <c r="N15" i="1"/>
  <c r="P15" i="1" s="1"/>
  <c r="N16" i="1"/>
  <c r="P16" i="1" s="1"/>
  <c r="N17" i="1"/>
  <c r="P17" i="1" s="1"/>
  <c r="Q17" i="1" s="1"/>
  <c r="N18" i="1"/>
  <c r="P18" i="1" s="1"/>
  <c r="N19" i="1"/>
  <c r="P19" i="1" s="1"/>
  <c r="N20" i="1"/>
  <c r="P20" i="1" s="1"/>
  <c r="N21" i="1"/>
  <c r="P21" i="1" s="1"/>
  <c r="R21" i="1" s="1"/>
  <c r="N22" i="1"/>
  <c r="P22" i="1" s="1"/>
  <c r="N23" i="1"/>
  <c r="P23" i="1" s="1"/>
  <c r="N24" i="1"/>
  <c r="P24" i="1" s="1"/>
  <c r="N25" i="1"/>
  <c r="P25" i="1" s="1"/>
  <c r="R25" i="1" s="1"/>
  <c r="N26" i="1"/>
  <c r="P26" i="1" s="1"/>
  <c r="N27" i="1"/>
  <c r="P27" i="1" s="1"/>
  <c r="N28" i="1"/>
  <c r="P28" i="1" s="1"/>
  <c r="N29" i="1"/>
  <c r="P29" i="1" s="1"/>
  <c r="Q29" i="1" s="1"/>
  <c r="N30" i="1"/>
  <c r="P30" i="1" s="1"/>
  <c r="N31" i="1"/>
  <c r="P31" i="1" s="1"/>
  <c r="N32" i="1"/>
  <c r="P32" i="1" s="1"/>
  <c r="N33" i="1"/>
  <c r="P33" i="1" s="1"/>
  <c r="Q33" i="1" s="1"/>
  <c r="N34" i="1"/>
  <c r="P34" i="1" s="1"/>
  <c r="N35" i="1"/>
  <c r="P35" i="1" s="1"/>
  <c r="N36" i="1"/>
  <c r="P36" i="1" s="1"/>
  <c r="N37" i="1"/>
  <c r="P37" i="1" s="1"/>
  <c r="R37" i="1" s="1"/>
  <c r="N38" i="1"/>
  <c r="P38" i="1" s="1"/>
  <c r="N39" i="1"/>
  <c r="P39" i="1" s="1"/>
  <c r="N40" i="1"/>
  <c r="P40" i="1" s="1"/>
  <c r="N41" i="1"/>
  <c r="P41" i="1" s="1"/>
  <c r="R41" i="1" s="1"/>
  <c r="N42" i="1"/>
  <c r="P42" i="1" s="1"/>
  <c r="N43" i="1"/>
  <c r="P43" i="1" s="1"/>
  <c r="N44" i="1"/>
  <c r="P44" i="1" s="1"/>
  <c r="N45" i="1"/>
  <c r="P45" i="1" s="1"/>
  <c r="Q45" i="1" s="1"/>
  <c r="N46" i="1"/>
  <c r="P46" i="1" s="1"/>
  <c r="N47" i="1"/>
  <c r="P47" i="1" s="1"/>
  <c r="N48" i="1"/>
  <c r="P48" i="1" s="1"/>
  <c r="N49" i="1"/>
  <c r="P49" i="1" s="1"/>
  <c r="Q49" i="1" s="1"/>
  <c r="N50" i="1"/>
  <c r="P50" i="1" s="1"/>
  <c r="N51" i="1"/>
  <c r="P51" i="1" s="1"/>
  <c r="N52" i="1"/>
  <c r="P52" i="1" s="1"/>
  <c r="N53" i="1"/>
  <c r="P53" i="1" s="1"/>
  <c r="R53" i="1" s="1"/>
  <c r="N54" i="1"/>
  <c r="P54" i="1" s="1"/>
  <c r="N55" i="1"/>
  <c r="P55" i="1" s="1"/>
  <c r="N56" i="1"/>
  <c r="P56" i="1" s="1"/>
  <c r="N57" i="1"/>
  <c r="P57" i="1" s="1"/>
  <c r="R57" i="1" s="1"/>
  <c r="N58" i="1"/>
  <c r="P58" i="1" s="1"/>
  <c r="N59" i="1"/>
  <c r="P59" i="1" s="1"/>
  <c r="N60" i="1"/>
  <c r="P60" i="1" s="1"/>
  <c r="N61" i="1"/>
  <c r="P61" i="1" s="1"/>
  <c r="Q61" i="1" s="1"/>
  <c r="N62" i="1"/>
  <c r="P62" i="1" s="1"/>
  <c r="N63" i="1"/>
  <c r="P63" i="1" s="1"/>
  <c r="N64" i="1"/>
  <c r="P64" i="1" s="1"/>
  <c r="N65" i="1"/>
  <c r="P65" i="1" s="1"/>
  <c r="Q65" i="1" s="1"/>
  <c r="N66" i="1"/>
  <c r="P66" i="1" s="1"/>
  <c r="N67" i="1"/>
  <c r="P67" i="1" s="1"/>
  <c r="N68" i="1"/>
  <c r="P68" i="1" s="1"/>
  <c r="N69" i="1"/>
  <c r="P69" i="1" s="1"/>
  <c r="R69" i="1" s="1"/>
  <c r="N70" i="1"/>
  <c r="P70" i="1" s="1"/>
  <c r="N71" i="1"/>
  <c r="P71" i="1" s="1"/>
  <c r="N72" i="1"/>
  <c r="P72" i="1" s="1"/>
  <c r="N73" i="1"/>
  <c r="P73" i="1" s="1"/>
  <c r="R73" i="1" s="1"/>
  <c r="N74" i="1"/>
  <c r="P74" i="1" s="1"/>
  <c r="N75" i="1"/>
  <c r="P75" i="1" s="1"/>
  <c r="N76" i="1"/>
  <c r="P76" i="1" s="1"/>
  <c r="N77" i="1"/>
  <c r="P77" i="1" s="1"/>
  <c r="Q77" i="1" s="1"/>
  <c r="N78" i="1"/>
  <c r="P78" i="1" s="1"/>
  <c r="N79" i="1"/>
  <c r="P79" i="1" s="1"/>
  <c r="N80" i="1"/>
  <c r="P80" i="1" s="1"/>
  <c r="N81" i="1"/>
  <c r="P81" i="1" s="1"/>
  <c r="Q81" i="1" s="1"/>
  <c r="N82" i="1"/>
  <c r="P82" i="1" s="1"/>
  <c r="N83" i="1"/>
  <c r="N84" i="1"/>
  <c r="P84" i="1" s="1"/>
  <c r="N85" i="1"/>
  <c r="P85" i="1" s="1"/>
  <c r="R85" i="1" s="1"/>
  <c r="N86" i="1"/>
  <c r="P86" i="1" s="1"/>
  <c r="N87" i="1"/>
  <c r="P87" i="1" s="1"/>
  <c r="N88" i="1"/>
  <c r="P88" i="1" s="1"/>
  <c r="N89" i="1"/>
  <c r="P89" i="1" s="1"/>
  <c r="R89" i="1" s="1"/>
  <c r="N90" i="1"/>
  <c r="P90" i="1" s="1"/>
  <c r="N91" i="1"/>
  <c r="P91" i="1" s="1"/>
  <c r="N92" i="1"/>
  <c r="P92" i="1" s="1"/>
  <c r="N93" i="1"/>
  <c r="P93" i="1" s="1"/>
  <c r="Q93" i="1" s="1"/>
  <c r="N94" i="1"/>
  <c r="P94" i="1" s="1"/>
  <c r="N95" i="1"/>
  <c r="P95" i="1" s="1"/>
  <c r="N96" i="1"/>
  <c r="P96" i="1" s="1"/>
  <c r="N97" i="1"/>
  <c r="P97" i="1" s="1"/>
  <c r="Q97" i="1" s="1"/>
  <c r="N98" i="1"/>
  <c r="P98" i="1" s="1"/>
  <c r="N99" i="1"/>
  <c r="P99" i="1" s="1"/>
  <c r="N100" i="1"/>
  <c r="P100" i="1" s="1"/>
  <c r="N101" i="1"/>
  <c r="P101" i="1" s="1"/>
  <c r="R101" i="1" s="1"/>
  <c r="N102" i="1"/>
  <c r="P102" i="1" s="1"/>
  <c r="N103" i="1"/>
  <c r="P103" i="1" s="1"/>
  <c r="N104" i="1"/>
  <c r="P104" i="1" s="1"/>
  <c r="N105" i="1"/>
  <c r="P105" i="1" s="1"/>
  <c r="R105" i="1" s="1"/>
  <c r="N106" i="1"/>
  <c r="P106" i="1" s="1"/>
  <c r="N107" i="1"/>
  <c r="P107" i="1" s="1"/>
  <c r="N108" i="1"/>
  <c r="P108" i="1" s="1"/>
  <c r="N109" i="1"/>
  <c r="P109" i="1" s="1"/>
  <c r="Q109" i="1" s="1"/>
  <c r="N110" i="1"/>
  <c r="P110" i="1" s="1"/>
  <c r="N111" i="1"/>
  <c r="P111" i="1" s="1"/>
  <c r="N112" i="1"/>
  <c r="P112" i="1" s="1"/>
  <c r="N113" i="1"/>
  <c r="P113" i="1" s="1"/>
  <c r="Q113" i="1" s="1"/>
  <c r="N114" i="1"/>
  <c r="P114" i="1" s="1"/>
  <c r="N115" i="1"/>
  <c r="P115" i="1" s="1"/>
  <c r="N116" i="1"/>
  <c r="P116" i="1" s="1"/>
  <c r="N117" i="1"/>
  <c r="P117" i="1" s="1"/>
  <c r="R117" i="1" s="1"/>
  <c r="N118" i="1"/>
  <c r="P118" i="1" s="1"/>
  <c r="N119" i="1"/>
  <c r="P119" i="1" s="1"/>
  <c r="N120" i="1"/>
  <c r="P120" i="1" s="1"/>
  <c r="N121" i="1"/>
  <c r="P121" i="1" s="1"/>
  <c r="R121" i="1" s="1"/>
  <c r="N122" i="1"/>
  <c r="P122" i="1" s="1"/>
  <c r="N123" i="1"/>
  <c r="P123" i="1" s="1"/>
  <c r="N124" i="1"/>
  <c r="P124" i="1" s="1"/>
  <c r="N125" i="1"/>
  <c r="P125" i="1" s="1"/>
  <c r="Q125" i="1" s="1"/>
  <c r="N126" i="1"/>
  <c r="P126" i="1" s="1"/>
  <c r="N127" i="1"/>
  <c r="P127" i="1" s="1"/>
  <c r="N128" i="1"/>
  <c r="P128" i="1" s="1"/>
  <c r="N129" i="1"/>
  <c r="P129" i="1" s="1"/>
  <c r="Q129" i="1" s="1"/>
  <c r="N130" i="1"/>
  <c r="P130" i="1" s="1"/>
  <c r="N131" i="1"/>
  <c r="P131" i="1" s="1"/>
  <c r="N132" i="1"/>
  <c r="P132" i="1" s="1"/>
  <c r="N133" i="1"/>
  <c r="P133" i="1" s="1"/>
  <c r="R133" i="1" s="1"/>
  <c r="N134" i="1"/>
  <c r="P134" i="1" s="1"/>
  <c r="N135" i="1"/>
  <c r="P135" i="1" s="1"/>
  <c r="N136" i="1"/>
  <c r="P136" i="1" s="1"/>
  <c r="N137" i="1"/>
  <c r="P137" i="1" s="1"/>
  <c r="R137" i="1" s="1"/>
  <c r="N138" i="1"/>
  <c r="P138" i="1" s="1"/>
  <c r="N139" i="1"/>
  <c r="P139" i="1" s="1"/>
  <c r="N140" i="1"/>
  <c r="P140" i="1" s="1"/>
  <c r="N141" i="1"/>
  <c r="P141" i="1" s="1"/>
  <c r="N142" i="1"/>
  <c r="P142" i="1" s="1"/>
  <c r="R142" i="1" s="1"/>
  <c r="N143" i="1"/>
  <c r="P143" i="1" s="1"/>
  <c r="R143" i="1" s="1"/>
  <c r="N144" i="1"/>
  <c r="P144" i="1" s="1"/>
  <c r="R144" i="1" s="1"/>
  <c r="N145" i="1"/>
  <c r="P145" i="1" s="1"/>
  <c r="Q145" i="1" s="1"/>
  <c r="N146" i="1"/>
  <c r="P146" i="1" s="1"/>
  <c r="R146" i="1" s="1"/>
  <c r="N147" i="1"/>
  <c r="P147" i="1" s="1"/>
  <c r="R147" i="1" s="1"/>
  <c r="N148" i="1"/>
  <c r="P148" i="1" s="1"/>
  <c r="R148" i="1" s="1"/>
  <c r="N149" i="1"/>
  <c r="P149" i="1" s="1"/>
  <c r="R149" i="1" s="1"/>
  <c r="N150" i="1"/>
  <c r="P150" i="1" s="1"/>
  <c r="R150" i="1" s="1"/>
  <c r="N151" i="1"/>
  <c r="P151" i="1" s="1"/>
  <c r="R151" i="1" s="1"/>
  <c r="N152" i="1"/>
  <c r="P152" i="1" s="1"/>
  <c r="R152" i="1" s="1"/>
  <c r="N153" i="1"/>
  <c r="P153" i="1" s="1"/>
  <c r="Q153" i="1" s="1"/>
  <c r="N154" i="1"/>
  <c r="P154" i="1" s="1"/>
  <c r="R154" i="1" s="1"/>
  <c r="N155" i="1"/>
  <c r="P155" i="1" s="1"/>
  <c r="R155" i="1" s="1"/>
  <c r="N156" i="1"/>
  <c r="P156" i="1" s="1"/>
  <c r="R156" i="1" s="1"/>
  <c r="N157" i="1"/>
  <c r="P157" i="1" s="1"/>
  <c r="Q157" i="1" s="1"/>
  <c r="N158" i="1"/>
  <c r="P158" i="1" s="1"/>
  <c r="R158" i="1" s="1"/>
  <c r="N159" i="1"/>
  <c r="P159" i="1" s="1"/>
  <c r="R159" i="1" s="1"/>
  <c r="N160" i="1"/>
  <c r="P160" i="1" s="1"/>
  <c r="R160" i="1" s="1"/>
  <c r="N161" i="1"/>
  <c r="P161" i="1" s="1"/>
  <c r="Q161" i="1" s="1"/>
  <c r="N162" i="1"/>
  <c r="P162" i="1" s="1"/>
  <c r="R162" i="1" s="1"/>
  <c r="N163" i="1"/>
  <c r="P163" i="1" s="1"/>
  <c r="R163" i="1" s="1"/>
  <c r="N164" i="1"/>
  <c r="P164" i="1" s="1"/>
  <c r="R164" i="1" s="1"/>
  <c r="N165" i="1"/>
  <c r="P165" i="1" s="1"/>
  <c r="R165" i="1" s="1"/>
  <c r="N166" i="1"/>
  <c r="P166" i="1" s="1"/>
  <c r="R166" i="1" s="1"/>
  <c r="N167" i="1"/>
  <c r="P167" i="1" s="1"/>
  <c r="R167" i="1" s="1"/>
  <c r="N168" i="1"/>
  <c r="P168" i="1" s="1"/>
  <c r="R168" i="1" s="1"/>
  <c r="N169" i="1"/>
  <c r="P169" i="1" s="1"/>
  <c r="Q169" i="1" s="1"/>
  <c r="N170" i="1"/>
  <c r="P170" i="1" s="1"/>
  <c r="R170" i="1" s="1"/>
  <c r="N171" i="1"/>
  <c r="P171" i="1" s="1"/>
  <c r="R171" i="1" s="1"/>
  <c r="N172" i="1"/>
  <c r="P172" i="1" s="1"/>
  <c r="R172" i="1" s="1"/>
  <c r="N173" i="1"/>
  <c r="P173" i="1" s="1"/>
  <c r="Q173" i="1" s="1"/>
  <c r="N174" i="1"/>
  <c r="P174" i="1" s="1"/>
  <c r="R174" i="1" s="1"/>
  <c r="N175" i="1"/>
  <c r="P175" i="1" s="1"/>
  <c r="R175" i="1" s="1"/>
  <c r="N176" i="1"/>
  <c r="P176" i="1" s="1"/>
  <c r="R176" i="1" s="1"/>
  <c r="N177" i="1"/>
  <c r="P177" i="1" s="1"/>
  <c r="Q177" i="1" s="1"/>
  <c r="N178" i="1"/>
  <c r="P178" i="1" s="1"/>
  <c r="R178" i="1" s="1"/>
  <c r="N179" i="1"/>
  <c r="P179" i="1" s="1"/>
  <c r="R179" i="1" s="1"/>
  <c r="N180" i="1"/>
  <c r="P180" i="1" s="1"/>
  <c r="R180" i="1" s="1"/>
  <c r="N181" i="1"/>
  <c r="P181" i="1" s="1"/>
  <c r="R181" i="1" s="1"/>
  <c r="N182" i="1"/>
  <c r="P182" i="1" s="1"/>
  <c r="R182" i="1" s="1"/>
  <c r="N183" i="1"/>
  <c r="P183" i="1" s="1"/>
  <c r="R183" i="1" s="1"/>
  <c r="N184" i="1"/>
  <c r="P184" i="1" s="1"/>
  <c r="R184" i="1" s="1"/>
  <c r="N185" i="1"/>
  <c r="P185" i="1" s="1"/>
  <c r="Q185" i="1" s="1"/>
  <c r="N186" i="1"/>
  <c r="P186" i="1" s="1"/>
  <c r="R186" i="1" s="1"/>
  <c r="N187" i="1"/>
  <c r="P187" i="1" s="1"/>
  <c r="R187" i="1" s="1"/>
  <c r="N188" i="1"/>
  <c r="P188" i="1" s="1"/>
  <c r="R188" i="1" s="1"/>
  <c r="N189" i="1"/>
  <c r="P189" i="1" s="1"/>
  <c r="Q189" i="1" s="1"/>
  <c r="N190" i="1"/>
  <c r="P190" i="1" s="1"/>
  <c r="R190" i="1" s="1"/>
  <c r="N191" i="1"/>
  <c r="P191" i="1" s="1"/>
  <c r="R191" i="1" s="1"/>
  <c r="N192" i="1"/>
  <c r="P192" i="1" s="1"/>
  <c r="R192" i="1" s="1"/>
  <c r="N193" i="1"/>
  <c r="P193" i="1" s="1"/>
  <c r="Q193" i="1" s="1"/>
  <c r="N194" i="1"/>
  <c r="P194" i="1" s="1"/>
  <c r="R194" i="1" s="1"/>
  <c r="N195" i="1"/>
  <c r="P195" i="1" s="1"/>
  <c r="R195" i="1" s="1"/>
  <c r="N196" i="1"/>
  <c r="P196" i="1" s="1"/>
  <c r="R196" i="1" s="1"/>
  <c r="N197" i="1"/>
  <c r="P197" i="1" s="1"/>
  <c r="R197" i="1" s="1"/>
  <c r="N198" i="1"/>
  <c r="P198" i="1" s="1"/>
  <c r="R198" i="1" s="1"/>
  <c r="N199" i="1"/>
  <c r="P199" i="1" s="1"/>
  <c r="R199" i="1" s="1"/>
  <c r="N200" i="1"/>
  <c r="P200" i="1" s="1"/>
  <c r="R200" i="1" s="1"/>
  <c r="N201" i="1"/>
  <c r="P201" i="1" s="1"/>
  <c r="Q201" i="1" s="1"/>
  <c r="P83" i="1" l="1"/>
  <c r="Q200" i="1"/>
  <c r="Q168" i="1"/>
  <c r="Q184" i="1"/>
  <c r="Q152" i="1"/>
  <c r="Q121" i="1"/>
  <c r="R193" i="1"/>
  <c r="R129" i="1"/>
  <c r="Q196" i="1"/>
  <c r="Q180" i="1"/>
  <c r="Q164" i="1"/>
  <c r="Q148" i="1"/>
  <c r="Q105" i="1"/>
  <c r="Q41" i="1"/>
  <c r="R177" i="1"/>
  <c r="R113" i="1"/>
  <c r="R49" i="1"/>
  <c r="Q192" i="1"/>
  <c r="Q176" i="1"/>
  <c r="Q160" i="1"/>
  <c r="Q144" i="1"/>
  <c r="Q89" i="1"/>
  <c r="Q25" i="1"/>
  <c r="R161" i="1"/>
  <c r="R97" i="1"/>
  <c r="R33" i="1"/>
  <c r="Q57" i="1"/>
  <c r="R65" i="1"/>
  <c r="Q188" i="1"/>
  <c r="Q172" i="1"/>
  <c r="Q156" i="1"/>
  <c r="Q137" i="1"/>
  <c r="Q73" i="1"/>
  <c r="Q9" i="1"/>
  <c r="R145" i="1"/>
  <c r="R81" i="1"/>
  <c r="R17" i="1"/>
  <c r="Q141" i="1"/>
  <c r="R141" i="1"/>
  <c r="R131" i="1"/>
  <c r="Q131" i="1"/>
  <c r="R115" i="1"/>
  <c r="Q115" i="1"/>
  <c r="R103" i="1"/>
  <c r="Q103" i="1"/>
  <c r="R91" i="1"/>
  <c r="Q91" i="1"/>
  <c r="R75" i="1"/>
  <c r="Q75" i="1"/>
  <c r="R63" i="1"/>
  <c r="Q63" i="1"/>
  <c r="R47" i="1"/>
  <c r="Q47" i="1"/>
  <c r="R35" i="1"/>
  <c r="Q35" i="1"/>
  <c r="R23" i="1"/>
  <c r="Q23" i="1"/>
  <c r="R7" i="1"/>
  <c r="Q7" i="1"/>
  <c r="R138" i="1"/>
  <c r="Q138" i="1"/>
  <c r="R134" i="1"/>
  <c r="Q134" i="1"/>
  <c r="R130" i="1"/>
  <c r="Q130" i="1"/>
  <c r="R126" i="1"/>
  <c r="Q126" i="1"/>
  <c r="R122" i="1"/>
  <c r="Q122" i="1"/>
  <c r="R118" i="1"/>
  <c r="Q118" i="1"/>
  <c r="R114" i="1"/>
  <c r="Q114" i="1"/>
  <c r="R110" i="1"/>
  <c r="Q110" i="1"/>
  <c r="R106" i="1"/>
  <c r="Q106" i="1"/>
  <c r="R102" i="1"/>
  <c r="Q102" i="1"/>
  <c r="R98" i="1"/>
  <c r="Q98" i="1"/>
  <c r="R94" i="1"/>
  <c r="Q94" i="1"/>
  <c r="R90" i="1"/>
  <c r="Q90" i="1"/>
  <c r="R86" i="1"/>
  <c r="Q86" i="1"/>
  <c r="R82" i="1"/>
  <c r="Q82" i="1"/>
  <c r="R78" i="1"/>
  <c r="Q78" i="1"/>
  <c r="R74" i="1"/>
  <c r="Q74" i="1"/>
  <c r="R70" i="1"/>
  <c r="Q70" i="1"/>
  <c r="R66" i="1"/>
  <c r="Q66" i="1"/>
  <c r="R62" i="1"/>
  <c r="Q62" i="1"/>
  <c r="R58" i="1"/>
  <c r="Q58" i="1"/>
  <c r="R54" i="1"/>
  <c r="Q54" i="1"/>
  <c r="R50" i="1"/>
  <c r="Q50" i="1"/>
  <c r="R46" i="1"/>
  <c r="Q46" i="1"/>
  <c r="R42" i="1"/>
  <c r="Q42" i="1"/>
  <c r="R38" i="1"/>
  <c r="Q38" i="1"/>
  <c r="R34" i="1"/>
  <c r="Q34" i="1"/>
  <c r="R30" i="1"/>
  <c r="Q30" i="1"/>
  <c r="R26" i="1"/>
  <c r="Q26" i="1"/>
  <c r="R22" i="1"/>
  <c r="Q22" i="1"/>
  <c r="R18" i="1"/>
  <c r="Q18" i="1"/>
  <c r="R14" i="1"/>
  <c r="Q14" i="1"/>
  <c r="R10" i="1"/>
  <c r="Q10" i="1"/>
  <c r="R6" i="1"/>
  <c r="Q6" i="1"/>
  <c r="R2" i="1"/>
  <c r="Q2" i="1"/>
  <c r="Q199" i="1"/>
  <c r="Q195" i="1"/>
  <c r="Q191" i="1"/>
  <c r="Q187" i="1"/>
  <c r="Q183" i="1"/>
  <c r="Q179" i="1"/>
  <c r="Q175" i="1"/>
  <c r="Q171" i="1"/>
  <c r="Q167" i="1"/>
  <c r="Q163" i="1"/>
  <c r="Q159" i="1"/>
  <c r="Q155" i="1"/>
  <c r="Q151" i="1"/>
  <c r="Q147" i="1"/>
  <c r="Q143" i="1"/>
  <c r="Q133" i="1"/>
  <c r="Q117" i="1"/>
  <c r="Q101" i="1"/>
  <c r="Q85" i="1"/>
  <c r="Q69" i="1"/>
  <c r="Q53" i="1"/>
  <c r="Q37" i="1"/>
  <c r="Q21" i="1"/>
  <c r="Q5" i="1"/>
  <c r="R189" i="1"/>
  <c r="R173" i="1"/>
  <c r="R157" i="1"/>
  <c r="R125" i="1"/>
  <c r="R109" i="1"/>
  <c r="R93" i="1"/>
  <c r="R77" i="1"/>
  <c r="R61" i="1"/>
  <c r="R45" i="1"/>
  <c r="R29" i="1"/>
  <c r="R13" i="1"/>
  <c r="R139" i="1"/>
  <c r="Q139" i="1"/>
  <c r="R127" i="1"/>
  <c r="Q127" i="1"/>
  <c r="R119" i="1"/>
  <c r="Q119" i="1"/>
  <c r="R107" i="1"/>
  <c r="Q107" i="1"/>
  <c r="R95" i="1"/>
  <c r="Q95" i="1"/>
  <c r="R83" i="1"/>
  <c r="Q83" i="1"/>
  <c r="R71" i="1"/>
  <c r="Q71" i="1"/>
  <c r="R59" i="1"/>
  <c r="Q59" i="1"/>
  <c r="R51" i="1"/>
  <c r="Q51" i="1"/>
  <c r="R39" i="1"/>
  <c r="Q39" i="1"/>
  <c r="R27" i="1"/>
  <c r="Q27" i="1"/>
  <c r="R15" i="1"/>
  <c r="Q15" i="1"/>
  <c r="R3" i="1"/>
  <c r="Q3" i="1"/>
  <c r="Q198" i="1"/>
  <c r="Q194" i="1"/>
  <c r="Q190" i="1"/>
  <c r="Q186" i="1"/>
  <c r="Q182" i="1"/>
  <c r="Q178" i="1"/>
  <c r="Q174" i="1"/>
  <c r="Q170" i="1"/>
  <c r="Q166" i="1"/>
  <c r="Q162" i="1"/>
  <c r="Q158" i="1"/>
  <c r="Q154" i="1"/>
  <c r="Q150" i="1"/>
  <c r="Q146" i="1"/>
  <c r="Q142" i="1"/>
  <c r="R201" i="1"/>
  <c r="R185" i="1"/>
  <c r="R169" i="1"/>
  <c r="R153" i="1"/>
  <c r="R135" i="1"/>
  <c r="Q135" i="1"/>
  <c r="R123" i="1"/>
  <c r="Q123" i="1"/>
  <c r="R111" i="1"/>
  <c r="Q111" i="1"/>
  <c r="R99" i="1"/>
  <c r="Q99" i="1"/>
  <c r="R87" i="1"/>
  <c r="Q87" i="1"/>
  <c r="R79" i="1"/>
  <c r="Q79" i="1"/>
  <c r="R67" i="1"/>
  <c r="Q67" i="1"/>
  <c r="R55" i="1"/>
  <c r="Q55" i="1"/>
  <c r="R43" i="1"/>
  <c r="Q43" i="1"/>
  <c r="R31" i="1"/>
  <c r="Q31" i="1"/>
  <c r="R19" i="1"/>
  <c r="Q19" i="1"/>
  <c r="R11" i="1"/>
  <c r="Q11" i="1"/>
  <c r="R140" i="1"/>
  <c r="Q140" i="1"/>
  <c r="R136" i="1"/>
  <c r="Q136" i="1"/>
  <c r="R132" i="1"/>
  <c r="Q132" i="1"/>
  <c r="R128" i="1"/>
  <c r="Q128" i="1"/>
  <c r="R124" i="1"/>
  <c r="Q124" i="1"/>
  <c r="R120" i="1"/>
  <c r="Q120" i="1"/>
  <c r="R116" i="1"/>
  <c r="Q116" i="1"/>
  <c r="R112" i="1"/>
  <c r="Q112" i="1"/>
  <c r="R108" i="1"/>
  <c r="Q108" i="1"/>
  <c r="R104" i="1"/>
  <c r="Q104" i="1"/>
  <c r="R100" i="1"/>
  <c r="Q100" i="1"/>
  <c r="R96" i="1"/>
  <c r="Q96" i="1"/>
  <c r="R92" i="1"/>
  <c r="Q92" i="1"/>
  <c r="R88" i="1"/>
  <c r="Q88" i="1"/>
  <c r="R84" i="1"/>
  <c r="Q84" i="1"/>
  <c r="R80" i="1"/>
  <c r="Q80" i="1"/>
  <c r="R76" i="1"/>
  <c r="Q76" i="1"/>
  <c r="R72" i="1"/>
  <c r="Q72" i="1"/>
  <c r="R68" i="1"/>
  <c r="Q68" i="1"/>
  <c r="R64" i="1"/>
  <c r="Q64" i="1"/>
  <c r="R60" i="1"/>
  <c r="Q60" i="1"/>
  <c r="R56" i="1"/>
  <c r="Q56" i="1"/>
  <c r="R52" i="1"/>
  <c r="Q52" i="1"/>
  <c r="R48" i="1"/>
  <c r="Q48" i="1"/>
  <c r="R44" i="1"/>
  <c r="Q44" i="1"/>
  <c r="R40" i="1"/>
  <c r="Q40" i="1"/>
  <c r="R36" i="1"/>
  <c r="Q36" i="1"/>
  <c r="R32" i="1"/>
  <c r="Q32" i="1"/>
  <c r="R28" i="1"/>
  <c r="Q28" i="1"/>
  <c r="R24" i="1"/>
  <c r="Q24" i="1"/>
  <c r="R20" i="1"/>
  <c r="Q20" i="1"/>
  <c r="R16" i="1"/>
  <c r="Q16" i="1"/>
  <c r="R12" i="1"/>
  <c r="Q12" i="1"/>
  <c r="R8" i="1"/>
  <c r="Q8" i="1"/>
  <c r="R4" i="1"/>
  <c r="Q4" i="1"/>
  <c r="Q197" i="1"/>
  <c r="Q181" i="1"/>
  <c r="Q165" i="1"/>
  <c r="Q149" i="1"/>
</calcChain>
</file>

<file path=xl/sharedStrings.xml><?xml version="1.0" encoding="utf-8"?>
<sst xmlns="http://schemas.openxmlformats.org/spreadsheetml/2006/main" count="1027" uniqueCount="208">
  <si>
    <t>OrderID</t>
  </si>
  <si>
    <t>CustomerID</t>
  </si>
  <si>
    <t>CustomerName</t>
  </si>
  <si>
    <t>Country</t>
  </si>
  <si>
    <t>Product</t>
  </si>
  <si>
    <t>Category</t>
  </si>
  <si>
    <t>Quantity</t>
  </si>
  <si>
    <t>UnitPrice</t>
  </si>
  <si>
    <t>Revenue</t>
  </si>
  <si>
    <t>OrderDate</t>
  </si>
  <si>
    <t>TextPrice</t>
  </si>
  <si>
    <t>Discount</t>
  </si>
  <si>
    <t>FinalAmount</t>
  </si>
  <si>
    <t>Ravi Kumar</t>
  </si>
  <si>
    <t>India</t>
  </si>
  <si>
    <t>Tablet</t>
  </si>
  <si>
    <t>Electronics</t>
  </si>
  <si>
    <t>2023-06-27</t>
  </si>
  <si>
    <t>Amit Shah</t>
  </si>
  <si>
    <t>Australia</t>
  </si>
  <si>
    <t>Headphones</t>
  </si>
  <si>
    <t>2023-08-20</t>
  </si>
  <si>
    <t>Emily Clark</t>
  </si>
  <si>
    <t>USA</t>
  </si>
  <si>
    <t>2023-08-12</t>
  </si>
  <si>
    <t>UK</t>
  </si>
  <si>
    <t>Camera</t>
  </si>
  <si>
    <t>Accessories</t>
  </si>
  <si>
    <t>2023-11-23</t>
  </si>
  <si>
    <t>John Doe</t>
  </si>
  <si>
    <t>2023-09-04</t>
  </si>
  <si>
    <t>Mobile</t>
  </si>
  <si>
    <t>2023-05-02</t>
  </si>
  <si>
    <t>2023-09-28</t>
  </si>
  <si>
    <t>Canada</t>
  </si>
  <si>
    <t>2023-02-01</t>
  </si>
  <si>
    <t>2023-08-13</t>
  </si>
  <si>
    <t>2023-02-07</t>
  </si>
  <si>
    <t>2023-12-19</t>
  </si>
  <si>
    <t>2023-08-07</t>
  </si>
  <si>
    <t>Sara Ali</t>
  </si>
  <si>
    <t>Laptop</t>
  </si>
  <si>
    <t>2023-12-21</t>
  </si>
  <si>
    <t>2023-03-10</t>
  </si>
  <si>
    <t>2023-01-02</t>
  </si>
  <si>
    <t>2023-12-25</t>
  </si>
  <si>
    <t>2023-11-07</t>
  </si>
  <si>
    <t>2023-03-14</t>
  </si>
  <si>
    <t>2023-08-23</t>
  </si>
  <si>
    <t>2023-05-11</t>
  </si>
  <si>
    <t>2023-12-04</t>
  </si>
  <si>
    <t>2023-10-25</t>
  </si>
  <si>
    <t>2023-01-18</t>
  </si>
  <si>
    <t>2023-12-08</t>
  </si>
  <si>
    <t>2023-10-20</t>
  </si>
  <si>
    <t>2023-02-20</t>
  </si>
  <si>
    <t>2023-01-03</t>
  </si>
  <si>
    <t>2023-04-04</t>
  </si>
  <si>
    <t>2023-11-06</t>
  </si>
  <si>
    <t>2023-02-13</t>
  </si>
  <si>
    <t>2023-07-20</t>
  </si>
  <si>
    <t>2023-09-01</t>
  </si>
  <si>
    <t>2023-03-03</t>
  </si>
  <si>
    <t>2023-01-24</t>
  </si>
  <si>
    <t>2023-04-29</t>
  </si>
  <si>
    <t>2023-08-08</t>
  </si>
  <si>
    <t>2023-05-18</t>
  </si>
  <si>
    <t>2023-05-19</t>
  </si>
  <si>
    <t>2023-09-22</t>
  </si>
  <si>
    <t>2023-03-04</t>
  </si>
  <si>
    <t>2023-04-15</t>
  </si>
  <si>
    <t>2023-01-14</t>
  </si>
  <si>
    <t>2023-03-07</t>
  </si>
  <si>
    <t>2023-10-27</t>
  </si>
  <si>
    <t>2023-04-08</t>
  </si>
  <si>
    <t>2023-08-16</t>
  </si>
  <si>
    <t>2023-10-05</t>
  </si>
  <si>
    <t>2023-08-21</t>
  </si>
  <si>
    <t>2023-12-24</t>
  </si>
  <si>
    <t>2023-03-09</t>
  </si>
  <si>
    <t>2023-08-18</t>
  </si>
  <si>
    <t>2023-04-19</t>
  </si>
  <si>
    <t>2023-02-23</t>
  </si>
  <si>
    <t>2023-12-16</t>
  </si>
  <si>
    <t>2023-11-14</t>
  </si>
  <si>
    <t>2023-09-19</t>
  </si>
  <si>
    <t>2023-03-18</t>
  </si>
  <si>
    <t>2023-10-19</t>
  </si>
  <si>
    <t>2023-12-31</t>
  </si>
  <si>
    <t>2023-02-04</t>
  </si>
  <si>
    <t>2023-12-30</t>
  </si>
  <si>
    <t>2023-07-04</t>
  </si>
  <si>
    <t>2023-05-17</t>
  </si>
  <si>
    <t>2023-05-24</t>
  </si>
  <si>
    <t>2023-06-29</t>
  </si>
  <si>
    <t>2023-06-08</t>
  </si>
  <si>
    <t>2023-04-28</t>
  </si>
  <si>
    <t>2023-04-01</t>
  </si>
  <si>
    <t>2023-08-15</t>
  </si>
  <si>
    <t>2023-03-22</t>
  </si>
  <si>
    <t>2023-08-25</t>
  </si>
  <si>
    <t>2023-04-13</t>
  </si>
  <si>
    <t>2023-01-06</t>
  </si>
  <si>
    <t>2023-01-12</t>
  </si>
  <si>
    <t>2023-04-06</t>
  </si>
  <si>
    <t>2023-02-11</t>
  </si>
  <si>
    <t>2023-11-21</t>
  </si>
  <si>
    <t>2023-08-05</t>
  </si>
  <si>
    <t>2023-01-28</t>
  </si>
  <si>
    <t>2023-02-16</t>
  </si>
  <si>
    <t>2023-11-09</t>
  </si>
  <si>
    <t>2023-01-04</t>
  </si>
  <si>
    <t>2023-08-19</t>
  </si>
  <si>
    <t>2023-03-28</t>
  </si>
  <si>
    <t>2023-02-14</t>
  </si>
  <si>
    <t>2023-01-07</t>
  </si>
  <si>
    <t>2023-04-25</t>
  </si>
  <si>
    <t>2023-03-31</t>
  </si>
  <si>
    <t>2023-08-22</t>
  </si>
  <si>
    <t>2023-03-27</t>
  </si>
  <si>
    <t>2023-03-19</t>
  </si>
  <si>
    <t>2023-02-22</t>
  </si>
  <si>
    <t>2023-04-05</t>
  </si>
  <si>
    <t>2023-09-24</t>
  </si>
  <si>
    <t>2023-12-10</t>
  </si>
  <si>
    <t>2023-10-02</t>
  </si>
  <si>
    <t>2023-04-26</t>
  </si>
  <si>
    <t>2023-09-16</t>
  </si>
  <si>
    <t>2023-09-14</t>
  </si>
  <si>
    <t>2023-09-23</t>
  </si>
  <si>
    <t>2023-05-20</t>
  </si>
  <si>
    <t>2023-10-26</t>
  </si>
  <si>
    <t>2023-10-15</t>
  </si>
  <si>
    <t>2023-05-09</t>
  </si>
  <si>
    <t>2023-04-10</t>
  </si>
  <si>
    <t>2023-07-28</t>
  </si>
  <si>
    <t>2023-05-13</t>
  </si>
  <si>
    <t>2023-04-27</t>
  </si>
  <si>
    <t>2023-06-16</t>
  </si>
  <si>
    <t>2023-03-11</t>
  </si>
  <si>
    <t>2023-10-30</t>
  </si>
  <si>
    <t>2023-05-25</t>
  </si>
  <si>
    <t>2023-08-29</t>
  </si>
  <si>
    <t>2023-05-29</t>
  </si>
  <si>
    <t>2023-06-26</t>
  </si>
  <si>
    <t>2023-11-27</t>
  </si>
  <si>
    <t>2023-01-09</t>
  </si>
  <si>
    <t>2023-02-17</t>
  </si>
  <si>
    <t>2023-04-20</t>
  </si>
  <si>
    <t>2023-09-29</t>
  </si>
  <si>
    <t>2023-10-29</t>
  </si>
  <si>
    <t>2023-01-22</t>
  </si>
  <si>
    <t>2023-01-01</t>
  </si>
  <si>
    <t>2023-11-05</t>
  </si>
  <si>
    <t>2023-03-30</t>
  </si>
  <si>
    <t>2023-06-21</t>
  </si>
  <si>
    <t>2023-08-17</t>
  </si>
  <si>
    <t>2023-07-30</t>
  </si>
  <si>
    <t>2023-12-26</t>
  </si>
  <si>
    <t>2023-10-22</t>
  </si>
  <si>
    <t>2023-04-23</t>
  </si>
  <si>
    <t>2023-11-03</t>
  </si>
  <si>
    <t>2023-07-25</t>
  </si>
  <si>
    <t>2023-06-24</t>
  </si>
  <si>
    <t>2023-11-19</t>
  </si>
  <si>
    <t>2023-02-15</t>
  </si>
  <si>
    <t>2023-07-16</t>
  </si>
  <si>
    <t>2023-09-30</t>
  </si>
  <si>
    <t>2023-12-17</t>
  </si>
  <si>
    <t>2023-03-24</t>
  </si>
  <si>
    <t>2023-09-26</t>
  </si>
  <si>
    <t>2023-12-20</t>
  </si>
  <si>
    <t>2023-11-18</t>
  </si>
  <si>
    <t>2023-05-14</t>
  </si>
  <si>
    <t>2023-01-05</t>
  </si>
  <si>
    <t>2023-05-04</t>
  </si>
  <si>
    <t>2023-10-21</t>
  </si>
  <si>
    <t>2023-09-20</t>
  </si>
  <si>
    <t>2023-11-10</t>
  </si>
  <si>
    <t>2023-06-02</t>
  </si>
  <si>
    <t>2023-05-30</t>
  </si>
  <si>
    <t>2023-03-13</t>
  </si>
  <si>
    <t>2023-05-26</t>
  </si>
  <si>
    <t>2023-09-07</t>
  </si>
  <si>
    <t>2023-11-20</t>
  </si>
  <si>
    <t>2023-05-10</t>
  </si>
  <si>
    <t>2023-06-22</t>
  </si>
  <si>
    <t>2023-02-08</t>
  </si>
  <si>
    <t>2023-12-27</t>
  </si>
  <si>
    <t>2023-03-23</t>
  </si>
  <si>
    <t>2023-07-09</t>
  </si>
  <si>
    <t>2023-09-10</t>
  </si>
  <si>
    <t xml:space="preserve">first 5 </t>
  </si>
  <si>
    <t>last 3</t>
  </si>
  <si>
    <t>lenth</t>
  </si>
  <si>
    <t>concat</t>
  </si>
  <si>
    <t>before "-"</t>
  </si>
  <si>
    <t>after "-"</t>
  </si>
  <si>
    <t>reting</t>
  </si>
  <si>
    <t>triam</t>
  </si>
  <si>
    <t>CLEAN</t>
  </si>
  <si>
    <t>Replace ₹</t>
  </si>
  <si>
    <t>PROPER</t>
  </si>
  <si>
    <t>UPPER</t>
  </si>
  <si>
    <t xml:space="preserve">      Ravi Kumar</t>
  </si>
  <si>
    <t xml:space="preserve">      John Doe</t>
  </si>
  <si>
    <t>Double Spaces</t>
  </si>
  <si>
    <t>TRIMandCLEAN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</si>
</sst>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9" fontId="0" fillId="0" borderId="0" xfId="2" applyFont="1"/>
    <xf numFmtId="44" fontId="0" fillId="0" borderId="0" xfId="1" applyFont="1"/>
    <xf numFmtId="14" fontId="0" fillId="0" borderId="0" xfId="1" applyNumberFormat="1" applyFont="1"/>
    <xf numFmtId="164" fontId="0" fillId="0" borderId="0" xfId="1" applyNumberFormat="1" applyFont="1"/>
    <xf numFmtId="1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24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15604-289B-4D9E-A170-947CFE89C1C2}" name="Table1" displayName="Table1" ref="A1:AA201" totalsRowShown="0">
  <autoFilter ref="A1:AA201" xr:uid="{69015604-289B-4D9E-A170-947CFE89C1C2}"/>
  <tableColumns count="27">
    <tableColumn id="1" xr3:uid="{740BD773-344C-493B-9B92-5E3B4E581FCF}" name="OrderID" dataDxfId="23"/>
    <tableColumn id="2" xr3:uid="{835596DD-CBF7-4F9D-927A-D7ADAE5E3C65}" name="CustomerID" dataDxfId="22"/>
    <tableColumn id="3" xr3:uid="{A12C0C43-17F5-430D-820C-7DD5F39AD128}" name="CustomerName"/>
    <tableColumn id="4" xr3:uid="{FD7B3E9E-21EF-439C-B29A-107DEC395F2A}" name="Country"/>
    <tableColumn id="5" xr3:uid="{AC5F186C-20D6-42DD-A02A-27FB581936B0}" name="Product"/>
    <tableColumn id="6" xr3:uid="{DB8EAB6B-3C32-403F-901A-5EAE7D329E58}" name="Category"/>
    <tableColumn id="7" xr3:uid="{3DB1DB16-1C93-4634-B1F8-1D7616F1CABC}" name="Quantity" dataDxfId="21"/>
    <tableColumn id="8" xr3:uid="{72363763-E48E-44B6-B3B0-4117D6ACCF92}" name="UnitPrice" dataDxfId="20"/>
    <tableColumn id="9" xr3:uid="{57A03D3E-1785-47E3-9511-494B7919D3B4}" name="Revenue" dataDxfId="19" dataCellStyle="Currency"/>
    <tableColumn id="10" xr3:uid="{85635D27-165F-4FD7-9482-8CDAADD9392E}" name="OrderDate" dataDxfId="14" dataCellStyle="Currency"/>
    <tableColumn id="11" xr3:uid="{11C603AC-8324-43B1-9F6F-812D672FFE76}" name="TextPrice" dataDxfId="13" dataCellStyle="Currency"/>
    <tableColumn id="13" xr3:uid="{F82CAD01-D812-46DD-A6D6-BC145FFAA8D3}" name="Discount" dataCellStyle="Percent"/>
    <tableColumn id="14" xr3:uid="{BF21268A-EB8C-4559-B6CF-545AAE67EBE2}" name="FinalAmount" dataDxfId="18"/>
    <tableColumn id="12" xr3:uid="{E89DF8C1-1E25-458E-804B-855C4DD48F1E}" name="first 5 " dataDxfId="17">
      <calculatedColumnFormula>LEFT(C2,5)</calculatedColumnFormula>
    </tableColumn>
    <tableColumn id="15" xr3:uid="{42F19027-E9F1-47CC-92BF-55C14C1B0197}" name="last 3" dataDxfId="16">
      <calculatedColumnFormula>RIGHT(C2,3)</calculatedColumnFormula>
    </tableColumn>
    <tableColumn id="17" xr3:uid="{A3440CD8-2DA4-4AF4-908A-14DE5D614BFE}" name="concat" dataDxfId="12">
      <calculatedColumnFormula>_xlfn.CONCAT(N2,"-",O2)</calculatedColumnFormula>
    </tableColumn>
    <tableColumn id="18" xr3:uid="{47E8EFB7-953C-46D1-B444-45DF6A417C9B}" name="before &quot;-&quot;" dataDxfId="11">
      <calculatedColumnFormula>LEFT(P2, FIND("-", P2) - 1)</calculatedColumnFormula>
    </tableColumn>
    <tableColumn id="19" xr3:uid="{44A00B27-6A80-4855-9488-F4B50498D2A8}" name="after &quot;-&quot;" dataDxfId="10">
      <calculatedColumnFormula>RIGHT(P2, LEN(P2) - FIND("-", P2))</calculatedColumnFormula>
    </tableColumn>
    <tableColumn id="16" xr3:uid="{FA85ECB7-A164-46ED-8AC7-901ED1097E2C}" name="lenth" dataDxfId="15">
      <calculatedColumnFormula>LEN(C2)</calculatedColumnFormula>
    </tableColumn>
    <tableColumn id="20" xr3:uid="{190A6E4E-9AA3-4803-87D9-BBFC1F41B00D}" name="reting" dataDxfId="9"/>
    <tableColumn id="21" xr3:uid="{3183733C-0822-49FC-8720-9A0B3D501064}" name="triam" dataDxfId="6">
      <calculatedColumnFormula>TRIM(C2)</calculatedColumnFormula>
    </tableColumn>
    <tableColumn id="22" xr3:uid="{2430BD97-F969-4D9A-9D92-0C9D36DF39CD}" name="CLEAN" dataDxfId="5">
      <calculatedColumnFormula>CLEAN(C2)</calculatedColumnFormula>
    </tableColumn>
    <tableColumn id="23" xr3:uid="{48EAF96A-64F8-42F6-AFC2-44955023ADAA}" name="Replace ₹" dataDxfId="4">
      <calculatedColumnFormula>SUBSTITUTE(M2,"₹","")</calculatedColumnFormula>
    </tableColumn>
    <tableColumn id="24" xr3:uid="{2FA63FE8-4A4D-4E34-B3D1-AC46E0258801}" name="PROPER" dataDxfId="3">
      <calculatedColumnFormula>PROPER(C2)</calculatedColumnFormula>
    </tableColumn>
    <tableColumn id="25" xr3:uid="{181E4AEE-3377-45FC-852A-33A0A6B10726}" name="UPPER" dataDxfId="2">
      <calculatedColumnFormula>UPPER(Table1[[#This Row],[PROPER]])</calculatedColumnFormula>
    </tableColumn>
    <tableColumn id="26" xr3:uid="{ACB214AE-DCF2-4B38-94AB-B9D8F628CEBB}" name="Double Spaces" dataDxfId="1">
      <calculatedColumnFormula>SUBSTITUTE(C2,"  "," ")</calculatedColumnFormula>
    </tableColumn>
    <tableColumn id="27" xr3:uid="{C8399145-C963-47E6-9989-63BEB67170D4}" name="TRIMandCLEAN" dataDxfId="0">
      <calculatedColumnFormula>TRIM(CLEAN(C2))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tabSelected="1" topLeftCell="K1" zoomScale="70" zoomScaleNormal="70" workbookViewId="0">
      <selection activeCell="AG28" sqref="AG28"/>
    </sheetView>
  </sheetViews>
  <sheetFormatPr defaultRowHeight="14.4" x14ac:dyDescent="0.3"/>
  <cols>
    <col min="1" max="1" width="9.33203125" style="6" customWidth="1"/>
    <col min="2" max="2" width="12.5546875" style="6" customWidth="1"/>
    <col min="3" max="3" width="15.6640625" customWidth="1"/>
    <col min="4" max="4" width="9.33203125" customWidth="1"/>
    <col min="5" max="5" width="9.21875" customWidth="1"/>
    <col min="6" max="6" width="10.21875" customWidth="1"/>
    <col min="7" max="7" width="9.88671875" style="6" customWidth="1"/>
    <col min="8" max="8" width="10.33203125" style="1" customWidth="1"/>
    <col min="9" max="9" width="11.44140625" style="5" bestFit="1" customWidth="1"/>
    <col min="10" max="10" width="11.44140625" style="4" customWidth="1"/>
    <col min="11" max="11" width="10.44140625" style="3" customWidth="1"/>
    <col min="12" max="12" width="10" style="2" customWidth="1"/>
    <col min="13" max="13" width="13.109375" style="1" customWidth="1"/>
    <col min="14" max="14" width="23" bestFit="1" customWidth="1"/>
    <col min="15" max="15" width="12.88671875" bestFit="1" customWidth="1"/>
    <col min="16" max="18" width="12.88671875" customWidth="1"/>
    <col min="21" max="21" width="11.109375" bestFit="1" customWidth="1"/>
    <col min="22" max="24" width="12.44140625" bestFit="1" customWidth="1"/>
    <col min="25" max="25" width="13.33203125" bestFit="1" customWidth="1"/>
    <col min="26" max="26" width="16.6640625" bestFit="1" customWidth="1"/>
    <col min="27" max="27" width="17.44140625" bestFit="1" customWidth="1"/>
  </cols>
  <sheetData>
    <row r="1" spans="1:27" ht="15.6" x14ac:dyDescent="0.3">
      <c r="A1" s="6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s="1" t="s">
        <v>7</v>
      </c>
      <c r="I1" s="5" t="s">
        <v>8</v>
      </c>
      <c r="J1" s="4" t="s">
        <v>9</v>
      </c>
      <c r="K1" s="3" t="s">
        <v>10</v>
      </c>
      <c r="L1" s="2" t="s">
        <v>11</v>
      </c>
      <c r="M1" s="1" t="s">
        <v>12</v>
      </c>
      <c r="N1" s="8" t="s">
        <v>192</v>
      </c>
      <c r="O1" s="8" t="s">
        <v>193</v>
      </c>
      <c r="P1" s="8" t="s">
        <v>195</v>
      </c>
      <c r="Q1" s="8" t="s">
        <v>196</v>
      </c>
      <c r="R1" s="8" t="s">
        <v>197</v>
      </c>
      <c r="S1" t="s">
        <v>194</v>
      </c>
      <c r="T1" t="s">
        <v>198</v>
      </c>
      <c r="U1" t="s">
        <v>199</v>
      </c>
      <c r="V1" t="s">
        <v>200</v>
      </c>
      <c r="W1" t="s">
        <v>201</v>
      </c>
      <c r="X1" t="s">
        <v>202</v>
      </c>
      <c r="Y1" t="s">
        <v>203</v>
      </c>
      <c r="Z1" t="s">
        <v>206</v>
      </c>
      <c r="AA1" t="s">
        <v>207</v>
      </c>
    </row>
    <row r="2" spans="1:27" ht="15.6" x14ac:dyDescent="0.3">
      <c r="A2" s="6">
        <v>1</v>
      </c>
      <c r="B2" s="6">
        <v>1081</v>
      </c>
      <c r="C2" t="s">
        <v>13</v>
      </c>
      <c r="D2" t="s">
        <v>14</v>
      </c>
      <c r="E2" t="s">
        <v>15</v>
      </c>
      <c r="F2" t="s">
        <v>16</v>
      </c>
      <c r="G2" s="6">
        <v>1</v>
      </c>
      <c r="H2" s="1">
        <v>4723</v>
      </c>
      <c r="I2" s="5">
        <v>4723</v>
      </c>
      <c r="J2" s="4" t="s">
        <v>17</v>
      </c>
      <c r="K2" s="5">
        <v>4723</v>
      </c>
      <c r="L2" s="2">
        <v>0.05</v>
      </c>
      <c r="M2" s="1">
        <v>4486.8500000000004</v>
      </c>
      <c r="N2" s="7" t="str">
        <f t="shared" ref="N2:N33" si="0">LEFT(C2,5)</f>
        <v xml:space="preserve">Ravi </v>
      </c>
      <c r="O2" s="1" t="str">
        <f t="shared" ref="O2:O33" si="1">RIGHT(C2,3)</f>
        <v>mar</v>
      </c>
      <c r="P2" s="1" t="str">
        <f t="shared" ref="P2:P33" si="2">_xlfn.CONCAT(N2,"-",O2)</f>
        <v>Ravi -mar</v>
      </c>
      <c r="Q2" s="1" t="str">
        <f t="shared" ref="Q2:Q33" si="3">LEFT(P2, FIND("-", P2) - 1)</f>
        <v xml:space="preserve">Ravi </v>
      </c>
      <c r="R2" s="1" t="str">
        <f t="shared" ref="R2:R33" si="4">RIGHT(P2, LEN(P2) - FIND("-", P2))</f>
        <v>mar</v>
      </c>
      <c r="S2">
        <f t="shared" ref="S2:S33" si="5">LEN(C2)</f>
        <v>10</v>
      </c>
      <c r="T2" s="1"/>
      <c r="U2" s="1" t="str">
        <f t="shared" ref="U2:U33" si="6">TRIM(C2)</f>
        <v>Ravi Kumar</v>
      </c>
      <c r="V2" s="1" t="str">
        <f t="shared" ref="V2:V33" si="7">CLEAN(C2)</f>
        <v>Ravi Kumar</v>
      </c>
      <c r="W2" s="1" t="str">
        <f t="shared" ref="W2:W33" si="8">SUBSTITUTE(M2,"₹","")</f>
        <v>4486.85</v>
      </c>
      <c r="X2" s="1" t="str">
        <f t="shared" ref="X2:X33" si="9">PROPER(C2)</f>
        <v>Ravi Kumar</v>
      </c>
      <c r="Y2" s="1" t="str">
        <f>UPPER(Table1[[#This Row],[PROPER]])</f>
        <v>RAVI KUMAR</v>
      </c>
      <c r="Z2" s="1" t="str">
        <f t="shared" ref="Z2:Z33" si="10">SUBSTITUTE(C2,"  "," ")</f>
        <v>Ravi Kumar</v>
      </c>
      <c r="AA2" s="1" t="str">
        <f t="shared" ref="AA2:AA33" si="11">TRIM(CLEAN(C2))</f>
        <v>Ravi Kumar</v>
      </c>
    </row>
    <row r="3" spans="1:27" x14ac:dyDescent="0.3">
      <c r="A3" s="6">
        <v>2</v>
      </c>
      <c r="B3" s="6">
        <v>1042</v>
      </c>
      <c r="C3" t="s">
        <v>18</v>
      </c>
      <c r="D3" t="s">
        <v>19</v>
      </c>
      <c r="E3" t="s">
        <v>20</v>
      </c>
      <c r="F3" t="s">
        <v>16</v>
      </c>
      <c r="G3" s="6">
        <v>16</v>
      </c>
      <c r="H3" s="1">
        <v>3988</v>
      </c>
      <c r="I3" s="5">
        <v>63808</v>
      </c>
      <c r="J3" s="4" t="s">
        <v>21</v>
      </c>
      <c r="K3" s="5">
        <v>3988</v>
      </c>
      <c r="L3" s="2">
        <v>0.1</v>
      </c>
      <c r="M3" s="1">
        <v>57427.199999999997</v>
      </c>
      <c r="N3" t="str">
        <f t="shared" si="0"/>
        <v xml:space="preserve">Amit </v>
      </c>
      <c r="O3" s="1" t="str">
        <f t="shared" si="1"/>
        <v>hah</v>
      </c>
      <c r="P3" s="1" t="str">
        <f t="shared" si="2"/>
        <v>Amit -hah</v>
      </c>
      <c r="Q3" s="1" t="str">
        <f t="shared" si="3"/>
        <v xml:space="preserve">Amit </v>
      </c>
      <c r="R3" s="1" t="str">
        <f t="shared" si="4"/>
        <v>hah</v>
      </c>
      <c r="S3">
        <f t="shared" si="5"/>
        <v>9</v>
      </c>
      <c r="T3" s="1"/>
      <c r="U3" s="1" t="str">
        <f t="shared" si="6"/>
        <v>Amit Shah</v>
      </c>
      <c r="V3" s="1" t="str">
        <f t="shared" si="7"/>
        <v>Amit Shah</v>
      </c>
      <c r="W3" s="1" t="str">
        <f t="shared" si="8"/>
        <v>57427.2</v>
      </c>
      <c r="X3" s="1" t="str">
        <f t="shared" si="9"/>
        <v>Amit Shah</v>
      </c>
      <c r="Y3" s="1" t="str">
        <f>UPPER(Table1[[#This Row],[PROPER]])</f>
        <v>AMIT SHAH</v>
      </c>
      <c r="Z3" s="1" t="str">
        <f t="shared" si="10"/>
        <v>Amit Shah</v>
      </c>
      <c r="AA3" s="1" t="str">
        <f t="shared" si="11"/>
        <v>Amit Shah</v>
      </c>
    </row>
    <row r="4" spans="1:27" x14ac:dyDescent="0.3">
      <c r="A4" s="6">
        <v>3</v>
      </c>
      <c r="B4" s="6">
        <v>1092</v>
      </c>
      <c r="C4" t="s">
        <v>22</v>
      </c>
      <c r="D4" t="s">
        <v>23</v>
      </c>
      <c r="E4" t="s">
        <v>15</v>
      </c>
      <c r="F4" t="s">
        <v>16</v>
      </c>
      <c r="G4" s="6">
        <v>17</v>
      </c>
      <c r="H4" s="1">
        <v>3351</v>
      </c>
      <c r="I4" s="5">
        <v>56967</v>
      </c>
      <c r="J4" s="4" t="s">
        <v>24</v>
      </c>
      <c r="K4" s="5">
        <v>3351</v>
      </c>
      <c r="L4" s="2">
        <v>0.1</v>
      </c>
      <c r="M4" s="1">
        <v>51270.3</v>
      </c>
      <c r="N4" t="str">
        <f t="shared" si="0"/>
        <v>Emily</v>
      </c>
      <c r="O4" s="1" t="str">
        <f t="shared" si="1"/>
        <v>ark</v>
      </c>
      <c r="P4" s="1" t="str">
        <f t="shared" si="2"/>
        <v>Emily-ark</v>
      </c>
      <c r="Q4" s="1" t="str">
        <f t="shared" si="3"/>
        <v>Emily</v>
      </c>
      <c r="R4" s="1" t="str">
        <f t="shared" si="4"/>
        <v>ark</v>
      </c>
      <c r="S4">
        <f t="shared" si="5"/>
        <v>11</v>
      </c>
      <c r="T4" s="1"/>
      <c r="U4" s="1" t="str">
        <f t="shared" si="6"/>
        <v>Emily Clark</v>
      </c>
      <c r="V4" s="1" t="str">
        <f t="shared" si="7"/>
        <v>Emily Clark</v>
      </c>
      <c r="W4" s="1" t="str">
        <f t="shared" si="8"/>
        <v>51270.3</v>
      </c>
      <c r="X4" s="1" t="str">
        <f t="shared" si="9"/>
        <v>Emily Clark</v>
      </c>
      <c r="Y4" s="1" t="str">
        <f>UPPER(Table1[[#This Row],[PROPER]])</f>
        <v>EMILY CLARK</v>
      </c>
      <c r="Z4" s="1" t="str">
        <f t="shared" si="10"/>
        <v>Emily Clark</v>
      </c>
      <c r="AA4" s="1" t="str">
        <f t="shared" si="11"/>
        <v>Emily Clark</v>
      </c>
    </row>
    <row r="5" spans="1:27" x14ac:dyDescent="0.3">
      <c r="A5" s="6">
        <v>4</v>
      </c>
      <c r="C5" t="s">
        <v>204</v>
      </c>
      <c r="D5" t="s">
        <v>25</v>
      </c>
      <c r="E5" t="s">
        <v>26</v>
      </c>
      <c r="F5" t="s">
        <v>27</v>
      </c>
      <c r="G5" s="6">
        <v>7</v>
      </c>
      <c r="H5" s="1">
        <v>4259</v>
      </c>
      <c r="I5" s="5">
        <v>29813</v>
      </c>
      <c r="J5" s="4" t="s">
        <v>28</v>
      </c>
      <c r="K5" s="5">
        <v>4259</v>
      </c>
      <c r="L5" s="2">
        <v>0.1</v>
      </c>
      <c r="M5" s="1">
        <v>26831.7</v>
      </c>
      <c r="N5" t="str">
        <f t="shared" si="0"/>
        <v xml:space="preserve">     </v>
      </c>
      <c r="O5" s="1" t="str">
        <f t="shared" si="1"/>
        <v>mar</v>
      </c>
      <c r="P5" s="1" t="str">
        <f t="shared" si="2"/>
        <v xml:space="preserve">     -mar</v>
      </c>
      <c r="Q5" s="1" t="str">
        <f t="shared" si="3"/>
        <v xml:space="preserve">     </v>
      </c>
      <c r="R5" s="1" t="str">
        <f t="shared" si="4"/>
        <v>mar</v>
      </c>
      <c r="S5">
        <f t="shared" si="5"/>
        <v>16</v>
      </c>
      <c r="T5" s="1"/>
      <c r="U5" s="1" t="str">
        <f t="shared" si="6"/>
        <v>Ravi Kumar</v>
      </c>
      <c r="V5" s="1" t="str">
        <f t="shared" si="7"/>
        <v xml:space="preserve">      Ravi Kumar</v>
      </c>
      <c r="W5" s="1" t="str">
        <f t="shared" si="8"/>
        <v>26831.7</v>
      </c>
      <c r="X5" s="1" t="str">
        <f t="shared" si="9"/>
        <v xml:space="preserve">      Ravi Kumar</v>
      </c>
      <c r="Y5" s="1" t="str">
        <f>UPPER(Table1[[#This Row],[PROPER]])</f>
        <v xml:space="preserve">      RAVI KUMAR</v>
      </c>
      <c r="Z5" s="1" t="str">
        <f t="shared" si="10"/>
        <v xml:space="preserve">   Ravi Kumar</v>
      </c>
      <c r="AA5" s="1" t="str">
        <f t="shared" si="11"/>
        <v>Ravi Kumar</v>
      </c>
    </row>
    <row r="6" spans="1:27" x14ac:dyDescent="0.3">
      <c r="A6" s="6">
        <v>5</v>
      </c>
      <c r="B6" s="6">
        <v>1017</v>
      </c>
      <c r="C6" t="s">
        <v>29</v>
      </c>
      <c r="D6" t="s">
        <v>19</v>
      </c>
      <c r="E6" t="s">
        <v>26</v>
      </c>
      <c r="F6" t="s">
        <v>27</v>
      </c>
      <c r="G6" s="6">
        <v>14</v>
      </c>
      <c r="H6" s="1">
        <v>4326</v>
      </c>
      <c r="I6" s="5">
        <v>60564</v>
      </c>
      <c r="J6" s="4" t="s">
        <v>30</v>
      </c>
      <c r="K6" s="5">
        <v>4326</v>
      </c>
      <c r="L6" s="2">
        <v>0.1</v>
      </c>
      <c r="M6" s="1">
        <v>54507.6</v>
      </c>
      <c r="N6" t="str">
        <f t="shared" si="0"/>
        <v xml:space="preserve">John </v>
      </c>
      <c r="O6" s="1" t="str">
        <f t="shared" si="1"/>
        <v>Doe</v>
      </c>
      <c r="P6" s="1" t="str">
        <f t="shared" si="2"/>
        <v>John -Doe</v>
      </c>
      <c r="Q6" s="1" t="str">
        <f t="shared" si="3"/>
        <v xml:space="preserve">John </v>
      </c>
      <c r="R6" s="1" t="str">
        <f t="shared" si="4"/>
        <v>Doe</v>
      </c>
      <c r="S6">
        <f t="shared" si="5"/>
        <v>8</v>
      </c>
      <c r="T6" s="1"/>
      <c r="U6" s="1" t="str">
        <f t="shared" si="6"/>
        <v>John Doe</v>
      </c>
      <c r="V6" s="1" t="str">
        <f t="shared" si="7"/>
        <v>John Doe</v>
      </c>
      <c r="W6" s="1" t="str">
        <f t="shared" si="8"/>
        <v>54507.6</v>
      </c>
      <c r="X6" s="1" t="str">
        <f t="shared" si="9"/>
        <v>John Doe</v>
      </c>
      <c r="Y6" s="1" t="str">
        <f>UPPER(Table1[[#This Row],[PROPER]])</f>
        <v>JOHN DOE</v>
      </c>
      <c r="Z6" s="1" t="str">
        <f t="shared" si="10"/>
        <v>John Doe</v>
      </c>
      <c r="AA6" s="1" t="str">
        <f t="shared" si="11"/>
        <v>John Doe</v>
      </c>
    </row>
    <row r="7" spans="1:27" x14ac:dyDescent="0.3">
      <c r="A7" s="6">
        <v>6</v>
      </c>
      <c r="B7" s="6">
        <v>123</v>
      </c>
      <c r="C7" t="s">
        <v>18</v>
      </c>
      <c r="D7" t="s">
        <v>14</v>
      </c>
      <c r="E7" t="s">
        <v>31</v>
      </c>
      <c r="F7" t="s">
        <v>16</v>
      </c>
      <c r="G7" s="6">
        <v>1</v>
      </c>
      <c r="H7" s="1">
        <v>4969</v>
      </c>
      <c r="I7" s="5">
        <v>44721</v>
      </c>
      <c r="J7" s="4" t="s">
        <v>32</v>
      </c>
      <c r="K7" s="5">
        <v>4969</v>
      </c>
      <c r="L7" s="2">
        <v>0.1</v>
      </c>
      <c r="M7" s="1">
        <v>40248.9</v>
      </c>
      <c r="N7" t="str">
        <f t="shared" si="0"/>
        <v xml:space="preserve">Amit </v>
      </c>
      <c r="O7" s="1" t="str">
        <f t="shared" si="1"/>
        <v>hah</v>
      </c>
      <c r="P7" s="1" t="str">
        <f t="shared" si="2"/>
        <v>Amit -hah</v>
      </c>
      <c r="Q7" s="1" t="str">
        <f t="shared" si="3"/>
        <v xml:space="preserve">Amit </v>
      </c>
      <c r="R7" s="1" t="str">
        <f t="shared" si="4"/>
        <v>hah</v>
      </c>
      <c r="S7">
        <f t="shared" si="5"/>
        <v>9</v>
      </c>
      <c r="T7" s="1"/>
      <c r="U7" s="1" t="str">
        <f t="shared" si="6"/>
        <v>Amit Shah</v>
      </c>
      <c r="V7" s="1" t="str">
        <f t="shared" si="7"/>
        <v>Amit Shah</v>
      </c>
      <c r="W7" s="1" t="str">
        <f t="shared" si="8"/>
        <v>40248.9</v>
      </c>
      <c r="X7" s="1" t="str">
        <f t="shared" si="9"/>
        <v>Amit Shah</v>
      </c>
      <c r="Y7" s="1" t="str">
        <f>UPPER(Table1[[#This Row],[PROPER]])</f>
        <v>AMIT SHAH</v>
      </c>
      <c r="Z7" s="1" t="str">
        <f t="shared" si="10"/>
        <v>Amit Shah</v>
      </c>
      <c r="AA7" s="1" t="str">
        <f t="shared" si="11"/>
        <v>Amit Shah</v>
      </c>
    </row>
    <row r="8" spans="1:27" x14ac:dyDescent="0.3">
      <c r="A8" s="6">
        <v>7</v>
      </c>
      <c r="B8" s="6">
        <v>1030</v>
      </c>
      <c r="C8" t="s">
        <v>205</v>
      </c>
      <c r="D8" t="s">
        <v>14</v>
      </c>
      <c r="E8" t="s">
        <v>15</v>
      </c>
      <c r="F8" t="s">
        <v>16</v>
      </c>
      <c r="G8" s="6">
        <v>16</v>
      </c>
      <c r="H8" s="1">
        <v>4894</v>
      </c>
      <c r="I8" s="5">
        <v>78304</v>
      </c>
      <c r="J8" s="4" t="s">
        <v>33</v>
      </c>
      <c r="K8" s="5">
        <v>4894</v>
      </c>
      <c r="L8" s="2">
        <v>0.1</v>
      </c>
      <c r="M8" s="1">
        <v>70473.600000000006</v>
      </c>
      <c r="N8" t="str">
        <f t="shared" si="0"/>
        <v xml:space="preserve">     </v>
      </c>
      <c r="O8" s="1" t="str">
        <f t="shared" si="1"/>
        <v>Doe</v>
      </c>
      <c r="P8" s="1" t="str">
        <f t="shared" si="2"/>
        <v xml:space="preserve">     -Doe</v>
      </c>
      <c r="Q8" s="1" t="str">
        <f t="shared" si="3"/>
        <v xml:space="preserve">     </v>
      </c>
      <c r="R8" s="1" t="str">
        <f t="shared" si="4"/>
        <v>Doe</v>
      </c>
      <c r="S8">
        <f t="shared" si="5"/>
        <v>14</v>
      </c>
      <c r="T8" s="1"/>
      <c r="U8" s="1" t="str">
        <f t="shared" si="6"/>
        <v>John Doe</v>
      </c>
      <c r="V8" s="1" t="str">
        <f t="shared" si="7"/>
        <v xml:space="preserve">      John Doe</v>
      </c>
      <c r="W8" s="1" t="str">
        <f t="shared" si="8"/>
        <v>70473.6</v>
      </c>
      <c r="X8" s="1" t="str">
        <f t="shared" si="9"/>
        <v xml:space="preserve">      John Doe</v>
      </c>
      <c r="Y8" s="1" t="str">
        <f>UPPER(Table1[[#This Row],[PROPER]])</f>
        <v xml:space="preserve">      JOHN DOE</v>
      </c>
      <c r="Z8" s="1" t="str">
        <f t="shared" si="10"/>
        <v xml:space="preserve">   John Doe</v>
      </c>
      <c r="AA8" s="1" t="str">
        <f t="shared" si="11"/>
        <v>John Doe</v>
      </c>
    </row>
    <row r="9" spans="1:27" x14ac:dyDescent="0.3">
      <c r="A9" s="6">
        <v>8</v>
      </c>
      <c r="B9" s="6">
        <v>1030</v>
      </c>
      <c r="C9" t="s">
        <v>29</v>
      </c>
      <c r="D9" t="s">
        <v>34</v>
      </c>
      <c r="E9" t="s">
        <v>15</v>
      </c>
      <c r="F9" t="s">
        <v>27</v>
      </c>
      <c r="G9" s="6">
        <v>7</v>
      </c>
      <c r="H9" s="1">
        <v>3062</v>
      </c>
      <c r="I9" s="5">
        <v>21434</v>
      </c>
      <c r="J9" s="4" t="s">
        <v>35</v>
      </c>
      <c r="K9" s="5">
        <v>3062</v>
      </c>
      <c r="L9" s="2">
        <v>0.1</v>
      </c>
      <c r="M9" s="1">
        <v>19290.599999999999</v>
      </c>
      <c r="N9" t="str">
        <f t="shared" si="0"/>
        <v xml:space="preserve">John </v>
      </c>
      <c r="O9" s="1" t="str">
        <f t="shared" si="1"/>
        <v>Doe</v>
      </c>
      <c r="P9" s="1" t="str">
        <f t="shared" si="2"/>
        <v>John -Doe</v>
      </c>
      <c r="Q9" s="1" t="str">
        <f t="shared" si="3"/>
        <v xml:space="preserve">John </v>
      </c>
      <c r="R9" s="1" t="str">
        <f t="shared" si="4"/>
        <v>Doe</v>
      </c>
      <c r="S9">
        <f t="shared" si="5"/>
        <v>8</v>
      </c>
      <c r="T9" s="1"/>
      <c r="U9" s="1" t="str">
        <f t="shared" si="6"/>
        <v>John Doe</v>
      </c>
      <c r="V9" s="1" t="str">
        <f t="shared" si="7"/>
        <v>John Doe</v>
      </c>
      <c r="W9" s="1" t="str">
        <f t="shared" si="8"/>
        <v>19290.6</v>
      </c>
      <c r="X9" s="1" t="str">
        <f t="shared" si="9"/>
        <v>John Doe</v>
      </c>
      <c r="Y9" s="1" t="str">
        <f>UPPER(Table1[[#This Row],[PROPER]])</f>
        <v>JOHN DOE</v>
      </c>
      <c r="Z9" s="1" t="str">
        <f t="shared" si="10"/>
        <v>John Doe</v>
      </c>
      <c r="AA9" s="1" t="str">
        <f t="shared" si="11"/>
        <v>John Doe</v>
      </c>
    </row>
    <row r="10" spans="1:27" x14ac:dyDescent="0.3">
      <c r="A10" s="6">
        <v>9</v>
      </c>
      <c r="B10" s="6">
        <v>1014</v>
      </c>
      <c r="C10" t="s">
        <v>22</v>
      </c>
      <c r="D10" t="s">
        <v>34</v>
      </c>
      <c r="E10" t="s">
        <v>31</v>
      </c>
      <c r="F10" t="s">
        <v>27</v>
      </c>
      <c r="G10" s="6">
        <v>16</v>
      </c>
      <c r="H10" s="1">
        <v>953</v>
      </c>
      <c r="I10" s="5">
        <v>15248</v>
      </c>
      <c r="J10" s="4" t="s">
        <v>36</v>
      </c>
      <c r="K10" s="5">
        <v>953</v>
      </c>
      <c r="L10" s="2">
        <v>0.1</v>
      </c>
      <c r="M10" s="1">
        <v>13723.2</v>
      </c>
      <c r="N10" t="str">
        <f t="shared" si="0"/>
        <v>Emily</v>
      </c>
      <c r="O10" s="1" t="str">
        <f t="shared" si="1"/>
        <v>ark</v>
      </c>
      <c r="P10" s="1" t="str">
        <f t="shared" si="2"/>
        <v>Emily-ark</v>
      </c>
      <c r="Q10" s="1" t="str">
        <f t="shared" si="3"/>
        <v>Emily</v>
      </c>
      <c r="R10" s="1" t="str">
        <f t="shared" si="4"/>
        <v>ark</v>
      </c>
      <c r="S10">
        <f t="shared" si="5"/>
        <v>11</v>
      </c>
      <c r="T10" s="1"/>
      <c r="U10" s="1" t="str">
        <f t="shared" si="6"/>
        <v>Emily Clark</v>
      </c>
      <c r="V10" s="1" t="str">
        <f t="shared" si="7"/>
        <v>Emily Clark</v>
      </c>
      <c r="W10" s="1" t="str">
        <f t="shared" si="8"/>
        <v>13723.2</v>
      </c>
      <c r="X10" s="1" t="str">
        <f t="shared" si="9"/>
        <v>Emily Clark</v>
      </c>
      <c r="Y10" s="1" t="str">
        <f>UPPER(Table1[[#This Row],[PROPER]])</f>
        <v>EMILY CLARK</v>
      </c>
      <c r="Z10" s="1" t="str">
        <f t="shared" si="10"/>
        <v>Emily Clark</v>
      </c>
      <c r="AA10" s="1" t="str">
        <f t="shared" si="11"/>
        <v>Emily Clark</v>
      </c>
    </row>
    <row r="11" spans="1:27" x14ac:dyDescent="0.3">
      <c r="A11" s="6">
        <v>10</v>
      </c>
      <c r="B11" s="6">
        <v>1017</v>
      </c>
      <c r="C11" t="s">
        <v>18</v>
      </c>
      <c r="D11" t="s">
        <v>25</v>
      </c>
      <c r="E11" t="s">
        <v>20</v>
      </c>
      <c r="F11" t="s">
        <v>16</v>
      </c>
      <c r="G11" s="6">
        <v>20</v>
      </c>
      <c r="H11" s="1">
        <v>2229</v>
      </c>
      <c r="I11" s="5">
        <v>44580</v>
      </c>
      <c r="J11" s="4" t="s">
        <v>37</v>
      </c>
      <c r="K11" s="5">
        <v>2229</v>
      </c>
      <c r="L11" s="2">
        <v>0.1</v>
      </c>
      <c r="M11" s="1">
        <v>40122</v>
      </c>
      <c r="N11" t="str">
        <f t="shared" si="0"/>
        <v xml:space="preserve">Amit </v>
      </c>
      <c r="O11" s="1" t="str">
        <f t="shared" si="1"/>
        <v>hah</v>
      </c>
      <c r="P11" s="1" t="str">
        <f t="shared" si="2"/>
        <v>Amit -hah</v>
      </c>
      <c r="Q11" s="1" t="str">
        <f t="shared" si="3"/>
        <v xml:space="preserve">Amit </v>
      </c>
      <c r="R11" s="1" t="str">
        <f t="shared" si="4"/>
        <v>hah</v>
      </c>
      <c r="S11">
        <f t="shared" si="5"/>
        <v>9</v>
      </c>
      <c r="T11" s="1"/>
      <c r="U11" s="1" t="str">
        <f t="shared" si="6"/>
        <v>Amit Shah</v>
      </c>
      <c r="V11" s="1" t="str">
        <f t="shared" si="7"/>
        <v>Amit Shah</v>
      </c>
      <c r="W11" s="1" t="str">
        <f t="shared" si="8"/>
        <v>40122</v>
      </c>
      <c r="X11" s="1" t="str">
        <f t="shared" si="9"/>
        <v>Amit Shah</v>
      </c>
      <c r="Y11" s="1" t="str">
        <f>UPPER(Table1[[#This Row],[PROPER]])</f>
        <v>AMIT SHAH</v>
      </c>
      <c r="Z11" s="1" t="str">
        <f t="shared" si="10"/>
        <v>Amit Shah</v>
      </c>
      <c r="AA11" s="1" t="str">
        <f t="shared" si="11"/>
        <v>Amit Shah</v>
      </c>
    </row>
    <row r="12" spans="1:27" x14ac:dyDescent="0.3">
      <c r="A12" s="6">
        <v>11</v>
      </c>
      <c r="B12" s="6">
        <v>1037</v>
      </c>
      <c r="C12" t="s">
        <v>18</v>
      </c>
      <c r="D12" t="s">
        <v>34</v>
      </c>
      <c r="E12" t="s">
        <v>15</v>
      </c>
      <c r="F12" t="s">
        <v>27</v>
      </c>
      <c r="G12" s="6">
        <v>1</v>
      </c>
      <c r="H12" s="1">
        <v>122</v>
      </c>
      <c r="I12" s="5">
        <v>122</v>
      </c>
      <c r="J12" s="4" t="s">
        <v>38</v>
      </c>
      <c r="K12" s="5">
        <v>122</v>
      </c>
      <c r="L12" s="2">
        <v>0.05</v>
      </c>
      <c r="M12" s="1">
        <v>115.9</v>
      </c>
      <c r="N12" t="str">
        <f t="shared" si="0"/>
        <v xml:space="preserve">Amit </v>
      </c>
      <c r="O12" s="1" t="str">
        <f t="shared" si="1"/>
        <v>hah</v>
      </c>
      <c r="P12" s="1" t="str">
        <f t="shared" si="2"/>
        <v>Amit -hah</v>
      </c>
      <c r="Q12" s="1" t="str">
        <f t="shared" si="3"/>
        <v xml:space="preserve">Amit </v>
      </c>
      <c r="R12" s="1" t="str">
        <f t="shared" si="4"/>
        <v>hah</v>
      </c>
      <c r="S12">
        <f t="shared" si="5"/>
        <v>9</v>
      </c>
      <c r="T12" s="1"/>
      <c r="U12" s="1" t="str">
        <f t="shared" si="6"/>
        <v>Amit Shah</v>
      </c>
      <c r="V12" s="1" t="str">
        <f t="shared" si="7"/>
        <v>Amit Shah</v>
      </c>
      <c r="W12" s="1" t="str">
        <f t="shared" si="8"/>
        <v>115.9</v>
      </c>
      <c r="X12" s="1" t="str">
        <f t="shared" si="9"/>
        <v>Amit Shah</v>
      </c>
      <c r="Y12" s="1" t="str">
        <f>UPPER(Table1[[#This Row],[PROPER]])</f>
        <v>AMIT SHAH</v>
      </c>
      <c r="Z12" s="1" t="str">
        <f t="shared" si="10"/>
        <v>Amit Shah</v>
      </c>
      <c r="AA12" s="1" t="str">
        <f t="shared" si="11"/>
        <v>Amit Shah</v>
      </c>
    </row>
    <row r="13" spans="1:27" x14ac:dyDescent="0.3">
      <c r="A13" s="6">
        <v>12</v>
      </c>
      <c r="C13" t="s">
        <v>13</v>
      </c>
      <c r="D13" t="s">
        <v>25</v>
      </c>
      <c r="E13" t="s">
        <v>26</v>
      </c>
      <c r="F13" t="s">
        <v>27</v>
      </c>
      <c r="G13" s="6">
        <v>10</v>
      </c>
      <c r="H13" s="1">
        <v>3287</v>
      </c>
      <c r="I13" s="5">
        <v>32870</v>
      </c>
      <c r="J13" s="4" t="s">
        <v>39</v>
      </c>
      <c r="K13" s="5">
        <v>3287</v>
      </c>
      <c r="L13" s="2">
        <v>0.1</v>
      </c>
      <c r="M13" s="1">
        <v>29583</v>
      </c>
      <c r="N13" t="str">
        <f t="shared" si="0"/>
        <v xml:space="preserve">Ravi </v>
      </c>
      <c r="O13" s="1" t="str">
        <f t="shared" si="1"/>
        <v>mar</v>
      </c>
      <c r="P13" s="1" t="str">
        <f t="shared" si="2"/>
        <v>Ravi -mar</v>
      </c>
      <c r="Q13" s="1" t="str">
        <f t="shared" si="3"/>
        <v xml:space="preserve">Ravi </v>
      </c>
      <c r="R13" s="1" t="str">
        <f t="shared" si="4"/>
        <v>mar</v>
      </c>
      <c r="S13">
        <f t="shared" si="5"/>
        <v>10</v>
      </c>
      <c r="T13" s="1"/>
      <c r="U13" s="1" t="str">
        <f t="shared" si="6"/>
        <v>Ravi Kumar</v>
      </c>
      <c r="V13" s="1" t="str">
        <f t="shared" si="7"/>
        <v>Ravi Kumar</v>
      </c>
      <c r="W13" s="1" t="str">
        <f t="shared" si="8"/>
        <v>29583</v>
      </c>
      <c r="X13" s="1" t="str">
        <f t="shared" si="9"/>
        <v>Ravi Kumar</v>
      </c>
      <c r="Y13" s="1" t="str">
        <f>UPPER(Table1[[#This Row],[PROPER]])</f>
        <v>RAVI KUMAR</v>
      </c>
      <c r="Z13" s="1" t="str">
        <f t="shared" si="10"/>
        <v>Ravi Kumar</v>
      </c>
      <c r="AA13" s="1" t="str">
        <f t="shared" si="11"/>
        <v>Ravi Kumar</v>
      </c>
    </row>
    <row r="14" spans="1:27" x14ac:dyDescent="0.3">
      <c r="A14" s="6">
        <v>13</v>
      </c>
      <c r="B14" s="6">
        <v>1033</v>
      </c>
      <c r="C14" t="s">
        <v>40</v>
      </c>
      <c r="D14" t="s">
        <v>14</v>
      </c>
      <c r="E14" t="s">
        <v>41</v>
      </c>
      <c r="F14" t="s">
        <v>16</v>
      </c>
      <c r="G14" s="6">
        <v>16</v>
      </c>
      <c r="H14" s="1">
        <v>1920</v>
      </c>
      <c r="I14" s="5">
        <v>30720</v>
      </c>
      <c r="J14" s="4" t="s">
        <v>42</v>
      </c>
      <c r="K14" s="5">
        <v>1920</v>
      </c>
      <c r="L14" s="2">
        <v>0.1</v>
      </c>
      <c r="M14" s="1">
        <v>27648</v>
      </c>
      <c r="N14" t="str">
        <f t="shared" si="0"/>
        <v xml:space="preserve">Sara </v>
      </c>
      <c r="O14" s="1" t="str">
        <f t="shared" si="1"/>
        <v>Ali</v>
      </c>
      <c r="P14" s="1" t="str">
        <f t="shared" si="2"/>
        <v>Sara -Ali</v>
      </c>
      <c r="Q14" s="1" t="str">
        <f t="shared" si="3"/>
        <v xml:space="preserve">Sara </v>
      </c>
      <c r="R14" s="1" t="str">
        <f t="shared" si="4"/>
        <v>Ali</v>
      </c>
      <c r="S14">
        <f t="shared" si="5"/>
        <v>8</v>
      </c>
      <c r="T14" s="1"/>
      <c r="U14" s="1" t="str">
        <f t="shared" si="6"/>
        <v>Sara Ali</v>
      </c>
      <c r="V14" s="1" t="str">
        <f t="shared" si="7"/>
        <v>Sara Ali</v>
      </c>
      <c r="W14" s="1" t="str">
        <f t="shared" si="8"/>
        <v>27648</v>
      </c>
      <c r="X14" s="1" t="str">
        <f t="shared" si="9"/>
        <v>Sara Ali</v>
      </c>
      <c r="Y14" s="1" t="str">
        <f>UPPER(Table1[[#This Row],[PROPER]])</f>
        <v>SARA ALI</v>
      </c>
      <c r="Z14" s="1" t="str">
        <f t="shared" si="10"/>
        <v>Sara Ali</v>
      </c>
      <c r="AA14" s="1" t="str">
        <f t="shared" si="11"/>
        <v>Sara Ali</v>
      </c>
    </row>
    <row r="15" spans="1:27" x14ac:dyDescent="0.3">
      <c r="A15" s="6">
        <v>14</v>
      </c>
      <c r="B15" s="6">
        <v>1011</v>
      </c>
      <c r="C15" t="s">
        <v>22</v>
      </c>
      <c r="D15" t="s">
        <v>19</v>
      </c>
      <c r="E15" t="s">
        <v>31</v>
      </c>
      <c r="F15" t="s">
        <v>16</v>
      </c>
      <c r="G15" s="6">
        <v>17</v>
      </c>
      <c r="H15" s="1">
        <v>4885</v>
      </c>
      <c r="I15" s="5">
        <v>83045</v>
      </c>
      <c r="J15" s="4" t="s">
        <v>43</v>
      </c>
      <c r="K15" s="5">
        <v>4885</v>
      </c>
      <c r="L15" s="2">
        <v>0.1</v>
      </c>
      <c r="M15" s="1">
        <v>74740.5</v>
      </c>
      <c r="N15" t="str">
        <f t="shared" si="0"/>
        <v>Emily</v>
      </c>
      <c r="O15" s="1" t="str">
        <f t="shared" si="1"/>
        <v>ark</v>
      </c>
      <c r="P15" s="1" t="str">
        <f t="shared" si="2"/>
        <v>Emily-ark</v>
      </c>
      <c r="Q15" s="1" t="str">
        <f t="shared" si="3"/>
        <v>Emily</v>
      </c>
      <c r="R15" s="1" t="str">
        <f t="shared" si="4"/>
        <v>ark</v>
      </c>
      <c r="S15">
        <f t="shared" si="5"/>
        <v>11</v>
      </c>
      <c r="T15" s="1"/>
      <c r="U15" s="1" t="str">
        <f t="shared" si="6"/>
        <v>Emily Clark</v>
      </c>
      <c r="V15" s="1" t="str">
        <f t="shared" si="7"/>
        <v>Emily Clark</v>
      </c>
      <c r="W15" s="1" t="str">
        <f t="shared" si="8"/>
        <v>74740.5</v>
      </c>
      <c r="X15" s="1" t="str">
        <f t="shared" si="9"/>
        <v>Emily Clark</v>
      </c>
      <c r="Y15" s="1" t="str">
        <f>UPPER(Table1[[#This Row],[PROPER]])</f>
        <v>EMILY CLARK</v>
      </c>
      <c r="Z15" s="1" t="str">
        <f t="shared" si="10"/>
        <v>Emily Clark</v>
      </c>
      <c r="AA15" s="1" t="str">
        <f t="shared" si="11"/>
        <v>Emily Clark</v>
      </c>
    </row>
    <row r="16" spans="1:27" x14ac:dyDescent="0.3">
      <c r="A16" s="6">
        <v>15</v>
      </c>
      <c r="B16" s="6">
        <v>1012</v>
      </c>
      <c r="C16" t="s">
        <v>13</v>
      </c>
      <c r="D16" t="s">
        <v>34</v>
      </c>
      <c r="E16" t="s">
        <v>31</v>
      </c>
      <c r="F16" t="s">
        <v>16</v>
      </c>
      <c r="G16" s="6">
        <v>10</v>
      </c>
      <c r="H16" s="1">
        <v>918</v>
      </c>
      <c r="I16" s="5">
        <v>9180</v>
      </c>
      <c r="J16" s="4" t="s">
        <v>44</v>
      </c>
      <c r="K16" s="5">
        <v>918</v>
      </c>
      <c r="L16" s="2">
        <v>0.1</v>
      </c>
      <c r="M16" s="1">
        <v>8262</v>
      </c>
      <c r="N16" t="str">
        <f t="shared" si="0"/>
        <v xml:space="preserve">Ravi </v>
      </c>
      <c r="O16" s="1" t="str">
        <f t="shared" si="1"/>
        <v>mar</v>
      </c>
      <c r="P16" s="1" t="str">
        <f t="shared" si="2"/>
        <v>Ravi -mar</v>
      </c>
      <c r="Q16" s="1" t="str">
        <f t="shared" si="3"/>
        <v xml:space="preserve">Ravi </v>
      </c>
      <c r="R16" s="1" t="str">
        <f t="shared" si="4"/>
        <v>mar</v>
      </c>
      <c r="S16">
        <f t="shared" si="5"/>
        <v>10</v>
      </c>
      <c r="T16" s="1"/>
      <c r="U16" s="1" t="str">
        <f t="shared" si="6"/>
        <v>Ravi Kumar</v>
      </c>
      <c r="V16" s="1" t="str">
        <f t="shared" si="7"/>
        <v>Ravi Kumar</v>
      </c>
      <c r="W16" s="1" t="str">
        <f t="shared" si="8"/>
        <v>8262</v>
      </c>
      <c r="X16" s="1" t="str">
        <f t="shared" si="9"/>
        <v>Ravi Kumar</v>
      </c>
      <c r="Y16" s="1" t="str">
        <f>UPPER(Table1[[#This Row],[PROPER]])</f>
        <v>RAVI KUMAR</v>
      </c>
      <c r="Z16" s="1" t="str">
        <f t="shared" si="10"/>
        <v>Ravi Kumar</v>
      </c>
      <c r="AA16" s="1" t="str">
        <f t="shared" si="11"/>
        <v>Ravi Kumar</v>
      </c>
    </row>
    <row r="17" spans="1:27" x14ac:dyDescent="0.3">
      <c r="A17" s="6">
        <v>16</v>
      </c>
      <c r="B17" s="6">
        <v>1021</v>
      </c>
      <c r="C17" t="s">
        <v>13</v>
      </c>
      <c r="D17" t="s">
        <v>25</v>
      </c>
      <c r="E17" t="s">
        <v>31</v>
      </c>
      <c r="F17" t="s">
        <v>27</v>
      </c>
      <c r="G17" s="6">
        <v>19</v>
      </c>
      <c r="H17" s="1">
        <v>1343</v>
      </c>
      <c r="I17" s="5">
        <v>25517</v>
      </c>
      <c r="J17" s="4" t="s">
        <v>45</v>
      </c>
      <c r="K17" s="5">
        <v>1343</v>
      </c>
      <c r="L17" s="2">
        <v>0.1</v>
      </c>
      <c r="M17" s="1">
        <v>22965.3</v>
      </c>
      <c r="N17" t="str">
        <f t="shared" si="0"/>
        <v xml:space="preserve">Ravi </v>
      </c>
      <c r="O17" s="1" t="str">
        <f t="shared" si="1"/>
        <v>mar</v>
      </c>
      <c r="P17" s="1" t="str">
        <f t="shared" si="2"/>
        <v>Ravi -mar</v>
      </c>
      <c r="Q17" s="1" t="str">
        <f t="shared" si="3"/>
        <v xml:space="preserve">Ravi </v>
      </c>
      <c r="R17" s="1" t="str">
        <f t="shared" si="4"/>
        <v>mar</v>
      </c>
      <c r="S17">
        <f t="shared" si="5"/>
        <v>10</v>
      </c>
      <c r="T17" s="1"/>
      <c r="U17" s="1" t="str">
        <f t="shared" si="6"/>
        <v>Ravi Kumar</v>
      </c>
      <c r="V17" s="1" t="str">
        <f t="shared" si="7"/>
        <v>Ravi Kumar</v>
      </c>
      <c r="W17" s="1" t="str">
        <f t="shared" si="8"/>
        <v>22965.3</v>
      </c>
      <c r="X17" s="1" t="str">
        <f t="shared" si="9"/>
        <v>Ravi Kumar</v>
      </c>
      <c r="Y17" s="1" t="str">
        <f>UPPER(Table1[[#This Row],[PROPER]])</f>
        <v>RAVI KUMAR</v>
      </c>
      <c r="Z17" s="1" t="str">
        <f t="shared" si="10"/>
        <v>Ravi Kumar</v>
      </c>
      <c r="AA17" s="1" t="str">
        <f t="shared" si="11"/>
        <v>Ravi Kumar</v>
      </c>
    </row>
    <row r="18" spans="1:27" x14ac:dyDescent="0.3">
      <c r="A18" s="6">
        <v>17</v>
      </c>
      <c r="B18" s="6">
        <v>1040</v>
      </c>
      <c r="C18" t="s">
        <v>40</v>
      </c>
      <c r="D18" t="s">
        <v>23</v>
      </c>
      <c r="E18" t="s">
        <v>31</v>
      </c>
      <c r="F18" t="s">
        <v>16</v>
      </c>
      <c r="G18" s="6">
        <v>20</v>
      </c>
      <c r="H18" s="1">
        <v>2153</v>
      </c>
      <c r="I18" s="5">
        <v>43060</v>
      </c>
      <c r="J18" s="4" t="s">
        <v>39</v>
      </c>
      <c r="K18" s="5">
        <v>2153</v>
      </c>
      <c r="L18" s="2">
        <v>0.1</v>
      </c>
      <c r="M18" s="1">
        <v>38754</v>
      </c>
      <c r="N18" t="str">
        <f t="shared" si="0"/>
        <v xml:space="preserve">Sara </v>
      </c>
      <c r="O18" s="1" t="str">
        <f t="shared" si="1"/>
        <v>Ali</v>
      </c>
      <c r="P18" s="1" t="str">
        <f t="shared" si="2"/>
        <v>Sara -Ali</v>
      </c>
      <c r="Q18" s="1" t="str">
        <f t="shared" si="3"/>
        <v xml:space="preserve">Sara </v>
      </c>
      <c r="R18" s="1" t="str">
        <f t="shared" si="4"/>
        <v>Ali</v>
      </c>
      <c r="S18">
        <f t="shared" si="5"/>
        <v>8</v>
      </c>
      <c r="T18" s="1"/>
      <c r="U18" s="1" t="str">
        <f t="shared" si="6"/>
        <v>Sara Ali</v>
      </c>
      <c r="V18" s="1" t="str">
        <f t="shared" si="7"/>
        <v>Sara Ali</v>
      </c>
      <c r="W18" s="1" t="str">
        <f t="shared" si="8"/>
        <v>38754</v>
      </c>
      <c r="X18" s="1" t="str">
        <f t="shared" si="9"/>
        <v>Sara Ali</v>
      </c>
      <c r="Y18" s="1" t="str">
        <f>UPPER(Table1[[#This Row],[PROPER]])</f>
        <v>SARA ALI</v>
      </c>
      <c r="Z18" s="1" t="str">
        <f t="shared" si="10"/>
        <v>Sara Ali</v>
      </c>
      <c r="AA18" s="1" t="str">
        <f t="shared" si="11"/>
        <v>Sara Ali</v>
      </c>
    </row>
    <row r="19" spans="1:27" x14ac:dyDescent="0.3">
      <c r="A19" s="6">
        <v>18</v>
      </c>
      <c r="B19" s="6">
        <v>1017</v>
      </c>
      <c r="C19" t="s">
        <v>22</v>
      </c>
      <c r="D19" t="s">
        <v>25</v>
      </c>
      <c r="E19" t="s">
        <v>15</v>
      </c>
      <c r="F19" t="s">
        <v>16</v>
      </c>
      <c r="G19" s="6">
        <v>14</v>
      </c>
      <c r="H19" s="1">
        <v>4814</v>
      </c>
      <c r="I19" s="5">
        <v>67396</v>
      </c>
      <c r="J19" s="4" t="s">
        <v>46</v>
      </c>
      <c r="K19" s="5">
        <v>4814</v>
      </c>
      <c r="L19" s="2">
        <v>0.1</v>
      </c>
      <c r="M19" s="1">
        <v>60656.4</v>
      </c>
      <c r="N19" t="str">
        <f t="shared" si="0"/>
        <v>Emily</v>
      </c>
      <c r="O19" s="1" t="str">
        <f t="shared" si="1"/>
        <v>ark</v>
      </c>
      <c r="P19" s="1" t="str">
        <f t="shared" si="2"/>
        <v>Emily-ark</v>
      </c>
      <c r="Q19" s="1" t="str">
        <f t="shared" si="3"/>
        <v>Emily</v>
      </c>
      <c r="R19" s="1" t="str">
        <f t="shared" si="4"/>
        <v>ark</v>
      </c>
      <c r="S19">
        <f t="shared" si="5"/>
        <v>11</v>
      </c>
      <c r="T19" s="1"/>
      <c r="U19" s="1" t="str">
        <f t="shared" si="6"/>
        <v>Emily Clark</v>
      </c>
      <c r="V19" s="1" t="str">
        <f t="shared" si="7"/>
        <v>Emily Clark</v>
      </c>
      <c r="W19" s="1" t="str">
        <f t="shared" si="8"/>
        <v>60656.4</v>
      </c>
      <c r="X19" s="1" t="str">
        <f t="shared" si="9"/>
        <v>Emily Clark</v>
      </c>
      <c r="Y19" s="1" t="str">
        <f>UPPER(Table1[[#This Row],[PROPER]])</f>
        <v>EMILY CLARK</v>
      </c>
      <c r="Z19" s="1" t="str">
        <f t="shared" si="10"/>
        <v>Emily Clark</v>
      </c>
      <c r="AA19" s="1" t="str">
        <f t="shared" si="11"/>
        <v>Emily Clark</v>
      </c>
    </row>
    <row r="20" spans="1:27" x14ac:dyDescent="0.3">
      <c r="A20" s="6">
        <v>19</v>
      </c>
      <c r="B20" s="6">
        <v>1090</v>
      </c>
      <c r="C20" t="s">
        <v>18</v>
      </c>
      <c r="D20" t="s">
        <v>23</v>
      </c>
      <c r="E20" t="s">
        <v>41</v>
      </c>
      <c r="F20" t="s">
        <v>16</v>
      </c>
      <c r="G20" s="6">
        <v>18</v>
      </c>
      <c r="H20" s="1">
        <v>3537</v>
      </c>
      <c r="I20" s="5">
        <v>63666</v>
      </c>
      <c r="J20" s="4" t="s">
        <v>47</v>
      </c>
      <c r="K20" s="5">
        <v>3537</v>
      </c>
      <c r="L20" s="2">
        <v>0.1</v>
      </c>
      <c r="M20" s="1">
        <v>57299.4</v>
      </c>
      <c r="N20" t="str">
        <f t="shared" si="0"/>
        <v xml:space="preserve">Amit </v>
      </c>
      <c r="O20" s="1" t="str">
        <f t="shared" si="1"/>
        <v>hah</v>
      </c>
      <c r="P20" s="1" t="str">
        <f t="shared" si="2"/>
        <v>Amit -hah</v>
      </c>
      <c r="Q20" s="1" t="str">
        <f t="shared" si="3"/>
        <v xml:space="preserve">Amit </v>
      </c>
      <c r="R20" s="1" t="str">
        <f t="shared" si="4"/>
        <v>hah</v>
      </c>
      <c r="S20">
        <f t="shared" si="5"/>
        <v>9</v>
      </c>
      <c r="T20" s="1"/>
      <c r="U20" s="1" t="str">
        <f t="shared" si="6"/>
        <v>Amit Shah</v>
      </c>
      <c r="V20" s="1" t="str">
        <f t="shared" si="7"/>
        <v>Amit Shah</v>
      </c>
      <c r="W20" s="1" t="str">
        <f t="shared" si="8"/>
        <v>57299.4</v>
      </c>
      <c r="X20" s="1" t="str">
        <f t="shared" si="9"/>
        <v>Amit Shah</v>
      </c>
      <c r="Y20" s="1" t="str">
        <f>UPPER(Table1[[#This Row],[PROPER]])</f>
        <v>AMIT SHAH</v>
      </c>
      <c r="Z20" s="1" t="str">
        <f t="shared" si="10"/>
        <v>Amit Shah</v>
      </c>
      <c r="AA20" s="1" t="str">
        <f t="shared" si="11"/>
        <v>Amit Shah</v>
      </c>
    </row>
    <row r="21" spans="1:27" x14ac:dyDescent="0.3">
      <c r="A21" s="6">
        <v>20</v>
      </c>
      <c r="B21" s="6">
        <v>1044</v>
      </c>
      <c r="C21" t="s">
        <v>29</v>
      </c>
      <c r="D21" t="s">
        <v>34</v>
      </c>
      <c r="E21" t="s">
        <v>31</v>
      </c>
      <c r="F21" t="s">
        <v>27</v>
      </c>
      <c r="G21" s="6">
        <v>11</v>
      </c>
      <c r="H21" s="1">
        <v>2872</v>
      </c>
      <c r="I21" s="5">
        <v>31592</v>
      </c>
      <c r="J21" s="4" t="s">
        <v>48</v>
      </c>
      <c r="K21" s="5">
        <v>2872</v>
      </c>
      <c r="L21" s="2">
        <v>0.1</v>
      </c>
      <c r="M21" s="1">
        <v>28432.799999999999</v>
      </c>
      <c r="N21" t="str">
        <f t="shared" si="0"/>
        <v xml:space="preserve">John </v>
      </c>
      <c r="O21" s="1" t="str">
        <f t="shared" si="1"/>
        <v>Doe</v>
      </c>
      <c r="P21" s="1" t="str">
        <f t="shared" si="2"/>
        <v>John -Doe</v>
      </c>
      <c r="Q21" s="1" t="str">
        <f t="shared" si="3"/>
        <v xml:space="preserve">John </v>
      </c>
      <c r="R21" s="1" t="str">
        <f t="shared" si="4"/>
        <v>Doe</v>
      </c>
      <c r="S21">
        <f t="shared" si="5"/>
        <v>8</v>
      </c>
      <c r="T21" s="1"/>
      <c r="U21" s="1" t="str">
        <f t="shared" si="6"/>
        <v>John Doe</v>
      </c>
      <c r="V21" s="1" t="str">
        <f t="shared" si="7"/>
        <v>John Doe</v>
      </c>
      <c r="W21" s="1" t="str">
        <f t="shared" si="8"/>
        <v>28432.8</v>
      </c>
      <c r="X21" s="1" t="str">
        <f t="shared" si="9"/>
        <v>John Doe</v>
      </c>
      <c r="Y21" s="1" t="str">
        <f>UPPER(Table1[[#This Row],[PROPER]])</f>
        <v>JOHN DOE</v>
      </c>
      <c r="Z21" s="1" t="str">
        <f t="shared" si="10"/>
        <v>John Doe</v>
      </c>
      <c r="AA21" s="1" t="str">
        <f t="shared" si="11"/>
        <v>John Doe</v>
      </c>
    </row>
    <row r="22" spans="1:27" x14ac:dyDescent="0.3">
      <c r="A22" s="6">
        <v>21</v>
      </c>
      <c r="B22" s="6">
        <v>1050</v>
      </c>
      <c r="C22" t="s">
        <v>13</v>
      </c>
      <c r="D22" t="s">
        <v>19</v>
      </c>
      <c r="E22" t="s">
        <v>15</v>
      </c>
      <c r="F22" t="s">
        <v>27</v>
      </c>
      <c r="G22" s="6">
        <v>14</v>
      </c>
      <c r="H22" s="1">
        <v>994</v>
      </c>
      <c r="I22" s="5">
        <v>13916</v>
      </c>
      <c r="J22" s="4" t="s">
        <v>49</v>
      </c>
      <c r="K22" s="5">
        <v>994</v>
      </c>
      <c r="L22" s="2">
        <v>0.1</v>
      </c>
      <c r="M22" s="1">
        <v>12524.4</v>
      </c>
      <c r="N22" t="str">
        <f t="shared" si="0"/>
        <v xml:space="preserve">Ravi </v>
      </c>
      <c r="O22" s="1" t="str">
        <f t="shared" si="1"/>
        <v>mar</v>
      </c>
      <c r="P22" s="1" t="str">
        <f t="shared" si="2"/>
        <v>Ravi -mar</v>
      </c>
      <c r="Q22" s="1" t="str">
        <f t="shared" si="3"/>
        <v xml:space="preserve">Ravi </v>
      </c>
      <c r="R22" s="1" t="str">
        <f t="shared" si="4"/>
        <v>mar</v>
      </c>
      <c r="S22">
        <f t="shared" si="5"/>
        <v>10</v>
      </c>
      <c r="T22" s="1"/>
      <c r="U22" s="1" t="str">
        <f t="shared" si="6"/>
        <v>Ravi Kumar</v>
      </c>
      <c r="V22" s="1" t="str">
        <f t="shared" si="7"/>
        <v>Ravi Kumar</v>
      </c>
      <c r="W22" s="1" t="str">
        <f t="shared" si="8"/>
        <v>12524.4</v>
      </c>
      <c r="X22" s="1" t="str">
        <f t="shared" si="9"/>
        <v>Ravi Kumar</v>
      </c>
      <c r="Y22" s="1" t="str">
        <f>UPPER(Table1[[#This Row],[PROPER]])</f>
        <v>RAVI KUMAR</v>
      </c>
      <c r="Z22" s="1" t="str">
        <f t="shared" si="10"/>
        <v>Ravi Kumar</v>
      </c>
      <c r="AA22" s="1" t="str">
        <f t="shared" si="11"/>
        <v>Ravi Kumar</v>
      </c>
    </row>
    <row r="23" spans="1:27" x14ac:dyDescent="0.3">
      <c r="A23" s="6">
        <v>22</v>
      </c>
      <c r="B23" s="6">
        <v>1074</v>
      </c>
      <c r="C23" t="s">
        <v>29</v>
      </c>
      <c r="D23" t="s">
        <v>19</v>
      </c>
      <c r="E23" t="s">
        <v>20</v>
      </c>
      <c r="F23" t="s">
        <v>27</v>
      </c>
      <c r="G23" s="6">
        <v>17</v>
      </c>
      <c r="H23" s="1">
        <v>1894</v>
      </c>
      <c r="I23" s="5">
        <v>32198</v>
      </c>
      <c r="J23" s="4" t="s">
        <v>50</v>
      </c>
      <c r="K23" s="5">
        <v>1894</v>
      </c>
      <c r="L23" s="2">
        <v>0.1</v>
      </c>
      <c r="M23" s="1">
        <v>28978.2</v>
      </c>
      <c r="N23" t="str">
        <f t="shared" si="0"/>
        <v xml:space="preserve">John </v>
      </c>
      <c r="O23" s="1" t="str">
        <f t="shared" si="1"/>
        <v>Doe</v>
      </c>
      <c r="P23" s="1" t="str">
        <f t="shared" si="2"/>
        <v>John -Doe</v>
      </c>
      <c r="Q23" s="1" t="str">
        <f t="shared" si="3"/>
        <v xml:space="preserve">John </v>
      </c>
      <c r="R23" s="1" t="str">
        <f t="shared" si="4"/>
        <v>Doe</v>
      </c>
      <c r="S23">
        <f t="shared" si="5"/>
        <v>8</v>
      </c>
      <c r="T23" s="1"/>
      <c r="U23" s="1" t="str">
        <f t="shared" si="6"/>
        <v>John Doe</v>
      </c>
      <c r="V23" s="1" t="str">
        <f t="shared" si="7"/>
        <v>John Doe</v>
      </c>
      <c r="W23" s="1" t="str">
        <f t="shared" si="8"/>
        <v>28978.2</v>
      </c>
      <c r="X23" s="1" t="str">
        <f t="shared" si="9"/>
        <v>John Doe</v>
      </c>
      <c r="Y23" s="1" t="str">
        <f>UPPER(Table1[[#This Row],[PROPER]])</f>
        <v>JOHN DOE</v>
      </c>
      <c r="Z23" s="1" t="str">
        <f t="shared" si="10"/>
        <v>John Doe</v>
      </c>
      <c r="AA23" s="1" t="str">
        <f t="shared" si="11"/>
        <v>John Doe</v>
      </c>
    </row>
    <row r="24" spans="1:27" x14ac:dyDescent="0.3">
      <c r="A24" s="6">
        <v>23</v>
      </c>
      <c r="B24" s="6">
        <v>1009</v>
      </c>
      <c r="C24" t="s">
        <v>22</v>
      </c>
      <c r="D24" t="s">
        <v>25</v>
      </c>
      <c r="E24" t="s">
        <v>20</v>
      </c>
      <c r="F24" t="s">
        <v>27</v>
      </c>
      <c r="G24" s="6">
        <v>20</v>
      </c>
      <c r="H24" s="1">
        <v>3459</v>
      </c>
      <c r="I24" s="5">
        <v>69180</v>
      </c>
      <c r="J24" s="4" t="s">
        <v>51</v>
      </c>
      <c r="K24" s="5">
        <v>3459</v>
      </c>
      <c r="L24" s="2">
        <v>0.1</v>
      </c>
      <c r="M24" s="1">
        <v>62262</v>
      </c>
      <c r="N24" t="str">
        <f t="shared" si="0"/>
        <v>Emily</v>
      </c>
      <c r="O24" s="1" t="str">
        <f t="shared" si="1"/>
        <v>ark</v>
      </c>
      <c r="P24" s="1" t="str">
        <f t="shared" si="2"/>
        <v>Emily-ark</v>
      </c>
      <c r="Q24" s="1" t="str">
        <f t="shared" si="3"/>
        <v>Emily</v>
      </c>
      <c r="R24" s="1" t="str">
        <f t="shared" si="4"/>
        <v>ark</v>
      </c>
      <c r="S24">
        <f t="shared" si="5"/>
        <v>11</v>
      </c>
      <c r="T24" s="1"/>
      <c r="U24" s="1" t="str">
        <f t="shared" si="6"/>
        <v>Emily Clark</v>
      </c>
      <c r="V24" s="1" t="str">
        <f t="shared" si="7"/>
        <v>Emily Clark</v>
      </c>
      <c r="W24" s="1" t="str">
        <f t="shared" si="8"/>
        <v>62262</v>
      </c>
      <c r="X24" s="1" t="str">
        <f t="shared" si="9"/>
        <v>Emily Clark</v>
      </c>
      <c r="Y24" s="1" t="str">
        <f>UPPER(Table1[[#This Row],[PROPER]])</f>
        <v>EMILY CLARK</v>
      </c>
      <c r="Z24" s="1" t="str">
        <f t="shared" si="10"/>
        <v>Emily Clark</v>
      </c>
      <c r="AA24" s="1" t="str">
        <f t="shared" si="11"/>
        <v>Emily Clark</v>
      </c>
    </row>
    <row r="25" spans="1:27" x14ac:dyDescent="0.3">
      <c r="A25" s="6">
        <v>24</v>
      </c>
      <c r="B25" s="6">
        <v>1034</v>
      </c>
      <c r="C25" t="s">
        <v>22</v>
      </c>
      <c r="D25" t="s">
        <v>14</v>
      </c>
      <c r="E25" t="s">
        <v>26</v>
      </c>
      <c r="F25" t="s">
        <v>16</v>
      </c>
      <c r="G25" s="6">
        <v>20</v>
      </c>
      <c r="H25" s="1">
        <v>1661</v>
      </c>
      <c r="I25" s="5">
        <v>33220</v>
      </c>
      <c r="J25" s="4" t="s">
        <v>52</v>
      </c>
      <c r="K25" s="5">
        <v>1661</v>
      </c>
      <c r="L25" s="2">
        <v>0.1</v>
      </c>
      <c r="M25" s="1">
        <v>29898</v>
      </c>
      <c r="N25" t="str">
        <f t="shared" si="0"/>
        <v>Emily</v>
      </c>
      <c r="O25" s="1" t="str">
        <f t="shared" si="1"/>
        <v>ark</v>
      </c>
      <c r="P25" s="1" t="str">
        <f t="shared" si="2"/>
        <v>Emily-ark</v>
      </c>
      <c r="Q25" s="1" t="str">
        <f t="shared" si="3"/>
        <v>Emily</v>
      </c>
      <c r="R25" s="1" t="str">
        <f t="shared" si="4"/>
        <v>ark</v>
      </c>
      <c r="S25">
        <f t="shared" si="5"/>
        <v>11</v>
      </c>
      <c r="T25" s="1"/>
      <c r="U25" s="1" t="str">
        <f t="shared" si="6"/>
        <v>Emily Clark</v>
      </c>
      <c r="V25" s="1" t="str">
        <f t="shared" si="7"/>
        <v>Emily Clark</v>
      </c>
      <c r="W25" s="1" t="str">
        <f t="shared" si="8"/>
        <v>29898</v>
      </c>
      <c r="X25" s="1" t="str">
        <f t="shared" si="9"/>
        <v>Emily Clark</v>
      </c>
      <c r="Y25" s="1" t="str">
        <f>UPPER(Table1[[#This Row],[PROPER]])</f>
        <v>EMILY CLARK</v>
      </c>
      <c r="Z25" s="1" t="str">
        <f t="shared" si="10"/>
        <v>Emily Clark</v>
      </c>
      <c r="AA25" s="1" t="str">
        <f t="shared" si="11"/>
        <v>Emily Clark</v>
      </c>
    </row>
    <row r="26" spans="1:27" x14ac:dyDescent="0.3">
      <c r="A26" s="6">
        <v>25</v>
      </c>
      <c r="B26" s="6">
        <v>1077</v>
      </c>
      <c r="C26" t="s">
        <v>22</v>
      </c>
      <c r="D26" t="s">
        <v>23</v>
      </c>
      <c r="E26" t="s">
        <v>15</v>
      </c>
      <c r="F26" t="s">
        <v>27</v>
      </c>
      <c r="G26" s="6">
        <v>6</v>
      </c>
      <c r="H26" s="1">
        <v>2155</v>
      </c>
      <c r="I26" s="5">
        <v>12930</v>
      </c>
      <c r="J26" s="4" t="s">
        <v>53</v>
      </c>
      <c r="K26" s="5">
        <v>2155</v>
      </c>
      <c r="L26" s="2">
        <v>0.1</v>
      </c>
      <c r="M26" s="1">
        <v>11637</v>
      </c>
      <c r="N26" t="str">
        <f t="shared" si="0"/>
        <v>Emily</v>
      </c>
      <c r="O26" s="1" t="str">
        <f t="shared" si="1"/>
        <v>ark</v>
      </c>
      <c r="P26" s="1" t="str">
        <f t="shared" si="2"/>
        <v>Emily-ark</v>
      </c>
      <c r="Q26" s="1" t="str">
        <f t="shared" si="3"/>
        <v>Emily</v>
      </c>
      <c r="R26" s="1" t="str">
        <f t="shared" si="4"/>
        <v>ark</v>
      </c>
      <c r="S26">
        <f t="shared" si="5"/>
        <v>11</v>
      </c>
      <c r="T26" s="1"/>
      <c r="U26" s="1" t="str">
        <f t="shared" si="6"/>
        <v>Emily Clark</v>
      </c>
      <c r="V26" s="1" t="str">
        <f t="shared" si="7"/>
        <v>Emily Clark</v>
      </c>
      <c r="W26" s="1" t="str">
        <f t="shared" si="8"/>
        <v>11637</v>
      </c>
      <c r="X26" s="1" t="str">
        <f t="shared" si="9"/>
        <v>Emily Clark</v>
      </c>
      <c r="Y26" s="1" t="str">
        <f>UPPER(Table1[[#This Row],[PROPER]])</f>
        <v>EMILY CLARK</v>
      </c>
      <c r="Z26" s="1" t="str">
        <f t="shared" si="10"/>
        <v>Emily Clark</v>
      </c>
      <c r="AA26" s="1" t="str">
        <f t="shared" si="11"/>
        <v>Emily Clark</v>
      </c>
    </row>
    <row r="27" spans="1:27" x14ac:dyDescent="0.3">
      <c r="A27" s="6">
        <v>26</v>
      </c>
      <c r="B27" s="6">
        <v>1022</v>
      </c>
      <c r="C27" t="s">
        <v>22</v>
      </c>
      <c r="D27" t="s">
        <v>14</v>
      </c>
      <c r="E27" t="s">
        <v>41</v>
      </c>
      <c r="F27" t="s">
        <v>16</v>
      </c>
      <c r="G27" s="6">
        <v>8</v>
      </c>
      <c r="H27" s="1">
        <v>3781</v>
      </c>
      <c r="I27" s="5">
        <v>30248</v>
      </c>
      <c r="J27" s="4" t="s">
        <v>54</v>
      </c>
      <c r="K27" s="5">
        <v>3781</v>
      </c>
      <c r="L27" s="2">
        <v>0.1</v>
      </c>
      <c r="M27" s="1">
        <v>27223.200000000001</v>
      </c>
      <c r="N27" t="str">
        <f t="shared" si="0"/>
        <v>Emily</v>
      </c>
      <c r="O27" s="1" t="str">
        <f t="shared" si="1"/>
        <v>ark</v>
      </c>
      <c r="P27" s="1" t="str">
        <f t="shared" si="2"/>
        <v>Emily-ark</v>
      </c>
      <c r="Q27" s="1" t="str">
        <f t="shared" si="3"/>
        <v>Emily</v>
      </c>
      <c r="R27" s="1" t="str">
        <f t="shared" si="4"/>
        <v>ark</v>
      </c>
      <c r="S27">
        <f t="shared" si="5"/>
        <v>11</v>
      </c>
      <c r="T27" s="1"/>
      <c r="U27" s="1" t="str">
        <f t="shared" si="6"/>
        <v>Emily Clark</v>
      </c>
      <c r="V27" s="1" t="str">
        <f t="shared" si="7"/>
        <v>Emily Clark</v>
      </c>
      <c r="W27" s="1" t="str">
        <f t="shared" si="8"/>
        <v>27223.2</v>
      </c>
      <c r="X27" s="1" t="str">
        <f t="shared" si="9"/>
        <v>Emily Clark</v>
      </c>
      <c r="Y27" s="1" t="str">
        <f>UPPER(Table1[[#This Row],[PROPER]])</f>
        <v>EMILY CLARK</v>
      </c>
      <c r="Z27" s="1" t="str">
        <f t="shared" si="10"/>
        <v>Emily Clark</v>
      </c>
      <c r="AA27" s="1" t="str">
        <f t="shared" si="11"/>
        <v>Emily Clark</v>
      </c>
    </row>
    <row r="28" spans="1:27" x14ac:dyDescent="0.3">
      <c r="A28" s="6">
        <v>27</v>
      </c>
      <c r="B28" s="6">
        <v>1063</v>
      </c>
      <c r="C28" t="s">
        <v>13</v>
      </c>
      <c r="D28" t="s">
        <v>34</v>
      </c>
      <c r="E28" t="s">
        <v>15</v>
      </c>
      <c r="F28" t="s">
        <v>27</v>
      </c>
      <c r="G28" s="6">
        <v>18</v>
      </c>
      <c r="H28" s="1">
        <v>2114</v>
      </c>
      <c r="I28" s="5">
        <v>38052</v>
      </c>
      <c r="J28" s="4" t="s">
        <v>17</v>
      </c>
      <c r="K28" s="5">
        <v>2114</v>
      </c>
      <c r="L28" s="2">
        <v>0.1</v>
      </c>
      <c r="M28" s="1">
        <v>34246.800000000003</v>
      </c>
      <c r="N28" t="str">
        <f t="shared" si="0"/>
        <v xml:space="preserve">Ravi </v>
      </c>
      <c r="O28" s="1" t="str">
        <f t="shared" si="1"/>
        <v>mar</v>
      </c>
      <c r="P28" s="1" t="str">
        <f t="shared" si="2"/>
        <v>Ravi -mar</v>
      </c>
      <c r="Q28" s="1" t="str">
        <f t="shared" si="3"/>
        <v xml:space="preserve">Ravi </v>
      </c>
      <c r="R28" s="1" t="str">
        <f t="shared" si="4"/>
        <v>mar</v>
      </c>
      <c r="S28">
        <f t="shared" si="5"/>
        <v>10</v>
      </c>
      <c r="T28" s="1"/>
      <c r="U28" s="1" t="str">
        <f t="shared" si="6"/>
        <v>Ravi Kumar</v>
      </c>
      <c r="V28" s="1" t="str">
        <f t="shared" si="7"/>
        <v>Ravi Kumar</v>
      </c>
      <c r="W28" s="1" t="str">
        <f t="shared" si="8"/>
        <v>34246.8</v>
      </c>
      <c r="X28" s="1" t="str">
        <f t="shared" si="9"/>
        <v>Ravi Kumar</v>
      </c>
      <c r="Y28" s="1" t="str">
        <f>UPPER(Table1[[#This Row],[PROPER]])</f>
        <v>RAVI KUMAR</v>
      </c>
      <c r="Z28" s="1" t="str">
        <f t="shared" si="10"/>
        <v>Ravi Kumar</v>
      </c>
      <c r="AA28" s="1" t="str">
        <f t="shared" si="11"/>
        <v>Ravi Kumar</v>
      </c>
    </row>
    <row r="29" spans="1:27" x14ac:dyDescent="0.3">
      <c r="A29" s="6">
        <v>28</v>
      </c>
      <c r="B29" s="6">
        <v>1016</v>
      </c>
      <c r="C29" t="s">
        <v>29</v>
      </c>
      <c r="D29" t="s">
        <v>25</v>
      </c>
      <c r="E29" t="s">
        <v>15</v>
      </c>
      <c r="F29" t="s">
        <v>16</v>
      </c>
      <c r="G29" s="6">
        <v>12</v>
      </c>
      <c r="H29" s="1">
        <v>4799</v>
      </c>
      <c r="I29" s="5">
        <v>57588</v>
      </c>
      <c r="J29" s="4" t="s">
        <v>55</v>
      </c>
      <c r="K29" s="5">
        <v>4799</v>
      </c>
      <c r="L29" s="2">
        <v>0.1</v>
      </c>
      <c r="M29" s="1">
        <v>51829.2</v>
      </c>
      <c r="N29" t="str">
        <f t="shared" si="0"/>
        <v xml:space="preserve">John </v>
      </c>
      <c r="O29" s="1" t="str">
        <f t="shared" si="1"/>
        <v>Doe</v>
      </c>
      <c r="P29" s="1" t="str">
        <f t="shared" si="2"/>
        <v>John -Doe</v>
      </c>
      <c r="Q29" s="1" t="str">
        <f t="shared" si="3"/>
        <v xml:space="preserve">John </v>
      </c>
      <c r="R29" s="1" t="str">
        <f t="shared" si="4"/>
        <v>Doe</v>
      </c>
      <c r="S29">
        <f t="shared" si="5"/>
        <v>8</v>
      </c>
      <c r="T29" s="1"/>
      <c r="U29" s="1" t="str">
        <f t="shared" si="6"/>
        <v>John Doe</v>
      </c>
      <c r="V29" s="1" t="str">
        <f t="shared" si="7"/>
        <v>John Doe</v>
      </c>
      <c r="W29" s="1" t="str">
        <f t="shared" si="8"/>
        <v>51829.2</v>
      </c>
      <c r="X29" s="1" t="str">
        <f t="shared" si="9"/>
        <v>John Doe</v>
      </c>
      <c r="Y29" s="1" t="str">
        <f>UPPER(Table1[[#This Row],[PROPER]])</f>
        <v>JOHN DOE</v>
      </c>
      <c r="Z29" s="1" t="str">
        <f t="shared" si="10"/>
        <v>John Doe</v>
      </c>
      <c r="AA29" s="1" t="str">
        <f t="shared" si="11"/>
        <v>John Doe</v>
      </c>
    </row>
    <row r="30" spans="1:27" x14ac:dyDescent="0.3">
      <c r="A30" s="6">
        <v>29</v>
      </c>
      <c r="B30" s="6">
        <v>1098</v>
      </c>
      <c r="C30" t="s">
        <v>29</v>
      </c>
      <c r="D30" t="s">
        <v>25</v>
      </c>
      <c r="E30" t="s">
        <v>31</v>
      </c>
      <c r="F30" t="s">
        <v>27</v>
      </c>
      <c r="G30" s="6">
        <v>7</v>
      </c>
      <c r="H30" s="1">
        <v>1915</v>
      </c>
      <c r="I30" s="5">
        <v>13405</v>
      </c>
      <c r="J30" s="4" t="s">
        <v>56</v>
      </c>
      <c r="K30" s="5">
        <v>1915</v>
      </c>
      <c r="L30" s="2">
        <v>0.1</v>
      </c>
      <c r="M30" s="1">
        <v>12064.5</v>
      </c>
      <c r="N30" t="str">
        <f t="shared" si="0"/>
        <v xml:space="preserve">John </v>
      </c>
      <c r="O30" s="1" t="str">
        <f t="shared" si="1"/>
        <v>Doe</v>
      </c>
      <c r="P30" s="1" t="str">
        <f t="shared" si="2"/>
        <v>John -Doe</v>
      </c>
      <c r="Q30" s="1" t="str">
        <f t="shared" si="3"/>
        <v xml:space="preserve">John </v>
      </c>
      <c r="R30" s="1" t="str">
        <f t="shared" si="4"/>
        <v>Doe</v>
      </c>
      <c r="S30">
        <f t="shared" si="5"/>
        <v>8</v>
      </c>
      <c r="T30" s="1"/>
      <c r="U30" s="1" t="str">
        <f t="shared" si="6"/>
        <v>John Doe</v>
      </c>
      <c r="V30" s="1" t="str">
        <f t="shared" si="7"/>
        <v>John Doe</v>
      </c>
      <c r="W30" s="1" t="str">
        <f t="shared" si="8"/>
        <v>12064.5</v>
      </c>
      <c r="X30" s="1" t="str">
        <f t="shared" si="9"/>
        <v>John Doe</v>
      </c>
      <c r="Y30" s="1" t="str">
        <f>UPPER(Table1[[#This Row],[PROPER]])</f>
        <v>JOHN DOE</v>
      </c>
      <c r="Z30" s="1" t="str">
        <f t="shared" si="10"/>
        <v>John Doe</v>
      </c>
      <c r="AA30" s="1" t="str">
        <f t="shared" si="11"/>
        <v>John Doe</v>
      </c>
    </row>
    <row r="31" spans="1:27" x14ac:dyDescent="0.3">
      <c r="A31" s="6">
        <v>30</v>
      </c>
      <c r="B31" s="6">
        <v>1008</v>
      </c>
      <c r="C31" t="s">
        <v>13</v>
      </c>
      <c r="D31" t="s">
        <v>14</v>
      </c>
      <c r="E31" t="s">
        <v>41</v>
      </c>
      <c r="F31" t="s">
        <v>27</v>
      </c>
      <c r="G31" s="6">
        <v>6</v>
      </c>
      <c r="H31" s="1">
        <v>2578</v>
      </c>
      <c r="I31" s="5">
        <v>15468</v>
      </c>
      <c r="J31" s="4" t="s">
        <v>57</v>
      </c>
      <c r="K31" s="5">
        <v>2578</v>
      </c>
      <c r="L31" s="2">
        <v>0.1</v>
      </c>
      <c r="M31" s="1">
        <v>13921.2</v>
      </c>
      <c r="N31" t="str">
        <f t="shared" si="0"/>
        <v xml:space="preserve">Ravi </v>
      </c>
      <c r="O31" s="1" t="str">
        <f t="shared" si="1"/>
        <v>mar</v>
      </c>
      <c r="P31" s="1" t="str">
        <f t="shared" si="2"/>
        <v>Ravi -mar</v>
      </c>
      <c r="Q31" s="1" t="str">
        <f t="shared" si="3"/>
        <v xml:space="preserve">Ravi </v>
      </c>
      <c r="R31" s="1" t="str">
        <f t="shared" si="4"/>
        <v>mar</v>
      </c>
      <c r="S31">
        <f t="shared" si="5"/>
        <v>10</v>
      </c>
      <c r="T31" s="1"/>
      <c r="U31" s="1" t="str">
        <f t="shared" si="6"/>
        <v>Ravi Kumar</v>
      </c>
      <c r="V31" s="1" t="str">
        <f t="shared" si="7"/>
        <v>Ravi Kumar</v>
      </c>
      <c r="W31" s="1" t="str">
        <f t="shared" si="8"/>
        <v>13921.2</v>
      </c>
      <c r="X31" s="1" t="str">
        <f t="shared" si="9"/>
        <v>Ravi Kumar</v>
      </c>
      <c r="Y31" s="1" t="str">
        <f>UPPER(Table1[[#This Row],[PROPER]])</f>
        <v>RAVI KUMAR</v>
      </c>
      <c r="Z31" s="1" t="str">
        <f t="shared" si="10"/>
        <v>Ravi Kumar</v>
      </c>
      <c r="AA31" s="1" t="str">
        <f t="shared" si="11"/>
        <v>Ravi Kumar</v>
      </c>
    </row>
    <row r="32" spans="1:27" x14ac:dyDescent="0.3">
      <c r="A32" s="6">
        <v>31</v>
      </c>
      <c r="B32" s="6">
        <v>1024</v>
      </c>
      <c r="C32" t="s">
        <v>18</v>
      </c>
      <c r="D32" t="s">
        <v>34</v>
      </c>
      <c r="E32" t="s">
        <v>41</v>
      </c>
      <c r="F32" t="s">
        <v>16</v>
      </c>
      <c r="G32" s="6">
        <v>4</v>
      </c>
      <c r="H32" s="1">
        <v>4843</v>
      </c>
      <c r="I32" s="5">
        <v>19372</v>
      </c>
      <c r="J32" s="4" t="s">
        <v>58</v>
      </c>
      <c r="K32" s="5">
        <v>4843</v>
      </c>
      <c r="L32" s="2">
        <v>0.1</v>
      </c>
      <c r="M32" s="1">
        <v>17434.8</v>
      </c>
      <c r="N32" t="str">
        <f t="shared" si="0"/>
        <v xml:space="preserve">Amit </v>
      </c>
      <c r="O32" s="1" t="str">
        <f t="shared" si="1"/>
        <v>hah</v>
      </c>
      <c r="P32" s="1" t="str">
        <f t="shared" si="2"/>
        <v>Amit -hah</v>
      </c>
      <c r="Q32" s="1" t="str">
        <f t="shared" si="3"/>
        <v xml:space="preserve">Amit </v>
      </c>
      <c r="R32" s="1" t="str">
        <f t="shared" si="4"/>
        <v>hah</v>
      </c>
      <c r="S32">
        <f t="shared" si="5"/>
        <v>9</v>
      </c>
      <c r="T32" s="1"/>
      <c r="U32" s="1" t="str">
        <f t="shared" si="6"/>
        <v>Amit Shah</v>
      </c>
      <c r="V32" s="1" t="str">
        <f t="shared" si="7"/>
        <v>Amit Shah</v>
      </c>
      <c r="W32" s="1" t="str">
        <f t="shared" si="8"/>
        <v>17434.8</v>
      </c>
      <c r="X32" s="1" t="str">
        <f t="shared" si="9"/>
        <v>Amit Shah</v>
      </c>
      <c r="Y32" s="1" t="str">
        <f>UPPER(Table1[[#This Row],[PROPER]])</f>
        <v>AMIT SHAH</v>
      </c>
      <c r="Z32" s="1" t="str">
        <f t="shared" si="10"/>
        <v>Amit Shah</v>
      </c>
      <c r="AA32" s="1" t="str">
        <f t="shared" si="11"/>
        <v>Amit Shah</v>
      </c>
    </row>
    <row r="33" spans="1:27" x14ac:dyDescent="0.3">
      <c r="A33" s="6">
        <v>32</v>
      </c>
      <c r="B33" s="6">
        <v>1028</v>
      </c>
      <c r="C33" t="s">
        <v>13</v>
      </c>
      <c r="D33" t="s">
        <v>14</v>
      </c>
      <c r="E33" t="s">
        <v>20</v>
      </c>
      <c r="F33" t="s">
        <v>27</v>
      </c>
      <c r="G33" s="6">
        <v>11</v>
      </c>
      <c r="H33" s="1">
        <v>2072</v>
      </c>
      <c r="I33" s="5">
        <v>22792</v>
      </c>
      <c r="J33" s="4" t="s">
        <v>59</v>
      </c>
      <c r="K33" s="5">
        <v>2072</v>
      </c>
      <c r="L33" s="2">
        <v>0.1</v>
      </c>
      <c r="M33" s="1">
        <v>20512.8</v>
      </c>
      <c r="N33" t="str">
        <f t="shared" si="0"/>
        <v xml:space="preserve">Ravi </v>
      </c>
      <c r="O33" s="1" t="str">
        <f t="shared" si="1"/>
        <v>mar</v>
      </c>
      <c r="P33" s="1" t="str">
        <f t="shared" si="2"/>
        <v>Ravi -mar</v>
      </c>
      <c r="Q33" s="1" t="str">
        <f t="shared" si="3"/>
        <v xml:space="preserve">Ravi </v>
      </c>
      <c r="R33" s="1" t="str">
        <f t="shared" si="4"/>
        <v>mar</v>
      </c>
      <c r="S33">
        <f t="shared" si="5"/>
        <v>10</v>
      </c>
      <c r="T33" s="1"/>
      <c r="U33" s="1" t="str">
        <f t="shared" si="6"/>
        <v>Ravi Kumar</v>
      </c>
      <c r="V33" s="1" t="str">
        <f t="shared" si="7"/>
        <v>Ravi Kumar</v>
      </c>
      <c r="W33" s="1" t="str">
        <f t="shared" si="8"/>
        <v>20512.8</v>
      </c>
      <c r="X33" s="1" t="str">
        <f t="shared" si="9"/>
        <v>Ravi Kumar</v>
      </c>
      <c r="Y33" s="1" t="str">
        <f>UPPER(Table1[[#This Row],[PROPER]])</f>
        <v>RAVI KUMAR</v>
      </c>
      <c r="Z33" s="1" t="str">
        <f t="shared" si="10"/>
        <v>Ravi Kumar</v>
      </c>
      <c r="AA33" s="1" t="str">
        <f t="shared" si="11"/>
        <v>Ravi Kumar</v>
      </c>
    </row>
    <row r="34" spans="1:27" x14ac:dyDescent="0.3">
      <c r="A34" s="6">
        <v>33</v>
      </c>
      <c r="B34" s="6">
        <v>1083</v>
      </c>
      <c r="C34" t="s">
        <v>40</v>
      </c>
      <c r="D34" t="s">
        <v>25</v>
      </c>
      <c r="E34" t="s">
        <v>31</v>
      </c>
      <c r="F34" t="s">
        <v>27</v>
      </c>
      <c r="G34" s="6">
        <v>1</v>
      </c>
      <c r="H34" s="1">
        <v>4428</v>
      </c>
      <c r="I34" s="5">
        <v>4428</v>
      </c>
      <c r="J34" s="4" t="s">
        <v>60</v>
      </c>
      <c r="K34" s="5">
        <v>4428</v>
      </c>
      <c r="L34" s="2">
        <v>0.05</v>
      </c>
      <c r="M34" s="1">
        <v>4206.6000000000004</v>
      </c>
      <c r="N34" t="str">
        <f t="shared" ref="N34:N65" si="12">LEFT(C34,5)</f>
        <v xml:space="preserve">Sara </v>
      </c>
      <c r="O34" s="1" t="str">
        <f t="shared" ref="O34:O65" si="13">RIGHT(C34,3)</f>
        <v>Ali</v>
      </c>
      <c r="P34" s="1" t="str">
        <f t="shared" ref="P34:P65" si="14">_xlfn.CONCAT(N34,"-",O34)</f>
        <v>Sara -Ali</v>
      </c>
      <c r="Q34" s="1" t="str">
        <f t="shared" ref="Q34:Q65" si="15">LEFT(P34, FIND("-", P34) - 1)</f>
        <v xml:space="preserve">Sara </v>
      </c>
      <c r="R34" s="1" t="str">
        <f t="shared" ref="R34:R65" si="16">RIGHT(P34, LEN(P34) - FIND("-", P34))</f>
        <v>Ali</v>
      </c>
      <c r="S34">
        <f t="shared" ref="S34:S65" si="17">LEN(C34)</f>
        <v>8</v>
      </c>
      <c r="T34" s="1"/>
      <c r="U34" s="1" t="str">
        <f t="shared" ref="U34:U65" si="18">TRIM(C34)</f>
        <v>Sara Ali</v>
      </c>
      <c r="V34" s="1" t="str">
        <f t="shared" ref="V34:V65" si="19">CLEAN(C34)</f>
        <v>Sara Ali</v>
      </c>
      <c r="W34" s="1" t="str">
        <f t="shared" ref="W34:W65" si="20">SUBSTITUTE(M34,"₹","")</f>
        <v>4206.6</v>
      </c>
      <c r="X34" s="1" t="str">
        <f t="shared" ref="X34:X65" si="21">PROPER(C34)</f>
        <v>Sara Ali</v>
      </c>
      <c r="Y34" s="1" t="str">
        <f>UPPER(Table1[[#This Row],[PROPER]])</f>
        <v>SARA ALI</v>
      </c>
      <c r="Z34" s="1" t="str">
        <f t="shared" ref="Z34:Z65" si="22">SUBSTITUTE(C34,"  "," ")</f>
        <v>Sara Ali</v>
      </c>
      <c r="AA34" s="1" t="str">
        <f t="shared" ref="AA34:AA65" si="23">TRIM(CLEAN(C34))</f>
        <v>Sara Ali</v>
      </c>
    </row>
    <row r="35" spans="1:27" x14ac:dyDescent="0.3">
      <c r="A35" s="6">
        <v>34</v>
      </c>
      <c r="B35" s="6">
        <v>1009</v>
      </c>
      <c r="C35" t="s">
        <v>29</v>
      </c>
      <c r="D35" t="s">
        <v>14</v>
      </c>
      <c r="E35" t="s">
        <v>31</v>
      </c>
      <c r="F35" t="s">
        <v>16</v>
      </c>
      <c r="G35" s="6">
        <v>11</v>
      </c>
      <c r="H35" s="1">
        <v>3588</v>
      </c>
      <c r="I35" s="5">
        <v>39468</v>
      </c>
      <c r="J35" s="4" t="s">
        <v>61</v>
      </c>
      <c r="K35" s="5">
        <v>3588</v>
      </c>
      <c r="L35" s="2">
        <v>0.1</v>
      </c>
      <c r="M35" s="1">
        <v>35521.199999999997</v>
      </c>
      <c r="N35" t="str">
        <f t="shared" si="12"/>
        <v xml:space="preserve">John </v>
      </c>
      <c r="O35" s="1" t="str">
        <f t="shared" si="13"/>
        <v>Doe</v>
      </c>
      <c r="P35" s="1" t="str">
        <f t="shared" si="14"/>
        <v>John -Doe</v>
      </c>
      <c r="Q35" s="1" t="str">
        <f t="shared" si="15"/>
        <v xml:space="preserve">John </v>
      </c>
      <c r="R35" s="1" t="str">
        <f t="shared" si="16"/>
        <v>Doe</v>
      </c>
      <c r="S35">
        <f t="shared" si="17"/>
        <v>8</v>
      </c>
      <c r="T35" s="1"/>
      <c r="U35" s="1" t="str">
        <f t="shared" si="18"/>
        <v>John Doe</v>
      </c>
      <c r="V35" s="1" t="str">
        <f t="shared" si="19"/>
        <v>John Doe</v>
      </c>
      <c r="W35" s="1" t="str">
        <f t="shared" si="20"/>
        <v>35521.2</v>
      </c>
      <c r="X35" s="1" t="str">
        <f t="shared" si="21"/>
        <v>John Doe</v>
      </c>
      <c r="Y35" s="1" t="str">
        <f>UPPER(Table1[[#This Row],[PROPER]])</f>
        <v>JOHN DOE</v>
      </c>
      <c r="Z35" s="1" t="str">
        <f t="shared" si="22"/>
        <v>John Doe</v>
      </c>
      <c r="AA35" s="1" t="str">
        <f t="shared" si="23"/>
        <v>John Doe</v>
      </c>
    </row>
    <row r="36" spans="1:27" x14ac:dyDescent="0.3">
      <c r="A36" s="6">
        <v>35</v>
      </c>
      <c r="B36" s="6">
        <v>1018</v>
      </c>
      <c r="C36" t="s">
        <v>18</v>
      </c>
      <c r="D36" t="s">
        <v>14</v>
      </c>
      <c r="E36" t="s">
        <v>31</v>
      </c>
      <c r="F36" t="s">
        <v>27</v>
      </c>
      <c r="G36" s="6">
        <v>9</v>
      </c>
      <c r="H36" s="1">
        <v>1648</v>
      </c>
      <c r="I36" s="5">
        <v>14832</v>
      </c>
      <c r="J36" s="4" t="s">
        <v>62</v>
      </c>
      <c r="K36" s="5">
        <v>1648</v>
      </c>
      <c r="L36" s="2">
        <v>0.1</v>
      </c>
      <c r="M36" s="1">
        <v>13348.8</v>
      </c>
      <c r="N36" t="str">
        <f t="shared" si="12"/>
        <v xml:space="preserve">Amit </v>
      </c>
      <c r="O36" s="1" t="str">
        <f t="shared" si="13"/>
        <v>hah</v>
      </c>
      <c r="P36" s="1" t="str">
        <f t="shared" si="14"/>
        <v>Amit -hah</v>
      </c>
      <c r="Q36" s="1" t="str">
        <f t="shared" si="15"/>
        <v xml:space="preserve">Amit </v>
      </c>
      <c r="R36" s="1" t="str">
        <f t="shared" si="16"/>
        <v>hah</v>
      </c>
      <c r="S36">
        <f t="shared" si="17"/>
        <v>9</v>
      </c>
      <c r="T36" s="1"/>
      <c r="U36" s="1" t="str">
        <f t="shared" si="18"/>
        <v>Amit Shah</v>
      </c>
      <c r="V36" s="1" t="str">
        <f t="shared" si="19"/>
        <v>Amit Shah</v>
      </c>
      <c r="W36" s="1" t="str">
        <f t="shared" si="20"/>
        <v>13348.8</v>
      </c>
      <c r="X36" s="1" t="str">
        <f t="shared" si="21"/>
        <v>Amit Shah</v>
      </c>
      <c r="Y36" s="1" t="str">
        <f>UPPER(Table1[[#This Row],[PROPER]])</f>
        <v>AMIT SHAH</v>
      </c>
      <c r="Z36" s="1" t="str">
        <f t="shared" si="22"/>
        <v>Amit Shah</v>
      </c>
      <c r="AA36" s="1" t="str">
        <f t="shared" si="23"/>
        <v>Amit Shah</v>
      </c>
    </row>
    <row r="37" spans="1:27" x14ac:dyDescent="0.3">
      <c r="A37" s="6">
        <v>36</v>
      </c>
      <c r="B37" s="6">
        <v>1065</v>
      </c>
      <c r="C37" t="s">
        <v>18</v>
      </c>
      <c r="D37" t="s">
        <v>19</v>
      </c>
      <c r="E37" t="s">
        <v>20</v>
      </c>
      <c r="F37" t="s">
        <v>27</v>
      </c>
      <c r="G37" s="6">
        <v>4</v>
      </c>
      <c r="H37" s="1">
        <v>3369</v>
      </c>
      <c r="I37" s="5">
        <v>13476</v>
      </c>
      <c r="J37" s="4" t="s">
        <v>63</v>
      </c>
      <c r="K37" s="5">
        <v>3369</v>
      </c>
      <c r="L37" s="2">
        <v>0.1</v>
      </c>
      <c r="M37" s="1">
        <v>12128.4</v>
      </c>
      <c r="N37" t="str">
        <f t="shared" si="12"/>
        <v xml:space="preserve">Amit </v>
      </c>
      <c r="O37" s="1" t="str">
        <f t="shared" si="13"/>
        <v>hah</v>
      </c>
      <c r="P37" s="1" t="str">
        <f t="shared" si="14"/>
        <v>Amit -hah</v>
      </c>
      <c r="Q37" s="1" t="str">
        <f t="shared" si="15"/>
        <v xml:space="preserve">Amit </v>
      </c>
      <c r="R37" s="1" t="str">
        <f t="shared" si="16"/>
        <v>hah</v>
      </c>
      <c r="S37">
        <f t="shared" si="17"/>
        <v>9</v>
      </c>
      <c r="T37" s="1"/>
      <c r="U37" s="1" t="str">
        <f t="shared" si="18"/>
        <v>Amit Shah</v>
      </c>
      <c r="V37" s="1" t="str">
        <f t="shared" si="19"/>
        <v>Amit Shah</v>
      </c>
      <c r="W37" s="1" t="str">
        <f t="shared" si="20"/>
        <v>12128.4</v>
      </c>
      <c r="X37" s="1" t="str">
        <f t="shared" si="21"/>
        <v>Amit Shah</v>
      </c>
      <c r="Y37" s="1" t="str">
        <f>UPPER(Table1[[#This Row],[PROPER]])</f>
        <v>AMIT SHAH</v>
      </c>
      <c r="Z37" s="1" t="str">
        <f t="shared" si="22"/>
        <v>Amit Shah</v>
      </c>
      <c r="AA37" s="1" t="str">
        <f t="shared" si="23"/>
        <v>Amit Shah</v>
      </c>
    </row>
    <row r="38" spans="1:27" x14ac:dyDescent="0.3">
      <c r="A38" s="6">
        <v>37</v>
      </c>
      <c r="B38" s="6">
        <v>1054</v>
      </c>
      <c r="C38" t="s">
        <v>29</v>
      </c>
      <c r="D38" t="s">
        <v>14</v>
      </c>
      <c r="E38" t="s">
        <v>15</v>
      </c>
      <c r="F38" t="s">
        <v>16</v>
      </c>
      <c r="G38" s="6">
        <v>12</v>
      </c>
      <c r="H38" s="1">
        <v>1541</v>
      </c>
      <c r="I38" s="5">
        <v>18492</v>
      </c>
      <c r="J38" s="4" t="s">
        <v>64</v>
      </c>
      <c r="K38" s="5">
        <v>1541</v>
      </c>
      <c r="L38" s="2">
        <v>0.1</v>
      </c>
      <c r="M38" s="1">
        <v>16642.8</v>
      </c>
      <c r="N38" t="str">
        <f t="shared" si="12"/>
        <v xml:space="preserve">John </v>
      </c>
      <c r="O38" s="1" t="str">
        <f t="shared" si="13"/>
        <v>Doe</v>
      </c>
      <c r="P38" s="1" t="str">
        <f t="shared" si="14"/>
        <v>John -Doe</v>
      </c>
      <c r="Q38" s="1" t="str">
        <f t="shared" si="15"/>
        <v xml:space="preserve">John </v>
      </c>
      <c r="R38" s="1" t="str">
        <f t="shared" si="16"/>
        <v>Doe</v>
      </c>
      <c r="S38">
        <f t="shared" si="17"/>
        <v>8</v>
      </c>
      <c r="T38" s="1"/>
      <c r="U38" s="1" t="str">
        <f t="shared" si="18"/>
        <v>John Doe</v>
      </c>
      <c r="V38" s="1" t="str">
        <f t="shared" si="19"/>
        <v>John Doe</v>
      </c>
      <c r="W38" s="1" t="str">
        <f t="shared" si="20"/>
        <v>16642.8</v>
      </c>
      <c r="X38" s="1" t="str">
        <f t="shared" si="21"/>
        <v>John Doe</v>
      </c>
      <c r="Y38" s="1" t="str">
        <f>UPPER(Table1[[#This Row],[PROPER]])</f>
        <v>JOHN DOE</v>
      </c>
      <c r="Z38" s="1" t="str">
        <f t="shared" si="22"/>
        <v>John Doe</v>
      </c>
      <c r="AA38" s="1" t="str">
        <f t="shared" si="23"/>
        <v>John Doe</v>
      </c>
    </row>
    <row r="39" spans="1:27" x14ac:dyDescent="0.3">
      <c r="A39" s="6">
        <v>38</v>
      </c>
      <c r="B39" s="6">
        <v>1011</v>
      </c>
      <c r="C39" t="s">
        <v>22</v>
      </c>
      <c r="D39" t="s">
        <v>34</v>
      </c>
      <c r="E39" t="s">
        <v>15</v>
      </c>
      <c r="F39" t="s">
        <v>27</v>
      </c>
      <c r="G39" s="6">
        <v>2</v>
      </c>
      <c r="H39" s="1">
        <v>3433</v>
      </c>
      <c r="I39" s="5">
        <v>6866</v>
      </c>
      <c r="J39" s="4" t="s">
        <v>65</v>
      </c>
      <c r="K39" s="5">
        <v>3433</v>
      </c>
      <c r="L39" s="2">
        <v>0.1</v>
      </c>
      <c r="M39" s="1">
        <v>6179.4</v>
      </c>
      <c r="N39" t="str">
        <f t="shared" si="12"/>
        <v>Emily</v>
      </c>
      <c r="O39" s="1" t="str">
        <f t="shared" si="13"/>
        <v>ark</v>
      </c>
      <c r="P39" s="1" t="str">
        <f t="shared" si="14"/>
        <v>Emily-ark</v>
      </c>
      <c r="Q39" s="1" t="str">
        <f t="shared" si="15"/>
        <v>Emily</v>
      </c>
      <c r="R39" s="1" t="str">
        <f t="shared" si="16"/>
        <v>ark</v>
      </c>
      <c r="S39">
        <f t="shared" si="17"/>
        <v>11</v>
      </c>
      <c r="T39" s="1"/>
      <c r="U39" s="1" t="str">
        <f t="shared" si="18"/>
        <v>Emily Clark</v>
      </c>
      <c r="V39" s="1" t="str">
        <f t="shared" si="19"/>
        <v>Emily Clark</v>
      </c>
      <c r="W39" s="1" t="str">
        <f t="shared" si="20"/>
        <v>6179.4</v>
      </c>
      <c r="X39" s="1" t="str">
        <f t="shared" si="21"/>
        <v>Emily Clark</v>
      </c>
      <c r="Y39" s="1" t="str">
        <f>UPPER(Table1[[#This Row],[PROPER]])</f>
        <v>EMILY CLARK</v>
      </c>
      <c r="Z39" s="1" t="str">
        <f t="shared" si="22"/>
        <v>Emily Clark</v>
      </c>
      <c r="AA39" s="1" t="str">
        <f t="shared" si="23"/>
        <v>Emily Clark</v>
      </c>
    </row>
    <row r="40" spans="1:27" x14ac:dyDescent="0.3">
      <c r="A40" s="6">
        <v>39</v>
      </c>
      <c r="B40" s="6">
        <v>1015</v>
      </c>
      <c r="C40" t="s">
        <v>18</v>
      </c>
      <c r="D40" t="s">
        <v>34</v>
      </c>
      <c r="E40" t="s">
        <v>31</v>
      </c>
      <c r="F40" t="s">
        <v>27</v>
      </c>
      <c r="G40" s="6">
        <v>16</v>
      </c>
      <c r="H40" s="1">
        <v>3672</v>
      </c>
      <c r="I40" s="5">
        <v>58752</v>
      </c>
      <c r="J40" s="4" t="s">
        <v>60</v>
      </c>
      <c r="K40" s="5">
        <v>3672</v>
      </c>
      <c r="L40" s="2">
        <v>0.1</v>
      </c>
      <c r="M40" s="1">
        <v>52876.800000000003</v>
      </c>
      <c r="N40" t="str">
        <f t="shared" si="12"/>
        <v xml:space="preserve">Amit </v>
      </c>
      <c r="O40" s="1" t="str">
        <f t="shared" si="13"/>
        <v>hah</v>
      </c>
      <c r="P40" s="1" t="str">
        <f t="shared" si="14"/>
        <v>Amit -hah</v>
      </c>
      <c r="Q40" s="1" t="str">
        <f t="shared" si="15"/>
        <v xml:space="preserve">Amit </v>
      </c>
      <c r="R40" s="1" t="str">
        <f t="shared" si="16"/>
        <v>hah</v>
      </c>
      <c r="S40">
        <f t="shared" si="17"/>
        <v>9</v>
      </c>
      <c r="T40" s="1"/>
      <c r="U40" s="1" t="str">
        <f t="shared" si="18"/>
        <v>Amit Shah</v>
      </c>
      <c r="V40" s="1" t="str">
        <f t="shared" si="19"/>
        <v>Amit Shah</v>
      </c>
      <c r="W40" s="1" t="str">
        <f t="shared" si="20"/>
        <v>52876.8</v>
      </c>
      <c r="X40" s="1" t="str">
        <f t="shared" si="21"/>
        <v>Amit Shah</v>
      </c>
      <c r="Y40" s="1" t="str">
        <f>UPPER(Table1[[#This Row],[PROPER]])</f>
        <v>AMIT SHAH</v>
      </c>
      <c r="Z40" s="1" t="str">
        <f t="shared" si="22"/>
        <v>Amit Shah</v>
      </c>
      <c r="AA40" s="1" t="str">
        <f t="shared" si="23"/>
        <v>Amit Shah</v>
      </c>
    </row>
    <row r="41" spans="1:27" x14ac:dyDescent="0.3">
      <c r="A41" s="6">
        <v>40</v>
      </c>
      <c r="B41" s="6">
        <v>1030</v>
      </c>
      <c r="C41" t="s">
        <v>40</v>
      </c>
      <c r="D41" t="s">
        <v>23</v>
      </c>
      <c r="E41" t="s">
        <v>20</v>
      </c>
      <c r="F41" t="s">
        <v>27</v>
      </c>
      <c r="G41" s="6">
        <v>16</v>
      </c>
      <c r="H41" s="1">
        <v>3599</v>
      </c>
      <c r="I41" s="5">
        <v>57584</v>
      </c>
      <c r="J41" s="4" t="s">
        <v>66</v>
      </c>
      <c r="K41" s="5">
        <v>3599</v>
      </c>
      <c r="L41" s="2">
        <v>0.1</v>
      </c>
      <c r="M41" s="1">
        <v>51825.599999999999</v>
      </c>
      <c r="N41" t="str">
        <f t="shared" si="12"/>
        <v xml:space="preserve">Sara </v>
      </c>
      <c r="O41" s="1" t="str">
        <f t="shared" si="13"/>
        <v>Ali</v>
      </c>
      <c r="P41" s="1" t="str">
        <f t="shared" si="14"/>
        <v>Sara -Ali</v>
      </c>
      <c r="Q41" s="1" t="str">
        <f t="shared" si="15"/>
        <v xml:space="preserve">Sara </v>
      </c>
      <c r="R41" s="1" t="str">
        <f t="shared" si="16"/>
        <v>Ali</v>
      </c>
      <c r="S41">
        <f t="shared" si="17"/>
        <v>8</v>
      </c>
      <c r="T41" s="1"/>
      <c r="U41" s="1" t="str">
        <f t="shared" si="18"/>
        <v>Sara Ali</v>
      </c>
      <c r="V41" s="1" t="str">
        <f t="shared" si="19"/>
        <v>Sara Ali</v>
      </c>
      <c r="W41" s="1" t="str">
        <f t="shared" si="20"/>
        <v>51825.6</v>
      </c>
      <c r="X41" s="1" t="str">
        <f t="shared" si="21"/>
        <v>Sara Ali</v>
      </c>
      <c r="Y41" s="1" t="str">
        <f>UPPER(Table1[[#This Row],[PROPER]])</f>
        <v>SARA ALI</v>
      </c>
      <c r="Z41" s="1" t="str">
        <f t="shared" si="22"/>
        <v>Sara Ali</v>
      </c>
      <c r="AA41" s="1" t="str">
        <f t="shared" si="23"/>
        <v>Sara Ali</v>
      </c>
    </row>
    <row r="42" spans="1:27" x14ac:dyDescent="0.3">
      <c r="A42" s="6">
        <v>41</v>
      </c>
      <c r="C42" t="s">
        <v>29</v>
      </c>
      <c r="D42" t="s">
        <v>19</v>
      </c>
      <c r="E42" t="s">
        <v>20</v>
      </c>
      <c r="F42" t="s">
        <v>27</v>
      </c>
      <c r="G42" s="6">
        <v>11</v>
      </c>
      <c r="H42" s="1">
        <v>1898</v>
      </c>
      <c r="I42" s="5">
        <v>20878</v>
      </c>
      <c r="J42" s="4" t="s">
        <v>67</v>
      </c>
      <c r="K42" s="5">
        <v>1898</v>
      </c>
      <c r="L42" s="2">
        <v>0.1</v>
      </c>
      <c r="M42" s="1">
        <v>18790.2</v>
      </c>
      <c r="N42" t="str">
        <f t="shared" si="12"/>
        <v xml:space="preserve">John </v>
      </c>
      <c r="O42" s="1" t="str">
        <f t="shared" si="13"/>
        <v>Doe</v>
      </c>
      <c r="P42" s="1" t="str">
        <f t="shared" si="14"/>
        <v>John -Doe</v>
      </c>
      <c r="Q42" s="1" t="str">
        <f t="shared" si="15"/>
        <v xml:space="preserve">John </v>
      </c>
      <c r="R42" s="1" t="str">
        <f t="shared" si="16"/>
        <v>Doe</v>
      </c>
      <c r="S42">
        <f t="shared" si="17"/>
        <v>8</v>
      </c>
      <c r="T42" s="1"/>
      <c r="U42" s="1" t="str">
        <f t="shared" si="18"/>
        <v>John Doe</v>
      </c>
      <c r="V42" s="1" t="str">
        <f t="shared" si="19"/>
        <v>John Doe</v>
      </c>
      <c r="W42" s="1" t="str">
        <f t="shared" si="20"/>
        <v>18790.2</v>
      </c>
      <c r="X42" s="1" t="str">
        <f t="shared" si="21"/>
        <v>John Doe</v>
      </c>
      <c r="Y42" s="1" t="str">
        <f>UPPER(Table1[[#This Row],[PROPER]])</f>
        <v>JOHN DOE</v>
      </c>
      <c r="Z42" s="1" t="str">
        <f t="shared" si="22"/>
        <v>John Doe</v>
      </c>
      <c r="AA42" s="1" t="str">
        <f t="shared" si="23"/>
        <v>John Doe</v>
      </c>
    </row>
    <row r="43" spans="1:27" x14ac:dyDescent="0.3">
      <c r="A43" s="6">
        <v>42</v>
      </c>
      <c r="B43" s="6">
        <v>1079</v>
      </c>
      <c r="C43" t="s">
        <v>40</v>
      </c>
      <c r="D43" t="s">
        <v>34</v>
      </c>
      <c r="E43" t="s">
        <v>15</v>
      </c>
      <c r="F43" t="s">
        <v>16</v>
      </c>
      <c r="G43" s="6">
        <v>3</v>
      </c>
      <c r="H43" s="1">
        <v>494</v>
      </c>
      <c r="I43" s="5">
        <v>1482</v>
      </c>
      <c r="J43" s="4" t="s">
        <v>68</v>
      </c>
      <c r="K43" s="5">
        <v>494</v>
      </c>
      <c r="L43" s="2">
        <v>0.05</v>
      </c>
      <c r="M43" s="1">
        <v>1407.9</v>
      </c>
      <c r="N43" t="str">
        <f t="shared" si="12"/>
        <v xml:space="preserve">Sara </v>
      </c>
      <c r="O43" s="1" t="str">
        <f t="shared" si="13"/>
        <v>Ali</v>
      </c>
      <c r="P43" s="1" t="str">
        <f t="shared" si="14"/>
        <v>Sara -Ali</v>
      </c>
      <c r="Q43" s="1" t="str">
        <f t="shared" si="15"/>
        <v xml:space="preserve">Sara </v>
      </c>
      <c r="R43" s="1" t="str">
        <f t="shared" si="16"/>
        <v>Ali</v>
      </c>
      <c r="S43">
        <f t="shared" si="17"/>
        <v>8</v>
      </c>
      <c r="T43" s="1"/>
      <c r="U43" s="1" t="str">
        <f t="shared" si="18"/>
        <v>Sara Ali</v>
      </c>
      <c r="V43" s="1" t="str">
        <f t="shared" si="19"/>
        <v>Sara Ali</v>
      </c>
      <c r="W43" s="1" t="str">
        <f t="shared" si="20"/>
        <v>1407.9</v>
      </c>
      <c r="X43" s="1" t="str">
        <f t="shared" si="21"/>
        <v>Sara Ali</v>
      </c>
      <c r="Y43" s="1" t="str">
        <f>UPPER(Table1[[#This Row],[PROPER]])</f>
        <v>SARA ALI</v>
      </c>
      <c r="Z43" s="1" t="str">
        <f t="shared" si="22"/>
        <v>Sara Ali</v>
      </c>
      <c r="AA43" s="1" t="str">
        <f t="shared" si="23"/>
        <v>Sara Ali</v>
      </c>
    </row>
    <row r="44" spans="1:27" x14ac:dyDescent="0.3">
      <c r="A44" s="6">
        <v>43</v>
      </c>
      <c r="B44" s="6">
        <v>1001</v>
      </c>
      <c r="C44" t="s">
        <v>40</v>
      </c>
      <c r="D44" t="s">
        <v>19</v>
      </c>
      <c r="E44" t="s">
        <v>20</v>
      </c>
      <c r="F44" t="s">
        <v>27</v>
      </c>
      <c r="G44" s="6">
        <v>14</v>
      </c>
      <c r="H44" s="1">
        <v>4045</v>
      </c>
      <c r="I44" s="5">
        <v>56630</v>
      </c>
      <c r="J44" s="4" t="s">
        <v>69</v>
      </c>
      <c r="K44" s="5">
        <v>4045</v>
      </c>
      <c r="L44" s="2">
        <v>0.1</v>
      </c>
      <c r="M44" s="1">
        <v>50967</v>
      </c>
      <c r="N44" t="str">
        <f t="shared" si="12"/>
        <v xml:space="preserve">Sara </v>
      </c>
      <c r="O44" s="1" t="str">
        <f t="shared" si="13"/>
        <v>Ali</v>
      </c>
      <c r="P44" s="1" t="str">
        <f t="shared" si="14"/>
        <v>Sara -Ali</v>
      </c>
      <c r="Q44" s="1" t="str">
        <f t="shared" si="15"/>
        <v xml:space="preserve">Sara </v>
      </c>
      <c r="R44" s="1" t="str">
        <f t="shared" si="16"/>
        <v>Ali</v>
      </c>
      <c r="S44">
        <f t="shared" si="17"/>
        <v>8</v>
      </c>
      <c r="T44" s="1"/>
      <c r="U44" s="1" t="str">
        <f t="shared" si="18"/>
        <v>Sara Ali</v>
      </c>
      <c r="V44" s="1" t="str">
        <f t="shared" si="19"/>
        <v>Sara Ali</v>
      </c>
      <c r="W44" s="1" t="str">
        <f t="shared" si="20"/>
        <v>50967</v>
      </c>
      <c r="X44" s="1" t="str">
        <f t="shared" si="21"/>
        <v>Sara Ali</v>
      </c>
      <c r="Y44" s="1" t="str">
        <f>UPPER(Table1[[#This Row],[PROPER]])</f>
        <v>SARA ALI</v>
      </c>
      <c r="Z44" s="1" t="str">
        <f t="shared" si="22"/>
        <v>Sara Ali</v>
      </c>
      <c r="AA44" s="1" t="str">
        <f t="shared" si="23"/>
        <v>Sara Ali</v>
      </c>
    </row>
    <row r="45" spans="1:27" x14ac:dyDescent="0.3">
      <c r="A45" s="6">
        <v>44</v>
      </c>
      <c r="B45" s="6">
        <v>1042</v>
      </c>
      <c r="C45" t="s">
        <v>18</v>
      </c>
      <c r="D45" t="s">
        <v>23</v>
      </c>
      <c r="E45" t="s">
        <v>26</v>
      </c>
      <c r="F45" t="s">
        <v>27</v>
      </c>
      <c r="G45" s="6">
        <v>13</v>
      </c>
      <c r="H45" s="1">
        <v>573</v>
      </c>
      <c r="I45" s="5">
        <v>7449</v>
      </c>
      <c r="J45" s="4" t="s">
        <v>70</v>
      </c>
      <c r="K45" s="5">
        <v>573</v>
      </c>
      <c r="L45" s="2">
        <v>0.1</v>
      </c>
      <c r="M45" s="1">
        <v>6704.1</v>
      </c>
      <c r="N45" t="str">
        <f t="shared" si="12"/>
        <v xml:space="preserve">Amit </v>
      </c>
      <c r="O45" s="1" t="str">
        <f t="shared" si="13"/>
        <v>hah</v>
      </c>
      <c r="P45" s="1" t="str">
        <f t="shared" si="14"/>
        <v>Amit -hah</v>
      </c>
      <c r="Q45" s="1" t="str">
        <f t="shared" si="15"/>
        <v xml:space="preserve">Amit </v>
      </c>
      <c r="R45" s="1" t="str">
        <f t="shared" si="16"/>
        <v>hah</v>
      </c>
      <c r="S45">
        <f t="shared" si="17"/>
        <v>9</v>
      </c>
      <c r="T45" s="1"/>
      <c r="U45" s="1" t="str">
        <f t="shared" si="18"/>
        <v>Amit Shah</v>
      </c>
      <c r="V45" s="1" t="str">
        <f t="shared" si="19"/>
        <v>Amit Shah</v>
      </c>
      <c r="W45" s="1" t="str">
        <f t="shared" si="20"/>
        <v>6704.1</v>
      </c>
      <c r="X45" s="1" t="str">
        <f t="shared" si="21"/>
        <v>Amit Shah</v>
      </c>
      <c r="Y45" s="1" t="str">
        <f>UPPER(Table1[[#This Row],[PROPER]])</f>
        <v>AMIT SHAH</v>
      </c>
      <c r="Z45" s="1" t="str">
        <f t="shared" si="22"/>
        <v>Amit Shah</v>
      </c>
      <c r="AA45" s="1" t="str">
        <f t="shared" si="23"/>
        <v>Amit Shah</v>
      </c>
    </row>
    <row r="46" spans="1:27" x14ac:dyDescent="0.3">
      <c r="A46" s="6">
        <v>45</v>
      </c>
      <c r="B46" s="6">
        <v>1037</v>
      </c>
      <c r="C46" t="s">
        <v>29</v>
      </c>
      <c r="D46" t="s">
        <v>19</v>
      </c>
      <c r="E46" t="s">
        <v>15</v>
      </c>
      <c r="F46" t="s">
        <v>27</v>
      </c>
      <c r="G46" s="6">
        <v>6</v>
      </c>
      <c r="H46" s="1">
        <v>2026</v>
      </c>
      <c r="I46" s="5">
        <v>12156</v>
      </c>
      <c r="J46" s="4" t="s">
        <v>71</v>
      </c>
      <c r="K46" s="5">
        <v>2026</v>
      </c>
      <c r="L46" s="2">
        <v>0.1</v>
      </c>
      <c r="M46" s="1">
        <v>10940.4</v>
      </c>
      <c r="N46" t="str">
        <f t="shared" si="12"/>
        <v xml:space="preserve">John </v>
      </c>
      <c r="O46" s="1" t="str">
        <f t="shared" si="13"/>
        <v>Doe</v>
      </c>
      <c r="P46" s="1" t="str">
        <f t="shared" si="14"/>
        <v>John -Doe</v>
      </c>
      <c r="Q46" s="1" t="str">
        <f t="shared" si="15"/>
        <v xml:space="preserve">John </v>
      </c>
      <c r="R46" s="1" t="str">
        <f t="shared" si="16"/>
        <v>Doe</v>
      </c>
      <c r="S46">
        <f t="shared" si="17"/>
        <v>8</v>
      </c>
      <c r="T46" s="1"/>
      <c r="U46" s="1" t="str">
        <f t="shared" si="18"/>
        <v>John Doe</v>
      </c>
      <c r="V46" s="1" t="str">
        <f t="shared" si="19"/>
        <v>John Doe</v>
      </c>
      <c r="W46" s="1" t="str">
        <f t="shared" si="20"/>
        <v>10940.4</v>
      </c>
      <c r="X46" s="1" t="str">
        <f t="shared" si="21"/>
        <v>John Doe</v>
      </c>
      <c r="Y46" s="1" t="str">
        <f>UPPER(Table1[[#This Row],[PROPER]])</f>
        <v>JOHN DOE</v>
      </c>
      <c r="Z46" s="1" t="str">
        <f t="shared" si="22"/>
        <v>John Doe</v>
      </c>
      <c r="AA46" s="1" t="str">
        <f t="shared" si="23"/>
        <v>John Doe</v>
      </c>
    </row>
    <row r="47" spans="1:27" x14ac:dyDescent="0.3">
      <c r="A47" s="6">
        <v>46</v>
      </c>
      <c r="B47" s="6">
        <v>1056</v>
      </c>
      <c r="C47" t="s">
        <v>29</v>
      </c>
      <c r="D47" t="s">
        <v>14</v>
      </c>
      <c r="E47" t="s">
        <v>20</v>
      </c>
      <c r="F47" t="s">
        <v>27</v>
      </c>
      <c r="G47" s="6">
        <v>3</v>
      </c>
      <c r="H47" s="1">
        <v>943</v>
      </c>
      <c r="I47" s="5">
        <v>2829</v>
      </c>
      <c r="J47" s="4" t="s">
        <v>72</v>
      </c>
      <c r="K47" s="5">
        <v>943</v>
      </c>
      <c r="L47" s="2">
        <v>0.05</v>
      </c>
      <c r="M47" s="1">
        <v>2687.55</v>
      </c>
      <c r="N47" t="str">
        <f t="shared" si="12"/>
        <v xml:space="preserve">John </v>
      </c>
      <c r="O47" s="1" t="str">
        <f t="shared" si="13"/>
        <v>Doe</v>
      </c>
      <c r="P47" s="1" t="str">
        <f t="shared" si="14"/>
        <v>John -Doe</v>
      </c>
      <c r="Q47" s="1" t="str">
        <f t="shared" si="15"/>
        <v xml:space="preserve">John </v>
      </c>
      <c r="R47" s="1" t="str">
        <f t="shared" si="16"/>
        <v>Doe</v>
      </c>
      <c r="S47">
        <f t="shared" si="17"/>
        <v>8</v>
      </c>
      <c r="T47" s="1"/>
      <c r="U47" s="1" t="str">
        <f t="shared" si="18"/>
        <v>John Doe</v>
      </c>
      <c r="V47" s="1" t="str">
        <f t="shared" si="19"/>
        <v>John Doe</v>
      </c>
      <c r="W47" s="1" t="str">
        <f t="shared" si="20"/>
        <v>2687.55</v>
      </c>
      <c r="X47" s="1" t="str">
        <f t="shared" si="21"/>
        <v>John Doe</v>
      </c>
      <c r="Y47" s="1" t="str">
        <f>UPPER(Table1[[#This Row],[PROPER]])</f>
        <v>JOHN DOE</v>
      </c>
      <c r="Z47" s="1" t="str">
        <f t="shared" si="22"/>
        <v>John Doe</v>
      </c>
      <c r="AA47" s="1" t="str">
        <f t="shared" si="23"/>
        <v>John Doe</v>
      </c>
    </row>
    <row r="48" spans="1:27" x14ac:dyDescent="0.3">
      <c r="A48" s="6">
        <v>47</v>
      </c>
      <c r="B48" s="6">
        <v>1064</v>
      </c>
      <c r="C48" t="s">
        <v>22</v>
      </c>
      <c r="D48" t="s">
        <v>34</v>
      </c>
      <c r="E48" t="s">
        <v>20</v>
      </c>
      <c r="F48" t="s">
        <v>27</v>
      </c>
      <c r="G48" s="6">
        <v>4</v>
      </c>
      <c r="H48" s="1">
        <v>2813</v>
      </c>
      <c r="I48" s="5">
        <v>11252</v>
      </c>
      <c r="J48" s="4" t="s">
        <v>73</v>
      </c>
      <c r="K48" s="5">
        <v>2813</v>
      </c>
      <c r="L48" s="2">
        <v>0.1</v>
      </c>
      <c r="M48" s="1">
        <v>10126.799999999999</v>
      </c>
      <c r="N48" t="str">
        <f t="shared" si="12"/>
        <v>Emily</v>
      </c>
      <c r="O48" s="1" t="str">
        <f t="shared" si="13"/>
        <v>ark</v>
      </c>
      <c r="P48" s="1" t="str">
        <f t="shared" si="14"/>
        <v>Emily-ark</v>
      </c>
      <c r="Q48" s="1" t="str">
        <f t="shared" si="15"/>
        <v>Emily</v>
      </c>
      <c r="R48" s="1" t="str">
        <f t="shared" si="16"/>
        <v>ark</v>
      </c>
      <c r="S48">
        <f t="shared" si="17"/>
        <v>11</v>
      </c>
      <c r="T48" s="1"/>
      <c r="U48" s="1" t="str">
        <f t="shared" si="18"/>
        <v>Emily Clark</v>
      </c>
      <c r="V48" s="1" t="str">
        <f t="shared" si="19"/>
        <v>Emily Clark</v>
      </c>
      <c r="W48" s="1" t="str">
        <f t="shared" si="20"/>
        <v>10126.8</v>
      </c>
      <c r="X48" s="1" t="str">
        <f t="shared" si="21"/>
        <v>Emily Clark</v>
      </c>
      <c r="Y48" s="1" t="str">
        <f>UPPER(Table1[[#This Row],[PROPER]])</f>
        <v>EMILY CLARK</v>
      </c>
      <c r="Z48" s="1" t="str">
        <f t="shared" si="22"/>
        <v>Emily Clark</v>
      </c>
      <c r="AA48" s="1" t="str">
        <f t="shared" si="23"/>
        <v>Emily Clark</v>
      </c>
    </row>
    <row r="49" spans="1:27" x14ac:dyDescent="0.3">
      <c r="A49" s="6">
        <v>48</v>
      </c>
      <c r="B49" s="6">
        <v>1080</v>
      </c>
      <c r="C49" t="s">
        <v>22</v>
      </c>
      <c r="D49" t="s">
        <v>23</v>
      </c>
      <c r="E49" t="s">
        <v>26</v>
      </c>
      <c r="F49" t="s">
        <v>27</v>
      </c>
      <c r="G49" s="6">
        <v>10</v>
      </c>
      <c r="H49" s="1">
        <v>2167</v>
      </c>
      <c r="I49" s="5">
        <v>21670</v>
      </c>
      <c r="J49" s="4" t="s">
        <v>74</v>
      </c>
      <c r="K49" s="5">
        <v>2167</v>
      </c>
      <c r="L49" s="2">
        <v>0.1</v>
      </c>
      <c r="M49" s="1">
        <v>19503</v>
      </c>
      <c r="N49" t="str">
        <f t="shared" si="12"/>
        <v>Emily</v>
      </c>
      <c r="O49" s="1" t="str">
        <f t="shared" si="13"/>
        <v>ark</v>
      </c>
      <c r="P49" s="1" t="str">
        <f t="shared" si="14"/>
        <v>Emily-ark</v>
      </c>
      <c r="Q49" s="1" t="str">
        <f t="shared" si="15"/>
        <v>Emily</v>
      </c>
      <c r="R49" s="1" t="str">
        <f t="shared" si="16"/>
        <v>ark</v>
      </c>
      <c r="S49">
        <f t="shared" si="17"/>
        <v>11</v>
      </c>
      <c r="T49" s="1"/>
      <c r="U49" s="1" t="str">
        <f t="shared" si="18"/>
        <v>Emily Clark</v>
      </c>
      <c r="V49" s="1" t="str">
        <f t="shared" si="19"/>
        <v>Emily Clark</v>
      </c>
      <c r="W49" s="1" t="str">
        <f t="shared" si="20"/>
        <v>19503</v>
      </c>
      <c r="X49" s="1" t="str">
        <f t="shared" si="21"/>
        <v>Emily Clark</v>
      </c>
      <c r="Y49" s="1" t="str">
        <f>UPPER(Table1[[#This Row],[PROPER]])</f>
        <v>EMILY CLARK</v>
      </c>
      <c r="Z49" s="1" t="str">
        <f t="shared" si="22"/>
        <v>Emily Clark</v>
      </c>
      <c r="AA49" s="1" t="str">
        <f t="shared" si="23"/>
        <v>Emily Clark</v>
      </c>
    </row>
    <row r="50" spans="1:27" x14ac:dyDescent="0.3">
      <c r="A50" s="6">
        <v>49</v>
      </c>
      <c r="B50" s="6">
        <v>1059</v>
      </c>
      <c r="C50" t="s">
        <v>18</v>
      </c>
      <c r="D50" t="s">
        <v>19</v>
      </c>
      <c r="E50" t="s">
        <v>20</v>
      </c>
      <c r="F50" t="s">
        <v>27</v>
      </c>
      <c r="G50" s="6">
        <v>11</v>
      </c>
      <c r="H50" s="1">
        <v>664</v>
      </c>
      <c r="I50" s="5">
        <v>7304</v>
      </c>
      <c r="J50" s="4" t="s">
        <v>75</v>
      </c>
      <c r="K50" s="5">
        <v>664</v>
      </c>
      <c r="L50" s="2">
        <v>0.1</v>
      </c>
      <c r="M50" s="1">
        <v>6573.6</v>
      </c>
      <c r="N50" t="str">
        <f t="shared" si="12"/>
        <v xml:space="preserve">Amit </v>
      </c>
      <c r="O50" s="1" t="str">
        <f t="shared" si="13"/>
        <v>hah</v>
      </c>
      <c r="P50" s="1" t="str">
        <f t="shared" si="14"/>
        <v>Amit -hah</v>
      </c>
      <c r="Q50" s="1" t="str">
        <f t="shared" si="15"/>
        <v xml:space="preserve">Amit </v>
      </c>
      <c r="R50" s="1" t="str">
        <f t="shared" si="16"/>
        <v>hah</v>
      </c>
      <c r="S50">
        <f t="shared" si="17"/>
        <v>9</v>
      </c>
      <c r="T50" s="1"/>
      <c r="U50" s="1" t="str">
        <f t="shared" si="18"/>
        <v>Amit Shah</v>
      </c>
      <c r="V50" s="1" t="str">
        <f t="shared" si="19"/>
        <v>Amit Shah</v>
      </c>
      <c r="W50" s="1" t="str">
        <f t="shared" si="20"/>
        <v>6573.6</v>
      </c>
      <c r="X50" s="1" t="str">
        <f t="shared" si="21"/>
        <v>Amit Shah</v>
      </c>
      <c r="Y50" s="1" t="str">
        <f>UPPER(Table1[[#This Row],[PROPER]])</f>
        <v>AMIT SHAH</v>
      </c>
      <c r="Z50" s="1" t="str">
        <f t="shared" si="22"/>
        <v>Amit Shah</v>
      </c>
      <c r="AA50" s="1" t="str">
        <f t="shared" si="23"/>
        <v>Amit Shah</v>
      </c>
    </row>
    <row r="51" spans="1:27" x14ac:dyDescent="0.3">
      <c r="A51" s="6">
        <v>50</v>
      </c>
      <c r="B51" s="6">
        <v>1034</v>
      </c>
      <c r="C51" t="s">
        <v>29</v>
      </c>
      <c r="D51" t="s">
        <v>34</v>
      </c>
      <c r="E51" t="s">
        <v>15</v>
      </c>
      <c r="F51" t="s">
        <v>16</v>
      </c>
      <c r="G51" s="6">
        <v>5</v>
      </c>
      <c r="H51" s="1">
        <v>342</v>
      </c>
      <c r="I51" s="5">
        <v>1710</v>
      </c>
      <c r="J51" s="4" t="s">
        <v>76</v>
      </c>
      <c r="K51" s="5">
        <v>342</v>
      </c>
      <c r="L51" s="2">
        <v>0.05</v>
      </c>
      <c r="M51" s="1">
        <v>1624.5</v>
      </c>
      <c r="N51" t="str">
        <f t="shared" si="12"/>
        <v xml:space="preserve">John </v>
      </c>
      <c r="O51" s="1" t="str">
        <f t="shared" si="13"/>
        <v>Doe</v>
      </c>
      <c r="P51" s="1" t="str">
        <f t="shared" si="14"/>
        <v>John -Doe</v>
      </c>
      <c r="Q51" s="1" t="str">
        <f t="shared" si="15"/>
        <v xml:space="preserve">John </v>
      </c>
      <c r="R51" s="1" t="str">
        <f t="shared" si="16"/>
        <v>Doe</v>
      </c>
      <c r="S51">
        <f t="shared" si="17"/>
        <v>8</v>
      </c>
      <c r="T51" s="1"/>
      <c r="U51" s="1" t="str">
        <f t="shared" si="18"/>
        <v>John Doe</v>
      </c>
      <c r="V51" s="1" t="str">
        <f t="shared" si="19"/>
        <v>John Doe</v>
      </c>
      <c r="W51" s="1" t="str">
        <f t="shared" si="20"/>
        <v>1624.5</v>
      </c>
      <c r="X51" s="1" t="str">
        <f t="shared" si="21"/>
        <v>John Doe</v>
      </c>
      <c r="Y51" s="1" t="str">
        <f>UPPER(Table1[[#This Row],[PROPER]])</f>
        <v>JOHN DOE</v>
      </c>
      <c r="Z51" s="1" t="str">
        <f t="shared" si="22"/>
        <v>John Doe</v>
      </c>
      <c r="AA51" s="1" t="str">
        <f t="shared" si="23"/>
        <v>John Doe</v>
      </c>
    </row>
    <row r="52" spans="1:27" x14ac:dyDescent="0.3">
      <c r="A52" s="6">
        <v>51</v>
      </c>
      <c r="B52" s="6">
        <v>1080</v>
      </c>
      <c r="C52" t="s">
        <v>22</v>
      </c>
      <c r="D52" t="s">
        <v>14</v>
      </c>
      <c r="E52" t="s">
        <v>20</v>
      </c>
      <c r="F52" t="s">
        <v>16</v>
      </c>
      <c r="G52" s="6">
        <v>2</v>
      </c>
      <c r="H52" s="1">
        <v>3908</v>
      </c>
      <c r="I52" s="5">
        <v>7816</v>
      </c>
      <c r="J52" s="4" t="s">
        <v>67</v>
      </c>
      <c r="K52" s="5">
        <v>3908</v>
      </c>
      <c r="L52" s="2">
        <v>0.1</v>
      </c>
      <c r="M52" s="1">
        <v>7034.4</v>
      </c>
      <c r="N52" t="str">
        <f t="shared" si="12"/>
        <v>Emily</v>
      </c>
      <c r="O52" s="1" t="str">
        <f t="shared" si="13"/>
        <v>ark</v>
      </c>
      <c r="P52" s="1" t="str">
        <f t="shared" si="14"/>
        <v>Emily-ark</v>
      </c>
      <c r="Q52" s="1" t="str">
        <f t="shared" si="15"/>
        <v>Emily</v>
      </c>
      <c r="R52" s="1" t="str">
        <f t="shared" si="16"/>
        <v>ark</v>
      </c>
      <c r="S52">
        <f t="shared" si="17"/>
        <v>11</v>
      </c>
      <c r="T52" s="1"/>
      <c r="U52" s="1" t="str">
        <f t="shared" si="18"/>
        <v>Emily Clark</v>
      </c>
      <c r="V52" s="1" t="str">
        <f t="shared" si="19"/>
        <v>Emily Clark</v>
      </c>
      <c r="W52" s="1" t="str">
        <f t="shared" si="20"/>
        <v>7034.4</v>
      </c>
      <c r="X52" s="1" t="str">
        <f t="shared" si="21"/>
        <v>Emily Clark</v>
      </c>
      <c r="Y52" s="1" t="str">
        <f>UPPER(Table1[[#This Row],[PROPER]])</f>
        <v>EMILY CLARK</v>
      </c>
      <c r="Z52" s="1" t="str">
        <f t="shared" si="22"/>
        <v>Emily Clark</v>
      </c>
      <c r="AA52" s="1" t="str">
        <f t="shared" si="23"/>
        <v>Emily Clark</v>
      </c>
    </row>
    <row r="53" spans="1:27" x14ac:dyDescent="0.3">
      <c r="A53" s="6">
        <v>52</v>
      </c>
      <c r="B53" s="6">
        <v>1030</v>
      </c>
      <c r="C53" t="s">
        <v>18</v>
      </c>
      <c r="D53" t="s">
        <v>19</v>
      </c>
      <c r="E53" t="s">
        <v>15</v>
      </c>
      <c r="F53" t="s">
        <v>27</v>
      </c>
      <c r="G53" s="6">
        <v>4</v>
      </c>
      <c r="H53" s="1">
        <v>1142</v>
      </c>
      <c r="I53" s="5">
        <v>4568</v>
      </c>
      <c r="J53" s="4" t="s">
        <v>77</v>
      </c>
      <c r="K53" s="5">
        <v>1142</v>
      </c>
      <c r="L53" s="2">
        <v>0.05</v>
      </c>
      <c r="M53" s="1">
        <v>4339.6000000000004</v>
      </c>
      <c r="N53" t="str">
        <f t="shared" si="12"/>
        <v xml:space="preserve">Amit </v>
      </c>
      <c r="O53" s="1" t="str">
        <f t="shared" si="13"/>
        <v>hah</v>
      </c>
      <c r="P53" s="1" t="str">
        <f t="shared" si="14"/>
        <v>Amit -hah</v>
      </c>
      <c r="Q53" s="1" t="str">
        <f t="shared" si="15"/>
        <v xml:space="preserve">Amit </v>
      </c>
      <c r="R53" s="1" t="str">
        <f t="shared" si="16"/>
        <v>hah</v>
      </c>
      <c r="S53">
        <f t="shared" si="17"/>
        <v>9</v>
      </c>
      <c r="T53" s="1"/>
      <c r="U53" s="1" t="str">
        <f t="shared" si="18"/>
        <v>Amit Shah</v>
      </c>
      <c r="V53" s="1" t="str">
        <f t="shared" si="19"/>
        <v>Amit Shah</v>
      </c>
      <c r="W53" s="1" t="str">
        <f t="shared" si="20"/>
        <v>4339.6</v>
      </c>
      <c r="X53" s="1" t="str">
        <f t="shared" si="21"/>
        <v>Amit Shah</v>
      </c>
      <c r="Y53" s="1" t="str">
        <f>UPPER(Table1[[#This Row],[PROPER]])</f>
        <v>AMIT SHAH</v>
      </c>
      <c r="Z53" s="1" t="str">
        <f t="shared" si="22"/>
        <v>Amit Shah</v>
      </c>
      <c r="AA53" s="1" t="str">
        <f t="shared" si="23"/>
        <v>Amit Shah</v>
      </c>
    </row>
    <row r="54" spans="1:27" x14ac:dyDescent="0.3">
      <c r="A54" s="6">
        <v>53</v>
      </c>
      <c r="B54" s="6">
        <v>1011</v>
      </c>
      <c r="C54" t="s">
        <v>29</v>
      </c>
      <c r="D54" t="s">
        <v>34</v>
      </c>
      <c r="E54" t="s">
        <v>20</v>
      </c>
      <c r="F54" t="s">
        <v>16</v>
      </c>
      <c r="G54" s="6">
        <v>18</v>
      </c>
      <c r="H54" s="1">
        <v>3233</v>
      </c>
      <c r="I54" s="5">
        <v>58194</v>
      </c>
      <c r="J54" s="4" t="s">
        <v>78</v>
      </c>
      <c r="K54" s="5">
        <v>3233</v>
      </c>
      <c r="L54" s="2">
        <v>0.1</v>
      </c>
      <c r="M54" s="1">
        <v>52374.6</v>
      </c>
      <c r="N54" t="str">
        <f t="shared" si="12"/>
        <v xml:space="preserve">John </v>
      </c>
      <c r="O54" s="1" t="str">
        <f t="shared" si="13"/>
        <v>Doe</v>
      </c>
      <c r="P54" s="1" t="str">
        <f t="shared" si="14"/>
        <v>John -Doe</v>
      </c>
      <c r="Q54" s="1" t="str">
        <f t="shared" si="15"/>
        <v xml:space="preserve">John </v>
      </c>
      <c r="R54" s="1" t="str">
        <f t="shared" si="16"/>
        <v>Doe</v>
      </c>
      <c r="S54">
        <f t="shared" si="17"/>
        <v>8</v>
      </c>
      <c r="T54" s="1"/>
      <c r="U54" s="1" t="str">
        <f t="shared" si="18"/>
        <v>John Doe</v>
      </c>
      <c r="V54" s="1" t="str">
        <f t="shared" si="19"/>
        <v>John Doe</v>
      </c>
      <c r="W54" s="1" t="str">
        <f t="shared" si="20"/>
        <v>52374.6</v>
      </c>
      <c r="X54" s="1" t="str">
        <f t="shared" si="21"/>
        <v>John Doe</v>
      </c>
      <c r="Y54" s="1" t="str">
        <f>UPPER(Table1[[#This Row],[PROPER]])</f>
        <v>JOHN DOE</v>
      </c>
      <c r="Z54" s="1" t="str">
        <f t="shared" si="22"/>
        <v>John Doe</v>
      </c>
      <c r="AA54" s="1" t="str">
        <f t="shared" si="23"/>
        <v>John Doe</v>
      </c>
    </row>
    <row r="55" spans="1:27" x14ac:dyDescent="0.3">
      <c r="A55" s="6">
        <v>54</v>
      </c>
      <c r="B55" s="6">
        <v>1033</v>
      </c>
      <c r="C55" t="s">
        <v>29</v>
      </c>
      <c r="D55" t="s">
        <v>23</v>
      </c>
      <c r="E55" t="s">
        <v>31</v>
      </c>
      <c r="F55" t="s">
        <v>27</v>
      </c>
      <c r="G55" s="6">
        <v>4</v>
      </c>
      <c r="H55" s="1">
        <v>3988</v>
      </c>
      <c r="I55" s="5">
        <v>15952</v>
      </c>
      <c r="J55" s="4" t="s">
        <v>79</v>
      </c>
      <c r="K55" s="5">
        <v>3988</v>
      </c>
      <c r="L55" s="2">
        <v>0.1</v>
      </c>
      <c r="M55" s="1">
        <v>14356.8</v>
      </c>
      <c r="N55" t="str">
        <f t="shared" si="12"/>
        <v xml:space="preserve">John </v>
      </c>
      <c r="O55" s="1" t="str">
        <f t="shared" si="13"/>
        <v>Doe</v>
      </c>
      <c r="P55" s="1" t="str">
        <f t="shared" si="14"/>
        <v>John -Doe</v>
      </c>
      <c r="Q55" s="1" t="str">
        <f t="shared" si="15"/>
        <v xml:space="preserve">John </v>
      </c>
      <c r="R55" s="1" t="str">
        <f t="shared" si="16"/>
        <v>Doe</v>
      </c>
      <c r="S55">
        <f t="shared" si="17"/>
        <v>8</v>
      </c>
      <c r="T55" s="1"/>
      <c r="U55" s="1" t="str">
        <f t="shared" si="18"/>
        <v>John Doe</v>
      </c>
      <c r="V55" s="1" t="str">
        <f t="shared" si="19"/>
        <v>John Doe</v>
      </c>
      <c r="W55" s="1" t="str">
        <f t="shared" si="20"/>
        <v>14356.8</v>
      </c>
      <c r="X55" s="1" t="str">
        <f t="shared" si="21"/>
        <v>John Doe</v>
      </c>
      <c r="Y55" s="1" t="str">
        <f>UPPER(Table1[[#This Row],[PROPER]])</f>
        <v>JOHN DOE</v>
      </c>
      <c r="Z55" s="1" t="str">
        <f t="shared" si="22"/>
        <v>John Doe</v>
      </c>
      <c r="AA55" s="1" t="str">
        <f t="shared" si="23"/>
        <v>John Doe</v>
      </c>
    </row>
    <row r="56" spans="1:27" x14ac:dyDescent="0.3">
      <c r="A56" s="6">
        <v>55</v>
      </c>
      <c r="B56" s="6">
        <v>1051</v>
      </c>
      <c r="C56" t="s">
        <v>40</v>
      </c>
      <c r="D56" t="s">
        <v>25</v>
      </c>
      <c r="E56" t="s">
        <v>41</v>
      </c>
      <c r="F56" t="s">
        <v>27</v>
      </c>
      <c r="G56" s="6">
        <v>20</v>
      </c>
      <c r="H56" s="1">
        <v>1150</v>
      </c>
      <c r="I56" s="5">
        <v>23000</v>
      </c>
      <c r="J56" s="4" t="s">
        <v>80</v>
      </c>
      <c r="K56" s="5">
        <v>1150</v>
      </c>
      <c r="L56" s="2">
        <v>0.1</v>
      </c>
      <c r="M56" s="1">
        <v>20700</v>
      </c>
      <c r="N56" t="str">
        <f t="shared" si="12"/>
        <v xml:space="preserve">Sara </v>
      </c>
      <c r="O56" s="1" t="str">
        <f t="shared" si="13"/>
        <v>Ali</v>
      </c>
      <c r="P56" s="1" t="str">
        <f t="shared" si="14"/>
        <v>Sara -Ali</v>
      </c>
      <c r="Q56" s="1" t="str">
        <f t="shared" si="15"/>
        <v xml:space="preserve">Sara </v>
      </c>
      <c r="R56" s="1" t="str">
        <f t="shared" si="16"/>
        <v>Ali</v>
      </c>
      <c r="S56">
        <f t="shared" si="17"/>
        <v>8</v>
      </c>
      <c r="T56" s="1"/>
      <c r="U56" s="1" t="str">
        <f t="shared" si="18"/>
        <v>Sara Ali</v>
      </c>
      <c r="V56" s="1" t="str">
        <f t="shared" si="19"/>
        <v>Sara Ali</v>
      </c>
      <c r="W56" s="1" t="str">
        <f t="shared" si="20"/>
        <v>20700</v>
      </c>
      <c r="X56" s="1" t="str">
        <f t="shared" si="21"/>
        <v>Sara Ali</v>
      </c>
      <c r="Y56" s="1" t="str">
        <f>UPPER(Table1[[#This Row],[PROPER]])</f>
        <v>SARA ALI</v>
      </c>
      <c r="Z56" s="1" t="str">
        <f t="shared" si="22"/>
        <v>Sara Ali</v>
      </c>
      <c r="AA56" s="1" t="str">
        <f t="shared" si="23"/>
        <v>Sara Ali</v>
      </c>
    </row>
    <row r="57" spans="1:27" x14ac:dyDescent="0.3">
      <c r="A57" s="6">
        <v>56</v>
      </c>
      <c r="B57" s="6">
        <v>1054</v>
      </c>
      <c r="C57" t="s">
        <v>18</v>
      </c>
      <c r="D57" t="s">
        <v>14</v>
      </c>
      <c r="E57" t="s">
        <v>31</v>
      </c>
      <c r="F57" t="s">
        <v>27</v>
      </c>
      <c r="G57" s="6">
        <v>4</v>
      </c>
      <c r="H57" s="1">
        <v>3683</v>
      </c>
      <c r="I57" s="5">
        <v>14732</v>
      </c>
      <c r="J57" s="4" t="s">
        <v>81</v>
      </c>
      <c r="K57" s="5">
        <v>3683</v>
      </c>
      <c r="L57" s="2">
        <v>0.1</v>
      </c>
      <c r="M57" s="1">
        <v>13258.8</v>
      </c>
      <c r="N57" t="str">
        <f t="shared" si="12"/>
        <v xml:space="preserve">Amit </v>
      </c>
      <c r="O57" s="1" t="str">
        <f t="shared" si="13"/>
        <v>hah</v>
      </c>
      <c r="P57" s="1" t="str">
        <f t="shared" si="14"/>
        <v>Amit -hah</v>
      </c>
      <c r="Q57" s="1" t="str">
        <f t="shared" si="15"/>
        <v xml:space="preserve">Amit </v>
      </c>
      <c r="R57" s="1" t="str">
        <f t="shared" si="16"/>
        <v>hah</v>
      </c>
      <c r="S57">
        <f t="shared" si="17"/>
        <v>9</v>
      </c>
      <c r="T57" s="1"/>
      <c r="U57" s="1" t="str">
        <f t="shared" si="18"/>
        <v>Amit Shah</v>
      </c>
      <c r="V57" s="1" t="str">
        <f t="shared" si="19"/>
        <v>Amit Shah</v>
      </c>
      <c r="W57" s="1" t="str">
        <f t="shared" si="20"/>
        <v>13258.8</v>
      </c>
      <c r="X57" s="1" t="str">
        <f t="shared" si="21"/>
        <v>Amit Shah</v>
      </c>
      <c r="Y57" s="1" t="str">
        <f>UPPER(Table1[[#This Row],[PROPER]])</f>
        <v>AMIT SHAH</v>
      </c>
      <c r="Z57" s="1" t="str">
        <f t="shared" si="22"/>
        <v>Amit Shah</v>
      </c>
      <c r="AA57" s="1" t="str">
        <f t="shared" si="23"/>
        <v>Amit Shah</v>
      </c>
    </row>
    <row r="58" spans="1:27" x14ac:dyDescent="0.3">
      <c r="A58" s="6">
        <v>57</v>
      </c>
      <c r="B58" s="6">
        <v>1017</v>
      </c>
      <c r="C58" t="s">
        <v>18</v>
      </c>
      <c r="D58" t="s">
        <v>14</v>
      </c>
      <c r="E58" t="s">
        <v>15</v>
      </c>
      <c r="F58" t="s">
        <v>27</v>
      </c>
      <c r="G58" s="6">
        <v>16</v>
      </c>
      <c r="H58" s="1">
        <v>1120</v>
      </c>
      <c r="I58" s="5">
        <v>17920</v>
      </c>
      <c r="J58" s="4" t="s">
        <v>82</v>
      </c>
      <c r="K58" s="5">
        <v>1120</v>
      </c>
      <c r="L58" s="2">
        <v>0.1</v>
      </c>
      <c r="M58" s="1">
        <v>16128</v>
      </c>
      <c r="N58" t="str">
        <f t="shared" si="12"/>
        <v xml:space="preserve">Amit </v>
      </c>
      <c r="O58" s="1" t="str">
        <f t="shared" si="13"/>
        <v>hah</v>
      </c>
      <c r="P58" s="1" t="str">
        <f t="shared" si="14"/>
        <v>Amit -hah</v>
      </c>
      <c r="Q58" s="1" t="str">
        <f t="shared" si="15"/>
        <v xml:space="preserve">Amit </v>
      </c>
      <c r="R58" s="1" t="str">
        <f t="shared" si="16"/>
        <v>hah</v>
      </c>
      <c r="S58">
        <f t="shared" si="17"/>
        <v>9</v>
      </c>
      <c r="T58" s="1"/>
      <c r="U58" s="1" t="str">
        <f t="shared" si="18"/>
        <v>Amit Shah</v>
      </c>
      <c r="V58" s="1" t="str">
        <f t="shared" si="19"/>
        <v>Amit Shah</v>
      </c>
      <c r="W58" s="1" t="str">
        <f t="shared" si="20"/>
        <v>16128</v>
      </c>
      <c r="X58" s="1" t="str">
        <f t="shared" si="21"/>
        <v>Amit Shah</v>
      </c>
      <c r="Y58" s="1" t="str">
        <f>UPPER(Table1[[#This Row],[PROPER]])</f>
        <v>AMIT SHAH</v>
      </c>
      <c r="Z58" s="1" t="str">
        <f t="shared" si="22"/>
        <v>Amit Shah</v>
      </c>
      <c r="AA58" s="1" t="str">
        <f t="shared" si="23"/>
        <v>Amit Shah</v>
      </c>
    </row>
    <row r="59" spans="1:27" x14ac:dyDescent="0.3">
      <c r="A59" s="6">
        <v>58</v>
      </c>
      <c r="B59" s="6">
        <v>1032</v>
      </c>
      <c r="C59" t="s">
        <v>40</v>
      </c>
      <c r="D59" t="s">
        <v>25</v>
      </c>
      <c r="E59" t="s">
        <v>15</v>
      </c>
      <c r="F59" t="s">
        <v>16</v>
      </c>
      <c r="G59" s="6">
        <v>17</v>
      </c>
      <c r="H59" s="1">
        <v>1975</v>
      </c>
      <c r="I59" s="5">
        <v>33575</v>
      </c>
      <c r="J59" s="4" t="s">
        <v>83</v>
      </c>
      <c r="K59" s="5">
        <v>1975</v>
      </c>
      <c r="L59" s="2">
        <v>0.1</v>
      </c>
      <c r="M59" s="1">
        <v>30217.5</v>
      </c>
      <c r="N59" t="str">
        <f t="shared" si="12"/>
        <v xml:space="preserve">Sara </v>
      </c>
      <c r="O59" s="1" t="str">
        <f t="shared" si="13"/>
        <v>Ali</v>
      </c>
      <c r="P59" s="1" t="str">
        <f t="shared" si="14"/>
        <v>Sara -Ali</v>
      </c>
      <c r="Q59" s="1" t="str">
        <f t="shared" si="15"/>
        <v xml:space="preserve">Sara </v>
      </c>
      <c r="R59" s="1" t="str">
        <f t="shared" si="16"/>
        <v>Ali</v>
      </c>
      <c r="S59">
        <f t="shared" si="17"/>
        <v>8</v>
      </c>
      <c r="T59" s="1"/>
      <c r="U59" s="1" t="str">
        <f t="shared" si="18"/>
        <v>Sara Ali</v>
      </c>
      <c r="V59" s="1" t="str">
        <f t="shared" si="19"/>
        <v>Sara Ali</v>
      </c>
      <c r="W59" s="1" t="str">
        <f t="shared" si="20"/>
        <v>30217.5</v>
      </c>
      <c r="X59" s="1" t="str">
        <f t="shared" si="21"/>
        <v>Sara Ali</v>
      </c>
      <c r="Y59" s="1" t="str">
        <f>UPPER(Table1[[#This Row],[PROPER]])</f>
        <v>SARA ALI</v>
      </c>
      <c r="Z59" s="1" t="str">
        <f t="shared" si="22"/>
        <v>Sara Ali</v>
      </c>
      <c r="AA59" s="1" t="str">
        <f t="shared" si="23"/>
        <v>Sara Ali</v>
      </c>
    </row>
    <row r="60" spans="1:27" x14ac:dyDescent="0.3">
      <c r="A60" s="6">
        <v>59</v>
      </c>
      <c r="B60" s="6">
        <v>1063</v>
      </c>
      <c r="C60" t="s">
        <v>13</v>
      </c>
      <c r="D60" t="s">
        <v>19</v>
      </c>
      <c r="E60" t="s">
        <v>41</v>
      </c>
      <c r="F60" t="s">
        <v>16</v>
      </c>
      <c r="G60" s="6">
        <v>5</v>
      </c>
      <c r="H60" s="1">
        <v>116</v>
      </c>
      <c r="I60" s="5">
        <v>580</v>
      </c>
      <c r="J60" s="4" t="s">
        <v>84</v>
      </c>
      <c r="K60" s="5">
        <v>116</v>
      </c>
      <c r="L60" s="2">
        <v>0.05</v>
      </c>
      <c r="M60" s="1">
        <v>551</v>
      </c>
      <c r="N60" t="str">
        <f t="shared" si="12"/>
        <v xml:space="preserve">Ravi </v>
      </c>
      <c r="O60" s="1" t="str">
        <f t="shared" si="13"/>
        <v>mar</v>
      </c>
      <c r="P60" s="1" t="str">
        <f t="shared" si="14"/>
        <v>Ravi -mar</v>
      </c>
      <c r="Q60" s="1" t="str">
        <f t="shared" si="15"/>
        <v xml:space="preserve">Ravi </v>
      </c>
      <c r="R60" s="1" t="str">
        <f t="shared" si="16"/>
        <v>mar</v>
      </c>
      <c r="S60">
        <f t="shared" si="17"/>
        <v>10</v>
      </c>
      <c r="T60" s="1"/>
      <c r="U60" s="1" t="str">
        <f t="shared" si="18"/>
        <v>Ravi Kumar</v>
      </c>
      <c r="V60" s="1" t="str">
        <f t="shared" si="19"/>
        <v>Ravi Kumar</v>
      </c>
      <c r="W60" s="1" t="str">
        <f t="shared" si="20"/>
        <v>551</v>
      </c>
      <c r="X60" s="1" t="str">
        <f t="shared" si="21"/>
        <v>Ravi Kumar</v>
      </c>
      <c r="Y60" s="1" t="str">
        <f>UPPER(Table1[[#This Row],[PROPER]])</f>
        <v>RAVI KUMAR</v>
      </c>
      <c r="Z60" s="1" t="str">
        <f t="shared" si="22"/>
        <v>Ravi Kumar</v>
      </c>
      <c r="AA60" s="1" t="str">
        <f t="shared" si="23"/>
        <v>Ravi Kumar</v>
      </c>
    </row>
    <row r="61" spans="1:27" x14ac:dyDescent="0.3">
      <c r="A61" s="6">
        <v>60</v>
      </c>
      <c r="B61" s="6">
        <v>1073</v>
      </c>
      <c r="C61" t="s">
        <v>18</v>
      </c>
      <c r="D61" t="s">
        <v>23</v>
      </c>
      <c r="E61" t="s">
        <v>15</v>
      </c>
      <c r="F61" t="s">
        <v>16</v>
      </c>
      <c r="G61" s="6">
        <v>7</v>
      </c>
      <c r="H61" s="1">
        <v>939</v>
      </c>
      <c r="I61" s="5">
        <v>6573</v>
      </c>
      <c r="J61" s="4" t="s">
        <v>28</v>
      </c>
      <c r="K61" s="5">
        <v>939</v>
      </c>
      <c r="L61" s="2">
        <v>0.1</v>
      </c>
      <c r="M61" s="1">
        <v>5915.7</v>
      </c>
      <c r="N61" t="str">
        <f t="shared" si="12"/>
        <v xml:space="preserve">Amit </v>
      </c>
      <c r="O61" s="1" t="str">
        <f t="shared" si="13"/>
        <v>hah</v>
      </c>
      <c r="P61" s="1" t="str">
        <f t="shared" si="14"/>
        <v>Amit -hah</v>
      </c>
      <c r="Q61" s="1" t="str">
        <f t="shared" si="15"/>
        <v xml:space="preserve">Amit </v>
      </c>
      <c r="R61" s="1" t="str">
        <f t="shared" si="16"/>
        <v>hah</v>
      </c>
      <c r="S61">
        <f t="shared" si="17"/>
        <v>9</v>
      </c>
      <c r="T61" s="1"/>
      <c r="U61" s="1" t="str">
        <f t="shared" si="18"/>
        <v>Amit Shah</v>
      </c>
      <c r="V61" s="1" t="str">
        <f t="shared" si="19"/>
        <v>Amit Shah</v>
      </c>
      <c r="W61" s="1" t="str">
        <f t="shared" si="20"/>
        <v>5915.7</v>
      </c>
      <c r="X61" s="1" t="str">
        <f t="shared" si="21"/>
        <v>Amit Shah</v>
      </c>
      <c r="Y61" s="1" t="str">
        <f>UPPER(Table1[[#This Row],[PROPER]])</f>
        <v>AMIT SHAH</v>
      </c>
      <c r="Z61" s="1" t="str">
        <f t="shared" si="22"/>
        <v>Amit Shah</v>
      </c>
      <c r="AA61" s="1" t="str">
        <f t="shared" si="23"/>
        <v>Amit Shah</v>
      </c>
    </row>
    <row r="62" spans="1:27" x14ac:dyDescent="0.3">
      <c r="A62" s="6">
        <v>61</v>
      </c>
      <c r="B62" s="6">
        <v>1046</v>
      </c>
      <c r="C62" t="s">
        <v>40</v>
      </c>
      <c r="D62" t="s">
        <v>14</v>
      </c>
      <c r="E62" t="s">
        <v>41</v>
      </c>
      <c r="F62" t="s">
        <v>27</v>
      </c>
      <c r="G62" s="6">
        <v>20</v>
      </c>
      <c r="H62" s="1">
        <v>2436</v>
      </c>
      <c r="I62" s="5">
        <v>48720</v>
      </c>
      <c r="J62" s="4" t="s">
        <v>85</v>
      </c>
      <c r="K62" s="5">
        <v>2436</v>
      </c>
      <c r="L62" s="2">
        <v>0.1</v>
      </c>
      <c r="M62" s="1">
        <v>43848</v>
      </c>
      <c r="N62" t="str">
        <f t="shared" si="12"/>
        <v xml:space="preserve">Sara </v>
      </c>
      <c r="O62" s="1" t="str">
        <f t="shared" si="13"/>
        <v>Ali</v>
      </c>
      <c r="P62" s="1" t="str">
        <f t="shared" si="14"/>
        <v>Sara -Ali</v>
      </c>
      <c r="Q62" s="1" t="str">
        <f t="shared" si="15"/>
        <v xml:space="preserve">Sara </v>
      </c>
      <c r="R62" s="1" t="str">
        <f t="shared" si="16"/>
        <v>Ali</v>
      </c>
      <c r="S62">
        <f t="shared" si="17"/>
        <v>8</v>
      </c>
      <c r="T62" s="1"/>
      <c r="U62" s="1" t="str">
        <f t="shared" si="18"/>
        <v>Sara Ali</v>
      </c>
      <c r="V62" s="1" t="str">
        <f t="shared" si="19"/>
        <v>Sara Ali</v>
      </c>
      <c r="W62" s="1" t="str">
        <f t="shared" si="20"/>
        <v>43848</v>
      </c>
      <c r="X62" s="1" t="str">
        <f t="shared" si="21"/>
        <v>Sara Ali</v>
      </c>
      <c r="Y62" s="1" t="str">
        <f>UPPER(Table1[[#This Row],[PROPER]])</f>
        <v>SARA ALI</v>
      </c>
      <c r="Z62" s="1" t="str">
        <f t="shared" si="22"/>
        <v>Sara Ali</v>
      </c>
      <c r="AA62" s="1" t="str">
        <f t="shared" si="23"/>
        <v>Sara Ali</v>
      </c>
    </row>
    <row r="63" spans="1:27" x14ac:dyDescent="0.3">
      <c r="A63" s="6">
        <v>62</v>
      </c>
      <c r="B63" s="6">
        <v>1045</v>
      </c>
      <c r="C63" t="s">
        <v>13</v>
      </c>
      <c r="D63" t="s">
        <v>19</v>
      </c>
      <c r="E63" t="s">
        <v>15</v>
      </c>
      <c r="F63" t="s">
        <v>27</v>
      </c>
      <c r="G63" s="6">
        <v>2</v>
      </c>
      <c r="H63" s="1">
        <v>4552</v>
      </c>
      <c r="I63" s="5">
        <v>9104</v>
      </c>
      <c r="J63" s="4" t="s">
        <v>86</v>
      </c>
      <c r="K63" s="5">
        <v>4552</v>
      </c>
      <c r="L63" s="2">
        <v>0.1</v>
      </c>
      <c r="M63" s="1">
        <v>8193.6</v>
      </c>
      <c r="N63" t="str">
        <f t="shared" si="12"/>
        <v xml:space="preserve">Ravi </v>
      </c>
      <c r="O63" s="1" t="str">
        <f t="shared" si="13"/>
        <v>mar</v>
      </c>
      <c r="P63" s="1" t="str">
        <f t="shared" si="14"/>
        <v>Ravi -mar</v>
      </c>
      <c r="Q63" s="1" t="str">
        <f t="shared" si="15"/>
        <v xml:space="preserve">Ravi </v>
      </c>
      <c r="R63" s="1" t="str">
        <f t="shared" si="16"/>
        <v>mar</v>
      </c>
      <c r="S63">
        <f t="shared" si="17"/>
        <v>10</v>
      </c>
      <c r="T63" s="1"/>
      <c r="U63" s="1" t="str">
        <f t="shared" si="18"/>
        <v>Ravi Kumar</v>
      </c>
      <c r="V63" s="1" t="str">
        <f t="shared" si="19"/>
        <v>Ravi Kumar</v>
      </c>
      <c r="W63" s="1" t="str">
        <f t="shared" si="20"/>
        <v>8193.6</v>
      </c>
      <c r="X63" s="1" t="str">
        <f t="shared" si="21"/>
        <v>Ravi Kumar</v>
      </c>
      <c r="Y63" s="1" t="str">
        <f>UPPER(Table1[[#This Row],[PROPER]])</f>
        <v>RAVI KUMAR</v>
      </c>
      <c r="Z63" s="1" t="str">
        <f t="shared" si="22"/>
        <v>Ravi Kumar</v>
      </c>
      <c r="AA63" s="1" t="str">
        <f t="shared" si="23"/>
        <v>Ravi Kumar</v>
      </c>
    </row>
    <row r="64" spans="1:27" x14ac:dyDescent="0.3">
      <c r="A64" s="6">
        <v>63</v>
      </c>
      <c r="B64" s="6">
        <v>1085</v>
      </c>
      <c r="C64" t="s">
        <v>18</v>
      </c>
      <c r="D64" t="s">
        <v>19</v>
      </c>
      <c r="E64" t="s">
        <v>41</v>
      </c>
      <c r="F64" t="s">
        <v>27</v>
      </c>
      <c r="G64" s="6">
        <v>17</v>
      </c>
      <c r="H64" s="1">
        <v>2010</v>
      </c>
      <c r="I64" s="5">
        <v>34170</v>
      </c>
      <c r="J64" s="4" t="s">
        <v>87</v>
      </c>
      <c r="K64" s="5">
        <v>2010</v>
      </c>
      <c r="L64" s="2">
        <v>0.1</v>
      </c>
      <c r="M64" s="1">
        <v>30753</v>
      </c>
      <c r="N64" t="str">
        <f t="shared" si="12"/>
        <v xml:space="preserve">Amit </v>
      </c>
      <c r="O64" s="1" t="str">
        <f t="shared" si="13"/>
        <v>hah</v>
      </c>
      <c r="P64" s="1" t="str">
        <f t="shared" si="14"/>
        <v>Amit -hah</v>
      </c>
      <c r="Q64" s="1" t="str">
        <f t="shared" si="15"/>
        <v xml:space="preserve">Amit </v>
      </c>
      <c r="R64" s="1" t="str">
        <f t="shared" si="16"/>
        <v>hah</v>
      </c>
      <c r="S64">
        <f t="shared" si="17"/>
        <v>9</v>
      </c>
      <c r="T64" s="1"/>
      <c r="U64" s="1" t="str">
        <f t="shared" si="18"/>
        <v>Amit Shah</v>
      </c>
      <c r="V64" s="1" t="str">
        <f t="shared" si="19"/>
        <v>Amit Shah</v>
      </c>
      <c r="W64" s="1" t="str">
        <f t="shared" si="20"/>
        <v>30753</v>
      </c>
      <c r="X64" s="1" t="str">
        <f t="shared" si="21"/>
        <v>Amit Shah</v>
      </c>
      <c r="Y64" s="1" t="str">
        <f>UPPER(Table1[[#This Row],[PROPER]])</f>
        <v>AMIT SHAH</v>
      </c>
      <c r="Z64" s="1" t="str">
        <f t="shared" si="22"/>
        <v>Amit Shah</v>
      </c>
      <c r="AA64" s="1" t="str">
        <f t="shared" si="23"/>
        <v>Amit Shah</v>
      </c>
    </row>
    <row r="65" spans="1:27" x14ac:dyDescent="0.3">
      <c r="A65" s="6">
        <v>64</v>
      </c>
      <c r="B65" s="6">
        <v>1041</v>
      </c>
      <c r="C65" t="s">
        <v>22</v>
      </c>
      <c r="D65" t="s">
        <v>19</v>
      </c>
      <c r="E65" t="s">
        <v>15</v>
      </c>
      <c r="F65" t="s">
        <v>27</v>
      </c>
      <c r="G65" s="6">
        <v>17</v>
      </c>
      <c r="H65" s="1">
        <v>454</v>
      </c>
      <c r="I65" s="5">
        <v>7718</v>
      </c>
      <c r="J65" s="4" t="s">
        <v>88</v>
      </c>
      <c r="K65" s="5">
        <v>454</v>
      </c>
      <c r="L65" s="2">
        <v>0.1</v>
      </c>
      <c r="M65" s="1">
        <v>6946.2</v>
      </c>
      <c r="N65" t="str">
        <f t="shared" si="12"/>
        <v>Emily</v>
      </c>
      <c r="O65" s="1" t="str">
        <f t="shared" si="13"/>
        <v>ark</v>
      </c>
      <c r="P65" s="1" t="str">
        <f t="shared" si="14"/>
        <v>Emily-ark</v>
      </c>
      <c r="Q65" s="1" t="str">
        <f t="shared" si="15"/>
        <v>Emily</v>
      </c>
      <c r="R65" s="1" t="str">
        <f t="shared" si="16"/>
        <v>ark</v>
      </c>
      <c r="S65">
        <f t="shared" si="17"/>
        <v>11</v>
      </c>
      <c r="T65" s="1"/>
      <c r="U65" s="1" t="str">
        <f t="shared" si="18"/>
        <v>Emily Clark</v>
      </c>
      <c r="V65" s="1" t="str">
        <f t="shared" si="19"/>
        <v>Emily Clark</v>
      </c>
      <c r="W65" s="1" t="str">
        <f t="shared" si="20"/>
        <v>6946.2</v>
      </c>
      <c r="X65" s="1" t="str">
        <f t="shared" si="21"/>
        <v>Emily Clark</v>
      </c>
      <c r="Y65" s="1" t="str">
        <f>UPPER(Table1[[#This Row],[PROPER]])</f>
        <v>EMILY CLARK</v>
      </c>
      <c r="Z65" s="1" t="str">
        <f t="shared" si="22"/>
        <v>Emily Clark</v>
      </c>
      <c r="AA65" s="1" t="str">
        <f t="shared" si="23"/>
        <v>Emily Clark</v>
      </c>
    </row>
    <row r="66" spans="1:27" x14ac:dyDescent="0.3">
      <c r="A66" s="6">
        <v>65</v>
      </c>
      <c r="B66" s="6">
        <v>1029</v>
      </c>
      <c r="C66" t="s">
        <v>13</v>
      </c>
      <c r="D66" t="s">
        <v>23</v>
      </c>
      <c r="E66" t="s">
        <v>41</v>
      </c>
      <c r="F66" t="s">
        <v>16</v>
      </c>
      <c r="G66" s="6">
        <v>20</v>
      </c>
      <c r="H66" s="1">
        <v>764</v>
      </c>
      <c r="I66" s="5">
        <v>15280</v>
      </c>
      <c r="J66" s="4" t="s">
        <v>89</v>
      </c>
      <c r="K66" s="5">
        <v>764</v>
      </c>
      <c r="L66" s="2">
        <v>0.1</v>
      </c>
      <c r="M66" s="1">
        <v>13752</v>
      </c>
      <c r="N66" t="str">
        <f t="shared" ref="N66:N97" si="24">LEFT(C66,5)</f>
        <v xml:space="preserve">Ravi </v>
      </c>
      <c r="O66" s="1" t="str">
        <f t="shared" ref="O66:O97" si="25">RIGHT(C66,3)</f>
        <v>mar</v>
      </c>
      <c r="P66" s="1" t="str">
        <f t="shared" ref="P66:P97" si="26">_xlfn.CONCAT(N66,"-",O66)</f>
        <v>Ravi -mar</v>
      </c>
      <c r="Q66" s="1" t="str">
        <f t="shared" ref="Q66:Q97" si="27">LEFT(P66, FIND("-", P66) - 1)</f>
        <v xml:space="preserve">Ravi </v>
      </c>
      <c r="R66" s="1" t="str">
        <f t="shared" ref="R66:R97" si="28">RIGHT(P66, LEN(P66) - FIND("-", P66))</f>
        <v>mar</v>
      </c>
      <c r="S66">
        <f t="shared" ref="S66:S97" si="29">LEN(C66)</f>
        <v>10</v>
      </c>
      <c r="T66" s="1"/>
      <c r="U66" s="1" t="str">
        <f t="shared" ref="U66:U97" si="30">TRIM(C66)</f>
        <v>Ravi Kumar</v>
      </c>
      <c r="V66" s="1" t="str">
        <f t="shared" ref="V66:V97" si="31">CLEAN(C66)</f>
        <v>Ravi Kumar</v>
      </c>
      <c r="W66" s="1" t="str">
        <f t="shared" ref="W66:W97" si="32">SUBSTITUTE(M66,"₹","")</f>
        <v>13752</v>
      </c>
      <c r="X66" s="1" t="str">
        <f t="shared" ref="X66:X97" si="33">PROPER(C66)</f>
        <v>Ravi Kumar</v>
      </c>
      <c r="Y66" s="1" t="str">
        <f>UPPER(Table1[[#This Row],[PROPER]])</f>
        <v>RAVI KUMAR</v>
      </c>
      <c r="Z66" s="1" t="str">
        <f t="shared" ref="Z66:Z97" si="34">SUBSTITUTE(C66,"  "," ")</f>
        <v>Ravi Kumar</v>
      </c>
      <c r="AA66" s="1" t="str">
        <f t="shared" ref="AA66:AA97" si="35">TRIM(CLEAN(C66))</f>
        <v>Ravi Kumar</v>
      </c>
    </row>
    <row r="67" spans="1:27" x14ac:dyDescent="0.3">
      <c r="A67" s="6">
        <v>66</v>
      </c>
      <c r="B67" s="6">
        <v>1020</v>
      </c>
      <c r="C67" t="s">
        <v>40</v>
      </c>
      <c r="D67" t="s">
        <v>23</v>
      </c>
      <c r="E67" t="s">
        <v>41</v>
      </c>
      <c r="F67" t="s">
        <v>16</v>
      </c>
      <c r="G67" s="6">
        <v>2</v>
      </c>
      <c r="H67" s="1">
        <v>761</v>
      </c>
      <c r="I67" s="5">
        <v>1522</v>
      </c>
      <c r="J67" s="4" t="s">
        <v>90</v>
      </c>
      <c r="K67" s="5">
        <v>761</v>
      </c>
      <c r="L67" s="2">
        <v>0.05</v>
      </c>
      <c r="M67" s="1">
        <v>1445.9</v>
      </c>
      <c r="N67" t="str">
        <f t="shared" si="24"/>
        <v xml:space="preserve">Sara </v>
      </c>
      <c r="O67" s="1" t="str">
        <f t="shared" si="25"/>
        <v>Ali</v>
      </c>
      <c r="P67" s="1" t="str">
        <f t="shared" si="26"/>
        <v>Sara -Ali</v>
      </c>
      <c r="Q67" s="1" t="str">
        <f t="shared" si="27"/>
        <v xml:space="preserve">Sara </v>
      </c>
      <c r="R67" s="1" t="str">
        <f t="shared" si="28"/>
        <v>Ali</v>
      </c>
      <c r="S67">
        <f t="shared" si="29"/>
        <v>8</v>
      </c>
      <c r="T67" s="1"/>
      <c r="U67" s="1" t="str">
        <f t="shared" si="30"/>
        <v>Sara Ali</v>
      </c>
      <c r="V67" s="1" t="str">
        <f t="shared" si="31"/>
        <v>Sara Ali</v>
      </c>
      <c r="W67" s="1" t="str">
        <f t="shared" si="32"/>
        <v>1445.9</v>
      </c>
      <c r="X67" s="1" t="str">
        <f t="shared" si="33"/>
        <v>Sara Ali</v>
      </c>
      <c r="Y67" s="1" t="str">
        <f>UPPER(Table1[[#This Row],[PROPER]])</f>
        <v>SARA ALI</v>
      </c>
      <c r="Z67" s="1" t="str">
        <f t="shared" si="34"/>
        <v>Sara Ali</v>
      </c>
      <c r="AA67" s="1" t="str">
        <f t="shared" si="35"/>
        <v>Sara Ali</v>
      </c>
    </row>
    <row r="68" spans="1:27" x14ac:dyDescent="0.3">
      <c r="A68" s="6">
        <v>67</v>
      </c>
      <c r="B68" s="6">
        <v>1050</v>
      </c>
      <c r="C68" t="s">
        <v>22</v>
      </c>
      <c r="D68" t="s">
        <v>14</v>
      </c>
      <c r="E68" t="s">
        <v>26</v>
      </c>
      <c r="F68" t="s">
        <v>27</v>
      </c>
      <c r="G68" s="6">
        <v>5</v>
      </c>
      <c r="H68" s="1">
        <v>247</v>
      </c>
      <c r="I68" s="5">
        <v>1235</v>
      </c>
      <c r="J68" s="4" t="s">
        <v>58</v>
      </c>
      <c r="K68" s="5">
        <v>247</v>
      </c>
      <c r="L68" s="2">
        <v>0.05</v>
      </c>
      <c r="M68" s="1">
        <v>1173.25</v>
      </c>
      <c r="N68" t="str">
        <f t="shared" si="24"/>
        <v>Emily</v>
      </c>
      <c r="O68" s="1" t="str">
        <f t="shared" si="25"/>
        <v>ark</v>
      </c>
      <c r="P68" s="1" t="str">
        <f t="shared" si="26"/>
        <v>Emily-ark</v>
      </c>
      <c r="Q68" s="1" t="str">
        <f t="shared" si="27"/>
        <v>Emily</v>
      </c>
      <c r="R68" s="1" t="str">
        <f t="shared" si="28"/>
        <v>ark</v>
      </c>
      <c r="S68">
        <f t="shared" si="29"/>
        <v>11</v>
      </c>
      <c r="T68" s="1"/>
      <c r="U68" s="1" t="str">
        <f t="shared" si="30"/>
        <v>Emily Clark</v>
      </c>
      <c r="V68" s="1" t="str">
        <f t="shared" si="31"/>
        <v>Emily Clark</v>
      </c>
      <c r="W68" s="1" t="str">
        <f t="shared" si="32"/>
        <v>1173.25</v>
      </c>
      <c r="X68" s="1" t="str">
        <f t="shared" si="33"/>
        <v>Emily Clark</v>
      </c>
      <c r="Y68" s="1" t="str">
        <f>UPPER(Table1[[#This Row],[PROPER]])</f>
        <v>EMILY CLARK</v>
      </c>
      <c r="Z68" s="1" t="str">
        <f t="shared" si="34"/>
        <v>Emily Clark</v>
      </c>
      <c r="AA68" s="1" t="str">
        <f t="shared" si="35"/>
        <v>Emily Clark</v>
      </c>
    </row>
    <row r="69" spans="1:27" x14ac:dyDescent="0.3">
      <c r="A69" s="6">
        <v>68</v>
      </c>
      <c r="B69" s="6">
        <v>1080</v>
      </c>
      <c r="C69" t="s">
        <v>18</v>
      </c>
      <c r="D69" t="s">
        <v>23</v>
      </c>
      <c r="E69" t="s">
        <v>41</v>
      </c>
      <c r="F69" t="s">
        <v>27</v>
      </c>
      <c r="G69" s="6">
        <v>13</v>
      </c>
      <c r="H69" s="1">
        <v>2416</v>
      </c>
      <c r="I69" s="5">
        <v>31408</v>
      </c>
      <c r="J69" s="4" t="s">
        <v>91</v>
      </c>
      <c r="K69" s="5">
        <v>2416</v>
      </c>
      <c r="L69" s="2">
        <v>0.1</v>
      </c>
      <c r="M69" s="1">
        <v>28267.200000000001</v>
      </c>
      <c r="N69" t="str">
        <f t="shared" si="24"/>
        <v xml:space="preserve">Amit </v>
      </c>
      <c r="O69" s="1" t="str">
        <f t="shared" si="25"/>
        <v>hah</v>
      </c>
      <c r="P69" s="1" t="str">
        <f t="shared" si="26"/>
        <v>Amit -hah</v>
      </c>
      <c r="Q69" s="1" t="str">
        <f t="shared" si="27"/>
        <v xml:space="preserve">Amit </v>
      </c>
      <c r="R69" s="1" t="str">
        <f t="shared" si="28"/>
        <v>hah</v>
      </c>
      <c r="S69">
        <f t="shared" si="29"/>
        <v>9</v>
      </c>
      <c r="T69" s="1"/>
      <c r="U69" s="1" t="str">
        <f t="shared" si="30"/>
        <v>Amit Shah</v>
      </c>
      <c r="V69" s="1" t="str">
        <f t="shared" si="31"/>
        <v>Amit Shah</v>
      </c>
      <c r="W69" s="1" t="str">
        <f t="shared" si="32"/>
        <v>28267.2</v>
      </c>
      <c r="X69" s="1" t="str">
        <f t="shared" si="33"/>
        <v>Amit Shah</v>
      </c>
      <c r="Y69" s="1" t="str">
        <f>UPPER(Table1[[#This Row],[PROPER]])</f>
        <v>AMIT SHAH</v>
      </c>
      <c r="Z69" s="1" t="str">
        <f t="shared" si="34"/>
        <v>Amit Shah</v>
      </c>
      <c r="AA69" s="1" t="str">
        <f t="shared" si="35"/>
        <v>Amit Shah</v>
      </c>
    </row>
    <row r="70" spans="1:27" x14ac:dyDescent="0.3">
      <c r="A70" s="6">
        <v>69</v>
      </c>
      <c r="C70" t="s">
        <v>13</v>
      </c>
      <c r="D70" t="s">
        <v>25</v>
      </c>
      <c r="E70" t="s">
        <v>20</v>
      </c>
      <c r="F70" t="s">
        <v>16</v>
      </c>
      <c r="G70" s="6">
        <v>13</v>
      </c>
      <c r="H70" s="1">
        <v>3238</v>
      </c>
      <c r="I70" s="5">
        <v>42094</v>
      </c>
      <c r="J70" s="4" t="s">
        <v>92</v>
      </c>
      <c r="K70" s="5">
        <v>3238</v>
      </c>
      <c r="L70" s="2">
        <v>0.1</v>
      </c>
      <c r="M70" s="1">
        <v>37884.6</v>
      </c>
      <c r="N70" t="str">
        <f t="shared" si="24"/>
        <v xml:space="preserve">Ravi </v>
      </c>
      <c r="O70" s="1" t="str">
        <f t="shared" si="25"/>
        <v>mar</v>
      </c>
      <c r="P70" s="1" t="str">
        <f t="shared" si="26"/>
        <v>Ravi -mar</v>
      </c>
      <c r="Q70" s="1" t="str">
        <f t="shared" si="27"/>
        <v xml:space="preserve">Ravi </v>
      </c>
      <c r="R70" s="1" t="str">
        <f t="shared" si="28"/>
        <v>mar</v>
      </c>
      <c r="S70">
        <f t="shared" si="29"/>
        <v>10</v>
      </c>
      <c r="T70" s="1"/>
      <c r="U70" s="1" t="str">
        <f t="shared" si="30"/>
        <v>Ravi Kumar</v>
      </c>
      <c r="V70" s="1" t="str">
        <f t="shared" si="31"/>
        <v>Ravi Kumar</v>
      </c>
      <c r="W70" s="1" t="str">
        <f t="shared" si="32"/>
        <v>37884.6</v>
      </c>
      <c r="X70" s="1" t="str">
        <f t="shared" si="33"/>
        <v>Ravi Kumar</v>
      </c>
      <c r="Y70" s="1" t="str">
        <f>UPPER(Table1[[#This Row],[PROPER]])</f>
        <v>RAVI KUMAR</v>
      </c>
      <c r="Z70" s="1" t="str">
        <f t="shared" si="34"/>
        <v>Ravi Kumar</v>
      </c>
      <c r="AA70" s="1" t="str">
        <f t="shared" si="35"/>
        <v>Ravi Kumar</v>
      </c>
    </row>
    <row r="71" spans="1:27" x14ac:dyDescent="0.3">
      <c r="A71" s="6">
        <v>70</v>
      </c>
      <c r="B71" s="6">
        <v>1059</v>
      </c>
      <c r="C71" t="s">
        <v>40</v>
      </c>
      <c r="D71" t="s">
        <v>23</v>
      </c>
      <c r="E71" t="s">
        <v>41</v>
      </c>
      <c r="F71" t="s">
        <v>16</v>
      </c>
      <c r="G71" s="6">
        <v>1</v>
      </c>
      <c r="H71" s="1">
        <v>2019</v>
      </c>
      <c r="I71" s="5">
        <v>2019</v>
      </c>
      <c r="J71" s="4" t="s">
        <v>93</v>
      </c>
      <c r="K71" s="5">
        <v>2019</v>
      </c>
      <c r="L71" s="2">
        <v>0.05</v>
      </c>
      <c r="M71" s="1">
        <v>1918.05</v>
      </c>
      <c r="N71" t="str">
        <f t="shared" si="24"/>
        <v xml:space="preserve">Sara </v>
      </c>
      <c r="O71" s="1" t="str">
        <f t="shared" si="25"/>
        <v>Ali</v>
      </c>
      <c r="P71" s="1" t="str">
        <f t="shared" si="26"/>
        <v>Sara -Ali</v>
      </c>
      <c r="Q71" s="1" t="str">
        <f t="shared" si="27"/>
        <v xml:space="preserve">Sara </v>
      </c>
      <c r="R71" s="1" t="str">
        <f t="shared" si="28"/>
        <v>Ali</v>
      </c>
      <c r="S71">
        <f t="shared" si="29"/>
        <v>8</v>
      </c>
      <c r="T71" s="1"/>
      <c r="U71" s="1" t="str">
        <f t="shared" si="30"/>
        <v>Sara Ali</v>
      </c>
      <c r="V71" s="1" t="str">
        <f t="shared" si="31"/>
        <v>Sara Ali</v>
      </c>
      <c r="W71" s="1" t="str">
        <f t="shared" si="32"/>
        <v>1918.05</v>
      </c>
      <c r="X71" s="1" t="str">
        <f t="shared" si="33"/>
        <v>Sara Ali</v>
      </c>
      <c r="Y71" s="1" t="str">
        <f>UPPER(Table1[[#This Row],[PROPER]])</f>
        <v>SARA ALI</v>
      </c>
      <c r="Z71" s="1" t="str">
        <f t="shared" si="34"/>
        <v>Sara Ali</v>
      </c>
      <c r="AA71" s="1" t="str">
        <f t="shared" si="35"/>
        <v>Sara Ali</v>
      </c>
    </row>
    <row r="72" spans="1:27" x14ac:dyDescent="0.3">
      <c r="A72" s="6">
        <v>71</v>
      </c>
      <c r="B72" s="6">
        <v>1049</v>
      </c>
      <c r="C72" t="s">
        <v>22</v>
      </c>
      <c r="D72" t="s">
        <v>23</v>
      </c>
      <c r="E72" t="s">
        <v>26</v>
      </c>
      <c r="F72" t="s">
        <v>16</v>
      </c>
      <c r="G72" s="6">
        <v>11</v>
      </c>
      <c r="H72" s="1">
        <v>1195</v>
      </c>
      <c r="I72" s="5">
        <v>13145</v>
      </c>
      <c r="J72" s="4" t="s">
        <v>94</v>
      </c>
      <c r="K72" s="5">
        <v>1195</v>
      </c>
      <c r="L72" s="2">
        <v>0.1</v>
      </c>
      <c r="M72" s="1">
        <v>11830.5</v>
      </c>
      <c r="N72" t="str">
        <f t="shared" si="24"/>
        <v>Emily</v>
      </c>
      <c r="O72" s="1" t="str">
        <f t="shared" si="25"/>
        <v>ark</v>
      </c>
      <c r="P72" s="1" t="str">
        <f t="shared" si="26"/>
        <v>Emily-ark</v>
      </c>
      <c r="Q72" s="1" t="str">
        <f t="shared" si="27"/>
        <v>Emily</v>
      </c>
      <c r="R72" s="1" t="str">
        <f t="shared" si="28"/>
        <v>ark</v>
      </c>
      <c r="S72">
        <f t="shared" si="29"/>
        <v>11</v>
      </c>
      <c r="T72" s="1"/>
      <c r="U72" s="1" t="str">
        <f t="shared" si="30"/>
        <v>Emily Clark</v>
      </c>
      <c r="V72" s="1" t="str">
        <f t="shared" si="31"/>
        <v>Emily Clark</v>
      </c>
      <c r="W72" s="1" t="str">
        <f t="shared" si="32"/>
        <v>11830.5</v>
      </c>
      <c r="X72" s="1" t="str">
        <f t="shared" si="33"/>
        <v>Emily Clark</v>
      </c>
      <c r="Y72" s="1" t="str">
        <f>UPPER(Table1[[#This Row],[PROPER]])</f>
        <v>EMILY CLARK</v>
      </c>
      <c r="Z72" s="1" t="str">
        <f t="shared" si="34"/>
        <v>Emily Clark</v>
      </c>
      <c r="AA72" s="1" t="str">
        <f t="shared" si="35"/>
        <v>Emily Clark</v>
      </c>
    </row>
    <row r="73" spans="1:27" x14ac:dyDescent="0.3">
      <c r="A73" s="6">
        <v>72</v>
      </c>
      <c r="B73" s="6">
        <v>1061</v>
      </c>
      <c r="C73" t="s">
        <v>22</v>
      </c>
      <c r="D73" t="s">
        <v>23</v>
      </c>
      <c r="E73" t="s">
        <v>31</v>
      </c>
      <c r="F73" t="s">
        <v>27</v>
      </c>
      <c r="G73" s="6">
        <v>11</v>
      </c>
      <c r="H73" s="1">
        <v>2095</v>
      </c>
      <c r="I73" s="5">
        <v>23045</v>
      </c>
      <c r="J73" s="4" t="s">
        <v>95</v>
      </c>
      <c r="K73" s="5">
        <v>2095</v>
      </c>
      <c r="L73" s="2">
        <v>0.1</v>
      </c>
      <c r="M73" s="1">
        <v>20740.5</v>
      </c>
      <c r="N73" t="str">
        <f t="shared" si="24"/>
        <v>Emily</v>
      </c>
      <c r="O73" s="1" t="str">
        <f t="shared" si="25"/>
        <v>ark</v>
      </c>
      <c r="P73" s="1" t="str">
        <f t="shared" si="26"/>
        <v>Emily-ark</v>
      </c>
      <c r="Q73" s="1" t="str">
        <f t="shared" si="27"/>
        <v>Emily</v>
      </c>
      <c r="R73" s="1" t="str">
        <f t="shared" si="28"/>
        <v>ark</v>
      </c>
      <c r="S73">
        <f t="shared" si="29"/>
        <v>11</v>
      </c>
      <c r="T73" s="1"/>
      <c r="U73" s="1" t="str">
        <f t="shared" si="30"/>
        <v>Emily Clark</v>
      </c>
      <c r="V73" s="1" t="str">
        <f t="shared" si="31"/>
        <v>Emily Clark</v>
      </c>
      <c r="W73" s="1" t="str">
        <f t="shared" si="32"/>
        <v>20740.5</v>
      </c>
      <c r="X73" s="1" t="str">
        <f t="shared" si="33"/>
        <v>Emily Clark</v>
      </c>
      <c r="Y73" s="1" t="str">
        <f>UPPER(Table1[[#This Row],[PROPER]])</f>
        <v>EMILY CLARK</v>
      </c>
      <c r="Z73" s="1" t="str">
        <f t="shared" si="34"/>
        <v>Emily Clark</v>
      </c>
      <c r="AA73" s="1" t="str">
        <f t="shared" si="35"/>
        <v>Emily Clark</v>
      </c>
    </row>
    <row r="74" spans="1:27" x14ac:dyDescent="0.3">
      <c r="A74" s="6">
        <v>73</v>
      </c>
      <c r="B74" s="6">
        <v>1013</v>
      </c>
      <c r="C74" t="s">
        <v>40</v>
      </c>
      <c r="D74" t="s">
        <v>19</v>
      </c>
      <c r="E74" t="s">
        <v>31</v>
      </c>
      <c r="F74" t="s">
        <v>16</v>
      </c>
      <c r="G74" s="6">
        <v>20</v>
      </c>
      <c r="H74" s="1">
        <v>1217</v>
      </c>
      <c r="I74" s="5">
        <v>24340</v>
      </c>
      <c r="J74" s="4" t="s">
        <v>96</v>
      </c>
      <c r="K74" s="5">
        <v>1217</v>
      </c>
      <c r="L74" s="2">
        <v>0.1</v>
      </c>
      <c r="M74" s="1">
        <v>21906</v>
      </c>
      <c r="N74" t="str">
        <f t="shared" si="24"/>
        <v xml:space="preserve">Sara </v>
      </c>
      <c r="O74" s="1" t="str">
        <f t="shared" si="25"/>
        <v>Ali</v>
      </c>
      <c r="P74" s="1" t="str">
        <f t="shared" si="26"/>
        <v>Sara -Ali</v>
      </c>
      <c r="Q74" s="1" t="str">
        <f t="shared" si="27"/>
        <v xml:space="preserve">Sara </v>
      </c>
      <c r="R74" s="1" t="str">
        <f t="shared" si="28"/>
        <v>Ali</v>
      </c>
      <c r="S74">
        <f t="shared" si="29"/>
        <v>8</v>
      </c>
      <c r="T74" s="1"/>
      <c r="U74" s="1" t="str">
        <f t="shared" si="30"/>
        <v>Sara Ali</v>
      </c>
      <c r="V74" s="1" t="str">
        <f t="shared" si="31"/>
        <v>Sara Ali</v>
      </c>
      <c r="W74" s="1" t="str">
        <f t="shared" si="32"/>
        <v>21906</v>
      </c>
      <c r="X74" s="1" t="str">
        <f t="shared" si="33"/>
        <v>Sara Ali</v>
      </c>
      <c r="Y74" s="1" t="str">
        <f>UPPER(Table1[[#This Row],[PROPER]])</f>
        <v>SARA ALI</v>
      </c>
      <c r="Z74" s="1" t="str">
        <f t="shared" si="34"/>
        <v>Sara Ali</v>
      </c>
      <c r="AA74" s="1" t="str">
        <f t="shared" si="35"/>
        <v>Sara Ali</v>
      </c>
    </row>
    <row r="75" spans="1:27" x14ac:dyDescent="0.3">
      <c r="A75" s="6">
        <v>74</v>
      </c>
      <c r="B75" s="6">
        <v>1095</v>
      </c>
      <c r="C75" t="s">
        <v>18</v>
      </c>
      <c r="D75" t="s">
        <v>34</v>
      </c>
      <c r="E75" t="s">
        <v>26</v>
      </c>
      <c r="F75" t="s">
        <v>27</v>
      </c>
      <c r="G75" s="6">
        <v>3</v>
      </c>
      <c r="H75" s="1">
        <v>1796</v>
      </c>
      <c r="I75" s="5">
        <v>5388</v>
      </c>
      <c r="J75" s="4" t="s">
        <v>97</v>
      </c>
      <c r="K75" s="5">
        <v>1796</v>
      </c>
      <c r="L75" s="2">
        <v>0.1</v>
      </c>
      <c r="M75" s="1">
        <v>4849.2</v>
      </c>
      <c r="N75" t="str">
        <f t="shared" si="24"/>
        <v xml:space="preserve">Amit </v>
      </c>
      <c r="O75" s="1" t="str">
        <f t="shared" si="25"/>
        <v>hah</v>
      </c>
      <c r="P75" s="1" t="str">
        <f t="shared" si="26"/>
        <v>Amit -hah</v>
      </c>
      <c r="Q75" s="1" t="str">
        <f t="shared" si="27"/>
        <v xml:space="preserve">Amit </v>
      </c>
      <c r="R75" s="1" t="str">
        <f t="shared" si="28"/>
        <v>hah</v>
      </c>
      <c r="S75">
        <f t="shared" si="29"/>
        <v>9</v>
      </c>
      <c r="T75" s="1"/>
      <c r="U75" s="1" t="str">
        <f t="shared" si="30"/>
        <v>Amit Shah</v>
      </c>
      <c r="V75" s="1" t="str">
        <f t="shared" si="31"/>
        <v>Amit Shah</v>
      </c>
      <c r="W75" s="1" t="str">
        <f t="shared" si="32"/>
        <v>4849.2</v>
      </c>
      <c r="X75" s="1" t="str">
        <f t="shared" si="33"/>
        <v>Amit Shah</v>
      </c>
      <c r="Y75" s="1" t="str">
        <f>UPPER(Table1[[#This Row],[PROPER]])</f>
        <v>AMIT SHAH</v>
      </c>
      <c r="Z75" s="1" t="str">
        <f t="shared" si="34"/>
        <v>Amit Shah</v>
      </c>
      <c r="AA75" s="1" t="str">
        <f t="shared" si="35"/>
        <v>Amit Shah</v>
      </c>
    </row>
    <row r="76" spans="1:27" x14ac:dyDescent="0.3">
      <c r="A76" s="6">
        <v>75</v>
      </c>
      <c r="B76" s="6">
        <v>1076</v>
      </c>
      <c r="C76" t="s">
        <v>29</v>
      </c>
      <c r="D76" t="s">
        <v>19</v>
      </c>
      <c r="E76" t="s">
        <v>15</v>
      </c>
      <c r="F76" t="s">
        <v>16</v>
      </c>
      <c r="G76" s="6">
        <v>3</v>
      </c>
      <c r="H76" s="1">
        <v>3850</v>
      </c>
      <c r="I76" s="5">
        <v>11550</v>
      </c>
      <c r="J76" s="4" t="s">
        <v>98</v>
      </c>
      <c r="K76" s="5">
        <v>3850</v>
      </c>
      <c r="L76" s="2">
        <v>0.1</v>
      </c>
      <c r="M76" s="1">
        <v>10395</v>
      </c>
      <c r="N76" t="str">
        <f t="shared" si="24"/>
        <v xml:space="preserve">John </v>
      </c>
      <c r="O76" s="1" t="str">
        <f t="shared" si="25"/>
        <v>Doe</v>
      </c>
      <c r="P76" s="1" t="str">
        <f t="shared" si="26"/>
        <v>John -Doe</v>
      </c>
      <c r="Q76" s="1" t="str">
        <f t="shared" si="27"/>
        <v xml:space="preserve">John </v>
      </c>
      <c r="R76" s="1" t="str">
        <f t="shared" si="28"/>
        <v>Doe</v>
      </c>
      <c r="S76">
        <f t="shared" si="29"/>
        <v>8</v>
      </c>
      <c r="T76" s="1"/>
      <c r="U76" s="1" t="str">
        <f t="shared" si="30"/>
        <v>John Doe</v>
      </c>
      <c r="V76" s="1" t="str">
        <f t="shared" si="31"/>
        <v>John Doe</v>
      </c>
      <c r="W76" s="1" t="str">
        <f t="shared" si="32"/>
        <v>10395</v>
      </c>
      <c r="X76" s="1" t="str">
        <f t="shared" si="33"/>
        <v>John Doe</v>
      </c>
      <c r="Y76" s="1" t="str">
        <f>UPPER(Table1[[#This Row],[PROPER]])</f>
        <v>JOHN DOE</v>
      </c>
      <c r="Z76" s="1" t="str">
        <f t="shared" si="34"/>
        <v>John Doe</v>
      </c>
      <c r="AA76" s="1" t="str">
        <f t="shared" si="35"/>
        <v>John Doe</v>
      </c>
    </row>
    <row r="77" spans="1:27" x14ac:dyDescent="0.3">
      <c r="A77" s="6">
        <v>76</v>
      </c>
      <c r="B77" s="6">
        <v>1098</v>
      </c>
      <c r="C77" t="s">
        <v>22</v>
      </c>
      <c r="D77" t="s">
        <v>14</v>
      </c>
      <c r="E77" t="s">
        <v>26</v>
      </c>
      <c r="F77" t="s">
        <v>16</v>
      </c>
      <c r="G77" s="6">
        <v>14</v>
      </c>
      <c r="H77" s="1">
        <v>3545</v>
      </c>
      <c r="I77" s="5">
        <v>49630</v>
      </c>
      <c r="J77" s="4" t="s">
        <v>99</v>
      </c>
      <c r="K77" s="5">
        <v>3545</v>
      </c>
      <c r="L77" s="2">
        <v>0.1</v>
      </c>
      <c r="M77" s="1">
        <v>44667</v>
      </c>
      <c r="N77" t="str">
        <f t="shared" si="24"/>
        <v>Emily</v>
      </c>
      <c r="O77" s="1" t="str">
        <f t="shared" si="25"/>
        <v>ark</v>
      </c>
      <c r="P77" s="1" t="str">
        <f t="shared" si="26"/>
        <v>Emily-ark</v>
      </c>
      <c r="Q77" s="1" t="str">
        <f t="shared" si="27"/>
        <v>Emily</v>
      </c>
      <c r="R77" s="1" t="str">
        <f t="shared" si="28"/>
        <v>ark</v>
      </c>
      <c r="S77">
        <f t="shared" si="29"/>
        <v>11</v>
      </c>
      <c r="T77" s="1"/>
      <c r="U77" s="1" t="str">
        <f t="shared" si="30"/>
        <v>Emily Clark</v>
      </c>
      <c r="V77" s="1" t="str">
        <f t="shared" si="31"/>
        <v>Emily Clark</v>
      </c>
      <c r="W77" s="1" t="str">
        <f t="shared" si="32"/>
        <v>44667</v>
      </c>
      <c r="X77" s="1" t="str">
        <f t="shared" si="33"/>
        <v>Emily Clark</v>
      </c>
      <c r="Y77" s="1" t="str">
        <f>UPPER(Table1[[#This Row],[PROPER]])</f>
        <v>EMILY CLARK</v>
      </c>
      <c r="Z77" s="1" t="str">
        <f t="shared" si="34"/>
        <v>Emily Clark</v>
      </c>
      <c r="AA77" s="1" t="str">
        <f t="shared" si="35"/>
        <v>Emily Clark</v>
      </c>
    </row>
    <row r="78" spans="1:27" x14ac:dyDescent="0.3">
      <c r="A78" s="6">
        <v>77</v>
      </c>
      <c r="B78" s="6">
        <v>1079</v>
      </c>
      <c r="C78" t="s">
        <v>40</v>
      </c>
      <c r="D78" t="s">
        <v>19</v>
      </c>
      <c r="E78" t="s">
        <v>26</v>
      </c>
      <c r="F78" t="s">
        <v>27</v>
      </c>
      <c r="G78" s="6">
        <v>7</v>
      </c>
      <c r="H78" s="1">
        <v>2031</v>
      </c>
      <c r="I78" s="5">
        <v>14217</v>
      </c>
      <c r="J78" s="4" t="s">
        <v>100</v>
      </c>
      <c r="K78" s="5">
        <v>2031</v>
      </c>
      <c r="L78" s="2">
        <v>0.1</v>
      </c>
      <c r="M78" s="1">
        <v>12795.3</v>
      </c>
      <c r="N78" t="str">
        <f t="shared" si="24"/>
        <v xml:space="preserve">Sara </v>
      </c>
      <c r="O78" s="1" t="str">
        <f t="shared" si="25"/>
        <v>Ali</v>
      </c>
      <c r="P78" s="1" t="str">
        <f t="shared" si="26"/>
        <v>Sara -Ali</v>
      </c>
      <c r="Q78" s="1" t="str">
        <f t="shared" si="27"/>
        <v xml:space="preserve">Sara </v>
      </c>
      <c r="R78" s="1" t="str">
        <f t="shared" si="28"/>
        <v>Ali</v>
      </c>
      <c r="S78">
        <f t="shared" si="29"/>
        <v>8</v>
      </c>
      <c r="T78" s="1"/>
      <c r="U78" s="1" t="str">
        <f t="shared" si="30"/>
        <v>Sara Ali</v>
      </c>
      <c r="V78" s="1" t="str">
        <f t="shared" si="31"/>
        <v>Sara Ali</v>
      </c>
      <c r="W78" s="1" t="str">
        <f t="shared" si="32"/>
        <v>12795.3</v>
      </c>
      <c r="X78" s="1" t="str">
        <f t="shared" si="33"/>
        <v>Sara Ali</v>
      </c>
      <c r="Y78" s="1" t="str">
        <f>UPPER(Table1[[#This Row],[PROPER]])</f>
        <v>SARA ALI</v>
      </c>
      <c r="Z78" s="1" t="str">
        <f t="shared" si="34"/>
        <v>Sara Ali</v>
      </c>
      <c r="AA78" s="1" t="str">
        <f t="shared" si="35"/>
        <v>Sara Ali</v>
      </c>
    </row>
    <row r="79" spans="1:27" x14ac:dyDescent="0.3">
      <c r="A79" s="6">
        <v>78</v>
      </c>
      <c r="B79" s="6">
        <v>1021</v>
      </c>
      <c r="C79" t="s">
        <v>29</v>
      </c>
      <c r="D79" t="s">
        <v>14</v>
      </c>
      <c r="E79" t="s">
        <v>41</v>
      </c>
      <c r="F79" t="s">
        <v>16</v>
      </c>
      <c r="G79" s="6">
        <v>9</v>
      </c>
      <c r="H79" s="1">
        <v>2867</v>
      </c>
      <c r="I79" s="5">
        <v>25803</v>
      </c>
      <c r="J79" s="4" t="s">
        <v>101</v>
      </c>
      <c r="K79" s="5">
        <v>2867</v>
      </c>
      <c r="L79" s="2">
        <v>0.1</v>
      </c>
      <c r="M79" s="1">
        <v>23222.7</v>
      </c>
      <c r="N79" t="str">
        <f t="shared" si="24"/>
        <v xml:space="preserve">John </v>
      </c>
      <c r="O79" s="1" t="str">
        <f t="shared" si="25"/>
        <v>Doe</v>
      </c>
      <c r="P79" s="1" t="str">
        <f t="shared" si="26"/>
        <v>John -Doe</v>
      </c>
      <c r="Q79" s="1" t="str">
        <f t="shared" si="27"/>
        <v xml:space="preserve">John </v>
      </c>
      <c r="R79" s="1" t="str">
        <f t="shared" si="28"/>
        <v>Doe</v>
      </c>
      <c r="S79">
        <f t="shared" si="29"/>
        <v>8</v>
      </c>
      <c r="T79" s="1"/>
      <c r="U79" s="1" t="str">
        <f t="shared" si="30"/>
        <v>John Doe</v>
      </c>
      <c r="V79" s="1" t="str">
        <f t="shared" si="31"/>
        <v>John Doe</v>
      </c>
      <c r="W79" s="1" t="str">
        <f t="shared" si="32"/>
        <v>23222.7</v>
      </c>
      <c r="X79" s="1" t="str">
        <f t="shared" si="33"/>
        <v>John Doe</v>
      </c>
      <c r="Y79" s="1" t="str">
        <f>UPPER(Table1[[#This Row],[PROPER]])</f>
        <v>JOHN DOE</v>
      </c>
      <c r="Z79" s="1" t="str">
        <f t="shared" si="34"/>
        <v>John Doe</v>
      </c>
      <c r="AA79" s="1" t="str">
        <f t="shared" si="35"/>
        <v>John Doe</v>
      </c>
    </row>
    <row r="80" spans="1:27" x14ac:dyDescent="0.3">
      <c r="A80" s="6">
        <v>79</v>
      </c>
      <c r="B80" s="6">
        <v>1016</v>
      </c>
      <c r="C80" t="s">
        <v>22</v>
      </c>
      <c r="D80" t="s">
        <v>19</v>
      </c>
      <c r="E80" t="s">
        <v>41</v>
      </c>
      <c r="F80" t="s">
        <v>27</v>
      </c>
      <c r="G80" s="6">
        <v>8</v>
      </c>
      <c r="H80" s="1">
        <v>3111</v>
      </c>
      <c r="I80" s="5">
        <v>24888</v>
      </c>
      <c r="J80" s="4" t="s">
        <v>98</v>
      </c>
      <c r="K80" s="5">
        <v>3111</v>
      </c>
      <c r="L80" s="2">
        <v>0.1</v>
      </c>
      <c r="M80" s="1">
        <v>22399.200000000001</v>
      </c>
      <c r="N80" t="str">
        <f t="shared" si="24"/>
        <v>Emily</v>
      </c>
      <c r="O80" s="1" t="str">
        <f t="shared" si="25"/>
        <v>ark</v>
      </c>
      <c r="P80" s="1" t="str">
        <f t="shared" si="26"/>
        <v>Emily-ark</v>
      </c>
      <c r="Q80" s="1" t="str">
        <f t="shared" si="27"/>
        <v>Emily</v>
      </c>
      <c r="R80" s="1" t="str">
        <f t="shared" si="28"/>
        <v>ark</v>
      </c>
      <c r="S80">
        <f t="shared" si="29"/>
        <v>11</v>
      </c>
      <c r="T80" s="1"/>
      <c r="U80" s="1" t="str">
        <f t="shared" si="30"/>
        <v>Emily Clark</v>
      </c>
      <c r="V80" s="1" t="str">
        <f t="shared" si="31"/>
        <v>Emily Clark</v>
      </c>
      <c r="W80" s="1" t="str">
        <f t="shared" si="32"/>
        <v>22399.2</v>
      </c>
      <c r="X80" s="1" t="str">
        <f t="shared" si="33"/>
        <v>Emily Clark</v>
      </c>
      <c r="Y80" s="1" t="str">
        <f>UPPER(Table1[[#This Row],[PROPER]])</f>
        <v>EMILY CLARK</v>
      </c>
      <c r="Z80" s="1" t="str">
        <f t="shared" si="34"/>
        <v>Emily Clark</v>
      </c>
      <c r="AA80" s="1" t="str">
        <f t="shared" si="35"/>
        <v>Emily Clark</v>
      </c>
    </row>
    <row r="81" spans="1:27" x14ac:dyDescent="0.3">
      <c r="A81" s="6">
        <v>80</v>
      </c>
      <c r="B81" s="6">
        <v>1089</v>
      </c>
      <c r="C81" t="s">
        <v>40</v>
      </c>
      <c r="D81" t="s">
        <v>23</v>
      </c>
      <c r="E81" t="s">
        <v>41</v>
      </c>
      <c r="F81" t="s">
        <v>27</v>
      </c>
      <c r="G81" s="6">
        <v>8</v>
      </c>
      <c r="H81" s="1">
        <v>3263</v>
      </c>
      <c r="I81" s="5">
        <v>26104</v>
      </c>
      <c r="J81" s="4" t="s">
        <v>102</v>
      </c>
      <c r="K81" s="5">
        <v>3263</v>
      </c>
      <c r="L81" s="2">
        <v>0.1</v>
      </c>
      <c r="M81" s="1">
        <v>23493.599999999999</v>
      </c>
      <c r="N81" t="str">
        <f t="shared" si="24"/>
        <v xml:space="preserve">Sara </v>
      </c>
      <c r="O81" s="1" t="str">
        <f t="shared" si="25"/>
        <v>Ali</v>
      </c>
      <c r="P81" s="1" t="str">
        <f t="shared" si="26"/>
        <v>Sara -Ali</v>
      </c>
      <c r="Q81" s="1" t="str">
        <f t="shared" si="27"/>
        <v xml:space="preserve">Sara </v>
      </c>
      <c r="R81" s="1" t="str">
        <f t="shared" si="28"/>
        <v>Ali</v>
      </c>
      <c r="S81">
        <f t="shared" si="29"/>
        <v>8</v>
      </c>
      <c r="T81" s="1"/>
      <c r="U81" s="1" t="str">
        <f t="shared" si="30"/>
        <v>Sara Ali</v>
      </c>
      <c r="V81" s="1" t="str">
        <f t="shared" si="31"/>
        <v>Sara Ali</v>
      </c>
      <c r="W81" s="1" t="str">
        <f t="shared" si="32"/>
        <v>23493.6</v>
      </c>
      <c r="X81" s="1" t="str">
        <f t="shared" si="33"/>
        <v>Sara Ali</v>
      </c>
      <c r="Y81" s="1" t="str">
        <f>UPPER(Table1[[#This Row],[PROPER]])</f>
        <v>SARA ALI</v>
      </c>
      <c r="Z81" s="1" t="str">
        <f t="shared" si="34"/>
        <v>Sara Ali</v>
      </c>
      <c r="AA81" s="1" t="str">
        <f t="shared" si="35"/>
        <v>Sara Ali</v>
      </c>
    </row>
    <row r="82" spans="1:27" x14ac:dyDescent="0.3">
      <c r="A82" s="6">
        <v>81</v>
      </c>
      <c r="B82" s="6">
        <v>1017</v>
      </c>
      <c r="C82" t="s">
        <v>18</v>
      </c>
      <c r="D82" t="s">
        <v>25</v>
      </c>
      <c r="E82" t="s">
        <v>20</v>
      </c>
      <c r="F82" t="s">
        <v>16</v>
      </c>
      <c r="G82" s="6">
        <v>13</v>
      </c>
      <c r="H82" s="1">
        <v>2951</v>
      </c>
      <c r="I82" s="5">
        <v>38363</v>
      </c>
      <c r="J82" s="4" t="s">
        <v>103</v>
      </c>
      <c r="K82" s="5">
        <v>2951</v>
      </c>
      <c r="L82" s="2">
        <v>0.1</v>
      </c>
      <c r="M82" s="1">
        <v>34526.699999999997</v>
      </c>
      <c r="N82" t="str">
        <f t="shared" si="24"/>
        <v xml:space="preserve">Amit </v>
      </c>
      <c r="O82" s="1" t="str">
        <f t="shared" si="25"/>
        <v>hah</v>
      </c>
      <c r="P82" s="1" t="str">
        <f t="shared" si="26"/>
        <v>Amit -hah</v>
      </c>
      <c r="Q82" s="1" t="str">
        <f t="shared" si="27"/>
        <v xml:space="preserve">Amit </v>
      </c>
      <c r="R82" s="1" t="str">
        <f t="shared" si="28"/>
        <v>hah</v>
      </c>
      <c r="S82">
        <f t="shared" si="29"/>
        <v>9</v>
      </c>
      <c r="T82" s="1"/>
      <c r="U82" s="1" t="str">
        <f t="shared" si="30"/>
        <v>Amit Shah</v>
      </c>
      <c r="V82" s="1" t="str">
        <f t="shared" si="31"/>
        <v>Amit Shah</v>
      </c>
      <c r="W82" s="1" t="str">
        <f t="shared" si="32"/>
        <v>34526.7</v>
      </c>
      <c r="X82" s="1" t="str">
        <f t="shared" si="33"/>
        <v>Amit Shah</v>
      </c>
      <c r="Y82" s="1" t="str">
        <f>UPPER(Table1[[#This Row],[PROPER]])</f>
        <v>AMIT SHAH</v>
      </c>
      <c r="Z82" s="1" t="str">
        <f t="shared" si="34"/>
        <v>Amit Shah</v>
      </c>
      <c r="AA82" s="1" t="str">
        <f t="shared" si="35"/>
        <v>Amit Shah</v>
      </c>
    </row>
    <row r="83" spans="1:27" x14ac:dyDescent="0.3">
      <c r="A83" s="6">
        <v>82</v>
      </c>
      <c r="B83" s="6">
        <v>1053</v>
      </c>
      <c r="C83" t="s">
        <v>22</v>
      </c>
      <c r="D83" t="s">
        <v>34</v>
      </c>
      <c r="E83" t="s">
        <v>41</v>
      </c>
      <c r="F83" t="s">
        <v>27</v>
      </c>
      <c r="G83" s="6">
        <v>12</v>
      </c>
      <c r="H83" s="1">
        <v>4215</v>
      </c>
      <c r="I83" s="5">
        <v>50580</v>
      </c>
      <c r="J83" s="4" t="s">
        <v>104</v>
      </c>
      <c r="K83" s="5">
        <v>4215</v>
      </c>
      <c r="L83" s="2">
        <v>0.1</v>
      </c>
      <c r="M83" s="1">
        <v>45522</v>
      </c>
      <c r="N83" t="str">
        <f t="shared" si="24"/>
        <v>Emily</v>
      </c>
      <c r="O83" s="1" t="str">
        <f t="shared" si="25"/>
        <v>ark</v>
      </c>
      <c r="P83" s="1" t="str">
        <f t="shared" si="26"/>
        <v>Emily-ark</v>
      </c>
      <c r="Q83" s="1" t="str">
        <f t="shared" si="27"/>
        <v>Emily</v>
      </c>
      <c r="R83" s="1" t="str">
        <f t="shared" si="28"/>
        <v>ark</v>
      </c>
      <c r="S83">
        <f t="shared" si="29"/>
        <v>11</v>
      </c>
      <c r="T83" s="1"/>
      <c r="U83" s="1" t="str">
        <f t="shared" si="30"/>
        <v>Emily Clark</v>
      </c>
      <c r="V83" s="1" t="str">
        <f t="shared" si="31"/>
        <v>Emily Clark</v>
      </c>
      <c r="W83" s="1" t="str">
        <f t="shared" si="32"/>
        <v>45522</v>
      </c>
      <c r="X83" s="1" t="str">
        <f t="shared" si="33"/>
        <v>Emily Clark</v>
      </c>
      <c r="Y83" s="1" t="str">
        <f>UPPER(Table1[[#This Row],[PROPER]])</f>
        <v>EMILY CLARK</v>
      </c>
      <c r="Z83" s="1" t="str">
        <f t="shared" si="34"/>
        <v>Emily Clark</v>
      </c>
      <c r="AA83" s="1" t="str">
        <f t="shared" si="35"/>
        <v>Emily Clark</v>
      </c>
    </row>
    <row r="84" spans="1:27" x14ac:dyDescent="0.3">
      <c r="A84" s="6">
        <v>83</v>
      </c>
      <c r="B84" s="6">
        <v>1013</v>
      </c>
      <c r="C84" t="s">
        <v>18</v>
      </c>
      <c r="D84" t="s">
        <v>23</v>
      </c>
      <c r="E84" t="s">
        <v>31</v>
      </c>
      <c r="F84" t="s">
        <v>16</v>
      </c>
      <c r="G84" s="6">
        <v>8</v>
      </c>
      <c r="H84" s="1">
        <v>2102</v>
      </c>
      <c r="I84" s="5">
        <v>16816</v>
      </c>
      <c r="J84" s="4" t="s">
        <v>105</v>
      </c>
      <c r="K84" s="5">
        <v>2102</v>
      </c>
      <c r="L84" s="2">
        <v>0.1</v>
      </c>
      <c r="M84" s="1">
        <v>15134.4</v>
      </c>
      <c r="N84" t="str">
        <f t="shared" si="24"/>
        <v xml:space="preserve">Amit </v>
      </c>
      <c r="O84" s="1" t="str">
        <f t="shared" si="25"/>
        <v>hah</v>
      </c>
      <c r="P84" s="1" t="str">
        <f t="shared" si="26"/>
        <v>Amit -hah</v>
      </c>
      <c r="Q84" s="1" t="str">
        <f t="shared" si="27"/>
        <v xml:space="preserve">Amit </v>
      </c>
      <c r="R84" s="1" t="str">
        <f t="shared" si="28"/>
        <v>hah</v>
      </c>
      <c r="S84">
        <f t="shared" si="29"/>
        <v>9</v>
      </c>
      <c r="T84" s="1"/>
      <c r="U84" s="1" t="str">
        <f t="shared" si="30"/>
        <v>Amit Shah</v>
      </c>
      <c r="V84" s="1" t="str">
        <f t="shared" si="31"/>
        <v>Amit Shah</v>
      </c>
      <c r="W84" s="1" t="str">
        <f t="shared" si="32"/>
        <v>15134.4</v>
      </c>
      <c r="X84" s="1" t="str">
        <f t="shared" si="33"/>
        <v>Amit Shah</v>
      </c>
      <c r="Y84" s="1" t="str">
        <f>UPPER(Table1[[#This Row],[PROPER]])</f>
        <v>AMIT SHAH</v>
      </c>
      <c r="Z84" s="1" t="str">
        <f t="shared" si="34"/>
        <v>Amit Shah</v>
      </c>
      <c r="AA84" s="1" t="str">
        <f t="shared" si="35"/>
        <v>Amit Shah</v>
      </c>
    </row>
    <row r="85" spans="1:27" x14ac:dyDescent="0.3">
      <c r="A85" s="6">
        <v>84</v>
      </c>
      <c r="B85" s="6">
        <v>1053</v>
      </c>
      <c r="C85" t="s">
        <v>18</v>
      </c>
      <c r="D85" t="s">
        <v>23</v>
      </c>
      <c r="E85" t="s">
        <v>15</v>
      </c>
      <c r="F85" t="s">
        <v>16</v>
      </c>
      <c r="G85" s="6">
        <v>15</v>
      </c>
      <c r="H85" s="1">
        <v>4747</v>
      </c>
      <c r="I85" s="5">
        <v>71205</v>
      </c>
      <c r="J85" s="4" t="s">
        <v>106</v>
      </c>
      <c r="K85" s="5">
        <v>4747</v>
      </c>
      <c r="L85" s="2">
        <v>0.1</v>
      </c>
      <c r="M85" s="1">
        <v>64084.5</v>
      </c>
      <c r="N85" t="str">
        <f t="shared" si="24"/>
        <v xml:space="preserve">Amit </v>
      </c>
      <c r="O85" s="1" t="str">
        <f t="shared" si="25"/>
        <v>hah</v>
      </c>
      <c r="P85" s="1" t="str">
        <f t="shared" si="26"/>
        <v>Amit -hah</v>
      </c>
      <c r="Q85" s="1" t="str">
        <f t="shared" si="27"/>
        <v xml:space="preserve">Amit </v>
      </c>
      <c r="R85" s="1" t="str">
        <f t="shared" si="28"/>
        <v>hah</v>
      </c>
      <c r="S85">
        <f t="shared" si="29"/>
        <v>9</v>
      </c>
      <c r="T85" s="1"/>
      <c r="U85" s="1" t="str">
        <f t="shared" si="30"/>
        <v>Amit Shah</v>
      </c>
      <c r="V85" s="1" t="str">
        <f t="shared" si="31"/>
        <v>Amit Shah</v>
      </c>
      <c r="W85" s="1" t="str">
        <f t="shared" si="32"/>
        <v>64084.5</v>
      </c>
      <c r="X85" s="1" t="str">
        <f t="shared" si="33"/>
        <v>Amit Shah</v>
      </c>
      <c r="Y85" s="1" t="str">
        <f>UPPER(Table1[[#This Row],[PROPER]])</f>
        <v>AMIT SHAH</v>
      </c>
      <c r="Z85" s="1" t="str">
        <f t="shared" si="34"/>
        <v>Amit Shah</v>
      </c>
      <c r="AA85" s="1" t="str">
        <f t="shared" si="35"/>
        <v>Amit Shah</v>
      </c>
    </row>
    <row r="86" spans="1:27" x14ac:dyDescent="0.3">
      <c r="A86" s="6">
        <v>85</v>
      </c>
      <c r="B86" s="6">
        <v>1083</v>
      </c>
      <c r="C86" t="s">
        <v>29</v>
      </c>
      <c r="D86" t="s">
        <v>34</v>
      </c>
      <c r="E86" t="s">
        <v>41</v>
      </c>
      <c r="F86" t="s">
        <v>16</v>
      </c>
      <c r="G86" s="6">
        <v>8</v>
      </c>
      <c r="H86" s="1">
        <v>1707</v>
      </c>
      <c r="I86" s="5">
        <v>13656</v>
      </c>
      <c r="J86" s="4" t="s">
        <v>107</v>
      </c>
      <c r="K86" s="5">
        <v>1707</v>
      </c>
      <c r="L86" s="2">
        <v>0.1</v>
      </c>
      <c r="M86" s="1">
        <v>12290.4</v>
      </c>
      <c r="N86" t="str">
        <f t="shared" si="24"/>
        <v xml:space="preserve">John </v>
      </c>
      <c r="O86" s="1" t="str">
        <f t="shared" si="25"/>
        <v>Doe</v>
      </c>
      <c r="P86" s="1" t="str">
        <f t="shared" si="26"/>
        <v>John -Doe</v>
      </c>
      <c r="Q86" s="1" t="str">
        <f t="shared" si="27"/>
        <v xml:space="preserve">John </v>
      </c>
      <c r="R86" s="1" t="str">
        <f t="shared" si="28"/>
        <v>Doe</v>
      </c>
      <c r="S86">
        <f t="shared" si="29"/>
        <v>8</v>
      </c>
      <c r="T86" s="1"/>
      <c r="U86" s="1" t="str">
        <f t="shared" si="30"/>
        <v>John Doe</v>
      </c>
      <c r="V86" s="1" t="str">
        <f t="shared" si="31"/>
        <v>John Doe</v>
      </c>
      <c r="W86" s="1" t="str">
        <f t="shared" si="32"/>
        <v>12290.4</v>
      </c>
      <c r="X86" s="1" t="str">
        <f t="shared" si="33"/>
        <v>John Doe</v>
      </c>
      <c r="Y86" s="1" t="str">
        <f>UPPER(Table1[[#This Row],[PROPER]])</f>
        <v>JOHN DOE</v>
      </c>
      <c r="Z86" s="1" t="str">
        <f t="shared" si="34"/>
        <v>John Doe</v>
      </c>
      <c r="AA86" s="1" t="str">
        <f t="shared" si="35"/>
        <v>John Doe</v>
      </c>
    </row>
    <row r="87" spans="1:27" x14ac:dyDescent="0.3">
      <c r="A87" s="6">
        <v>86</v>
      </c>
      <c r="B87" s="6">
        <v>1075</v>
      </c>
      <c r="C87" t="s">
        <v>40</v>
      </c>
      <c r="D87" t="s">
        <v>19</v>
      </c>
      <c r="E87" t="s">
        <v>20</v>
      </c>
      <c r="F87" t="s">
        <v>16</v>
      </c>
      <c r="G87" s="6">
        <v>13</v>
      </c>
      <c r="H87" s="1">
        <v>800</v>
      </c>
      <c r="I87" s="5">
        <v>10400</v>
      </c>
      <c r="J87" s="4" t="s">
        <v>108</v>
      </c>
      <c r="K87" s="5">
        <v>800</v>
      </c>
      <c r="L87" s="2">
        <v>0.1</v>
      </c>
      <c r="M87" s="1">
        <v>9360</v>
      </c>
      <c r="N87" t="str">
        <f t="shared" si="24"/>
        <v xml:space="preserve">Sara </v>
      </c>
      <c r="O87" s="1" t="str">
        <f t="shared" si="25"/>
        <v>Ali</v>
      </c>
      <c r="P87" s="1" t="str">
        <f t="shared" si="26"/>
        <v>Sara -Ali</v>
      </c>
      <c r="Q87" s="1" t="str">
        <f t="shared" si="27"/>
        <v xml:space="preserve">Sara </v>
      </c>
      <c r="R87" s="1" t="str">
        <f t="shared" si="28"/>
        <v>Ali</v>
      </c>
      <c r="S87">
        <f t="shared" si="29"/>
        <v>8</v>
      </c>
      <c r="T87" s="1"/>
      <c r="U87" s="1" t="str">
        <f t="shared" si="30"/>
        <v>Sara Ali</v>
      </c>
      <c r="V87" s="1" t="str">
        <f t="shared" si="31"/>
        <v>Sara Ali</v>
      </c>
      <c r="W87" s="1" t="str">
        <f t="shared" si="32"/>
        <v>9360</v>
      </c>
      <c r="X87" s="1" t="str">
        <f t="shared" si="33"/>
        <v>Sara Ali</v>
      </c>
      <c r="Y87" s="1" t="str">
        <f>UPPER(Table1[[#This Row],[PROPER]])</f>
        <v>SARA ALI</v>
      </c>
      <c r="Z87" s="1" t="str">
        <f t="shared" si="34"/>
        <v>Sara Ali</v>
      </c>
      <c r="AA87" s="1" t="str">
        <f t="shared" si="35"/>
        <v>Sara Ali</v>
      </c>
    </row>
    <row r="88" spans="1:27" x14ac:dyDescent="0.3">
      <c r="A88" s="6">
        <v>87</v>
      </c>
      <c r="B88" s="6">
        <v>1086</v>
      </c>
      <c r="C88" t="s">
        <v>13</v>
      </c>
      <c r="D88" t="s">
        <v>14</v>
      </c>
      <c r="E88" t="s">
        <v>31</v>
      </c>
      <c r="F88" t="s">
        <v>27</v>
      </c>
      <c r="G88" s="6">
        <v>4</v>
      </c>
      <c r="H88" s="1">
        <v>728</v>
      </c>
      <c r="I88" s="5">
        <v>2912</v>
      </c>
      <c r="J88" s="4" t="s">
        <v>109</v>
      </c>
      <c r="K88" s="5">
        <v>728</v>
      </c>
      <c r="L88" s="2">
        <v>0.05</v>
      </c>
      <c r="M88" s="1">
        <v>2766.4</v>
      </c>
      <c r="N88" t="str">
        <f t="shared" si="24"/>
        <v xml:space="preserve">Ravi </v>
      </c>
      <c r="O88" s="1" t="str">
        <f t="shared" si="25"/>
        <v>mar</v>
      </c>
      <c r="P88" s="1" t="str">
        <f t="shared" si="26"/>
        <v>Ravi -mar</v>
      </c>
      <c r="Q88" s="1" t="str">
        <f t="shared" si="27"/>
        <v xml:space="preserve">Ravi </v>
      </c>
      <c r="R88" s="1" t="str">
        <f t="shared" si="28"/>
        <v>mar</v>
      </c>
      <c r="S88">
        <f t="shared" si="29"/>
        <v>10</v>
      </c>
      <c r="T88" s="1"/>
      <c r="U88" s="1" t="str">
        <f t="shared" si="30"/>
        <v>Ravi Kumar</v>
      </c>
      <c r="V88" s="1" t="str">
        <f t="shared" si="31"/>
        <v>Ravi Kumar</v>
      </c>
      <c r="W88" s="1" t="str">
        <f t="shared" si="32"/>
        <v>2766.4</v>
      </c>
      <c r="X88" s="1" t="str">
        <f t="shared" si="33"/>
        <v>Ravi Kumar</v>
      </c>
      <c r="Y88" s="1" t="str">
        <f>UPPER(Table1[[#This Row],[PROPER]])</f>
        <v>RAVI KUMAR</v>
      </c>
      <c r="Z88" s="1" t="str">
        <f t="shared" si="34"/>
        <v>Ravi Kumar</v>
      </c>
      <c r="AA88" s="1" t="str">
        <f t="shared" si="35"/>
        <v>Ravi Kumar</v>
      </c>
    </row>
    <row r="89" spans="1:27" x14ac:dyDescent="0.3">
      <c r="A89" s="6">
        <v>88</v>
      </c>
      <c r="B89" s="6">
        <v>1012</v>
      </c>
      <c r="C89" t="s">
        <v>40</v>
      </c>
      <c r="D89" t="s">
        <v>19</v>
      </c>
      <c r="E89" t="s">
        <v>31</v>
      </c>
      <c r="F89" t="s">
        <v>16</v>
      </c>
      <c r="G89" s="6">
        <v>16</v>
      </c>
      <c r="H89" s="1">
        <v>621</v>
      </c>
      <c r="I89" s="5">
        <v>9936</v>
      </c>
      <c r="J89" s="4" t="s">
        <v>110</v>
      </c>
      <c r="K89" s="5">
        <v>621</v>
      </c>
      <c r="L89" s="2">
        <v>0.1</v>
      </c>
      <c r="M89" s="1">
        <v>8942.4</v>
      </c>
      <c r="N89" t="str">
        <f t="shared" si="24"/>
        <v xml:space="preserve">Sara </v>
      </c>
      <c r="O89" s="1" t="str">
        <f t="shared" si="25"/>
        <v>Ali</v>
      </c>
      <c r="P89" s="1" t="str">
        <f t="shared" si="26"/>
        <v>Sara -Ali</v>
      </c>
      <c r="Q89" s="1" t="str">
        <f t="shared" si="27"/>
        <v xml:space="preserve">Sara </v>
      </c>
      <c r="R89" s="1" t="str">
        <f t="shared" si="28"/>
        <v>Ali</v>
      </c>
      <c r="S89">
        <f t="shared" si="29"/>
        <v>8</v>
      </c>
      <c r="T89" s="1"/>
      <c r="U89" s="1" t="str">
        <f t="shared" si="30"/>
        <v>Sara Ali</v>
      </c>
      <c r="V89" s="1" t="str">
        <f t="shared" si="31"/>
        <v>Sara Ali</v>
      </c>
      <c r="W89" s="1" t="str">
        <f t="shared" si="32"/>
        <v>8942.4</v>
      </c>
      <c r="X89" s="1" t="str">
        <f t="shared" si="33"/>
        <v>Sara Ali</v>
      </c>
      <c r="Y89" s="1" t="str">
        <f>UPPER(Table1[[#This Row],[PROPER]])</f>
        <v>SARA ALI</v>
      </c>
      <c r="Z89" s="1" t="str">
        <f t="shared" si="34"/>
        <v>Sara Ali</v>
      </c>
      <c r="AA89" s="1" t="str">
        <f t="shared" si="35"/>
        <v>Sara Ali</v>
      </c>
    </row>
    <row r="90" spans="1:27" x14ac:dyDescent="0.3">
      <c r="A90" s="6">
        <v>89</v>
      </c>
      <c r="B90" s="6">
        <v>1040</v>
      </c>
      <c r="C90" t="s">
        <v>40</v>
      </c>
      <c r="D90" t="s">
        <v>14</v>
      </c>
      <c r="E90" t="s">
        <v>26</v>
      </c>
      <c r="F90" t="s">
        <v>27</v>
      </c>
      <c r="G90" s="6">
        <v>18</v>
      </c>
      <c r="H90" s="1">
        <v>2664</v>
      </c>
      <c r="I90" s="5">
        <v>47952</v>
      </c>
      <c r="J90" s="4" t="s">
        <v>111</v>
      </c>
      <c r="K90" s="5">
        <v>2664</v>
      </c>
      <c r="L90" s="2">
        <v>0.1</v>
      </c>
      <c r="M90" s="1">
        <v>43156.800000000003</v>
      </c>
      <c r="N90" t="str">
        <f t="shared" si="24"/>
        <v xml:space="preserve">Sara </v>
      </c>
      <c r="O90" s="1" t="str">
        <f t="shared" si="25"/>
        <v>Ali</v>
      </c>
      <c r="P90" s="1" t="str">
        <f t="shared" si="26"/>
        <v>Sara -Ali</v>
      </c>
      <c r="Q90" s="1" t="str">
        <f t="shared" si="27"/>
        <v xml:space="preserve">Sara </v>
      </c>
      <c r="R90" s="1" t="str">
        <f t="shared" si="28"/>
        <v>Ali</v>
      </c>
      <c r="S90">
        <f t="shared" si="29"/>
        <v>8</v>
      </c>
      <c r="T90" s="1"/>
      <c r="U90" s="1" t="str">
        <f t="shared" si="30"/>
        <v>Sara Ali</v>
      </c>
      <c r="V90" s="1" t="str">
        <f t="shared" si="31"/>
        <v>Sara Ali</v>
      </c>
      <c r="W90" s="1" t="str">
        <f t="shared" si="32"/>
        <v>43156.8</v>
      </c>
      <c r="X90" s="1" t="str">
        <f t="shared" si="33"/>
        <v>Sara Ali</v>
      </c>
      <c r="Y90" s="1" t="str">
        <f>UPPER(Table1[[#This Row],[PROPER]])</f>
        <v>SARA ALI</v>
      </c>
      <c r="Z90" s="1" t="str">
        <f t="shared" si="34"/>
        <v>Sara Ali</v>
      </c>
      <c r="AA90" s="1" t="str">
        <f t="shared" si="35"/>
        <v>Sara Ali</v>
      </c>
    </row>
    <row r="91" spans="1:27" x14ac:dyDescent="0.3">
      <c r="A91" s="6">
        <v>90</v>
      </c>
      <c r="B91" s="6">
        <v>1035</v>
      </c>
      <c r="C91" t="s">
        <v>18</v>
      </c>
      <c r="D91" t="s">
        <v>25</v>
      </c>
      <c r="E91" t="s">
        <v>15</v>
      </c>
      <c r="F91" t="s">
        <v>16</v>
      </c>
      <c r="G91" s="6">
        <v>10</v>
      </c>
      <c r="H91" s="1">
        <v>3788</v>
      </c>
      <c r="I91" s="5">
        <v>37880</v>
      </c>
      <c r="J91" s="4" t="s">
        <v>112</v>
      </c>
      <c r="K91" s="5">
        <v>3788</v>
      </c>
      <c r="L91" s="2">
        <v>0.1</v>
      </c>
      <c r="M91" s="1">
        <v>34092</v>
      </c>
      <c r="N91" t="str">
        <f t="shared" si="24"/>
        <v xml:space="preserve">Amit </v>
      </c>
      <c r="O91" s="1" t="str">
        <f t="shared" si="25"/>
        <v>hah</v>
      </c>
      <c r="P91" s="1" t="str">
        <f t="shared" si="26"/>
        <v>Amit -hah</v>
      </c>
      <c r="Q91" s="1" t="str">
        <f t="shared" si="27"/>
        <v xml:space="preserve">Amit </v>
      </c>
      <c r="R91" s="1" t="str">
        <f t="shared" si="28"/>
        <v>hah</v>
      </c>
      <c r="S91">
        <f t="shared" si="29"/>
        <v>9</v>
      </c>
      <c r="T91" s="1"/>
      <c r="U91" s="1" t="str">
        <f t="shared" si="30"/>
        <v>Amit Shah</v>
      </c>
      <c r="V91" s="1" t="str">
        <f t="shared" si="31"/>
        <v>Amit Shah</v>
      </c>
      <c r="W91" s="1" t="str">
        <f t="shared" si="32"/>
        <v>34092</v>
      </c>
      <c r="X91" s="1" t="str">
        <f t="shared" si="33"/>
        <v>Amit Shah</v>
      </c>
      <c r="Y91" s="1" t="str">
        <f>UPPER(Table1[[#This Row],[PROPER]])</f>
        <v>AMIT SHAH</v>
      </c>
      <c r="Z91" s="1" t="str">
        <f t="shared" si="34"/>
        <v>Amit Shah</v>
      </c>
      <c r="AA91" s="1" t="str">
        <f t="shared" si="35"/>
        <v>Amit Shah</v>
      </c>
    </row>
    <row r="92" spans="1:27" x14ac:dyDescent="0.3">
      <c r="A92" s="6">
        <v>91</v>
      </c>
      <c r="B92" s="6">
        <v>1027</v>
      </c>
      <c r="C92" t="s">
        <v>40</v>
      </c>
      <c r="D92" t="s">
        <v>25</v>
      </c>
      <c r="E92" t="s">
        <v>20</v>
      </c>
      <c r="F92" t="s">
        <v>27</v>
      </c>
      <c r="G92" s="6">
        <v>14</v>
      </c>
      <c r="H92" s="1">
        <v>441</v>
      </c>
      <c r="I92" s="5">
        <v>6174</v>
      </c>
      <c r="J92" s="4" t="s">
        <v>113</v>
      </c>
      <c r="K92" s="5">
        <v>441</v>
      </c>
      <c r="L92" s="2">
        <v>0.1</v>
      </c>
      <c r="M92" s="1">
        <v>5556.6</v>
      </c>
      <c r="N92" t="str">
        <f t="shared" si="24"/>
        <v xml:space="preserve">Sara </v>
      </c>
      <c r="O92" s="1" t="str">
        <f t="shared" si="25"/>
        <v>Ali</v>
      </c>
      <c r="P92" s="1" t="str">
        <f t="shared" si="26"/>
        <v>Sara -Ali</v>
      </c>
      <c r="Q92" s="1" t="str">
        <f t="shared" si="27"/>
        <v xml:space="preserve">Sara </v>
      </c>
      <c r="R92" s="1" t="str">
        <f t="shared" si="28"/>
        <v>Ali</v>
      </c>
      <c r="S92">
        <f t="shared" si="29"/>
        <v>8</v>
      </c>
      <c r="T92" s="1"/>
      <c r="U92" s="1" t="str">
        <f t="shared" si="30"/>
        <v>Sara Ali</v>
      </c>
      <c r="V92" s="1" t="str">
        <f t="shared" si="31"/>
        <v>Sara Ali</v>
      </c>
      <c r="W92" s="1" t="str">
        <f t="shared" si="32"/>
        <v>5556.6</v>
      </c>
      <c r="X92" s="1" t="str">
        <f t="shared" si="33"/>
        <v>Sara Ali</v>
      </c>
      <c r="Y92" s="1" t="str">
        <f>UPPER(Table1[[#This Row],[PROPER]])</f>
        <v>SARA ALI</v>
      </c>
      <c r="Z92" s="1" t="str">
        <f t="shared" si="34"/>
        <v>Sara Ali</v>
      </c>
      <c r="AA92" s="1" t="str">
        <f t="shared" si="35"/>
        <v>Sara Ali</v>
      </c>
    </row>
    <row r="93" spans="1:27" x14ac:dyDescent="0.3">
      <c r="A93" s="6">
        <v>92</v>
      </c>
      <c r="B93" s="6">
        <v>1026</v>
      </c>
      <c r="C93" t="s">
        <v>29</v>
      </c>
      <c r="D93" t="s">
        <v>25</v>
      </c>
      <c r="E93" t="s">
        <v>31</v>
      </c>
      <c r="F93" t="s">
        <v>27</v>
      </c>
      <c r="G93" s="6">
        <v>16</v>
      </c>
      <c r="H93" s="1">
        <v>436</v>
      </c>
      <c r="I93" s="5">
        <v>6976</v>
      </c>
      <c r="J93" s="4" t="s">
        <v>114</v>
      </c>
      <c r="K93" s="5">
        <v>436</v>
      </c>
      <c r="L93" s="2">
        <v>0.1</v>
      </c>
      <c r="M93" s="1">
        <v>6278.4</v>
      </c>
      <c r="N93" t="str">
        <f t="shared" si="24"/>
        <v xml:space="preserve">John </v>
      </c>
      <c r="O93" s="1" t="str">
        <f t="shared" si="25"/>
        <v>Doe</v>
      </c>
      <c r="P93" s="1" t="str">
        <f t="shared" si="26"/>
        <v>John -Doe</v>
      </c>
      <c r="Q93" s="1" t="str">
        <f t="shared" si="27"/>
        <v xml:space="preserve">John </v>
      </c>
      <c r="R93" s="1" t="str">
        <f t="shared" si="28"/>
        <v>Doe</v>
      </c>
      <c r="S93">
        <f t="shared" si="29"/>
        <v>8</v>
      </c>
      <c r="T93" s="1"/>
      <c r="U93" s="1" t="str">
        <f t="shared" si="30"/>
        <v>John Doe</v>
      </c>
      <c r="V93" s="1" t="str">
        <f t="shared" si="31"/>
        <v>John Doe</v>
      </c>
      <c r="W93" s="1" t="str">
        <f t="shared" si="32"/>
        <v>6278.4</v>
      </c>
      <c r="X93" s="1" t="str">
        <f t="shared" si="33"/>
        <v>John Doe</v>
      </c>
      <c r="Y93" s="1" t="str">
        <f>UPPER(Table1[[#This Row],[PROPER]])</f>
        <v>JOHN DOE</v>
      </c>
      <c r="Z93" s="1" t="str">
        <f t="shared" si="34"/>
        <v>John Doe</v>
      </c>
      <c r="AA93" s="1" t="str">
        <f t="shared" si="35"/>
        <v>John Doe</v>
      </c>
    </row>
    <row r="94" spans="1:27" x14ac:dyDescent="0.3">
      <c r="A94" s="6">
        <v>93</v>
      </c>
      <c r="B94" s="6">
        <v>1051</v>
      </c>
      <c r="C94" t="s">
        <v>22</v>
      </c>
      <c r="D94" t="s">
        <v>14</v>
      </c>
      <c r="E94" t="s">
        <v>31</v>
      </c>
      <c r="F94" t="s">
        <v>16</v>
      </c>
      <c r="G94" s="6">
        <v>17</v>
      </c>
      <c r="H94" s="1">
        <v>3297</v>
      </c>
      <c r="I94" s="5">
        <v>56049</v>
      </c>
      <c r="J94" s="4" t="s">
        <v>115</v>
      </c>
      <c r="K94" s="5">
        <v>3297</v>
      </c>
      <c r="L94" s="2">
        <v>0.1</v>
      </c>
      <c r="M94" s="1">
        <v>50444.1</v>
      </c>
      <c r="N94" t="str">
        <f t="shared" si="24"/>
        <v>Emily</v>
      </c>
      <c r="O94" s="1" t="str">
        <f t="shared" si="25"/>
        <v>ark</v>
      </c>
      <c r="P94" s="1" t="str">
        <f t="shared" si="26"/>
        <v>Emily-ark</v>
      </c>
      <c r="Q94" s="1" t="str">
        <f t="shared" si="27"/>
        <v>Emily</v>
      </c>
      <c r="R94" s="1" t="str">
        <f t="shared" si="28"/>
        <v>ark</v>
      </c>
      <c r="S94">
        <f t="shared" si="29"/>
        <v>11</v>
      </c>
      <c r="T94" s="1"/>
      <c r="U94" s="1" t="str">
        <f t="shared" si="30"/>
        <v>Emily Clark</v>
      </c>
      <c r="V94" s="1" t="str">
        <f t="shared" si="31"/>
        <v>Emily Clark</v>
      </c>
      <c r="W94" s="1" t="str">
        <f t="shared" si="32"/>
        <v>50444.1</v>
      </c>
      <c r="X94" s="1" t="str">
        <f t="shared" si="33"/>
        <v>Emily Clark</v>
      </c>
      <c r="Y94" s="1" t="str">
        <f>UPPER(Table1[[#This Row],[PROPER]])</f>
        <v>EMILY CLARK</v>
      </c>
      <c r="Z94" s="1" t="str">
        <f t="shared" si="34"/>
        <v>Emily Clark</v>
      </c>
      <c r="AA94" s="1" t="str">
        <f t="shared" si="35"/>
        <v>Emily Clark</v>
      </c>
    </row>
    <row r="95" spans="1:27" x14ac:dyDescent="0.3">
      <c r="A95" s="6">
        <v>94</v>
      </c>
      <c r="B95" s="6">
        <v>1004</v>
      </c>
      <c r="C95" t="s">
        <v>13</v>
      </c>
      <c r="D95" t="s">
        <v>14</v>
      </c>
      <c r="E95" t="s">
        <v>15</v>
      </c>
      <c r="F95" t="s">
        <v>27</v>
      </c>
      <c r="G95" s="6">
        <v>16</v>
      </c>
      <c r="H95" s="1">
        <v>1436</v>
      </c>
      <c r="I95" s="5">
        <v>22976</v>
      </c>
      <c r="J95" s="4" t="s">
        <v>115</v>
      </c>
      <c r="K95" s="5">
        <v>1436</v>
      </c>
      <c r="L95" s="2">
        <v>0.1</v>
      </c>
      <c r="M95" s="1">
        <v>20678.400000000001</v>
      </c>
      <c r="N95" t="str">
        <f t="shared" si="24"/>
        <v xml:space="preserve">Ravi </v>
      </c>
      <c r="O95" s="1" t="str">
        <f t="shared" si="25"/>
        <v>mar</v>
      </c>
      <c r="P95" s="1" t="str">
        <f t="shared" si="26"/>
        <v>Ravi -mar</v>
      </c>
      <c r="Q95" s="1" t="str">
        <f t="shared" si="27"/>
        <v xml:space="preserve">Ravi </v>
      </c>
      <c r="R95" s="1" t="str">
        <f t="shared" si="28"/>
        <v>mar</v>
      </c>
      <c r="S95">
        <f t="shared" si="29"/>
        <v>10</v>
      </c>
      <c r="T95" s="1"/>
      <c r="U95" s="1" t="str">
        <f t="shared" si="30"/>
        <v>Ravi Kumar</v>
      </c>
      <c r="V95" s="1" t="str">
        <f t="shared" si="31"/>
        <v>Ravi Kumar</v>
      </c>
      <c r="W95" s="1" t="str">
        <f t="shared" si="32"/>
        <v>20678.4</v>
      </c>
      <c r="X95" s="1" t="str">
        <f t="shared" si="33"/>
        <v>Ravi Kumar</v>
      </c>
      <c r="Y95" s="1" t="str">
        <f>UPPER(Table1[[#This Row],[PROPER]])</f>
        <v>RAVI KUMAR</v>
      </c>
      <c r="Z95" s="1" t="str">
        <f t="shared" si="34"/>
        <v>Ravi Kumar</v>
      </c>
      <c r="AA95" s="1" t="str">
        <f t="shared" si="35"/>
        <v>Ravi Kumar</v>
      </c>
    </row>
    <row r="96" spans="1:27" x14ac:dyDescent="0.3">
      <c r="A96" s="6">
        <v>95</v>
      </c>
      <c r="B96" s="6">
        <v>1068</v>
      </c>
      <c r="C96" t="s">
        <v>18</v>
      </c>
      <c r="D96" t="s">
        <v>19</v>
      </c>
      <c r="E96" t="s">
        <v>41</v>
      </c>
      <c r="F96" t="s">
        <v>16</v>
      </c>
      <c r="G96" s="6">
        <v>15</v>
      </c>
      <c r="H96" s="1">
        <v>2155</v>
      </c>
      <c r="I96" s="5">
        <v>32325</v>
      </c>
      <c r="J96" s="4" t="s">
        <v>116</v>
      </c>
      <c r="K96" s="5">
        <v>2155</v>
      </c>
      <c r="L96" s="2">
        <v>0.1</v>
      </c>
      <c r="M96" s="1">
        <v>29092.5</v>
      </c>
      <c r="N96" t="str">
        <f t="shared" si="24"/>
        <v xml:space="preserve">Amit </v>
      </c>
      <c r="O96" s="1" t="str">
        <f t="shared" si="25"/>
        <v>hah</v>
      </c>
      <c r="P96" s="1" t="str">
        <f t="shared" si="26"/>
        <v>Amit -hah</v>
      </c>
      <c r="Q96" s="1" t="str">
        <f t="shared" si="27"/>
        <v xml:space="preserve">Amit </v>
      </c>
      <c r="R96" s="1" t="str">
        <f t="shared" si="28"/>
        <v>hah</v>
      </c>
      <c r="S96">
        <f t="shared" si="29"/>
        <v>9</v>
      </c>
      <c r="T96" s="1"/>
      <c r="U96" s="1" t="str">
        <f t="shared" si="30"/>
        <v>Amit Shah</v>
      </c>
      <c r="V96" s="1" t="str">
        <f t="shared" si="31"/>
        <v>Amit Shah</v>
      </c>
      <c r="W96" s="1" t="str">
        <f t="shared" si="32"/>
        <v>29092.5</v>
      </c>
      <c r="X96" s="1" t="str">
        <f t="shared" si="33"/>
        <v>Amit Shah</v>
      </c>
      <c r="Y96" s="1" t="str">
        <f>UPPER(Table1[[#This Row],[PROPER]])</f>
        <v>AMIT SHAH</v>
      </c>
      <c r="Z96" s="1" t="str">
        <f t="shared" si="34"/>
        <v>Amit Shah</v>
      </c>
      <c r="AA96" s="1" t="str">
        <f t="shared" si="35"/>
        <v>Amit Shah</v>
      </c>
    </row>
    <row r="97" spans="1:27" x14ac:dyDescent="0.3">
      <c r="A97" s="6">
        <v>96</v>
      </c>
      <c r="B97" s="6">
        <v>1062</v>
      </c>
      <c r="C97" t="s">
        <v>13</v>
      </c>
      <c r="D97" t="s">
        <v>14</v>
      </c>
      <c r="E97" t="s">
        <v>20</v>
      </c>
      <c r="F97" t="s">
        <v>16</v>
      </c>
      <c r="G97" s="6">
        <v>9</v>
      </c>
      <c r="H97" s="1">
        <v>4710</v>
      </c>
      <c r="I97" s="5">
        <v>42390</v>
      </c>
      <c r="J97" s="4" t="s">
        <v>117</v>
      </c>
      <c r="K97" s="5">
        <v>4710</v>
      </c>
      <c r="L97" s="2">
        <v>0.1</v>
      </c>
      <c r="M97" s="1">
        <v>38151</v>
      </c>
      <c r="N97" t="str">
        <f t="shared" si="24"/>
        <v xml:space="preserve">Ravi </v>
      </c>
      <c r="O97" s="1" t="str">
        <f t="shared" si="25"/>
        <v>mar</v>
      </c>
      <c r="P97" s="1" t="str">
        <f t="shared" si="26"/>
        <v>Ravi -mar</v>
      </c>
      <c r="Q97" s="1" t="str">
        <f t="shared" si="27"/>
        <v xml:space="preserve">Ravi </v>
      </c>
      <c r="R97" s="1" t="str">
        <f t="shared" si="28"/>
        <v>mar</v>
      </c>
      <c r="S97">
        <f t="shared" si="29"/>
        <v>10</v>
      </c>
      <c r="T97" s="1"/>
      <c r="U97" s="1" t="str">
        <f t="shared" si="30"/>
        <v>Ravi Kumar</v>
      </c>
      <c r="V97" s="1" t="str">
        <f t="shared" si="31"/>
        <v>Ravi Kumar</v>
      </c>
      <c r="W97" s="1" t="str">
        <f t="shared" si="32"/>
        <v>38151</v>
      </c>
      <c r="X97" s="1" t="str">
        <f t="shared" si="33"/>
        <v>Ravi Kumar</v>
      </c>
      <c r="Y97" s="1" t="str">
        <f>UPPER(Table1[[#This Row],[PROPER]])</f>
        <v>RAVI KUMAR</v>
      </c>
      <c r="Z97" s="1" t="str">
        <f t="shared" si="34"/>
        <v>Ravi Kumar</v>
      </c>
      <c r="AA97" s="1" t="str">
        <f t="shared" si="35"/>
        <v>Ravi Kumar</v>
      </c>
    </row>
    <row r="98" spans="1:27" x14ac:dyDescent="0.3">
      <c r="A98" s="6">
        <v>97</v>
      </c>
      <c r="B98" s="6">
        <v>1091</v>
      </c>
      <c r="C98" t="s">
        <v>18</v>
      </c>
      <c r="D98" t="s">
        <v>19</v>
      </c>
      <c r="E98" t="s">
        <v>41</v>
      </c>
      <c r="F98" t="s">
        <v>27</v>
      </c>
      <c r="G98" s="6">
        <v>20</v>
      </c>
      <c r="H98" s="1">
        <v>1036</v>
      </c>
      <c r="I98" s="5">
        <v>20720</v>
      </c>
      <c r="J98" s="4" t="s">
        <v>118</v>
      </c>
      <c r="K98" s="5">
        <v>1036</v>
      </c>
      <c r="L98" s="2">
        <v>0.1</v>
      </c>
      <c r="M98" s="1">
        <v>18648</v>
      </c>
      <c r="N98" t="str">
        <f t="shared" ref="N98:N129" si="36">LEFT(C98,5)</f>
        <v xml:space="preserve">Amit </v>
      </c>
      <c r="O98" s="1" t="str">
        <f t="shared" ref="O98:O129" si="37">RIGHT(C98,3)</f>
        <v>hah</v>
      </c>
      <c r="P98" s="1" t="str">
        <f t="shared" ref="P98:P129" si="38">_xlfn.CONCAT(N98,"-",O98)</f>
        <v>Amit -hah</v>
      </c>
      <c r="Q98" s="1" t="str">
        <f t="shared" ref="Q98:Q129" si="39">LEFT(P98, FIND("-", P98) - 1)</f>
        <v xml:space="preserve">Amit </v>
      </c>
      <c r="R98" s="1" t="str">
        <f t="shared" ref="R98:R129" si="40">RIGHT(P98, LEN(P98) - FIND("-", P98))</f>
        <v>hah</v>
      </c>
      <c r="S98">
        <f t="shared" ref="S98:S129" si="41">LEN(C98)</f>
        <v>9</v>
      </c>
      <c r="T98" s="1"/>
      <c r="U98" s="1" t="str">
        <f t="shared" ref="U98:U129" si="42">TRIM(C98)</f>
        <v>Amit Shah</v>
      </c>
      <c r="V98" s="1" t="str">
        <f t="shared" ref="V98:V129" si="43">CLEAN(C98)</f>
        <v>Amit Shah</v>
      </c>
      <c r="W98" s="1" t="str">
        <f t="shared" ref="W98:W129" si="44">SUBSTITUTE(M98,"₹","")</f>
        <v>18648</v>
      </c>
      <c r="X98" s="1" t="str">
        <f t="shared" ref="X98:X129" si="45">PROPER(C98)</f>
        <v>Amit Shah</v>
      </c>
      <c r="Y98" s="1" t="str">
        <f>UPPER(Table1[[#This Row],[PROPER]])</f>
        <v>AMIT SHAH</v>
      </c>
      <c r="Z98" s="1" t="str">
        <f t="shared" ref="Z98:Z129" si="46">SUBSTITUTE(C98,"  "," ")</f>
        <v>Amit Shah</v>
      </c>
      <c r="AA98" s="1" t="str">
        <f t="shared" ref="AA98:AA129" si="47">TRIM(CLEAN(C98))</f>
        <v>Amit Shah</v>
      </c>
    </row>
    <row r="99" spans="1:27" x14ac:dyDescent="0.3">
      <c r="A99" s="6">
        <v>98</v>
      </c>
      <c r="B99" s="6">
        <v>1090</v>
      </c>
      <c r="C99" t="s">
        <v>40</v>
      </c>
      <c r="D99" t="s">
        <v>19</v>
      </c>
      <c r="E99" t="s">
        <v>31</v>
      </c>
      <c r="F99" t="s">
        <v>27</v>
      </c>
      <c r="G99" s="6">
        <v>11</v>
      </c>
      <c r="H99" s="1">
        <v>4322</v>
      </c>
      <c r="I99" s="5">
        <v>47542</v>
      </c>
      <c r="J99" s="4" t="s">
        <v>119</v>
      </c>
      <c r="K99" s="5">
        <v>4322</v>
      </c>
      <c r="L99" s="2">
        <v>0.1</v>
      </c>
      <c r="M99" s="1">
        <v>42787.8</v>
      </c>
      <c r="N99" t="str">
        <f t="shared" si="36"/>
        <v xml:space="preserve">Sara </v>
      </c>
      <c r="O99" s="1" t="str">
        <f t="shared" si="37"/>
        <v>Ali</v>
      </c>
      <c r="P99" s="1" t="str">
        <f t="shared" si="38"/>
        <v>Sara -Ali</v>
      </c>
      <c r="Q99" s="1" t="str">
        <f t="shared" si="39"/>
        <v xml:space="preserve">Sara </v>
      </c>
      <c r="R99" s="1" t="str">
        <f t="shared" si="40"/>
        <v>Ali</v>
      </c>
      <c r="S99">
        <f t="shared" si="41"/>
        <v>8</v>
      </c>
      <c r="T99" s="1"/>
      <c r="U99" s="1" t="str">
        <f t="shared" si="42"/>
        <v>Sara Ali</v>
      </c>
      <c r="V99" s="1" t="str">
        <f t="shared" si="43"/>
        <v>Sara Ali</v>
      </c>
      <c r="W99" s="1" t="str">
        <f t="shared" si="44"/>
        <v>42787.8</v>
      </c>
      <c r="X99" s="1" t="str">
        <f t="shared" si="45"/>
        <v>Sara Ali</v>
      </c>
      <c r="Y99" s="1" t="str">
        <f>UPPER(Table1[[#This Row],[PROPER]])</f>
        <v>SARA ALI</v>
      </c>
      <c r="Z99" s="1" t="str">
        <f t="shared" si="46"/>
        <v>Sara Ali</v>
      </c>
      <c r="AA99" s="1" t="str">
        <f t="shared" si="47"/>
        <v>Sara Ali</v>
      </c>
    </row>
    <row r="100" spans="1:27" x14ac:dyDescent="0.3">
      <c r="A100" s="6">
        <v>99</v>
      </c>
      <c r="B100" s="6">
        <v>1072</v>
      </c>
      <c r="C100" t="s">
        <v>18</v>
      </c>
      <c r="D100" t="s">
        <v>14</v>
      </c>
      <c r="E100" t="s">
        <v>20</v>
      </c>
      <c r="F100" t="s">
        <v>16</v>
      </c>
      <c r="G100" s="6">
        <v>4</v>
      </c>
      <c r="H100" s="1">
        <v>3372</v>
      </c>
      <c r="I100" s="5">
        <v>13488</v>
      </c>
      <c r="J100" s="4" t="s">
        <v>120</v>
      </c>
      <c r="K100" s="5">
        <v>3372</v>
      </c>
      <c r="L100" s="2">
        <v>0.1</v>
      </c>
      <c r="M100" s="1">
        <v>12139.2</v>
      </c>
      <c r="N100" t="str">
        <f t="shared" si="36"/>
        <v xml:space="preserve">Amit </v>
      </c>
      <c r="O100" s="1" t="str">
        <f t="shared" si="37"/>
        <v>hah</v>
      </c>
      <c r="P100" s="1" t="str">
        <f t="shared" si="38"/>
        <v>Amit -hah</v>
      </c>
      <c r="Q100" s="1" t="str">
        <f t="shared" si="39"/>
        <v xml:space="preserve">Amit </v>
      </c>
      <c r="R100" s="1" t="str">
        <f t="shared" si="40"/>
        <v>hah</v>
      </c>
      <c r="S100">
        <f t="shared" si="41"/>
        <v>9</v>
      </c>
      <c r="T100" s="1"/>
      <c r="U100" s="1" t="str">
        <f t="shared" si="42"/>
        <v>Amit Shah</v>
      </c>
      <c r="V100" s="1" t="str">
        <f t="shared" si="43"/>
        <v>Amit Shah</v>
      </c>
      <c r="W100" s="1" t="str">
        <f t="shared" si="44"/>
        <v>12139.2</v>
      </c>
      <c r="X100" s="1" t="str">
        <f t="shared" si="45"/>
        <v>Amit Shah</v>
      </c>
      <c r="Y100" s="1" t="str">
        <f>UPPER(Table1[[#This Row],[PROPER]])</f>
        <v>AMIT SHAH</v>
      </c>
      <c r="Z100" s="1" t="str">
        <f t="shared" si="46"/>
        <v>Amit Shah</v>
      </c>
      <c r="AA100" s="1" t="str">
        <f t="shared" si="47"/>
        <v>Amit Shah</v>
      </c>
    </row>
    <row r="101" spans="1:27" x14ac:dyDescent="0.3">
      <c r="A101" s="6">
        <v>100</v>
      </c>
      <c r="B101" s="6">
        <v>1007</v>
      </c>
      <c r="C101" t="s">
        <v>18</v>
      </c>
      <c r="D101" t="s">
        <v>23</v>
      </c>
      <c r="E101" t="s">
        <v>15</v>
      </c>
      <c r="F101" t="s">
        <v>16</v>
      </c>
      <c r="G101" s="6">
        <v>16</v>
      </c>
      <c r="H101" s="1">
        <v>1046</v>
      </c>
      <c r="I101" s="5">
        <v>16736</v>
      </c>
      <c r="J101" s="4" t="s">
        <v>69</v>
      </c>
      <c r="K101" s="5">
        <v>1046</v>
      </c>
      <c r="L101" s="2">
        <v>0.1</v>
      </c>
      <c r="M101" s="1">
        <v>15062.4</v>
      </c>
      <c r="N101" t="str">
        <f t="shared" si="36"/>
        <v xml:space="preserve">Amit </v>
      </c>
      <c r="O101" s="1" t="str">
        <f t="shared" si="37"/>
        <v>hah</v>
      </c>
      <c r="P101" s="1" t="str">
        <f t="shared" si="38"/>
        <v>Amit -hah</v>
      </c>
      <c r="Q101" s="1" t="str">
        <f t="shared" si="39"/>
        <v xml:space="preserve">Amit </v>
      </c>
      <c r="R101" s="1" t="str">
        <f t="shared" si="40"/>
        <v>hah</v>
      </c>
      <c r="S101">
        <f t="shared" si="41"/>
        <v>9</v>
      </c>
      <c r="T101" s="1"/>
      <c r="U101" s="1" t="str">
        <f t="shared" si="42"/>
        <v>Amit Shah</v>
      </c>
      <c r="V101" s="1" t="str">
        <f t="shared" si="43"/>
        <v>Amit Shah</v>
      </c>
      <c r="W101" s="1" t="str">
        <f t="shared" si="44"/>
        <v>15062.4</v>
      </c>
      <c r="X101" s="1" t="str">
        <f t="shared" si="45"/>
        <v>Amit Shah</v>
      </c>
      <c r="Y101" s="1" t="str">
        <f>UPPER(Table1[[#This Row],[PROPER]])</f>
        <v>AMIT SHAH</v>
      </c>
      <c r="Z101" s="1" t="str">
        <f t="shared" si="46"/>
        <v>Amit Shah</v>
      </c>
      <c r="AA101" s="1" t="str">
        <f t="shared" si="47"/>
        <v>Amit Shah</v>
      </c>
    </row>
    <row r="102" spans="1:27" x14ac:dyDescent="0.3">
      <c r="A102" s="6">
        <v>101</v>
      </c>
      <c r="B102" s="6">
        <v>1086</v>
      </c>
      <c r="C102" t="s">
        <v>40</v>
      </c>
      <c r="D102" t="s">
        <v>14</v>
      </c>
      <c r="E102" t="s">
        <v>41</v>
      </c>
      <c r="F102" t="s">
        <v>16</v>
      </c>
      <c r="G102" s="6">
        <v>20</v>
      </c>
      <c r="H102" s="1">
        <v>651</v>
      </c>
      <c r="I102" s="5">
        <v>13020</v>
      </c>
      <c r="J102" s="4" t="s">
        <v>121</v>
      </c>
      <c r="K102" s="5">
        <v>651</v>
      </c>
      <c r="L102" s="2">
        <v>0.1</v>
      </c>
      <c r="M102" s="1">
        <v>11718</v>
      </c>
      <c r="N102" t="str">
        <f t="shared" si="36"/>
        <v xml:space="preserve">Sara </v>
      </c>
      <c r="O102" s="1" t="str">
        <f t="shared" si="37"/>
        <v>Ali</v>
      </c>
      <c r="P102" s="1" t="str">
        <f t="shared" si="38"/>
        <v>Sara -Ali</v>
      </c>
      <c r="Q102" s="1" t="str">
        <f t="shared" si="39"/>
        <v xml:space="preserve">Sara </v>
      </c>
      <c r="R102" s="1" t="str">
        <f t="shared" si="40"/>
        <v>Ali</v>
      </c>
      <c r="S102">
        <f t="shared" si="41"/>
        <v>8</v>
      </c>
      <c r="T102" s="1"/>
      <c r="U102" s="1" t="str">
        <f t="shared" si="42"/>
        <v>Sara Ali</v>
      </c>
      <c r="V102" s="1" t="str">
        <f t="shared" si="43"/>
        <v>Sara Ali</v>
      </c>
      <c r="W102" s="1" t="str">
        <f t="shared" si="44"/>
        <v>11718</v>
      </c>
      <c r="X102" s="1" t="str">
        <f t="shared" si="45"/>
        <v>Sara Ali</v>
      </c>
      <c r="Y102" s="1" t="str">
        <f>UPPER(Table1[[#This Row],[PROPER]])</f>
        <v>SARA ALI</v>
      </c>
      <c r="Z102" s="1" t="str">
        <f t="shared" si="46"/>
        <v>Sara Ali</v>
      </c>
      <c r="AA102" s="1" t="str">
        <f t="shared" si="47"/>
        <v>Sara Ali</v>
      </c>
    </row>
    <row r="103" spans="1:27" x14ac:dyDescent="0.3">
      <c r="A103" s="6">
        <v>102</v>
      </c>
      <c r="B103" s="6">
        <v>1022</v>
      </c>
      <c r="C103" t="s">
        <v>13</v>
      </c>
      <c r="D103" t="s">
        <v>23</v>
      </c>
      <c r="E103" t="s">
        <v>15</v>
      </c>
      <c r="F103" t="s">
        <v>16</v>
      </c>
      <c r="G103" s="6">
        <v>4</v>
      </c>
      <c r="H103" s="1">
        <v>4417</v>
      </c>
      <c r="I103" s="5">
        <v>17668</v>
      </c>
      <c r="J103" s="4" t="s">
        <v>122</v>
      </c>
      <c r="K103" s="5">
        <v>4417</v>
      </c>
      <c r="L103" s="2">
        <v>0.1</v>
      </c>
      <c r="M103" s="1">
        <v>15901.2</v>
      </c>
      <c r="N103" t="str">
        <f t="shared" si="36"/>
        <v xml:space="preserve">Ravi </v>
      </c>
      <c r="O103" s="1" t="str">
        <f t="shared" si="37"/>
        <v>mar</v>
      </c>
      <c r="P103" s="1" t="str">
        <f t="shared" si="38"/>
        <v>Ravi -mar</v>
      </c>
      <c r="Q103" s="1" t="str">
        <f t="shared" si="39"/>
        <v xml:space="preserve">Ravi </v>
      </c>
      <c r="R103" s="1" t="str">
        <f t="shared" si="40"/>
        <v>mar</v>
      </c>
      <c r="S103">
        <f t="shared" si="41"/>
        <v>10</v>
      </c>
      <c r="T103" s="1"/>
      <c r="U103" s="1" t="str">
        <f t="shared" si="42"/>
        <v>Ravi Kumar</v>
      </c>
      <c r="V103" s="1" t="str">
        <f t="shared" si="43"/>
        <v>Ravi Kumar</v>
      </c>
      <c r="W103" s="1" t="str">
        <f t="shared" si="44"/>
        <v>15901.2</v>
      </c>
      <c r="X103" s="1" t="str">
        <f t="shared" si="45"/>
        <v>Ravi Kumar</v>
      </c>
      <c r="Y103" s="1" t="str">
        <f>UPPER(Table1[[#This Row],[PROPER]])</f>
        <v>RAVI KUMAR</v>
      </c>
      <c r="Z103" s="1" t="str">
        <f t="shared" si="46"/>
        <v>Ravi Kumar</v>
      </c>
      <c r="AA103" s="1" t="str">
        <f t="shared" si="47"/>
        <v>Ravi Kumar</v>
      </c>
    </row>
    <row r="104" spans="1:27" x14ac:dyDescent="0.3">
      <c r="A104" s="6">
        <v>103</v>
      </c>
      <c r="B104" s="6">
        <v>1060</v>
      </c>
      <c r="C104" t="s">
        <v>29</v>
      </c>
      <c r="D104" t="s">
        <v>23</v>
      </c>
      <c r="E104" t="s">
        <v>20</v>
      </c>
      <c r="F104" t="s">
        <v>16</v>
      </c>
      <c r="G104" s="6">
        <v>4</v>
      </c>
      <c r="H104" s="1">
        <v>475</v>
      </c>
      <c r="I104" s="5">
        <v>1900</v>
      </c>
      <c r="J104" s="4" t="s">
        <v>123</v>
      </c>
      <c r="K104" s="5">
        <v>475</v>
      </c>
      <c r="L104" s="2">
        <v>0.05</v>
      </c>
      <c r="M104" s="1">
        <v>1805</v>
      </c>
      <c r="N104" t="str">
        <f t="shared" si="36"/>
        <v xml:space="preserve">John </v>
      </c>
      <c r="O104" s="1" t="str">
        <f t="shared" si="37"/>
        <v>Doe</v>
      </c>
      <c r="P104" s="1" t="str">
        <f t="shared" si="38"/>
        <v>John -Doe</v>
      </c>
      <c r="Q104" s="1" t="str">
        <f t="shared" si="39"/>
        <v xml:space="preserve">John </v>
      </c>
      <c r="R104" s="1" t="str">
        <f t="shared" si="40"/>
        <v>Doe</v>
      </c>
      <c r="S104">
        <f t="shared" si="41"/>
        <v>8</v>
      </c>
      <c r="T104" s="1"/>
      <c r="U104" s="1" t="str">
        <f t="shared" si="42"/>
        <v>John Doe</v>
      </c>
      <c r="V104" s="1" t="str">
        <f t="shared" si="43"/>
        <v>John Doe</v>
      </c>
      <c r="W104" s="1" t="str">
        <f t="shared" si="44"/>
        <v>1805</v>
      </c>
      <c r="X104" s="1" t="str">
        <f t="shared" si="45"/>
        <v>John Doe</v>
      </c>
      <c r="Y104" s="1" t="str">
        <f>UPPER(Table1[[#This Row],[PROPER]])</f>
        <v>JOHN DOE</v>
      </c>
      <c r="Z104" s="1" t="str">
        <f t="shared" si="46"/>
        <v>John Doe</v>
      </c>
      <c r="AA104" s="1" t="str">
        <f t="shared" si="47"/>
        <v>John Doe</v>
      </c>
    </row>
    <row r="105" spans="1:27" x14ac:dyDescent="0.3">
      <c r="A105" s="6">
        <v>104</v>
      </c>
      <c r="B105" s="6">
        <v>1097</v>
      </c>
      <c r="C105" t="s">
        <v>22</v>
      </c>
      <c r="D105" t="s">
        <v>23</v>
      </c>
      <c r="E105" t="s">
        <v>15</v>
      </c>
      <c r="F105" t="s">
        <v>27</v>
      </c>
      <c r="G105" s="6">
        <v>16</v>
      </c>
      <c r="H105" s="1">
        <v>3896</v>
      </c>
      <c r="I105" s="5">
        <v>62336</v>
      </c>
      <c r="J105" s="4" t="s">
        <v>124</v>
      </c>
      <c r="K105" s="5">
        <v>3896</v>
      </c>
      <c r="L105" s="2">
        <v>0.1</v>
      </c>
      <c r="M105" s="1">
        <v>56102.400000000001</v>
      </c>
      <c r="N105" t="str">
        <f t="shared" si="36"/>
        <v>Emily</v>
      </c>
      <c r="O105" s="1" t="str">
        <f t="shared" si="37"/>
        <v>ark</v>
      </c>
      <c r="P105" s="1" t="str">
        <f t="shared" si="38"/>
        <v>Emily-ark</v>
      </c>
      <c r="Q105" s="1" t="str">
        <f t="shared" si="39"/>
        <v>Emily</v>
      </c>
      <c r="R105" s="1" t="str">
        <f t="shared" si="40"/>
        <v>ark</v>
      </c>
      <c r="S105">
        <f t="shared" si="41"/>
        <v>11</v>
      </c>
      <c r="T105" s="1"/>
      <c r="U105" s="1" t="str">
        <f t="shared" si="42"/>
        <v>Emily Clark</v>
      </c>
      <c r="V105" s="1" t="str">
        <f t="shared" si="43"/>
        <v>Emily Clark</v>
      </c>
      <c r="W105" s="1" t="str">
        <f t="shared" si="44"/>
        <v>56102.4</v>
      </c>
      <c r="X105" s="1" t="str">
        <f t="shared" si="45"/>
        <v>Emily Clark</v>
      </c>
      <c r="Y105" s="1" t="str">
        <f>UPPER(Table1[[#This Row],[PROPER]])</f>
        <v>EMILY CLARK</v>
      </c>
      <c r="Z105" s="1" t="str">
        <f t="shared" si="46"/>
        <v>Emily Clark</v>
      </c>
      <c r="AA105" s="1" t="str">
        <f t="shared" si="47"/>
        <v>Emily Clark</v>
      </c>
    </row>
    <row r="106" spans="1:27" x14ac:dyDescent="0.3">
      <c r="A106" s="6">
        <v>105</v>
      </c>
      <c r="B106" s="6">
        <v>1009</v>
      </c>
      <c r="C106" t="s">
        <v>29</v>
      </c>
      <c r="D106" t="s">
        <v>25</v>
      </c>
      <c r="E106" t="s">
        <v>15</v>
      </c>
      <c r="F106" t="s">
        <v>27</v>
      </c>
      <c r="G106" s="6">
        <v>13</v>
      </c>
      <c r="H106" s="1">
        <v>2148</v>
      </c>
      <c r="I106" s="5">
        <v>27924</v>
      </c>
      <c r="J106" s="4" t="s">
        <v>125</v>
      </c>
      <c r="K106" s="5">
        <v>2148</v>
      </c>
      <c r="L106" s="2">
        <v>0.1</v>
      </c>
      <c r="M106" s="1">
        <v>25131.599999999999</v>
      </c>
      <c r="N106" t="str">
        <f t="shared" si="36"/>
        <v xml:space="preserve">John </v>
      </c>
      <c r="O106" s="1" t="str">
        <f t="shared" si="37"/>
        <v>Doe</v>
      </c>
      <c r="P106" s="1" t="str">
        <f t="shared" si="38"/>
        <v>John -Doe</v>
      </c>
      <c r="Q106" s="1" t="str">
        <f t="shared" si="39"/>
        <v xml:space="preserve">John </v>
      </c>
      <c r="R106" s="1" t="str">
        <f t="shared" si="40"/>
        <v>Doe</v>
      </c>
      <c r="S106">
        <f t="shared" si="41"/>
        <v>8</v>
      </c>
      <c r="T106" s="1"/>
      <c r="U106" s="1" t="str">
        <f t="shared" si="42"/>
        <v>John Doe</v>
      </c>
      <c r="V106" s="1" t="str">
        <f t="shared" si="43"/>
        <v>John Doe</v>
      </c>
      <c r="W106" s="1" t="str">
        <f t="shared" si="44"/>
        <v>25131.6</v>
      </c>
      <c r="X106" s="1" t="str">
        <f t="shared" si="45"/>
        <v>John Doe</v>
      </c>
      <c r="Y106" s="1" t="str">
        <f>UPPER(Table1[[#This Row],[PROPER]])</f>
        <v>JOHN DOE</v>
      </c>
      <c r="Z106" s="1" t="str">
        <f t="shared" si="46"/>
        <v>John Doe</v>
      </c>
      <c r="AA106" s="1" t="str">
        <f t="shared" si="47"/>
        <v>John Doe</v>
      </c>
    </row>
    <row r="107" spans="1:27" x14ac:dyDescent="0.3">
      <c r="A107" s="6">
        <v>106</v>
      </c>
      <c r="B107" s="6">
        <v>1079</v>
      </c>
      <c r="C107" t="s">
        <v>22</v>
      </c>
      <c r="D107" t="s">
        <v>19</v>
      </c>
      <c r="E107" t="s">
        <v>26</v>
      </c>
      <c r="F107" t="s">
        <v>16</v>
      </c>
      <c r="G107" s="6">
        <v>7</v>
      </c>
      <c r="H107" s="1">
        <v>4742</v>
      </c>
      <c r="I107" s="5">
        <v>33194</v>
      </c>
      <c r="J107" s="4" t="s">
        <v>126</v>
      </c>
      <c r="K107" s="5">
        <v>4742</v>
      </c>
      <c r="L107" s="2">
        <v>0.1</v>
      </c>
      <c r="M107" s="1">
        <v>29874.6</v>
      </c>
      <c r="N107" t="str">
        <f t="shared" si="36"/>
        <v>Emily</v>
      </c>
      <c r="O107" s="1" t="str">
        <f t="shared" si="37"/>
        <v>ark</v>
      </c>
      <c r="P107" s="1" t="str">
        <f t="shared" si="38"/>
        <v>Emily-ark</v>
      </c>
      <c r="Q107" s="1" t="str">
        <f t="shared" si="39"/>
        <v>Emily</v>
      </c>
      <c r="R107" s="1" t="str">
        <f t="shared" si="40"/>
        <v>ark</v>
      </c>
      <c r="S107">
        <f t="shared" si="41"/>
        <v>11</v>
      </c>
      <c r="T107" s="1"/>
      <c r="U107" s="1" t="str">
        <f t="shared" si="42"/>
        <v>Emily Clark</v>
      </c>
      <c r="V107" s="1" t="str">
        <f t="shared" si="43"/>
        <v>Emily Clark</v>
      </c>
      <c r="W107" s="1" t="str">
        <f t="shared" si="44"/>
        <v>29874.6</v>
      </c>
      <c r="X107" s="1" t="str">
        <f t="shared" si="45"/>
        <v>Emily Clark</v>
      </c>
      <c r="Y107" s="1" t="str">
        <f>UPPER(Table1[[#This Row],[PROPER]])</f>
        <v>EMILY CLARK</v>
      </c>
      <c r="Z107" s="1" t="str">
        <f t="shared" si="46"/>
        <v>Emily Clark</v>
      </c>
      <c r="AA107" s="1" t="str">
        <f t="shared" si="47"/>
        <v>Emily Clark</v>
      </c>
    </row>
    <row r="108" spans="1:27" x14ac:dyDescent="0.3">
      <c r="A108" s="6">
        <v>107</v>
      </c>
      <c r="B108" s="6">
        <v>1018</v>
      </c>
      <c r="C108" t="s">
        <v>13</v>
      </c>
      <c r="D108" t="s">
        <v>34</v>
      </c>
      <c r="E108" t="s">
        <v>15</v>
      </c>
      <c r="F108" t="s">
        <v>27</v>
      </c>
      <c r="G108" s="6">
        <v>14</v>
      </c>
      <c r="H108" s="1">
        <v>364</v>
      </c>
      <c r="I108" s="5">
        <v>5096</v>
      </c>
      <c r="J108" s="4" t="s">
        <v>127</v>
      </c>
      <c r="K108" s="5">
        <v>364</v>
      </c>
      <c r="L108" s="2">
        <v>0.1</v>
      </c>
      <c r="M108" s="1">
        <v>4586.3999999999996</v>
      </c>
      <c r="N108" t="str">
        <f t="shared" si="36"/>
        <v xml:space="preserve">Ravi </v>
      </c>
      <c r="O108" s="1" t="str">
        <f t="shared" si="37"/>
        <v>mar</v>
      </c>
      <c r="P108" s="1" t="str">
        <f t="shared" si="38"/>
        <v>Ravi -mar</v>
      </c>
      <c r="Q108" s="1" t="str">
        <f t="shared" si="39"/>
        <v xml:space="preserve">Ravi </v>
      </c>
      <c r="R108" s="1" t="str">
        <f t="shared" si="40"/>
        <v>mar</v>
      </c>
      <c r="S108">
        <f t="shared" si="41"/>
        <v>10</v>
      </c>
      <c r="T108" s="1"/>
      <c r="U108" s="1" t="str">
        <f t="shared" si="42"/>
        <v>Ravi Kumar</v>
      </c>
      <c r="V108" s="1" t="str">
        <f t="shared" si="43"/>
        <v>Ravi Kumar</v>
      </c>
      <c r="W108" s="1" t="str">
        <f t="shared" si="44"/>
        <v>4586.4</v>
      </c>
      <c r="X108" s="1" t="str">
        <f t="shared" si="45"/>
        <v>Ravi Kumar</v>
      </c>
      <c r="Y108" s="1" t="str">
        <f>UPPER(Table1[[#This Row],[PROPER]])</f>
        <v>RAVI KUMAR</v>
      </c>
      <c r="Z108" s="1" t="str">
        <f t="shared" si="46"/>
        <v>Ravi Kumar</v>
      </c>
      <c r="AA108" s="1" t="str">
        <f t="shared" si="47"/>
        <v>Ravi Kumar</v>
      </c>
    </row>
    <row r="109" spans="1:27" x14ac:dyDescent="0.3">
      <c r="A109" s="6">
        <v>108</v>
      </c>
      <c r="B109" s="6">
        <v>1067</v>
      </c>
      <c r="C109" t="s">
        <v>18</v>
      </c>
      <c r="D109" t="s">
        <v>23</v>
      </c>
      <c r="E109" t="s">
        <v>20</v>
      </c>
      <c r="F109" t="s">
        <v>16</v>
      </c>
      <c r="G109" s="6">
        <v>9</v>
      </c>
      <c r="H109" s="1">
        <v>4599</v>
      </c>
      <c r="I109" s="5">
        <v>41391</v>
      </c>
      <c r="J109" s="4" t="s">
        <v>128</v>
      </c>
      <c r="K109" s="5">
        <v>4599</v>
      </c>
      <c r="L109" s="2">
        <v>0.1</v>
      </c>
      <c r="M109" s="1">
        <v>37251.9</v>
      </c>
      <c r="N109" t="str">
        <f t="shared" si="36"/>
        <v xml:space="preserve">Amit </v>
      </c>
      <c r="O109" s="1" t="str">
        <f t="shared" si="37"/>
        <v>hah</v>
      </c>
      <c r="P109" s="1" t="str">
        <f t="shared" si="38"/>
        <v>Amit -hah</v>
      </c>
      <c r="Q109" s="1" t="str">
        <f t="shared" si="39"/>
        <v xml:space="preserve">Amit </v>
      </c>
      <c r="R109" s="1" t="str">
        <f t="shared" si="40"/>
        <v>hah</v>
      </c>
      <c r="S109">
        <f t="shared" si="41"/>
        <v>9</v>
      </c>
      <c r="T109" s="1"/>
      <c r="U109" s="1" t="str">
        <f t="shared" si="42"/>
        <v>Amit Shah</v>
      </c>
      <c r="V109" s="1" t="str">
        <f t="shared" si="43"/>
        <v>Amit Shah</v>
      </c>
      <c r="W109" s="1" t="str">
        <f t="shared" si="44"/>
        <v>37251.9</v>
      </c>
      <c r="X109" s="1" t="str">
        <f t="shared" si="45"/>
        <v>Amit Shah</v>
      </c>
      <c r="Y109" s="1" t="str">
        <f>UPPER(Table1[[#This Row],[PROPER]])</f>
        <v>AMIT SHAH</v>
      </c>
      <c r="Z109" s="1" t="str">
        <f t="shared" si="46"/>
        <v>Amit Shah</v>
      </c>
      <c r="AA109" s="1" t="str">
        <f t="shared" si="47"/>
        <v>Amit Shah</v>
      </c>
    </row>
    <row r="110" spans="1:27" x14ac:dyDescent="0.3">
      <c r="A110" s="6">
        <v>109</v>
      </c>
      <c r="B110" s="6">
        <v>1061</v>
      </c>
      <c r="C110" t="s">
        <v>18</v>
      </c>
      <c r="D110" t="s">
        <v>19</v>
      </c>
      <c r="E110" t="s">
        <v>31</v>
      </c>
      <c r="F110" t="s">
        <v>16</v>
      </c>
      <c r="G110" s="6">
        <v>14</v>
      </c>
      <c r="H110" s="1">
        <v>2166</v>
      </c>
      <c r="I110" s="5">
        <v>30324</v>
      </c>
      <c r="J110" s="4" t="s">
        <v>129</v>
      </c>
      <c r="K110" s="5">
        <v>2166</v>
      </c>
      <c r="L110" s="2">
        <v>0.1</v>
      </c>
      <c r="M110" s="1">
        <v>27291.599999999999</v>
      </c>
      <c r="N110" t="str">
        <f t="shared" si="36"/>
        <v xml:space="preserve">Amit </v>
      </c>
      <c r="O110" s="1" t="str">
        <f t="shared" si="37"/>
        <v>hah</v>
      </c>
      <c r="P110" s="1" t="str">
        <f t="shared" si="38"/>
        <v>Amit -hah</v>
      </c>
      <c r="Q110" s="1" t="str">
        <f t="shared" si="39"/>
        <v xml:space="preserve">Amit </v>
      </c>
      <c r="R110" s="1" t="str">
        <f t="shared" si="40"/>
        <v>hah</v>
      </c>
      <c r="S110">
        <f t="shared" si="41"/>
        <v>9</v>
      </c>
      <c r="T110" s="1"/>
      <c r="U110" s="1" t="str">
        <f t="shared" si="42"/>
        <v>Amit Shah</v>
      </c>
      <c r="V110" s="1" t="str">
        <f t="shared" si="43"/>
        <v>Amit Shah</v>
      </c>
      <c r="W110" s="1" t="str">
        <f t="shared" si="44"/>
        <v>27291.6</v>
      </c>
      <c r="X110" s="1" t="str">
        <f t="shared" si="45"/>
        <v>Amit Shah</v>
      </c>
      <c r="Y110" s="1" t="str">
        <f>UPPER(Table1[[#This Row],[PROPER]])</f>
        <v>AMIT SHAH</v>
      </c>
      <c r="Z110" s="1" t="str">
        <f t="shared" si="46"/>
        <v>Amit Shah</v>
      </c>
      <c r="AA110" s="1" t="str">
        <f t="shared" si="47"/>
        <v>Amit Shah</v>
      </c>
    </row>
    <row r="111" spans="1:27" x14ac:dyDescent="0.3">
      <c r="A111" s="6">
        <v>110</v>
      </c>
      <c r="B111" s="6">
        <v>1073</v>
      </c>
      <c r="C111" t="s">
        <v>29</v>
      </c>
      <c r="D111" t="s">
        <v>14</v>
      </c>
      <c r="E111" t="s">
        <v>20</v>
      </c>
      <c r="F111" t="s">
        <v>27</v>
      </c>
      <c r="G111" s="6">
        <v>8</v>
      </c>
      <c r="H111" s="1">
        <v>4953</v>
      </c>
      <c r="I111" s="5">
        <v>39624</v>
      </c>
      <c r="J111" s="4" t="s">
        <v>130</v>
      </c>
      <c r="K111" s="5">
        <v>4953</v>
      </c>
      <c r="L111" s="2">
        <v>0.1</v>
      </c>
      <c r="M111" s="1">
        <v>35661.599999999999</v>
      </c>
      <c r="N111" t="str">
        <f t="shared" si="36"/>
        <v xml:space="preserve">John </v>
      </c>
      <c r="O111" s="1" t="str">
        <f t="shared" si="37"/>
        <v>Doe</v>
      </c>
      <c r="P111" s="1" t="str">
        <f t="shared" si="38"/>
        <v>John -Doe</v>
      </c>
      <c r="Q111" s="1" t="str">
        <f t="shared" si="39"/>
        <v xml:space="preserve">John </v>
      </c>
      <c r="R111" s="1" t="str">
        <f t="shared" si="40"/>
        <v>Doe</v>
      </c>
      <c r="S111">
        <f t="shared" si="41"/>
        <v>8</v>
      </c>
      <c r="T111" s="1"/>
      <c r="U111" s="1" t="str">
        <f t="shared" si="42"/>
        <v>John Doe</v>
      </c>
      <c r="V111" s="1" t="str">
        <f t="shared" si="43"/>
        <v>John Doe</v>
      </c>
      <c r="W111" s="1" t="str">
        <f t="shared" si="44"/>
        <v>35661.6</v>
      </c>
      <c r="X111" s="1" t="str">
        <f t="shared" si="45"/>
        <v>John Doe</v>
      </c>
      <c r="Y111" s="1" t="str">
        <f>UPPER(Table1[[#This Row],[PROPER]])</f>
        <v>JOHN DOE</v>
      </c>
      <c r="Z111" s="1" t="str">
        <f t="shared" si="46"/>
        <v>John Doe</v>
      </c>
      <c r="AA111" s="1" t="str">
        <f t="shared" si="47"/>
        <v>John Doe</v>
      </c>
    </row>
    <row r="112" spans="1:27" x14ac:dyDescent="0.3">
      <c r="A112" s="6">
        <v>111</v>
      </c>
      <c r="B112" s="6">
        <v>1097</v>
      </c>
      <c r="C112" t="s">
        <v>29</v>
      </c>
      <c r="D112" t="s">
        <v>34</v>
      </c>
      <c r="E112" t="s">
        <v>41</v>
      </c>
      <c r="F112" t="s">
        <v>27</v>
      </c>
      <c r="G112" s="6">
        <v>13</v>
      </c>
      <c r="H112" s="1">
        <v>2291</v>
      </c>
      <c r="I112" s="5">
        <v>29783</v>
      </c>
      <c r="J112" s="4" t="s">
        <v>131</v>
      </c>
      <c r="K112" s="5">
        <v>2291</v>
      </c>
      <c r="L112" s="2">
        <v>0.1</v>
      </c>
      <c r="M112" s="1">
        <v>26804.7</v>
      </c>
      <c r="N112" t="str">
        <f t="shared" si="36"/>
        <v xml:space="preserve">John </v>
      </c>
      <c r="O112" s="1" t="str">
        <f t="shared" si="37"/>
        <v>Doe</v>
      </c>
      <c r="P112" s="1" t="str">
        <f t="shared" si="38"/>
        <v>John -Doe</v>
      </c>
      <c r="Q112" s="1" t="str">
        <f t="shared" si="39"/>
        <v xml:space="preserve">John </v>
      </c>
      <c r="R112" s="1" t="str">
        <f t="shared" si="40"/>
        <v>Doe</v>
      </c>
      <c r="S112">
        <f t="shared" si="41"/>
        <v>8</v>
      </c>
      <c r="T112" s="1"/>
      <c r="U112" s="1" t="str">
        <f t="shared" si="42"/>
        <v>John Doe</v>
      </c>
      <c r="V112" s="1" t="str">
        <f t="shared" si="43"/>
        <v>John Doe</v>
      </c>
      <c r="W112" s="1" t="str">
        <f t="shared" si="44"/>
        <v>26804.7</v>
      </c>
      <c r="X112" s="1" t="str">
        <f t="shared" si="45"/>
        <v>John Doe</v>
      </c>
      <c r="Y112" s="1" t="str">
        <f>UPPER(Table1[[#This Row],[PROPER]])</f>
        <v>JOHN DOE</v>
      </c>
      <c r="Z112" s="1" t="str">
        <f t="shared" si="46"/>
        <v>John Doe</v>
      </c>
      <c r="AA112" s="1" t="str">
        <f t="shared" si="47"/>
        <v>John Doe</v>
      </c>
    </row>
    <row r="113" spans="1:27" x14ac:dyDescent="0.3">
      <c r="A113" s="6">
        <v>112</v>
      </c>
      <c r="B113" s="6">
        <v>1084</v>
      </c>
      <c r="C113" t="s">
        <v>29</v>
      </c>
      <c r="D113" t="s">
        <v>19</v>
      </c>
      <c r="E113" t="s">
        <v>41</v>
      </c>
      <c r="F113" t="s">
        <v>27</v>
      </c>
      <c r="G113" s="6">
        <v>18</v>
      </c>
      <c r="H113" s="1">
        <v>4315</v>
      </c>
      <c r="I113" s="5">
        <v>77670</v>
      </c>
      <c r="J113" s="4" t="s">
        <v>132</v>
      </c>
      <c r="K113" s="5">
        <v>4315</v>
      </c>
      <c r="L113" s="2">
        <v>0.1</v>
      </c>
      <c r="M113" s="1">
        <v>69903</v>
      </c>
      <c r="N113" t="str">
        <f t="shared" si="36"/>
        <v xml:space="preserve">John </v>
      </c>
      <c r="O113" s="1" t="str">
        <f t="shared" si="37"/>
        <v>Doe</v>
      </c>
      <c r="P113" s="1" t="str">
        <f t="shared" si="38"/>
        <v>John -Doe</v>
      </c>
      <c r="Q113" s="1" t="str">
        <f t="shared" si="39"/>
        <v xml:space="preserve">John </v>
      </c>
      <c r="R113" s="1" t="str">
        <f t="shared" si="40"/>
        <v>Doe</v>
      </c>
      <c r="S113">
        <f t="shared" si="41"/>
        <v>8</v>
      </c>
      <c r="T113" s="1"/>
      <c r="U113" s="1" t="str">
        <f t="shared" si="42"/>
        <v>John Doe</v>
      </c>
      <c r="V113" s="1" t="str">
        <f t="shared" si="43"/>
        <v>John Doe</v>
      </c>
      <c r="W113" s="1" t="str">
        <f t="shared" si="44"/>
        <v>69903</v>
      </c>
      <c r="X113" s="1" t="str">
        <f t="shared" si="45"/>
        <v>John Doe</v>
      </c>
      <c r="Y113" s="1" t="str">
        <f>UPPER(Table1[[#This Row],[PROPER]])</f>
        <v>JOHN DOE</v>
      </c>
      <c r="Z113" s="1" t="str">
        <f t="shared" si="46"/>
        <v>John Doe</v>
      </c>
      <c r="AA113" s="1" t="str">
        <f t="shared" si="47"/>
        <v>John Doe</v>
      </c>
    </row>
    <row r="114" spans="1:27" x14ac:dyDescent="0.3">
      <c r="A114" s="6">
        <v>113</v>
      </c>
      <c r="B114" s="6">
        <v>1069</v>
      </c>
      <c r="C114" t="s">
        <v>22</v>
      </c>
      <c r="D114" t="s">
        <v>14</v>
      </c>
      <c r="E114" t="s">
        <v>20</v>
      </c>
      <c r="F114" t="s">
        <v>16</v>
      </c>
      <c r="G114" s="6">
        <v>17</v>
      </c>
      <c r="H114" s="1">
        <v>957</v>
      </c>
      <c r="I114" s="5">
        <v>16269</v>
      </c>
      <c r="J114" s="4" t="s">
        <v>133</v>
      </c>
      <c r="K114" s="5">
        <v>957</v>
      </c>
      <c r="L114" s="2">
        <v>0.1</v>
      </c>
      <c r="M114" s="1">
        <v>14642.1</v>
      </c>
      <c r="N114" t="str">
        <f t="shared" si="36"/>
        <v>Emily</v>
      </c>
      <c r="O114" s="1" t="str">
        <f t="shared" si="37"/>
        <v>ark</v>
      </c>
      <c r="P114" s="1" t="str">
        <f t="shared" si="38"/>
        <v>Emily-ark</v>
      </c>
      <c r="Q114" s="1" t="str">
        <f t="shared" si="39"/>
        <v>Emily</v>
      </c>
      <c r="R114" s="1" t="str">
        <f t="shared" si="40"/>
        <v>ark</v>
      </c>
      <c r="S114">
        <f t="shared" si="41"/>
        <v>11</v>
      </c>
      <c r="T114" s="1"/>
      <c r="U114" s="1" t="str">
        <f t="shared" si="42"/>
        <v>Emily Clark</v>
      </c>
      <c r="V114" s="1" t="str">
        <f t="shared" si="43"/>
        <v>Emily Clark</v>
      </c>
      <c r="W114" s="1" t="str">
        <f t="shared" si="44"/>
        <v>14642.1</v>
      </c>
      <c r="X114" s="1" t="str">
        <f t="shared" si="45"/>
        <v>Emily Clark</v>
      </c>
      <c r="Y114" s="1" t="str">
        <f>UPPER(Table1[[#This Row],[PROPER]])</f>
        <v>EMILY CLARK</v>
      </c>
      <c r="Z114" s="1" t="str">
        <f t="shared" si="46"/>
        <v>Emily Clark</v>
      </c>
      <c r="AA114" s="1" t="str">
        <f t="shared" si="47"/>
        <v>Emily Clark</v>
      </c>
    </row>
    <row r="115" spans="1:27" x14ac:dyDescent="0.3">
      <c r="A115" s="6">
        <v>114</v>
      </c>
      <c r="B115" s="6">
        <v>1022</v>
      </c>
      <c r="C115" t="s">
        <v>18</v>
      </c>
      <c r="D115" t="s">
        <v>34</v>
      </c>
      <c r="E115" t="s">
        <v>20</v>
      </c>
      <c r="F115" t="s">
        <v>27</v>
      </c>
      <c r="G115" s="6">
        <v>6</v>
      </c>
      <c r="H115" s="1">
        <v>4350</v>
      </c>
      <c r="I115" s="5">
        <v>26100</v>
      </c>
      <c r="J115" s="4" t="s">
        <v>134</v>
      </c>
      <c r="K115" s="5">
        <v>4350</v>
      </c>
      <c r="L115" s="2">
        <v>0.1</v>
      </c>
      <c r="M115" s="1">
        <v>23490</v>
      </c>
      <c r="N115" t="str">
        <f t="shared" si="36"/>
        <v xml:space="preserve">Amit </v>
      </c>
      <c r="O115" s="1" t="str">
        <f t="shared" si="37"/>
        <v>hah</v>
      </c>
      <c r="P115" s="1" t="str">
        <f t="shared" si="38"/>
        <v>Amit -hah</v>
      </c>
      <c r="Q115" s="1" t="str">
        <f t="shared" si="39"/>
        <v xml:space="preserve">Amit </v>
      </c>
      <c r="R115" s="1" t="str">
        <f t="shared" si="40"/>
        <v>hah</v>
      </c>
      <c r="S115">
        <f t="shared" si="41"/>
        <v>9</v>
      </c>
      <c r="T115" s="1"/>
      <c r="U115" s="1" t="str">
        <f t="shared" si="42"/>
        <v>Amit Shah</v>
      </c>
      <c r="V115" s="1" t="str">
        <f t="shared" si="43"/>
        <v>Amit Shah</v>
      </c>
      <c r="W115" s="1" t="str">
        <f t="shared" si="44"/>
        <v>23490</v>
      </c>
      <c r="X115" s="1" t="str">
        <f t="shared" si="45"/>
        <v>Amit Shah</v>
      </c>
      <c r="Y115" s="1" t="str">
        <f>UPPER(Table1[[#This Row],[PROPER]])</f>
        <v>AMIT SHAH</v>
      </c>
      <c r="Z115" s="1" t="str">
        <f t="shared" si="46"/>
        <v>Amit Shah</v>
      </c>
      <c r="AA115" s="1" t="str">
        <f t="shared" si="47"/>
        <v>Amit Shah</v>
      </c>
    </row>
    <row r="116" spans="1:27" x14ac:dyDescent="0.3">
      <c r="A116" s="6">
        <v>115</v>
      </c>
      <c r="C116" t="s">
        <v>13</v>
      </c>
      <c r="D116" t="s">
        <v>23</v>
      </c>
      <c r="E116" t="s">
        <v>41</v>
      </c>
      <c r="F116" t="s">
        <v>27</v>
      </c>
      <c r="G116" s="6">
        <v>11</v>
      </c>
      <c r="H116" s="1">
        <v>2252</v>
      </c>
      <c r="I116" s="5">
        <v>24772</v>
      </c>
      <c r="J116" s="4" t="s">
        <v>135</v>
      </c>
      <c r="K116" s="5">
        <v>2252</v>
      </c>
      <c r="L116" s="2">
        <v>0.1</v>
      </c>
      <c r="M116" s="1">
        <v>22294.799999999999</v>
      </c>
      <c r="N116" t="str">
        <f t="shared" si="36"/>
        <v xml:space="preserve">Ravi </v>
      </c>
      <c r="O116" s="1" t="str">
        <f t="shared" si="37"/>
        <v>mar</v>
      </c>
      <c r="P116" s="1" t="str">
        <f t="shared" si="38"/>
        <v>Ravi -mar</v>
      </c>
      <c r="Q116" s="1" t="str">
        <f t="shared" si="39"/>
        <v xml:space="preserve">Ravi </v>
      </c>
      <c r="R116" s="1" t="str">
        <f t="shared" si="40"/>
        <v>mar</v>
      </c>
      <c r="S116">
        <f t="shared" si="41"/>
        <v>10</v>
      </c>
      <c r="T116" s="1"/>
      <c r="U116" s="1" t="str">
        <f t="shared" si="42"/>
        <v>Ravi Kumar</v>
      </c>
      <c r="V116" s="1" t="str">
        <f t="shared" si="43"/>
        <v>Ravi Kumar</v>
      </c>
      <c r="W116" s="1" t="str">
        <f t="shared" si="44"/>
        <v>22294.8</v>
      </c>
      <c r="X116" s="1" t="str">
        <f t="shared" si="45"/>
        <v>Ravi Kumar</v>
      </c>
      <c r="Y116" s="1" t="str">
        <f>UPPER(Table1[[#This Row],[PROPER]])</f>
        <v>RAVI KUMAR</v>
      </c>
      <c r="Z116" s="1" t="str">
        <f t="shared" si="46"/>
        <v>Ravi Kumar</v>
      </c>
      <c r="AA116" s="1" t="str">
        <f t="shared" si="47"/>
        <v>Ravi Kumar</v>
      </c>
    </row>
    <row r="117" spans="1:27" x14ac:dyDescent="0.3">
      <c r="A117" s="6">
        <v>116</v>
      </c>
      <c r="B117" s="6">
        <v>1062</v>
      </c>
      <c r="C117" t="s">
        <v>40</v>
      </c>
      <c r="D117" t="s">
        <v>19</v>
      </c>
      <c r="E117" t="s">
        <v>31</v>
      </c>
      <c r="F117" t="s">
        <v>16</v>
      </c>
      <c r="G117" s="6">
        <v>14</v>
      </c>
      <c r="H117" s="1">
        <v>3546</v>
      </c>
      <c r="I117" s="5">
        <v>49644</v>
      </c>
      <c r="J117" s="4" t="s">
        <v>136</v>
      </c>
      <c r="K117" s="5">
        <v>3546</v>
      </c>
      <c r="L117" s="2">
        <v>0.1</v>
      </c>
      <c r="M117" s="1">
        <v>44679.6</v>
      </c>
      <c r="N117" t="str">
        <f t="shared" si="36"/>
        <v xml:space="preserve">Sara </v>
      </c>
      <c r="O117" s="1" t="str">
        <f t="shared" si="37"/>
        <v>Ali</v>
      </c>
      <c r="P117" s="1" t="str">
        <f t="shared" si="38"/>
        <v>Sara -Ali</v>
      </c>
      <c r="Q117" s="1" t="str">
        <f t="shared" si="39"/>
        <v xml:space="preserve">Sara </v>
      </c>
      <c r="R117" s="1" t="str">
        <f t="shared" si="40"/>
        <v>Ali</v>
      </c>
      <c r="S117">
        <f t="shared" si="41"/>
        <v>8</v>
      </c>
      <c r="T117" s="1"/>
      <c r="U117" s="1" t="str">
        <f t="shared" si="42"/>
        <v>Sara Ali</v>
      </c>
      <c r="V117" s="1" t="str">
        <f t="shared" si="43"/>
        <v>Sara Ali</v>
      </c>
      <c r="W117" s="1" t="str">
        <f t="shared" si="44"/>
        <v>44679.6</v>
      </c>
      <c r="X117" s="1" t="str">
        <f t="shared" si="45"/>
        <v>Sara Ali</v>
      </c>
      <c r="Y117" s="1" t="str">
        <f>UPPER(Table1[[#This Row],[PROPER]])</f>
        <v>SARA ALI</v>
      </c>
      <c r="Z117" s="1" t="str">
        <f t="shared" si="46"/>
        <v>Sara Ali</v>
      </c>
      <c r="AA117" s="1" t="str">
        <f t="shared" si="47"/>
        <v>Sara Ali</v>
      </c>
    </row>
    <row r="118" spans="1:27" x14ac:dyDescent="0.3">
      <c r="A118" s="6">
        <v>117</v>
      </c>
      <c r="B118" s="6">
        <v>1041</v>
      </c>
      <c r="C118" t="s">
        <v>18</v>
      </c>
      <c r="D118" t="s">
        <v>23</v>
      </c>
      <c r="E118" t="s">
        <v>41</v>
      </c>
      <c r="F118" t="s">
        <v>16</v>
      </c>
      <c r="G118" s="6">
        <v>16</v>
      </c>
      <c r="H118" s="1">
        <v>374</v>
      </c>
      <c r="I118" s="5">
        <v>5984</v>
      </c>
      <c r="J118" s="4" t="s">
        <v>113</v>
      </c>
      <c r="K118" s="5">
        <v>374</v>
      </c>
      <c r="L118" s="2">
        <v>0.1</v>
      </c>
      <c r="M118" s="1">
        <v>5385.6</v>
      </c>
      <c r="N118" t="str">
        <f t="shared" si="36"/>
        <v xml:space="preserve">Amit </v>
      </c>
      <c r="O118" s="1" t="str">
        <f t="shared" si="37"/>
        <v>hah</v>
      </c>
      <c r="P118" s="1" t="str">
        <f t="shared" si="38"/>
        <v>Amit -hah</v>
      </c>
      <c r="Q118" s="1" t="str">
        <f t="shared" si="39"/>
        <v xml:space="preserve">Amit </v>
      </c>
      <c r="R118" s="1" t="str">
        <f t="shared" si="40"/>
        <v>hah</v>
      </c>
      <c r="S118">
        <f t="shared" si="41"/>
        <v>9</v>
      </c>
      <c r="T118" s="1"/>
      <c r="U118" s="1" t="str">
        <f t="shared" si="42"/>
        <v>Amit Shah</v>
      </c>
      <c r="V118" s="1" t="str">
        <f t="shared" si="43"/>
        <v>Amit Shah</v>
      </c>
      <c r="W118" s="1" t="str">
        <f t="shared" si="44"/>
        <v>5385.6</v>
      </c>
      <c r="X118" s="1" t="str">
        <f t="shared" si="45"/>
        <v>Amit Shah</v>
      </c>
      <c r="Y118" s="1" t="str">
        <f>UPPER(Table1[[#This Row],[PROPER]])</f>
        <v>AMIT SHAH</v>
      </c>
      <c r="Z118" s="1" t="str">
        <f t="shared" si="46"/>
        <v>Amit Shah</v>
      </c>
      <c r="AA118" s="1" t="str">
        <f t="shared" si="47"/>
        <v>Amit Shah</v>
      </c>
    </row>
    <row r="119" spans="1:27" x14ac:dyDescent="0.3">
      <c r="A119" s="6">
        <v>118</v>
      </c>
      <c r="B119" s="6">
        <v>1082</v>
      </c>
      <c r="C119" t="s">
        <v>13</v>
      </c>
      <c r="D119" t="s">
        <v>23</v>
      </c>
      <c r="E119" t="s">
        <v>26</v>
      </c>
      <c r="F119" t="s">
        <v>27</v>
      </c>
      <c r="G119" s="6">
        <v>1</v>
      </c>
      <c r="H119" s="1">
        <v>4951</v>
      </c>
      <c r="I119" s="5">
        <v>4951</v>
      </c>
      <c r="J119" s="4" t="s">
        <v>137</v>
      </c>
      <c r="K119" s="5">
        <v>4951</v>
      </c>
      <c r="L119" s="2">
        <v>0.05</v>
      </c>
      <c r="M119" s="1">
        <v>4703.45</v>
      </c>
      <c r="N119" t="str">
        <f t="shared" si="36"/>
        <v xml:space="preserve">Ravi </v>
      </c>
      <c r="O119" s="1" t="str">
        <f t="shared" si="37"/>
        <v>mar</v>
      </c>
      <c r="P119" s="1" t="str">
        <f t="shared" si="38"/>
        <v>Ravi -mar</v>
      </c>
      <c r="Q119" s="1" t="str">
        <f t="shared" si="39"/>
        <v xml:space="preserve">Ravi </v>
      </c>
      <c r="R119" s="1" t="str">
        <f t="shared" si="40"/>
        <v>mar</v>
      </c>
      <c r="S119">
        <f t="shared" si="41"/>
        <v>10</v>
      </c>
      <c r="T119" s="1"/>
      <c r="U119" s="1" t="str">
        <f t="shared" si="42"/>
        <v>Ravi Kumar</v>
      </c>
      <c r="V119" s="1" t="str">
        <f t="shared" si="43"/>
        <v>Ravi Kumar</v>
      </c>
      <c r="W119" s="1" t="str">
        <f t="shared" si="44"/>
        <v>4703.45</v>
      </c>
      <c r="X119" s="1" t="str">
        <f t="shared" si="45"/>
        <v>Ravi Kumar</v>
      </c>
      <c r="Y119" s="1" t="str">
        <f>UPPER(Table1[[#This Row],[PROPER]])</f>
        <v>RAVI KUMAR</v>
      </c>
      <c r="Z119" s="1" t="str">
        <f t="shared" si="46"/>
        <v>Ravi Kumar</v>
      </c>
      <c r="AA119" s="1" t="str">
        <f t="shared" si="47"/>
        <v>Ravi Kumar</v>
      </c>
    </row>
    <row r="120" spans="1:27" x14ac:dyDescent="0.3">
      <c r="A120" s="6">
        <v>119</v>
      </c>
      <c r="B120" s="6">
        <v>1084</v>
      </c>
      <c r="C120" t="s">
        <v>18</v>
      </c>
      <c r="D120" t="s">
        <v>23</v>
      </c>
      <c r="E120" t="s">
        <v>20</v>
      </c>
      <c r="F120" t="s">
        <v>16</v>
      </c>
      <c r="G120" s="6">
        <v>6</v>
      </c>
      <c r="H120" s="1">
        <v>2192</v>
      </c>
      <c r="I120" s="5">
        <v>13152</v>
      </c>
      <c r="J120" s="4" t="s">
        <v>138</v>
      </c>
      <c r="K120" s="5">
        <v>2192</v>
      </c>
      <c r="L120" s="2">
        <v>0.1</v>
      </c>
      <c r="M120" s="1">
        <v>11836.8</v>
      </c>
      <c r="N120" t="str">
        <f t="shared" si="36"/>
        <v xml:space="preserve">Amit </v>
      </c>
      <c r="O120" s="1" t="str">
        <f t="shared" si="37"/>
        <v>hah</v>
      </c>
      <c r="P120" s="1" t="str">
        <f t="shared" si="38"/>
        <v>Amit -hah</v>
      </c>
      <c r="Q120" s="1" t="str">
        <f t="shared" si="39"/>
        <v xml:space="preserve">Amit </v>
      </c>
      <c r="R120" s="1" t="str">
        <f t="shared" si="40"/>
        <v>hah</v>
      </c>
      <c r="S120">
        <f t="shared" si="41"/>
        <v>9</v>
      </c>
      <c r="T120" s="1"/>
      <c r="U120" s="1" t="str">
        <f t="shared" si="42"/>
        <v>Amit Shah</v>
      </c>
      <c r="V120" s="1" t="str">
        <f t="shared" si="43"/>
        <v>Amit Shah</v>
      </c>
      <c r="W120" s="1" t="str">
        <f t="shared" si="44"/>
        <v>11836.8</v>
      </c>
      <c r="X120" s="1" t="str">
        <f t="shared" si="45"/>
        <v>Amit Shah</v>
      </c>
      <c r="Y120" s="1" t="str">
        <f>UPPER(Table1[[#This Row],[PROPER]])</f>
        <v>AMIT SHAH</v>
      </c>
      <c r="Z120" s="1" t="str">
        <f t="shared" si="46"/>
        <v>Amit Shah</v>
      </c>
      <c r="AA120" s="1" t="str">
        <f t="shared" si="47"/>
        <v>Amit Shah</v>
      </c>
    </row>
    <row r="121" spans="1:27" x14ac:dyDescent="0.3">
      <c r="A121" s="6">
        <v>120</v>
      </c>
      <c r="B121" s="6">
        <v>1095</v>
      </c>
      <c r="C121" t="s">
        <v>18</v>
      </c>
      <c r="D121" t="s">
        <v>19</v>
      </c>
      <c r="E121" t="s">
        <v>26</v>
      </c>
      <c r="F121" t="s">
        <v>27</v>
      </c>
      <c r="G121" s="6">
        <v>1</v>
      </c>
      <c r="H121" s="1">
        <v>2646</v>
      </c>
      <c r="I121" s="5">
        <v>2646</v>
      </c>
      <c r="J121" s="4" t="s">
        <v>139</v>
      </c>
      <c r="K121" s="5">
        <v>2646</v>
      </c>
      <c r="L121" s="2">
        <v>0.05</v>
      </c>
      <c r="M121" s="1">
        <v>2513.6999999999998</v>
      </c>
      <c r="N121" t="str">
        <f t="shared" si="36"/>
        <v xml:space="preserve">Amit </v>
      </c>
      <c r="O121" s="1" t="str">
        <f t="shared" si="37"/>
        <v>hah</v>
      </c>
      <c r="P121" s="1" t="str">
        <f t="shared" si="38"/>
        <v>Amit -hah</v>
      </c>
      <c r="Q121" s="1" t="str">
        <f t="shared" si="39"/>
        <v xml:space="preserve">Amit </v>
      </c>
      <c r="R121" s="1" t="str">
        <f t="shared" si="40"/>
        <v>hah</v>
      </c>
      <c r="S121">
        <f t="shared" si="41"/>
        <v>9</v>
      </c>
      <c r="T121" s="1"/>
      <c r="U121" s="1" t="str">
        <f t="shared" si="42"/>
        <v>Amit Shah</v>
      </c>
      <c r="V121" s="1" t="str">
        <f t="shared" si="43"/>
        <v>Amit Shah</v>
      </c>
      <c r="W121" s="1" t="str">
        <f t="shared" si="44"/>
        <v>2513.7</v>
      </c>
      <c r="X121" s="1" t="str">
        <f t="shared" si="45"/>
        <v>Amit Shah</v>
      </c>
      <c r="Y121" s="1" t="str">
        <f>UPPER(Table1[[#This Row],[PROPER]])</f>
        <v>AMIT SHAH</v>
      </c>
      <c r="Z121" s="1" t="str">
        <f t="shared" si="46"/>
        <v>Amit Shah</v>
      </c>
      <c r="AA121" s="1" t="str">
        <f t="shared" si="47"/>
        <v>Amit Shah</v>
      </c>
    </row>
    <row r="122" spans="1:27" x14ac:dyDescent="0.3">
      <c r="A122" s="6">
        <v>121</v>
      </c>
      <c r="B122" s="6">
        <v>1010</v>
      </c>
      <c r="C122" t="s">
        <v>40</v>
      </c>
      <c r="D122" t="s">
        <v>19</v>
      </c>
      <c r="E122" t="s">
        <v>15</v>
      </c>
      <c r="F122" t="s">
        <v>16</v>
      </c>
      <c r="G122" s="6">
        <v>20</v>
      </c>
      <c r="H122" s="1">
        <v>1541</v>
      </c>
      <c r="I122" s="5">
        <v>30820</v>
      </c>
      <c r="J122" s="4" t="s">
        <v>140</v>
      </c>
      <c r="K122" s="5">
        <v>1541</v>
      </c>
      <c r="L122" s="2">
        <v>0.1</v>
      </c>
      <c r="M122" s="1">
        <v>27738</v>
      </c>
      <c r="N122" t="str">
        <f t="shared" si="36"/>
        <v xml:space="preserve">Sara </v>
      </c>
      <c r="O122" s="1" t="str">
        <f t="shared" si="37"/>
        <v>Ali</v>
      </c>
      <c r="P122" s="1" t="str">
        <f t="shared" si="38"/>
        <v>Sara -Ali</v>
      </c>
      <c r="Q122" s="1" t="str">
        <f t="shared" si="39"/>
        <v xml:space="preserve">Sara </v>
      </c>
      <c r="R122" s="1" t="str">
        <f t="shared" si="40"/>
        <v>Ali</v>
      </c>
      <c r="S122">
        <f t="shared" si="41"/>
        <v>8</v>
      </c>
      <c r="T122" s="1"/>
      <c r="U122" s="1" t="str">
        <f t="shared" si="42"/>
        <v>Sara Ali</v>
      </c>
      <c r="V122" s="1" t="str">
        <f t="shared" si="43"/>
        <v>Sara Ali</v>
      </c>
      <c r="W122" s="1" t="str">
        <f t="shared" si="44"/>
        <v>27738</v>
      </c>
      <c r="X122" s="1" t="str">
        <f t="shared" si="45"/>
        <v>Sara Ali</v>
      </c>
      <c r="Y122" s="1" t="str">
        <f>UPPER(Table1[[#This Row],[PROPER]])</f>
        <v>SARA ALI</v>
      </c>
      <c r="Z122" s="1" t="str">
        <f t="shared" si="46"/>
        <v>Sara Ali</v>
      </c>
      <c r="AA122" s="1" t="str">
        <f t="shared" si="47"/>
        <v>Sara Ali</v>
      </c>
    </row>
    <row r="123" spans="1:27" x14ac:dyDescent="0.3">
      <c r="A123" s="6">
        <v>122</v>
      </c>
      <c r="B123" s="6">
        <v>1040</v>
      </c>
      <c r="C123" t="s">
        <v>29</v>
      </c>
      <c r="D123" t="s">
        <v>25</v>
      </c>
      <c r="E123" t="s">
        <v>26</v>
      </c>
      <c r="F123" t="s">
        <v>27</v>
      </c>
      <c r="G123" s="6">
        <v>4</v>
      </c>
      <c r="H123" s="1">
        <v>1182</v>
      </c>
      <c r="I123" s="5">
        <v>4728</v>
      </c>
      <c r="J123" s="4" t="s">
        <v>141</v>
      </c>
      <c r="K123" s="5">
        <v>1182</v>
      </c>
      <c r="L123" s="2">
        <v>0.05</v>
      </c>
      <c r="M123" s="1">
        <v>4491.6000000000004</v>
      </c>
      <c r="N123" t="str">
        <f t="shared" si="36"/>
        <v xml:space="preserve">John </v>
      </c>
      <c r="O123" s="1" t="str">
        <f t="shared" si="37"/>
        <v>Doe</v>
      </c>
      <c r="P123" s="1" t="str">
        <f t="shared" si="38"/>
        <v>John -Doe</v>
      </c>
      <c r="Q123" s="1" t="str">
        <f t="shared" si="39"/>
        <v xml:space="preserve">John </v>
      </c>
      <c r="R123" s="1" t="str">
        <f t="shared" si="40"/>
        <v>Doe</v>
      </c>
      <c r="S123">
        <f t="shared" si="41"/>
        <v>8</v>
      </c>
      <c r="T123" s="1"/>
      <c r="U123" s="1" t="str">
        <f t="shared" si="42"/>
        <v>John Doe</v>
      </c>
      <c r="V123" s="1" t="str">
        <f t="shared" si="43"/>
        <v>John Doe</v>
      </c>
      <c r="W123" s="1" t="str">
        <f t="shared" si="44"/>
        <v>4491.6</v>
      </c>
      <c r="X123" s="1" t="str">
        <f t="shared" si="45"/>
        <v>John Doe</v>
      </c>
      <c r="Y123" s="1" t="str">
        <f>UPPER(Table1[[#This Row],[PROPER]])</f>
        <v>JOHN DOE</v>
      </c>
      <c r="Z123" s="1" t="str">
        <f t="shared" si="46"/>
        <v>John Doe</v>
      </c>
      <c r="AA123" s="1" t="str">
        <f t="shared" si="47"/>
        <v>John Doe</v>
      </c>
    </row>
    <row r="124" spans="1:27" x14ac:dyDescent="0.3">
      <c r="A124" s="6">
        <v>123</v>
      </c>
      <c r="B124" s="6">
        <v>1009</v>
      </c>
      <c r="C124" t="s">
        <v>18</v>
      </c>
      <c r="D124" t="s">
        <v>25</v>
      </c>
      <c r="E124" t="s">
        <v>31</v>
      </c>
      <c r="F124" t="s">
        <v>16</v>
      </c>
      <c r="G124" s="6">
        <v>3</v>
      </c>
      <c r="H124" s="1">
        <v>4135</v>
      </c>
      <c r="I124" s="5">
        <v>12405</v>
      </c>
      <c r="J124" s="4" t="s">
        <v>142</v>
      </c>
      <c r="K124" s="5">
        <v>4135</v>
      </c>
      <c r="L124" s="2">
        <v>0.1</v>
      </c>
      <c r="M124" s="1">
        <v>11164.5</v>
      </c>
      <c r="N124" t="str">
        <f t="shared" si="36"/>
        <v xml:space="preserve">Amit </v>
      </c>
      <c r="O124" s="1" t="str">
        <f t="shared" si="37"/>
        <v>hah</v>
      </c>
      <c r="P124" s="1" t="str">
        <f t="shared" si="38"/>
        <v>Amit -hah</v>
      </c>
      <c r="Q124" s="1" t="str">
        <f t="shared" si="39"/>
        <v xml:space="preserve">Amit </v>
      </c>
      <c r="R124" s="1" t="str">
        <f t="shared" si="40"/>
        <v>hah</v>
      </c>
      <c r="S124">
        <f t="shared" si="41"/>
        <v>9</v>
      </c>
      <c r="T124" s="1"/>
      <c r="U124" s="1" t="str">
        <f t="shared" si="42"/>
        <v>Amit Shah</v>
      </c>
      <c r="V124" s="1" t="str">
        <f t="shared" si="43"/>
        <v>Amit Shah</v>
      </c>
      <c r="W124" s="1" t="str">
        <f t="shared" si="44"/>
        <v>11164.5</v>
      </c>
      <c r="X124" s="1" t="str">
        <f t="shared" si="45"/>
        <v>Amit Shah</v>
      </c>
      <c r="Y124" s="1" t="str">
        <f>UPPER(Table1[[#This Row],[PROPER]])</f>
        <v>AMIT SHAH</v>
      </c>
      <c r="Z124" s="1" t="str">
        <f t="shared" si="46"/>
        <v>Amit Shah</v>
      </c>
      <c r="AA124" s="1" t="str">
        <f t="shared" si="47"/>
        <v>Amit Shah</v>
      </c>
    </row>
    <row r="125" spans="1:27" x14ac:dyDescent="0.3">
      <c r="A125" s="6">
        <v>124</v>
      </c>
      <c r="B125" s="6">
        <v>1065</v>
      </c>
      <c r="C125" t="s">
        <v>40</v>
      </c>
      <c r="D125" t="s">
        <v>25</v>
      </c>
      <c r="E125" t="s">
        <v>41</v>
      </c>
      <c r="F125" t="s">
        <v>27</v>
      </c>
      <c r="G125" s="6">
        <v>18</v>
      </c>
      <c r="H125" s="1">
        <v>3157</v>
      </c>
      <c r="I125" s="5">
        <v>56826</v>
      </c>
      <c r="J125" s="4" t="s">
        <v>143</v>
      </c>
      <c r="K125" s="5">
        <v>3157</v>
      </c>
      <c r="L125" s="2">
        <v>0.1</v>
      </c>
      <c r="M125" s="1">
        <v>51143.4</v>
      </c>
      <c r="N125" t="str">
        <f t="shared" si="36"/>
        <v xml:space="preserve">Sara </v>
      </c>
      <c r="O125" s="1" t="str">
        <f t="shared" si="37"/>
        <v>Ali</v>
      </c>
      <c r="P125" s="1" t="str">
        <f t="shared" si="38"/>
        <v>Sara -Ali</v>
      </c>
      <c r="Q125" s="1" t="str">
        <f t="shared" si="39"/>
        <v xml:space="preserve">Sara </v>
      </c>
      <c r="R125" s="1" t="str">
        <f t="shared" si="40"/>
        <v>Ali</v>
      </c>
      <c r="S125">
        <f t="shared" si="41"/>
        <v>8</v>
      </c>
      <c r="T125" s="1"/>
      <c r="U125" s="1" t="str">
        <f t="shared" si="42"/>
        <v>Sara Ali</v>
      </c>
      <c r="V125" s="1" t="str">
        <f t="shared" si="43"/>
        <v>Sara Ali</v>
      </c>
      <c r="W125" s="1" t="str">
        <f t="shared" si="44"/>
        <v>51143.4</v>
      </c>
      <c r="X125" s="1" t="str">
        <f t="shared" si="45"/>
        <v>Sara Ali</v>
      </c>
      <c r="Y125" s="1" t="str">
        <f>UPPER(Table1[[#This Row],[PROPER]])</f>
        <v>SARA ALI</v>
      </c>
      <c r="Z125" s="1" t="str">
        <f t="shared" si="46"/>
        <v>Sara Ali</v>
      </c>
      <c r="AA125" s="1" t="str">
        <f t="shared" si="47"/>
        <v>Sara Ali</v>
      </c>
    </row>
    <row r="126" spans="1:27" x14ac:dyDescent="0.3">
      <c r="A126" s="6">
        <v>125</v>
      </c>
      <c r="B126" s="6">
        <v>1011</v>
      </c>
      <c r="C126" t="s">
        <v>22</v>
      </c>
      <c r="D126" t="s">
        <v>14</v>
      </c>
      <c r="E126" t="s">
        <v>31</v>
      </c>
      <c r="F126" t="s">
        <v>27</v>
      </c>
      <c r="G126" s="6">
        <v>10</v>
      </c>
      <c r="H126" s="1">
        <v>2010</v>
      </c>
      <c r="I126" s="5">
        <v>20100</v>
      </c>
      <c r="J126" s="4" t="s">
        <v>144</v>
      </c>
      <c r="K126" s="5">
        <v>2010</v>
      </c>
      <c r="L126" s="2">
        <v>0.1</v>
      </c>
      <c r="M126" s="1">
        <v>18090</v>
      </c>
      <c r="N126" t="str">
        <f t="shared" si="36"/>
        <v>Emily</v>
      </c>
      <c r="O126" s="1" t="str">
        <f t="shared" si="37"/>
        <v>ark</v>
      </c>
      <c r="P126" s="1" t="str">
        <f t="shared" si="38"/>
        <v>Emily-ark</v>
      </c>
      <c r="Q126" s="1" t="str">
        <f t="shared" si="39"/>
        <v>Emily</v>
      </c>
      <c r="R126" s="1" t="str">
        <f t="shared" si="40"/>
        <v>ark</v>
      </c>
      <c r="S126">
        <f t="shared" si="41"/>
        <v>11</v>
      </c>
      <c r="T126" s="1"/>
      <c r="U126" s="1" t="str">
        <f t="shared" si="42"/>
        <v>Emily Clark</v>
      </c>
      <c r="V126" s="1" t="str">
        <f t="shared" si="43"/>
        <v>Emily Clark</v>
      </c>
      <c r="W126" s="1" t="str">
        <f t="shared" si="44"/>
        <v>18090</v>
      </c>
      <c r="X126" s="1" t="str">
        <f t="shared" si="45"/>
        <v>Emily Clark</v>
      </c>
      <c r="Y126" s="1" t="str">
        <f>UPPER(Table1[[#This Row],[PROPER]])</f>
        <v>EMILY CLARK</v>
      </c>
      <c r="Z126" s="1" t="str">
        <f t="shared" si="46"/>
        <v>Emily Clark</v>
      </c>
      <c r="AA126" s="1" t="str">
        <f t="shared" si="47"/>
        <v>Emily Clark</v>
      </c>
    </row>
    <row r="127" spans="1:27" x14ac:dyDescent="0.3">
      <c r="A127" s="6">
        <v>126</v>
      </c>
      <c r="B127" s="6">
        <v>1081</v>
      </c>
      <c r="C127" t="s">
        <v>22</v>
      </c>
      <c r="D127" t="s">
        <v>19</v>
      </c>
      <c r="E127" t="s">
        <v>20</v>
      </c>
      <c r="F127" t="s">
        <v>27</v>
      </c>
      <c r="G127" s="6">
        <v>12</v>
      </c>
      <c r="H127" s="1">
        <v>3084</v>
      </c>
      <c r="I127" s="5">
        <v>37008</v>
      </c>
      <c r="J127" s="4" t="s">
        <v>145</v>
      </c>
      <c r="K127" s="5">
        <v>3084</v>
      </c>
      <c r="L127" s="2">
        <v>0.1</v>
      </c>
      <c r="M127" s="1">
        <v>33307.199999999997</v>
      </c>
      <c r="N127" t="str">
        <f t="shared" si="36"/>
        <v>Emily</v>
      </c>
      <c r="O127" s="1" t="str">
        <f t="shared" si="37"/>
        <v>ark</v>
      </c>
      <c r="P127" s="1" t="str">
        <f t="shared" si="38"/>
        <v>Emily-ark</v>
      </c>
      <c r="Q127" s="1" t="str">
        <f t="shared" si="39"/>
        <v>Emily</v>
      </c>
      <c r="R127" s="1" t="str">
        <f t="shared" si="40"/>
        <v>ark</v>
      </c>
      <c r="S127">
        <f t="shared" si="41"/>
        <v>11</v>
      </c>
      <c r="T127" s="1"/>
      <c r="U127" s="1" t="str">
        <f t="shared" si="42"/>
        <v>Emily Clark</v>
      </c>
      <c r="V127" s="1" t="str">
        <f t="shared" si="43"/>
        <v>Emily Clark</v>
      </c>
      <c r="W127" s="1" t="str">
        <f t="shared" si="44"/>
        <v>33307.2</v>
      </c>
      <c r="X127" s="1" t="str">
        <f t="shared" si="45"/>
        <v>Emily Clark</v>
      </c>
      <c r="Y127" s="1" t="str">
        <f>UPPER(Table1[[#This Row],[PROPER]])</f>
        <v>EMILY CLARK</v>
      </c>
      <c r="Z127" s="1" t="str">
        <f t="shared" si="46"/>
        <v>Emily Clark</v>
      </c>
      <c r="AA127" s="1" t="str">
        <f t="shared" si="47"/>
        <v>Emily Clark</v>
      </c>
    </row>
    <row r="128" spans="1:27" x14ac:dyDescent="0.3">
      <c r="A128" s="6">
        <v>127</v>
      </c>
      <c r="B128" s="6">
        <v>1010</v>
      </c>
      <c r="C128" t="s">
        <v>13</v>
      </c>
      <c r="D128" t="s">
        <v>23</v>
      </c>
      <c r="E128" t="s">
        <v>41</v>
      </c>
      <c r="F128" t="s">
        <v>27</v>
      </c>
      <c r="G128" s="6">
        <v>4</v>
      </c>
      <c r="H128" s="1">
        <v>888</v>
      </c>
      <c r="I128" s="5">
        <v>3552</v>
      </c>
      <c r="J128" s="4" t="s">
        <v>36</v>
      </c>
      <c r="K128" s="5">
        <v>888</v>
      </c>
      <c r="L128" s="2">
        <v>0.05</v>
      </c>
      <c r="M128" s="1">
        <v>3374.4</v>
      </c>
      <c r="N128" t="str">
        <f t="shared" si="36"/>
        <v xml:space="preserve">Ravi </v>
      </c>
      <c r="O128" s="1" t="str">
        <f t="shared" si="37"/>
        <v>mar</v>
      </c>
      <c r="P128" s="1" t="str">
        <f t="shared" si="38"/>
        <v>Ravi -mar</v>
      </c>
      <c r="Q128" s="1" t="str">
        <f t="shared" si="39"/>
        <v xml:space="preserve">Ravi </v>
      </c>
      <c r="R128" s="1" t="str">
        <f t="shared" si="40"/>
        <v>mar</v>
      </c>
      <c r="S128">
        <f t="shared" si="41"/>
        <v>10</v>
      </c>
      <c r="T128" s="1"/>
      <c r="U128" s="1" t="str">
        <f t="shared" si="42"/>
        <v>Ravi Kumar</v>
      </c>
      <c r="V128" s="1" t="str">
        <f t="shared" si="43"/>
        <v>Ravi Kumar</v>
      </c>
      <c r="W128" s="1" t="str">
        <f t="shared" si="44"/>
        <v>3374.4</v>
      </c>
      <c r="X128" s="1" t="str">
        <f t="shared" si="45"/>
        <v>Ravi Kumar</v>
      </c>
      <c r="Y128" s="1" t="str">
        <f>UPPER(Table1[[#This Row],[PROPER]])</f>
        <v>RAVI KUMAR</v>
      </c>
      <c r="Z128" s="1" t="str">
        <f t="shared" si="46"/>
        <v>Ravi Kumar</v>
      </c>
      <c r="AA128" s="1" t="str">
        <f t="shared" si="47"/>
        <v>Ravi Kumar</v>
      </c>
    </row>
    <row r="129" spans="1:27" x14ac:dyDescent="0.3">
      <c r="A129" s="6">
        <v>128</v>
      </c>
      <c r="B129" s="6">
        <v>1049</v>
      </c>
      <c r="C129" t="s">
        <v>18</v>
      </c>
      <c r="D129" t="s">
        <v>19</v>
      </c>
      <c r="E129" t="s">
        <v>15</v>
      </c>
      <c r="F129" t="s">
        <v>27</v>
      </c>
      <c r="G129" s="6">
        <v>13</v>
      </c>
      <c r="H129" s="1">
        <v>3484</v>
      </c>
      <c r="I129" s="5">
        <v>45292</v>
      </c>
      <c r="J129" s="4" t="s">
        <v>62</v>
      </c>
      <c r="K129" s="5">
        <v>3484</v>
      </c>
      <c r="L129" s="2">
        <v>0.1</v>
      </c>
      <c r="M129" s="1">
        <v>40762.800000000003</v>
      </c>
      <c r="N129" t="str">
        <f t="shared" si="36"/>
        <v xml:space="preserve">Amit </v>
      </c>
      <c r="O129" s="1" t="str">
        <f t="shared" si="37"/>
        <v>hah</v>
      </c>
      <c r="P129" s="1" t="str">
        <f t="shared" si="38"/>
        <v>Amit -hah</v>
      </c>
      <c r="Q129" s="1" t="str">
        <f t="shared" si="39"/>
        <v xml:space="preserve">Amit </v>
      </c>
      <c r="R129" s="1" t="str">
        <f t="shared" si="40"/>
        <v>hah</v>
      </c>
      <c r="S129">
        <f t="shared" si="41"/>
        <v>9</v>
      </c>
      <c r="T129" s="1"/>
      <c r="U129" s="1" t="str">
        <f t="shared" si="42"/>
        <v>Amit Shah</v>
      </c>
      <c r="V129" s="1" t="str">
        <f t="shared" si="43"/>
        <v>Amit Shah</v>
      </c>
      <c r="W129" s="1" t="str">
        <f t="shared" si="44"/>
        <v>40762.8</v>
      </c>
      <c r="X129" s="1" t="str">
        <f t="shared" si="45"/>
        <v>Amit Shah</v>
      </c>
      <c r="Y129" s="1" t="str">
        <f>UPPER(Table1[[#This Row],[PROPER]])</f>
        <v>AMIT SHAH</v>
      </c>
      <c r="Z129" s="1" t="str">
        <f t="shared" si="46"/>
        <v>Amit Shah</v>
      </c>
      <c r="AA129" s="1" t="str">
        <f t="shared" si="47"/>
        <v>Amit Shah</v>
      </c>
    </row>
    <row r="130" spans="1:27" x14ac:dyDescent="0.3">
      <c r="A130" s="6">
        <v>129</v>
      </c>
      <c r="B130" s="6">
        <v>1093</v>
      </c>
      <c r="C130" t="s">
        <v>13</v>
      </c>
      <c r="D130" t="s">
        <v>23</v>
      </c>
      <c r="E130" t="s">
        <v>41</v>
      </c>
      <c r="F130" t="s">
        <v>16</v>
      </c>
      <c r="G130" s="6">
        <v>13</v>
      </c>
      <c r="H130" s="1">
        <v>1912</v>
      </c>
      <c r="I130" s="5">
        <v>24856</v>
      </c>
      <c r="J130" s="4" t="s">
        <v>42</v>
      </c>
      <c r="K130" s="5">
        <v>1912</v>
      </c>
      <c r="L130" s="2">
        <v>0.1</v>
      </c>
      <c r="M130" s="1">
        <v>22370.400000000001</v>
      </c>
      <c r="N130" t="str">
        <f t="shared" ref="N130:N161" si="48">LEFT(C130,5)</f>
        <v xml:space="preserve">Ravi </v>
      </c>
      <c r="O130" s="1" t="str">
        <f t="shared" ref="O130:O161" si="49">RIGHT(C130,3)</f>
        <v>mar</v>
      </c>
      <c r="P130" s="1" t="str">
        <f t="shared" ref="P130:P161" si="50">_xlfn.CONCAT(N130,"-",O130)</f>
        <v>Ravi -mar</v>
      </c>
      <c r="Q130" s="1" t="str">
        <f t="shared" ref="Q130:Q161" si="51">LEFT(P130, FIND("-", P130) - 1)</f>
        <v xml:space="preserve">Ravi </v>
      </c>
      <c r="R130" s="1" t="str">
        <f t="shared" ref="R130:R161" si="52">RIGHT(P130, LEN(P130) - FIND("-", P130))</f>
        <v>mar</v>
      </c>
      <c r="S130">
        <f t="shared" ref="S130:S161" si="53">LEN(C130)</f>
        <v>10</v>
      </c>
      <c r="T130" s="1"/>
      <c r="U130" s="1" t="str">
        <f t="shared" ref="U130:U161" si="54">TRIM(C130)</f>
        <v>Ravi Kumar</v>
      </c>
      <c r="V130" s="1" t="str">
        <f t="shared" ref="V130:V161" si="55">CLEAN(C130)</f>
        <v>Ravi Kumar</v>
      </c>
      <c r="W130" s="1" t="str">
        <f t="shared" ref="W130:W161" si="56">SUBSTITUTE(M130,"₹","")</f>
        <v>22370.4</v>
      </c>
      <c r="X130" s="1" t="str">
        <f t="shared" ref="X130:X161" si="57">PROPER(C130)</f>
        <v>Ravi Kumar</v>
      </c>
      <c r="Y130" s="1" t="str">
        <f>UPPER(Table1[[#This Row],[PROPER]])</f>
        <v>RAVI KUMAR</v>
      </c>
      <c r="Z130" s="1" t="str">
        <f t="shared" ref="Z130:Z161" si="58">SUBSTITUTE(C130,"  "," ")</f>
        <v>Ravi Kumar</v>
      </c>
      <c r="AA130" s="1" t="str">
        <f t="shared" ref="AA130:AA161" si="59">TRIM(CLEAN(C130))</f>
        <v>Ravi Kumar</v>
      </c>
    </row>
    <row r="131" spans="1:27" x14ac:dyDescent="0.3">
      <c r="A131" s="6">
        <v>130</v>
      </c>
      <c r="B131" s="6">
        <v>1083</v>
      </c>
      <c r="C131" t="s">
        <v>18</v>
      </c>
      <c r="D131" t="s">
        <v>19</v>
      </c>
      <c r="E131" t="s">
        <v>31</v>
      </c>
      <c r="F131" t="s">
        <v>16</v>
      </c>
      <c r="G131" s="6">
        <v>18</v>
      </c>
      <c r="H131" s="1">
        <v>2836</v>
      </c>
      <c r="I131" s="5">
        <v>51048</v>
      </c>
      <c r="J131" s="4" t="s">
        <v>32</v>
      </c>
      <c r="K131" s="5">
        <v>2836</v>
      </c>
      <c r="L131" s="2">
        <v>0.1</v>
      </c>
      <c r="M131" s="1">
        <v>45943.199999999997</v>
      </c>
      <c r="N131" t="str">
        <f t="shared" si="48"/>
        <v xml:space="preserve">Amit </v>
      </c>
      <c r="O131" s="1" t="str">
        <f t="shared" si="49"/>
        <v>hah</v>
      </c>
      <c r="P131" s="1" t="str">
        <f t="shared" si="50"/>
        <v>Amit -hah</v>
      </c>
      <c r="Q131" s="1" t="str">
        <f t="shared" si="51"/>
        <v xml:space="preserve">Amit </v>
      </c>
      <c r="R131" s="1" t="str">
        <f t="shared" si="52"/>
        <v>hah</v>
      </c>
      <c r="S131">
        <f t="shared" si="53"/>
        <v>9</v>
      </c>
      <c r="T131" s="1"/>
      <c r="U131" s="1" t="str">
        <f t="shared" si="54"/>
        <v>Amit Shah</v>
      </c>
      <c r="V131" s="1" t="str">
        <f t="shared" si="55"/>
        <v>Amit Shah</v>
      </c>
      <c r="W131" s="1" t="str">
        <f t="shared" si="56"/>
        <v>45943.2</v>
      </c>
      <c r="X131" s="1" t="str">
        <f t="shared" si="57"/>
        <v>Amit Shah</v>
      </c>
      <c r="Y131" s="1" t="str">
        <f>UPPER(Table1[[#This Row],[PROPER]])</f>
        <v>AMIT SHAH</v>
      </c>
      <c r="Z131" s="1" t="str">
        <f t="shared" si="58"/>
        <v>Amit Shah</v>
      </c>
      <c r="AA131" s="1" t="str">
        <f t="shared" si="59"/>
        <v>Amit Shah</v>
      </c>
    </row>
    <row r="132" spans="1:27" x14ac:dyDescent="0.3">
      <c r="A132" s="6">
        <v>131</v>
      </c>
      <c r="B132" s="6">
        <v>1015</v>
      </c>
      <c r="C132" t="s">
        <v>22</v>
      </c>
      <c r="D132" t="s">
        <v>14</v>
      </c>
      <c r="E132" t="s">
        <v>31</v>
      </c>
      <c r="F132" t="s">
        <v>27</v>
      </c>
      <c r="G132" s="6">
        <v>13</v>
      </c>
      <c r="H132" s="1">
        <v>4812</v>
      </c>
      <c r="I132" s="5">
        <v>62556</v>
      </c>
      <c r="J132" s="4" t="s">
        <v>146</v>
      </c>
      <c r="K132" s="5">
        <v>4812</v>
      </c>
      <c r="L132" s="2">
        <v>0.1</v>
      </c>
      <c r="M132" s="1">
        <v>56300.4</v>
      </c>
      <c r="N132" t="str">
        <f t="shared" si="48"/>
        <v>Emily</v>
      </c>
      <c r="O132" s="1" t="str">
        <f t="shared" si="49"/>
        <v>ark</v>
      </c>
      <c r="P132" s="1" t="str">
        <f t="shared" si="50"/>
        <v>Emily-ark</v>
      </c>
      <c r="Q132" s="1" t="str">
        <f t="shared" si="51"/>
        <v>Emily</v>
      </c>
      <c r="R132" s="1" t="str">
        <f t="shared" si="52"/>
        <v>ark</v>
      </c>
      <c r="S132">
        <f t="shared" si="53"/>
        <v>11</v>
      </c>
      <c r="T132" s="1"/>
      <c r="U132" s="1" t="str">
        <f t="shared" si="54"/>
        <v>Emily Clark</v>
      </c>
      <c r="V132" s="1" t="str">
        <f t="shared" si="55"/>
        <v>Emily Clark</v>
      </c>
      <c r="W132" s="1" t="str">
        <f t="shared" si="56"/>
        <v>56300.4</v>
      </c>
      <c r="X132" s="1" t="str">
        <f t="shared" si="57"/>
        <v>Emily Clark</v>
      </c>
      <c r="Y132" s="1" t="str">
        <f>UPPER(Table1[[#This Row],[PROPER]])</f>
        <v>EMILY CLARK</v>
      </c>
      <c r="Z132" s="1" t="str">
        <f t="shared" si="58"/>
        <v>Emily Clark</v>
      </c>
      <c r="AA132" s="1" t="str">
        <f t="shared" si="59"/>
        <v>Emily Clark</v>
      </c>
    </row>
    <row r="133" spans="1:27" x14ac:dyDescent="0.3">
      <c r="A133" s="6">
        <v>132</v>
      </c>
      <c r="B133" s="6">
        <v>1050</v>
      </c>
      <c r="C133" t="s">
        <v>18</v>
      </c>
      <c r="D133" t="s">
        <v>34</v>
      </c>
      <c r="E133" t="s">
        <v>15</v>
      </c>
      <c r="F133" t="s">
        <v>27</v>
      </c>
      <c r="G133" s="6">
        <v>5</v>
      </c>
      <c r="H133" s="1">
        <v>4929</v>
      </c>
      <c r="I133" s="5">
        <v>24645</v>
      </c>
      <c r="J133" s="4" t="s">
        <v>147</v>
      </c>
      <c r="K133" s="5">
        <v>4929</v>
      </c>
      <c r="L133" s="2">
        <v>0.1</v>
      </c>
      <c r="M133" s="1">
        <v>22180.5</v>
      </c>
      <c r="N133" t="str">
        <f t="shared" si="48"/>
        <v xml:space="preserve">Amit </v>
      </c>
      <c r="O133" s="1" t="str">
        <f t="shared" si="49"/>
        <v>hah</v>
      </c>
      <c r="P133" s="1" t="str">
        <f t="shared" si="50"/>
        <v>Amit -hah</v>
      </c>
      <c r="Q133" s="1" t="str">
        <f t="shared" si="51"/>
        <v xml:space="preserve">Amit </v>
      </c>
      <c r="R133" s="1" t="str">
        <f t="shared" si="52"/>
        <v>hah</v>
      </c>
      <c r="S133">
        <f t="shared" si="53"/>
        <v>9</v>
      </c>
      <c r="T133" s="1"/>
      <c r="U133" s="1" t="str">
        <f t="shared" si="54"/>
        <v>Amit Shah</v>
      </c>
      <c r="V133" s="1" t="str">
        <f t="shared" si="55"/>
        <v>Amit Shah</v>
      </c>
      <c r="W133" s="1" t="str">
        <f t="shared" si="56"/>
        <v>22180.5</v>
      </c>
      <c r="X133" s="1" t="str">
        <f t="shared" si="57"/>
        <v>Amit Shah</v>
      </c>
      <c r="Y133" s="1" t="str">
        <f>UPPER(Table1[[#This Row],[PROPER]])</f>
        <v>AMIT SHAH</v>
      </c>
      <c r="Z133" s="1" t="str">
        <f t="shared" si="58"/>
        <v>Amit Shah</v>
      </c>
      <c r="AA133" s="1" t="str">
        <f t="shared" si="59"/>
        <v>Amit Shah</v>
      </c>
    </row>
    <row r="134" spans="1:27" x14ac:dyDescent="0.3">
      <c r="A134" s="6">
        <v>133</v>
      </c>
      <c r="B134" s="6">
        <v>1075</v>
      </c>
      <c r="C134" t="s">
        <v>22</v>
      </c>
      <c r="D134" t="s">
        <v>25</v>
      </c>
      <c r="E134" t="s">
        <v>31</v>
      </c>
      <c r="F134" t="s">
        <v>16</v>
      </c>
      <c r="G134" s="6">
        <v>12</v>
      </c>
      <c r="H134" s="1">
        <v>4545</v>
      </c>
      <c r="I134" s="5">
        <v>54540</v>
      </c>
      <c r="J134" s="4" t="s">
        <v>148</v>
      </c>
      <c r="K134" s="5">
        <v>4545</v>
      </c>
      <c r="L134" s="2">
        <v>0.1</v>
      </c>
      <c r="M134" s="1">
        <v>49086</v>
      </c>
      <c r="N134" t="str">
        <f t="shared" si="48"/>
        <v>Emily</v>
      </c>
      <c r="O134" s="1" t="str">
        <f t="shared" si="49"/>
        <v>ark</v>
      </c>
      <c r="P134" s="1" t="str">
        <f t="shared" si="50"/>
        <v>Emily-ark</v>
      </c>
      <c r="Q134" s="1" t="str">
        <f t="shared" si="51"/>
        <v>Emily</v>
      </c>
      <c r="R134" s="1" t="str">
        <f t="shared" si="52"/>
        <v>ark</v>
      </c>
      <c r="S134">
        <f t="shared" si="53"/>
        <v>11</v>
      </c>
      <c r="T134" s="1"/>
      <c r="U134" s="1" t="str">
        <f t="shared" si="54"/>
        <v>Emily Clark</v>
      </c>
      <c r="V134" s="1" t="str">
        <f t="shared" si="55"/>
        <v>Emily Clark</v>
      </c>
      <c r="W134" s="1" t="str">
        <f t="shared" si="56"/>
        <v>49086</v>
      </c>
      <c r="X134" s="1" t="str">
        <f t="shared" si="57"/>
        <v>Emily Clark</v>
      </c>
      <c r="Y134" s="1" t="str">
        <f>UPPER(Table1[[#This Row],[PROPER]])</f>
        <v>EMILY CLARK</v>
      </c>
      <c r="Z134" s="1" t="str">
        <f t="shared" si="58"/>
        <v>Emily Clark</v>
      </c>
      <c r="AA134" s="1" t="str">
        <f t="shared" si="59"/>
        <v>Emily Clark</v>
      </c>
    </row>
    <row r="135" spans="1:27" x14ac:dyDescent="0.3">
      <c r="A135" s="6">
        <v>134</v>
      </c>
      <c r="B135" s="6">
        <v>1012</v>
      </c>
      <c r="C135" t="s">
        <v>18</v>
      </c>
      <c r="D135" t="s">
        <v>19</v>
      </c>
      <c r="E135" t="s">
        <v>15</v>
      </c>
      <c r="F135" t="s">
        <v>27</v>
      </c>
      <c r="G135" s="6">
        <v>10</v>
      </c>
      <c r="H135" s="1">
        <v>4408</v>
      </c>
      <c r="I135" s="5">
        <v>44080</v>
      </c>
      <c r="J135" s="4" t="s">
        <v>149</v>
      </c>
      <c r="K135" s="5">
        <v>4408</v>
      </c>
      <c r="L135" s="2">
        <v>0.1</v>
      </c>
      <c r="M135" s="1">
        <v>39672</v>
      </c>
      <c r="N135" t="str">
        <f t="shared" si="48"/>
        <v xml:space="preserve">Amit </v>
      </c>
      <c r="O135" s="1" t="str">
        <f t="shared" si="49"/>
        <v>hah</v>
      </c>
      <c r="P135" s="1" t="str">
        <f t="shared" si="50"/>
        <v>Amit -hah</v>
      </c>
      <c r="Q135" s="1" t="str">
        <f t="shared" si="51"/>
        <v xml:space="preserve">Amit </v>
      </c>
      <c r="R135" s="1" t="str">
        <f t="shared" si="52"/>
        <v>hah</v>
      </c>
      <c r="S135">
        <f t="shared" si="53"/>
        <v>9</v>
      </c>
      <c r="T135" s="1"/>
      <c r="U135" s="1" t="str">
        <f t="shared" si="54"/>
        <v>Amit Shah</v>
      </c>
      <c r="V135" s="1" t="str">
        <f t="shared" si="55"/>
        <v>Amit Shah</v>
      </c>
      <c r="W135" s="1" t="str">
        <f t="shared" si="56"/>
        <v>39672</v>
      </c>
      <c r="X135" s="1" t="str">
        <f t="shared" si="57"/>
        <v>Amit Shah</v>
      </c>
      <c r="Y135" s="1" t="str">
        <f>UPPER(Table1[[#This Row],[PROPER]])</f>
        <v>AMIT SHAH</v>
      </c>
      <c r="Z135" s="1" t="str">
        <f t="shared" si="58"/>
        <v>Amit Shah</v>
      </c>
      <c r="AA135" s="1" t="str">
        <f t="shared" si="59"/>
        <v>Amit Shah</v>
      </c>
    </row>
    <row r="136" spans="1:27" x14ac:dyDescent="0.3">
      <c r="A136" s="6">
        <v>135</v>
      </c>
      <c r="B136" s="6">
        <v>1078</v>
      </c>
      <c r="C136" t="s">
        <v>22</v>
      </c>
      <c r="D136" t="s">
        <v>14</v>
      </c>
      <c r="E136" t="s">
        <v>26</v>
      </c>
      <c r="F136" t="s">
        <v>16</v>
      </c>
      <c r="G136" s="6">
        <v>12</v>
      </c>
      <c r="H136" s="1">
        <v>871</v>
      </c>
      <c r="I136" s="5">
        <v>10452</v>
      </c>
      <c r="J136" s="4" t="s">
        <v>39</v>
      </c>
      <c r="K136" s="5">
        <v>871</v>
      </c>
      <c r="L136" s="2">
        <v>0.1</v>
      </c>
      <c r="M136" s="1">
        <v>9406.7999999999993</v>
      </c>
      <c r="N136" t="str">
        <f t="shared" si="48"/>
        <v>Emily</v>
      </c>
      <c r="O136" s="1" t="str">
        <f t="shared" si="49"/>
        <v>ark</v>
      </c>
      <c r="P136" s="1" t="str">
        <f t="shared" si="50"/>
        <v>Emily-ark</v>
      </c>
      <c r="Q136" s="1" t="str">
        <f t="shared" si="51"/>
        <v>Emily</v>
      </c>
      <c r="R136" s="1" t="str">
        <f t="shared" si="52"/>
        <v>ark</v>
      </c>
      <c r="S136">
        <f t="shared" si="53"/>
        <v>11</v>
      </c>
      <c r="T136" s="1"/>
      <c r="U136" s="1" t="str">
        <f t="shared" si="54"/>
        <v>Emily Clark</v>
      </c>
      <c r="V136" s="1" t="str">
        <f t="shared" si="55"/>
        <v>Emily Clark</v>
      </c>
      <c r="W136" s="1" t="str">
        <f t="shared" si="56"/>
        <v>9406.8</v>
      </c>
      <c r="X136" s="1" t="str">
        <f t="shared" si="57"/>
        <v>Emily Clark</v>
      </c>
      <c r="Y136" s="1" t="str">
        <f>UPPER(Table1[[#This Row],[PROPER]])</f>
        <v>EMILY CLARK</v>
      </c>
      <c r="Z136" s="1" t="str">
        <f t="shared" si="58"/>
        <v>Emily Clark</v>
      </c>
      <c r="AA136" s="1" t="str">
        <f t="shared" si="59"/>
        <v>Emily Clark</v>
      </c>
    </row>
    <row r="137" spans="1:27" x14ac:dyDescent="0.3">
      <c r="A137" s="6">
        <v>136</v>
      </c>
      <c r="B137" s="6">
        <v>1078</v>
      </c>
      <c r="C137" t="s">
        <v>18</v>
      </c>
      <c r="D137" t="s">
        <v>19</v>
      </c>
      <c r="E137" t="s">
        <v>41</v>
      </c>
      <c r="F137" t="s">
        <v>27</v>
      </c>
      <c r="G137" s="6">
        <v>5</v>
      </c>
      <c r="H137" s="1">
        <v>3641</v>
      </c>
      <c r="I137" s="5">
        <v>18205</v>
      </c>
      <c r="J137" s="4" t="s">
        <v>150</v>
      </c>
      <c r="K137" s="5">
        <v>3641</v>
      </c>
      <c r="L137" s="2">
        <v>0.1</v>
      </c>
      <c r="M137" s="1">
        <v>16384.5</v>
      </c>
      <c r="N137" t="str">
        <f t="shared" si="48"/>
        <v xml:space="preserve">Amit </v>
      </c>
      <c r="O137" s="1" t="str">
        <f t="shared" si="49"/>
        <v>hah</v>
      </c>
      <c r="P137" s="1" t="str">
        <f t="shared" si="50"/>
        <v>Amit -hah</v>
      </c>
      <c r="Q137" s="1" t="str">
        <f t="shared" si="51"/>
        <v xml:space="preserve">Amit </v>
      </c>
      <c r="R137" s="1" t="str">
        <f t="shared" si="52"/>
        <v>hah</v>
      </c>
      <c r="S137">
        <f t="shared" si="53"/>
        <v>9</v>
      </c>
      <c r="T137" s="1"/>
      <c r="U137" s="1" t="str">
        <f t="shared" si="54"/>
        <v>Amit Shah</v>
      </c>
      <c r="V137" s="1" t="str">
        <f t="shared" si="55"/>
        <v>Amit Shah</v>
      </c>
      <c r="W137" s="1" t="str">
        <f t="shared" si="56"/>
        <v>16384.5</v>
      </c>
      <c r="X137" s="1" t="str">
        <f t="shared" si="57"/>
        <v>Amit Shah</v>
      </c>
      <c r="Y137" s="1" t="str">
        <f>UPPER(Table1[[#This Row],[PROPER]])</f>
        <v>AMIT SHAH</v>
      </c>
      <c r="Z137" s="1" t="str">
        <f t="shared" si="58"/>
        <v>Amit Shah</v>
      </c>
      <c r="AA137" s="1" t="str">
        <f t="shared" si="59"/>
        <v>Amit Shah</v>
      </c>
    </row>
    <row r="138" spans="1:27" x14ac:dyDescent="0.3">
      <c r="A138" s="6">
        <v>137</v>
      </c>
      <c r="B138" s="6">
        <v>1040</v>
      </c>
      <c r="C138" t="s">
        <v>13</v>
      </c>
      <c r="D138" t="s">
        <v>34</v>
      </c>
      <c r="E138" t="s">
        <v>26</v>
      </c>
      <c r="F138" t="s">
        <v>27</v>
      </c>
      <c r="G138" s="6">
        <v>17</v>
      </c>
      <c r="H138" s="1">
        <v>734</v>
      </c>
      <c r="I138" s="5">
        <v>12478</v>
      </c>
      <c r="J138" s="4" t="s">
        <v>151</v>
      </c>
      <c r="K138" s="5">
        <v>734</v>
      </c>
      <c r="L138" s="2">
        <v>0.1</v>
      </c>
      <c r="M138" s="1">
        <v>11230.2</v>
      </c>
      <c r="N138" t="str">
        <f t="shared" si="48"/>
        <v xml:space="preserve">Ravi </v>
      </c>
      <c r="O138" s="1" t="str">
        <f t="shared" si="49"/>
        <v>mar</v>
      </c>
      <c r="P138" s="1" t="str">
        <f t="shared" si="50"/>
        <v>Ravi -mar</v>
      </c>
      <c r="Q138" s="1" t="str">
        <f t="shared" si="51"/>
        <v xml:space="preserve">Ravi </v>
      </c>
      <c r="R138" s="1" t="str">
        <f t="shared" si="52"/>
        <v>mar</v>
      </c>
      <c r="S138">
        <f t="shared" si="53"/>
        <v>10</v>
      </c>
      <c r="T138" s="1"/>
      <c r="U138" s="1" t="str">
        <f t="shared" si="54"/>
        <v>Ravi Kumar</v>
      </c>
      <c r="V138" s="1" t="str">
        <f t="shared" si="55"/>
        <v>Ravi Kumar</v>
      </c>
      <c r="W138" s="1" t="str">
        <f t="shared" si="56"/>
        <v>11230.2</v>
      </c>
      <c r="X138" s="1" t="str">
        <f t="shared" si="57"/>
        <v>Ravi Kumar</v>
      </c>
      <c r="Y138" s="1" t="str">
        <f>UPPER(Table1[[#This Row],[PROPER]])</f>
        <v>RAVI KUMAR</v>
      </c>
      <c r="Z138" s="1" t="str">
        <f t="shared" si="58"/>
        <v>Ravi Kumar</v>
      </c>
      <c r="AA138" s="1" t="str">
        <f t="shared" si="59"/>
        <v>Ravi Kumar</v>
      </c>
    </row>
    <row r="139" spans="1:27" x14ac:dyDescent="0.3">
      <c r="A139" s="6">
        <v>138</v>
      </c>
      <c r="B139" s="6">
        <v>1079</v>
      </c>
      <c r="C139" t="s">
        <v>13</v>
      </c>
      <c r="D139" t="s">
        <v>19</v>
      </c>
      <c r="E139" t="s">
        <v>31</v>
      </c>
      <c r="F139" t="s">
        <v>27</v>
      </c>
      <c r="G139" s="6">
        <v>3</v>
      </c>
      <c r="H139" s="1">
        <v>4863</v>
      </c>
      <c r="I139" s="5">
        <v>14589</v>
      </c>
      <c r="J139" s="4" t="s">
        <v>64</v>
      </c>
      <c r="K139" s="5">
        <v>4863</v>
      </c>
      <c r="L139" s="2">
        <v>0.1</v>
      </c>
      <c r="M139" s="1">
        <v>13130.1</v>
      </c>
      <c r="N139" t="str">
        <f t="shared" si="48"/>
        <v xml:space="preserve">Ravi </v>
      </c>
      <c r="O139" s="1" t="str">
        <f t="shared" si="49"/>
        <v>mar</v>
      </c>
      <c r="P139" s="1" t="str">
        <f t="shared" si="50"/>
        <v>Ravi -mar</v>
      </c>
      <c r="Q139" s="1" t="str">
        <f t="shared" si="51"/>
        <v xml:space="preserve">Ravi </v>
      </c>
      <c r="R139" s="1" t="str">
        <f t="shared" si="52"/>
        <v>mar</v>
      </c>
      <c r="S139">
        <f t="shared" si="53"/>
        <v>10</v>
      </c>
      <c r="T139" s="1"/>
      <c r="U139" s="1" t="str">
        <f t="shared" si="54"/>
        <v>Ravi Kumar</v>
      </c>
      <c r="V139" s="1" t="str">
        <f t="shared" si="55"/>
        <v>Ravi Kumar</v>
      </c>
      <c r="W139" s="1" t="str">
        <f t="shared" si="56"/>
        <v>13130.1</v>
      </c>
      <c r="X139" s="1" t="str">
        <f t="shared" si="57"/>
        <v>Ravi Kumar</v>
      </c>
      <c r="Y139" s="1" t="str">
        <f>UPPER(Table1[[#This Row],[PROPER]])</f>
        <v>RAVI KUMAR</v>
      </c>
      <c r="Z139" s="1" t="str">
        <f t="shared" si="58"/>
        <v>Ravi Kumar</v>
      </c>
      <c r="AA139" s="1" t="str">
        <f t="shared" si="59"/>
        <v>Ravi Kumar</v>
      </c>
    </row>
    <row r="140" spans="1:27" x14ac:dyDescent="0.3">
      <c r="A140" s="6">
        <v>139</v>
      </c>
      <c r="B140" s="6">
        <v>1039</v>
      </c>
      <c r="C140" t="s">
        <v>29</v>
      </c>
      <c r="D140" t="s">
        <v>23</v>
      </c>
      <c r="E140" t="s">
        <v>41</v>
      </c>
      <c r="F140" t="s">
        <v>27</v>
      </c>
      <c r="G140" s="6">
        <v>9</v>
      </c>
      <c r="H140" s="1">
        <v>902</v>
      </c>
      <c r="I140" s="5">
        <v>8118</v>
      </c>
      <c r="J140" s="4" t="s">
        <v>152</v>
      </c>
      <c r="K140" s="5">
        <v>902</v>
      </c>
      <c r="L140" s="2">
        <v>0.1</v>
      </c>
      <c r="M140" s="1">
        <v>7306.2</v>
      </c>
      <c r="N140" t="str">
        <f t="shared" si="48"/>
        <v xml:space="preserve">John </v>
      </c>
      <c r="O140" s="1" t="str">
        <f t="shared" si="49"/>
        <v>Doe</v>
      </c>
      <c r="P140" s="1" t="str">
        <f t="shared" si="50"/>
        <v>John -Doe</v>
      </c>
      <c r="Q140" s="1" t="str">
        <f t="shared" si="51"/>
        <v xml:space="preserve">John </v>
      </c>
      <c r="R140" s="1" t="str">
        <f t="shared" si="52"/>
        <v>Doe</v>
      </c>
      <c r="S140">
        <f t="shared" si="53"/>
        <v>8</v>
      </c>
      <c r="T140" s="1"/>
      <c r="U140" s="1" t="str">
        <f t="shared" si="54"/>
        <v>John Doe</v>
      </c>
      <c r="V140" s="1" t="str">
        <f t="shared" si="55"/>
        <v>John Doe</v>
      </c>
      <c r="W140" s="1" t="str">
        <f t="shared" si="56"/>
        <v>7306.2</v>
      </c>
      <c r="X140" s="1" t="str">
        <f t="shared" si="57"/>
        <v>John Doe</v>
      </c>
      <c r="Y140" s="1" t="str">
        <f>UPPER(Table1[[#This Row],[PROPER]])</f>
        <v>JOHN DOE</v>
      </c>
      <c r="Z140" s="1" t="str">
        <f t="shared" si="58"/>
        <v>John Doe</v>
      </c>
      <c r="AA140" s="1" t="str">
        <f t="shared" si="59"/>
        <v>John Doe</v>
      </c>
    </row>
    <row r="141" spans="1:27" x14ac:dyDescent="0.3">
      <c r="A141" s="6">
        <v>140</v>
      </c>
      <c r="B141" s="6">
        <v>1042</v>
      </c>
      <c r="C141" t="s">
        <v>18</v>
      </c>
      <c r="D141" t="s">
        <v>25</v>
      </c>
      <c r="E141" t="s">
        <v>15</v>
      </c>
      <c r="F141" t="s">
        <v>16</v>
      </c>
      <c r="G141" s="6">
        <v>4</v>
      </c>
      <c r="H141" s="1">
        <v>357</v>
      </c>
      <c r="I141" s="5">
        <v>1428</v>
      </c>
      <c r="J141" s="4" t="s">
        <v>153</v>
      </c>
      <c r="K141" s="5">
        <v>357</v>
      </c>
      <c r="L141" s="2">
        <v>0.05</v>
      </c>
      <c r="M141" s="1">
        <v>1356.6</v>
      </c>
      <c r="N141" t="str">
        <f t="shared" si="48"/>
        <v xml:space="preserve">Amit </v>
      </c>
      <c r="O141" s="1" t="str">
        <f t="shared" si="49"/>
        <v>hah</v>
      </c>
      <c r="P141" s="1" t="str">
        <f t="shared" si="50"/>
        <v>Amit -hah</v>
      </c>
      <c r="Q141" s="1" t="str">
        <f t="shared" si="51"/>
        <v xml:space="preserve">Amit </v>
      </c>
      <c r="R141" s="1" t="str">
        <f t="shared" si="52"/>
        <v>hah</v>
      </c>
      <c r="S141">
        <f t="shared" si="53"/>
        <v>9</v>
      </c>
      <c r="T141" s="1"/>
      <c r="U141" s="1" t="str">
        <f t="shared" si="54"/>
        <v>Amit Shah</v>
      </c>
      <c r="V141" s="1" t="str">
        <f t="shared" si="55"/>
        <v>Amit Shah</v>
      </c>
      <c r="W141" s="1" t="str">
        <f t="shared" si="56"/>
        <v>1356.6</v>
      </c>
      <c r="X141" s="1" t="str">
        <f t="shared" si="57"/>
        <v>Amit Shah</v>
      </c>
      <c r="Y141" s="1" t="str">
        <f>UPPER(Table1[[#This Row],[PROPER]])</f>
        <v>AMIT SHAH</v>
      </c>
      <c r="Z141" s="1" t="str">
        <f t="shared" si="58"/>
        <v>Amit Shah</v>
      </c>
      <c r="AA141" s="1" t="str">
        <f t="shared" si="59"/>
        <v>Amit Shah</v>
      </c>
    </row>
    <row r="142" spans="1:27" x14ac:dyDescent="0.3">
      <c r="A142" s="6">
        <v>141</v>
      </c>
      <c r="B142" s="6">
        <v>1050</v>
      </c>
      <c r="C142" t="s">
        <v>18</v>
      </c>
      <c r="D142" t="s">
        <v>14</v>
      </c>
      <c r="E142" t="s">
        <v>15</v>
      </c>
      <c r="F142" t="s">
        <v>27</v>
      </c>
      <c r="G142" s="6">
        <v>3</v>
      </c>
      <c r="H142" s="1">
        <v>904</v>
      </c>
      <c r="I142" s="5">
        <v>2712</v>
      </c>
      <c r="J142" s="4" t="s">
        <v>154</v>
      </c>
      <c r="K142" s="5">
        <v>904</v>
      </c>
      <c r="L142" s="2">
        <v>0.05</v>
      </c>
      <c r="M142" s="1">
        <v>2576.4</v>
      </c>
      <c r="N142" t="str">
        <f t="shared" si="48"/>
        <v xml:space="preserve">Amit </v>
      </c>
      <c r="O142" s="1" t="str">
        <f t="shared" si="49"/>
        <v>hah</v>
      </c>
      <c r="P142" s="1" t="str">
        <f t="shared" si="50"/>
        <v>Amit -hah</v>
      </c>
      <c r="Q142" s="1" t="str">
        <f t="shared" si="51"/>
        <v xml:space="preserve">Amit </v>
      </c>
      <c r="R142" s="1" t="str">
        <f t="shared" si="52"/>
        <v>hah</v>
      </c>
      <c r="S142">
        <f t="shared" si="53"/>
        <v>9</v>
      </c>
      <c r="T142" s="1"/>
      <c r="U142" s="1" t="str">
        <f t="shared" si="54"/>
        <v>Amit Shah</v>
      </c>
      <c r="V142" s="1" t="str">
        <f t="shared" si="55"/>
        <v>Amit Shah</v>
      </c>
      <c r="W142" s="1" t="str">
        <f t="shared" si="56"/>
        <v>2576.4</v>
      </c>
      <c r="X142" s="1" t="str">
        <f t="shared" si="57"/>
        <v>Amit Shah</v>
      </c>
      <c r="Y142" s="1" t="str">
        <f>UPPER(Table1[[#This Row],[PROPER]])</f>
        <v>AMIT SHAH</v>
      </c>
      <c r="Z142" s="1" t="str">
        <f t="shared" si="58"/>
        <v>Amit Shah</v>
      </c>
      <c r="AA142" s="1" t="str">
        <f t="shared" si="59"/>
        <v>Amit Shah</v>
      </c>
    </row>
    <row r="143" spans="1:27" x14ac:dyDescent="0.3">
      <c r="A143" s="6">
        <v>142</v>
      </c>
      <c r="B143" s="6">
        <v>1092</v>
      </c>
      <c r="C143" t="s">
        <v>18</v>
      </c>
      <c r="D143" t="s">
        <v>19</v>
      </c>
      <c r="E143" t="s">
        <v>20</v>
      </c>
      <c r="F143" t="s">
        <v>16</v>
      </c>
      <c r="G143" s="6">
        <v>19</v>
      </c>
      <c r="H143" s="1">
        <v>4157</v>
      </c>
      <c r="I143" s="5">
        <v>78983</v>
      </c>
      <c r="J143" s="4" t="s">
        <v>155</v>
      </c>
      <c r="K143" s="5">
        <v>4157</v>
      </c>
      <c r="L143" s="2">
        <v>0.1</v>
      </c>
      <c r="M143" s="1">
        <v>71084.7</v>
      </c>
      <c r="N143" t="str">
        <f t="shared" si="48"/>
        <v xml:space="preserve">Amit </v>
      </c>
      <c r="O143" s="1" t="str">
        <f t="shared" si="49"/>
        <v>hah</v>
      </c>
      <c r="P143" s="1" t="str">
        <f t="shared" si="50"/>
        <v>Amit -hah</v>
      </c>
      <c r="Q143" s="1" t="str">
        <f t="shared" si="51"/>
        <v xml:space="preserve">Amit </v>
      </c>
      <c r="R143" s="1" t="str">
        <f t="shared" si="52"/>
        <v>hah</v>
      </c>
      <c r="S143">
        <f t="shared" si="53"/>
        <v>9</v>
      </c>
      <c r="T143" s="1"/>
      <c r="U143" s="1" t="str">
        <f t="shared" si="54"/>
        <v>Amit Shah</v>
      </c>
      <c r="V143" s="1" t="str">
        <f t="shared" si="55"/>
        <v>Amit Shah</v>
      </c>
      <c r="W143" s="1" t="str">
        <f t="shared" si="56"/>
        <v>71084.7</v>
      </c>
      <c r="X143" s="1" t="str">
        <f t="shared" si="57"/>
        <v>Amit Shah</v>
      </c>
      <c r="Y143" s="1" t="str">
        <f>UPPER(Table1[[#This Row],[PROPER]])</f>
        <v>AMIT SHAH</v>
      </c>
      <c r="Z143" s="1" t="str">
        <f t="shared" si="58"/>
        <v>Amit Shah</v>
      </c>
      <c r="AA143" s="1" t="str">
        <f t="shared" si="59"/>
        <v>Amit Shah</v>
      </c>
    </row>
    <row r="144" spans="1:27" x14ac:dyDescent="0.3">
      <c r="A144" s="6">
        <v>143</v>
      </c>
      <c r="B144" s="6">
        <v>1079</v>
      </c>
      <c r="C144" t="s">
        <v>13</v>
      </c>
      <c r="D144" t="s">
        <v>34</v>
      </c>
      <c r="E144" t="s">
        <v>20</v>
      </c>
      <c r="F144" t="s">
        <v>27</v>
      </c>
      <c r="G144" s="6">
        <v>13</v>
      </c>
      <c r="H144" s="1">
        <v>1711</v>
      </c>
      <c r="I144" s="5">
        <v>22243</v>
      </c>
      <c r="J144" s="4" t="s">
        <v>156</v>
      </c>
      <c r="K144" s="5">
        <v>1711</v>
      </c>
      <c r="L144" s="2">
        <v>0.1</v>
      </c>
      <c r="M144" s="1">
        <v>20018.7</v>
      </c>
      <c r="N144" t="str">
        <f t="shared" si="48"/>
        <v xml:space="preserve">Ravi </v>
      </c>
      <c r="O144" s="1" t="str">
        <f t="shared" si="49"/>
        <v>mar</v>
      </c>
      <c r="P144" s="1" t="str">
        <f t="shared" si="50"/>
        <v>Ravi -mar</v>
      </c>
      <c r="Q144" s="1" t="str">
        <f t="shared" si="51"/>
        <v xml:space="preserve">Ravi </v>
      </c>
      <c r="R144" s="1" t="str">
        <f t="shared" si="52"/>
        <v>mar</v>
      </c>
      <c r="S144">
        <f t="shared" si="53"/>
        <v>10</v>
      </c>
      <c r="T144" s="1"/>
      <c r="U144" s="1" t="str">
        <f t="shared" si="54"/>
        <v>Ravi Kumar</v>
      </c>
      <c r="V144" s="1" t="str">
        <f t="shared" si="55"/>
        <v>Ravi Kumar</v>
      </c>
      <c r="W144" s="1" t="str">
        <f t="shared" si="56"/>
        <v>20018.7</v>
      </c>
      <c r="X144" s="1" t="str">
        <f t="shared" si="57"/>
        <v>Ravi Kumar</v>
      </c>
      <c r="Y144" s="1" t="str">
        <f>UPPER(Table1[[#This Row],[PROPER]])</f>
        <v>RAVI KUMAR</v>
      </c>
      <c r="Z144" s="1" t="str">
        <f t="shared" si="58"/>
        <v>Ravi Kumar</v>
      </c>
      <c r="AA144" s="1" t="str">
        <f t="shared" si="59"/>
        <v>Ravi Kumar</v>
      </c>
    </row>
    <row r="145" spans="1:27" x14ac:dyDescent="0.3">
      <c r="A145" s="6">
        <v>144</v>
      </c>
      <c r="C145" t="s">
        <v>18</v>
      </c>
      <c r="D145" t="s">
        <v>19</v>
      </c>
      <c r="E145" t="s">
        <v>31</v>
      </c>
      <c r="F145" t="s">
        <v>16</v>
      </c>
      <c r="G145" s="6">
        <v>17</v>
      </c>
      <c r="H145" s="1">
        <v>601</v>
      </c>
      <c r="I145" s="5">
        <v>10217</v>
      </c>
      <c r="J145" s="4" t="s">
        <v>157</v>
      </c>
      <c r="K145" s="5">
        <v>601</v>
      </c>
      <c r="L145" s="2">
        <v>0.1</v>
      </c>
      <c r="M145" s="1">
        <v>9195.2999999999993</v>
      </c>
      <c r="N145" t="str">
        <f t="shared" si="48"/>
        <v xml:space="preserve">Amit </v>
      </c>
      <c r="O145" s="1" t="str">
        <f t="shared" si="49"/>
        <v>hah</v>
      </c>
      <c r="P145" s="1" t="str">
        <f t="shared" si="50"/>
        <v>Amit -hah</v>
      </c>
      <c r="Q145" s="1" t="str">
        <f t="shared" si="51"/>
        <v xml:space="preserve">Amit </v>
      </c>
      <c r="R145" s="1" t="str">
        <f t="shared" si="52"/>
        <v>hah</v>
      </c>
      <c r="S145">
        <f t="shared" si="53"/>
        <v>9</v>
      </c>
      <c r="T145" s="1"/>
      <c r="U145" s="1" t="str">
        <f t="shared" si="54"/>
        <v>Amit Shah</v>
      </c>
      <c r="V145" s="1" t="str">
        <f t="shared" si="55"/>
        <v>Amit Shah</v>
      </c>
      <c r="W145" s="1" t="str">
        <f t="shared" si="56"/>
        <v>9195.3</v>
      </c>
      <c r="X145" s="1" t="str">
        <f t="shared" si="57"/>
        <v>Amit Shah</v>
      </c>
      <c r="Y145" s="1" t="str">
        <f>UPPER(Table1[[#This Row],[PROPER]])</f>
        <v>AMIT SHAH</v>
      </c>
      <c r="Z145" s="1" t="str">
        <f t="shared" si="58"/>
        <v>Amit Shah</v>
      </c>
      <c r="AA145" s="1" t="str">
        <f t="shared" si="59"/>
        <v>Amit Shah</v>
      </c>
    </row>
    <row r="146" spans="1:27" x14ac:dyDescent="0.3">
      <c r="A146" s="6">
        <v>145</v>
      </c>
      <c r="B146" s="6">
        <v>1061</v>
      </c>
      <c r="C146" t="s">
        <v>40</v>
      </c>
      <c r="D146" t="s">
        <v>34</v>
      </c>
      <c r="E146" t="s">
        <v>41</v>
      </c>
      <c r="F146" t="s">
        <v>16</v>
      </c>
      <c r="G146" s="6">
        <v>3</v>
      </c>
      <c r="H146" s="1">
        <v>164</v>
      </c>
      <c r="I146" s="5">
        <v>492</v>
      </c>
      <c r="J146" s="4" t="s">
        <v>158</v>
      </c>
      <c r="K146" s="5">
        <v>164</v>
      </c>
      <c r="L146" s="2">
        <v>0.05</v>
      </c>
      <c r="M146" s="1">
        <v>467.4</v>
      </c>
      <c r="N146" t="str">
        <f t="shared" si="48"/>
        <v xml:space="preserve">Sara </v>
      </c>
      <c r="O146" s="1" t="str">
        <f t="shared" si="49"/>
        <v>Ali</v>
      </c>
      <c r="P146" s="1" t="str">
        <f t="shared" si="50"/>
        <v>Sara -Ali</v>
      </c>
      <c r="Q146" s="1" t="str">
        <f t="shared" si="51"/>
        <v xml:space="preserve">Sara </v>
      </c>
      <c r="R146" s="1" t="str">
        <f t="shared" si="52"/>
        <v>Ali</v>
      </c>
      <c r="S146">
        <f t="shared" si="53"/>
        <v>8</v>
      </c>
      <c r="T146" s="1"/>
      <c r="U146" s="1" t="str">
        <f t="shared" si="54"/>
        <v>Sara Ali</v>
      </c>
      <c r="V146" s="1" t="str">
        <f t="shared" si="55"/>
        <v>Sara Ali</v>
      </c>
      <c r="W146" s="1" t="str">
        <f t="shared" si="56"/>
        <v>467.4</v>
      </c>
      <c r="X146" s="1" t="str">
        <f t="shared" si="57"/>
        <v>Sara Ali</v>
      </c>
      <c r="Y146" s="1" t="str">
        <f>UPPER(Table1[[#This Row],[PROPER]])</f>
        <v>SARA ALI</v>
      </c>
      <c r="Z146" s="1" t="str">
        <f t="shared" si="58"/>
        <v>Sara Ali</v>
      </c>
      <c r="AA146" s="1" t="str">
        <f t="shared" si="59"/>
        <v>Sara Ali</v>
      </c>
    </row>
    <row r="147" spans="1:27" x14ac:dyDescent="0.3">
      <c r="A147" s="6">
        <v>146</v>
      </c>
      <c r="B147" s="6">
        <v>1067</v>
      </c>
      <c r="C147" t="s">
        <v>29</v>
      </c>
      <c r="D147" t="s">
        <v>19</v>
      </c>
      <c r="E147" t="s">
        <v>20</v>
      </c>
      <c r="F147" t="s">
        <v>27</v>
      </c>
      <c r="G147" s="6">
        <v>2</v>
      </c>
      <c r="H147" s="1">
        <v>3026</v>
      </c>
      <c r="I147" s="5">
        <v>6052</v>
      </c>
      <c r="J147" s="4" t="s">
        <v>35</v>
      </c>
      <c r="K147" s="5">
        <v>3026</v>
      </c>
      <c r="L147" s="2">
        <v>0.1</v>
      </c>
      <c r="M147" s="1">
        <v>5446.8</v>
      </c>
      <c r="N147" t="str">
        <f t="shared" si="48"/>
        <v xml:space="preserve">John </v>
      </c>
      <c r="O147" s="1" t="str">
        <f t="shared" si="49"/>
        <v>Doe</v>
      </c>
      <c r="P147" s="1" t="str">
        <f t="shared" si="50"/>
        <v>John -Doe</v>
      </c>
      <c r="Q147" s="1" t="str">
        <f t="shared" si="51"/>
        <v xml:space="preserve">John </v>
      </c>
      <c r="R147" s="1" t="str">
        <f t="shared" si="52"/>
        <v>Doe</v>
      </c>
      <c r="S147">
        <f t="shared" si="53"/>
        <v>8</v>
      </c>
      <c r="T147" s="1"/>
      <c r="U147" s="1" t="str">
        <f t="shared" si="54"/>
        <v>John Doe</v>
      </c>
      <c r="V147" s="1" t="str">
        <f t="shared" si="55"/>
        <v>John Doe</v>
      </c>
      <c r="W147" s="1" t="str">
        <f t="shared" si="56"/>
        <v>5446.8</v>
      </c>
      <c r="X147" s="1" t="str">
        <f t="shared" si="57"/>
        <v>John Doe</v>
      </c>
      <c r="Y147" s="1" t="str">
        <f>UPPER(Table1[[#This Row],[PROPER]])</f>
        <v>JOHN DOE</v>
      </c>
      <c r="Z147" s="1" t="str">
        <f t="shared" si="58"/>
        <v>John Doe</v>
      </c>
      <c r="AA147" s="1" t="str">
        <f t="shared" si="59"/>
        <v>John Doe</v>
      </c>
    </row>
    <row r="148" spans="1:27" x14ac:dyDescent="0.3">
      <c r="A148" s="6">
        <v>147</v>
      </c>
      <c r="B148" s="6">
        <v>1047</v>
      </c>
      <c r="C148" t="s">
        <v>29</v>
      </c>
      <c r="D148" t="s">
        <v>19</v>
      </c>
      <c r="E148" t="s">
        <v>20</v>
      </c>
      <c r="F148" t="s">
        <v>27</v>
      </c>
      <c r="G148" s="6">
        <v>6</v>
      </c>
      <c r="H148" s="1">
        <v>4907</v>
      </c>
      <c r="I148" s="5">
        <v>29442</v>
      </c>
      <c r="J148" s="4" t="s">
        <v>159</v>
      </c>
      <c r="K148" s="5">
        <v>4907</v>
      </c>
      <c r="L148" s="2">
        <v>0.1</v>
      </c>
      <c r="M148" s="1">
        <v>26497.8</v>
      </c>
      <c r="N148" t="str">
        <f t="shared" si="48"/>
        <v xml:space="preserve">John </v>
      </c>
      <c r="O148" s="1" t="str">
        <f t="shared" si="49"/>
        <v>Doe</v>
      </c>
      <c r="P148" s="1" t="str">
        <f t="shared" si="50"/>
        <v>John -Doe</v>
      </c>
      <c r="Q148" s="1" t="str">
        <f t="shared" si="51"/>
        <v xml:space="preserve">John </v>
      </c>
      <c r="R148" s="1" t="str">
        <f t="shared" si="52"/>
        <v>Doe</v>
      </c>
      <c r="S148">
        <f t="shared" si="53"/>
        <v>8</v>
      </c>
      <c r="T148" s="1"/>
      <c r="U148" s="1" t="str">
        <f t="shared" si="54"/>
        <v>John Doe</v>
      </c>
      <c r="V148" s="1" t="str">
        <f t="shared" si="55"/>
        <v>John Doe</v>
      </c>
      <c r="W148" s="1" t="str">
        <f t="shared" si="56"/>
        <v>26497.8</v>
      </c>
      <c r="X148" s="1" t="str">
        <f t="shared" si="57"/>
        <v>John Doe</v>
      </c>
      <c r="Y148" s="1" t="str">
        <f>UPPER(Table1[[#This Row],[PROPER]])</f>
        <v>JOHN DOE</v>
      </c>
      <c r="Z148" s="1" t="str">
        <f t="shared" si="58"/>
        <v>John Doe</v>
      </c>
      <c r="AA148" s="1" t="str">
        <f t="shared" si="59"/>
        <v>John Doe</v>
      </c>
    </row>
    <row r="149" spans="1:27" x14ac:dyDescent="0.3">
      <c r="A149" s="6">
        <v>148</v>
      </c>
      <c r="B149" s="6">
        <v>1084</v>
      </c>
      <c r="C149" t="s">
        <v>18</v>
      </c>
      <c r="D149" t="s">
        <v>19</v>
      </c>
      <c r="E149" t="s">
        <v>41</v>
      </c>
      <c r="F149" t="s">
        <v>16</v>
      </c>
      <c r="G149" s="6">
        <v>13</v>
      </c>
      <c r="H149" s="1">
        <v>4581</v>
      </c>
      <c r="I149" s="5">
        <v>59553</v>
      </c>
      <c r="J149" s="4" t="s">
        <v>46</v>
      </c>
      <c r="K149" s="5">
        <v>4581</v>
      </c>
      <c r="L149" s="2">
        <v>0.1</v>
      </c>
      <c r="M149" s="1">
        <v>53597.7</v>
      </c>
      <c r="N149" t="str">
        <f t="shared" si="48"/>
        <v xml:space="preserve">Amit </v>
      </c>
      <c r="O149" s="1" t="str">
        <f t="shared" si="49"/>
        <v>hah</v>
      </c>
      <c r="P149" s="1" t="str">
        <f t="shared" si="50"/>
        <v>Amit -hah</v>
      </c>
      <c r="Q149" s="1" t="str">
        <f t="shared" si="51"/>
        <v xml:space="preserve">Amit </v>
      </c>
      <c r="R149" s="1" t="str">
        <f t="shared" si="52"/>
        <v>hah</v>
      </c>
      <c r="S149">
        <f t="shared" si="53"/>
        <v>9</v>
      </c>
      <c r="T149" s="1"/>
      <c r="U149" s="1" t="str">
        <f t="shared" si="54"/>
        <v>Amit Shah</v>
      </c>
      <c r="V149" s="1" t="str">
        <f t="shared" si="55"/>
        <v>Amit Shah</v>
      </c>
      <c r="W149" s="1" t="str">
        <f t="shared" si="56"/>
        <v>53597.7</v>
      </c>
      <c r="X149" s="1" t="str">
        <f t="shared" si="57"/>
        <v>Amit Shah</v>
      </c>
      <c r="Y149" s="1" t="str">
        <f>UPPER(Table1[[#This Row],[PROPER]])</f>
        <v>AMIT SHAH</v>
      </c>
      <c r="Z149" s="1" t="str">
        <f t="shared" si="58"/>
        <v>Amit Shah</v>
      </c>
      <c r="AA149" s="1" t="str">
        <f t="shared" si="59"/>
        <v>Amit Shah</v>
      </c>
    </row>
    <row r="150" spans="1:27" x14ac:dyDescent="0.3">
      <c r="A150" s="6">
        <v>149</v>
      </c>
      <c r="B150" s="6">
        <v>1015</v>
      </c>
      <c r="C150" t="s">
        <v>29</v>
      </c>
      <c r="D150" t="s">
        <v>14</v>
      </c>
      <c r="E150" t="s">
        <v>20</v>
      </c>
      <c r="F150" t="s">
        <v>27</v>
      </c>
      <c r="G150" s="6">
        <v>5</v>
      </c>
      <c r="H150" s="1">
        <v>448</v>
      </c>
      <c r="I150" s="5">
        <v>2240</v>
      </c>
      <c r="J150" s="4" t="s">
        <v>160</v>
      </c>
      <c r="K150" s="5">
        <v>448</v>
      </c>
      <c r="L150" s="2">
        <v>0.05</v>
      </c>
      <c r="M150" s="1">
        <v>2128</v>
      </c>
      <c r="N150" t="str">
        <f t="shared" si="48"/>
        <v xml:space="preserve">John </v>
      </c>
      <c r="O150" s="1" t="str">
        <f t="shared" si="49"/>
        <v>Doe</v>
      </c>
      <c r="P150" s="1" t="str">
        <f t="shared" si="50"/>
        <v>John -Doe</v>
      </c>
      <c r="Q150" s="1" t="str">
        <f t="shared" si="51"/>
        <v xml:space="preserve">John </v>
      </c>
      <c r="R150" s="1" t="str">
        <f t="shared" si="52"/>
        <v>Doe</v>
      </c>
      <c r="S150">
        <f t="shared" si="53"/>
        <v>8</v>
      </c>
      <c r="T150" s="1"/>
      <c r="U150" s="1" t="str">
        <f t="shared" si="54"/>
        <v>John Doe</v>
      </c>
      <c r="V150" s="1" t="str">
        <f t="shared" si="55"/>
        <v>John Doe</v>
      </c>
      <c r="W150" s="1" t="str">
        <f t="shared" si="56"/>
        <v>2128</v>
      </c>
      <c r="X150" s="1" t="str">
        <f t="shared" si="57"/>
        <v>John Doe</v>
      </c>
      <c r="Y150" s="1" t="str">
        <f>UPPER(Table1[[#This Row],[PROPER]])</f>
        <v>JOHN DOE</v>
      </c>
      <c r="Z150" s="1" t="str">
        <f t="shared" si="58"/>
        <v>John Doe</v>
      </c>
      <c r="AA150" s="1" t="str">
        <f t="shared" si="59"/>
        <v>John Doe</v>
      </c>
    </row>
    <row r="151" spans="1:27" x14ac:dyDescent="0.3">
      <c r="A151" s="6">
        <v>150</v>
      </c>
      <c r="B151" s="6">
        <v>1016</v>
      </c>
      <c r="C151" t="s">
        <v>22</v>
      </c>
      <c r="D151" t="s">
        <v>19</v>
      </c>
      <c r="E151" t="s">
        <v>15</v>
      </c>
      <c r="F151" t="s">
        <v>27</v>
      </c>
      <c r="G151" s="6">
        <v>3</v>
      </c>
      <c r="H151" s="1">
        <v>2792</v>
      </c>
      <c r="I151" s="5">
        <v>8376</v>
      </c>
      <c r="J151" s="4" t="s">
        <v>161</v>
      </c>
      <c r="K151" s="5">
        <v>2792</v>
      </c>
      <c r="L151" s="2">
        <v>0.1</v>
      </c>
      <c r="M151" s="1">
        <v>7538.4</v>
      </c>
      <c r="N151" t="str">
        <f t="shared" si="48"/>
        <v>Emily</v>
      </c>
      <c r="O151" s="1" t="str">
        <f t="shared" si="49"/>
        <v>ark</v>
      </c>
      <c r="P151" s="1" t="str">
        <f t="shared" si="50"/>
        <v>Emily-ark</v>
      </c>
      <c r="Q151" s="1" t="str">
        <f t="shared" si="51"/>
        <v>Emily</v>
      </c>
      <c r="R151" s="1" t="str">
        <f t="shared" si="52"/>
        <v>ark</v>
      </c>
      <c r="S151">
        <f t="shared" si="53"/>
        <v>11</v>
      </c>
      <c r="T151" s="1"/>
      <c r="U151" s="1" t="str">
        <f t="shared" si="54"/>
        <v>Emily Clark</v>
      </c>
      <c r="V151" s="1" t="str">
        <f t="shared" si="55"/>
        <v>Emily Clark</v>
      </c>
      <c r="W151" s="1" t="str">
        <f t="shared" si="56"/>
        <v>7538.4</v>
      </c>
      <c r="X151" s="1" t="str">
        <f t="shared" si="57"/>
        <v>Emily Clark</v>
      </c>
      <c r="Y151" s="1" t="str">
        <f>UPPER(Table1[[#This Row],[PROPER]])</f>
        <v>EMILY CLARK</v>
      </c>
      <c r="Z151" s="1" t="str">
        <f t="shared" si="58"/>
        <v>Emily Clark</v>
      </c>
      <c r="AA151" s="1" t="str">
        <f t="shared" si="59"/>
        <v>Emily Clark</v>
      </c>
    </row>
    <row r="152" spans="1:27" x14ac:dyDescent="0.3">
      <c r="A152" s="6">
        <v>151</v>
      </c>
      <c r="B152" s="6">
        <v>1029</v>
      </c>
      <c r="C152" t="s">
        <v>13</v>
      </c>
      <c r="D152" t="s">
        <v>25</v>
      </c>
      <c r="E152" t="s">
        <v>15</v>
      </c>
      <c r="F152" t="s">
        <v>16</v>
      </c>
      <c r="G152" s="6">
        <v>7</v>
      </c>
      <c r="H152" s="1">
        <v>1199</v>
      </c>
      <c r="I152" s="5">
        <v>8393</v>
      </c>
      <c r="J152" s="4" t="s">
        <v>162</v>
      </c>
      <c r="K152" s="5">
        <v>1199</v>
      </c>
      <c r="L152" s="2">
        <v>0.1</v>
      </c>
      <c r="M152" s="1">
        <v>7553.7</v>
      </c>
      <c r="N152" t="str">
        <f t="shared" si="48"/>
        <v xml:space="preserve">Ravi </v>
      </c>
      <c r="O152" s="1" t="str">
        <f t="shared" si="49"/>
        <v>mar</v>
      </c>
      <c r="P152" s="1" t="str">
        <f t="shared" si="50"/>
        <v>Ravi -mar</v>
      </c>
      <c r="Q152" s="1" t="str">
        <f t="shared" si="51"/>
        <v xml:space="preserve">Ravi </v>
      </c>
      <c r="R152" s="1" t="str">
        <f t="shared" si="52"/>
        <v>mar</v>
      </c>
      <c r="S152">
        <f t="shared" si="53"/>
        <v>10</v>
      </c>
      <c r="T152" s="1"/>
      <c r="U152" s="1" t="str">
        <f t="shared" si="54"/>
        <v>Ravi Kumar</v>
      </c>
      <c r="V152" s="1" t="str">
        <f t="shared" si="55"/>
        <v>Ravi Kumar</v>
      </c>
      <c r="W152" s="1" t="str">
        <f t="shared" si="56"/>
        <v>7553.7</v>
      </c>
      <c r="X152" s="1" t="str">
        <f t="shared" si="57"/>
        <v>Ravi Kumar</v>
      </c>
      <c r="Y152" s="1" t="str">
        <f>UPPER(Table1[[#This Row],[PROPER]])</f>
        <v>RAVI KUMAR</v>
      </c>
      <c r="Z152" s="1" t="str">
        <f t="shared" si="58"/>
        <v>Ravi Kumar</v>
      </c>
      <c r="AA152" s="1" t="str">
        <f t="shared" si="59"/>
        <v>Ravi Kumar</v>
      </c>
    </row>
    <row r="153" spans="1:27" x14ac:dyDescent="0.3">
      <c r="A153" s="6">
        <v>152</v>
      </c>
      <c r="B153" s="6">
        <v>1018</v>
      </c>
      <c r="C153" t="s">
        <v>29</v>
      </c>
      <c r="D153" t="s">
        <v>14</v>
      </c>
      <c r="E153" t="s">
        <v>15</v>
      </c>
      <c r="F153" t="s">
        <v>16</v>
      </c>
      <c r="G153" s="6">
        <v>10</v>
      </c>
      <c r="H153" s="1">
        <v>4311</v>
      </c>
      <c r="I153" s="5">
        <v>43110</v>
      </c>
      <c r="J153" s="4" t="s">
        <v>45</v>
      </c>
      <c r="K153" s="5">
        <v>4311</v>
      </c>
      <c r="L153" s="2">
        <v>0.1</v>
      </c>
      <c r="M153" s="1">
        <v>38799</v>
      </c>
      <c r="N153" t="str">
        <f t="shared" si="48"/>
        <v xml:space="preserve">John </v>
      </c>
      <c r="O153" s="1" t="str">
        <f t="shared" si="49"/>
        <v>Doe</v>
      </c>
      <c r="P153" s="1" t="str">
        <f t="shared" si="50"/>
        <v>John -Doe</v>
      </c>
      <c r="Q153" s="1" t="str">
        <f t="shared" si="51"/>
        <v xml:space="preserve">John </v>
      </c>
      <c r="R153" s="1" t="str">
        <f t="shared" si="52"/>
        <v>Doe</v>
      </c>
      <c r="S153">
        <f t="shared" si="53"/>
        <v>8</v>
      </c>
      <c r="T153" s="1"/>
      <c r="U153" s="1" t="str">
        <f t="shared" si="54"/>
        <v>John Doe</v>
      </c>
      <c r="V153" s="1" t="str">
        <f t="shared" si="55"/>
        <v>John Doe</v>
      </c>
      <c r="W153" s="1" t="str">
        <f t="shared" si="56"/>
        <v>38799</v>
      </c>
      <c r="X153" s="1" t="str">
        <f t="shared" si="57"/>
        <v>John Doe</v>
      </c>
      <c r="Y153" s="1" t="str">
        <f>UPPER(Table1[[#This Row],[PROPER]])</f>
        <v>JOHN DOE</v>
      </c>
      <c r="Z153" s="1" t="str">
        <f t="shared" si="58"/>
        <v>John Doe</v>
      </c>
      <c r="AA153" s="1" t="str">
        <f t="shared" si="59"/>
        <v>John Doe</v>
      </c>
    </row>
    <row r="154" spans="1:27" x14ac:dyDescent="0.3">
      <c r="A154" s="6">
        <v>153</v>
      </c>
      <c r="B154" s="6">
        <v>1083</v>
      </c>
      <c r="C154" t="s">
        <v>13</v>
      </c>
      <c r="D154" t="s">
        <v>14</v>
      </c>
      <c r="E154" t="s">
        <v>15</v>
      </c>
      <c r="F154" t="s">
        <v>27</v>
      </c>
      <c r="G154" s="6">
        <v>20</v>
      </c>
      <c r="H154" s="1">
        <v>4719</v>
      </c>
      <c r="I154" s="5">
        <v>94380</v>
      </c>
      <c r="J154" s="4" t="s">
        <v>163</v>
      </c>
      <c r="K154" s="5">
        <v>4719</v>
      </c>
      <c r="L154" s="2">
        <v>0.1</v>
      </c>
      <c r="M154" s="1">
        <v>84942</v>
      </c>
      <c r="N154" t="str">
        <f t="shared" si="48"/>
        <v xml:space="preserve">Ravi </v>
      </c>
      <c r="O154" s="1" t="str">
        <f t="shared" si="49"/>
        <v>mar</v>
      </c>
      <c r="P154" s="1" t="str">
        <f t="shared" si="50"/>
        <v>Ravi -mar</v>
      </c>
      <c r="Q154" s="1" t="str">
        <f t="shared" si="51"/>
        <v xml:space="preserve">Ravi </v>
      </c>
      <c r="R154" s="1" t="str">
        <f t="shared" si="52"/>
        <v>mar</v>
      </c>
      <c r="S154">
        <f t="shared" si="53"/>
        <v>10</v>
      </c>
      <c r="T154" s="1"/>
      <c r="U154" s="1" t="str">
        <f t="shared" si="54"/>
        <v>Ravi Kumar</v>
      </c>
      <c r="V154" s="1" t="str">
        <f t="shared" si="55"/>
        <v>Ravi Kumar</v>
      </c>
      <c r="W154" s="1" t="str">
        <f t="shared" si="56"/>
        <v>84942</v>
      </c>
      <c r="X154" s="1" t="str">
        <f t="shared" si="57"/>
        <v>Ravi Kumar</v>
      </c>
      <c r="Y154" s="1" t="str">
        <f>UPPER(Table1[[#This Row],[PROPER]])</f>
        <v>RAVI KUMAR</v>
      </c>
      <c r="Z154" s="1" t="str">
        <f t="shared" si="58"/>
        <v>Ravi Kumar</v>
      </c>
      <c r="AA154" s="1" t="str">
        <f t="shared" si="59"/>
        <v>Ravi Kumar</v>
      </c>
    </row>
    <row r="155" spans="1:27" x14ac:dyDescent="0.3">
      <c r="A155" s="6">
        <v>154</v>
      </c>
      <c r="B155" s="6">
        <v>1031</v>
      </c>
      <c r="C155" t="s">
        <v>40</v>
      </c>
      <c r="D155" t="s">
        <v>25</v>
      </c>
      <c r="E155" t="s">
        <v>15</v>
      </c>
      <c r="F155" t="s">
        <v>16</v>
      </c>
      <c r="G155" s="6">
        <v>9</v>
      </c>
      <c r="H155" s="1">
        <v>347</v>
      </c>
      <c r="I155" s="5">
        <v>3123</v>
      </c>
      <c r="J155" s="4" t="s">
        <v>164</v>
      </c>
      <c r="K155" s="5">
        <v>347</v>
      </c>
      <c r="L155" s="2">
        <v>0.05</v>
      </c>
      <c r="M155" s="1">
        <v>2966.85</v>
      </c>
      <c r="N155" t="str">
        <f t="shared" si="48"/>
        <v xml:space="preserve">Sara </v>
      </c>
      <c r="O155" s="1" t="str">
        <f t="shared" si="49"/>
        <v>Ali</v>
      </c>
      <c r="P155" s="1" t="str">
        <f t="shared" si="50"/>
        <v>Sara -Ali</v>
      </c>
      <c r="Q155" s="1" t="str">
        <f t="shared" si="51"/>
        <v xml:space="preserve">Sara </v>
      </c>
      <c r="R155" s="1" t="str">
        <f t="shared" si="52"/>
        <v>Ali</v>
      </c>
      <c r="S155">
        <f t="shared" si="53"/>
        <v>8</v>
      </c>
      <c r="T155" s="1"/>
      <c r="U155" s="1" t="str">
        <f t="shared" si="54"/>
        <v>Sara Ali</v>
      </c>
      <c r="V155" s="1" t="str">
        <f t="shared" si="55"/>
        <v>Sara Ali</v>
      </c>
      <c r="W155" s="1" t="str">
        <f t="shared" si="56"/>
        <v>2966.85</v>
      </c>
      <c r="X155" s="1" t="str">
        <f t="shared" si="57"/>
        <v>Sara Ali</v>
      </c>
      <c r="Y155" s="1" t="str">
        <f>UPPER(Table1[[#This Row],[PROPER]])</f>
        <v>SARA ALI</v>
      </c>
      <c r="Z155" s="1" t="str">
        <f t="shared" si="58"/>
        <v>Sara Ali</v>
      </c>
      <c r="AA155" s="1" t="str">
        <f t="shared" si="59"/>
        <v>Sara Ali</v>
      </c>
    </row>
    <row r="156" spans="1:27" x14ac:dyDescent="0.3">
      <c r="A156" s="6">
        <v>155</v>
      </c>
      <c r="B156" s="6">
        <v>1085</v>
      </c>
      <c r="C156" t="s">
        <v>40</v>
      </c>
      <c r="D156" t="s">
        <v>19</v>
      </c>
      <c r="E156" t="s">
        <v>20</v>
      </c>
      <c r="F156" t="s">
        <v>27</v>
      </c>
      <c r="G156" s="6">
        <v>13</v>
      </c>
      <c r="H156" s="1">
        <v>3729</v>
      </c>
      <c r="I156" s="5">
        <v>48477</v>
      </c>
      <c r="J156" s="4" t="s">
        <v>165</v>
      </c>
      <c r="K156" s="5">
        <v>3729</v>
      </c>
      <c r="L156" s="2">
        <v>0.1</v>
      </c>
      <c r="M156" s="1">
        <v>43629.3</v>
      </c>
      <c r="N156" t="str">
        <f t="shared" si="48"/>
        <v xml:space="preserve">Sara </v>
      </c>
      <c r="O156" s="1" t="str">
        <f t="shared" si="49"/>
        <v>Ali</v>
      </c>
      <c r="P156" s="1" t="str">
        <f t="shared" si="50"/>
        <v>Sara -Ali</v>
      </c>
      <c r="Q156" s="1" t="str">
        <f t="shared" si="51"/>
        <v xml:space="preserve">Sara </v>
      </c>
      <c r="R156" s="1" t="str">
        <f t="shared" si="52"/>
        <v>Ali</v>
      </c>
      <c r="S156">
        <f t="shared" si="53"/>
        <v>8</v>
      </c>
      <c r="T156" s="1"/>
      <c r="U156" s="1" t="str">
        <f t="shared" si="54"/>
        <v>Sara Ali</v>
      </c>
      <c r="V156" s="1" t="str">
        <f t="shared" si="55"/>
        <v>Sara Ali</v>
      </c>
      <c r="W156" s="1" t="str">
        <f t="shared" si="56"/>
        <v>43629.3</v>
      </c>
      <c r="X156" s="1" t="str">
        <f t="shared" si="57"/>
        <v>Sara Ali</v>
      </c>
      <c r="Y156" s="1" t="str">
        <f>UPPER(Table1[[#This Row],[PROPER]])</f>
        <v>SARA ALI</v>
      </c>
      <c r="Z156" s="1" t="str">
        <f t="shared" si="58"/>
        <v>Sara Ali</v>
      </c>
      <c r="AA156" s="1" t="str">
        <f t="shared" si="59"/>
        <v>Sara Ali</v>
      </c>
    </row>
    <row r="157" spans="1:27" x14ac:dyDescent="0.3">
      <c r="A157" s="6">
        <v>156</v>
      </c>
      <c r="B157" s="6">
        <v>1043</v>
      </c>
      <c r="C157" t="s">
        <v>29</v>
      </c>
      <c r="D157" t="s">
        <v>23</v>
      </c>
      <c r="E157" t="s">
        <v>20</v>
      </c>
      <c r="F157" t="s">
        <v>16</v>
      </c>
      <c r="G157" s="6">
        <v>2</v>
      </c>
      <c r="H157" s="1">
        <v>1631</v>
      </c>
      <c r="I157" s="5">
        <v>3262</v>
      </c>
      <c r="J157" s="4" t="s">
        <v>78</v>
      </c>
      <c r="K157" s="5">
        <v>1631</v>
      </c>
      <c r="L157" s="2">
        <v>0.05</v>
      </c>
      <c r="M157" s="1">
        <v>3098.9</v>
      </c>
      <c r="N157" t="str">
        <f t="shared" si="48"/>
        <v xml:space="preserve">John </v>
      </c>
      <c r="O157" s="1" t="str">
        <f t="shared" si="49"/>
        <v>Doe</v>
      </c>
      <c r="P157" s="1" t="str">
        <f t="shared" si="50"/>
        <v>John -Doe</v>
      </c>
      <c r="Q157" s="1" t="str">
        <f t="shared" si="51"/>
        <v xml:space="preserve">John </v>
      </c>
      <c r="R157" s="1" t="str">
        <f t="shared" si="52"/>
        <v>Doe</v>
      </c>
      <c r="S157">
        <f t="shared" si="53"/>
        <v>8</v>
      </c>
      <c r="T157" s="1"/>
      <c r="U157" s="1" t="str">
        <f t="shared" si="54"/>
        <v>John Doe</v>
      </c>
      <c r="V157" s="1" t="str">
        <f t="shared" si="55"/>
        <v>John Doe</v>
      </c>
      <c r="W157" s="1" t="str">
        <f t="shared" si="56"/>
        <v>3098.9</v>
      </c>
      <c r="X157" s="1" t="str">
        <f t="shared" si="57"/>
        <v>John Doe</v>
      </c>
      <c r="Y157" s="1" t="str">
        <f>UPPER(Table1[[#This Row],[PROPER]])</f>
        <v>JOHN DOE</v>
      </c>
      <c r="Z157" s="1" t="str">
        <f t="shared" si="58"/>
        <v>John Doe</v>
      </c>
      <c r="AA157" s="1" t="str">
        <f t="shared" si="59"/>
        <v>John Doe</v>
      </c>
    </row>
    <row r="158" spans="1:27" x14ac:dyDescent="0.3">
      <c r="A158" s="6">
        <v>157</v>
      </c>
      <c r="B158" s="6">
        <v>1059</v>
      </c>
      <c r="C158" t="s">
        <v>40</v>
      </c>
      <c r="D158" t="s">
        <v>34</v>
      </c>
      <c r="E158" t="s">
        <v>31</v>
      </c>
      <c r="F158" t="s">
        <v>16</v>
      </c>
      <c r="G158" s="6">
        <v>13</v>
      </c>
      <c r="H158" s="1">
        <v>1766</v>
      </c>
      <c r="I158" s="5">
        <v>22958</v>
      </c>
      <c r="J158" s="4" t="s">
        <v>81</v>
      </c>
      <c r="K158" s="5">
        <v>1766</v>
      </c>
      <c r="L158" s="2">
        <v>0.1</v>
      </c>
      <c r="M158" s="1">
        <v>20662.2</v>
      </c>
      <c r="N158" t="str">
        <f t="shared" si="48"/>
        <v xml:space="preserve">Sara </v>
      </c>
      <c r="O158" s="1" t="str">
        <f t="shared" si="49"/>
        <v>Ali</v>
      </c>
      <c r="P158" s="1" t="str">
        <f t="shared" si="50"/>
        <v>Sara -Ali</v>
      </c>
      <c r="Q158" s="1" t="str">
        <f t="shared" si="51"/>
        <v xml:space="preserve">Sara </v>
      </c>
      <c r="R158" s="1" t="str">
        <f t="shared" si="52"/>
        <v>Ali</v>
      </c>
      <c r="S158">
        <f t="shared" si="53"/>
        <v>8</v>
      </c>
      <c r="T158" s="1"/>
      <c r="U158" s="1" t="str">
        <f t="shared" si="54"/>
        <v>Sara Ali</v>
      </c>
      <c r="V158" s="1" t="str">
        <f t="shared" si="55"/>
        <v>Sara Ali</v>
      </c>
      <c r="W158" s="1" t="str">
        <f t="shared" si="56"/>
        <v>20662.2</v>
      </c>
      <c r="X158" s="1" t="str">
        <f t="shared" si="57"/>
        <v>Sara Ali</v>
      </c>
      <c r="Y158" s="1" t="str">
        <f>UPPER(Table1[[#This Row],[PROPER]])</f>
        <v>SARA ALI</v>
      </c>
      <c r="Z158" s="1" t="str">
        <f t="shared" si="58"/>
        <v>Sara Ali</v>
      </c>
      <c r="AA158" s="1" t="str">
        <f t="shared" si="59"/>
        <v>Sara Ali</v>
      </c>
    </row>
    <row r="159" spans="1:27" x14ac:dyDescent="0.3">
      <c r="A159" s="6">
        <v>158</v>
      </c>
      <c r="B159" s="6">
        <v>1088</v>
      </c>
      <c r="C159" t="s">
        <v>22</v>
      </c>
      <c r="D159" t="s">
        <v>19</v>
      </c>
      <c r="E159" t="s">
        <v>41</v>
      </c>
      <c r="F159" t="s">
        <v>27</v>
      </c>
      <c r="G159" s="6">
        <v>8</v>
      </c>
      <c r="H159" s="1">
        <v>3181</v>
      </c>
      <c r="I159" s="5">
        <v>25448</v>
      </c>
      <c r="J159" s="4" t="s">
        <v>125</v>
      </c>
      <c r="K159" s="5">
        <v>3181</v>
      </c>
      <c r="L159" s="2">
        <v>0.1</v>
      </c>
      <c r="M159" s="1">
        <v>22903.200000000001</v>
      </c>
      <c r="N159" t="str">
        <f t="shared" si="48"/>
        <v>Emily</v>
      </c>
      <c r="O159" s="1" t="str">
        <f t="shared" si="49"/>
        <v>ark</v>
      </c>
      <c r="P159" s="1" t="str">
        <f t="shared" si="50"/>
        <v>Emily-ark</v>
      </c>
      <c r="Q159" s="1" t="str">
        <f t="shared" si="51"/>
        <v>Emily</v>
      </c>
      <c r="R159" s="1" t="str">
        <f t="shared" si="52"/>
        <v>ark</v>
      </c>
      <c r="S159">
        <f t="shared" si="53"/>
        <v>11</v>
      </c>
      <c r="T159" s="1"/>
      <c r="U159" s="1" t="str">
        <f t="shared" si="54"/>
        <v>Emily Clark</v>
      </c>
      <c r="V159" s="1" t="str">
        <f t="shared" si="55"/>
        <v>Emily Clark</v>
      </c>
      <c r="W159" s="1" t="str">
        <f t="shared" si="56"/>
        <v>22903.2</v>
      </c>
      <c r="X159" s="1" t="str">
        <f t="shared" si="57"/>
        <v>Emily Clark</v>
      </c>
      <c r="Y159" s="1" t="str">
        <f>UPPER(Table1[[#This Row],[PROPER]])</f>
        <v>EMILY CLARK</v>
      </c>
      <c r="Z159" s="1" t="str">
        <f t="shared" si="58"/>
        <v>Emily Clark</v>
      </c>
      <c r="AA159" s="1" t="str">
        <f t="shared" si="59"/>
        <v>Emily Clark</v>
      </c>
    </row>
    <row r="160" spans="1:27" x14ac:dyDescent="0.3">
      <c r="A160" s="6">
        <v>159</v>
      </c>
      <c r="B160" s="6">
        <v>1098</v>
      </c>
      <c r="C160" t="s">
        <v>29</v>
      </c>
      <c r="D160" t="s">
        <v>34</v>
      </c>
      <c r="E160" t="s">
        <v>20</v>
      </c>
      <c r="F160" t="s">
        <v>27</v>
      </c>
      <c r="G160" s="6">
        <v>10</v>
      </c>
      <c r="H160" s="1">
        <v>3095</v>
      </c>
      <c r="I160" s="5">
        <v>30950</v>
      </c>
      <c r="J160" s="4" t="s">
        <v>142</v>
      </c>
      <c r="K160" s="5">
        <v>3095</v>
      </c>
      <c r="L160" s="2">
        <v>0.1</v>
      </c>
      <c r="M160" s="1">
        <v>27855</v>
      </c>
      <c r="N160" t="str">
        <f t="shared" si="48"/>
        <v xml:space="preserve">John </v>
      </c>
      <c r="O160" s="1" t="str">
        <f t="shared" si="49"/>
        <v>Doe</v>
      </c>
      <c r="P160" s="1" t="str">
        <f t="shared" si="50"/>
        <v>John -Doe</v>
      </c>
      <c r="Q160" s="1" t="str">
        <f t="shared" si="51"/>
        <v xml:space="preserve">John </v>
      </c>
      <c r="R160" s="1" t="str">
        <f t="shared" si="52"/>
        <v>Doe</v>
      </c>
      <c r="S160">
        <f t="shared" si="53"/>
        <v>8</v>
      </c>
      <c r="T160" s="1"/>
      <c r="U160" s="1" t="str">
        <f t="shared" si="54"/>
        <v>John Doe</v>
      </c>
      <c r="V160" s="1" t="str">
        <f t="shared" si="55"/>
        <v>John Doe</v>
      </c>
      <c r="W160" s="1" t="str">
        <f t="shared" si="56"/>
        <v>27855</v>
      </c>
      <c r="X160" s="1" t="str">
        <f t="shared" si="57"/>
        <v>John Doe</v>
      </c>
      <c r="Y160" s="1" t="str">
        <f>UPPER(Table1[[#This Row],[PROPER]])</f>
        <v>JOHN DOE</v>
      </c>
      <c r="Z160" s="1" t="str">
        <f t="shared" si="58"/>
        <v>John Doe</v>
      </c>
      <c r="AA160" s="1" t="str">
        <f t="shared" si="59"/>
        <v>John Doe</v>
      </c>
    </row>
    <row r="161" spans="1:27" x14ac:dyDescent="0.3">
      <c r="A161" s="6">
        <v>160</v>
      </c>
      <c r="B161" s="6">
        <v>1042</v>
      </c>
      <c r="C161" t="s">
        <v>22</v>
      </c>
      <c r="D161" t="s">
        <v>19</v>
      </c>
      <c r="E161" t="s">
        <v>20</v>
      </c>
      <c r="F161" t="s">
        <v>27</v>
      </c>
      <c r="G161" s="6">
        <v>4</v>
      </c>
      <c r="H161" s="1">
        <v>1037</v>
      </c>
      <c r="I161" s="5">
        <v>4148</v>
      </c>
      <c r="J161" s="4" t="s">
        <v>166</v>
      </c>
      <c r="K161" s="5">
        <v>1037</v>
      </c>
      <c r="L161" s="2">
        <v>0.05</v>
      </c>
      <c r="M161" s="1">
        <v>3940.6</v>
      </c>
      <c r="N161" t="str">
        <f t="shared" si="48"/>
        <v>Emily</v>
      </c>
      <c r="O161" s="1" t="str">
        <f t="shared" si="49"/>
        <v>ark</v>
      </c>
      <c r="P161" s="1" t="str">
        <f t="shared" si="50"/>
        <v>Emily-ark</v>
      </c>
      <c r="Q161" s="1" t="str">
        <f t="shared" si="51"/>
        <v>Emily</v>
      </c>
      <c r="R161" s="1" t="str">
        <f t="shared" si="52"/>
        <v>ark</v>
      </c>
      <c r="S161">
        <f t="shared" si="53"/>
        <v>11</v>
      </c>
      <c r="T161" s="1"/>
      <c r="U161" s="1" t="str">
        <f t="shared" si="54"/>
        <v>Emily Clark</v>
      </c>
      <c r="V161" s="1" t="str">
        <f t="shared" si="55"/>
        <v>Emily Clark</v>
      </c>
      <c r="W161" s="1" t="str">
        <f t="shared" si="56"/>
        <v>3940.6</v>
      </c>
      <c r="X161" s="1" t="str">
        <f t="shared" si="57"/>
        <v>Emily Clark</v>
      </c>
      <c r="Y161" s="1" t="str">
        <f>UPPER(Table1[[#This Row],[PROPER]])</f>
        <v>EMILY CLARK</v>
      </c>
      <c r="Z161" s="1" t="str">
        <f t="shared" si="58"/>
        <v>Emily Clark</v>
      </c>
      <c r="AA161" s="1" t="str">
        <f t="shared" si="59"/>
        <v>Emily Clark</v>
      </c>
    </row>
    <row r="162" spans="1:27" x14ac:dyDescent="0.3">
      <c r="A162" s="6">
        <v>161</v>
      </c>
      <c r="B162" s="6">
        <v>1070</v>
      </c>
      <c r="C162" t="s">
        <v>40</v>
      </c>
      <c r="D162" t="s">
        <v>19</v>
      </c>
      <c r="E162" t="s">
        <v>26</v>
      </c>
      <c r="F162" t="s">
        <v>16</v>
      </c>
      <c r="G162" s="6">
        <v>5</v>
      </c>
      <c r="H162" s="1">
        <v>2638</v>
      </c>
      <c r="I162" s="5">
        <v>13190</v>
      </c>
      <c r="J162" s="4" t="s">
        <v>142</v>
      </c>
      <c r="K162" s="5">
        <v>2638</v>
      </c>
      <c r="L162" s="2">
        <v>0.1</v>
      </c>
      <c r="M162" s="1">
        <v>11871</v>
      </c>
      <c r="N162" t="str">
        <f t="shared" ref="N162:N193" si="60">LEFT(C162,5)</f>
        <v xml:space="preserve">Sara </v>
      </c>
      <c r="O162" s="1" t="str">
        <f t="shared" ref="O162:O193" si="61">RIGHT(C162,3)</f>
        <v>Ali</v>
      </c>
      <c r="P162" s="1" t="str">
        <f t="shared" ref="P162:P193" si="62">_xlfn.CONCAT(N162,"-",O162)</f>
        <v>Sara -Ali</v>
      </c>
      <c r="Q162" s="1" t="str">
        <f t="shared" ref="Q162:Q193" si="63">LEFT(P162, FIND("-", P162) - 1)</f>
        <v xml:space="preserve">Sara </v>
      </c>
      <c r="R162" s="1" t="str">
        <f t="shared" ref="R162:R193" si="64">RIGHT(P162, LEN(P162) - FIND("-", P162))</f>
        <v>Ali</v>
      </c>
      <c r="S162">
        <f t="shared" ref="S162:S193" si="65">LEN(C162)</f>
        <v>8</v>
      </c>
      <c r="T162" s="1"/>
      <c r="U162" s="1" t="str">
        <f t="shared" ref="U162:U193" si="66">TRIM(C162)</f>
        <v>Sara Ali</v>
      </c>
      <c r="V162" s="1" t="str">
        <f t="shared" ref="V162:V193" si="67">CLEAN(C162)</f>
        <v>Sara Ali</v>
      </c>
      <c r="W162" s="1" t="str">
        <f t="shared" ref="W162:W193" si="68">SUBSTITUTE(M162,"₹","")</f>
        <v>11871</v>
      </c>
      <c r="X162" s="1" t="str">
        <f t="shared" ref="X162:X193" si="69">PROPER(C162)</f>
        <v>Sara Ali</v>
      </c>
      <c r="Y162" s="1" t="str">
        <f>UPPER(Table1[[#This Row],[PROPER]])</f>
        <v>SARA ALI</v>
      </c>
      <c r="Z162" s="1" t="str">
        <f t="shared" ref="Z162:Z193" si="70">SUBSTITUTE(C162,"  "," ")</f>
        <v>Sara Ali</v>
      </c>
      <c r="AA162" s="1" t="str">
        <f t="shared" ref="AA162:AA193" si="71">TRIM(CLEAN(C162))</f>
        <v>Sara Ali</v>
      </c>
    </row>
    <row r="163" spans="1:27" x14ac:dyDescent="0.3">
      <c r="A163" s="6">
        <v>162</v>
      </c>
      <c r="B163" s="6">
        <v>1100</v>
      </c>
      <c r="C163" t="s">
        <v>22</v>
      </c>
      <c r="D163" t="s">
        <v>19</v>
      </c>
      <c r="E163" t="s">
        <v>31</v>
      </c>
      <c r="F163" t="s">
        <v>16</v>
      </c>
      <c r="G163" s="6">
        <v>8</v>
      </c>
      <c r="H163" s="1">
        <v>3170</v>
      </c>
      <c r="I163" s="5">
        <v>25360</v>
      </c>
      <c r="J163" s="4" t="s">
        <v>167</v>
      </c>
      <c r="K163" s="5">
        <v>3170</v>
      </c>
      <c r="L163" s="2">
        <v>0.1</v>
      </c>
      <c r="M163" s="1">
        <v>22824</v>
      </c>
      <c r="N163" t="str">
        <f t="shared" si="60"/>
        <v>Emily</v>
      </c>
      <c r="O163" s="1" t="str">
        <f t="shared" si="61"/>
        <v>ark</v>
      </c>
      <c r="P163" s="1" t="str">
        <f t="shared" si="62"/>
        <v>Emily-ark</v>
      </c>
      <c r="Q163" s="1" t="str">
        <f t="shared" si="63"/>
        <v>Emily</v>
      </c>
      <c r="R163" s="1" t="str">
        <f t="shared" si="64"/>
        <v>ark</v>
      </c>
      <c r="S163">
        <f t="shared" si="65"/>
        <v>11</v>
      </c>
      <c r="T163" s="1"/>
      <c r="U163" s="1" t="str">
        <f t="shared" si="66"/>
        <v>Emily Clark</v>
      </c>
      <c r="V163" s="1" t="str">
        <f t="shared" si="67"/>
        <v>Emily Clark</v>
      </c>
      <c r="W163" s="1" t="str">
        <f t="shared" si="68"/>
        <v>22824</v>
      </c>
      <c r="X163" s="1" t="str">
        <f t="shared" si="69"/>
        <v>Emily Clark</v>
      </c>
      <c r="Y163" s="1" t="str">
        <f>UPPER(Table1[[#This Row],[PROPER]])</f>
        <v>EMILY CLARK</v>
      </c>
      <c r="Z163" s="1" t="str">
        <f t="shared" si="70"/>
        <v>Emily Clark</v>
      </c>
      <c r="AA163" s="1" t="str">
        <f t="shared" si="71"/>
        <v>Emily Clark</v>
      </c>
    </row>
    <row r="164" spans="1:27" x14ac:dyDescent="0.3">
      <c r="A164" s="6">
        <v>163</v>
      </c>
      <c r="B164" s="6">
        <v>1085</v>
      </c>
      <c r="C164" t="s">
        <v>18</v>
      </c>
      <c r="D164" t="s">
        <v>23</v>
      </c>
      <c r="E164" t="s">
        <v>31</v>
      </c>
      <c r="F164" t="s">
        <v>16</v>
      </c>
      <c r="G164" s="6">
        <v>15</v>
      </c>
      <c r="H164" s="1">
        <v>2296</v>
      </c>
      <c r="I164" s="5">
        <v>34440</v>
      </c>
      <c r="J164" s="4" t="s">
        <v>168</v>
      </c>
      <c r="K164" s="5">
        <v>2296</v>
      </c>
      <c r="L164" s="2">
        <v>0.1</v>
      </c>
      <c r="M164" s="1">
        <v>30996</v>
      </c>
      <c r="N164" t="str">
        <f t="shared" si="60"/>
        <v xml:space="preserve">Amit </v>
      </c>
      <c r="O164" s="1" t="str">
        <f t="shared" si="61"/>
        <v>hah</v>
      </c>
      <c r="P164" s="1" t="str">
        <f t="shared" si="62"/>
        <v>Amit -hah</v>
      </c>
      <c r="Q164" s="1" t="str">
        <f t="shared" si="63"/>
        <v xml:space="preserve">Amit </v>
      </c>
      <c r="R164" s="1" t="str">
        <f t="shared" si="64"/>
        <v>hah</v>
      </c>
      <c r="S164">
        <f t="shared" si="65"/>
        <v>9</v>
      </c>
      <c r="T164" s="1"/>
      <c r="U164" s="1" t="str">
        <f t="shared" si="66"/>
        <v>Amit Shah</v>
      </c>
      <c r="V164" s="1" t="str">
        <f t="shared" si="67"/>
        <v>Amit Shah</v>
      </c>
      <c r="W164" s="1" t="str">
        <f t="shared" si="68"/>
        <v>30996</v>
      </c>
      <c r="X164" s="1" t="str">
        <f t="shared" si="69"/>
        <v>Amit Shah</v>
      </c>
      <c r="Y164" s="1" t="str">
        <f>UPPER(Table1[[#This Row],[PROPER]])</f>
        <v>AMIT SHAH</v>
      </c>
      <c r="Z164" s="1" t="str">
        <f t="shared" si="70"/>
        <v>Amit Shah</v>
      </c>
      <c r="AA164" s="1" t="str">
        <f t="shared" si="71"/>
        <v>Amit Shah</v>
      </c>
    </row>
    <row r="165" spans="1:27" x14ac:dyDescent="0.3">
      <c r="A165" s="6">
        <v>164</v>
      </c>
      <c r="B165" s="6">
        <v>1084</v>
      </c>
      <c r="C165" t="s">
        <v>22</v>
      </c>
      <c r="D165" t="s">
        <v>25</v>
      </c>
      <c r="E165" t="s">
        <v>20</v>
      </c>
      <c r="F165" t="s">
        <v>27</v>
      </c>
      <c r="G165" s="6">
        <v>1</v>
      </c>
      <c r="H165" s="1">
        <v>3966</v>
      </c>
      <c r="I165" s="5">
        <v>3966</v>
      </c>
      <c r="J165" s="4" t="s">
        <v>169</v>
      </c>
      <c r="K165" s="5">
        <v>3966</v>
      </c>
      <c r="L165" s="2">
        <v>0.05</v>
      </c>
      <c r="M165" s="1">
        <v>3767.7</v>
      </c>
      <c r="N165" t="str">
        <f t="shared" si="60"/>
        <v>Emily</v>
      </c>
      <c r="O165" s="1" t="str">
        <f t="shared" si="61"/>
        <v>ark</v>
      </c>
      <c r="P165" s="1" t="str">
        <f t="shared" si="62"/>
        <v>Emily-ark</v>
      </c>
      <c r="Q165" s="1" t="str">
        <f t="shared" si="63"/>
        <v>Emily</v>
      </c>
      <c r="R165" s="1" t="str">
        <f t="shared" si="64"/>
        <v>ark</v>
      </c>
      <c r="S165">
        <f t="shared" si="65"/>
        <v>11</v>
      </c>
      <c r="T165" s="1"/>
      <c r="U165" s="1" t="str">
        <f t="shared" si="66"/>
        <v>Emily Clark</v>
      </c>
      <c r="V165" s="1" t="str">
        <f t="shared" si="67"/>
        <v>Emily Clark</v>
      </c>
      <c r="W165" s="1" t="str">
        <f t="shared" si="68"/>
        <v>3767.7</v>
      </c>
      <c r="X165" s="1" t="str">
        <f t="shared" si="69"/>
        <v>Emily Clark</v>
      </c>
      <c r="Y165" s="1" t="str">
        <f>UPPER(Table1[[#This Row],[PROPER]])</f>
        <v>EMILY CLARK</v>
      </c>
      <c r="Z165" s="1" t="str">
        <f t="shared" si="70"/>
        <v>Emily Clark</v>
      </c>
      <c r="AA165" s="1" t="str">
        <f t="shared" si="71"/>
        <v>Emily Clark</v>
      </c>
    </row>
    <row r="166" spans="1:27" x14ac:dyDescent="0.3">
      <c r="A166" s="6">
        <v>165</v>
      </c>
      <c r="B166" s="6">
        <v>1009</v>
      </c>
      <c r="C166" t="s">
        <v>29</v>
      </c>
      <c r="D166" t="s">
        <v>14</v>
      </c>
      <c r="E166" t="s">
        <v>20</v>
      </c>
      <c r="F166" t="s">
        <v>16</v>
      </c>
      <c r="G166" s="6">
        <v>20</v>
      </c>
      <c r="H166" s="1">
        <v>136</v>
      </c>
      <c r="I166" s="5">
        <v>2720</v>
      </c>
      <c r="J166" s="4" t="s">
        <v>66</v>
      </c>
      <c r="K166" s="5">
        <v>136</v>
      </c>
      <c r="L166" s="2">
        <v>0.05</v>
      </c>
      <c r="M166" s="1">
        <v>2584</v>
      </c>
      <c r="N166" t="str">
        <f t="shared" si="60"/>
        <v xml:space="preserve">John </v>
      </c>
      <c r="O166" s="1" t="str">
        <f t="shared" si="61"/>
        <v>Doe</v>
      </c>
      <c r="P166" s="1" t="str">
        <f t="shared" si="62"/>
        <v>John -Doe</v>
      </c>
      <c r="Q166" s="1" t="str">
        <f t="shared" si="63"/>
        <v xml:space="preserve">John </v>
      </c>
      <c r="R166" s="1" t="str">
        <f t="shared" si="64"/>
        <v>Doe</v>
      </c>
      <c r="S166">
        <f t="shared" si="65"/>
        <v>8</v>
      </c>
      <c r="T166" s="1"/>
      <c r="U166" s="1" t="str">
        <f t="shared" si="66"/>
        <v>John Doe</v>
      </c>
      <c r="V166" s="1" t="str">
        <f t="shared" si="67"/>
        <v>John Doe</v>
      </c>
      <c r="W166" s="1" t="str">
        <f t="shared" si="68"/>
        <v>2584</v>
      </c>
      <c r="X166" s="1" t="str">
        <f t="shared" si="69"/>
        <v>John Doe</v>
      </c>
      <c r="Y166" s="1" t="str">
        <f>UPPER(Table1[[#This Row],[PROPER]])</f>
        <v>JOHN DOE</v>
      </c>
      <c r="Z166" s="1" t="str">
        <f t="shared" si="70"/>
        <v>John Doe</v>
      </c>
      <c r="AA166" s="1" t="str">
        <f t="shared" si="71"/>
        <v>John Doe</v>
      </c>
    </row>
    <row r="167" spans="1:27" x14ac:dyDescent="0.3">
      <c r="A167" s="6">
        <v>166</v>
      </c>
      <c r="B167" s="6">
        <v>1080</v>
      </c>
      <c r="C167" t="s">
        <v>13</v>
      </c>
      <c r="D167" t="s">
        <v>23</v>
      </c>
      <c r="E167" t="s">
        <v>20</v>
      </c>
      <c r="F167" t="s">
        <v>16</v>
      </c>
      <c r="G167" s="6">
        <v>6</v>
      </c>
      <c r="H167" s="1">
        <v>3245</v>
      </c>
      <c r="I167" s="5">
        <v>19470</v>
      </c>
      <c r="J167" s="4" t="s">
        <v>57</v>
      </c>
      <c r="K167" s="5">
        <v>3245</v>
      </c>
      <c r="L167" s="2">
        <v>0.1</v>
      </c>
      <c r="M167" s="1">
        <v>17523</v>
      </c>
      <c r="N167" t="str">
        <f t="shared" si="60"/>
        <v xml:space="preserve">Ravi </v>
      </c>
      <c r="O167" s="1" t="str">
        <f t="shared" si="61"/>
        <v>mar</v>
      </c>
      <c r="P167" s="1" t="str">
        <f t="shared" si="62"/>
        <v>Ravi -mar</v>
      </c>
      <c r="Q167" s="1" t="str">
        <f t="shared" si="63"/>
        <v xml:space="preserve">Ravi </v>
      </c>
      <c r="R167" s="1" t="str">
        <f t="shared" si="64"/>
        <v>mar</v>
      </c>
      <c r="S167">
        <f t="shared" si="65"/>
        <v>10</v>
      </c>
      <c r="T167" s="1"/>
      <c r="U167" s="1" t="str">
        <f t="shared" si="66"/>
        <v>Ravi Kumar</v>
      </c>
      <c r="V167" s="1" t="str">
        <f t="shared" si="67"/>
        <v>Ravi Kumar</v>
      </c>
      <c r="W167" s="1" t="str">
        <f t="shared" si="68"/>
        <v>17523</v>
      </c>
      <c r="X167" s="1" t="str">
        <f t="shared" si="69"/>
        <v>Ravi Kumar</v>
      </c>
      <c r="Y167" s="1" t="str">
        <f>UPPER(Table1[[#This Row],[PROPER]])</f>
        <v>RAVI KUMAR</v>
      </c>
      <c r="Z167" s="1" t="str">
        <f t="shared" si="70"/>
        <v>Ravi Kumar</v>
      </c>
      <c r="AA167" s="1" t="str">
        <f t="shared" si="71"/>
        <v>Ravi Kumar</v>
      </c>
    </row>
    <row r="168" spans="1:27" x14ac:dyDescent="0.3">
      <c r="A168" s="6">
        <v>167</v>
      </c>
      <c r="B168" s="6">
        <v>1055</v>
      </c>
      <c r="C168" t="s">
        <v>29</v>
      </c>
      <c r="D168" t="s">
        <v>34</v>
      </c>
      <c r="E168" t="s">
        <v>41</v>
      </c>
      <c r="F168" t="s">
        <v>27</v>
      </c>
      <c r="G168" s="6">
        <v>2</v>
      </c>
      <c r="H168" s="1">
        <v>4104</v>
      </c>
      <c r="I168" s="5">
        <v>8208</v>
      </c>
      <c r="J168" s="4" t="s">
        <v>170</v>
      </c>
      <c r="K168" s="5">
        <v>4104</v>
      </c>
      <c r="L168" s="2">
        <v>0.1</v>
      </c>
      <c r="M168" s="1">
        <v>7387.2</v>
      </c>
      <c r="N168" t="str">
        <f t="shared" si="60"/>
        <v xml:space="preserve">John </v>
      </c>
      <c r="O168" s="1" t="str">
        <f t="shared" si="61"/>
        <v>Doe</v>
      </c>
      <c r="P168" s="1" t="str">
        <f t="shared" si="62"/>
        <v>John -Doe</v>
      </c>
      <c r="Q168" s="1" t="str">
        <f t="shared" si="63"/>
        <v xml:space="preserve">John </v>
      </c>
      <c r="R168" s="1" t="str">
        <f t="shared" si="64"/>
        <v>Doe</v>
      </c>
      <c r="S168">
        <f t="shared" si="65"/>
        <v>8</v>
      </c>
      <c r="T168" s="1"/>
      <c r="U168" s="1" t="str">
        <f t="shared" si="66"/>
        <v>John Doe</v>
      </c>
      <c r="V168" s="1" t="str">
        <f t="shared" si="67"/>
        <v>John Doe</v>
      </c>
      <c r="W168" s="1" t="str">
        <f t="shared" si="68"/>
        <v>7387.2</v>
      </c>
      <c r="X168" s="1" t="str">
        <f t="shared" si="69"/>
        <v>John Doe</v>
      </c>
      <c r="Y168" s="1" t="str">
        <f>UPPER(Table1[[#This Row],[PROPER]])</f>
        <v>JOHN DOE</v>
      </c>
      <c r="Z168" s="1" t="str">
        <f t="shared" si="70"/>
        <v>John Doe</v>
      </c>
      <c r="AA168" s="1" t="str">
        <f t="shared" si="71"/>
        <v>John Doe</v>
      </c>
    </row>
    <row r="169" spans="1:27" x14ac:dyDescent="0.3">
      <c r="A169" s="6">
        <v>168</v>
      </c>
      <c r="B169" s="6">
        <v>1045</v>
      </c>
      <c r="C169" t="s">
        <v>18</v>
      </c>
      <c r="D169" t="s">
        <v>19</v>
      </c>
      <c r="E169" t="s">
        <v>31</v>
      </c>
      <c r="F169" t="s">
        <v>27</v>
      </c>
      <c r="G169" s="6">
        <v>1</v>
      </c>
      <c r="H169" s="1">
        <v>2387</v>
      </c>
      <c r="I169" s="5">
        <v>2387</v>
      </c>
      <c r="J169" s="4" t="s">
        <v>127</v>
      </c>
      <c r="K169" s="5">
        <v>2387</v>
      </c>
      <c r="L169" s="2">
        <v>0.05</v>
      </c>
      <c r="M169" s="1">
        <v>2267.65</v>
      </c>
      <c r="N169" t="str">
        <f t="shared" si="60"/>
        <v xml:space="preserve">Amit </v>
      </c>
      <c r="O169" s="1" t="str">
        <f t="shared" si="61"/>
        <v>hah</v>
      </c>
      <c r="P169" s="1" t="str">
        <f t="shared" si="62"/>
        <v>Amit -hah</v>
      </c>
      <c r="Q169" s="1" t="str">
        <f t="shared" si="63"/>
        <v xml:space="preserve">Amit </v>
      </c>
      <c r="R169" s="1" t="str">
        <f t="shared" si="64"/>
        <v>hah</v>
      </c>
      <c r="S169">
        <f t="shared" si="65"/>
        <v>9</v>
      </c>
      <c r="T169" s="1"/>
      <c r="U169" s="1" t="str">
        <f t="shared" si="66"/>
        <v>Amit Shah</v>
      </c>
      <c r="V169" s="1" t="str">
        <f t="shared" si="67"/>
        <v>Amit Shah</v>
      </c>
      <c r="W169" s="1" t="str">
        <f t="shared" si="68"/>
        <v>2267.65</v>
      </c>
      <c r="X169" s="1" t="str">
        <f t="shared" si="69"/>
        <v>Amit Shah</v>
      </c>
      <c r="Y169" s="1" t="str">
        <f>UPPER(Table1[[#This Row],[PROPER]])</f>
        <v>AMIT SHAH</v>
      </c>
      <c r="Z169" s="1" t="str">
        <f t="shared" si="70"/>
        <v>Amit Shah</v>
      </c>
      <c r="AA169" s="1" t="str">
        <f t="shared" si="71"/>
        <v>Amit Shah</v>
      </c>
    </row>
    <row r="170" spans="1:27" x14ac:dyDescent="0.3">
      <c r="A170" s="6">
        <v>169</v>
      </c>
      <c r="B170" s="6">
        <v>1051</v>
      </c>
      <c r="C170" t="s">
        <v>29</v>
      </c>
      <c r="D170" t="s">
        <v>19</v>
      </c>
      <c r="E170" t="s">
        <v>20</v>
      </c>
      <c r="F170" t="s">
        <v>27</v>
      </c>
      <c r="G170" s="6">
        <v>6</v>
      </c>
      <c r="H170" s="1">
        <v>947</v>
      </c>
      <c r="I170" s="5">
        <v>5682</v>
      </c>
      <c r="J170" s="4" t="s">
        <v>171</v>
      </c>
      <c r="K170" s="5">
        <v>947</v>
      </c>
      <c r="L170" s="2">
        <v>0.1</v>
      </c>
      <c r="M170" s="1">
        <v>5113.8</v>
      </c>
      <c r="N170" t="str">
        <f t="shared" si="60"/>
        <v xml:space="preserve">John </v>
      </c>
      <c r="O170" s="1" t="str">
        <f t="shared" si="61"/>
        <v>Doe</v>
      </c>
      <c r="P170" s="1" t="str">
        <f t="shared" si="62"/>
        <v>John -Doe</v>
      </c>
      <c r="Q170" s="1" t="str">
        <f t="shared" si="63"/>
        <v xml:space="preserve">John </v>
      </c>
      <c r="R170" s="1" t="str">
        <f t="shared" si="64"/>
        <v>Doe</v>
      </c>
      <c r="S170">
        <f t="shared" si="65"/>
        <v>8</v>
      </c>
      <c r="T170" s="1"/>
      <c r="U170" s="1" t="str">
        <f t="shared" si="66"/>
        <v>John Doe</v>
      </c>
      <c r="V170" s="1" t="str">
        <f t="shared" si="67"/>
        <v>John Doe</v>
      </c>
      <c r="W170" s="1" t="str">
        <f t="shared" si="68"/>
        <v>5113.8</v>
      </c>
      <c r="X170" s="1" t="str">
        <f t="shared" si="69"/>
        <v>John Doe</v>
      </c>
      <c r="Y170" s="1" t="str">
        <f>UPPER(Table1[[#This Row],[PROPER]])</f>
        <v>JOHN DOE</v>
      </c>
      <c r="Z170" s="1" t="str">
        <f t="shared" si="70"/>
        <v>John Doe</v>
      </c>
      <c r="AA170" s="1" t="str">
        <f t="shared" si="71"/>
        <v>John Doe</v>
      </c>
    </row>
    <row r="171" spans="1:27" x14ac:dyDescent="0.3">
      <c r="A171" s="6">
        <v>170</v>
      </c>
      <c r="B171" s="6">
        <v>1059</v>
      </c>
      <c r="C171" t="s">
        <v>29</v>
      </c>
      <c r="D171" t="s">
        <v>14</v>
      </c>
      <c r="E171" t="s">
        <v>20</v>
      </c>
      <c r="F171" t="s">
        <v>27</v>
      </c>
      <c r="G171" s="6">
        <v>17</v>
      </c>
      <c r="H171" s="1">
        <v>2001</v>
      </c>
      <c r="I171" s="5">
        <v>34017</v>
      </c>
      <c r="J171" s="4" t="s">
        <v>129</v>
      </c>
      <c r="K171" s="5">
        <v>2001</v>
      </c>
      <c r="L171" s="2">
        <v>0.1</v>
      </c>
      <c r="M171" s="1">
        <v>30615.3</v>
      </c>
      <c r="N171" t="str">
        <f t="shared" si="60"/>
        <v xml:space="preserve">John </v>
      </c>
      <c r="O171" s="1" t="str">
        <f t="shared" si="61"/>
        <v>Doe</v>
      </c>
      <c r="P171" s="1" t="str">
        <f t="shared" si="62"/>
        <v>John -Doe</v>
      </c>
      <c r="Q171" s="1" t="str">
        <f t="shared" si="63"/>
        <v xml:space="preserve">John </v>
      </c>
      <c r="R171" s="1" t="str">
        <f t="shared" si="64"/>
        <v>Doe</v>
      </c>
      <c r="S171">
        <f t="shared" si="65"/>
        <v>8</v>
      </c>
      <c r="T171" s="1"/>
      <c r="U171" s="1" t="str">
        <f t="shared" si="66"/>
        <v>John Doe</v>
      </c>
      <c r="V171" s="1" t="str">
        <f t="shared" si="67"/>
        <v>John Doe</v>
      </c>
      <c r="W171" s="1" t="str">
        <f t="shared" si="68"/>
        <v>30615.3</v>
      </c>
      <c r="X171" s="1" t="str">
        <f t="shared" si="69"/>
        <v>John Doe</v>
      </c>
      <c r="Y171" s="1" t="str">
        <f>UPPER(Table1[[#This Row],[PROPER]])</f>
        <v>JOHN DOE</v>
      </c>
      <c r="Z171" s="1" t="str">
        <f t="shared" si="70"/>
        <v>John Doe</v>
      </c>
      <c r="AA171" s="1" t="str">
        <f t="shared" si="71"/>
        <v>John Doe</v>
      </c>
    </row>
    <row r="172" spans="1:27" x14ac:dyDescent="0.3">
      <c r="A172" s="6">
        <v>171</v>
      </c>
      <c r="B172" s="6">
        <v>1027</v>
      </c>
      <c r="C172" t="s">
        <v>29</v>
      </c>
      <c r="D172" t="s">
        <v>23</v>
      </c>
      <c r="E172" t="s">
        <v>41</v>
      </c>
      <c r="F172" t="s">
        <v>16</v>
      </c>
      <c r="G172" s="6">
        <v>4</v>
      </c>
      <c r="H172" s="1">
        <v>3417</v>
      </c>
      <c r="I172" s="5">
        <v>13668</v>
      </c>
      <c r="J172" s="4" t="s">
        <v>172</v>
      </c>
      <c r="K172" s="5">
        <v>3417</v>
      </c>
      <c r="L172" s="2">
        <v>0.1</v>
      </c>
      <c r="M172" s="1">
        <v>12301.2</v>
      </c>
      <c r="N172" t="str">
        <f t="shared" si="60"/>
        <v xml:space="preserve">John </v>
      </c>
      <c r="O172" s="1" t="str">
        <f t="shared" si="61"/>
        <v>Doe</v>
      </c>
      <c r="P172" s="1" t="str">
        <f t="shared" si="62"/>
        <v>John -Doe</v>
      </c>
      <c r="Q172" s="1" t="str">
        <f t="shared" si="63"/>
        <v xml:space="preserve">John </v>
      </c>
      <c r="R172" s="1" t="str">
        <f t="shared" si="64"/>
        <v>Doe</v>
      </c>
      <c r="S172">
        <f t="shared" si="65"/>
        <v>8</v>
      </c>
      <c r="T172" s="1"/>
      <c r="U172" s="1" t="str">
        <f t="shared" si="66"/>
        <v>John Doe</v>
      </c>
      <c r="V172" s="1" t="str">
        <f t="shared" si="67"/>
        <v>John Doe</v>
      </c>
      <c r="W172" s="1" t="str">
        <f t="shared" si="68"/>
        <v>12301.2</v>
      </c>
      <c r="X172" s="1" t="str">
        <f t="shared" si="69"/>
        <v>John Doe</v>
      </c>
      <c r="Y172" s="1" t="str">
        <f>UPPER(Table1[[#This Row],[PROPER]])</f>
        <v>JOHN DOE</v>
      </c>
      <c r="Z172" s="1" t="str">
        <f t="shared" si="70"/>
        <v>John Doe</v>
      </c>
      <c r="AA172" s="1" t="str">
        <f t="shared" si="71"/>
        <v>John Doe</v>
      </c>
    </row>
    <row r="173" spans="1:27" x14ac:dyDescent="0.3">
      <c r="A173" s="6">
        <v>172</v>
      </c>
      <c r="B173" s="6">
        <v>1004</v>
      </c>
      <c r="C173" t="s">
        <v>18</v>
      </c>
      <c r="D173" t="s">
        <v>25</v>
      </c>
      <c r="E173" t="s">
        <v>26</v>
      </c>
      <c r="F173" t="s">
        <v>27</v>
      </c>
      <c r="G173" s="6">
        <v>3</v>
      </c>
      <c r="H173" s="1">
        <v>2606</v>
      </c>
      <c r="I173" s="5">
        <v>7818</v>
      </c>
      <c r="J173" s="4" t="s">
        <v>173</v>
      </c>
      <c r="K173" s="5">
        <v>2606</v>
      </c>
      <c r="L173" s="2">
        <v>0.1</v>
      </c>
      <c r="M173" s="1">
        <v>7036.2</v>
      </c>
      <c r="N173" t="str">
        <f t="shared" si="60"/>
        <v xml:space="preserve">Amit </v>
      </c>
      <c r="O173" s="1" t="str">
        <f t="shared" si="61"/>
        <v>hah</v>
      </c>
      <c r="P173" s="1" t="str">
        <f t="shared" si="62"/>
        <v>Amit -hah</v>
      </c>
      <c r="Q173" s="1" t="str">
        <f t="shared" si="63"/>
        <v xml:space="preserve">Amit </v>
      </c>
      <c r="R173" s="1" t="str">
        <f t="shared" si="64"/>
        <v>hah</v>
      </c>
      <c r="S173">
        <f t="shared" si="65"/>
        <v>9</v>
      </c>
      <c r="T173" s="1"/>
      <c r="U173" s="1" t="str">
        <f t="shared" si="66"/>
        <v>Amit Shah</v>
      </c>
      <c r="V173" s="1" t="str">
        <f t="shared" si="67"/>
        <v>Amit Shah</v>
      </c>
      <c r="W173" s="1" t="str">
        <f t="shared" si="68"/>
        <v>7036.2</v>
      </c>
      <c r="X173" s="1" t="str">
        <f t="shared" si="69"/>
        <v>Amit Shah</v>
      </c>
      <c r="Y173" s="1" t="str">
        <f>UPPER(Table1[[#This Row],[PROPER]])</f>
        <v>AMIT SHAH</v>
      </c>
      <c r="Z173" s="1" t="str">
        <f t="shared" si="70"/>
        <v>Amit Shah</v>
      </c>
      <c r="AA173" s="1" t="str">
        <f t="shared" si="71"/>
        <v>Amit Shah</v>
      </c>
    </row>
    <row r="174" spans="1:27" x14ac:dyDescent="0.3">
      <c r="A174" s="6">
        <v>173</v>
      </c>
      <c r="B174" s="6">
        <v>1094</v>
      </c>
      <c r="C174" t="s">
        <v>13</v>
      </c>
      <c r="D174" t="s">
        <v>34</v>
      </c>
      <c r="E174" t="s">
        <v>15</v>
      </c>
      <c r="F174" t="s">
        <v>27</v>
      </c>
      <c r="G174" s="6">
        <v>4</v>
      </c>
      <c r="H174" s="1">
        <v>579</v>
      </c>
      <c r="I174" s="5">
        <v>2316</v>
      </c>
      <c r="J174" s="4" t="s">
        <v>174</v>
      </c>
      <c r="K174" s="5">
        <v>579</v>
      </c>
      <c r="L174" s="2">
        <v>0.05</v>
      </c>
      <c r="M174" s="1">
        <v>2200.1999999999998</v>
      </c>
      <c r="N174" t="str">
        <f t="shared" si="60"/>
        <v xml:space="preserve">Ravi </v>
      </c>
      <c r="O174" s="1" t="str">
        <f t="shared" si="61"/>
        <v>mar</v>
      </c>
      <c r="P174" s="1" t="str">
        <f t="shared" si="62"/>
        <v>Ravi -mar</v>
      </c>
      <c r="Q174" s="1" t="str">
        <f t="shared" si="63"/>
        <v xml:space="preserve">Ravi </v>
      </c>
      <c r="R174" s="1" t="str">
        <f t="shared" si="64"/>
        <v>mar</v>
      </c>
      <c r="S174">
        <f t="shared" si="65"/>
        <v>10</v>
      </c>
      <c r="T174" s="1"/>
      <c r="U174" s="1" t="str">
        <f t="shared" si="66"/>
        <v>Ravi Kumar</v>
      </c>
      <c r="V174" s="1" t="str">
        <f t="shared" si="67"/>
        <v>Ravi Kumar</v>
      </c>
      <c r="W174" s="1" t="str">
        <f t="shared" si="68"/>
        <v>2200.2</v>
      </c>
      <c r="X174" s="1" t="str">
        <f t="shared" si="69"/>
        <v>Ravi Kumar</v>
      </c>
      <c r="Y174" s="1" t="str">
        <f>UPPER(Table1[[#This Row],[PROPER]])</f>
        <v>RAVI KUMAR</v>
      </c>
      <c r="Z174" s="1" t="str">
        <f t="shared" si="70"/>
        <v>Ravi Kumar</v>
      </c>
      <c r="AA174" s="1" t="str">
        <f t="shared" si="71"/>
        <v>Ravi Kumar</v>
      </c>
    </row>
    <row r="175" spans="1:27" x14ac:dyDescent="0.3">
      <c r="A175" s="6">
        <v>174</v>
      </c>
      <c r="C175" t="s">
        <v>40</v>
      </c>
      <c r="D175" t="s">
        <v>14</v>
      </c>
      <c r="E175" t="s">
        <v>15</v>
      </c>
      <c r="F175" t="s">
        <v>27</v>
      </c>
      <c r="G175" s="6">
        <v>15</v>
      </c>
      <c r="H175" s="1">
        <v>4457</v>
      </c>
      <c r="I175" s="5">
        <v>66855</v>
      </c>
      <c r="J175" s="4" t="s">
        <v>175</v>
      </c>
      <c r="K175" s="5">
        <v>4457</v>
      </c>
      <c r="L175" s="2">
        <v>0.1</v>
      </c>
      <c r="M175" s="1">
        <v>60169.5</v>
      </c>
      <c r="N175" t="str">
        <f t="shared" si="60"/>
        <v xml:space="preserve">Sara </v>
      </c>
      <c r="O175" s="1" t="str">
        <f t="shared" si="61"/>
        <v>Ali</v>
      </c>
      <c r="P175" s="1" t="str">
        <f t="shared" si="62"/>
        <v>Sara -Ali</v>
      </c>
      <c r="Q175" s="1" t="str">
        <f t="shared" si="63"/>
        <v xml:space="preserve">Sara </v>
      </c>
      <c r="R175" s="1" t="str">
        <f t="shared" si="64"/>
        <v>Ali</v>
      </c>
      <c r="S175">
        <f t="shared" si="65"/>
        <v>8</v>
      </c>
      <c r="T175" s="1"/>
      <c r="U175" s="1" t="str">
        <f t="shared" si="66"/>
        <v>Sara Ali</v>
      </c>
      <c r="V175" s="1" t="str">
        <f t="shared" si="67"/>
        <v>Sara Ali</v>
      </c>
      <c r="W175" s="1" t="str">
        <f t="shared" si="68"/>
        <v>60169.5</v>
      </c>
      <c r="X175" s="1" t="str">
        <f t="shared" si="69"/>
        <v>Sara Ali</v>
      </c>
      <c r="Y175" s="1" t="str">
        <f>UPPER(Table1[[#This Row],[PROPER]])</f>
        <v>SARA ALI</v>
      </c>
      <c r="Z175" s="1" t="str">
        <f t="shared" si="70"/>
        <v>Sara Ali</v>
      </c>
      <c r="AA175" s="1" t="str">
        <f t="shared" si="71"/>
        <v>Sara Ali</v>
      </c>
    </row>
    <row r="176" spans="1:27" x14ac:dyDescent="0.3">
      <c r="A176" s="6">
        <v>175</v>
      </c>
      <c r="B176" s="6">
        <v>1082</v>
      </c>
      <c r="C176" t="s">
        <v>13</v>
      </c>
      <c r="D176" t="s">
        <v>14</v>
      </c>
      <c r="E176" t="s">
        <v>15</v>
      </c>
      <c r="F176" t="s">
        <v>27</v>
      </c>
      <c r="G176" s="6">
        <v>19</v>
      </c>
      <c r="H176" s="1">
        <v>2434</v>
      </c>
      <c r="I176" s="5">
        <v>46246</v>
      </c>
      <c r="J176" s="4" t="s">
        <v>176</v>
      </c>
      <c r="K176" s="5">
        <v>2434</v>
      </c>
      <c r="L176" s="2">
        <v>0.1</v>
      </c>
      <c r="M176" s="1">
        <v>41621.4</v>
      </c>
      <c r="N176" t="str">
        <f t="shared" si="60"/>
        <v xml:space="preserve">Ravi </v>
      </c>
      <c r="O176" s="1" t="str">
        <f t="shared" si="61"/>
        <v>mar</v>
      </c>
      <c r="P176" s="1" t="str">
        <f t="shared" si="62"/>
        <v>Ravi -mar</v>
      </c>
      <c r="Q176" s="1" t="str">
        <f t="shared" si="63"/>
        <v xml:space="preserve">Ravi </v>
      </c>
      <c r="R176" s="1" t="str">
        <f t="shared" si="64"/>
        <v>mar</v>
      </c>
      <c r="S176">
        <f t="shared" si="65"/>
        <v>10</v>
      </c>
      <c r="T176" s="1"/>
      <c r="U176" s="1" t="str">
        <f t="shared" si="66"/>
        <v>Ravi Kumar</v>
      </c>
      <c r="V176" s="1" t="str">
        <f t="shared" si="67"/>
        <v>Ravi Kumar</v>
      </c>
      <c r="W176" s="1" t="str">
        <f t="shared" si="68"/>
        <v>41621.4</v>
      </c>
      <c r="X176" s="1" t="str">
        <f t="shared" si="69"/>
        <v>Ravi Kumar</v>
      </c>
      <c r="Y176" s="1" t="str">
        <f>UPPER(Table1[[#This Row],[PROPER]])</f>
        <v>RAVI KUMAR</v>
      </c>
      <c r="Z176" s="1" t="str">
        <f t="shared" si="70"/>
        <v>Ravi Kumar</v>
      </c>
      <c r="AA176" s="1" t="str">
        <f t="shared" si="71"/>
        <v>Ravi Kumar</v>
      </c>
    </row>
    <row r="177" spans="1:27" x14ac:dyDescent="0.3">
      <c r="A177" s="6">
        <v>176</v>
      </c>
      <c r="B177" s="6">
        <v>1081</v>
      </c>
      <c r="C177" t="s">
        <v>18</v>
      </c>
      <c r="D177" t="s">
        <v>34</v>
      </c>
      <c r="E177" t="s">
        <v>20</v>
      </c>
      <c r="F177" t="s">
        <v>16</v>
      </c>
      <c r="G177" s="6">
        <v>15</v>
      </c>
      <c r="H177" s="1">
        <v>1406</v>
      </c>
      <c r="I177" s="5">
        <v>21090</v>
      </c>
      <c r="J177" s="4" t="s">
        <v>177</v>
      </c>
      <c r="K177" s="5">
        <v>1406</v>
      </c>
      <c r="L177" s="2">
        <v>0.1</v>
      </c>
      <c r="M177" s="1">
        <v>18981</v>
      </c>
      <c r="N177" t="str">
        <f t="shared" si="60"/>
        <v xml:space="preserve">Amit </v>
      </c>
      <c r="O177" s="1" t="str">
        <f t="shared" si="61"/>
        <v>hah</v>
      </c>
      <c r="P177" s="1" t="str">
        <f t="shared" si="62"/>
        <v>Amit -hah</v>
      </c>
      <c r="Q177" s="1" t="str">
        <f t="shared" si="63"/>
        <v xml:space="preserve">Amit </v>
      </c>
      <c r="R177" s="1" t="str">
        <f t="shared" si="64"/>
        <v>hah</v>
      </c>
      <c r="S177">
        <f t="shared" si="65"/>
        <v>9</v>
      </c>
      <c r="T177" s="1"/>
      <c r="U177" s="1" t="str">
        <f t="shared" si="66"/>
        <v>Amit Shah</v>
      </c>
      <c r="V177" s="1" t="str">
        <f t="shared" si="67"/>
        <v>Amit Shah</v>
      </c>
      <c r="W177" s="1" t="str">
        <f t="shared" si="68"/>
        <v>18981</v>
      </c>
      <c r="X177" s="1" t="str">
        <f t="shared" si="69"/>
        <v>Amit Shah</v>
      </c>
      <c r="Y177" s="1" t="str">
        <f>UPPER(Table1[[#This Row],[PROPER]])</f>
        <v>AMIT SHAH</v>
      </c>
      <c r="Z177" s="1" t="str">
        <f t="shared" si="70"/>
        <v>Amit Shah</v>
      </c>
      <c r="AA177" s="1" t="str">
        <f t="shared" si="71"/>
        <v>Amit Shah</v>
      </c>
    </row>
    <row r="178" spans="1:27" x14ac:dyDescent="0.3">
      <c r="A178" s="6">
        <v>177</v>
      </c>
      <c r="B178" s="6">
        <v>1100</v>
      </c>
      <c r="C178" t="s">
        <v>40</v>
      </c>
      <c r="D178" t="s">
        <v>19</v>
      </c>
      <c r="E178" t="s">
        <v>41</v>
      </c>
      <c r="F178" t="s">
        <v>27</v>
      </c>
      <c r="G178" s="6">
        <v>7</v>
      </c>
      <c r="H178" s="1">
        <v>3885</v>
      </c>
      <c r="I178" s="5">
        <v>27195</v>
      </c>
      <c r="J178" s="4" t="s">
        <v>178</v>
      </c>
      <c r="K178" s="5">
        <v>3885</v>
      </c>
      <c r="L178" s="2">
        <v>0.1</v>
      </c>
      <c r="M178" s="1">
        <v>24475.5</v>
      </c>
      <c r="N178" t="str">
        <f t="shared" si="60"/>
        <v xml:space="preserve">Sara </v>
      </c>
      <c r="O178" s="1" t="str">
        <f t="shared" si="61"/>
        <v>Ali</v>
      </c>
      <c r="P178" s="1" t="str">
        <f t="shared" si="62"/>
        <v>Sara -Ali</v>
      </c>
      <c r="Q178" s="1" t="str">
        <f t="shared" si="63"/>
        <v xml:space="preserve">Sara </v>
      </c>
      <c r="R178" s="1" t="str">
        <f t="shared" si="64"/>
        <v>Ali</v>
      </c>
      <c r="S178">
        <f t="shared" si="65"/>
        <v>8</v>
      </c>
      <c r="T178" s="1"/>
      <c r="U178" s="1" t="str">
        <f t="shared" si="66"/>
        <v>Sara Ali</v>
      </c>
      <c r="V178" s="1" t="str">
        <f t="shared" si="67"/>
        <v>Sara Ali</v>
      </c>
      <c r="W178" s="1" t="str">
        <f t="shared" si="68"/>
        <v>24475.5</v>
      </c>
      <c r="X178" s="1" t="str">
        <f t="shared" si="69"/>
        <v>Sara Ali</v>
      </c>
      <c r="Y178" s="1" t="str">
        <f>UPPER(Table1[[#This Row],[PROPER]])</f>
        <v>SARA ALI</v>
      </c>
      <c r="Z178" s="1" t="str">
        <f t="shared" si="70"/>
        <v>Sara Ali</v>
      </c>
      <c r="AA178" s="1" t="str">
        <f t="shared" si="71"/>
        <v>Sara Ali</v>
      </c>
    </row>
    <row r="179" spans="1:27" x14ac:dyDescent="0.3">
      <c r="A179" s="6">
        <v>178</v>
      </c>
      <c r="B179" s="6">
        <v>1044</v>
      </c>
      <c r="C179" t="s">
        <v>22</v>
      </c>
      <c r="D179" t="s">
        <v>23</v>
      </c>
      <c r="E179" t="s">
        <v>15</v>
      </c>
      <c r="F179" t="s">
        <v>16</v>
      </c>
      <c r="G179" s="6">
        <v>10</v>
      </c>
      <c r="H179" s="1">
        <v>2890</v>
      </c>
      <c r="I179" s="5">
        <v>28900</v>
      </c>
      <c r="J179" s="4" t="s">
        <v>179</v>
      </c>
      <c r="K179" s="5">
        <v>2890</v>
      </c>
      <c r="L179" s="2">
        <v>0.1</v>
      </c>
      <c r="M179" s="1">
        <v>26010</v>
      </c>
      <c r="N179" t="str">
        <f t="shared" si="60"/>
        <v>Emily</v>
      </c>
      <c r="O179" s="1" t="str">
        <f t="shared" si="61"/>
        <v>ark</v>
      </c>
      <c r="P179" s="1" t="str">
        <f t="shared" si="62"/>
        <v>Emily-ark</v>
      </c>
      <c r="Q179" s="1" t="str">
        <f t="shared" si="63"/>
        <v>Emily</v>
      </c>
      <c r="R179" s="1" t="str">
        <f t="shared" si="64"/>
        <v>ark</v>
      </c>
      <c r="S179">
        <f t="shared" si="65"/>
        <v>11</v>
      </c>
      <c r="T179" s="1"/>
      <c r="U179" s="1" t="str">
        <f t="shared" si="66"/>
        <v>Emily Clark</v>
      </c>
      <c r="V179" s="1" t="str">
        <f t="shared" si="67"/>
        <v>Emily Clark</v>
      </c>
      <c r="W179" s="1" t="str">
        <f t="shared" si="68"/>
        <v>26010</v>
      </c>
      <c r="X179" s="1" t="str">
        <f t="shared" si="69"/>
        <v>Emily Clark</v>
      </c>
      <c r="Y179" s="1" t="str">
        <f>UPPER(Table1[[#This Row],[PROPER]])</f>
        <v>EMILY CLARK</v>
      </c>
      <c r="Z179" s="1" t="str">
        <f t="shared" si="70"/>
        <v>Emily Clark</v>
      </c>
      <c r="AA179" s="1" t="str">
        <f t="shared" si="71"/>
        <v>Emily Clark</v>
      </c>
    </row>
    <row r="180" spans="1:27" x14ac:dyDescent="0.3">
      <c r="A180" s="6">
        <v>179</v>
      </c>
      <c r="B180" s="6">
        <v>1043</v>
      </c>
      <c r="C180" t="s">
        <v>29</v>
      </c>
      <c r="D180" t="s">
        <v>34</v>
      </c>
      <c r="E180" t="s">
        <v>26</v>
      </c>
      <c r="F180" t="s">
        <v>27</v>
      </c>
      <c r="G180" s="6">
        <v>6</v>
      </c>
      <c r="H180" s="1">
        <v>1385</v>
      </c>
      <c r="I180" s="5">
        <v>8310</v>
      </c>
      <c r="J180" s="4" t="s">
        <v>157</v>
      </c>
      <c r="K180" s="5">
        <v>1385</v>
      </c>
      <c r="L180" s="2">
        <v>0.1</v>
      </c>
      <c r="M180" s="1">
        <v>7479</v>
      </c>
      <c r="N180" t="str">
        <f t="shared" si="60"/>
        <v xml:space="preserve">John </v>
      </c>
      <c r="O180" s="1" t="str">
        <f t="shared" si="61"/>
        <v>Doe</v>
      </c>
      <c r="P180" s="1" t="str">
        <f t="shared" si="62"/>
        <v>John -Doe</v>
      </c>
      <c r="Q180" s="1" t="str">
        <f t="shared" si="63"/>
        <v xml:space="preserve">John </v>
      </c>
      <c r="R180" s="1" t="str">
        <f t="shared" si="64"/>
        <v>Doe</v>
      </c>
      <c r="S180">
        <f t="shared" si="65"/>
        <v>8</v>
      </c>
      <c r="T180" s="1"/>
      <c r="U180" s="1" t="str">
        <f t="shared" si="66"/>
        <v>John Doe</v>
      </c>
      <c r="V180" s="1" t="str">
        <f t="shared" si="67"/>
        <v>John Doe</v>
      </c>
      <c r="W180" s="1" t="str">
        <f t="shared" si="68"/>
        <v>7479</v>
      </c>
      <c r="X180" s="1" t="str">
        <f t="shared" si="69"/>
        <v>John Doe</v>
      </c>
      <c r="Y180" s="1" t="str">
        <f>UPPER(Table1[[#This Row],[PROPER]])</f>
        <v>JOHN DOE</v>
      </c>
      <c r="Z180" s="1" t="str">
        <f t="shared" si="70"/>
        <v>John Doe</v>
      </c>
      <c r="AA180" s="1" t="str">
        <f t="shared" si="71"/>
        <v>John Doe</v>
      </c>
    </row>
    <row r="181" spans="1:27" x14ac:dyDescent="0.3">
      <c r="A181" s="6">
        <v>180</v>
      </c>
      <c r="B181" s="6">
        <v>1049</v>
      </c>
      <c r="C181" t="s">
        <v>40</v>
      </c>
      <c r="D181" t="s">
        <v>34</v>
      </c>
      <c r="E181" t="s">
        <v>20</v>
      </c>
      <c r="F181" t="s">
        <v>16</v>
      </c>
      <c r="G181" s="6">
        <v>10</v>
      </c>
      <c r="H181" s="1">
        <v>2197</v>
      </c>
      <c r="I181" s="5">
        <v>21970</v>
      </c>
      <c r="J181" s="4" t="s">
        <v>180</v>
      </c>
      <c r="K181" s="5">
        <v>2197</v>
      </c>
      <c r="L181" s="2">
        <v>0.1</v>
      </c>
      <c r="M181" s="1">
        <v>19773</v>
      </c>
      <c r="N181" t="str">
        <f t="shared" si="60"/>
        <v xml:space="preserve">Sara </v>
      </c>
      <c r="O181" s="1" t="str">
        <f t="shared" si="61"/>
        <v>Ali</v>
      </c>
      <c r="P181" s="1" t="str">
        <f t="shared" si="62"/>
        <v>Sara -Ali</v>
      </c>
      <c r="Q181" s="1" t="str">
        <f t="shared" si="63"/>
        <v xml:space="preserve">Sara </v>
      </c>
      <c r="R181" s="1" t="str">
        <f t="shared" si="64"/>
        <v>Ali</v>
      </c>
      <c r="S181">
        <f t="shared" si="65"/>
        <v>8</v>
      </c>
      <c r="T181" s="1"/>
      <c r="U181" s="1" t="str">
        <f t="shared" si="66"/>
        <v>Sara Ali</v>
      </c>
      <c r="V181" s="1" t="str">
        <f t="shared" si="67"/>
        <v>Sara Ali</v>
      </c>
      <c r="W181" s="1" t="str">
        <f t="shared" si="68"/>
        <v>19773</v>
      </c>
      <c r="X181" s="1" t="str">
        <f t="shared" si="69"/>
        <v>Sara Ali</v>
      </c>
      <c r="Y181" s="1" t="str">
        <f>UPPER(Table1[[#This Row],[PROPER]])</f>
        <v>SARA ALI</v>
      </c>
      <c r="Z181" s="1" t="str">
        <f t="shared" si="70"/>
        <v>Sara Ali</v>
      </c>
      <c r="AA181" s="1" t="str">
        <f t="shared" si="71"/>
        <v>Sara Ali</v>
      </c>
    </row>
    <row r="182" spans="1:27" x14ac:dyDescent="0.3">
      <c r="A182" s="6">
        <v>181</v>
      </c>
      <c r="B182" s="6">
        <v>1015</v>
      </c>
      <c r="C182" t="s">
        <v>29</v>
      </c>
      <c r="D182" t="s">
        <v>19</v>
      </c>
      <c r="E182" t="s">
        <v>41</v>
      </c>
      <c r="F182" t="s">
        <v>16</v>
      </c>
      <c r="G182" s="6">
        <v>7</v>
      </c>
      <c r="H182" s="1">
        <v>455</v>
      </c>
      <c r="I182" s="5">
        <v>3185</v>
      </c>
      <c r="J182" s="4" t="s">
        <v>181</v>
      </c>
      <c r="K182" s="5">
        <v>455</v>
      </c>
      <c r="L182" s="2">
        <v>0.05</v>
      </c>
      <c r="M182" s="1">
        <v>3025.75</v>
      </c>
      <c r="N182" t="str">
        <f t="shared" si="60"/>
        <v xml:space="preserve">John </v>
      </c>
      <c r="O182" s="1" t="str">
        <f t="shared" si="61"/>
        <v>Doe</v>
      </c>
      <c r="P182" s="1" t="str">
        <f t="shared" si="62"/>
        <v>John -Doe</v>
      </c>
      <c r="Q182" s="1" t="str">
        <f t="shared" si="63"/>
        <v xml:space="preserve">John </v>
      </c>
      <c r="R182" s="1" t="str">
        <f t="shared" si="64"/>
        <v>Doe</v>
      </c>
      <c r="S182">
        <f t="shared" si="65"/>
        <v>8</v>
      </c>
      <c r="T182" s="1"/>
      <c r="U182" s="1" t="str">
        <f t="shared" si="66"/>
        <v>John Doe</v>
      </c>
      <c r="V182" s="1" t="str">
        <f t="shared" si="67"/>
        <v>John Doe</v>
      </c>
      <c r="W182" s="1" t="str">
        <f t="shared" si="68"/>
        <v>3025.75</v>
      </c>
      <c r="X182" s="1" t="str">
        <f t="shared" si="69"/>
        <v>John Doe</v>
      </c>
      <c r="Y182" s="1" t="str">
        <f>UPPER(Table1[[#This Row],[PROPER]])</f>
        <v>JOHN DOE</v>
      </c>
      <c r="Z182" s="1" t="str">
        <f t="shared" si="70"/>
        <v>John Doe</v>
      </c>
      <c r="AA182" s="1" t="str">
        <f t="shared" si="71"/>
        <v>John Doe</v>
      </c>
    </row>
    <row r="183" spans="1:27" x14ac:dyDescent="0.3">
      <c r="A183" s="6">
        <v>182</v>
      </c>
      <c r="B183" s="6">
        <v>1046</v>
      </c>
      <c r="C183" t="s">
        <v>40</v>
      </c>
      <c r="D183" t="s">
        <v>19</v>
      </c>
      <c r="E183" t="s">
        <v>41</v>
      </c>
      <c r="F183" t="s">
        <v>16</v>
      </c>
      <c r="G183" s="6">
        <v>18</v>
      </c>
      <c r="H183" s="1">
        <v>3288</v>
      </c>
      <c r="I183" s="5">
        <v>59184</v>
      </c>
      <c r="J183" s="4" t="s">
        <v>44</v>
      </c>
      <c r="K183" s="5">
        <v>3288</v>
      </c>
      <c r="L183" s="2">
        <v>0.1</v>
      </c>
      <c r="M183" s="1">
        <v>53265.599999999999</v>
      </c>
      <c r="N183" t="str">
        <f t="shared" si="60"/>
        <v xml:space="preserve">Sara </v>
      </c>
      <c r="O183" s="1" t="str">
        <f t="shared" si="61"/>
        <v>Ali</v>
      </c>
      <c r="P183" s="1" t="str">
        <f t="shared" si="62"/>
        <v>Sara -Ali</v>
      </c>
      <c r="Q183" s="1" t="str">
        <f t="shared" si="63"/>
        <v xml:space="preserve">Sara </v>
      </c>
      <c r="R183" s="1" t="str">
        <f t="shared" si="64"/>
        <v>Ali</v>
      </c>
      <c r="S183">
        <f t="shared" si="65"/>
        <v>8</v>
      </c>
      <c r="T183" s="1"/>
      <c r="U183" s="1" t="str">
        <f t="shared" si="66"/>
        <v>Sara Ali</v>
      </c>
      <c r="V183" s="1" t="str">
        <f t="shared" si="67"/>
        <v>Sara Ali</v>
      </c>
      <c r="W183" s="1" t="str">
        <f t="shared" si="68"/>
        <v>53265.6</v>
      </c>
      <c r="X183" s="1" t="str">
        <f t="shared" si="69"/>
        <v>Sara Ali</v>
      </c>
      <c r="Y183" s="1" t="str">
        <f>UPPER(Table1[[#This Row],[PROPER]])</f>
        <v>SARA ALI</v>
      </c>
      <c r="Z183" s="1" t="str">
        <f t="shared" si="70"/>
        <v>Sara Ali</v>
      </c>
      <c r="AA183" s="1" t="str">
        <f t="shared" si="71"/>
        <v>Sara Ali</v>
      </c>
    </row>
    <row r="184" spans="1:27" x14ac:dyDescent="0.3">
      <c r="A184" s="6">
        <v>183</v>
      </c>
      <c r="B184" s="6">
        <v>1029</v>
      </c>
      <c r="C184" t="s">
        <v>29</v>
      </c>
      <c r="D184" t="s">
        <v>14</v>
      </c>
      <c r="E184" t="s">
        <v>20</v>
      </c>
      <c r="F184" t="s">
        <v>16</v>
      </c>
      <c r="G184" s="6">
        <v>16</v>
      </c>
      <c r="H184" s="1">
        <v>490</v>
      </c>
      <c r="I184" s="5">
        <v>7840</v>
      </c>
      <c r="J184" s="4" t="s">
        <v>182</v>
      </c>
      <c r="K184" s="5">
        <v>490</v>
      </c>
      <c r="L184" s="2">
        <v>0.1</v>
      </c>
      <c r="M184" s="1">
        <v>7056</v>
      </c>
      <c r="N184" t="str">
        <f t="shared" si="60"/>
        <v xml:space="preserve">John </v>
      </c>
      <c r="O184" s="1" t="str">
        <f t="shared" si="61"/>
        <v>Doe</v>
      </c>
      <c r="P184" s="1" t="str">
        <f t="shared" si="62"/>
        <v>John -Doe</v>
      </c>
      <c r="Q184" s="1" t="str">
        <f t="shared" si="63"/>
        <v xml:space="preserve">John </v>
      </c>
      <c r="R184" s="1" t="str">
        <f t="shared" si="64"/>
        <v>Doe</v>
      </c>
      <c r="S184">
        <f t="shared" si="65"/>
        <v>8</v>
      </c>
      <c r="T184" s="1"/>
      <c r="U184" s="1" t="str">
        <f t="shared" si="66"/>
        <v>John Doe</v>
      </c>
      <c r="V184" s="1" t="str">
        <f t="shared" si="67"/>
        <v>John Doe</v>
      </c>
      <c r="W184" s="1" t="str">
        <f t="shared" si="68"/>
        <v>7056</v>
      </c>
      <c r="X184" s="1" t="str">
        <f t="shared" si="69"/>
        <v>John Doe</v>
      </c>
      <c r="Y184" s="1" t="str">
        <f>UPPER(Table1[[#This Row],[PROPER]])</f>
        <v>JOHN DOE</v>
      </c>
      <c r="Z184" s="1" t="str">
        <f t="shared" si="70"/>
        <v>John Doe</v>
      </c>
      <c r="AA184" s="1" t="str">
        <f t="shared" si="71"/>
        <v>John Doe</v>
      </c>
    </row>
    <row r="185" spans="1:27" x14ac:dyDescent="0.3">
      <c r="A185" s="6">
        <v>184</v>
      </c>
      <c r="B185" s="6">
        <v>1006</v>
      </c>
      <c r="C185" t="s">
        <v>18</v>
      </c>
      <c r="D185" t="s">
        <v>34</v>
      </c>
      <c r="E185" t="s">
        <v>41</v>
      </c>
      <c r="F185" t="s">
        <v>16</v>
      </c>
      <c r="G185" s="6">
        <v>10</v>
      </c>
      <c r="H185" s="1">
        <v>361</v>
      </c>
      <c r="I185" s="5">
        <v>3610</v>
      </c>
      <c r="J185" s="4" t="s">
        <v>111</v>
      </c>
      <c r="K185" s="5">
        <v>361</v>
      </c>
      <c r="L185" s="2">
        <v>0.05</v>
      </c>
      <c r="M185" s="1">
        <v>3429.5</v>
      </c>
      <c r="N185" t="str">
        <f t="shared" si="60"/>
        <v xml:space="preserve">Amit </v>
      </c>
      <c r="O185" s="1" t="str">
        <f t="shared" si="61"/>
        <v>hah</v>
      </c>
      <c r="P185" s="1" t="str">
        <f t="shared" si="62"/>
        <v>Amit -hah</v>
      </c>
      <c r="Q185" s="1" t="str">
        <f t="shared" si="63"/>
        <v xml:space="preserve">Amit </v>
      </c>
      <c r="R185" s="1" t="str">
        <f t="shared" si="64"/>
        <v>hah</v>
      </c>
      <c r="S185">
        <f t="shared" si="65"/>
        <v>9</v>
      </c>
      <c r="T185" s="1"/>
      <c r="U185" s="1" t="str">
        <f t="shared" si="66"/>
        <v>Amit Shah</v>
      </c>
      <c r="V185" s="1" t="str">
        <f t="shared" si="67"/>
        <v>Amit Shah</v>
      </c>
      <c r="W185" s="1" t="str">
        <f t="shared" si="68"/>
        <v>3429.5</v>
      </c>
      <c r="X185" s="1" t="str">
        <f t="shared" si="69"/>
        <v>Amit Shah</v>
      </c>
      <c r="Y185" s="1" t="str">
        <f>UPPER(Table1[[#This Row],[PROPER]])</f>
        <v>AMIT SHAH</v>
      </c>
      <c r="Z185" s="1" t="str">
        <f t="shared" si="70"/>
        <v>Amit Shah</v>
      </c>
      <c r="AA185" s="1" t="str">
        <f t="shared" si="71"/>
        <v>Amit Shah</v>
      </c>
    </row>
    <row r="186" spans="1:27" x14ac:dyDescent="0.3">
      <c r="A186" s="6">
        <v>185</v>
      </c>
      <c r="B186" s="6">
        <v>1075</v>
      </c>
      <c r="C186" t="s">
        <v>40</v>
      </c>
      <c r="D186" t="s">
        <v>34</v>
      </c>
      <c r="E186" t="s">
        <v>15</v>
      </c>
      <c r="F186" t="s">
        <v>16</v>
      </c>
      <c r="G186" s="6">
        <v>5</v>
      </c>
      <c r="H186" s="1">
        <v>3366</v>
      </c>
      <c r="I186" s="5">
        <v>16830</v>
      </c>
      <c r="J186" s="4" t="s">
        <v>183</v>
      </c>
      <c r="K186" s="5">
        <v>3366</v>
      </c>
      <c r="L186" s="2">
        <v>0.1</v>
      </c>
      <c r="M186" s="1">
        <v>15147</v>
      </c>
      <c r="N186" t="str">
        <f t="shared" si="60"/>
        <v xml:space="preserve">Sara </v>
      </c>
      <c r="O186" s="1" t="str">
        <f t="shared" si="61"/>
        <v>Ali</v>
      </c>
      <c r="P186" s="1" t="str">
        <f t="shared" si="62"/>
        <v>Sara -Ali</v>
      </c>
      <c r="Q186" s="1" t="str">
        <f t="shared" si="63"/>
        <v xml:space="preserve">Sara </v>
      </c>
      <c r="R186" s="1" t="str">
        <f t="shared" si="64"/>
        <v>Ali</v>
      </c>
      <c r="S186">
        <f t="shared" si="65"/>
        <v>8</v>
      </c>
      <c r="T186" s="1"/>
      <c r="U186" s="1" t="str">
        <f t="shared" si="66"/>
        <v>Sara Ali</v>
      </c>
      <c r="V186" s="1" t="str">
        <f t="shared" si="67"/>
        <v>Sara Ali</v>
      </c>
      <c r="W186" s="1" t="str">
        <f t="shared" si="68"/>
        <v>15147</v>
      </c>
      <c r="X186" s="1" t="str">
        <f t="shared" si="69"/>
        <v>Sara Ali</v>
      </c>
      <c r="Y186" s="1" t="str">
        <f>UPPER(Table1[[#This Row],[PROPER]])</f>
        <v>SARA ALI</v>
      </c>
      <c r="Z186" s="1" t="str">
        <f t="shared" si="70"/>
        <v>Sara Ali</v>
      </c>
      <c r="AA186" s="1" t="str">
        <f t="shared" si="71"/>
        <v>Sara Ali</v>
      </c>
    </row>
    <row r="187" spans="1:27" x14ac:dyDescent="0.3">
      <c r="A187" s="6">
        <v>186</v>
      </c>
      <c r="B187" s="6">
        <v>1085</v>
      </c>
      <c r="C187" t="s">
        <v>18</v>
      </c>
      <c r="D187" t="s">
        <v>25</v>
      </c>
      <c r="E187" t="s">
        <v>41</v>
      </c>
      <c r="F187" t="s">
        <v>16</v>
      </c>
      <c r="G187" s="6">
        <v>16</v>
      </c>
      <c r="H187" s="1">
        <v>4276</v>
      </c>
      <c r="I187" s="5">
        <v>68416</v>
      </c>
      <c r="J187" s="4" t="s">
        <v>164</v>
      </c>
      <c r="K187" s="5">
        <v>4276</v>
      </c>
      <c r="L187" s="2">
        <v>0.1</v>
      </c>
      <c r="M187" s="1">
        <v>61574.400000000001</v>
      </c>
      <c r="N187" t="str">
        <f t="shared" si="60"/>
        <v xml:space="preserve">Amit </v>
      </c>
      <c r="O187" s="1" t="str">
        <f t="shared" si="61"/>
        <v>hah</v>
      </c>
      <c r="P187" s="1" t="str">
        <f t="shared" si="62"/>
        <v>Amit -hah</v>
      </c>
      <c r="Q187" s="1" t="str">
        <f t="shared" si="63"/>
        <v xml:space="preserve">Amit </v>
      </c>
      <c r="R187" s="1" t="str">
        <f t="shared" si="64"/>
        <v>hah</v>
      </c>
      <c r="S187">
        <f t="shared" si="65"/>
        <v>9</v>
      </c>
      <c r="T187" s="1"/>
      <c r="U187" s="1" t="str">
        <f t="shared" si="66"/>
        <v>Amit Shah</v>
      </c>
      <c r="V187" s="1" t="str">
        <f t="shared" si="67"/>
        <v>Amit Shah</v>
      </c>
      <c r="W187" s="1" t="str">
        <f t="shared" si="68"/>
        <v>61574.4</v>
      </c>
      <c r="X187" s="1" t="str">
        <f t="shared" si="69"/>
        <v>Amit Shah</v>
      </c>
      <c r="Y187" s="1" t="str">
        <f>UPPER(Table1[[#This Row],[PROPER]])</f>
        <v>AMIT SHAH</v>
      </c>
      <c r="Z187" s="1" t="str">
        <f t="shared" si="70"/>
        <v>Amit Shah</v>
      </c>
      <c r="AA187" s="1" t="str">
        <f t="shared" si="71"/>
        <v>Amit Shah</v>
      </c>
    </row>
    <row r="188" spans="1:27" x14ac:dyDescent="0.3">
      <c r="A188" s="6">
        <v>187</v>
      </c>
      <c r="B188" s="6">
        <v>1093</v>
      </c>
      <c r="C188" t="s">
        <v>22</v>
      </c>
      <c r="D188" t="s">
        <v>19</v>
      </c>
      <c r="E188" t="s">
        <v>26</v>
      </c>
      <c r="F188" t="s">
        <v>27</v>
      </c>
      <c r="G188" s="6">
        <v>18</v>
      </c>
      <c r="H188" s="1">
        <v>4082</v>
      </c>
      <c r="I188" s="5">
        <v>73476</v>
      </c>
      <c r="J188" s="4" t="s">
        <v>44</v>
      </c>
      <c r="K188" s="5">
        <v>4082</v>
      </c>
      <c r="L188" s="2">
        <v>0.1</v>
      </c>
      <c r="M188" s="1">
        <v>66128.399999999994</v>
      </c>
      <c r="N188" t="str">
        <f t="shared" si="60"/>
        <v>Emily</v>
      </c>
      <c r="O188" s="1" t="str">
        <f t="shared" si="61"/>
        <v>ark</v>
      </c>
      <c r="P188" s="1" t="str">
        <f t="shared" si="62"/>
        <v>Emily-ark</v>
      </c>
      <c r="Q188" s="1" t="str">
        <f t="shared" si="63"/>
        <v>Emily</v>
      </c>
      <c r="R188" s="1" t="str">
        <f t="shared" si="64"/>
        <v>ark</v>
      </c>
      <c r="S188">
        <f t="shared" si="65"/>
        <v>11</v>
      </c>
      <c r="T188" s="1"/>
      <c r="U188" s="1" t="str">
        <f t="shared" si="66"/>
        <v>Emily Clark</v>
      </c>
      <c r="V188" s="1" t="str">
        <f t="shared" si="67"/>
        <v>Emily Clark</v>
      </c>
      <c r="W188" s="1" t="str">
        <f t="shared" si="68"/>
        <v>66128.4</v>
      </c>
      <c r="X188" s="1" t="str">
        <f t="shared" si="69"/>
        <v>Emily Clark</v>
      </c>
      <c r="Y188" s="1" t="str">
        <f>UPPER(Table1[[#This Row],[PROPER]])</f>
        <v>EMILY CLARK</v>
      </c>
      <c r="Z188" s="1" t="str">
        <f t="shared" si="70"/>
        <v>Emily Clark</v>
      </c>
      <c r="AA188" s="1" t="str">
        <f t="shared" si="71"/>
        <v>Emily Clark</v>
      </c>
    </row>
    <row r="189" spans="1:27" x14ac:dyDescent="0.3">
      <c r="A189" s="6">
        <v>188</v>
      </c>
      <c r="B189" s="6">
        <v>1066</v>
      </c>
      <c r="C189" t="s">
        <v>13</v>
      </c>
      <c r="D189" t="s">
        <v>14</v>
      </c>
      <c r="E189" t="s">
        <v>20</v>
      </c>
      <c r="F189" t="s">
        <v>27</v>
      </c>
      <c r="G189" s="6">
        <v>20</v>
      </c>
      <c r="H189" s="1">
        <v>4902</v>
      </c>
      <c r="I189" s="5">
        <v>98040</v>
      </c>
      <c r="J189" s="4" t="s">
        <v>62</v>
      </c>
      <c r="K189" s="5">
        <v>4902</v>
      </c>
      <c r="L189" s="2">
        <v>0.1</v>
      </c>
      <c r="M189" s="1">
        <v>88236</v>
      </c>
      <c r="N189" t="str">
        <f t="shared" si="60"/>
        <v xml:space="preserve">Ravi </v>
      </c>
      <c r="O189" s="1" t="str">
        <f t="shared" si="61"/>
        <v>mar</v>
      </c>
      <c r="P189" s="1" t="str">
        <f t="shared" si="62"/>
        <v>Ravi -mar</v>
      </c>
      <c r="Q189" s="1" t="str">
        <f t="shared" si="63"/>
        <v xml:space="preserve">Ravi </v>
      </c>
      <c r="R189" s="1" t="str">
        <f t="shared" si="64"/>
        <v>mar</v>
      </c>
      <c r="S189">
        <f t="shared" si="65"/>
        <v>10</v>
      </c>
      <c r="T189" s="1"/>
      <c r="U189" s="1" t="str">
        <f t="shared" si="66"/>
        <v>Ravi Kumar</v>
      </c>
      <c r="V189" s="1" t="str">
        <f t="shared" si="67"/>
        <v>Ravi Kumar</v>
      </c>
      <c r="W189" s="1" t="str">
        <f t="shared" si="68"/>
        <v>88236</v>
      </c>
      <c r="X189" s="1" t="str">
        <f t="shared" si="69"/>
        <v>Ravi Kumar</v>
      </c>
      <c r="Y189" s="1" t="str">
        <f>UPPER(Table1[[#This Row],[PROPER]])</f>
        <v>RAVI KUMAR</v>
      </c>
      <c r="Z189" s="1" t="str">
        <f t="shared" si="70"/>
        <v>Ravi Kumar</v>
      </c>
      <c r="AA189" s="1" t="str">
        <f t="shared" si="71"/>
        <v>Ravi Kumar</v>
      </c>
    </row>
    <row r="190" spans="1:27" x14ac:dyDescent="0.3">
      <c r="A190" s="6">
        <v>189</v>
      </c>
      <c r="B190" s="6">
        <v>1007</v>
      </c>
      <c r="C190" t="s">
        <v>13</v>
      </c>
      <c r="D190" t="s">
        <v>14</v>
      </c>
      <c r="E190" t="s">
        <v>15</v>
      </c>
      <c r="F190" t="s">
        <v>27</v>
      </c>
      <c r="G190" s="6">
        <v>15</v>
      </c>
      <c r="H190" s="1">
        <v>710</v>
      </c>
      <c r="I190" s="5">
        <v>10650</v>
      </c>
      <c r="J190" s="4" t="s">
        <v>178</v>
      </c>
      <c r="K190" s="5">
        <v>710</v>
      </c>
      <c r="L190" s="2">
        <v>0.1</v>
      </c>
      <c r="M190" s="1">
        <v>9585</v>
      </c>
      <c r="N190" t="str">
        <f t="shared" si="60"/>
        <v xml:space="preserve">Ravi </v>
      </c>
      <c r="O190" s="1" t="str">
        <f t="shared" si="61"/>
        <v>mar</v>
      </c>
      <c r="P190" s="1" t="str">
        <f t="shared" si="62"/>
        <v>Ravi -mar</v>
      </c>
      <c r="Q190" s="1" t="str">
        <f t="shared" si="63"/>
        <v xml:space="preserve">Ravi </v>
      </c>
      <c r="R190" s="1" t="str">
        <f t="shared" si="64"/>
        <v>mar</v>
      </c>
      <c r="S190">
        <f t="shared" si="65"/>
        <v>10</v>
      </c>
      <c r="T190" s="1"/>
      <c r="U190" s="1" t="str">
        <f t="shared" si="66"/>
        <v>Ravi Kumar</v>
      </c>
      <c r="V190" s="1" t="str">
        <f t="shared" si="67"/>
        <v>Ravi Kumar</v>
      </c>
      <c r="W190" s="1" t="str">
        <f t="shared" si="68"/>
        <v>9585</v>
      </c>
      <c r="X190" s="1" t="str">
        <f t="shared" si="69"/>
        <v>Ravi Kumar</v>
      </c>
      <c r="Y190" s="1" t="str">
        <f>UPPER(Table1[[#This Row],[PROPER]])</f>
        <v>RAVI KUMAR</v>
      </c>
      <c r="Z190" s="1" t="str">
        <f t="shared" si="70"/>
        <v>Ravi Kumar</v>
      </c>
      <c r="AA190" s="1" t="str">
        <f t="shared" si="71"/>
        <v>Ravi Kumar</v>
      </c>
    </row>
    <row r="191" spans="1:27" x14ac:dyDescent="0.3">
      <c r="A191" s="6">
        <v>190</v>
      </c>
      <c r="B191" s="6">
        <v>1066</v>
      </c>
      <c r="C191" t="s">
        <v>40</v>
      </c>
      <c r="D191" t="s">
        <v>25</v>
      </c>
      <c r="E191" t="s">
        <v>41</v>
      </c>
      <c r="F191" t="s">
        <v>16</v>
      </c>
      <c r="G191" s="6">
        <v>14</v>
      </c>
      <c r="H191" s="1">
        <v>1843</v>
      </c>
      <c r="I191" s="5">
        <v>25802</v>
      </c>
      <c r="J191" s="4" t="s">
        <v>184</v>
      </c>
      <c r="K191" s="5">
        <v>1843</v>
      </c>
      <c r="L191" s="2">
        <v>0.1</v>
      </c>
      <c r="M191" s="1">
        <v>23221.8</v>
      </c>
      <c r="N191" t="str">
        <f t="shared" si="60"/>
        <v xml:space="preserve">Sara </v>
      </c>
      <c r="O191" s="1" t="str">
        <f t="shared" si="61"/>
        <v>Ali</v>
      </c>
      <c r="P191" s="1" t="str">
        <f t="shared" si="62"/>
        <v>Sara -Ali</v>
      </c>
      <c r="Q191" s="1" t="str">
        <f t="shared" si="63"/>
        <v xml:space="preserve">Sara </v>
      </c>
      <c r="R191" s="1" t="str">
        <f t="shared" si="64"/>
        <v>Ali</v>
      </c>
      <c r="S191">
        <f t="shared" si="65"/>
        <v>8</v>
      </c>
      <c r="T191" s="1"/>
      <c r="U191" s="1" t="str">
        <f t="shared" si="66"/>
        <v>Sara Ali</v>
      </c>
      <c r="V191" s="1" t="str">
        <f t="shared" si="67"/>
        <v>Sara Ali</v>
      </c>
      <c r="W191" s="1" t="str">
        <f t="shared" si="68"/>
        <v>23221.8</v>
      </c>
      <c r="X191" s="1" t="str">
        <f t="shared" si="69"/>
        <v>Sara Ali</v>
      </c>
      <c r="Y191" s="1" t="str">
        <f>UPPER(Table1[[#This Row],[PROPER]])</f>
        <v>SARA ALI</v>
      </c>
      <c r="Z191" s="1" t="str">
        <f t="shared" si="70"/>
        <v>Sara Ali</v>
      </c>
      <c r="AA191" s="1" t="str">
        <f t="shared" si="71"/>
        <v>Sara Ali</v>
      </c>
    </row>
    <row r="192" spans="1:27" x14ac:dyDescent="0.3">
      <c r="A192" s="6">
        <v>191</v>
      </c>
      <c r="B192" s="6">
        <v>1082</v>
      </c>
      <c r="C192" t="s">
        <v>40</v>
      </c>
      <c r="D192" t="s">
        <v>14</v>
      </c>
      <c r="E192" t="s">
        <v>20</v>
      </c>
      <c r="F192" t="s">
        <v>27</v>
      </c>
      <c r="G192" s="6">
        <v>8</v>
      </c>
      <c r="H192" s="1">
        <v>3902</v>
      </c>
      <c r="I192" s="5">
        <v>31216</v>
      </c>
      <c r="J192" s="4" t="s">
        <v>185</v>
      </c>
      <c r="K192" s="5">
        <v>3902</v>
      </c>
      <c r="L192" s="2">
        <v>0.1</v>
      </c>
      <c r="M192" s="1">
        <v>28094.400000000001</v>
      </c>
      <c r="N192" t="str">
        <f t="shared" si="60"/>
        <v xml:space="preserve">Sara </v>
      </c>
      <c r="O192" s="1" t="str">
        <f t="shared" si="61"/>
        <v>Ali</v>
      </c>
      <c r="P192" s="1" t="str">
        <f t="shared" si="62"/>
        <v>Sara -Ali</v>
      </c>
      <c r="Q192" s="1" t="str">
        <f t="shared" si="63"/>
        <v xml:space="preserve">Sara </v>
      </c>
      <c r="R192" s="1" t="str">
        <f t="shared" si="64"/>
        <v>Ali</v>
      </c>
      <c r="S192">
        <f t="shared" si="65"/>
        <v>8</v>
      </c>
      <c r="T192" s="1"/>
      <c r="U192" s="1" t="str">
        <f t="shared" si="66"/>
        <v>Sara Ali</v>
      </c>
      <c r="V192" s="1" t="str">
        <f t="shared" si="67"/>
        <v>Sara Ali</v>
      </c>
      <c r="W192" s="1" t="str">
        <f t="shared" si="68"/>
        <v>28094.4</v>
      </c>
      <c r="X192" s="1" t="str">
        <f t="shared" si="69"/>
        <v>Sara Ali</v>
      </c>
      <c r="Y192" s="1" t="str">
        <f>UPPER(Table1[[#This Row],[PROPER]])</f>
        <v>SARA ALI</v>
      </c>
      <c r="Z192" s="1" t="str">
        <f t="shared" si="70"/>
        <v>Sara Ali</v>
      </c>
      <c r="AA192" s="1" t="str">
        <f t="shared" si="71"/>
        <v>Sara Ali</v>
      </c>
    </row>
    <row r="193" spans="1:27" x14ac:dyDescent="0.3">
      <c r="A193" s="6">
        <v>192</v>
      </c>
      <c r="B193" s="6">
        <v>1078</v>
      </c>
      <c r="C193" t="s">
        <v>29</v>
      </c>
      <c r="D193" t="s">
        <v>25</v>
      </c>
      <c r="E193" t="s">
        <v>41</v>
      </c>
      <c r="F193" t="s">
        <v>16</v>
      </c>
      <c r="G193" s="6">
        <v>13</v>
      </c>
      <c r="H193" s="1">
        <v>231</v>
      </c>
      <c r="I193" s="5">
        <v>3003</v>
      </c>
      <c r="J193" s="4" t="s">
        <v>186</v>
      </c>
      <c r="K193" s="5">
        <v>231</v>
      </c>
      <c r="L193" s="2">
        <v>0.05</v>
      </c>
      <c r="M193" s="1">
        <v>2852.85</v>
      </c>
      <c r="N193" t="str">
        <f t="shared" si="60"/>
        <v xml:space="preserve">John </v>
      </c>
      <c r="O193" s="1" t="str">
        <f t="shared" si="61"/>
        <v>Doe</v>
      </c>
      <c r="P193" s="1" t="str">
        <f t="shared" si="62"/>
        <v>John -Doe</v>
      </c>
      <c r="Q193" s="1" t="str">
        <f t="shared" si="63"/>
        <v xml:space="preserve">John </v>
      </c>
      <c r="R193" s="1" t="str">
        <f t="shared" si="64"/>
        <v>Doe</v>
      </c>
      <c r="S193">
        <f t="shared" si="65"/>
        <v>8</v>
      </c>
      <c r="T193" s="1"/>
      <c r="U193" s="1" t="str">
        <f t="shared" si="66"/>
        <v>John Doe</v>
      </c>
      <c r="V193" s="1" t="str">
        <f t="shared" si="67"/>
        <v>John Doe</v>
      </c>
      <c r="W193" s="1" t="str">
        <f t="shared" si="68"/>
        <v>2852.85</v>
      </c>
      <c r="X193" s="1" t="str">
        <f t="shared" si="69"/>
        <v>John Doe</v>
      </c>
      <c r="Y193" s="1" t="str">
        <f>UPPER(Table1[[#This Row],[PROPER]])</f>
        <v>JOHN DOE</v>
      </c>
      <c r="Z193" s="1" t="str">
        <f t="shared" si="70"/>
        <v>John Doe</v>
      </c>
      <c r="AA193" s="1" t="str">
        <f t="shared" si="71"/>
        <v>John Doe</v>
      </c>
    </row>
    <row r="194" spans="1:27" x14ac:dyDescent="0.3">
      <c r="A194" s="6">
        <v>193</v>
      </c>
      <c r="B194" s="6">
        <v>1031</v>
      </c>
      <c r="C194" t="s">
        <v>13</v>
      </c>
      <c r="D194" t="s">
        <v>19</v>
      </c>
      <c r="E194" t="s">
        <v>15</v>
      </c>
      <c r="F194" t="s">
        <v>16</v>
      </c>
      <c r="G194" s="6">
        <v>12</v>
      </c>
      <c r="H194" s="1">
        <v>136</v>
      </c>
      <c r="I194" s="5">
        <v>1632</v>
      </c>
      <c r="J194" s="4" t="s">
        <v>48</v>
      </c>
      <c r="K194" s="5">
        <v>136</v>
      </c>
      <c r="L194" s="2">
        <v>0.05</v>
      </c>
      <c r="M194" s="1">
        <v>1550.4</v>
      </c>
      <c r="N194" t="str">
        <f t="shared" ref="N194:N201" si="72">LEFT(C194,5)</f>
        <v xml:space="preserve">Ravi </v>
      </c>
      <c r="O194" s="1" t="str">
        <f t="shared" ref="O194:O201" si="73">RIGHT(C194,3)</f>
        <v>mar</v>
      </c>
      <c r="P194" s="1" t="str">
        <f t="shared" ref="P194:P225" si="74">_xlfn.CONCAT(N194,"-",O194)</f>
        <v>Ravi -mar</v>
      </c>
      <c r="Q194" s="1" t="str">
        <f t="shared" ref="Q194:Q201" si="75">LEFT(P194, FIND("-", P194) - 1)</f>
        <v xml:space="preserve">Ravi </v>
      </c>
      <c r="R194" s="1" t="str">
        <f t="shared" ref="R194:R201" si="76">RIGHT(P194, LEN(P194) - FIND("-", P194))</f>
        <v>mar</v>
      </c>
      <c r="S194">
        <f t="shared" ref="S194:S201" si="77">LEN(C194)</f>
        <v>10</v>
      </c>
      <c r="T194" s="1"/>
      <c r="U194" s="1" t="str">
        <f t="shared" ref="U194:U201" si="78">TRIM(C194)</f>
        <v>Ravi Kumar</v>
      </c>
      <c r="V194" s="1" t="str">
        <f t="shared" ref="V194:V201" si="79">CLEAN(C194)</f>
        <v>Ravi Kumar</v>
      </c>
      <c r="W194" s="1" t="str">
        <f t="shared" ref="W194:W201" si="80">SUBSTITUTE(M194,"₹","")</f>
        <v>1550.4</v>
      </c>
      <c r="X194" s="1" t="str">
        <f t="shared" ref="X194:X201" si="81">PROPER(C194)</f>
        <v>Ravi Kumar</v>
      </c>
      <c r="Y194" s="1" t="str">
        <f>UPPER(Table1[[#This Row],[PROPER]])</f>
        <v>RAVI KUMAR</v>
      </c>
      <c r="Z194" s="1" t="str">
        <f t="shared" ref="Z194:Z201" si="82">SUBSTITUTE(C194,"  "," ")</f>
        <v>Ravi Kumar</v>
      </c>
      <c r="AA194" s="1" t="str">
        <f t="shared" ref="AA194:AA201" si="83">TRIM(CLEAN(C194))</f>
        <v>Ravi Kumar</v>
      </c>
    </row>
    <row r="195" spans="1:27" x14ac:dyDescent="0.3">
      <c r="A195" s="6">
        <v>194</v>
      </c>
      <c r="B195" s="6">
        <v>1011</v>
      </c>
      <c r="C195" t="s">
        <v>13</v>
      </c>
      <c r="D195" t="s">
        <v>23</v>
      </c>
      <c r="E195" t="s">
        <v>26</v>
      </c>
      <c r="F195" t="s">
        <v>16</v>
      </c>
      <c r="G195" s="6">
        <v>17</v>
      </c>
      <c r="H195" s="1">
        <v>471</v>
      </c>
      <c r="I195" s="5">
        <v>8007</v>
      </c>
      <c r="J195" s="4" t="s">
        <v>63</v>
      </c>
      <c r="K195" s="5">
        <v>471</v>
      </c>
      <c r="L195" s="2">
        <v>0.1</v>
      </c>
      <c r="M195" s="1">
        <v>7206.3</v>
      </c>
      <c r="N195" t="str">
        <f t="shared" si="72"/>
        <v xml:space="preserve">Ravi </v>
      </c>
      <c r="O195" s="1" t="str">
        <f t="shared" si="73"/>
        <v>mar</v>
      </c>
      <c r="P195" s="1" t="str">
        <f t="shared" si="74"/>
        <v>Ravi -mar</v>
      </c>
      <c r="Q195" s="1" t="str">
        <f t="shared" si="75"/>
        <v xml:space="preserve">Ravi </v>
      </c>
      <c r="R195" s="1" t="str">
        <f t="shared" si="76"/>
        <v>mar</v>
      </c>
      <c r="S195">
        <f t="shared" si="77"/>
        <v>10</v>
      </c>
      <c r="T195" s="1"/>
      <c r="U195" s="1" t="str">
        <f t="shared" si="78"/>
        <v>Ravi Kumar</v>
      </c>
      <c r="V195" s="1" t="str">
        <f t="shared" si="79"/>
        <v>Ravi Kumar</v>
      </c>
      <c r="W195" s="1" t="str">
        <f t="shared" si="80"/>
        <v>7206.3</v>
      </c>
      <c r="X195" s="1" t="str">
        <f t="shared" si="81"/>
        <v>Ravi Kumar</v>
      </c>
      <c r="Y195" s="1" t="str">
        <f>UPPER(Table1[[#This Row],[PROPER]])</f>
        <v>RAVI KUMAR</v>
      </c>
      <c r="Z195" s="1" t="str">
        <f t="shared" si="82"/>
        <v>Ravi Kumar</v>
      </c>
      <c r="AA195" s="1" t="str">
        <f t="shared" si="83"/>
        <v>Ravi Kumar</v>
      </c>
    </row>
    <row r="196" spans="1:27" x14ac:dyDescent="0.3">
      <c r="A196" s="6">
        <v>195</v>
      </c>
      <c r="B196" s="6">
        <v>1012</v>
      </c>
      <c r="C196" t="s">
        <v>18</v>
      </c>
      <c r="D196" t="s">
        <v>19</v>
      </c>
      <c r="E196" t="s">
        <v>15</v>
      </c>
      <c r="F196" t="s">
        <v>16</v>
      </c>
      <c r="G196" s="6">
        <v>10</v>
      </c>
      <c r="H196" s="1">
        <v>2738</v>
      </c>
      <c r="I196" s="5">
        <v>27380</v>
      </c>
      <c r="J196" s="4" t="s">
        <v>187</v>
      </c>
      <c r="K196" s="5">
        <v>2738</v>
      </c>
      <c r="L196" s="2">
        <v>0.1</v>
      </c>
      <c r="M196" s="1">
        <v>24642</v>
      </c>
      <c r="N196" t="str">
        <f t="shared" si="72"/>
        <v xml:space="preserve">Amit </v>
      </c>
      <c r="O196" s="1" t="str">
        <f t="shared" si="73"/>
        <v>hah</v>
      </c>
      <c r="P196" s="1" t="str">
        <f t="shared" si="74"/>
        <v>Amit -hah</v>
      </c>
      <c r="Q196" s="1" t="str">
        <f t="shared" si="75"/>
        <v xml:space="preserve">Amit </v>
      </c>
      <c r="R196" s="1" t="str">
        <f t="shared" si="76"/>
        <v>hah</v>
      </c>
      <c r="S196">
        <f t="shared" si="77"/>
        <v>9</v>
      </c>
      <c r="T196" s="1"/>
      <c r="U196" s="1" t="str">
        <f t="shared" si="78"/>
        <v>Amit Shah</v>
      </c>
      <c r="V196" s="1" t="str">
        <f t="shared" si="79"/>
        <v>Amit Shah</v>
      </c>
      <c r="W196" s="1" t="str">
        <f t="shared" si="80"/>
        <v>24642</v>
      </c>
      <c r="X196" s="1" t="str">
        <f t="shared" si="81"/>
        <v>Amit Shah</v>
      </c>
      <c r="Y196" s="1" t="str">
        <f>UPPER(Table1[[#This Row],[PROPER]])</f>
        <v>AMIT SHAH</v>
      </c>
      <c r="Z196" s="1" t="str">
        <f t="shared" si="82"/>
        <v>Amit Shah</v>
      </c>
      <c r="AA196" s="1" t="str">
        <f t="shared" si="83"/>
        <v>Amit Shah</v>
      </c>
    </row>
    <row r="197" spans="1:27" x14ac:dyDescent="0.3">
      <c r="A197" s="6">
        <v>196</v>
      </c>
      <c r="B197" s="6">
        <v>1075</v>
      </c>
      <c r="C197" t="s">
        <v>22</v>
      </c>
      <c r="D197" t="s">
        <v>14</v>
      </c>
      <c r="E197" t="s">
        <v>31</v>
      </c>
      <c r="F197" t="s">
        <v>27</v>
      </c>
      <c r="G197" s="6">
        <v>14</v>
      </c>
      <c r="H197" s="1">
        <v>2937</v>
      </c>
      <c r="I197" s="5">
        <v>41118</v>
      </c>
      <c r="J197" s="4" t="s">
        <v>188</v>
      </c>
      <c r="K197" s="5">
        <v>2937</v>
      </c>
      <c r="L197" s="2">
        <v>0.1</v>
      </c>
      <c r="M197" s="1">
        <v>37006.199999999997</v>
      </c>
      <c r="N197" t="str">
        <f t="shared" si="72"/>
        <v>Emily</v>
      </c>
      <c r="O197" s="1" t="str">
        <f t="shared" si="73"/>
        <v>ark</v>
      </c>
      <c r="P197" s="1" t="str">
        <f t="shared" si="74"/>
        <v>Emily-ark</v>
      </c>
      <c r="Q197" s="1" t="str">
        <f t="shared" si="75"/>
        <v>Emily</v>
      </c>
      <c r="R197" s="1" t="str">
        <f t="shared" si="76"/>
        <v>ark</v>
      </c>
      <c r="S197">
        <f t="shared" si="77"/>
        <v>11</v>
      </c>
      <c r="T197" s="1"/>
      <c r="U197" s="1" t="str">
        <f t="shared" si="78"/>
        <v>Emily Clark</v>
      </c>
      <c r="V197" s="1" t="str">
        <f t="shared" si="79"/>
        <v>Emily Clark</v>
      </c>
      <c r="W197" s="1" t="str">
        <f t="shared" si="80"/>
        <v>37006.2</v>
      </c>
      <c r="X197" s="1" t="str">
        <f t="shared" si="81"/>
        <v>Emily Clark</v>
      </c>
      <c r="Y197" s="1" t="str">
        <f>UPPER(Table1[[#This Row],[PROPER]])</f>
        <v>EMILY CLARK</v>
      </c>
      <c r="Z197" s="1" t="str">
        <f t="shared" si="82"/>
        <v>Emily Clark</v>
      </c>
      <c r="AA197" s="1" t="str">
        <f t="shared" si="83"/>
        <v>Emily Clark</v>
      </c>
    </row>
    <row r="198" spans="1:27" x14ac:dyDescent="0.3">
      <c r="A198" s="6">
        <v>197</v>
      </c>
      <c r="B198" s="6">
        <v>1012</v>
      </c>
      <c r="C198" t="s">
        <v>13</v>
      </c>
      <c r="D198" t="s">
        <v>25</v>
      </c>
      <c r="E198" t="s">
        <v>20</v>
      </c>
      <c r="F198" t="s">
        <v>16</v>
      </c>
      <c r="G198" s="6">
        <v>1</v>
      </c>
      <c r="H198" s="1">
        <v>2405</v>
      </c>
      <c r="I198" s="5">
        <v>2405</v>
      </c>
      <c r="J198" s="4" t="s">
        <v>189</v>
      </c>
      <c r="K198" s="5">
        <v>2405</v>
      </c>
      <c r="L198" s="2">
        <v>0.05</v>
      </c>
      <c r="M198" s="1">
        <v>2284.75</v>
      </c>
      <c r="N198" t="str">
        <f t="shared" si="72"/>
        <v xml:space="preserve">Ravi </v>
      </c>
      <c r="O198" s="1" t="str">
        <f t="shared" si="73"/>
        <v>mar</v>
      </c>
      <c r="P198" s="1" t="str">
        <f t="shared" si="74"/>
        <v>Ravi -mar</v>
      </c>
      <c r="Q198" s="1" t="str">
        <f t="shared" si="75"/>
        <v xml:space="preserve">Ravi </v>
      </c>
      <c r="R198" s="1" t="str">
        <f t="shared" si="76"/>
        <v>mar</v>
      </c>
      <c r="S198">
        <f t="shared" si="77"/>
        <v>10</v>
      </c>
      <c r="T198" s="1"/>
      <c r="U198" s="1" t="str">
        <f t="shared" si="78"/>
        <v>Ravi Kumar</v>
      </c>
      <c r="V198" s="1" t="str">
        <f t="shared" si="79"/>
        <v>Ravi Kumar</v>
      </c>
      <c r="W198" s="1" t="str">
        <f t="shared" si="80"/>
        <v>2284.75</v>
      </c>
      <c r="X198" s="1" t="str">
        <f t="shared" si="81"/>
        <v>Ravi Kumar</v>
      </c>
      <c r="Y198" s="1" t="str">
        <f>UPPER(Table1[[#This Row],[PROPER]])</f>
        <v>RAVI KUMAR</v>
      </c>
      <c r="Z198" s="1" t="str">
        <f t="shared" si="82"/>
        <v>Ravi Kumar</v>
      </c>
      <c r="AA198" s="1" t="str">
        <f t="shared" si="83"/>
        <v>Ravi Kumar</v>
      </c>
    </row>
    <row r="199" spans="1:27" x14ac:dyDescent="0.3">
      <c r="A199" s="6">
        <v>198</v>
      </c>
      <c r="B199" s="6">
        <v>1047</v>
      </c>
      <c r="C199" t="s">
        <v>18</v>
      </c>
      <c r="D199" t="s">
        <v>19</v>
      </c>
      <c r="E199" t="s">
        <v>15</v>
      </c>
      <c r="F199" t="s">
        <v>27</v>
      </c>
      <c r="G199" s="6">
        <v>20</v>
      </c>
      <c r="H199" s="1">
        <v>3054</v>
      </c>
      <c r="I199" s="5">
        <v>61080</v>
      </c>
      <c r="J199" s="4" t="s">
        <v>190</v>
      </c>
      <c r="K199" s="5">
        <v>3054</v>
      </c>
      <c r="L199" s="2">
        <v>0.1</v>
      </c>
      <c r="M199" s="1">
        <v>54972</v>
      </c>
      <c r="N199" t="str">
        <f t="shared" si="72"/>
        <v xml:space="preserve">Amit </v>
      </c>
      <c r="O199" s="1" t="str">
        <f t="shared" si="73"/>
        <v>hah</v>
      </c>
      <c r="P199" s="1" t="str">
        <f t="shared" si="74"/>
        <v>Amit -hah</v>
      </c>
      <c r="Q199" s="1" t="str">
        <f t="shared" si="75"/>
        <v xml:space="preserve">Amit </v>
      </c>
      <c r="R199" s="1" t="str">
        <f t="shared" si="76"/>
        <v>hah</v>
      </c>
      <c r="S199">
        <f t="shared" si="77"/>
        <v>9</v>
      </c>
      <c r="T199" s="1"/>
      <c r="U199" s="1" t="str">
        <f t="shared" si="78"/>
        <v>Amit Shah</v>
      </c>
      <c r="V199" s="1" t="str">
        <f t="shared" si="79"/>
        <v>Amit Shah</v>
      </c>
      <c r="W199" s="1" t="str">
        <f t="shared" si="80"/>
        <v>54972</v>
      </c>
      <c r="X199" s="1" t="str">
        <f t="shared" si="81"/>
        <v>Amit Shah</v>
      </c>
      <c r="Y199" s="1" t="str">
        <f>UPPER(Table1[[#This Row],[PROPER]])</f>
        <v>AMIT SHAH</v>
      </c>
      <c r="Z199" s="1" t="str">
        <f t="shared" si="82"/>
        <v>Amit Shah</v>
      </c>
      <c r="AA199" s="1" t="str">
        <f t="shared" si="83"/>
        <v>Amit Shah</v>
      </c>
    </row>
    <row r="200" spans="1:27" x14ac:dyDescent="0.3">
      <c r="A200" s="6">
        <v>199</v>
      </c>
      <c r="B200" s="6">
        <v>1029</v>
      </c>
      <c r="C200" t="s">
        <v>18</v>
      </c>
      <c r="D200" t="s">
        <v>14</v>
      </c>
      <c r="E200" t="s">
        <v>15</v>
      </c>
      <c r="F200" t="s">
        <v>27</v>
      </c>
      <c r="G200" s="6">
        <v>19</v>
      </c>
      <c r="H200" s="1">
        <v>2062</v>
      </c>
      <c r="I200" s="5">
        <v>39178</v>
      </c>
      <c r="J200" s="4" t="s">
        <v>191</v>
      </c>
      <c r="K200" s="5">
        <v>2062</v>
      </c>
      <c r="L200" s="2">
        <v>0.1</v>
      </c>
      <c r="M200" s="1">
        <v>35260.199999999997</v>
      </c>
      <c r="N200" t="str">
        <f t="shared" si="72"/>
        <v xml:space="preserve">Amit </v>
      </c>
      <c r="O200" s="1" t="str">
        <f t="shared" si="73"/>
        <v>hah</v>
      </c>
      <c r="P200" s="1" t="str">
        <f t="shared" si="74"/>
        <v>Amit -hah</v>
      </c>
      <c r="Q200" s="1" t="str">
        <f t="shared" si="75"/>
        <v xml:space="preserve">Amit </v>
      </c>
      <c r="R200" s="1" t="str">
        <f t="shared" si="76"/>
        <v>hah</v>
      </c>
      <c r="S200">
        <f t="shared" si="77"/>
        <v>9</v>
      </c>
      <c r="T200" s="1"/>
      <c r="U200" s="1" t="str">
        <f t="shared" si="78"/>
        <v>Amit Shah</v>
      </c>
      <c r="V200" s="1" t="str">
        <f t="shared" si="79"/>
        <v>Amit Shah</v>
      </c>
      <c r="W200" s="1" t="str">
        <f t="shared" si="80"/>
        <v>35260.2</v>
      </c>
      <c r="X200" s="1" t="str">
        <f t="shared" si="81"/>
        <v>Amit Shah</v>
      </c>
      <c r="Y200" s="1" t="str">
        <f>UPPER(Table1[[#This Row],[PROPER]])</f>
        <v>AMIT SHAH</v>
      </c>
      <c r="Z200" s="1" t="str">
        <f t="shared" si="82"/>
        <v>Amit Shah</v>
      </c>
      <c r="AA200" s="1" t="str">
        <f t="shared" si="83"/>
        <v>Amit Shah</v>
      </c>
    </row>
    <row r="201" spans="1:27" x14ac:dyDescent="0.3">
      <c r="A201" s="6">
        <v>200</v>
      </c>
      <c r="B201" s="6">
        <v>1076</v>
      </c>
      <c r="C201" t="s">
        <v>29</v>
      </c>
      <c r="D201" t="s">
        <v>23</v>
      </c>
      <c r="E201" t="s">
        <v>41</v>
      </c>
      <c r="F201" t="s">
        <v>16</v>
      </c>
      <c r="G201" s="6">
        <v>15</v>
      </c>
      <c r="H201" s="1">
        <v>1569</v>
      </c>
      <c r="I201" s="5">
        <v>23535</v>
      </c>
      <c r="J201" s="4" t="s">
        <v>58</v>
      </c>
      <c r="K201" s="5">
        <v>1569</v>
      </c>
      <c r="L201" s="2">
        <v>0.1</v>
      </c>
      <c r="M201" s="1">
        <v>21181.5</v>
      </c>
      <c r="N201" t="str">
        <f t="shared" si="72"/>
        <v xml:space="preserve">John </v>
      </c>
      <c r="O201" s="1" t="str">
        <f t="shared" si="73"/>
        <v>Doe</v>
      </c>
      <c r="P201" s="1" t="str">
        <f t="shared" si="74"/>
        <v>John -Doe</v>
      </c>
      <c r="Q201" s="1" t="str">
        <f t="shared" si="75"/>
        <v xml:space="preserve">John </v>
      </c>
      <c r="R201" s="1" t="str">
        <f t="shared" si="76"/>
        <v>Doe</v>
      </c>
      <c r="S201">
        <f t="shared" si="77"/>
        <v>8</v>
      </c>
      <c r="T201" s="1"/>
      <c r="U201" s="1" t="str">
        <f t="shared" si="78"/>
        <v>John Doe</v>
      </c>
      <c r="V201" s="1" t="str">
        <f t="shared" si="79"/>
        <v>John Doe</v>
      </c>
      <c r="W201" s="1" t="str">
        <f t="shared" si="80"/>
        <v>21181.5</v>
      </c>
      <c r="X201" s="1" t="str">
        <f t="shared" si="81"/>
        <v>John Doe</v>
      </c>
      <c r="Y201" s="1" t="str">
        <f>UPPER(Table1[[#This Row],[PROPER]])</f>
        <v>JOHN DOE</v>
      </c>
      <c r="Z201" s="1" t="str">
        <f t="shared" si="82"/>
        <v>John Doe</v>
      </c>
      <c r="AA201" s="1" t="str">
        <f t="shared" si="83"/>
        <v>John Doe</v>
      </c>
    </row>
  </sheetData>
  <dataConsolidate/>
  <phoneticPr fontId="3" type="noConversion"/>
  <conditionalFormatting sqref="B2:B201">
    <cfRule type="containsBlanks" dxfId="8" priority="2">
      <formula>LEN(TRIM(B2))=0</formula>
    </cfRule>
  </conditionalFormatting>
  <dataValidations count="4">
    <dataValidation type="list" allowBlank="1" showInputMessage="1" showErrorMessage="1" sqref="N4" xr:uid="{9CD41AD2-B3EE-4C0F-A031-FC5BE6C85CB3}">
      <formula1>#REF!</formula1>
    </dataValidation>
    <dataValidation type="whole" allowBlank="1" showInputMessage="1" showErrorMessage="1" sqref="G1:G1048576" xr:uid="{2A9ADA7C-97B7-445E-A2B3-F8B5F8246DEF}">
      <formula1>1</formula1>
      <formula2>1000</formula2>
    </dataValidation>
    <dataValidation type="decimal" allowBlank="1" showInputMessage="1" showErrorMessage="1" sqref="L12" xr:uid="{77F3B7F6-AC7D-469F-A3CC-E223A3547C39}">
      <formula1>0</formula1>
      <formula2>100000</formula2>
    </dataValidation>
    <dataValidation type="whole" allowBlank="1" showInputMessage="1" showErrorMessage="1" errorTitle="only number Allow" error="only number Allow" sqref="B1:B1048576" xr:uid="{3B50D1D3-4EE9-4BB2-BE3D-7359B3298DDA}">
      <formula1>0</formula1>
      <formula2>100000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0659D58-B3EE-4329-ACB5-DD60D6F1B1D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2026-05-02T07:55:19Z</dcterms:created>
  <dcterms:modified xsi:type="dcterms:W3CDTF">2026-05-03T11:05:58Z</dcterms:modified>
</cp:coreProperties>
</file>