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 LATITUDE\Desktop\excell all\quations pretical\"/>
    </mc:Choice>
  </mc:AlternateContent>
  <xr:revisionPtr revIDLastSave="0" documentId="8_{F89F33CD-F46D-4909-BBE3-E3F178F57E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_Data" sheetId="1" r:id="rId1"/>
  </sheets>
  <definedNames>
    <definedName name="courtal1">Cleaned_Data!$A$9:$U$198</definedName>
    <definedName name="courtal3">Table1[]</definedName>
    <definedName name="coutar2">Cleaned_Data!$F$2:$U$199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1" l="1" a="1"/>
  <c r="Z2" i="1" s="1"/>
  <c r="Z3" i="1" a="1"/>
  <c r="Z3" i="1"/>
  <c r="Z4" i="1" a="1"/>
  <c r="Z4" i="1" s="1"/>
  <c r="Z5" i="1" a="1"/>
  <c r="Z5" i="1"/>
  <c r="Z6" i="1" a="1"/>
  <c r="Z6" i="1" s="1"/>
  <c r="Z7" i="1" a="1"/>
  <c r="Z7" i="1" s="1"/>
  <c r="Z8" i="1" a="1"/>
  <c r="Z8" i="1" s="1"/>
  <c r="Z9" i="1" a="1"/>
  <c r="Z9" i="1"/>
  <c r="Z10" i="1" a="1"/>
  <c r="Z10" i="1" s="1"/>
  <c r="Z11" i="1" a="1"/>
  <c r="Z11" i="1"/>
  <c r="Z12" i="1" a="1"/>
  <c r="Z12" i="1" s="1"/>
  <c r="Z13" i="1" a="1"/>
  <c r="Z13" i="1"/>
  <c r="Z14" i="1" a="1"/>
  <c r="Z14" i="1" s="1"/>
  <c r="Z15" i="1" a="1"/>
  <c r="Z15" i="1" s="1"/>
  <c r="Z16" i="1" a="1"/>
  <c r="Z16" i="1" s="1"/>
  <c r="Z17" i="1" a="1"/>
  <c r="Z17" i="1"/>
  <c r="Z18" i="1" a="1"/>
  <c r="Z18" i="1" s="1"/>
  <c r="Z19" i="1" a="1"/>
  <c r="Z19" i="1"/>
  <c r="Z20" i="1" a="1"/>
  <c r="Z20" i="1" s="1"/>
  <c r="Z21" i="1" a="1"/>
  <c r="Z21" i="1"/>
  <c r="Z22" i="1" a="1"/>
  <c r="Z22" i="1" s="1"/>
  <c r="Z23" i="1" a="1"/>
  <c r="Z23" i="1" s="1"/>
  <c r="Z24" i="1" a="1"/>
  <c r="Z24" i="1" s="1"/>
  <c r="Z25" i="1" a="1"/>
  <c r="Z25" i="1"/>
  <c r="Z26" i="1" a="1"/>
  <c r="Z26" i="1" s="1"/>
  <c r="Z27" i="1" a="1"/>
  <c r="Z27" i="1"/>
  <c r="Z28" i="1" a="1"/>
  <c r="Z28" i="1" s="1"/>
  <c r="Z29" i="1" a="1"/>
  <c r="Z29" i="1"/>
  <c r="Z30" i="1" a="1"/>
  <c r="Z30" i="1" s="1"/>
  <c r="Z31" i="1" a="1"/>
  <c r="Z31" i="1" s="1"/>
  <c r="Z32" i="1" a="1"/>
  <c r="Z32" i="1" s="1"/>
  <c r="Z33" i="1" a="1"/>
  <c r="Z33" i="1"/>
  <c r="Z34" i="1" a="1"/>
  <c r="Z34" i="1" s="1"/>
  <c r="Z35" i="1" a="1"/>
  <c r="Z35" i="1"/>
  <c r="Z36" i="1" a="1"/>
  <c r="Z36" i="1" s="1"/>
  <c r="Z37" i="1" a="1"/>
  <c r="Z37" i="1"/>
  <c r="Z38" i="1" a="1"/>
  <c r="Z38" i="1" s="1"/>
  <c r="Z39" i="1" a="1"/>
  <c r="Z39" i="1" s="1"/>
  <c r="Z40" i="1" a="1"/>
  <c r="Z40" i="1" s="1"/>
  <c r="Z41" i="1" a="1"/>
  <c r="Z41" i="1"/>
  <c r="Z42" i="1" a="1"/>
  <c r="Z42" i="1" s="1"/>
  <c r="Z43" i="1" a="1"/>
  <c r="Z43" i="1"/>
  <c r="Z44" i="1" a="1"/>
  <c r="Z44" i="1" s="1"/>
  <c r="Z45" i="1" a="1"/>
  <c r="Z45" i="1"/>
  <c r="Z46" i="1" a="1"/>
  <c r="Z46" i="1" s="1"/>
  <c r="Z47" i="1" a="1"/>
  <c r="Z47" i="1" s="1"/>
  <c r="Z48" i="1" a="1"/>
  <c r="Z48" i="1" s="1"/>
  <c r="Z49" i="1" a="1"/>
  <c r="Z49" i="1"/>
  <c r="Z50" i="1" a="1"/>
  <c r="Z50" i="1" s="1"/>
  <c r="Z51" i="1" a="1"/>
  <c r="Z51" i="1"/>
  <c r="Z52" i="1" a="1"/>
  <c r="Z52" i="1" s="1"/>
  <c r="Z53" i="1" a="1"/>
  <c r="Z53" i="1"/>
  <c r="Z54" i="1" a="1"/>
  <c r="Z54" i="1" s="1"/>
  <c r="Z55" i="1" a="1"/>
  <c r="Z55" i="1" s="1"/>
  <c r="Z56" i="1" a="1"/>
  <c r="Z56" i="1" s="1"/>
  <c r="Z57" i="1" a="1"/>
  <c r="Z57" i="1"/>
  <c r="Z58" i="1" a="1"/>
  <c r="Z58" i="1" s="1"/>
  <c r="Z59" i="1" a="1"/>
  <c r="Z59" i="1"/>
  <c r="Z60" i="1" a="1"/>
  <c r="Z60" i="1" s="1"/>
  <c r="Z61" i="1" a="1"/>
  <c r="Z61" i="1"/>
  <c r="Z62" i="1" a="1"/>
  <c r="Z62" i="1" s="1"/>
  <c r="Z63" i="1" a="1"/>
  <c r="Z63" i="1" s="1"/>
  <c r="Z64" i="1" a="1"/>
  <c r="Z64" i="1" s="1"/>
  <c r="Z65" i="1" a="1"/>
  <c r="Z65" i="1"/>
  <c r="Z66" i="1" a="1"/>
  <c r="Z66" i="1" s="1"/>
  <c r="Z67" i="1" a="1"/>
  <c r="Z67" i="1"/>
  <c r="Z68" i="1" a="1"/>
  <c r="Z68" i="1" s="1"/>
  <c r="Z69" i="1" a="1"/>
  <c r="Z69" i="1"/>
  <c r="Z70" i="1" a="1"/>
  <c r="Z70" i="1" s="1"/>
  <c r="Z71" i="1" a="1"/>
  <c r="Z71" i="1" s="1"/>
  <c r="Z72" i="1" a="1"/>
  <c r="Z72" i="1" s="1"/>
  <c r="Z73" i="1" a="1"/>
  <c r="Z73" i="1"/>
  <c r="Z74" i="1" a="1"/>
  <c r="Z74" i="1" s="1"/>
  <c r="Z75" i="1" a="1"/>
  <c r="Z75" i="1"/>
  <c r="Z76" i="1" a="1"/>
  <c r="Z76" i="1" s="1"/>
  <c r="Z77" i="1" a="1"/>
  <c r="Z77" i="1"/>
  <c r="Z78" i="1" a="1"/>
  <c r="Z78" i="1" s="1"/>
  <c r="Z79" i="1" a="1"/>
  <c r="Z79" i="1" s="1"/>
  <c r="Z80" i="1" a="1"/>
  <c r="Z80" i="1" s="1"/>
  <c r="Z81" i="1" a="1"/>
  <c r="Z81" i="1"/>
  <c r="Z82" i="1" a="1"/>
  <c r="Z82" i="1" s="1"/>
  <c r="Z83" i="1" a="1"/>
  <c r="Z83" i="1"/>
  <c r="Z84" i="1" a="1"/>
  <c r="Z84" i="1" s="1"/>
  <c r="Z85" i="1" a="1"/>
  <c r="Z85" i="1"/>
  <c r="Z86" i="1" a="1"/>
  <c r="Z86" i="1" s="1"/>
  <c r="Z87" i="1" a="1"/>
  <c r="Z87" i="1" s="1"/>
  <c r="Z88" i="1" a="1"/>
  <c r="Z88" i="1" s="1"/>
  <c r="Z89" i="1" a="1"/>
  <c r="Z89" i="1"/>
  <c r="Z90" i="1" a="1"/>
  <c r="Z90" i="1" s="1"/>
  <c r="Z91" i="1" a="1"/>
  <c r="Z91" i="1"/>
  <c r="Z92" i="1" a="1"/>
  <c r="Z92" i="1" s="1"/>
  <c r="Z93" i="1" a="1"/>
  <c r="Z93" i="1"/>
  <c r="Z94" i="1" a="1"/>
  <c r="Z94" i="1" s="1"/>
  <c r="Z95" i="1" a="1"/>
  <c r="Z95" i="1" s="1"/>
  <c r="Z96" i="1" a="1"/>
  <c r="Z96" i="1" s="1"/>
  <c r="Z97" i="1" a="1"/>
  <c r="Z97" i="1"/>
  <c r="Z98" i="1" a="1"/>
  <c r="Z98" i="1" s="1"/>
  <c r="Z99" i="1" a="1"/>
  <c r="Z99" i="1"/>
  <c r="Z100" i="1" a="1"/>
  <c r="Z100" i="1" s="1"/>
  <c r="Z101" i="1" a="1"/>
  <c r="Z101" i="1"/>
  <c r="Z102" i="1" a="1"/>
  <c r="Z102" i="1" s="1"/>
  <c r="Z103" i="1" a="1"/>
  <c r="Z103" i="1" s="1"/>
  <c r="Z104" i="1" a="1"/>
  <c r="Z104" i="1" s="1"/>
  <c r="Z105" i="1" a="1"/>
  <c r="Z105" i="1"/>
  <c r="Z106" i="1" a="1"/>
  <c r="Z106" i="1" s="1"/>
  <c r="Z107" i="1" a="1"/>
  <c r="Z107" i="1"/>
  <c r="Z108" i="1" a="1"/>
  <c r="Z108" i="1" s="1"/>
  <c r="Z109" i="1" a="1"/>
  <c r="Z109" i="1"/>
  <c r="Z110" i="1" a="1"/>
  <c r="Z110" i="1" s="1"/>
  <c r="Z111" i="1" a="1"/>
  <c r="Z111" i="1" s="1"/>
  <c r="Z112" i="1" a="1"/>
  <c r="Z112" i="1" s="1"/>
  <c r="Z113" i="1" a="1"/>
  <c r="Z113" i="1"/>
  <c r="Z114" i="1" a="1"/>
  <c r="Z114" i="1" s="1"/>
  <c r="Z115" i="1" a="1"/>
  <c r="Z115" i="1"/>
  <c r="Z116" i="1" a="1"/>
  <c r="Z116" i="1" s="1"/>
  <c r="Z117" i="1" a="1"/>
  <c r="Z117" i="1"/>
  <c r="Z118" i="1" a="1"/>
  <c r="Z118" i="1" s="1"/>
  <c r="Z119" i="1" a="1"/>
  <c r="Z119" i="1" s="1"/>
  <c r="Z120" i="1" a="1"/>
  <c r="Z120" i="1" s="1"/>
  <c r="Z121" i="1" a="1"/>
  <c r="Z121" i="1"/>
  <c r="Z122" i="1" a="1"/>
  <c r="Z122" i="1" s="1"/>
  <c r="Z123" i="1" a="1"/>
  <c r="Z123" i="1"/>
  <c r="Z124" i="1" a="1"/>
  <c r="Z124" i="1" s="1"/>
  <c r="Z125" i="1" a="1"/>
  <c r="Z125" i="1"/>
  <c r="Z126" i="1" a="1"/>
  <c r="Z126" i="1" s="1"/>
  <c r="Z127" i="1" a="1"/>
  <c r="Z127" i="1" s="1"/>
  <c r="Z128" i="1" a="1"/>
  <c r="Z128" i="1" s="1"/>
  <c r="Z129" i="1" a="1"/>
  <c r="Z129" i="1"/>
  <c r="Z130" i="1" a="1"/>
  <c r="Z130" i="1" s="1"/>
  <c r="Z131" i="1" a="1"/>
  <c r="Z131" i="1"/>
  <c r="Z132" i="1" a="1"/>
  <c r="Z132" i="1" s="1"/>
  <c r="Z133" i="1" a="1"/>
  <c r="Z133" i="1"/>
  <c r="Z134" i="1" a="1"/>
  <c r="Z134" i="1" s="1"/>
  <c r="Z135" i="1" a="1"/>
  <c r="Z135" i="1" s="1"/>
  <c r="Z136" i="1" a="1"/>
  <c r="Z136" i="1" s="1"/>
  <c r="Z137" i="1" a="1"/>
  <c r="Z137" i="1"/>
  <c r="Z138" i="1" a="1"/>
  <c r="Z138" i="1" s="1"/>
  <c r="Z139" i="1" a="1"/>
  <c r="Z139" i="1"/>
  <c r="Z140" i="1" a="1"/>
  <c r="Z140" i="1" s="1"/>
  <c r="Z141" i="1" a="1"/>
  <c r="Z141" i="1"/>
  <c r="Z142" i="1" a="1"/>
  <c r="Z142" i="1" s="1"/>
  <c r="Z143" i="1" a="1"/>
  <c r="Z143" i="1" s="1"/>
  <c r="Z144" i="1" a="1"/>
  <c r="Z144" i="1" s="1"/>
  <c r="Z145" i="1" a="1"/>
  <c r="Z145" i="1"/>
  <c r="Z146" i="1" a="1"/>
  <c r="Z146" i="1" s="1"/>
  <c r="Z147" i="1" a="1"/>
  <c r="Z147" i="1"/>
  <c r="Z148" i="1" a="1"/>
  <c r="Z148" i="1" s="1"/>
  <c r="Z149" i="1" a="1"/>
  <c r="Z149" i="1"/>
  <c r="Z150" i="1" a="1"/>
  <c r="Z150" i="1" s="1"/>
  <c r="Z151" i="1" a="1"/>
  <c r="Z151" i="1" s="1"/>
  <c r="Z152" i="1" a="1"/>
  <c r="Z152" i="1" s="1"/>
  <c r="Z153" i="1" a="1"/>
  <c r="Z153" i="1"/>
  <c r="Z154" i="1" a="1"/>
  <c r="Z154" i="1" s="1"/>
  <c r="Z155" i="1" a="1"/>
  <c r="Z155" i="1"/>
  <c r="Z156" i="1" a="1"/>
  <c r="Z156" i="1" s="1"/>
  <c r="Z157" i="1" a="1"/>
  <c r="Z157" i="1"/>
  <c r="Z158" i="1" a="1"/>
  <c r="Z158" i="1" s="1"/>
  <c r="Z159" i="1" a="1"/>
  <c r="Z159" i="1" s="1"/>
  <c r="Z160" i="1" a="1"/>
  <c r="Z160" i="1" s="1"/>
  <c r="Z161" i="1" a="1"/>
  <c r="Z161" i="1"/>
  <c r="Z162" i="1" a="1"/>
  <c r="Z162" i="1" s="1"/>
  <c r="Z163" i="1" a="1"/>
  <c r="Z163" i="1"/>
  <c r="Z164" i="1" a="1"/>
  <c r="Z164" i="1" s="1"/>
  <c r="Z165" i="1" a="1"/>
  <c r="Z165" i="1"/>
  <c r="Z166" i="1" a="1"/>
  <c r="Z166" i="1" s="1"/>
  <c r="Z167" i="1" a="1"/>
  <c r="Z167" i="1" s="1"/>
  <c r="Z168" i="1" a="1"/>
  <c r="Z168" i="1" s="1"/>
  <c r="Z169" i="1" a="1"/>
  <c r="Z169" i="1"/>
  <c r="Z170" i="1" a="1"/>
  <c r="Z170" i="1" s="1"/>
  <c r="Z171" i="1" a="1"/>
  <c r="Z171" i="1"/>
  <c r="Z172" i="1" a="1"/>
  <c r="Z172" i="1" s="1"/>
  <c r="Z173" i="1" a="1"/>
  <c r="Z173" i="1"/>
  <c r="Z174" i="1" a="1"/>
  <c r="Z174" i="1" s="1"/>
  <c r="Z175" i="1" a="1"/>
  <c r="Z175" i="1"/>
  <c r="Z176" i="1" a="1"/>
  <c r="Z176" i="1" s="1"/>
  <c r="Z177" i="1" a="1"/>
  <c r="Z177" i="1"/>
  <c r="Z178" i="1" a="1"/>
  <c r="Z178" i="1" s="1"/>
  <c r="Z179" i="1" a="1"/>
  <c r="Z179" i="1"/>
  <c r="Z180" i="1" a="1"/>
  <c r="Z180" i="1" s="1"/>
  <c r="Z181" i="1" a="1"/>
  <c r="Z181" i="1"/>
  <c r="Z182" i="1" a="1"/>
  <c r="Z182" i="1" s="1"/>
  <c r="Z183" i="1" a="1"/>
  <c r="Z183" i="1"/>
  <c r="Z184" i="1" a="1"/>
  <c r="Z184" i="1" s="1"/>
  <c r="Z185" i="1" a="1"/>
  <c r="Z185" i="1"/>
  <c r="Z186" i="1" a="1"/>
  <c r="Z186" i="1" s="1"/>
  <c r="Z187" i="1" a="1"/>
  <c r="Z187" i="1"/>
  <c r="Z188" i="1" a="1"/>
  <c r="Z188" i="1" s="1"/>
  <c r="Z189" i="1" a="1"/>
  <c r="Z189" i="1"/>
  <c r="Z190" i="1" a="1"/>
  <c r="Z190" i="1" s="1"/>
  <c r="Z191" i="1" a="1"/>
  <c r="Z191" i="1"/>
  <c r="Z192" i="1" a="1"/>
  <c r="Z192" i="1" s="1"/>
  <c r="Z193" i="1" a="1"/>
  <c r="Z193" i="1"/>
  <c r="Z194" i="1" a="1"/>
  <c r="Z194" i="1" s="1"/>
  <c r="Z195" i="1" a="1"/>
  <c r="Z195" i="1"/>
  <c r="Z196" i="1" a="1"/>
  <c r="Z196" i="1" s="1"/>
  <c r="Z197" i="1" a="1"/>
  <c r="Z197" i="1"/>
  <c r="Z198" i="1" a="1"/>
  <c r="Z198" i="1" s="1"/>
  <c r="Z199" i="1" a="1"/>
  <c r="Z199" i="1"/>
  <c r="Z200" i="1" a="1"/>
  <c r="Z200" i="1" s="1"/>
  <c r="Z201" i="1" a="1"/>
  <c r="Z20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X10" i="1"/>
  <c r="X15" i="1"/>
  <c r="X22" i="1"/>
  <c r="X33" i="1"/>
  <c r="X49" i="1"/>
  <c r="X65" i="1"/>
  <c r="X81" i="1"/>
  <c r="X97" i="1"/>
  <c r="X113" i="1"/>
  <c r="X129" i="1"/>
  <c r="X145" i="1"/>
  <c r="X161" i="1"/>
  <c r="X177" i="1"/>
  <c r="X193" i="1"/>
  <c r="W2" i="1"/>
  <c r="X2" i="1" s="1"/>
  <c r="W3" i="1"/>
  <c r="X3" i="1" s="1"/>
  <c r="W4" i="1"/>
  <c r="X4" i="1" s="1"/>
  <c r="W5" i="1"/>
  <c r="X5" i="1" s="1"/>
  <c r="W6" i="1"/>
  <c r="X6" i="1" s="1"/>
  <c r="W7" i="1"/>
  <c r="X7" i="1" s="1"/>
  <c r="W8" i="1"/>
  <c r="X8" i="1" s="1"/>
  <c r="W9" i="1"/>
  <c r="X9" i="1" s="1"/>
  <c r="W11" i="1"/>
  <c r="X11" i="1" s="1"/>
  <c r="W12" i="1"/>
  <c r="X12" i="1" s="1"/>
  <c r="W13" i="1"/>
  <c r="X13" i="1" s="1"/>
  <c r="W14" i="1"/>
  <c r="X14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  <c r="W57" i="1"/>
  <c r="X57" i="1" s="1"/>
  <c r="W58" i="1"/>
  <c r="X58" i="1" s="1"/>
  <c r="W59" i="1"/>
  <c r="X59" i="1" s="1"/>
  <c r="W60" i="1"/>
  <c r="X60" i="1" s="1"/>
  <c r="W61" i="1"/>
  <c r="X61" i="1" s="1"/>
  <c r="W62" i="1"/>
  <c r="X62" i="1" s="1"/>
  <c r="W63" i="1"/>
  <c r="X63" i="1" s="1"/>
  <c r="W64" i="1"/>
  <c r="X64" i="1" s="1"/>
  <c r="W65" i="1"/>
  <c r="W66" i="1"/>
  <c r="X66" i="1" s="1"/>
  <c r="W67" i="1"/>
  <c r="X67" i="1" s="1"/>
  <c r="W68" i="1"/>
  <c r="X68" i="1" s="1"/>
  <c r="W69" i="1"/>
  <c r="X69" i="1" s="1"/>
  <c r="W70" i="1"/>
  <c r="X70" i="1" s="1"/>
  <c r="W71" i="1"/>
  <c r="X71" i="1" s="1"/>
  <c r="W72" i="1"/>
  <c r="X72" i="1" s="1"/>
  <c r="W73" i="1"/>
  <c r="X73" i="1" s="1"/>
  <c r="W74" i="1"/>
  <c r="X74" i="1" s="1"/>
  <c r="W75" i="1"/>
  <c r="X75" i="1" s="1"/>
  <c r="W76" i="1"/>
  <c r="X76" i="1" s="1"/>
  <c r="W77" i="1"/>
  <c r="X77" i="1" s="1"/>
  <c r="W78" i="1"/>
  <c r="X78" i="1" s="1"/>
  <c r="W79" i="1"/>
  <c r="X79" i="1" s="1"/>
  <c r="W80" i="1"/>
  <c r="X80" i="1" s="1"/>
  <c r="W81" i="1"/>
  <c r="W82" i="1"/>
  <c r="X82" i="1" s="1"/>
  <c r="W83" i="1"/>
  <c r="X83" i="1" s="1"/>
  <c r="W84" i="1"/>
  <c r="X84" i="1" s="1"/>
  <c r="W85" i="1"/>
  <c r="X85" i="1" s="1"/>
  <c r="W86" i="1"/>
  <c r="X86" i="1" s="1"/>
  <c r="W87" i="1"/>
  <c r="X87" i="1" s="1"/>
  <c r="W88" i="1"/>
  <c r="X88" i="1" s="1"/>
  <c r="W89" i="1"/>
  <c r="X89" i="1" s="1"/>
  <c r="W90" i="1"/>
  <c r="X90" i="1" s="1"/>
  <c r="W91" i="1"/>
  <c r="X91" i="1" s="1"/>
  <c r="W92" i="1"/>
  <c r="X92" i="1" s="1"/>
  <c r="W93" i="1"/>
  <c r="X93" i="1" s="1"/>
  <c r="W94" i="1"/>
  <c r="X94" i="1" s="1"/>
  <c r="W95" i="1"/>
  <c r="X95" i="1" s="1"/>
  <c r="W96" i="1"/>
  <c r="X96" i="1" s="1"/>
  <c r="W97" i="1"/>
  <c r="W98" i="1"/>
  <c r="X98" i="1" s="1"/>
  <c r="W99" i="1"/>
  <c r="X99" i="1" s="1"/>
  <c r="W100" i="1"/>
  <c r="X100" i="1" s="1"/>
  <c r="W101" i="1"/>
  <c r="X101" i="1" s="1"/>
  <c r="W102" i="1"/>
  <c r="X102" i="1" s="1"/>
  <c r="W103" i="1"/>
  <c r="X103" i="1" s="1"/>
  <c r="W104" i="1"/>
  <c r="X104" i="1" s="1"/>
  <c r="W105" i="1"/>
  <c r="X105" i="1" s="1"/>
  <c r="W106" i="1"/>
  <c r="X106" i="1" s="1"/>
  <c r="W107" i="1"/>
  <c r="X107" i="1" s="1"/>
  <c r="W108" i="1"/>
  <c r="X108" i="1" s="1"/>
  <c r="W109" i="1"/>
  <c r="X109" i="1" s="1"/>
  <c r="W110" i="1"/>
  <c r="X110" i="1" s="1"/>
  <c r="W111" i="1"/>
  <c r="X111" i="1" s="1"/>
  <c r="W112" i="1"/>
  <c r="X112" i="1" s="1"/>
  <c r="W113" i="1"/>
  <c r="W114" i="1"/>
  <c r="X114" i="1" s="1"/>
  <c r="W115" i="1"/>
  <c r="X115" i="1" s="1"/>
  <c r="W116" i="1"/>
  <c r="X116" i="1" s="1"/>
  <c r="W117" i="1"/>
  <c r="X117" i="1" s="1"/>
  <c r="W118" i="1"/>
  <c r="X118" i="1" s="1"/>
  <c r="W119" i="1"/>
  <c r="X119" i="1" s="1"/>
  <c r="W120" i="1"/>
  <c r="X120" i="1" s="1"/>
  <c r="W121" i="1"/>
  <c r="X121" i="1" s="1"/>
  <c r="W122" i="1"/>
  <c r="X122" i="1" s="1"/>
  <c r="W123" i="1"/>
  <c r="X123" i="1" s="1"/>
  <c r="W124" i="1"/>
  <c r="X124" i="1" s="1"/>
  <c r="W125" i="1"/>
  <c r="X125" i="1" s="1"/>
  <c r="W126" i="1"/>
  <c r="X126" i="1" s="1"/>
  <c r="W127" i="1"/>
  <c r="X127" i="1" s="1"/>
  <c r="W128" i="1"/>
  <c r="X128" i="1" s="1"/>
  <c r="W129" i="1"/>
  <c r="W130" i="1"/>
  <c r="X130" i="1" s="1"/>
  <c r="W131" i="1"/>
  <c r="X131" i="1" s="1"/>
  <c r="W132" i="1"/>
  <c r="X132" i="1" s="1"/>
  <c r="W133" i="1"/>
  <c r="X133" i="1" s="1"/>
  <c r="W134" i="1"/>
  <c r="X134" i="1" s="1"/>
  <c r="W135" i="1"/>
  <c r="X135" i="1" s="1"/>
  <c r="W136" i="1"/>
  <c r="X136" i="1" s="1"/>
  <c r="W137" i="1"/>
  <c r="X137" i="1" s="1"/>
  <c r="W138" i="1"/>
  <c r="X138" i="1" s="1"/>
  <c r="W139" i="1"/>
  <c r="X139" i="1" s="1"/>
  <c r="W140" i="1"/>
  <c r="X140" i="1" s="1"/>
  <c r="W141" i="1"/>
  <c r="X141" i="1" s="1"/>
  <c r="W142" i="1"/>
  <c r="X142" i="1" s="1"/>
  <c r="W143" i="1"/>
  <c r="X143" i="1" s="1"/>
  <c r="W144" i="1"/>
  <c r="X144" i="1" s="1"/>
  <c r="W145" i="1"/>
  <c r="W146" i="1"/>
  <c r="X146" i="1" s="1"/>
  <c r="W147" i="1"/>
  <c r="X147" i="1" s="1"/>
  <c r="W148" i="1"/>
  <c r="X148" i="1" s="1"/>
  <c r="W149" i="1"/>
  <c r="X149" i="1" s="1"/>
  <c r="W150" i="1"/>
  <c r="X150" i="1" s="1"/>
  <c r="W151" i="1"/>
  <c r="X151" i="1" s="1"/>
  <c r="W152" i="1"/>
  <c r="X152" i="1" s="1"/>
  <c r="W153" i="1"/>
  <c r="X153" i="1" s="1"/>
  <c r="W154" i="1"/>
  <c r="X154" i="1" s="1"/>
  <c r="W155" i="1"/>
  <c r="X155" i="1" s="1"/>
  <c r="W156" i="1"/>
  <c r="X156" i="1" s="1"/>
  <c r="W157" i="1"/>
  <c r="X157" i="1" s="1"/>
  <c r="W158" i="1"/>
  <c r="X158" i="1" s="1"/>
  <c r="W159" i="1"/>
  <c r="X159" i="1" s="1"/>
  <c r="W160" i="1"/>
  <c r="X160" i="1" s="1"/>
  <c r="W161" i="1"/>
  <c r="W162" i="1"/>
  <c r="X162" i="1" s="1"/>
  <c r="W163" i="1"/>
  <c r="X163" i="1" s="1"/>
  <c r="W164" i="1"/>
  <c r="X164" i="1" s="1"/>
  <c r="W165" i="1"/>
  <c r="X165" i="1" s="1"/>
  <c r="W166" i="1"/>
  <c r="X166" i="1" s="1"/>
  <c r="W167" i="1"/>
  <c r="X167" i="1" s="1"/>
  <c r="W168" i="1"/>
  <c r="X168" i="1" s="1"/>
  <c r="W169" i="1"/>
  <c r="X169" i="1" s="1"/>
  <c r="W170" i="1"/>
  <c r="X170" i="1" s="1"/>
  <c r="W171" i="1"/>
  <c r="X171" i="1" s="1"/>
  <c r="W172" i="1"/>
  <c r="X172" i="1" s="1"/>
  <c r="W173" i="1"/>
  <c r="X173" i="1" s="1"/>
  <c r="W174" i="1"/>
  <c r="X174" i="1" s="1"/>
  <c r="W175" i="1"/>
  <c r="X175" i="1" s="1"/>
  <c r="W176" i="1"/>
  <c r="X176" i="1" s="1"/>
  <c r="W177" i="1"/>
  <c r="W178" i="1"/>
  <c r="X178" i="1" s="1"/>
  <c r="W179" i="1"/>
  <c r="X179" i="1" s="1"/>
  <c r="W180" i="1"/>
  <c r="X180" i="1" s="1"/>
  <c r="W181" i="1"/>
  <c r="X181" i="1" s="1"/>
  <c r="W182" i="1"/>
  <c r="X182" i="1" s="1"/>
  <c r="W183" i="1"/>
  <c r="X183" i="1" s="1"/>
  <c r="W184" i="1"/>
  <c r="X184" i="1" s="1"/>
  <c r="W185" i="1"/>
  <c r="X185" i="1" s="1"/>
  <c r="W186" i="1"/>
  <c r="X186" i="1" s="1"/>
  <c r="W187" i="1"/>
  <c r="X187" i="1" s="1"/>
  <c r="W188" i="1"/>
  <c r="X188" i="1" s="1"/>
  <c r="W189" i="1"/>
  <c r="X189" i="1" s="1"/>
  <c r="W190" i="1"/>
  <c r="X190" i="1" s="1"/>
  <c r="W191" i="1"/>
  <c r="X191" i="1" s="1"/>
  <c r="W192" i="1"/>
  <c r="X192" i="1" s="1"/>
  <c r="W193" i="1"/>
  <c r="W194" i="1"/>
  <c r="X194" i="1" s="1"/>
  <c r="W195" i="1"/>
  <c r="X195" i="1" s="1"/>
  <c r="W196" i="1"/>
  <c r="X196" i="1" s="1"/>
  <c r="W197" i="1"/>
  <c r="X197" i="1" s="1"/>
  <c r="W198" i="1"/>
  <c r="X198" i="1" s="1"/>
  <c r="W199" i="1"/>
  <c r="X199" i="1" s="1"/>
  <c r="W200" i="1"/>
  <c r="X200" i="1" s="1"/>
  <c r="W201" i="1"/>
  <c r="X201" i="1" s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<sst xmlns="http://schemas.openxmlformats.org/spreadsheetml/2006/main" count="1026" uniqueCount="205">
  <si>
    <t>OrderID</t>
  </si>
  <si>
    <t>CustomerID</t>
  </si>
  <si>
    <t>CustomerName</t>
  </si>
  <si>
    <t>Country</t>
  </si>
  <si>
    <t>Product</t>
  </si>
  <si>
    <t>Category</t>
  </si>
  <si>
    <t>Quantity</t>
  </si>
  <si>
    <t>UnitPrice</t>
  </si>
  <si>
    <t>Revenue</t>
  </si>
  <si>
    <t>OrderDate</t>
  </si>
  <si>
    <t>TextPrice</t>
  </si>
  <si>
    <t>Discount</t>
  </si>
  <si>
    <t>FinalAmount</t>
  </si>
  <si>
    <t>Ravi Kumar</t>
  </si>
  <si>
    <t>India</t>
  </si>
  <si>
    <t>Tablet</t>
  </si>
  <si>
    <t>Electronics</t>
  </si>
  <si>
    <t>2023-06-27</t>
  </si>
  <si>
    <t>Amit Shah</t>
  </si>
  <si>
    <t>Australia</t>
  </si>
  <si>
    <t>Headphones</t>
  </si>
  <si>
    <t>2023-08-20</t>
  </si>
  <si>
    <t>Emily Clark</t>
  </si>
  <si>
    <t>USA</t>
  </si>
  <si>
    <t>2023-08-12</t>
  </si>
  <si>
    <t>UK</t>
  </si>
  <si>
    <t>Camera</t>
  </si>
  <si>
    <t>Accessories</t>
  </si>
  <si>
    <t>2023-11-23</t>
  </si>
  <si>
    <t>John Doe</t>
  </si>
  <si>
    <t>2023-09-04</t>
  </si>
  <si>
    <t>Mobile</t>
  </si>
  <si>
    <t>2023-05-02</t>
  </si>
  <si>
    <t>2023-09-28</t>
  </si>
  <si>
    <t>Canada</t>
  </si>
  <si>
    <t>2023-02-01</t>
  </si>
  <si>
    <t>2023-08-13</t>
  </si>
  <si>
    <t>2023-02-07</t>
  </si>
  <si>
    <t>2023-12-19</t>
  </si>
  <si>
    <t>2023-08-07</t>
  </si>
  <si>
    <t>Sara Ali</t>
  </si>
  <si>
    <t>Laptop</t>
  </si>
  <si>
    <t>2023-12-21</t>
  </si>
  <si>
    <t>2023-03-10</t>
  </si>
  <si>
    <t>2023-01-02</t>
  </si>
  <si>
    <t>2023-12-25</t>
  </si>
  <si>
    <t>2023-11-07</t>
  </si>
  <si>
    <t>2023-03-14</t>
  </si>
  <si>
    <t>2023-08-23</t>
  </si>
  <si>
    <t>2023-05-11</t>
  </si>
  <si>
    <t>2023-12-04</t>
  </si>
  <si>
    <t>2023-10-25</t>
  </si>
  <si>
    <t>2023-01-18</t>
  </si>
  <si>
    <t>2023-12-08</t>
  </si>
  <si>
    <t>2023-10-20</t>
  </si>
  <si>
    <t>2023-02-20</t>
  </si>
  <si>
    <t>2023-01-03</t>
  </si>
  <si>
    <t>2023-04-04</t>
  </si>
  <si>
    <t>2023-11-06</t>
  </si>
  <si>
    <t>2023-02-13</t>
  </si>
  <si>
    <t>2023-07-20</t>
  </si>
  <si>
    <t>2023-09-01</t>
  </si>
  <si>
    <t>2023-03-03</t>
  </si>
  <si>
    <t>2023-01-24</t>
  </si>
  <si>
    <t>2023-04-29</t>
  </si>
  <si>
    <t>2023-08-08</t>
  </si>
  <si>
    <t>2023-05-18</t>
  </si>
  <si>
    <t>2023-05-19</t>
  </si>
  <si>
    <t>2023-09-22</t>
  </si>
  <si>
    <t>2023-03-04</t>
  </si>
  <si>
    <t>2023-04-15</t>
  </si>
  <si>
    <t>2023-01-14</t>
  </si>
  <si>
    <t>2023-03-07</t>
  </si>
  <si>
    <t>2023-10-27</t>
  </si>
  <si>
    <t>2023-04-08</t>
  </si>
  <si>
    <t>2023-08-16</t>
  </si>
  <si>
    <t>2023-10-05</t>
  </si>
  <si>
    <t>2023-08-21</t>
  </si>
  <si>
    <t>2023-12-24</t>
  </si>
  <si>
    <t>2023-03-09</t>
  </si>
  <si>
    <t>2023-08-18</t>
  </si>
  <si>
    <t>2023-04-19</t>
  </si>
  <si>
    <t>2023-02-23</t>
  </si>
  <si>
    <t>2023-12-16</t>
  </si>
  <si>
    <t>2023-11-14</t>
  </si>
  <si>
    <t>2023-09-19</t>
  </si>
  <si>
    <t>2023-03-18</t>
  </si>
  <si>
    <t>2023-10-19</t>
  </si>
  <si>
    <t>2023-12-31</t>
  </si>
  <si>
    <t>2023-02-04</t>
  </si>
  <si>
    <t>2023-12-30</t>
  </si>
  <si>
    <t>2023-07-04</t>
  </si>
  <si>
    <t>2023-05-17</t>
  </si>
  <si>
    <t>2023-05-24</t>
  </si>
  <si>
    <t>2023-06-29</t>
  </si>
  <si>
    <t>2023-06-08</t>
  </si>
  <si>
    <t>2023-04-28</t>
  </si>
  <si>
    <t>2023-04-01</t>
  </si>
  <si>
    <t>2023-08-15</t>
  </si>
  <si>
    <t>2023-03-22</t>
  </si>
  <si>
    <t>2023-08-25</t>
  </si>
  <si>
    <t>2023-04-13</t>
  </si>
  <si>
    <t>2023-01-06</t>
  </si>
  <si>
    <t>2023-01-12</t>
  </si>
  <si>
    <t>2023-04-06</t>
  </si>
  <si>
    <t>2023-02-11</t>
  </si>
  <si>
    <t>2023-11-21</t>
  </si>
  <si>
    <t>2023-08-05</t>
  </si>
  <si>
    <t>2023-01-28</t>
  </si>
  <si>
    <t>2023-02-16</t>
  </si>
  <si>
    <t>2023-11-09</t>
  </si>
  <si>
    <t>2023-01-04</t>
  </si>
  <si>
    <t>2023-08-19</t>
  </si>
  <si>
    <t>2023-03-28</t>
  </si>
  <si>
    <t>2023-02-14</t>
  </si>
  <si>
    <t>2023-01-07</t>
  </si>
  <si>
    <t>2023-04-25</t>
  </si>
  <si>
    <t>2023-03-31</t>
  </si>
  <si>
    <t>2023-08-22</t>
  </si>
  <si>
    <t>2023-03-27</t>
  </si>
  <si>
    <t>2023-03-19</t>
  </si>
  <si>
    <t>2023-02-22</t>
  </si>
  <si>
    <t>2023-04-05</t>
  </si>
  <si>
    <t>2023-09-24</t>
  </si>
  <si>
    <t>2023-12-10</t>
  </si>
  <si>
    <t>2023-10-02</t>
  </si>
  <si>
    <t>2023-04-26</t>
  </si>
  <si>
    <t>2023-09-16</t>
  </si>
  <si>
    <t>2023-09-14</t>
  </si>
  <si>
    <t>2023-09-23</t>
  </si>
  <si>
    <t>2023-05-20</t>
  </si>
  <si>
    <t>2023-10-26</t>
  </si>
  <si>
    <t>2023-10-15</t>
  </si>
  <si>
    <t>2023-05-09</t>
  </si>
  <si>
    <t>2023-04-10</t>
  </si>
  <si>
    <t>2023-07-28</t>
  </si>
  <si>
    <t>2023-05-13</t>
  </si>
  <si>
    <t>2023-04-27</t>
  </si>
  <si>
    <t>2023-06-16</t>
  </si>
  <si>
    <t>2023-03-11</t>
  </si>
  <si>
    <t>2023-10-30</t>
  </si>
  <si>
    <t>2023-05-25</t>
  </si>
  <si>
    <t>2023-08-29</t>
  </si>
  <si>
    <t>2023-05-29</t>
  </si>
  <si>
    <t>2023-06-26</t>
  </si>
  <si>
    <t>2023-11-27</t>
  </si>
  <si>
    <t>2023-01-09</t>
  </si>
  <si>
    <t>2023-02-17</t>
  </si>
  <si>
    <t>2023-04-20</t>
  </si>
  <si>
    <t>2023-09-29</t>
  </si>
  <si>
    <t>2023-10-29</t>
  </si>
  <si>
    <t>2023-01-22</t>
  </si>
  <si>
    <t>2023-01-01</t>
  </si>
  <si>
    <t>2023-11-05</t>
  </si>
  <si>
    <t>2023-03-30</t>
  </si>
  <si>
    <t>2023-06-21</t>
  </si>
  <si>
    <t>2023-08-17</t>
  </si>
  <si>
    <t>2023-07-30</t>
  </si>
  <si>
    <t>2023-12-26</t>
  </si>
  <si>
    <t>2023-10-22</t>
  </si>
  <si>
    <t>2023-04-23</t>
  </si>
  <si>
    <t>2023-11-03</t>
  </si>
  <si>
    <t>2023-07-25</t>
  </si>
  <si>
    <t>2023-06-24</t>
  </si>
  <si>
    <t>2023-11-19</t>
  </si>
  <si>
    <t>2023-02-15</t>
  </si>
  <si>
    <t>2023-07-16</t>
  </si>
  <si>
    <t>2023-09-30</t>
  </si>
  <si>
    <t>2023-12-17</t>
  </si>
  <si>
    <t>2023-03-24</t>
  </si>
  <si>
    <t>2023-09-26</t>
  </si>
  <si>
    <t>2023-12-20</t>
  </si>
  <si>
    <t>2023-11-18</t>
  </si>
  <si>
    <t>2023-05-14</t>
  </si>
  <si>
    <t>2023-01-05</t>
  </si>
  <si>
    <t>2023-05-04</t>
  </si>
  <si>
    <t>2023-10-21</t>
  </si>
  <si>
    <t>2023-09-20</t>
  </si>
  <si>
    <t>2023-11-10</t>
  </si>
  <si>
    <t>2023-06-02</t>
  </si>
  <si>
    <t>2023-05-30</t>
  </si>
  <si>
    <t>2023-03-13</t>
  </si>
  <si>
    <t>2023-05-26</t>
  </si>
  <si>
    <t>2023-09-07</t>
  </si>
  <si>
    <t>2023-11-20</t>
  </si>
  <si>
    <t>2023-05-10</t>
  </si>
  <si>
    <t>2023-06-22</t>
  </si>
  <si>
    <t>2023-02-08</t>
  </si>
  <si>
    <t>2023-12-27</t>
  </si>
  <si>
    <t>2023-03-23</t>
  </si>
  <si>
    <t>2023-07-09</t>
  </si>
  <si>
    <t>2023-09-10</t>
  </si>
  <si>
    <t>day</t>
  </si>
  <si>
    <t>month</t>
  </si>
  <si>
    <t>year</t>
  </si>
  <si>
    <t>DATEVALUE</t>
  </si>
  <si>
    <t>age</t>
  </si>
  <si>
    <t>Column1</t>
  </si>
  <si>
    <t>working day</t>
  </si>
  <si>
    <t>day and month</t>
  </si>
  <si>
    <t>revnu</t>
  </si>
  <si>
    <t>0</t>
  </si>
  <si>
    <t>Detect Missing</t>
  </si>
  <si>
    <t>grade</t>
  </si>
  <si>
    <t>customor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</si>
</sst>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9" fontId="0" fillId="0" borderId="0" xfId="2" applyFont="1"/>
    <xf numFmtId="44" fontId="0" fillId="0" borderId="0" xfId="1" applyFont="1"/>
    <xf numFmtId="164" fontId="0" fillId="0" borderId="0" xfId="1" applyNumberFormat="1" applyFont="1"/>
    <xf numFmtId="1" fontId="0" fillId="0" borderId="0" xfId="0" applyNumberFormat="1"/>
    <xf numFmtId="0" fontId="2" fillId="0" borderId="0" xfId="0" applyFont="1" applyAlignment="1">
      <alignment vertical="center"/>
    </xf>
    <xf numFmtId="9" fontId="0" fillId="0" borderId="0" xfId="0" applyNumberFormat="1"/>
    <xf numFmtId="14" fontId="0" fillId="0" borderId="0" xfId="0" applyNumberFormat="1"/>
    <xf numFmtId="0" fontId="0" fillId="0" borderId="0" xfId="1" applyNumberFormat="1" applyFont="1"/>
  </cellXfs>
  <cellStyles count="3">
    <cellStyle name="Currency" xfId="1" builtinId="4"/>
    <cellStyle name="Normal" xfId="0" builtinId="0"/>
    <cellStyle name="Percent" xfId="2" builtinId="5"/>
  </cellStyles>
  <dxfs count="21">
    <dxf>
      <fill>
        <patternFill>
          <bgColor rgb="FFC00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" formatCode="0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015604-289B-4D9E-A170-947CFE89C1C2}" name="Table1" displayName="Table1" ref="A1:Z201" totalsRowShown="0">
  <autoFilter ref="A1:Z201" xr:uid="{69015604-289B-4D9E-A170-947CFE89C1C2}"/>
  <tableColumns count="26">
    <tableColumn id="1" xr3:uid="{740BD773-344C-493B-9B92-5E3B4E581FCF}" name="OrderID" dataDxfId="20"/>
    <tableColumn id="2" xr3:uid="{835596DD-CBF7-4F9D-927A-D7ADAE5E3C65}" name="CustomerID" dataDxfId="19"/>
    <tableColumn id="3" xr3:uid="{A12C0C43-17F5-430D-820C-7DD5F39AD128}" name="CustomerName"/>
    <tableColumn id="4" xr3:uid="{FD7B3E9E-21EF-439C-B29A-107DEC395F2A}" name="Country"/>
    <tableColumn id="5" xr3:uid="{AC5F186C-20D6-42DD-A02A-27FB581936B0}" name="Product"/>
    <tableColumn id="6" xr3:uid="{DB8EAB6B-3C32-403F-901A-5EAE7D329E58}" name="Category"/>
    <tableColumn id="7" xr3:uid="{3DB1DB16-1C93-4634-B1F8-1D7616F1CABC}" name="Quantity" dataDxfId="18"/>
    <tableColumn id="8" xr3:uid="{72363763-E48E-44B6-B3B0-4117D6ACCF92}" name="UnitPrice" dataDxfId="17"/>
    <tableColumn id="9" xr3:uid="{57A03D3E-1785-47E3-9511-494B7919D3B4}" name="Revenue" dataDxfId="16" dataCellStyle="Currency"/>
    <tableColumn id="10" xr3:uid="{85635D27-165F-4FD7-9482-8CDAADD9392E}" name="OrderDate" dataDxfId="15" dataCellStyle="Currency"/>
    <tableColumn id="11" xr3:uid="{11C603AC-8324-43B1-9F6F-812D672FFE76}" name="TextPrice" dataCellStyle="Currency"/>
    <tableColumn id="13" xr3:uid="{F82CAD01-D812-46DD-A6D6-BC145FFAA8D3}" name="Discount" dataCellStyle="Percent"/>
    <tableColumn id="14" xr3:uid="{BF21268A-EB8C-4559-B6CF-545AAE67EBE2}" name="FinalAmount" dataDxfId="14"/>
    <tableColumn id="12" xr3:uid="{B7F3E58D-80E7-4394-A69C-507071323F48}" name="day" dataDxfId="13">
      <calculatedColumnFormula>DAY(J2)</calculatedColumnFormula>
    </tableColumn>
    <tableColumn id="15" xr3:uid="{0F9787BB-BBB3-475E-9C26-9990B1A0B9AC}" name="month" dataDxfId="12">
      <calculatedColumnFormula>MONTH(J:J)</calculatedColumnFormula>
    </tableColumn>
    <tableColumn id="16" xr3:uid="{320D6AB6-E66D-4298-B0F0-F0168C5C345A}" name="year" dataDxfId="11">
      <calculatedColumnFormula>YEAR(Table1[[#This Row],[OrderDate]])</calculatedColumnFormula>
    </tableColumn>
    <tableColumn id="17" xr3:uid="{FD77B04F-348E-4021-88B0-C412CFBA6D1A}" name="DATEVALUE" dataDxfId="10">
      <calculatedColumnFormula>DATEVALUE(J2)</calculatedColumnFormula>
    </tableColumn>
    <tableColumn id="18" xr3:uid="{DFC44397-35FA-46A8-9E8C-4FCE088AA0B7}" name="age" dataDxfId="9">
      <calculatedColumnFormula>DATEDIF(J2, TODAY(), "Y")</calculatedColumnFormula>
    </tableColumn>
    <tableColumn id="19" xr3:uid="{F3C6B2EC-9844-4B69-9C8B-6A14669565BC}" name="working day" dataDxfId="8">
      <calculatedColumnFormula>NETWORKDAYS(J2,J7)</calculatedColumnFormula>
    </tableColumn>
    <tableColumn id="20" xr3:uid="{52FAA148-225C-4720-B859-596842EAB0CF}" name="day and month" dataDxfId="7">
      <calculatedColumnFormula>EOMONTH(A1,0)</calculatedColumnFormula>
    </tableColumn>
    <tableColumn id="21" xr3:uid="{FC76E8DD-0E14-403C-BC01-AF005DEC20DC}" name="Column1" dataDxfId="6">
      <calculatedColumnFormula>TEXT(A1,"DD-MM-YYYY")</calculatedColumnFormula>
    </tableColumn>
    <tableColumn id="22" xr3:uid="{FC88AF6C-53BF-404C-AF05-4CE8CB3DDBE3}" name="revnu" dataDxfId="5">
      <calculatedColumnFormula>IF(I2&gt;50000,"High",IF(I2&gt;=20000,"Medium","Low"))</calculatedColumnFormula>
    </tableColumn>
    <tableColumn id="23" xr3:uid="{8868F4B7-3780-4355-8576-829918E24C61}" name="0" dataDxfId="4">
      <calculatedColumnFormula>IF(G2&lt;0,"Return","Sale")</calculatedColumnFormula>
    </tableColumn>
    <tableColumn id="24" xr3:uid="{B567D104-4E60-4321-B085-DF07C3BA1C2B}" name="Detect Missing" dataDxfId="3">
      <calculatedColumnFormula>IF(ISBLANK(W2),"Missing","OK")</calculatedColumnFormula>
    </tableColumn>
    <tableColumn id="25" xr3:uid="{3EA65B5F-0952-4987-B1A8-484C664D916F}" name="grade" dataDxfId="2">
      <calculatedColumnFormula>IF(A1&gt;=9,"A",IF(A1&gt;=7,"B",IF(A1&gt;=0,"C","no order")))</calculatedColumnFormula>
    </tableColumn>
    <tableColumn id="26" xr3:uid="{A8D19FE5-9D14-47C6-B285-B13542BB8CB6}" name="customor type" dataDxfId="1">
      <calculatedColumnFormula array="1">_xlfn.IFS(
I2&gt;50000,"Premium",
I2&gt;=20000,"Regular",
TRUE,"Basic"
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topLeftCell="M36" workbookViewId="0">
      <selection activeCell="AI50" sqref="AI50"/>
    </sheetView>
  </sheetViews>
  <sheetFormatPr defaultRowHeight="14.4" x14ac:dyDescent="0.3"/>
  <cols>
    <col min="1" max="1" width="9.33203125" style="5" customWidth="1"/>
    <col min="2" max="2" width="12.5546875" style="5" customWidth="1"/>
    <col min="3" max="3" width="15.6640625" customWidth="1"/>
    <col min="4" max="4" width="9.33203125" customWidth="1"/>
    <col min="5" max="5" width="9.21875" customWidth="1"/>
    <col min="6" max="6" width="10.21875" customWidth="1"/>
    <col min="7" max="7" width="9.88671875" style="5" customWidth="1"/>
    <col min="8" max="8" width="10.33203125" style="1" customWidth="1"/>
    <col min="9" max="9" width="11.44140625" style="4" bestFit="1" customWidth="1"/>
    <col min="10" max="10" width="11.44140625" style="9" customWidth="1"/>
    <col min="11" max="11" width="10.44140625" style="3" customWidth="1"/>
    <col min="12" max="12" width="10" style="2" customWidth="1"/>
    <col min="13" max="13" width="13.109375" style="1" customWidth="1"/>
    <col min="14" max="14" width="23" bestFit="1" customWidth="1"/>
    <col min="15" max="15" width="12.88671875" style="5" bestFit="1" customWidth="1"/>
    <col min="17" max="17" width="17" bestFit="1" customWidth="1"/>
    <col min="19" max="19" width="13.5546875" bestFit="1" customWidth="1"/>
    <col min="20" max="20" width="16.21875" bestFit="1" customWidth="1"/>
    <col min="21" max="21" width="10.77734375" bestFit="1" customWidth="1"/>
    <col min="24" max="24" width="15.5546875" bestFit="1" customWidth="1"/>
    <col min="26" max="26" width="15.5546875" bestFit="1" customWidth="1"/>
  </cols>
  <sheetData>
    <row r="1" spans="1:26" x14ac:dyDescent="0.3">
      <c r="A1" s="5" t="s">
        <v>0</v>
      </c>
      <c r="B1" s="5" t="s">
        <v>1</v>
      </c>
      <c r="C1" t="s">
        <v>2</v>
      </c>
      <c r="D1" t="s">
        <v>3</v>
      </c>
      <c r="E1" t="s">
        <v>4</v>
      </c>
      <c r="F1" t="s">
        <v>5</v>
      </c>
      <c r="G1" s="5" t="s">
        <v>6</v>
      </c>
      <c r="H1" s="1" t="s">
        <v>7</v>
      </c>
      <c r="I1" s="4" t="s">
        <v>8</v>
      </c>
      <c r="J1" s="9" t="s">
        <v>9</v>
      </c>
      <c r="K1" s="3" t="s">
        <v>10</v>
      </c>
      <c r="L1" s="2" t="s">
        <v>11</v>
      </c>
      <c r="M1" s="1" t="s">
        <v>12</v>
      </c>
      <c r="N1" s="7" t="s">
        <v>192</v>
      </c>
      <c r="O1" s="5" t="s">
        <v>193</v>
      </c>
      <c r="P1" t="s">
        <v>194</v>
      </c>
      <c r="Q1" t="s">
        <v>195</v>
      </c>
      <c r="R1" t="s">
        <v>196</v>
      </c>
      <c r="S1" s="8" t="s">
        <v>198</v>
      </c>
      <c r="T1" t="s">
        <v>199</v>
      </c>
      <c r="U1" t="s">
        <v>197</v>
      </c>
      <c r="V1" t="s">
        <v>200</v>
      </c>
      <c r="W1" t="s">
        <v>201</v>
      </c>
      <c r="X1" t="s">
        <v>202</v>
      </c>
      <c r="Y1" t="s">
        <v>203</v>
      </c>
      <c r="Z1" t="s">
        <v>204</v>
      </c>
    </row>
    <row r="2" spans="1:26" ht="15.6" x14ac:dyDescent="0.3">
      <c r="A2" s="5">
        <v>1</v>
      </c>
      <c r="B2" s="5">
        <v>1081</v>
      </c>
      <c r="C2" t="s">
        <v>13</v>
      </c>
      <c r="D2" t="s">
        <v>14</v>
      </c>
      <c r="E2" t="s">
        <v>15</v>
      </c>
      <c r="F2" t="s">
        <v>16</v>
      </c>
      <c r="G2" s="5">
        <v>1</v>
      </c>
      <c r="H2" s="1">
        <v>4723</v>
      </c>
      <c r="I2" s="4">
        <v>4723</v>
      </c>
      <c r="J2" s="9" t="s">
        <v>17</v>
      </c>
      <c r="K2" s="3">
        <v>4723</v>
      </c>
      <c r="L2" s="2">
        <v>0.05</v>
      </c>
      <c r="M2" s="1">
        <v>4486.8500000000004</v>
      </c>
      <c r="N2" s="6">
        <f t="shared" ref="N2:N33" si="0">DAY(J2)</f>
        <v>27</v>
      </c>
      <c r="O2" s="5">
        <f t="shared" ref="O2:O33" si="1">MONTH(J:J)</f>
        <v>6</v>
      </c>
      <c r="P2">
        <f>YEAR(Table1[[#This Row],[OrderDate]])</f>
        <v>2023</v>
      </c>
      <c r="Q2" s="8">
        <f>DATEVALUE(J2)</f>
        <v>45104</v>
      </c>
      <c r="R2">
        <f t="shared" ref="R2:R33" ca="1" si="2">DATEDIF(J2, TODAY(), "Y")</f>
        <v>2</v>
      </c>
      <c r="S2">
        <f t="shared" ref="S2:S33" si="3">NETWORKDAYS(J2,J7)</f>
        <v>-41</v>
      </c>
      <c r="T2" t="e">
        <f t="shared" ref="T2:T33" si="4">EOMONTH(A1,0)</f>
        <v>#VALUE!</v>
      </c>
      <c r="U2" t="str">
        <f t="shared" ref="U2:U33" si="5">TEXT(A1,"DD-MM-YYYY")</f>
        <v>OrderID</v>
      </c>
      <c r="V2" t="str">
        <f t="shared" ref="V2:V33" si="6">IF(I2&gt;50000,"High",IF(I2&gt;=20000,"Medium","Low"))</f>
        <v>Low</v>
      </c>
      <c r="W2" t="str">
        <f t="shared" ref="W2:W33" si="7">IF(G2&lt;0,"Return","Sale")</f>
        <v>Sale</v>
      </c>
      <c r="X2" t="str">
        <f t="shared" ref="X2:X33" si="8">IF(ISBLANK(W2),"Missing","OK")</f>
        <v>OK</v>
      </c>
      <c r="Y2" t="str">
        <f t="shared" ref="Y2:Y33" si="9">IF(A1&gt;=9,"A",IF(A1&gt;=7,"B",IF(A1&gt;=0,"C","no order")))</f>
        <v>A</v>
      </c>
      <c r="Z2" t="str" cm="1">
        <f t="array" ref="Z2">_xlfn.IFS(
I2&gt;50000,"Premium",
I2&gt;=20000,"Regular",
TRUE,"Basic"
)</f>
        <v>Basic</v>
      </c>
    </row>
    <row r="3" spans="1:26" x14ac:dyDescent="0.3">
      <c r="A3" s="5">
        <v>2</v>
      </c>
      <c r="B3" s="5">
        <v>1042</v>
      </c>
      <c r="C3" t="s">
        <v>18</v>
      </c>
      <c r="D3" t="s">
        <v>19</v>
      </c>
      <c r="E3" t="s">
        <v>20</v>
      </c>
      <c r="F3" t="s">
        <v>16</v>
      </c>
      <c r="G3" s="5">
        <v>16</v>
      </c>
      <c r="H3" s="1">
        <v>3988</v>
      </c>
      <c r="I3" s="4">
        <v>63808</v>
      </c>
      <c r="J3" s="9" t="s">
        <v>21</v>
      </c>
      <c r="K3" s="3">
        <v>3988</v>
      </c>
      <c r="L3" s="2">
        <v>0.1</v>
      </c>
      <c r="M3" s="1">
        <v>57427.199999999997</v>
      </c>
      <c r="N3">
        <f t="shared" si="0"/>
        <v>20</v>
      </c>
      <c r="O3" s="5">
        <f t="shared" si="1"/>
        <v>8</v>
      </c>
      <c r="P3">
        <f>YEAR(Table1[[#This Row],[OrderDate]])</f>
        <v>2023</v>
      </c>
      <c r="Q3" s="8">
        <f t="shared" ref="Q3:Q33" si="10">DATEVALUE(J3)</f>
        <v>45158</v>
      </c>
      <c r="R3">
        <f t="shared" ca="1" si="2"/>
        <v>2</v>
      </c>
      <c r="S3">
        <f t="shared" si="3"/>
        <v>29</v>
      </c>
      <c r="T3">
        <f t="shared" si="4"/>
        <v>31</v>
      </c>
      <c r="U3" t="str">
        <f t="shared" si="5"/>
        <v>01-01-1900</v>
      </c>
      <c r="V3" t="str">
        <f t="shared" si="6"/>
        <v>High</v>
      </c>
      <c r="W3" t="str">
        <f t="shared" si="7"/>
        <v>Sale</v>
      </c>
      <c r="X3" t="str">
        <f t="shared" si="8"/>
        <v>OK</v>
      </c>
      <c r="Y3" t="str">
        <f t="shared" si="9"/>
        <v>C</v>
      </c>
      <c r="Z3" t="str" cm="1">
        <f t="array" ref="Z3">_xlfn.IFS(
I3&gt;50000,"Premium",
I3&gt;=20000,"Regular",
TRUE,"Basic"
)</f>
        <v>Premium</v>
      </c>
    </row>
    <row r="4" spans="1:26" x14ac:dyDescent="0.3">
      <c r="A4" s="5">
        <v>3</v>
      </c>
      <c r="B4" s="5">
        <v>1092</v>
      </c>
      <c r="C4" t="s">
        <v>22</v>
      </c>
      <c r="D4" t="s">
        <v>23</v>
      </c>
      <c r="E4" t="s">
        <v>15</v>
      </c>
      <c r="F4" t="s">
        <v>16</v>
      </c>
      <c r="G4" s="5">
        <v>17</v>
      </c>
      <c r="H4" s="1">
        <v>3351</v>
      </c>
      <c r="I4" s="4">
        <v>56967</v>
      </c>
      <c r="J4" s="9" t="s">
        <v>24</v>
      </c>
      <c r="K4" s="3">
        <v>3351</v>
      </c>
      <c r="L4" s="2">
        <v>0.1</v>
      </c>
      <c r="M4" s="1">
        <v>51270.3</v>
      </c>
      <c r="N4">
        <f t="shared" si="0"/>
        <v>12</v>
      </c>
      <c r="O4" s="5">
        <f t="shared" si="1"/>
        <v>8</v>
      </c>
      <c r="P4">
        <f>YEAR(Table1[[#This Row],[OrderDate]])</f>
        <v>2023</v>
      </c>
      <c r="Q4" s="8">
        <f t="shared" si="10"/>
        <v>45150</v>
      </c>
      <c r="R4">
        <f t="shared" ca="1" si="2"/>
        <v>2</v>
      </c>
      <c r="S4">
        <f t="shared" si="3"/>
        <v>-138</v>
      </c>
      <c r="T4">
        <f t="shared" si="4"/>
        <v>31</v>
      </c>
      <c r="U4" t="str">
        <f t="shared" si="5"/>
        <v>02-01-1900</v>
      </c>
      <c r="V4" t="str">
        <f t="shared" si="6"/>
        <v>High</v>
      </c>
      <c r="W4" t="str">
        <f t="shared" si="7"/>
        <v>Sale</v>
      </c>
      <c r="X4" t="str">
        <f t="shared" si="8"/>
        <v>OK</v>
      </c>
      <c r="Y4" t="str">
        <f t="shared" si="9"/>
        <v>C</v>
      </c>
      <c r="Z4" t="str" cm="1">
        <f t="array" ref="Z4">_xlfn.IFS(
I4&gt;50000,"Premium",
I4&gt;=20000,"Regular",
TRUE,"Basic"
)</f>
        <v>Premium</v>
      </c>
    </row>
    <row r="5" spans="1:26" x14ac:dyDescent="0.3">
      <c r="A5" s="5">
        <v>4</v>
      </c>
      <c r="C5" t="s">
        <v>13</v>
      </c>
      <c r="D5" t="s">
        <v>25</v>
      </c>
      <c r="E5" t="s">
        <v>26</v>
      </c>
      <c r="F5" t="s">
        <v>27</v>
      </c>
      <c r="G5" s="5">
        <v>7</v>
      </c>
      <c r="H5" s="1">
        <v>4259</v>
      </c>
      <c r="I5" s="4">
        <v>29813</v>
      </c>
      <c r="J5" s="9" t="s">
        <v>28</v>
      </c>
      <c r="K5" s="3">
        <v>4259</v>
      </c>
      <c r="L5" s="2">
        <v>0.1</v>
      </c>
      <c r="M5" s="1">
        <v>26831.7</v>
      </c>
      <c r="N5">
        <f t="shared" si="0"/>
        <v>23</v>
      </c>
      <c r="O5" s="5">
        <f t="shared" si="1"/>
        <v>11</v>
      </c>
      <c r="P5">
        <f>YEAR(Table1[[#This Row],[OrderDate]])</f>
        <v>2023</v>
      </c>
      <c r="Q5" s="8">
        <f t="shared" si="10"/>
        <v>45253</v>
      </c>
      <c r="R5">
        <f t="shared" ca="1" si="2"/>
        <v>2</v>
      </c>
      <c r="S5">
        <f t="shared" si="3"/>
        <v>-74</v>
      </c>
      <c r="T5">
        <f t="shared" si="4"/>
        <v>31</v>
      </c>
      <c r="U5" t="str">
        <f t="shared" si="5"/>
        <v>03-01-1900</v>
      </c>
      <c r="V5" t="str">
        <f t="shared" si="6"/>
        <v>Medium</v>
      </c>
      <c r="W5" t="str">
        <f t="shared" si="7"/>
        <v>Sale</v>
      </c>
      <c r="X5" t="str">
        <f t="shared" si="8"/>
        <v>OK</v>
      </c>
      <c r="Y5" t="str">
        <f t="shared" si="9"/>
        <v>C</v>
      </c>
      <c r="Z5" t="str" cm="1">
        <f t="array" ref="Z5">_xlfn.IFS(
I5&gt;50000,"Premium",
I5&gt;=20000,"Regular",
TRUE,"Basic"
)</f>
        <v>Regular</v>
      </c>
    </row>
    <row r="6" spans="1:26" x14ac:dyDescent="0.3">
      <c r="A6" s="5">
        <v>5</v>
      </c>
      <c r="B6" s="5">
        <v>1017</v>
      </c>
      <c r="C6" t="s">
        <v>29</v>
      </c>
      <c r="D6" t="s">
        <v>19</v>
      </c>
      <c r="E6" t="s">
        <v>26</v>
      </c>
      <c r="F6" t="s">
        <v>27</v>
      </c>
      <c r="G6" s="5">
        <v>14</v>
      </c>
      <c r="H6" s="1">
        <v>4326</v>
      </c>
      <c r="I6" s="4">
        <v>60564</v>
      </c>
      <c r="J6" s="9" t="s">
        <v>30</v>
      </c>
      <c r="K6" s="3">
        <v>4326</v>
      </c>
      <c r="L6" s="2">
        <v>0.1</v>
      </c>
      <c r="M6" s="1">
        <v>54507.6</v>
      </c>
      <c r="N6">
        <f t="shared" si="0"/>
        <v>4</v>
      </c>
      <c r="O6" s="5">
        <f t="shared" si="1"/>
        <v>9</v>
      </c>
      <c r="P6">
        <f>YEAR(Table1[[#This Row],[OrderDate]])</f>
        <v>2023</v>
      </c>
      <c r="Q6" s="8">
        <f t="shared" si="10"/>
        <v>45173</v>
      </c>
      <c r="R6">
        <f t="shared" ca="1" si="2"/>
        <v>2</v>
      </c>
      <c r="S6">
        <f t="shared" si="3"/>
        <v>-150</v>
      </c>
      <c r="T6">
        <f t="shared" si="4"/>
        <v>31</v>
      </c>
      <c r="U6" t="str">
        <f t="shared" si="5"/>
        <v>04-01-1900</v>
      </c>
      <c r="V6" t="str">
        <f t="shared" si="6"/>
        <v>High</v>
      </c>
      <c r="W6" t="str">
        <f t="shared" si="7"/>
        <v>Sale</v>
      </c>
      <c r="X6" t="str">
        <f t="shared" si="8"/>
        <v>OK</v>
      </c>
      <c r="Y6" t="str">
        <f t="shared" si="9"/>
        <v>C</v>
      </c>
      <c r="Z6" t="str" cm="1">
        <f t="array" ref="Z6">_xlfn.IFS(
I6&gt;50000,"Premium",
I6&gt;=20000,"Regular",
TRUE,"Basic"
)</f>
        <v>Premium</v>
      </c>
    </row>
    <row r="7" spans="1:26" x14ac:dyDescent="0.3">
      <c r="A7" s="5">
        <v>6</v>
      </c>
      <c r="B7" s="5">
        <v>123</v>
      </c>
      <c r="C7" t="s">
        <v>18</v>
      </c>
      <c r="D7" t="s">
        <v>14</v>
      </c>
      <c r="E7" t="s">
        <v>31</v>
      </c>
      <c r="F7" t="s">
        <v>16</v>
      </c>
      <c r="G7" s="5">
        <v>1</v>
      </c>
      <c r="H7" s="1">
        <v>4969</v>
      </c>
      <c r="I7" s="4">
        <v>44721</v>
      </c>
      <c r="J7" s="9" t="s">
        <v>32</v>
      </c>
      <c r="K7" s="3">
        <v>4969</v>
      </c>
      <c r="L7" s="2">
        <v>0.1</v>
      </c>
      <c r="M7" s="1">
        <v>40248.9</v>
      </c>
      <c r="N7">
        <f t="shared" si="0"/>
        <v>2</v>
      </c>
      <c r="O7" s="5">
        <f t="shared" si="1"/>
        <v>5</v>
      </c>
      <c r="P7">
        <f>YEAR(Table1[[#This Row],[OrderDate]])</f>
        <v>2023</v>
      </c>
      <c r="Q7" s="8">
        <f t="shared" si="10"/>
        <v>45048</v>
      </c>
      <c r="R7">
        <f t="shared" ca="1" si="2"/>
        <v>3</v>
      </c>
      <c r="S7">
        <f t="shared" si="3"/>
        <v>166</v>
      </c>
      <c r="T7">
        <f t="shared" si="4"/>
        <v>31</v>
      </c>
      <c r="U7" t="str">
        <f t="shared" si="5"/>
        <v>05-01-1900</v>
      </c>
      <c r="V7" t="str">
        <f t="shared" si="6"/>
        <v>Medium</v>
      </c>
      <c r="W7" t="str">
        <f t="shared" si="7"/>
        <v>Sale</v>
      </c>
      <c r="X7" t="str">
        <f t="shared" si="8"/>
        <v>OK</v>
      </c>
      <c r="Y7" t="str">
        <f t="shared" si="9"/>
        <v>C</v>
      </c>
      <c r="Z7" t="str" cm="1">
        <f t="array" ref="Z7">_xlfn.IFS(
I7&gt;50000,"Premium",
I7&gt;=20000,"Regular",
TRUE,"Basic"
)</f>
        <v>Regular</v>
      </c>
    </row>
    <row r="8" spans="1:26" x14ac:dyDescent="0.3">
      <c r="A8" s="5">
        <v>7</v>
      </c>
      <c r="B8" s="5">
        <v>1030</v>
      </c>
      <c r="C8" t="s">
        <v>29</v>
      </c>
      <c r="D8" t="s">
        <v>14</v>
      </c>
      <c r="E8" t="s">
        <v>15</v>
      </c>
      <c r="F8" t="s">
        <v>16</v>
      </c>
      <c r="G8" s="5">
        <v>16</v>
      </c>
      <c r="H8" s="1">
        <v>4894</v>
      </c>
      <c r="I8" s="4">
        <v>78304</v>
      </c>
      <c r="J8" s="9" t="s">
        <v>33</v>
      </c>
      <c r="K8" s="3">
        <v>4894</v>
      </c>
      <c r="L8" s="2">
        <v>0.1</v>
      </c>
      <c r="M8" s="1">
        <v>70473.600000000006</v>
      </c>
      <c r="N8">
        <f t="shared" si="0"/>
        <v>28</v>
      </c>
      <c r="O8" s="5">
        <f t="shared" si="1"/>
        <v>9</v>
      </c>
      <c r="P8">
        <f>YEAR(Table1[[#This Row],[OrderDate]])</f>
        <v>2023</v>
      </c>
      <c r="Q8" s="8">
        <f t="shared" si="10"/>
        <v>45197</v>
      </c>
      <c r="R8">
        <f t="shared" ca="1" si="2"/>
        <v>2</v>
      </c>
      <c r="S8">
        <f t="shared" si="3"/>
        <v>-39</v>
      </c>
      <c r="T8">
        <f t="shared" si="4"/>
        <v>31</v>
      </c>
      <c r="U8" t="str">
        <f t="shared" si="5"/>
        <v>06-01-1900</v>
      </c>
      <c r="V8" t="str">
        <f t="shared" si="6"/>
        <v>High</v>
      </c>
      <c r="W8" t="str">
        <f t="shared" si="7"/>
        <v>Sale</v>
      </c>
      <c r="X8" t="str">
        <f t="shared" si="8"/>
        <v>OK</v>
      </c>
      <c r="Y8" t="str">
        <f t="shared" si="9"/>
        <v>C</v>
      </c>
      <c r="Z8" t="str" cm="1">
        <f t="array" ref="Z8">_xlfn.IFS(
I8&gt;50000,"Premium",
I8&gt;=20000,"Regular",
TRUE,"Basic"
)</f>
        <v>Premium</v>
      </c>
    </row>
    <row r="9" spans="1:26" x14ac:dyDescent="0.3">
      <c r="A9" s="5">
        <v>8</v>
      </c>
      <c r="B9" s="5">
        <v>1030</v>
      </c>
      <c r="C9" t="s">
        <v>29</v>
      </c>
      <c r="D9" t="s">
        <v>34</v>
      </c>
      <c r="E9" t="s">
        <v>15</v>
      </c>
      <c r="F9" t="s">
        <v>27</v>
      </c>
      <c r="G9" s="5">
        <v>7</v>
      </c>
      <c r="H9" s="1">
        <v>3062</v>
      </c>
      <c r="I9" s="4">
        <v>21434</v>
      </c>
      <c r="J9" s="9" t="s">
        <v>35</v>
      </c>
      <c r="K9" s="3">
        <v>3062</v>
      </c>
      <c r="L9" s="2">
        <v>0.1</v>
      </c>
      <c r="M9" s="1">
        <v>19290.599999999999</v>
      </c>
      <c r="N9">
        <f t="shared" si="0"/>
        <v>1</v>
      </c>
      <c r="O9" s="5">
        <f t="shared" si="1"/>
        <v>2</v>
      </c>
      <c r="P9">
        <f>YEAR(Table1[[#This Row],[OrderDate]])</f>
        <v>2023</v>
      </c>
      <c r="Q9" s="8">
        <f t="shared" si="10"/>
        <v>44958</v>
      </c>
      <c r="R9">
        <f t="shared" ca="1" si="2"/>
        <v>3</v>
      </c>
      <c r="S9">
        <f t="shared" si="3"/>
        <v>232</v>
      </c>
      <c r="T9">
        <f t="shared" si="4"/>
        <v>31</v>
      </c>
      <c r="U9" t="str">
        <f t="shared" si="5"/>
        <v>07-01-1900</v>
      </c>
      <c r="V9" t="str">
        <f t="shared" si="6"/>
        <v>Medium</v>
      </c>
      <c r="W9" t="str">
        <f t="shared" si="7"/>
        <v>Sale</v>
      </c>
      <c r="X9" t="str">
        <f t="shared" si="8"/>
        <v>OK</v>
      </c>
      <c r="Y9" t="str">
        <f t="shared" si="9"/>
        <v>B</v>
      </c>
      <c r="Z9" t="str" cm="1">
        <f t="array" ref="Z9">_xlfn.IFS(
I9&gt;50000,"Premium",
I9&gt;=20000,"Regular",
TRUE,"Basic"
)</f>
        <v>Regular</v>
      </c>
    </row>
    <row r="10" spans="1:26" x14ac:dyDescent="0.3">
      <c r="A10" s="5">
        <v>9</v>
      </c>
      <c r="B10" s="5">
        <v>1014</v>
      </c>
      <c r="C10" t="s">
        <v>22</v>
      </c>
      <c r="D10" t="s">
        <v>34</v>
      </c>
      <c r="E10" t="s">
        <v>31</v>
      </c>
      <c r="F10" t="s">
        <v>27</v>
      </c>
      <c r="G10" s="5">
        <v>16</v>
      </c>
      <c r="H10" s="1">
        <v>953</v>
      </c>
      <c r="I10" s="4">
        <v>15248</v>
      </c>
      <c r="J10" s="9" t="s">
        <v>36</v>
      </c>
      <c r="K10" s="3">
        <v>953</v>
      </c>
      <c r="L10" s="2">
        <v>0.1</v>
      </c>
      <c r="M10" s="1">
        <v>13723.2</v>
      </c>
      <c r="N10">
        <f t="shared" si="0"/>
        <v>13</v>
      </c>
      <c r="O10" s="5">
        <f t="shared" si="1"/>
        <v>8</v>
      </c>
      <c r="P10">
        <f>YEAR(Table1[[#This Row],[OrderDate]])</f>
        <v>2023</v>
      </c>
      <c r="Q10" s="8">
        <f t="shared" si="10"/>
        <v>45151</v>
      </c>
      <c r="R10">
        <f t="shared" ca="1" si="2"/>
        <v>2</v>
      </c>
      <c r="S10">
        <f t="shared" si="3"/>
        <v>-111</v>
      </c>
      <c r="T10">
        <f t="shared" si="4"/>
        <v>31</v>
      </c>
      <c r="U10" t="str">
        <f t="shared" si="5"/>
        <v>08-01-1900</v>
      </c>
      <c r="V10" t="str">
        <f t="shared" si="6"/>
        <v>Low</v>
      </c>
      <c r="X10" t="str">
        <f t="shared" si="8"/>
        <v>Missing</v>
      </c>
      <c r="Y10" t="str">
        <f t="shared" si="9"/>
        <v>B</v>
      </c>
      <c r="Z10" t="str" cm="1">
        <f t="array" ref="Z10">_xlfn.IFS(
I10&gt;50000,"Premium",
I10&gt;=20000,"Regular",
TRUE,"Basic"
)</f>
        <v>Basic</v>
      </c>
    </row>
    <row r="11" spans="1:26" x14ac:dyDescent="0.3">
      <c r="A11" s="5">
        <v>10</v>
      </c>
      <c r="B11" s="5">
        <v>1017</v>
      </c>
      <c r="C11" t="s">
        <v>18</v>
      </c>
      <c r="D11" t="s">
        <v>25</v>
      </c>
      <c r="E11" t="s">
        <v>20</v>
      </c>
      <c r="F11" t="s">
        <v>16</v>
      </c>
      <c r="G11" s="5">
        <v>20</v>
      </c>
      <c r="H11" s="1">
        <v>2229</v>
      </c>
      <c r="I11" s="4">
        <v>44580</v>
      </c>
      <c r="J11" s="9" t="s">
        <v>37</v>
      </c>
      <c r="K11" s="3">
        <v>2229</v>
      </c>
      <c r="L11" s="2">
        <v>0.1</v>
      </c>
      <c r="M11" s="1">
        <v>40122</v>
      </c>
      <c r="N11">
        <f t="shared" si="0"/>
        <v>7</v>
      </c>
      <c r="O11" s="5">
        <f t="shared" si="1"/>
        <v>2</v>
      </c>
      <c r="P11">
        <f>YEAR(Table1[[#This Row],[OrderDate]])</f>
        <v>2023</v>
      </c>
      <c r="Q11" s="8">
        <f t="shared" si="10"/>
        <v>44964</v>
      </c>
      <c r="R11">
        <f t="shared" ca="1" si="2"/>
        <v>3</v>
      </c>
      <c r="S11">
        <f t="shared" si="3"/>
        <v>-27</v>
      </c>
      <c r="T11">
        <f t="shared" si="4"/>
        <v>31</v>
      </c>
      <c r="U11" t="str">
        <f t="shared" si="5"/>
        <v>09-01-1900</v>
      </c>
      <c r="V11" t="str">
        <f t="shared" si="6"/>
        <v>Medium</v>
      </c>
      <c r="W11" t="str">
        <f t="shared" si="7"/>
        <v>Sale</v>
      </c>
      <c r="X11" t="str">
        <f t="shared" si="8"/>
        <v>OK</v>
      </c>
      <c r="Y11" t="str">
        <f t="shared" si="9"/>
        <v>A</v>
      </c>
      <c r="Z11" t="str" cm="1">
        <f t="array" ref="Z11">_xlfn.IFS(
I11&gt;50000,"Premium",
I11&gt;=20000,"Regular",
TRUE,"Basic"
)</f>
        <v>Regular</v>
      </c>
    </row>
    <row r="12" spans="1:26" x14ac:dyDescent="0.3">
      <c r="A12" s="5">
        <v>11</v>
      </c>
      <c r="B12" s="5">
        <v>1037</v>
      </c>
      <c r="C12" t="s">
        <v>18</v>
      </c>
      <c r="D12" t="s">
        <v>34</v>
      </c>
      <c r="E12" t="s">
        <v>15</v>
      </c>
      <c r="F12" t="s">
        <v>27</v>
      </c>
      <c r="G12" s="5">
        <v>1</v>
      </c>
      <c r="H12" s="1">
        <v>122</v>
      </c>
      <c r="I12" s="4">
        <v>122</v>
      </c>
      <c r="J12" s="9" t="s">
        <v>38</v>
      </c>
      <c r="K12" s="3">
        <v>122</v>
      </c>
      <c r="L12" s="2">
        <v>0.05</v>
      </c>
      <c r="M12" s="1">
        <v>115.9</v>
      </c>
      <c r="N12">
        <f t="shared" si="0"/>
        <v>19</v>
      </c>
      <c r="O12" s="5">
        <f t="shared" si="1"/>
        <v>12</v>
      </c>
      <c r="P12">
        <f>YEAR(Table1[[#This Row],[OrderDate]])</f>
        <v>2023</v>
      </c>
      <c r="Q12" s="8">
        <f t="shared" si="10"/>
        <v>45279</v>
      </c>
      <c r="R12">
        <f t="shared" ca="1" si="2"/>
        <v>2</v>
      </c>
      <c r="S12">
        <f t="shared" si="3"/>
        <v>5</v>
      </c>
      <c r="T12">
        <f t="shared" si="4"/>
        <v>31</v>
      </c>
      <c r="U12" t="str">
        <f t="shared" si="5"/>
        <v>10-01-1900</v>
      </c>
      <c r="V12" t="str">
        <f t="shared" si="6"/>
        <v>Low</v>
      </c>
      <c r="W12" t="str">
        <f t="shared" si="7"/>
        <v>Sale</v>
      </c>
      <c r="X12" t="str">
        <f t="shared" si="8"/>
        <v>OK</v>
      </c>
      <c r="Y12" t="str">
        <f t="shared" si="9"/>
        <v>A</v>
      </c>
      <c r="Z12" t="str" cm="1">
        <f t="array" ref="Z12">_xlfn.IFS(
I12&gt;50000,"Premium",
I12&gt;=20000,"Regular",
TRUE,"Basic"
)</f>
        <v>Basic</v>
      </c>
    </row>
    <row r="13" spans="1:26" x14ac:dyDescent="0.3">
      <c r="A13" s="5">
        <v>12</v>
      </c>
      <c r="C13" t="s">
        <v>13</v>
      </c>
      <c r="D13" t="s">
        <v>25</v>
      </c>
      <c r="E13" t="s">
        <v>26</v>
      </c>
      <c r="F13" t="s">
        <v>27</v>
      </c>
      <c r="G13" s="5">
        <v>10</v>
      </c>
      <c r="H13" s="1">
        <v>3287</v>
      </c>
      <c r="I13" s="4">
        <v>32870</v>
      </c>
      <c r="J13" s="9" t="s">
        <v>39</v>
      </c>
      <c r="K13" s="3">
        <v>3287</v>
      </c>
      <c r="L13" s="2">
        <v>0.1</v>
      </c>
      <c r="M13" s="1">
        <v>29583</v>
      </c>
      <c r="N13">
        <f t="shared" si="0"/>
        <v>7</v>
      </c>
      <c r="O13" s="5">
        <f t="shared" si="1"/>
        <v>8</v>
      </c>
      <c r="P13">
        <f>YEAR(Table1[[#This Row],[OrderDate]])</f>
        <v>2023</v>
      </c>
      <c r="Q13" s="8">
        <f t="shared" si="10"/>
        <v>45145</v>
      </c>
      <c r="R13">
        <f t="shared" ca="1" si="2"/>
        <v>2</v>
      </c>
      <c r="S13">
        <f t="shared" si="3"/>
        <v>1</v>
      </c>
      <c r="T13">
        <f t="shared" si="4"/>
        <v>31</v>
      </c>
      <c r="U13" t="str">
        <f t="shared" si="5"/>
        <v>11-01-1900</v>
      </c>
      <c r="V13" t="str">
        <f t="shared" si="6"/>
        <v>Medium</v>
      </c>
      <c r="W13" t="str">
        <f t="shared" si="7"/>
        <v>Sale</v>
      </c>
      <c r="X13" t="str">
        <f t="shared" si="8"/>
        <v>OK</v>
      </c>
      <c r="Y13" t="str">
        <f t="shared" si="9"/>
        <v>A</v>
      </c>
      <c r="Z13" t="str" cm="1">
        <f t="array" ref="Z13">_xlfn.IFS(
I13&gt;50000,"Premium",
I13&gt;=20000,"Regular",
TRUE,"Basic"
)</f>
        <v>Regular</v>
      </c>
    </row>
    <row r="14" spans="1:26" x14ac:dyDescent="0.3">
      <c r="A14" s="5">
        <v>13</v>
      </c>
      <c r="B14" s="5">
        <v>1033</v>
      </c>
      <c r="C14" t="s">
        <v>40</v>
      </c>
      <c r="D14" t="s">
        <v>14</v>
      </c>
      <c r="E14" t="s">
        <v>41</v>
      </c>
      <c r="F14" t="s">
        <v>16</v>
      </c>
      <c r="G14" s="5">
        <v>16</v>
      </c>
      <c r="H14" s="1">
        <v>1920</v>
      </c>
      <c r="I14" s="4">
        <v>30720</v>
      </c>
      <c r="J14" s="9" t="s">
        <v>42</v>
      </c>
      <c r="K14" s="3">
        <v>1920</v>
      </c>
      <c r="L14" s="2">
        <v>0.1</v>
      </c>
      <c r="M14" s="1">
        <v>27648</v>
      </c>
      <c r="N14">
        <f t="shared" si="0"/>
        <v>21</v>
      </c>
      <c r="O14" s="5">
        <f t="shared" si="1"/>
        <v>12</v>
      </c>
      <c r="P14">
        <f>YEAR(Table1[[#This Row],[OrderDate]])</f>
        <v>2023</v>
      </c>
      <c r="Q14" s="8">
        <f t="shared" si="10"/>
        <v>45281</v>
      </c>
      <c r="R14">
        <f t="shared" ca="1" si="2"/>
        <v>2</v>
      </c>
      <c r="S14">
        <f t="shared" si="3"/>
        <v>-33</v>
      </c>
      <c r="T14">
        <f t="shared" si="4"/>
        <v>31</v>
      </c>
      <c r="U14" t="str">
        <f t="shared" si="5"/>
        <v>12-01-1900</v>
      </c>
      <c r="V14" t="str">
        <f t="shared" si="6"/>
        <v>Medium</v>
      </c>
      <c r="W14" t="str">
        <f t="shared" si="7"/>
        <v>Sale</v>
      </c>
      <c r="X14" t="str">
        <f t="shared" si="8"/>
        <v>OK</v>
      </c>
      <c r="Y14" t="str">
        <f t="shared" si="9"/>
        <v>A</v>
      </c>
      <c r="Z14" t="str" cm="1">
        <f t="array" ref="Z14">_xlfn.IFS(
I14&gt;50000,"Premium",
I14&gt;=20000,"Regular",
TRUE,"Basic"
)</f>
        <v>Regular</v>
      </c>
    </row>
    <row r="15" spans="1:26" x14ac:dyDescent="0.3">
      <c r="A15" s="5">
        <v>14</v>
      </c>
      <c r="B15" s="5">
        <v>1011</v>
      </c>
      <c r="C15" t="s">
        <v>22</v>
      </c>
      <c r="D15" t="s">
        <v>19</v>
      </c>
      <c r="E15" t="s">
        <v>31</v>
      </c>
      <c r="F15" t="s">
        <v>16</v>
      </c>
      <c r="G15" s="5">
        <v>17</v>
      </c>
      <c r="H15" s="1">
        <v>4885</v>
      </c>
      <c r="I15" s="4">
        <v>83045</v>
      </c>
      <c r="J15" s="9" t="s">
        <v>43</v>
      </c>
      <c r="K15" s="3">
        <v>4885</v>
      </c>
      <c r="L15" s="2">
        <v>0.1</v>
      </c>
      <c r="M15" s="1">
        <v>74740.5</v>
      </c>
      <c r="N15">
        <f t="shared" si="0"/>
        <v>10</v>
      </c>
      <c r="O15" s="5">
        <f t="shared" si="1"/>
        <v>3</v>
      </c>
      <c r="P15">
        <f>YEAR(Table1[[#This Row],[OrderDate]])</f>
        <v>2023</v>
      </c>
      <c r="Q15" s="8">
        <f t="shared" si="10"/>
        <v>44995</v>
      </c>
      <c r="R15">
        <f t="shared" ca="1" si="2"/>
        <v>3</v>
      </c>
      <c r="S15">
        <f t="shared" si="3"/>
        <v>3</v>
      </c>
      <c r="T15">
        <f t="shared" si="4"/>
        <v>31</v>
      </c>
      <c r="U15" t="str">
        <f t="shared" si="5"/>
        <v>13-01-1900</v>
      </c>
      <c r="V15" t="str">
        <f t="shared" si="6"/>
        <v>High</v>
      </c>
      <c r="X15" t="str">
        <f t="shared" si="8"/>
        <v>Missing</v>
      </c>
      <c r="Y15" t="str">
        <f t="shared" si="9"/>
        <v>A</v>
      </c>
      <c r="Z15" t="str" cm="1">
        <f t="array" ref="Z15">_xlfn.IFS(
I15&gt;50000,"Premium",
I15&gt;=20000,"Regular",
TRUE,"Basic"
)</f>
        <v>Premium</v>
      </c>
    </row>
    <row r="16" spans="1:26" x14ac:dyDescent="0.3">
      <c r="A16" s="5">
        <v>15</v>
      </c>
      <c r="B16" s="5">
        <v>1012</v>
      </c>
      <c r="C16" t="s">
        <v>13</v>
      </c>
      <c r="D16" t="s">
        <v>34</v>
      </c>
      <c r="E16" t="s">
        <v>31</v>
      </c>
      <c r="F16" t="s">
        <v>16</v>
      </c>
      <c r="G16" s="5">
        <v>10</v>
      </c>
      <c r="H16" s="1">
        <v>918</v>
      </c>
      <c r="I16" s="4">
        <v>9180</v>
      </c>
      <c r="J16" s="9" t="s">
        <v>44</v>
      </c>
      <c r="K16" s="3">
        <v>918</v>
      </c>
      <c r="L16" s="2">
        <v>0.1</v>
      </c>
      <c r="M16" s="1">
        <v>8262</v>
      </c>
      <c r="N16">
        <f t="shared" si="0"/>
        <v>2</v>
      </c>
      <c r="O16" s="5">
        <f t="shared" si="1"/>
        <v>1</v>
      </c>
      <c r="P16">
        <f>YEAR(Table1[[#This Row],[OrderDate]])</f>
        <v>2023</v>
      </c>
      <c r="Q16" s="8">
        <f t="shared" si="10"/>
        <v>44928</v>
      </c>
      <c r="R16">
        <f t="shared" ca="1" si="2"/>
        <v>3</v>
      </c>
      <c r="S16">
        <f t="shared" si="3"/>
        <v>168</v>
      </c>
      <c r="T16">
        <f t="shared" si="4"/>
        <v>31</v>
      </c>
      <c r="U16" t="str">
        <f t="shared" si="5"/>
        <v>14-01-1900</v>
      </c>
      <c r="V16" t="str">
        <f t="shared" si="6"/>
        <v>Low</v>
      </c>
      <c r="W16" t="str">
        <f t="shared" si="7"/>
        <v>Sale</v>
      </c>
      <c r="X16" t="str">
        <f t="shared" si="8"/>
        <v>OK</v>
      </c>
      <c r="Y16" t="str">
        <f t="shared" si="9"/>
        <v>A</v>
      </c>
      <c r="Z16" t="str" cm="1">
        <f t="array" ref="Z16">_xlfn.IFS(
I16&gt;50000,"Premium",
I16&gt;=20000,"Regular",
TRUE,"Basic"
)</f>
        <v>Basic</v>
      </c>
    </row>
    <row r="17" spans="1:26" x14ac:dyDescent="0.3">
      <c r="A17" s="5">
        <v>16</v>
      </c>
      <c r="B17" s="5">
        <v>1021</v>
      </c>
      <c r="C17" t="s">
        <v>13</v>
      </c>
      <c r="D17" t="s">
        <v>25</v>
      </c>
      <c r="E17" t="s">
        <v>31</v>
      </c>
      <c r="F17" t="s">
        <v>27</v>
      </c>
      <c r="G17" s="5">
        <v>19</v>
      </c>
      <c r="H17" s="1">
        <v>1343</v>
      </c>
      <c r="I17" s="4">
        <v>25517</v>
      </c>
      <c r="J17" s="9" t="s">
        <v>45</v>
      </c>
      <c r="K17" s="3">
        <v>1343</v>
      </c>
      <c r="L17" s="2">
        <v>0.1</v>
      </c>
      <c r="M17" s="1">
        <v>22965.3</v>
      </c>
      <c r="N17">
        <f t="shared" si="0"/>
        <v>25</v>
      </c>
      <c r="O17" s="5">
        <f t="shared" si="1"/>
        <v>12</v>
      </c>
      <c r="P17">
        <f>YEAR(Table1[[#This Row],[OrderDate]])</f>
        <v>2023</v>
      </c>
      <c r="Q17" s="8">
        <f t="shared" si="10"/>
        <v>45285</v>
      </c>
      <c r="R17">
        <f t="shared" ca="1" si="2"/>
        <v>2</v>
      </c>
      <c r="S17">
        <f t="shared" si="3"/>
        <v>-163</v>
      </c>
      <c r="T17">
        <f t="shared" si="4"/>
        <v>31</v>
      </c>
      <c r="U17" t="str">
        <f t="shared" si="5"/>
        <v>15-01-1900</v>
      </c>
      <c r="V17" t="str">
        <f t="shared" si="6"/>
        <v>Medium</v>
      </c>
      <c r="W17" t="str">
        <f t="shared" si="7"/>
        <v>Sale</v>
      </c>
      <c r="X17" t="str">
        <f t="shared" si="8"/>
        <v>OK</v>
      </c>
      <c r="Y17" t="str">
        <f t="shared" si="9"/>
        <v>A</v>
      </c>
      <c r="Z17" t="str" cm="1">
        <f t="array" ref="Z17">_xlfn.IFS(
I17&gt;50000,"Premium",
I17&gt;=20000,"Regular",
TRUE,"Basic"
)</f>
        <v>Regular</v>
      </c>
    </row>
    <row r="18" spans="1:26" x14ac:dyDescent="0.3">
      <c r="A18" s="5">
        <v>17</v>
      </c>
      <c r="B18" s="5">
        <v>1040</v>
      </c>
      <c r="C18" t="s">
        <v>40</v>
      </c>
      <c r="D18" t="s">
        <v>23</v>
      </c>
      <c r="E18" t="s">
        <v>31</v>
      </c>
      <c r="F18" t="s">
        <v>16</v>
      </c>
      <c r="G18" s="5">
        <v>20</v>
      </c>
      <c r="H18" s="1">
        <v>2153</v>
      </c>
      <c r="I18" s="4">
        <v>43060</v>
      </c>
      <c r="J18" s="9" t="s">
        <v>39</v>
      </c>
      <c r="K18" s="3">
        <v>2153</v>
      </c>
      <c r="L18" s="2">
        <v>0.1</v>
      </c>
      <c r="M18" s="1">
        <v>38754</v>
      </c>
      <c r="N18">
        <f t="shared" si="0"/>
        <v>7</v>
      </c>
      <c r="O18" s="5">
        <f t="shared" si="1"/>
        <v>8</v>
      </c>
      <c r="P18">
        <f>YEAR(Table1[[#This Row],[OrderDate]])</f>
        <v>2023</v>
      </c>
      <c r="Q18" s="8">
        <f t="shared" si="10"/>
        <v>45145</v>
      </c>
      <c r="R18">
        <f t="shared" ca="1" si="2"/>
        <v>2</v>
      </c>
      <c r="S18">
        <f t="shared" si="3"/>
        <v>86</v>
      </c>
      <c r="T18">
        <f t="shared" si="4"/>
        <v>31</v>
      </c>
      <c r="U18" t="str">
        <f t="shared" si="5"/>
        <v>16-01-1900</v>
      </c>
      <c r="V18" t="str">
        <f t="shared" si="6"/>
        <v>Medium</v>
      </c>
      <c r="W18" t="str">
        <f t="shared" si="7"/>
        <v>Sale</v>
      </c>
      <c r="X18" t="str">
        <f t="shared" si="8"/>
        <v>OK</v>
      </c>
      <c r="Y18" t="str">
        <f t="shared" si="9"/>
        <v>A</v>
      </c>
      <c r="Z18" t="str" cm="1">
        <f t="array" ref="Z18">_xlfn.IFS(
I18&gt;50000,"Premium",
I18&gt;=20000,"Regular",
TRUE,"Basic"
)</f>
        <v>Regular</v>
      </c>
    </row>
    <row r="19" spans="1:26" x14ac:dyDescent="0.3">
      <c r="A19" s="5">
        <v>18</v>
      </c>
      <c r="B19" s="5">
        <v>1017</v>
      </c>
      <c r="C19" t="s">
        <v>22</v>
      </c>
      <c r="D19" t="s">
        <v>25</v>
      </c>
      <c r="E19" t="s">
        <v>15</v>
      </c>
      <c r="F19" t="s">
        <v>16</v>
      </c>
      <c r="G19" s="5">
        <v>14</v>
      </c>
      <c r="H19" s="1">
        <v>4814</v>
      </c>
      <c r="I19" s="4">
        <v>67396</v>
      </c>
      <c r="J19" s="9" t="s">
        <v>46</v>
      </c>
      <c r="K19" s="3">
        <v>4814</v>
      </c>
      <c r="L19" s="2">
        <v>0.1</v>
      </c>
      <c r="M19" s="1">
        <v>60656.4</v>
      </c>
      <c r="N19">
        <f t="shared" si="0"/>
        <v>7</v>
      </c>
      <c r="O19" s="5">
        <f t="shared" si="1"/>
        <v>11</v>
      </c>
      <c r="P19">
        <f>YEAR(Table1[[#This Row],[OrderDate]])</f>
        <v>2023</v>
      </c>
      <c r="Q19" s="8">
        <f t="shared" si="10"/>
        <v>45237</v>
      </c>
      <c r="R19">
        <f t="shared" ca="1" si="2"/>
        <v>2</v>
      </c>
      <c r="S19">
        <f t="shared" si="3"/>
        <v>-10</v>
      </c>
      <c r="T19">
        <f t="shared" si="4"/>
        <v>31</v>
      </c>
      <c r="U19" t="str">
        <f t="shared" si="5"/>
        <v>17-01-1900</v>
      </c>
      <c r="V19" t="str">
        <f t="shared" si="6"/>
        <v>High</v>
      </c>
      <c r="W19" t="str">
        <f t="shared" si="7"/>
        <v>Sale</v>
      </c>
      <c r="X19" t="str">
        <f t="shared" si="8"/>
        <v>OK</v>
      </c>
      <c r="Y19" t="str">
        <f t="shared" si="9"/>
        <v>A</v>
      </c>
      <c r="Z19" t="str" cm="1">
        <f t="array" ref="Z19">_xlfn.IFS(
I19&gt;50000,"Premium",
I19&gt;=20000,"Regular",
TRUE,"Basic"
)</f>
        <v>Premium</v>
      </c>
    </row>
    <row r="20" spans="1:26" x14ac:dyDescent="0.3">
      <c r="A20" s="5">
        <v>19</v>
      </c>
      <c r="B20" s="5">
        <v>1090</v>
      </c>
      <c r="C20" t="s">
        <v>18</v>
      </c>
      <c r="D20" t="s">
        <v>23</v>
      </c>
      <c r="E20" t="s">
        <v>41</v>
      </c>
      <c r="F20" t="s">
        <v>16</v>
      </c>
      <c r="G20" s="5">
        <v>18</v>
      </c>
      <c r="H20" s="1">
        <v>3537</v>
      </c>
      <c r="I20" s="4">
        <v>63666</v>
      </c>
      <c r="J20" s="9" t="s">
        <v>47</v>
      </c>
      <c r="K20" s="3">
        <v>3537</v>
      </c>
      <c r="L20" s="2">
        <v>0.1</v>
      </c>
      <c r="M20" s="1">
        <v>57299.4</v>
      </c>
      <c r="N20">
        <f t="shared" si="0"/>
        <v>14</v>
      </c>
      <c r="O20" s="5">
        <f t="shared" si="1"/>
        <v>3</v>
      </c>
      <c r="P20">
        <f>YEAR(Table1[[#This Row],[OrderDate]])</f>
        <v>2023</v>
      </c>
      <c r="Q20" s="8">
        <f t="shared" si="10"/>
        <v>44999</v>
      </c>
      <c r="R20">
        <f t="shared" ca="1" si="2"/>
        <v>3</v>
      </c>
      <c r="S20">
        <f t="shared" si="3"/>
        <v>-40</v>
      </c>
      <c r="T20">
        <f t="shared" si="4"/>
        <v>31</v>
      </c>
      <c r="U20" t="str">
        <f t="shared" si="5"/>
        <v>18-01-1900</v>
      </c>
      <c r="V20" t="str">
        <f t="shared" si="6"/>
        <v>High</v>
      </c>
      <c r="W20" t="str">
        <f t="shared" si="7"/>
        <v>Sale</v>
      </c>
      <c r="X20" t="str">
        <f t="shared" si="8"/>
        <v>OK</v>
      </c>
      <c r="Y20" t="str">
        <f t="shared" si="9"/>
        <v>A</v>
      </c>
      <c r="Z20" t="str" cm="1">
        <f t="array" ref="Z20">_xlfn.IFS(
I20&gt;50000,"Premium",
I20&gt;=20000,"Regular",
TRUE,"Basic"
)</f>
        <v>Premium</v>
      </c>
    </row>
    <row r="21" spans="1:26" x14ac:dyDescent="0.3">
      <c r="A21" s="5">
        <v>20</v>
      </c>
      <c r="B21" s="5">
        <v>1044</v>
      </c>
      <c r="C21" t="s">
        <v>29</v>
      </c>
      <c r="D21" t="s">
        <v>34</v>
      </c>
      <c r="E21" t="s">
        <v>31</v>
      </c>
      <c r="F21" t="s">
        <v>27</v>
      </c>
      <c r="G21" s="5">
        <v>11</v>
      </c>
      <c r="H21" s="1">
        <v>2872</v>
      </c>
      <c r="I21" s="4">
        <v>31592</v>
      </c>
      <c r="J21" s="9" t="s">
        <v>48</v>
      </c>
      <c r="K21" s="3">
        <v>2872</v>
      </c>
      <c r="L21" s="2">
        <v>0.1</v>
      </c>
      <c r="M21" s="1">
        <v>28432.799999999999</v>
      </c>
      <c r="N21">
        <f t="shared" si="0"/>
        <v>23</v>
      </c>
      <c r="O21" s="5">
        <f t="shared" si="1"/>
        <v>8</v>
      </c>
      <c r="P21">
        <f>YEAR(Table1[[#This Row],[OrderDate]])</f>
        <v>2023</v>
      </c>
      <c r="Q21" s="8">
        <f t="shared" si="10"/>
        <v>45161</v>
      </c>
      <c r="R21">
        <f t="shared" ca="1" si="2"/>
        <v>2</v>
      </c>
      <c r="S21">
        <f t="shared" si="3"/>
        <v>78</v>
      </c>
      <c r="T21">
        <f t="shared" si="4"/>
        <v>31</v>
      </c>
      <c r="U21" t="str">
        <f t="shared" si="5"/>
        <v>19-01-1900</v>
      </c>
      <c r="V21" t="str">
        <f t="shared" si="6"/>
        <v>Medium</v>
      </c>
      <c r="W21" t="str">
        <f t="shared" si="7"/>
        <v>Sale</v>
      </c>
      <c r="X21" t="str">
        <f t="shared" si="8"/>
        <v>OK</v>
      </c>
      <c r="Y21" t="str">
        <f t="shared" si="9"/>
        <v>A</v>
      </c>
      <c r="Z21" t="str" cm="1">
        <f t="array" ref="Z21">_xlfn.IFS(
I21&gt;50000,"Premium",
I21&gt;=20000,"Regular",
TRUE,"Basic"
)</f>
        <v>Regular</v>
      </c>
    </row>
    <row r="22" spans="1:26" x14ac:dyDescent="0.3">
      <c r="A22" s="5">
        <v>21</v>
      </c>
      <c r="B22" s="5">
        <v>1050</v>
      </c>
      <c r="C22" t="s">
        <v>13</v>
      </c>
      <c r="D22" t="s">
        <v>19</v>
      </c>
      <c r="E22" t="s">
        <v>15</v>
      </c>
      <c r="F22" t="s">
        <v>27</v>
      </c>
      <c r="G22" s="5">
        <v>14</v>
      </c>
      <c r="H22" s="1">
        <v>994</v>
      </c>
      <c r="I22" s="4">
        <v>13916</v>
      </c>
      <c r="J22" s="9" t="s">
        <v>49</v>
      </c>
      <c r="K22" s="3">
        <v>994</v>
      </c>
      <c r="L22" s="2">
        <v>0.1</v>
      </c>
      <c r="M22" s="1">
        <v>12524.4</v>
      </c>
      <c r="N22">
        <f t="shared" si="0"/>
        <v>11</v>
      </c>
      <c r="O22" s="5">
        <f t="shared" si="1"/>
        <v>5</v>
      </c>
      <c r="P22">
        <f>YEAR(Table1[[#This Row],[OrderDate]])</f>
        <v>2023</v>
      </c>
      <c r="Q22" s="8">
        <f t="shared" si="10"/>
        <v>45057</v>
      </c>
      <c r="R22">
        <f t="shared" ca="1" si="2"/>
        <v>2</v>
      </c>
      <c r="S22">
        <f t="shared" si="3"/>
        <v>117</v>
      </c>
      <c r="T22">
        <f t="shared" si="4"/>
        <v>31</v>
      </c>
      <c r="U22" t="str">
        <f t="shared" si="5"/>
        <v>20-01-1900</v>
      </c>
      <c r="V22" t="str">
        <f t="shared" si="6"/>
        <v>Low</v>
      </c>
      <c r="X22" t="str">
        <f t="shared" si="8"/>
        <v>Missing</v>
      </c>
      <c r="Y22" t="str">
        <f t="shared" si="9"/>
        <v>A</v>
      </c>
      <c r="Z22" t="str" cm="1">
        <f t="array" ref="Z22">_xlfn.IFS(
I22&gt;50000,"Premium",
I22&gt;=20000,"Regular",
TRUE,"Basic"
)</f>
        <v>Basic</v>
      </c>
    </row>
    <row r="23" spans="1:26" x14ac:dyDescent="0.3">
      <c r="A23" s="5">
        <v>22</v>
      </c>
      <c r="B23" s="5">
        <v>1074</v>
      </c>
      <c r="C23" t="s">
        <v>29</v>
      </c>
      <c r="D23" t="s">
        <v>19</v>
      </c>
      <c r="E23" t="s">
        <v>20</v>
      </c>
      <c r="F23" t="s">
        <v>27</v>
      </c>
      <c r="G23" s="5">
        <v>17</v>
      </c>
      <c r="H23" s="1">
        <v>1894</v>
      </c>
      <c r="I23" s="4">
        <v>32198</v>
      </c>
      <c r="J23" s="9" t="s">
        <v>50</v>
      </c>
      <c r="K23" s="3">
        <v>1894</v>
      </c>
      <c r="L23" s="2">
        <v>0.1</v>
      </c>
      <c r="M23" s="1">
        <v>28978.2</v>
      </c>
      <c r="N23">
        <f t="shared" si="0"/>
        <v>4</v>
      </c>
      <c r="O23" s="5">
        <f t="shared" si="1"/>
        <v>12</v>
      </c>
      <c r="P23">
        <f>YEAR(Table1[[#This Row],[OrderDate]])</f>
        <v>2023</v>
      </c>
      <c r="Q23" s="8">
        <f t="shared" si="10"/>
        <v>45264</v>
      </c>
      <c r="R23">
        <f t="shared" ca="1" si="2"/>
        <v>2</v>
      </c>
      <c r="S23">
        <f t="shared" si="3"/>
        <v>-115</v>
      </c>
      <c r="T23">
        <f t="shared" si="4"/>
        <v>31</v>
      </c>
      <c r="U23" t="str">
        <f t="shared" si="5"/>
        <v>21-01-1900</v>
      </c>
      <c r="V23" t="str">
        <f t="shared" si="6"/>
        <v>Medium</v>
      </c>
      <c r="W23" t="str">
        <f t="shared" si="7"/>
        <v>Sale</v>
      </c>
      <c r="X23" t="str">
        <f t="shared" si="8"/>
        <v>OK</v>
      </c>
      <c r="Y23" t="str">
        <f t="shared" si="9"/>
        <v>A</v>
      </c>
      <c r="Z23" t="str" cm="1">
        <f t="array" ref="Z23">_xlfn.IFS(
I23&gt;50000,"Premium",
I23&gt;=20000,"Regular",
TRUE,"Basic"
)</f>
        <v>Regular</v>
      </c>
    </row>
    <row r="24" spans="1:26" x14ac:dyDescent="0.3">
      <c r="A24" s="5">
        <v>23</v>
      </c>
      <c r="B24" s="5">
        <v>1009</v>
      </c>
      <c r="C24" t="s">
        <v>22</v>
      </c>
      <c r="D24" t="s">
        <v>25</v>
      </c>
      <c r="E24" t="s">
        <v>20</v>
      </c>
      <c r="F24" t="s">
        <v>27</v>
      </c>
      <c r="G24" s="5">
        <v>20</v>
      </c>
      <c r="H24" s="1">
        <v>3459</v>
      </c>
      <c r="I24" s="4">
        <v>69180</v>
      </c>
      <c r="J24" s="9" t="s">
        <v>51</v>
      </c>
      <c r="K24" s="3">
        <v>3459</v>
      </c>
      <c r="L24" s="2">
        <v>0.1</v>
      </c>
      <c r="M24" s="1">
        <v>62262</v>
      </c>
      <c r="N24">
        <f t="shared" si="0"/>
        <v>25</v>
      </c>
      <c r="O24" s="5">
        <f t="shared" si="1"/>
        <v>10</v>
      </c>
      <c r="P24">
        <f>YEAR(Table1[[#This Row],[OrderDate]])</f>
        <v>2023</v>
      </c>
      <c r="Q24" s="8">
        <f t="shared" si="10"/>
        <v>45224</v>
      </c>
      <c r="R24">
        <f t="shared" ca="1" si="2"/>
        <v>2</v>
      </c>
      <c r="S24">
        <f t="shared" si="3"/>
        <v>-178</v>
      </c>
      <c r="T24">
        <f t="shared" si="4"/>
        <v>31</v>
      </c>
      <c r="U24" t="str">
        <f t="shared" si="5"/>
        <v>22-01-1900</v>
      </c>
      <c r="V24" t="str">
        <f t="shared" si="6"/>
        <v>High</v>
      </c>
      <c r="W24" t="str">
        <f t="shared" si="7"/>
        <v>Sale</v>
      </c>
      <c r="X24" t="str">
        <f t="shared" si="8"/>
        <v>OK</v>
      </c>
      <c r="Y24" t="str">
        <f t="shared" si="9"/>
        <v>A</v>
      </c>
      <c r="Z24" t="str" cm="1">
        <f t="array" ref="Z24">_xlfn.IFS(
I24&gt;50000,"Premium",
I24&gt;=20000,"Regular",
TRUE,"Basic"
)</f>
        <v>Premium</v>
      </c>
    </row>
    <row r="25" spans="1:26" x14ac:dyDescent="0.3">
      <c r="A25" s="5">
        <v>24</v>
      </c>
      <c r="B25" s="5">
        <v>1034</v>
      </c>
      <c r="C25" t="s">
        <v>22</v>
      </c>
      <c r="D25" t="s">
        <v>14</v>
      </c>
      <c r="E25" t="s">
        <v>26</v>
      </c>
      <c r="F25" t="s">
        <v>16</v>
      </c>
      <c r="G25" s="5">
        <v>20</v>
      </c>
      <c r="H25" s="1">
        <v>1661</v>
      </c>
      <c r="I25" s="4">
        <v>33220</v>
      </c>
      <c r="J25" s="9" t="s">
        <v>52</v>
      </c>
      <c r="K25" s="3">
        <v>1661</v>
      </c>
      <c r="L25" s="2">
        <v>0.1</v>
      </c>
      <c r="M25" s="1">
        <v>29898</v>
      </c>
      <c r="N25">
        <f t="shared" si="0"/>
        <v>18</v>
      </c>
      <c r="O25" s="5">
        <f t="shared" si="1"/>
        <v>1</v>
      </c>
      <c r="P25">
        <f>YEAR(Table1[[#This Row],[OrderDate]])</f>
        <v>2023</v>
      </c>
      <c r="Q25" s="8">
        <f t="shared" si="10"/>
        <v>44944</v>
      </c>
      <c r="R25">
        <f t="shared" ca="1" si="2"/>
        <v>3</v>
      </c>
      <c r="S25">
        <f t="shared" si="3"/>
        <v>-12</v>
      </c>
      <c r="T25">
        <f t="shared" si="4"/>
        <v>31</v>
      </c>
      <c r="U25" t="str">
        <f t="shared" si="5"/>
        <v>23-01-1900</v>
      </c>
      <c r="V25" t="str">
        <f t="shared" si="6"/>
        <v>Medium</v>
      </c>
      <c r="W25" t="str">
        <f t="shared" si="7"/>
        <v>Sale</v>
      </c>
      <c r="X25" t="str">
        <f t="shared" si="8"/>
        <v>OK</v>
      </c>
      <c r="Y25" t="str">
        <f t="shared" si="9"/>
        <v>A</v>
      </c>
      <c r="Z25" t="str" cm="1">
        <f t="array" ref="Z25">_xlfn.IFS(
I25&gt;50000,"Premium",
I25&gt;=20000,"Regular",
TRUE,"Basic"
)</f>
        <v>Regular</v>
      </c>
    </row>
    <row r="26" spans="1:26" x14ac:dyDescent="0.3">
      <c r="A26" s="5">
        <v>25</v>
      </c>
      <c r="B26" s="5">
        <v>1077</v>
      </c>
      <c r="C26" t="s">
        <v>22</v>
      </c>
      <c r="D26" t="s">
        <v>23</v>
      </c>
      <c r="E26" t="s">
        <v>15</v>
      </c>
      <c r="F26" t="s">
        <v>27</v>
      </c>
      <c r="G26" s="5">
        <v>6</v>
      </c>
      <c r="H26" s="1">
        <v>2155</v>
      </c>
      <c r="I26" s="4">
        <v>12930</v>
      </c>
      <c r="J26" s="9" t="s">
        <v>53</v>
      </c>
      <c r="K26" s="3">
        <v>2155</v>
      </c>
      <c r="L26" s="2">
        <v>0.1</v>
      </c>
      <c r="M26" s="1">
        <v>11637</v>
      </c>
      <c r="N26">
        <f t="shared" si="0"/>
        <v>8</v>
      </c>
      <c r="O26" s="5">
        <f t="shared" si="1"/>
        <v>12</v>
      </c>
      <c r="P26">
        <f>YEAR(Table1[[#This Row],[OrderDate]])</f>
        <v>2023</v>
      </c>
      <c r="Q26" s="8">
        <f t="shared" si="10"/>
        <v>45268</v>
      </c>
      <c r="R26">
        <f t="shared" ca="1" si="2"/>
        <v>2</v>
      </c>
      <c r="S26">
        <f t="shared" si="3"/>
        <v>-179</v>
      </c>
      <c r="T26">
        <f t="shared" si="4"/>
        <v>31</v>
      </c>
      <c r="U26" t="str">
        <f t="shared" si="5"/>
        <v>24-01-1900</v>
      </c>
      <c r="V26" t="str">
        <f t="shared" si="6"/>
        <v>Low</v>
      </c>
      <c r="W26" t="str">
        <f t="shared" si="7"/>
        <v>Sale</v>
      </c>
      <c r="X26" t="str">
        <f t="shared" si="8"/>
        <v>OK</v>
      </c>
      <c r="Y26" t="str">
        <f t="shared" si="9"/>
        <v>A</v>
      </c>
      <c r="Z26" t="str" cm="1">
        <f t="array" ref="Z26">_xlfn.IFS(
I26&gt;50000,"Premium",
I26&gt;=20000,"Regular",
TRUE,"Basic"
)</f>
        <v>Basic</v>
      </c>
    </row>
    <row r="27" spans="1:26" x14ac:dyDescent="0.3">
      <c r="A27" s="5">
        <v>26</v>
      </c>
      <c r="B27" s="5">
        <v>1022</v>
      </c>
      <c r="C27" t="s">
        <v>22</v>
      </c>
      <c r="D27" t="s">
        <v>14</v>
      </c>
      <c r="E27" t="s">
        <v>41</v>
      </c>
      <c r="F27" t="s">
        <v>16</v>
      </c>
      <c r="G27" s="5">
        <v>8</v>
      </c>
      <c r="H27" s="1">
        <v>3781</v>
      </c>
      <c r="I27" s="4">
        <v>30248</v>
      </c>
      <c r="J27" s="9" t="s">
        <v>54</v>
      </c>
      <c r="K27" s="3">
        <v>3781</v>
      </c>
      <c r="L27" s="2">
        <v>0.1</v>
      </c>
      <c r="M27" s="1">
        <v>27223.200000000001</v>
      </c>
      <c r="O27" s="5">
        <f t="shared" si="1"/>
        <v>10</v>
      </c>
      <c r="P27">
        <f>YEAR(Table1[[#This Row],[OrderDate]])</f>
        <v>2023</v>
      </c>
      <c r="Q27" s="8">
        <f t="shared" si="10"/>
        <v>45219</v>
      </c>
      <c r="R27">
        <f t="shared" ca="1" si="2"/>
        <v>2</v>
      </c>
      <c r="S27">
        <f t="shared" si="3"/>
        <v>12</v>
      </c>
      <c r="T27">
        <f t="shared" si="4"/>
        <v>31</v>
      </c>
      <c r="U27" t="str">
        <f t="shared" si="5"/>
        <v>25-01-1900</v>
      </c>
      <c r="V27" t="str">
        <f t="shared" si="6"/>
        <v>Medium</v>
      </c>
      <c r="W27" t="str">
        <f t="shared" si="7"/>
        <v>Sale</v>
      </c>
      <c r="X27" t="str">
        <f t="shared" si="8"/>
        <v>OK</v>
      </c>
      <c r="Y27" t="str">
        <f t="shared" si="9"/>
        <v>A</v>
      </c>
      <c r="Z27" t="str" cm="1">
        <f t="array" ref="Z27">_xlfn.IFS(
I27&gt;50000,"Premium",
I27&gt;=20000,"Regular",
TRUE,"Basic"
)</f>
        <v>Regular</v>
      </c>
    </row>
    <row r="28" spans="1:26" x14ac:dyDescent="0.3">
      <c r="A28" s="5">
        <v>27</v>
      </c>
      <c r="B28" s="5">
        <v>1063</v>
      </c>
      <c r="C28" t="s">
        <v>13</v>
      </c>
      <c r="D28" t="s">
        <v>34</v>
      </c>
      <c r="E28" t="s">
        <v>15</v>
      </c>
      <c r="F28" t="s">
        <v>27</v>
      </c>
      <c r="G28" s="5">
        <v>18</v>
      </c>
      <c r="H28" s="1">
        <v>2114</v>
      </c>
      <c r="I28" s="4">
        <v>38052</v>
      </c>
      <c r="J28" s="9" t="s">
        <v>17</v>
      </c>
      <c r="K28" s="3">
        <v>2114</v>
      </c>
      <c r="L28" s="2">
        <v>0.1</v>
      </c>
      <c r="M28" s="1">
        <v>34246.800000000003</v>
      </c>
      <c r="N28">
        <f t="shared" si="0"/>
        <v>27</v>
      </c>
      <c r="O28" s="5">
        <f t="shared" si="1"/>
        <v>6</v>
      </c>
      <c r="P28">
        <f>YEAR(Table1[[#This Row],[OrderDate]])</f>
        <v>2023</v>
      </c>
      <c r="Q28" s="8">
        <f t="shared" si="10"/>
        <v>45104</v>
      </c>
      <c r="R28">
        <f t="shared" ca="1" si="2"/>
        <v>2</v>
      </c>
      <c r="S28">
        <f t="shared" si="3"/>
        <v>-97</v>
      </c>
      <c r="T28">
        <f t="shared" si="4"/>
        <v>31</v>
      </c>
      <c r="U28" t="str">
        <f t="shared" si="5"/>
        <v>26-01-1900</v>
      </c>
      <c r="V28" t="str">
        <f t="shared" si="6"/>
        <v>Medium</v>
      </c>
      <c r="W28" t="str">
        <f t="shared" si="7"/>
        <v>Sale</v>
      </c>
      <c r="X28" t="str">
        <f t="shared" si="8"/>
        <v>OK</v>
      </c>
      <c r="Y28" t="str">
        <f t="shared" si="9"/>
        <v>A</v>
      </c>
      <c r="Z28" t="str" cm="1">
        <f t="array" ref="Z28">_xlfn.IFS(
I28&gt;50000,"Premium",
I28&gt;=20000,"Regular",
TRUE,"Basic"
)</f>
        <v>Regular</v>
      </c>
    </row>
    <row r="29" spans="1:26" x14ac:dyDescent="0.3">
      <c r="A29" s="5">
        <v>28</v>
      </c>
      <c r="B29" s="5">
        <v>1016</v>
      </c>
      <c r="C29" t="s">
        <v>29</v>
      </c>
      <c r="D29" t="s">
        <v>25</v>
      </c>
      <c r="E29" t="s">
        <v>15</v>
      </c>
      <c r="F29" t="s">
        <v>16</v>
      </c>
      <c r="G29" s="5">
        <v>12</v>
      </c>
      <c r="H29" s="1">
        <v>4799</v>
      </c>
      <c r="I29" s="4">
        <v>57588</v>
      </c>
      <c r="J29" s="9" t="s">
        <v>55</v>
      </c>
      <c r="K29" s="3">
        <v>4799</v>
      </c>
      <c r="L29" s="2">
        <v>0.1</v>
      </c>
      <c r="M29" s="1">
        <v>51829.2</v>
      </c>
      <c r="N29">
        <f t="shared" si="0"/>
        <v>20</v>
      </c>
      <c r="O29" s="5">
        <f t="shared" si="1"/>
        <v>2</v>
      </c>
      <c r="P29">
        <f>YEAR(Table1[[#This Row],[OrderDate]])</f>
        <v>2023</v>
      </c>
      <c r="Q29" s="8">
        <f t="shared" si="10"/>
        <v>44977</v>
      </c>
      <c r="R29">
        <f t="shared" ca="1" si="2"/>
        <v>3</v>
      </c>
      <c r="S29">
        <f t="shared" si="3"/>
        <v>109</v>
      </c>
      <c r="T29">
        <f t="shared" si="4"/>
        <v>31</v>
      </c>
      <c r="U29" t="str">
        <f t="shared" si="5"/>
        <v>27-01-1900</v>
      </c>
      <c r="V29" t="str">
        <f t="shared" si="6"/>
        <v>High</v>
      </c>
      <c r="W29" t="str">
        <f t="shared" si="7"/>
        <v>Sale</v>
      </c>
      <c r="X29" t="str">
        <f t="shared" si="8"/>
        <v>OK</v>
      </c>
      <c r="Y29" t="str">
        <f t="shared" si="9"/>
        <v>A</v>
      </c>
      <c r="Z29" t="str" cm="1">
        <f t="array" ref="Z29">_xlfn.IFS(
I29&gt;50000,"Premium",
I29&gt;=20000,"Regular",
TRUE,"Basic"
)</f>
        <v>Premium</v>
      </c>
    </row>
    <row r="30" spans="1:26" x14ac:dyDescent="0.3">
      <c r="A30" s="5">
        <v>29</v>
      </c>
      <c r="B30" s="5">
        <v>1098</v>
      </c>
      <c r="C30" t="s">
        <v>29</v>
      </c>
      <c r="D30" t="s">
        <v>25</v>
      </c>
      <c r="E30" t="s">
        <v>31</v>
      </c>
      <c r="F30" t="s">
        <v>27</v>
      </c>
      <c r="G30" s="5">
        <v>7</v>
      </c>
      <c r="H30" s="1">
        <v>1915</v>
      </c>
      <c r="I30" s="4">
        <v>13405</v>
      </c>
      <c r="J30" s="9" t="s">
        <v>56</v>
      </c>
      <c r="K30" s="3">
        <v>1915</v>
      </c>
      <c r="L30" s="2">
        <v>0.1</v>
      </c>
      <c r="M30" s="1">
        <v>12064.5</v>
      </c>
      <c r="N30">
        <f t="shared" si="0"/>
        <v>3</v>
      </c>
      <c r="O30" s="5">
        <f t="shared" si="1"/>
        <v>1</v>
      </c>
      <c r="P30">
        <f>YEAR(Table1[[#This Row],[OrderDate]])</f>
        <v>2023</v>
      </c>
      <c r="Q30" s="8">
        <f t="shared" si="10"/>
        <v>44929</v>
      </c>
      <c r="R30">
        <f t="shared" ca="1" si="2"/>
        <v>3</v>
      </c>
      <c r="S30">
        <f t="shared" si="3"/>
        <v>174</v>
      </c>
      <c r="T30">
        <f t="shared" si="4"/>
        <v>31</v>
      </c>
      <c r="U30" t="str">
        <f t="shared" si="5"/>
        <v>28-01-1900</v>
      </c>
      <c r="V30" t="str">
        <f t="shared" si="6"/>
        <v>Low</v>
      </c>
      <c r="W30" t="str">
        <f t="shared" si="7"/>
        <v>Sale</v>
      </c>
      <c r="X30" t="str">
        <f t="shared" si="8"/>
        <v>OK</v>
      </c>
      <c r="Y30" t="str">
        <f t="shared" si="9"/>
        <v>A</v>
      </c>
      <c r="Z30" t="str" cm="1">
        <f t="array" ref="Z30">_xlfn.IFS(
I30&gt;50000,"Premium",
I30&gt;=20000,"Regular",
TRUE,"Basic"
)</f>
        <v>Basic</v>
      </c>
    </row>
    <row r="31" spans="1:26" x14ac:dyDescent="0.3">
      <c r="A31" s="5">
        <v>30</v>
      </c>
      <c r="B31" s="5">
        <v>1008</v>
      </c>
      <c r="C31" t="s">
        <v>13</v>
      </c>
      <c r="D31" t="s">
        <v>14</v>
      </c>
      <c r="E31" t="s">
        <v>41</v>
      </c>
      <c r="F31" t="s">
        <v>27</v>
      </c>
      <c r="G31" s="5">
        <v>6</v>
      </c>
      <c r="H31" s="1">
        <v>2578</v>
      </c>
      <c r="I31" s="4">
        <v>15468</v>
      </c>
      <c r="J31" s="9" t="s">
        <v>57</v>
      </c>
      <c r="K31" s="3">
        <v>2578</v>
      </c>
      <c r="L31" s="2">
        <v>0.1</v>
      </c>
      <c r="M31" s="1">
        <v>13921.2</v>
      </c>
      <c r="N31">
        <f t="shared" si="0"/>
        <v>4</v>
      </c>
      <c r="O31" s="5">
        <f t="shared" si="1"/>
        <v>4</v>
      </c>
      <c r="P31">
        <f>YEAR(Table1[[#This Row],[OrderDate]])</f>
        <v>2023</v>
      </c>
      <c r="Q31" s="8">
        <f t="shared" si="10"/>
        <v>45020</v>
      </c>
      <c r="R31">
        <f t="shared" ca="1" si="2"/>
        <v>3</v>
      </c>
      <c r="S31">
        <f t="shared" si="3"/>
        <v>-23</v>
      </c>
      <c r="T31">
        <f t="shared" si="4"/>
        <v>31</v>
      </c>
      <c r="U31" t="str">
        <f t="shared" si="5"/>
        <v>29-01-1900</v>
      </c>
      <c r="V31" t="str">
        <f t="shared" si="6"/>
        <v>Low</v>
      </c>
      <c r="W31" t="str">
        <f t="shared" si="7"/>
        <v>Sale</v>
      </c>
      <c r="X31" t="str">
        <f t="shared" si="8"/>
        <v>OK</v>
      </c>
      <c r="Y31" t="str">
        <f t="shared" si="9"/>
        <v>A</v>
      </c>
      <c r="Z31" t="str" cm="1">
        <f t="array" ref="Z31">_xlfn.IFS(
I31&gt;50000,"Premium",
I31&gt;=20000,"Regular",
TRUE,"Basic"
)</f>
        <v>Basic</v>
      </c>
    </row>
    <row r="32" spans="1:26" x14ac:dyDescent="0.3">
      <c r="A32" s="5">
        <v>31</v>
      </c>
      <c r="B32" s="5">
        <v>1024</v>
      </c>
      <c r="C32" t="s">
        <v>18</v>
      </c>
      <c r="D32" t="s">
        <v>34</v>
      </c>
      <c r="E32" t="s">
        <v>41</v>
      </c>
      <c r="F32" t="s">
        <v>16</v>
      </c>
      <c r="G32" s="5">
        <v>4</v>
      </c>
      <c r="H32" s="1">
        <v>4843</v>
      </c>
      <c r="I32" s="4">
        <v>19372</v>
      </c>
      <c r="J32" s="9" t="s">
        <v>58</v>
      </c>
      <c r="K32" s="3">
        <v>4843</v>
      </c>
      <c r="L32" s="2">
        <v>0.1</v>
      </c>
      <c r="M32" s="1">
        <v>17434.8</v>
      </c>
      <c r="N32">
        <f t="shared" si="0"/>
        <v>6</v>
      </c>
      <c r="O32" s="5">
        <f t="shared" si="1"/>
        <v>11</v>
      </c>
      <c r="P32">
        <f>YEAR(Table1[[#This Row],[OrderDate]])</f>
        <v>2023</v>
      </c>
      <c r="Q32" s="8">
        <f t="shared" si="10"/>
        <v>45236</v>
      </c>
      <c r="R32">
        <f t="shared" ca="1" si="2"/>
        <v>2</v>
      </c>
      <c r="S32">
        <f t="shared" si="3"/>
        <v>-205</v>
      </c>
      <c r="T32">
        <f t="shared" si="4"/>
        <v>31</v>
      </c>
      <c r="U32" t="str">
        <f t="shared" si="5"/>
        <v>30-01-1900</v>
      </c>
      <c r="V32" t="str">
        <f t="shared" si="6"/>
        <v>Low</v>
      </c>
      <c r="W32" t="str">
        <f t="shared" si="7"/>
        <v>Sale</v>
      </c>
      <c r="X32" t="str">
        <f t="shared" si="8"/>
        <v>OK</v>
      </c>
      <c r="Y32" t="str">
        <f t="shared" si="9"/>
        <v>A</v>
      </c>
      <c r="Z32" t="str" cm="1">
        <f t="array" ref="Z32">_xlfn.IFS(
I32&gt;50000,"Premium",
I32&gt;=20000,"Regular",
TRUE,"Basic"
)</f>
        <v>Basic</v>
      </c>
    </row>
    <row r="33" spans="1:26" x14ac:dyDescent="0.3">
      <c r="A33" s="5">
        <v>32</v>
      </c>
      <c r="B33" s="5">
        <v>1028</v>
      </c>
      <c r="C33" t="s">
        <v>13</v>
      </c>
      <c r="D33" t="s">
        <v>14</v>
      </c>
      <c r="E33" t="s">
        <v>20</v>
      </c>
      <c r="F33" t="s">
        <v>27</v>
      </c>
      <c r="G33" s="5">
        <v>11</v>
      </c>
      <c r="H33" s="1">
        <v>2072</v>
      </c>
      <c r="I33" s="4">
        <v>22792</v>
      </c>
      <c r="J33" s="9" t="s">
        <v>59</v>
      </c>
      <c r="K33" s="3">
        <v>2072</v>
      </c>
      <c r="L33" s="2">
        <v>0.1</v>
      </c>
      <c r="M33" s="1">
        <v>20512.8</v>
      </c>
      <c r="N33">
        <f t="shared" si="0"/>
        <v>13</v>
      </c>
      <c r="O33" s="5">
        <f t="shared" si="1"/>
        <v>2</v>
      </c>
      <c r="P33">
        <f>YEAR(Table1[[#This Row],[OrderDate]])</f>
        <v>2023</v>
      </c>
      <c r="Q33" s="8">
        <f t="shared" si="10"/>
        <v>44970</v>
      </c>
      <c r="R33">
        <f t="shared" ca="1" si="2"/>
        <v>3</v>
      </c>
      <c r="S33">
        <f t="shared" si="3"/>
        <v>55</v>
      </c>
      <c r="T33">
        <f t="shared" si="4"/>
        <v>31</v>
      </c>
      <c r="U33" t="str">
        <f t="shared" si="5"/>
        <v>31-01-1900</v>
      </c>
      <c r="V33" t="str">
        <f t="shared" si="6"/>
        <v>Medium</v>
      </c>
      <c r="W33" t="str">
        <f t="shared" si="7"/>
        <v>Sale</v>
      </c>
      <c r="X33" t="str">
        <f t="shared" si="8"/>
        <v>OK</v>
      </c>
      <c r="Y33" t="str">
        <f t="shared" si="9"/>
        <v>A</v>
      </c>
      <c r="Z33" t="str" cm="1">
        <f t="array" ref="Z33">_xlfn.IFS(
I33&gt;50000,"Premium",
I33&gt;=20000,"Regular",
TRUE,"Basic"
)</f>
        <v>Regular</v>
      </c>
    </row>
    <row r="34" spans="1:26" x14ac:dyDescent="0.3">
      <c r="A34" s="5">
        <v>33</v>
      </c>
      <c r="B34" s="5">
        <v>1083</v>
      </c>
      <c r="C34" t="s">
        <v>40</v>
      </c>
      <c r="D34" t="s">
        <v>25</v>
      </c>
      <c r="E34" t="s">
        <v>31</v>
      </c>
      <c r="F34" t="s">
        <v>27</v>
      </c>
      <c r="G34" s="5">
        <v>1</v>
      </c>
      <c r="H34" s="1">
        <v>4428</v>
      </c>
      <c r="I34" s="4">
        <v>4428</v>
      </c>
      <c r="J34" s="9" t="s">
        <v>60</v>
      </c>
      <c r="K34" s="3">
        <v>4428</v>
      </c>
      <c r="L34" s="2">
        <v>0.05</v>
      </c>
      <c r="M34" s="1">
        <v>4206.6000000000004</v>
      </c>
      <c r="N34">
        <f t="shared" ref="N34:N65" si="11">DAY(J34)</f>
        <v>20</v>
      </c>
      <c r="O34" s="5">
        <f t="shared" ref="O34:O65" si="12">MONTH(J:J)</f>
        <v>7</v>
      </c>
      <c r="P34">
        <f>YEAR(Table1[[#This Row],[OrderDate]])</f>
        <v>2023</v>
      </c>
      <c r="Q34" s="8">
        <f t="shared" ref="Q34:Q65" si="13">DATEVALUE(J34)</f>
        <v>45127</v>
      </c>
      <c r="R34">
        <f t="shared" ref="R34:R65" ca="1" si="14">DATEDIF(J34, TODAY(), "Y")</f>
        <v>2</v>
      </c>
      <c r="S34">
        <f t="shared" ref="S34:S65" si="15">NETWORKDAYS(J34,J39)</f>
        <v>14</v>
      </c>
      <c r="T34">
        <f t="shared" ref="T34:T65" si="16">EOMONTH(A33,0)</f>
        <v>59</v>
      </c>
      <c r="U34" t="str">
        <f t="shared" ref="U34:U65" si="17">TEXT(A33,"DD-MM-YYYY")</f>
        <v>01-02-1900</v>
      </c>
      <c r="V34" t="str">
        <f t="shared" ref="V34:V65" si="18">IF(I34&gt;50000,"High",IF(I34&gt;=20000,"Medium","Low"))</f>
        <v>Low</v>
      </c>
      <c r="W34" t="str">
        <f t="shared" ref="W34:W65" si="19">IF(G34&lt;0,"Return","Sale")</f>
        <v>Sale</v>
      </c>
      <c r="X34" t="str">
        <f t="shared" ref="X34:X65" si="20">IF(ISBLANK(W34),"Missing","OK")</f>
        <v>OK</v>
      </c>
      <c r="Y34" t="str">
        <f t="shared" ref="Y34:Y65" si="21">IF(A33&gt;=9,"A",IF(A33&gt;=7,"B",IF(A33&gt;=0,"C","no order")))</f>
        <v>A</v>
      </c>
      <c r="Z34" t="str" cm="1">
        <f t="array" ref="Z34">_xlfn.IFS(
I34&gt;50000,"Premium",
I34&gt;=20000,"Regular",
TRUE,"Basic"
)</f>
        <v>Basic</v>
      </c>
    </row>
    <row r="35" spans="1:26" x14ac:dyDescent="0.3">
      <c r="A35" s="5">
        <v>34</v>
      </c>
      <c r="B35" s="5">
        <v>1009</v>
      </c>
      <c r="C35" t="s">
        <v>29</v>
      </c>
      <c r="D35" t="s">
        <v>14</v>
      </c>
      <c r="E35" t="s">
        <v>31</v>
      </c>
      <c r="F35" t="s">
        <v>16</v>
      </c>
      <c r="G35" s="5">
        <v>11</v>
      </c>
      <c r="H35" s="1">
        <v>3588</v>
      </c>
      <c r="I35" s="4">
        <v>39468</v>
      </c>
      <c r="J35" s="9" t="s">
        <v>61</v>
      </c>
      <c r="K35" s="3">
        <v>3588</v>
      </c>
      <c r="L35" s="2">
        <v>0.1</v>
      </c>
      <c r="M35" s="1">
        <v>35521.199999999997</v>
      </c>
      <c r="N35">
        <f t="shared" si="11"/>
        <v>1</v>
      </c>
      <c r="O35" s="5">
        <f t="shared" si="12"/>
        <v>9</v>
      </c>
      <c r="P35">
        <f>YEAR(Table1[[#This Row],[OrderDate]])</f>
        <v>2023</v>
      </c>
      <c r="Q35" s="8">
        <f t="shared" si="13"/>
        <v>45170</v>
      </c>
      <c r="R35">
        <f t="shared" ca="1" si="14"/>
        <v>2</v>
      </c>
      <c r="S35">
        <f t="shared" si="15"/>
        <v>-32</v>
      </c>
      <c r="T35">
        <f t="shared" si="16"/>
        <v>59</v>
      </c>
      <c r="U35" t="str">
        <f t="shared" si="17"/>
        <v>02-02-1900</v>
      </c>
      <c r="V35" t="str">
        <f t="shared" si="18"/>
        <v>Medium</v>
      </c>
      <c r="W35" t="str">
        <f t="shared" si="19"/>
        <v>Sale</v>
      </c>
      <c r="X35" t="str">
        <f t="shared" si="20"/>
        <v>OK</v>
      </c>
      <c r="Y35" t="str">
        <f t="shared" si="21"/>
        <v>A</v>
      </c>
      <c r="Z35" t="str" cm="1">
        <f t="array" ref="Z35">_xlfn.IFS(
I35&gt;50000,"Premium",
I35&gt;=20000,"Regular",
TRUE,"Basic"
)</f>
        <v>Regular</v>
      </c>
    </row>
    <row r="36" spans="1:26" x14ac:dyDescent="0.3">
      <c r="A36" s="5">
        <v>35</v>
      </c>
      <c r="B36" s="5">
        <v>1018</v>
      </c>
      <c r="C36" t="s">
        <v>18</v>
      </c>
      <c r="D36" t="s">
        <v>14</v>
      </c>
      <c r="E36" t="s">
        <v>31</v>
      </c>
      <c r="F36" t="s">
        <v>27</v>
      </c>
      <c r="G36" s="5">
        <v>9</v>
      </c>
      <c r="H36" s="1">
        <v>1648</v>
      </c>
      <c r="I36" s="4">
        <v>14832</v>
      </c>
      <c r="J36" s="9" t="s">
        <v>62</v>
      </c>
      <c r="K36" s="3">
        <v>1648</v>
      </c>
      <c r="L36" s="2">
        <v>0.1</v>
      </c>
      <c r="M36" s="1">
        <v>13348.8</v>
      </c>
      <c r="N36">
        <f t="shared" si="11"/>
        <v>3</v>
      </c>
      <c r="O36" s="5">
        <f t="shared" si="12"/>
        <v>3</v>
      </c>
      <c r="P36">
        <f>YEAR(Table1[[#This Row],[OrderDate]])</f>
        <v>2023</v>
      </c>
      <c r="Q36" s="8">
        <f t="shared" si="13"/>
        <v>44988</v>
      </c>
      <c r="R36">
        <f t="shared" ca="1" si="14"/>
        <v>3</v>
      </c>
      <c r="S36">
        <f t="shared" si="15"/>
        <v>55</v>
      </c>
      <c r="T36">
        <f t="shared" si="16"/>
        <v>59</v>
      </c>
      <c r="U36" t="str">
        <f t="shared" si="17"/>
        <v>03-02-1900</v>
      </c>
      <c r="V36" t="str">
        <f t="shared" si="18"/>
        <v>Low</v>
      </c>
      <c r="W36" t="str">
        <f t="shared" si="19"/>
        <v>Sale</v>
      </c>
      <c r="X36" t="str">
        <f t="shared" si="20"/>
        <v>OK</v>
      </c>
      <c r="Y36" t="str">
        <f t="shared" si="21"/>
        <v>A</v>
      </c>
      <c r="Z36" t="str" cm="1">
        <f t="array" ref="Z36">_xlfn.IFS(
I36&gt;50000,"Premium",
I36&gt;=20000,"Regular",
TRUE,"Basic"
)</f>
        <v>Basic</v>
      </c>
    </row>
    <row r="37" spans="1:26" x14ac:dyDescent="0.3">
      <c r="A37" s="5">
        <v>36</v>
      </c>
      <c r="B37" s="5">
        <v>1065</v>
      </c>
      <c r="C37" t="s">
        <v>18</v>
      </c>
      <c r="D37" t="s">
        <v>19</v>
      </c>
      <c r="E37" t="s">
        <v>20</v>
      </c>
      <c r="F37" t="s">
        <v>27</v>
      </c>
      <c r="G37" s="5">
        <v>4</v>
      </c>
      <c r="H37" s="1">
        <v>3369</v>
      </c>
      <c r="I37" s="4">
        <v>13476</v>
      </c>
      <c r="J37" s="9" t="s">
        <v>63</v>
      </c>
      <c r="K37" s="3">
        <v>3369</v>
      </c>
      <c r="L37" s="2">
        <v>0.1</v>
      </c>
      <c r="M37" s="1">
        <v>12128.4</v>
      </c>
      <c r="N37">
        <f t="shared" si="11"/>
        <v>24</v>
      </c>
      <c r="O37" s="5">
        <f t="shared" si="12"/>
        <v>1</v>
      </c>
      <c r="P37">
        <f>YEAR(Table1[[#This Row],[OrderDate]])</f>
        <v>2023</v>
      </c>
      <c r="Q37" s="8">
        <f t="shared" si="13"/>
        <v>44950</v>
      </c>
      <c r="R37">
        <f t="shared" ca="1" si="14"/>
        <v>3</v>
      </c>
      <c r="S37">
        <f t="shared" si="15"/>
        <v>84</v>
      </c>
      <c r="T37">
        <f t="shared" si="16"/>
        <v>59</v>
      </c>
      <c r="U37" t="str">
        <f t="shared" si="17"/>
        <v>04-02-1900</v>
      </c>
      <c r="V37" t="str">
        <f t="shared" si="18"/>
        <v>Low</v>
      </c>
      <c r="W37" t="str">
        <f t="shared" si="19"/>
        <v>Sale</v>
      </c>
      <c r="X37" t="str">
        <f t="shared" si="20"/>
        <v>OK</v>
      </c>
      <c r="Y37" t="str">
        <f t="shared" si="21"/>
        <v>A</v>
      </c>
      <c r="Z37" t="str" cm="1">
        <f t="array" ref="Z37">_xlfn.IFS(
I37&gt;50000,"Premium",
I37&gt;=20000,"Regular",
TRUE,"Basic"
)</f>
        <v>Basic</v>
      </c>
    </row>
    <row r="38" spans="1:26" x14ac:dyDescent="0.3">
      <c r="A38" s="5">
        <v>37</v>
      </c>
      <c r="B38" s="5">
        <v>1054</v>
      </c>
      <c r="C38" t="s">
        <v>29</v>
      </c>
      <c r="D38" t="s">
        <v>14</v>
      </c>
      <c r="E38" t="s">
        <v>15</v>
      </c>
      <c r="F38" t="s">
        <v>16</v>
      </c>
      <c r="G38" s="5">
        <v>12</v>
      </c>
      <c r="H38" s="1">
        <v>1541</v>
      </c>
      <c r="I38" s="4">
        <v>18492</v>
      </c>
      <c r="J38" s="9" t="s">
        <v>64</v>
      </c>
      <c r="K38" s="3">
        <v>1541</v>
      </c>
      <c r="L38" s="2">
        <v>0.1</v>
      </c>
      <c r="M38" s="1">
        <v>16642.8</v>
      </c>
      <c r="N38">
        <f t="shared" si="11"/>
        <v>29</v>
      </c>
      <c r="O38" s="5">
        <f t="shared" si="12"/>
        <v>4</v>
      </c>
      <c r="P38">
        <f>YEAR(Table1[[#This Row],[OrderDate]])</f>
        <v>2023</v>
      </c>
      <c r="Q38" s="8">
        <f t="shared" si="13"/>
        <v>45045</v>
      </c>
      <c r="R38">
        <f t="shared" ca="1" si="14"/>
        <v>3</v>
      </c>
      <c r="S38">
        <f t="shared" si="15"/>
        <v>105</v>
      </c>
      <c r="T38">
        <f t="shared" si="16"/>
        <v>59</v>
      </c>
      <c r="U38" t="str">
        <f t="shared" si="17"/>
        <v>05-02-1900</v>
      </c>
      <c r="V38" t="str">
        <f t="shared" si="18"/>
        <v>Low</v>
      </c>
      <c r="W38" t="str">
        <f t="shared" si="19"/>
        <v>Sale</v>
      </c>
      <c r="X38" t="str">
        <f t="shared" si="20"/>
        <v>OK</v>
      </c>
      <c r="Y38" t="str">
        <f t="shared" si="21"/>
        <v>A</v>
      </c>
      <c r="Z38" t="str" cm="1">
        <f t="array" ref="Z38">_xlfn.IFS(
I38&gt;50000,"Premium",
I38&gt;=20000,"Regular",
TRUE,"Basic"
)</f>
        <v>Basic</v>
      </c>
    </row>
    <row r="39" spans="1:26" x14ac:dyDescent="0.3">
      <c r="A39" s="5">
        <v>38</v>
      </c>
      <c r="B39" s="5">
        <v>1011</v>
      </c>
      <c r="C39" t="s">
        <v>22</v>
      </c>
      <c r="D39" t="s">
        <v>34</v>
      </c>
      <c r="E39" t="s">
        <v>15</v>
      </c>
      <c r="F39" t="s">
        <v>27</v>
      </c>
      <c r="G39" s="5">
        <v>2</v>
      </c>
      <c r="H39" s="1">
        <v>3433</v>
      </c>
      <c r="I39" s="4">
        <v>6866</v>
      </c>
      <c r="J39" s="9" t="s">
        <v>65</v>
      </c>
      <c r="K39" s="3">
        <v>3433</v>
      </c>
      <c r="L39" s="2">
        <v>0.1</v>
      </c>
      <c r="M39" s="1">
        <v>6179.4</v>
      </c>
      <c r="N39">
        <f t="shared" si="11"/>
        <v>8</v>
      </c>
      <c r="O39" s="5">
        <f t="shared" si="12"/>
        <v>8</v>
      </c>
      <c r="P39">
        <f>YEAR(Table1[[#This Row],[OrderDate]])</f>
        <v>2023</v>
      </c>
      <c r="Q39" s="8">
        <f t="shared" si="13"/>
        <v>45146</v>
      </c>
      <c r="R39">
        <f t="shared" ca="1" si="14"/>
        <v>2</v>
      </c>
      <c r="S39">
        <f t="shared" si="15"/>
        <v>-112</v>
      </c>
      <c r="T39">
        <f t="shared" si="16"/>
        <v>59</v>
      </c>
      <c r="U39" t="str">
        <f t="shared" si="17"/>
        <v>06-02-1900</v>
      </c>
      <c r="V39" t="str">
        <f t="shared" si="18"/>
        <v>Low</v>
      </c>
      <c r="W39" t="str">
        <f t="shared" si="19"/>
        <v>Sale</v>
      </c>
      <c r="X39" t="str">
        <f t="shared" si="20"/>
        <v>OK</v>
      </c>
      <c r="Y39" t="str">
        <f t="shared" si="21"/>
        <v>A</v>
      </c>
      <c r="Z39" t="str" cm="1">
        <f t="array" ref="Z39">_xlfn.IFS(
I39&gt;50000,"Premium",
I39&gt;=20000,"Regular",
TRUE,"Basic"
)</f>
        <v>Basic</v>
      </c>
    </row>
    <row r="40" spans="1:26" x14ac:dyDescent="0.3">
      <c r="A40" s="5">
        <v>39</v>
      </c>
      <c r="B40" s="5">
        <v>1015</v>
      </c>
      <c r="C40" t="s">
        <v>18</v>
      </c>
      <c r="D40" t="s">
        <v>34</v>
      </c>
      <c r="E40" t="s">
        <v>31</v>
      </c>
      <c r="F40" t="s">
        <v>27</v>
      </c>
      <c r="G40" s="5">
        <v>16</v>
      </c>
      <c r="H40" s="1">
        <v>3672</v>
      </c>
      <c r="I40" s="4">
        <v>58752</v>
      </c>
      <c r="J40" s="9" t="s">
        <v>60</v>
      </c>
      <c r="K40" s="3">
        <v>3672</v>
      </c>
      <c r="L40" s="2">
        <v>0.1</v>
      </c>
      <c r="M40" s="1">
        <v>52876.800000000003</v>
      </c>
      <c r="N40">
        <f t="shared" si="11"/>
        <v>20</v>
      </c>
      <c r="O40" s="5">
        <f t="shared" si="12"/>
        <v>7</v>
      </c>
      <c r="P40">
        <f>YEAR(Table1[[#This Row],[OrderDate]])</f>
        <v>2023</v>
      </c>
      <c r="Q40" s="8">
        <f t="shared" si="13"/>
        <v>45127</v>
      </c>
      <c r="R40">
        <f t="shared" ca="1" si="14"/>
        <v>2</v>
      </c>
      <c r="S40">
        <f t="shared" si="15"/>
        <v>-69</v>
      </c>
      <c r="T40">
        <f t="shared" si="16"/>
        <v>59</v>
      </c>
      <c r="U40" t="str">
        <f t="shared" si="17"/>
        <v>07-02-1900</v>
      </c>
      <c r="V40" t="str">
        <f t="shared" si="18"/>
        <v>High</v>
      </c>
      <c r="W40" t="str">
        <f t="shared" si="19"/>
        <v>Sale</v>
      </c>
      <c r="X40" t="str">
        <f t="shared" si="20"/>
        <v>OK</v>
      </c>
      <c r="Y40" t="str">
        <f t="shared" si="21"/>
        <v>A</v>
      </c>
      <c r="Z40" t="str" cm="1">
        <f t="array" ref="Z40">_xlfn.IFS(
I40&gt;50000,"Premium",
I40&gt;=20000,"Regular",
TRUE,"Basic"
)</f>
        <v>Premium</v>
      </c>
    </row>
    <row r="41" spans="1:26" x14ac:dyDescent="0.3">
      <c r="A41" s="5">
        <v>40</v>
      </c>
      <c r="B41" s="5">
        <v>1030</v>
      </c>
      <c r="C41" t="s">
        <v>40</v>
      </c>
      <c r="D41" t="s">
        <v>23</v>
      </c>
      <c r="E41" t="s">
        <v>20</v>
      </c>
      <c r="F41" t="s">
        <v>27</v>
      </c>
      <c r="G41" s="5">
        <v>16</v>
      </c>
      <c r="H41" s="1">
        <v>3599</v>
      </c>
      <c r="I41" s="4">
        <v>57584</v>
      </c>
      <c r="J41" s="9" t="s">
        <v>66</v>
      </c>
      <c r="K41" s="3">
        <v>3599</v>
      </c>
      <c r="L41" s="2">
        <v>0.1</v>
      </c>
      <c r="M41" s="1">
        <v>51825.599999999999</v>
      </c>
      <c r="N41">
        <f t="shared" si="11"/>
        <v>18</v>
      </c>
      <c r="O41" s="5">
        <f t="shared" si="12"/>
        <v>5</v>
      </c>
      <c r="P41">
        <f>YEAR(Table1[[#This Row],[OrderDate]])</f>
        <v>2023</v>
      </c>
      <c r="Q41" s="8">
        <f t="shared" si="13"/>
        <v>45064</v>
      </c>
      <c r="R41">
        <f t="shared" ca="1" si="14"/>
        <v>2</v>
      </c>
      <c r="S41">
        <f t="shared" si="15"/>
        <v>-89</v>
      </c>
      <c r="T41">
        <f t="shared" si="16"/>
        <v>59</v>
      </c>
      <c r="U41" t="str">
        <f t="shared" si="17"/>
        <v>08-02-1900</v>
      </c>
      <c r="V41" t="str">
        <f t="shared" si="18"/>
        <v>High</v>
      </c>
      <c r="W41" t="str">
        <f t="shared" si="19"/>
        <v>Sale</v>
      </c>
      <c r="X41" t="str">
        <f t="shared" si="20"/>
        <v>OK</v>
      </c>
      <c r="Y41" t="str">
        <f t="shared" si="21"/>
        <v>A</v>
      </c>
      <c r="Z41" t="str" cm="1">
        <f t="array" ref="Z41">_xlfn.IFS(
I41&gt;50000,"Premium",
I41&gt;=20000,"Regular",
TRUE,"Basic"
)</f>
        <v>Premium</v>
      </c>
    </row>
    <row r="42" spans="1:26" x14ac:dyDescent="0.3">
      <c r="A42" s="5">
        <v>41</v>
      </c>
      <c r="C42" t="s">
        <v>29</v>
      </c>
      <c r="D42" t="s">
        <v>19</v>
      </c>
      <c r="E42" t="s">
        <v>20</v>
      </c>
      <c r="F42" t="s">
        <v>27</v>
      </c>
      <c r="G42" s="5">
        <v>11</v>
      </c>
      <c r="H42" s="1">
        <v>1898</v>
      </c>
      <c r="I42" s="4">
        <v>20878</v>
      </c>
      <c r="J42" s="9" t="s">
        <v>67</v>
      </c>
      <c r="K42" s="3">
        <v>1898</v>
      </c>
      <c r="L42" s="2">
        <v>0.1</v>
      </c>
      <c r="M42" s="1">
        <v>18790.2</v>
      </c>
      <c r="N42">
        <f t="shared" si="11"/>
        <v>19</v>
      </c>
      <c r="O42" s="5">
        <f t="shared" si="12"/>
        <v>5</v>
      </c>
      <c r="P42">
        <f>YEAR(Table1[[#This Row],[OrderDate]])</f>
        <v>2023</v>
      </c>
      <c r="Q42" s="8">
        <f t="shared" si="13"/>
        <v>45065</v>
      </c>
      <c r="R42">
        <f t="shared" ca="1" si="14"/>
        <v>2</v>
      </c>
      <c r="S42">
        <f t="shared" si="15"/>
        <v>-54</v>
      </c>
      <c r="T42">
        <f t="shared" si="16"/>
        <v>59</v>
      </c>
      <c r="U42" t="str">
        <f t="shared" si="17"/>
        <v>09-02-1900</v>
      </c>
      <c r="V42" t="str">
        <f t="shared" si="18"/>
        <v>Medium</v>
      </c>
      <c r="W42" t="str">
        <f t="shared" si="19"/>
        <v>Sale</v>
      </c>
      <c r="X42" t="str">
        <f t="shared" si="20"/>
        <v>OK</v>
      </c>
      <c r="Y42" t="str">
        <f t="shared" si="21"/>
        <v>A</v>
      </c>
      <c r="Z42" t="str" cm="1">
        <f t="array" ref="Z42">_xlfn.IFS(
I42&gt;50000,"Premium",
I42&gt;=20000,"Regular",
TRUE,"Basic"
)</f>
        <v>Regular</v>
      </c>
    </row>
    <row r="43" spans="1:26" x14ac:dyDescent="0.3">
      <c r="A43" s="5">
        <v>42</v>
      </c>
      <c r="B43" s="5">
        <v>1079</v>
      </c>
      <c r="C43" t="s">
        <v>40</v>
      </c>
      <c r="D43" t="s">
        <v>34</v>
      </c>
      <c r="E43" t="s">
        <v>15</v>
      </c>
      <c r="F43" t="s">
        <v>16</v>
      </c>
      <c r="G43" s="5">
        <v>3</v>
      </c>
      <c r="H43" s="1">
        <v>494</v>
      </c>
      <c r="I43" s="4">
        <v>1482</v>
      </c>
      <c r="J43" s="9" t="s">
        <v>68</v>
      </c>
      <c r="K43" s="3">
        <v>494</v>
      </c>
      <c r="L43" s="2">
        <v>0.05</v>
      </c>
      <c r="M43" s="1">
        <v>1407.9</v>
      </c>
      <c r="N43">
        <f t="shared" si="11"/>
        <v>22</v>
      </c>
      <c r="O43" s="5">
        <f t="shared" si="12"/>
        <v>9</v>
      </c>
      <c r="P43">
        <f>YEAR(Table1[[#This Row],[OrderDate]])</f>
        <v>2023</v>
      </c>
      <c r="Q43" s="8">
        <f t="shared" si="13"/>
        <v>45191</v>
      </c>
      <c r="R43">
        <f t="shared" ca="1" si="14"/>
        <v>2</v>
      </c>
      <c r="S43">
        <f t="shared" si="15"/>
        <v>26</v>
      </c>
      <c r="T43">
        <f t="shared" si="16"/>
        <v>59</v>
      </c>
      <c r="U43" t="str">
        <f t="shared" si="17"/>
        <v>10-02-1900</v>
      </c>
      <c r="V43" t="str">
        <f t="shared" si="18"/>
        <v>Low</v>
      </c>
      <c r="W43" t="str">
        <f t="shared" si="19"/>
        <v>Sale</v>
      </c>
      <c r="X43" t="str">
        <f t="shared" si="20"/>
        <v>OK</v>
      </c>
      <c r="Y43" t="str">
        <f t="shared" si="21"/>
        <v>A</v>
      </c>
      <c r="Z43" t="str" cm="1">
        <f t="array" ref="Z43">_xlfn.IFS(
I43&gt;50000,"Premium",
I43&gt;=20000,"Regular",
TRUE,"Basic"
)</f>
        <v>Basic</v>
      </c>
    </row>
    <row r="44" spans="1:26" x14ac:dyDescent="0.3">
      <c r="A44" s="5">
        <v>43</v>
      </c>
      <c r="B44" s="5">
        <v>1001</v>
      </c>
      <c r="C44" t="s">
        <v>40</v>
      </c>
      <c r="D44" t="s">
        <v>19</v>
      </c>
      <c r="E44" t="s">
        <v>20</v>
      </c>
      <c r="F44" t="s">
        <v>27</v>
      </c>
      <c r="G44" s="5">
        <v>14</v>
      </c>
      <c r="H44" s="1">
        <v>4045</v>
      </c>
      <c r="I44" s="4">
        <v>56630</v>
      </c>
      <c r="J44" s="9" t="s">
        <v>69</v>
      </c>
      <c r="K44" s="3">
        <v>4045</v>
      </c>
      <c r="L44" s="2">
        <v>0.1</v>
      </c>
      <c r="M44" s="1">
        <v>50967</v>
      </c>
      <c r="N44">
        <f t="shared" si="11"/>
        <v>4</v>
      </c>
      <c r="O44" s="5">
        <f t="shared" si="12"/>
        <v>3</v>
      </c>
      <c r="P44">
        <f>YEAR(Table1[[#This Row],[OrderDate]])</f>
        <v>2023</v>
      </c>
      <c r="Q44" s="8">
        <f t="shared" si="13"/>
        <v>44989</v>
      </c>
      <c r="R44">
        <f t="shared" ca="1" si="14"/>
        <v>3</v>
      </c>
      <c r="S44">
        <f t="shared" si="15"/>
        <v>25</v>
      </c>
      <c r="T44">
        <f t="shared" si="16"/>
        <v>59</v>
      </c>
      <c r="U44" t="str">
        <f t="shared" si="17"/>
        <v>11-02-1900</v>
      </c>
      <c r="V44" t="str">
        <f t="shared" si="18"/>
        <v>High</v>
      </c>
      <c r="W44" t="str">
        <f t="shared" si="19"/>
        <v>Sale</v>
      </c>
      <c r="X44" t="str">
        <f t="shared" si="20"/>
        <v>OK</v>
      </c>
      <c r="Y44" t="str">
        <f t="shared" si="21"/>
        <v>A</v>
      </c>
      <c r="Z44" t="str" cm="1">
        <f t="array" ref="Z44">_xlfn.IFS(
I44&gt;50000,"Premium",
I44&gt;=20000,"Regular",
TRUE,"Basic"
)</f>
        <v>Premium</v>
      </c>
    </row>
    <row r="45" spans="1:26" x14ac:dyDescent="0.3">
      <c r="A45" s="5">
        <v>44</v>
      </c>
      <c r="B45" s="5">
        <v>1042</v>
      </c>
      <c r="C45" t="s">
        <v>18</v>
      </c>
      <c r="D45" t="s">
        <v>23</v>
      </c>
      <c r="E45" t="s">
        <v>26</v>
      </c>
      <c r="F45" t="s">
        <v>27</v>
      </c>
      <c r="G45" s="5">
        <v>13</v>
      </c>
      <c r="H45" s="1">
        <v>573</v>
      </c>
      <c r="I45" s="4">
        <v>7449</v>
      </c>
      <c r="J45" s="9" t="s">
        <v>70</v>
      </c>
      <c r="K45" s="3">
        <v>573</v>
      </c>
      <c r="L45" s="2">
        <v>0.1</v>
      </c>
      <c r="M45" s="1">
        <v>6704.1</v>
      </c>
      <c r="N45">
        <f t="shared" si="11"/>
        <v>15</v>
      </c>
      <c r="O45" s="5">
        <f t="shared" si="12"/>
        <v>4</v>
      </c>
      <c r="P45">
        <f>YEAR(Table1[[#This Row],[OrderDate]])</f>
        <v>2023</v>
      </c>
      <c r="Q45" s="8">
        <f t="shared" si="13"/>
        <v>45031</v>
      </c>
      <c r="R45">
        <f t="shared" ca="1" si="14"/>
        <v>3</v>
      </c>
      <c r="S45">
        <f t="shared" si="15"/>
        <v>88</v>
      </c>
      <c r="T45">
        <f t="shared" si="16"/>
        <v>59</v>
      </c>
      <c r="U45" t="str">
        <f t="shared" si="17"/>
        <v>12-02-1900</v>
      </c>
      <c r="V45" t="str">
        <f t="shared" si="18"/>
        <v>Low</v>
      </c>
      <c r="W45" t="str">
        <f t="shared" si="19"/>
        <v>Sale</v>
      </c>
      <c r="X45" t="str">
        <f t="shared" si="20"/>
        <v>OK</v>
      </c>
      <c r="Y45" t="str">
        <f t="shared" si="21"/>
        <v>A</v>
      </c>
      <c r="Z45" t="str" cm="1">
        <f t="array" ref="Z45">_xlfn.IFS(
I45&gt;50000,"Premium",
I45&gt;=20000,"Regular",
TRUE,"Basic"
)</f>
        <v>Basic</v>
      </c>
    </row>
    <row r="46" spans="1:26" x14ac:dyDescent="0.3">
      <c r="A46" s="5">
        <v>45</v>
      </c>
      <c r="B46" s="5">
        <v>1037</v>
      </c>
      <c r="C46" t="s">
        <v>29</v>
      </c>
      <c r="D46" t="s">
        <v>19</v>
      </c>
      <c r="E46" t="s">
        <v>15</v>
      </c>
      <c r="F46" t="s">
        <v>27</v>
      </c>
      <c r="G46" s="5">
        <v>6</v>
      </c>
      <c r="H46" s="1">
        <v>2026</v>
      </c>
      <c r="I46" s="4">
        <v>12156</v>
      </c>
      <c r="J46" s="9" t="s">
        <v>71</v>
      </c>
      <c r="K46" s="3">
        <v>2026</v>
      </c>
      <c r="L46" s="2">
        <v>0.1</v>
      </c>
      <c r="M46" s="1">
        <v>10940.4</v>
      </c>
      <c r="N46">
        <f t="shared" si="11"/>
        <v>14</v>
      </c>
      <c r="O46" s="5">
        <f t="shared" si="12"/>
        <v>1</v>
      </c>
      <c r="P46">
        <f>YEAR(Table1[[#This Row],[OrderDate]])</f>
        <v>2023</v>
      </c>
      <c r="Q46" s="8">
        <f t="shared" si="13"/>
        <v>44940</v>
      </c>
      <c r="R46">
        <f t="shared" ca="1" si="14"/>
        <v>3</v>
      </c>
      <c r="S46">
        <f t="shared" si="15"/>
        <v>189</v>
      </c>
      <c r="T46">
        <f t="shared" si="16"/>
        <v>59</v>
      </c>
      <c r="U46" t="str">
        <f t="shared" si="17"/>
        <v>13-02-1900</v>
      </c>
      <c r="V46" t="str">
        <f t="shared" si="18"/>
        <v>Low</v>
      </c>
      <c r="W46" t="str">
        <f t="shared" si="19"/>
        <v>Sale</v>
      </c>
      <c r="X46" t="str">
        <f t="shared" si="20"/>
        <v>OK</v>
      </c>
      <c r="Y46" t="str">
        <f t="shared" si="21"/>
        <v>A</v>
      </c>
      <c r="Z46" t="str" cm="1">
        <f t="array" ref="Z46">_xlfn.IFS(
I46&gt;50000,"Premium",
I46&gt;=20000,"Regular",
TRUE,"Basic"
)</f>
        <v>Basic</v>
      </c>
    </row>
    <row r="47" spans="1:26" x14ac:dyDescent="0.3">
      <c r="A47" s="5">
        <v>46</v>
      </c>
      <c r="B47" s="5">
        <v>1056</v>
      </c>
      <c r="C47" t="s">
        <v>29</v>
      </c>
      <c r="D47" t="s">
        <v>14</v>
      </c>
      <c r="E47" t="s">
        <v>20</v>
      </c>
      <c r="F47" t="s">
        <v>27</v>
      </c>
      <c r="G47" s="5">
        <v>3</v>
      </c>
      <c r="H47" s="1">
        <v>943</v>
      </c>
      <c r="I47" s="4">
        <v>2829</v>
      </c>
      <c r="J47" s="9" t="s">
        <v>72</v>
      </c>
      <c r="K47" s="3">
        <v>943</v>
      </c>
      <c r="L47" s="2">
        <v>0.05</v>
      </c>
      <c r="M47" s="1">
        <v>2687.55</v>
      </c>
      <c r="N47">
        <f t="shared" si="11"/>
        <v>7</v>
      </c>
      <c r="O47" s="5">
        <f t="shared" si="12"/>
        <v>3</v>
      </c>
      <c r="P47">
        <f>YEAR(Table1[[#This Row],[OrderDate]])</f>
        <v>2023</v>
      </c>
      <c r="Q47" s="8">
        <f t="shared" si="13"/>
        <v>44992</v>
      </c>
      <c r="R47">
        <f t="shared" ca="1" si="14"/>
        <v>3</v>
      </c>
      <c r="S47">
        <f t="shared" si="15"/>
        <v>54</v>
      </c>
      <c r="T47">
        <f t="shared" si="16"/>
        <v>59</v>
      </c>
      <c r="U47" t="str">
        <f t="shared" si="17"/>
        <v>14-02-1900</v>
      </c>
      <c r="V47" t="str">
        <f t="shared" si="18"/>
        <v>Low</v>
      </c>
      <c r="W47" t="str">
        <f t="shared" si="19"/>
        <v>Sale</v>
      </c>
      <c r="X47" t="str">
        <f t="shared" si="20"/>
        <v>OK</v>
      </c>
      <c r="Y47" t="str">
        <f t="shared" si="21"/>
        <v>A</v>
      </c>
      <c r="Z47" t="str" cm="1">
        <f t="array" ref="Z47">_xlfn.IFS(
I47&gt;50000,"Premium",
I47&gt;=20000,"Regular",
TRUE,"Basic"
)</f>
        <v>Basic</v>
      </c>
    </row>
    <row r="48" spans="1:26" x14ac:dyDescent="0.3">
      <c r="A48" s="5">
        <v>47</v>
      </c>
      <c r="B48" s="5">
        <v>1064</v>
      </c>
      <c r="C48" t="s">
        <v>22</v>
      </c>
      <c r="D48" t="s">
        <v>34</v>
      </c>
      <c r="E48" t="s">
        <v>20</v>
      </c>
      <c r="F48" t="s">
        <v>27</v>
      </c>
      <c r="G48" s="5">
        <v>4</v>
      </c>
      <c r="H48" s="1">
        <v>2813</v>
      </c>
      <c r="I48" s="4">
        <v>11252</v>
      </c>
      <c r="J48" s="9" t="s">
        <v>73</v>
      </c>
      <c r="K48" s="3">
        <v>2813</v>
      </c>
      <c r="L48" s="2">
        <v>0.1</v>
      </c>
      <c r="M48" s="1">
        <v>10126.799999999999</v>
      </c>
      <c r="N48">
        <f t="shared" si="11"/>
        <v>27</v>
      </c>
      <c r="O48" s="5">
        <f t="shared" si="12"/>
        <v>10</v>
      </c>
      <c r="P48">
        <f>YEAR(Table1[[#This Row],[OrderDate]])</f>
        <v>2023</v>
      </c>
      <c r="Q48" s="8">
        <f t="shared" si="13"/>
        <v>45226</v>
      </c>
      <c r="R48">
        <f t="shared" ca="1" si="14"/>
        <v>2</v>
      </c>
      <c r="S48">
        <f t="shared" si="15"/>
        <v>-50</v>
      </c>
      <c r="T48">
        <f t="shared" si="16"/>
        <v>59</v>
      </c>
      <c r="U48" t="str">
        <f t="shared" si="17"/>
        <v>15-02-1900</v>
      </c>
      <c r="V48" t="str">
        <f t="shared" si="18"/>
        <v>Low</v>
      </c>
      <c r="W48" t="str">
        <f t="shared" si="19"/>
        <v>Sale</v>
      </c>
      <c r="X48" t="str">
        <f t="shared" si="20"/>
        <v>OK</v>
      </c>
      <c r="Y48" t="str">
        <f t="shared" si="21"/>
        <v>A</v>
      </c>
      <c r="Z48" t="str" cm="1">
        <f t="array" ref="Z48">_xlfn.IFS(
I48&gt;50000,"Premium",
I48&gt;=20000,"Regular",
TRUE,"Basic"
)</f>
        <v>Basic</v>
      </c>
    </row>
    <row r="49" spans="1:26" x14ac:dyDescent="0.3">
      <c r="A49" s="5">
        <v>48</v>
      </c>
      <c r="B49" s="5">
        <v>1080</v>
      </c>
      <c r="C49" t="s">
        <v>22</v>
      </c>
      <c r="D49" t="s">
        <v>23</v>
      </c>
      <c r="E49" t="s">
        <v>26</v>
      </c>
      <c r="F49" t="s">
        <v>27</v>
      </c>
      <c r="G49" s="5">
        <v>10</v>
      </c>
      <c r="H49" s="1">
        <v>2167</v>
      </c>
      <c r="I49" s="4">
        <v>21670</v>
      </c>
      <c r="J49" s="9" t="s">
        <v>74</v>
      </c>
      <c r="K49" s="3">
        <v>2167</v>
      </c>
      <c r="L49" s="2">
        <v>0.1</v>
      </c>
      <c r="M49" s="1">
        <v>19503</v>
      </c>
      <c r="N49">
        <f t="shared" si="11"/>
        <v>8</v>
      </c>
      <c r="O49" s="5">
        <f t="shared" si="12"/>
        <v>4</v>
      </c>
      <c r="P49">
        <f>YEAR(Table1[[#This Row],[OrderDate]])</f>
        <v>2023</v>
      </c>
      <c r="Q49" s="8">
        <f t="shared" si="13"/>
        <v>45024</v>
      </c>
      <c r="R49">
        <f t="shared" ca="1" si="14"/>
        <v>3</v>
      </c>
      <c r="S49">
        <f t="shared" si="15"/>
        <v>185</v>
      </c>
      <c r="T49">
        <f t="shared" si="16"/>
        <v>59</v>
      </c>
      <c r="U49" t="str">
        <f t="shared" si="17"/>
        <v>16-02-1900</v>
      </c>
      <c r="V49" t="str">
        <f t="shared" si="18"/>
        <v>Medium</v>
      </c>
      <c r="W49" t="str">
        <f t="shared" si="19"/>
        <v>Sale</v>
      </c>
      <c r="X49" t="str">
        <f t="shared" si="20"/>
        <v>OK</v>
      </c>
      <c r="Y49" t="str">
        <f t="shared" si="21"/>
        <v>A</v>
      </c>
      <c r="Z49" t="str" cm="1">
        <f t="array" ref="Z49">_xlfn.IFS(
I49&gt;50000,"Premium",
I49&gt;=20000,"Regular",
TRUE,"Basic"
)</f>
        <v>Regular</v>
      </c>
    </row>
    <row r="50" spans="1:26" x14ac:dyDescent="0.3">
      <c r="A50" s="5">
        <v>49</v>
      </c>
      <c r="B50" s="5">
        <v>1059</v>
      </c>
      <c r="C50" t="s">
        <v>18</v>
      </c>
      <c r="D50" t="s">
        <v>19</v>
      </c>
      <c r="E50" t="s">
        <v>20</v>
      </c>
      <c r="F50" t="s">
        <v>27</v>
      </c>
      <c r="G50" s="5">
        <v>11</v>
      </c>
      <c r="H50" s="1">
        <v>664</v>
      </c>
      <c r="I50" s="4">
        <v>7304</v>
      </c>
      <c r="J50" s="9" t="s">
        <v>75</v>
      </c>
      <c r="K50" s="3">
        <v>664</v>
      </c>
      <c r="L50" s="2">
        <v>0.1</v>
      </c>
      <c r="M50" s="1">
        <v>6573.6</v>
      </c>
      <c r="N50">
        <f t="shared" si="11"/>
        <v>16</v>
      </c>
      <c r="O50" s="5">
        <f t="shared" si="12"/>
        <v>8</v>
      </c>
      <c r="P50">
        <f>YEAR(Table1[[#This Row],[OrderDate]])</f>
        <v>2023</v>
      </c>
      <c r="Q50" s="8">
        <f t="shared" si="13"/>
        <v>45154</v>
      </c>
      <c r="R50">
        <f t="shared" ca="1" si="14"/>
        <v>2</v>
      </c>
      <c r="S50">
        <f t="shared" si="15"/>
        <v>-115</v>
      </c>
      <c r="T50">
        <f t="shared" si="16"/>
        <v>59</v>
      </c>
      <c r="U50" t="str">
        <f t="shared" si="17"/>
        <v>17-02-1900</v>
      </c>
      <c r="V50" t="str">
        <f t="shared" si="18"/>
        <v>Low</v>
      </c>
      <c r="W50" t="str">
        <f t="shared" si="19"/>
        <v>Sale</v>
      </c>
      <c r="X50" t="str">
        <f t="shared" si="20"/>
        <v>OK</v>
      </c>
      <c r="Y50" t="str">
        <f t="shared" si="21"/>
        <v>A</v>
      </c>
      <c r="Z50" t="str" cm="1">
        <f t="array" ref="Z50">_xlfn.IFS(
I50&gt;50000,"Premium",
I50&gt;=20000,"Regular",
TRUE,"Basic"
)</f>
        <v>Basic</v>
      </c>
    </row>
    <row r="51" spans="1:26" x14ac:dyDescent="0.3">
      <c r="A51" s="5">
        <v>50</v>
      </c>
      <c r="B51" s="5">
        <v>1034</v>
      </c>
      <c r="C51" t="s">
        <v>29</v>
      </c>
      <c r="D51" t="s">
        <v>34</v>
      </c>
      <c r="E51" t="s">
        <v>15</v>
      </c>
      <c r="F51" t="s">
        <v>16</v>
      </c>
      <c r="G51" s="5">
        <v>5</v>
      </c>
      <c r="H51" s="1">
        <v>342</v>
      </c>
      <c r="I51" s="4">
        <v>1710</v>
      </c>
      <c r="J51" s="9" t="s">
        <v>76</v>
      </c>
      <c r="K51" s="3">
        <v>342</v>
      </c>
      <c r="L51" s="2">
        <v>0.05</v>
      </c>
      <c r="M51" s="1">
        <v>1624.5</v>
      </c>
      <c r="N51">
        <f t="shared" si="11"/>
        <v>5</v>
      </c>
      <c r="O51" s="5">
        <f t="shared" si="12"/>
        <v>10</v>
      </c>
      <c r="P51">
        <f>YEAR(Table1[[#This Row],[OrderDate]])</f>
        <v>2023</v>
      </c>
      <c r="Q51" s="8">
        <f t="shared" si="13"/>
        <v>45204</v>
      </c>
      <c r="R51">
        <f t="shared" ca="1" si="14"/>
        <v>2</v>
      </c>
      <c r="S51">
        <f t="shared" si="15"/>
        <v>-35</v>
      </c>
      <c r="T51">
        <f t="shared" si="16"/>
        <v>59</v>
      </c>
      <c r="U51" t="str">
        <f t="shared" si="17"/>
        <v>18-02-1900</v>
      </c>
      <c r="V51" t="str">
        <f t="shared" si="18"/>
        <v>Low</v>
      </c>
      <c r="W51" t="str">
        <f t="shared" si="19"/>
        <v>Sale</v>
      </c>
      <c r="X51" t="str">
        <f t="shared" si="20"/>
        <v>OK</v>
      </c>
      <c r="Y51" t="str">
        <f t="shared" si="21"/>
        <v>A</v>
      </c>
      <c r="Z51" t="str" cm="1">
        <f t="array" ref="Z51">_xlfn.IFS(
I51&gt;50000,"Premium",
I51&gt;=20000,"Regular",
TRUE,"Basic"
)</f>
        <v>Basic</v>
      </c>
    </row>
    <row r="52" spans="1:26" x14ac:dyDescent="0.3">
      <c r="A52" s="5">
        <v>51</v>
      </c>
      <c r="B52" s="5">
        <v>1080</v>
      </c>
      <c r="C52" t="s">
        <v>22</v>
      </c>
      <c r="D52" t="s">
        <v>14</v>
      </c>
      <c r="E52" t="s">
        <v>20</v>
      </c>
      <c r="F52" t="s">
        <v>16</v>
      </c>
      <c r="G52" s="5">
        <v>2</v>
      </c>
      <c r="H52" s="1">
        <v>3908</v>
      </c>
      <c r="I52" s="4">
        <v>7816</v>
      </c>
      <c r="J52" s="9" t="s">
        <v>67</v>
      </c>
      <c r="K52" s="3">
        <v>3908</v>
      </c>
      <c r="L52" s="2">
        <v>0.1</v>
      </c>
      <c r="M52" s="1">
        <v>7034.4</v>
      </c>
      <c r="N52">
        <f t="shared" si="11"/>
        <v>19</v>
      </c>
      <c r="O52" s="5">
        <f t="shared" si="12"/>
        <v>5</v>
      </c>
      <c r="P52">
        <f>YEAR(Table1[[#This Row],[OrderDate]])</f>
        <v>2023</v>
      </c>
      <c r="Q52" s="8">
        <f t="shared" si="13"/>
        <v>45065</v>
      </c>
      <c r="R52">
        <f t="shared" ca="1" si="14"/>
        <v>2</v>
      </c>
      <c r="S52">
        <f t="shared" si="15"/>
        <v>-23</v>
      </c>
      <c r="T52">
        <f t="shared" si="16"/>
        <v>59</v>
      </c>
      <c r="U52" t="str">
        <f t="shared" si="17"/>
        <v>19-02-1900</v>
      </c>
      <c r="V52" t="str">
        <f t="shared" si="18"/>
        <v>Low</v>
      </c>
      <c r="W52" t="str">
        <f t="shared" si="19"/>
        <v>Sale</v>
      </c>
      <c r="X52" t="str">
        <f t="shared" si="20"/>
        <v>OK</v>
      </c>
      <c r="Y52" t="str">
        <f t="shared" si="21"/>
        <v>A</v>
      </c>
      <c r="Z52" t="str" cm="1">
        <f t="array" ref="Z52">_xlfn.IFS(
I52&gt;50000,"Premium",
I52&gt;=20000,"Regular",
TRUE,"Basic"
)</f>
        <v>Basic</v>
      </c>
    </row>
    <row r="53" spans="1:26" x14ac:dyDescent="0.3">
      <c r="A53" s="5">
        <v>52</v>
      </c>
      <c r="B53" s="5">
        <v>1030</v>
      </c>
      <c r="C53" t="s">
        <v>18</v>
      </c>
      <c r="D53" t="s">
        <v>19</v>
      </c>
      <c r="E53" t="s">
        <v>15</v>
      </c>
      <c r="F53" t="s">
        <v>27</v>
      </c>
      <c r="G53" s="5">
        <v>4</v>
      </c>
      <c r="H53" s="1">
        <v>1142</v>
      </c>
      <c r="I53" s="4">
        <v>4568</v>
      </c>
      <c r="J53" s="9" t="s">
        <v>77</v>
      </c>
      <c r="K53" s="3">
        <v>1142</v>
      </c>
      <c r="L53" s="2">
        <v>0.05</v>
      </c>
      <c r="M53" s="1">
        <v>4339.6000000000004</v>
      </c>
      <c r="N53">
        <f t="shared" si="11"/>
        <v>21</v>
      </c>
      <c r="O53" s="5">
        <f t="shared" si="12"/>
        <v>8</v>
      </c>
      <c r="P53">
        <f>YEAR(Table1[[#This Row],[OrderDate]])</f>
        <v>2023</v>
      </c>
      <c r="Q53" s="8">
        <f t="shared" si="13"/>
        <v>45159</v>
      </c>
      <c r="R53">
        <f t="shared" ca="1" si="14"/>
        <v>2</v>
      </c>
      <c r="S53">
        <f t="shared" si="15"/>
        <v>-128</v>
      </c>
      <c r="T53">
        <f t="shared" si="16"/>
        <v>59</v>
      </c>
      <c r="U53" t="str">
        <f t="shared" si="17"/>
        <v>20-02-1900</v>
      </c>
      <c r="V53" t="str">
        <f t="shared" si="18"/>
        <v>Low</v>
      </c>
      <c r="W53" t="str">
        <f t="shared" si="19"/>
        <v>Sale</v>
      </c>
      <c r="X53" t="str">
        <f t="shared" si="20"/>
        <v>OK</v>
      </c>
      <c r="Y53" t="str">
        <f t="shared" si="21"/>
        <v>A</v>
      </c>
      <c r="Z53" t="str" cm="1">
        <f t="array" ref="Z53">_xlfn.IFS(
I53&gt;50000,"Premium",
I53&gt;=20000,"Regular",
TRUE,"Basic"
)</f>
        <v>Basic</v>
      </c>
    </row>
    <row r="54" spans="1:26" x14ac:dyDescent="0.3">
      <c r="A54" s="5">
        <v>53</v>
      </c>
      <c r="B54" s="5">
        <v>1011</v>
      </c>
      <c r="C54" t="s">
        <v>29</v>
      </c>
      <c r="D54" t="s">
        <v>34</v>
      </c>
      <c r="E54" t="s">
        <v>20</v>
      </c>
      <c r="F54" t="s">
        <v>16</v>
      </c>
      <c r="G54" s="5">
        <v>18</v>
      </c>
      <c r="H54" s="1">
        <v>3233</v>
      </c>
      <c r="I54" s="4">
        <v>58194</v>
      </c>
      <c r="J54" s="9" t="s">
        <v>78</v>
      </c>
      <c r="K54" s="3">
        <v>3233</v>
      </c>
      <c r="L54" s="2">
        <v>0.1</v>
      </c>
      <c r="M54" s="1">
        <v>52374.6</v>
      </c>
      <c r="N54">
        <f t="shared" si="11"/>
        <v>24</v>
      </c>
      <c r="O54" s="5">
        <f t="shared" si="12"/>
        <v>12</v>
      </c>
      <c r="P54">
        <f>YEAR(Table1[[#This Row],[OrderDate]])</f>
        <v>2023</v>
      </c>
      <c r="Q54" s="8">
        <f t="shared" si="13"/>
        <v>45284</v>
      </c>
      <c r="R54">
        <f t="shared" ca="1" si="14"/>
        <v>2</v>
      </c>
      <c r="S54">
        <f t="shared" si="15"/>
        <v>-5</v>
      </c>
      <c r="T54">
        <f t="shared" si="16"/>
        <v>59</v>
      </c>
      <c r="U54" t="str">
        <f t="shared" si="17"/>
        <v>21-02-1900</v>
      </c>
      <c r="V54" t="str">
        <f t="shared" si="18"/>
        <v>High</v>
      </c>
      <c r="W54" t="str">
        <f t="shared" si="19"/>
        <v>Sale</v>
      </c>
      <c r="X54" t="str">
        <f t="shared" si="20"/>
        <v>OK</v>
      </c>
      <c r="Y54" t="str">
        <f t="shared" si="21"/>
        <v>A</v>
      </c>
      <c r="Z54" t="str" cm="1">
        <f t="array" ref="Z54">_xlfn.IFS(
I54&gt;50000,"Premium",
I54&gt;=20000,"Regular",
TRUE,"Basic"
)</f>
        <v>Premium</v>
      </c>
    </row>
    <row r="55" spans="1:26" x14ac:dyDescent="0.3">
      <c r="A55" s="5">
        <v>54</v>
      </c>
      <c r="B55" s="5">
        <v>1033</v>
      </c>
      <c r="C55" t="s">
        <v>29</v>
      </c>
      <c r="D55" t="s">
        <v>23</v>
      </c>
      <c r="E55" t="s">
        <v>31</v>
      </c>
      <c r="F55" t="s">
        <v>27</v>
      </c>
      <c r="G55" s="5">
        <v>4</v>
      </c>
      <c r="H55" s="1">
        <v>3988</v>
      </c>
      <c r="I55" s="4">
        <v>15952</v>
      </c>
      <c r="J55" s="9" t="s">
        <v>79</v>
      </c>
      <c r="K55" s="3">
        <v>3988</v>
      </c>
      <c r="L55" s="2">
        <v>0.1</v>
      </c>
      <c r="M55" s="1">
        <v>14356.8</v>
      </c>
      <c r="N55">
        <f t="shared" si="11"/>
        <v>9</v>
      </c>
      <c r="O55" s="5">
        <f t="shared" si="12"/>
        <v>3</v>
      </c>
      <c r="P55">
        <f>YEAR(Table1[[#This Row],[OrderDate]])</f>
        <v>2023</v>
      </c>
      <c r="Q55" s="8">
        <f t="shared" si="13"/>
        <v>44994</v>
      </c>
      <c r="R55">
        <f t="shared" ca="1" si="14"/>
        <v>3</v>
      </c>
      <c r="S55">
        <f t="shared" si="15"/>
        <v>179</v>
      </c>
      <c r="T55">
        <f t="shared" si="16"/>
        <v>59</v>
      </c>
      <c r="U55" t="str">
        <f t="shared" si="17"/>
        <v>22-02-1900</v>
      </c>
      <c r="V55" t="str">
        <f t="shared" si="18"/>
        <v>Low</v>
      </c>
      <c r="W55" t="str">
        <f t="shared" si="19"/>
        <v>Sale</v>
      </c>
      <c r="X55" t="str">
        <f t="shared" si="20"/>
        <v>OK</v>
      </c>
      <c r="Y55" t="str">
        <f t="shared" si="21"/>
        <v>A</v>
      </c>
      <c r="Z55" t="str" cm="1">
        <f t="array" ref="Z55">_xlfn.IFS(
I55&gt;50000,"Premium",
I55&gt;=20000,"Regular",
TRUE,"Basic"
)</f>
        <v>Basic</v>
      </c>
    </row>
    <row r="56" spans="1:26" x14ac:dyDescent="0.3">
      <c r="A56" s="5">
        <v>55</v>
      </c>
      <c r="B56" s="5">
        <v>1051</v>
      </c>
      <c r="C56" t="s">
        <v>40</v>
      </c>
      <c r="D56" t="s">
        <v>25</v>
      </c>
      <c r="E56" t="s">
        <v>41</v>
      </c>
      <c r="F56" t="s">
        <v>27</v>
      </c>
      <c r="G56" s="5">
        <v>20</v>
      </c>
      <c r="H56" s="1">
        <v>1150</v>
      </c>
      <c r="I56" s="4">
        <v>23000</v>
      </c>
      <c r="J56" s="9" t="s">
        <v>80</v>
      </c>
      <c r="K56" s="3">
        <v>1150</v>
      </c>
      <c r="L56" s="2">
        <v>0.1</v>
      </c>
      <c r="M56" s="1">
        <v>20700</v>
      </c>
      <c r="N56">
        <f t="shared" si="11"/>
        <v>18</v>
      </c>
      <c r="O56" s="5">
        <f t="shared" si="12"/>
        <v>8</v>
      </c>
      <c r="P56">
        <f>YEAR(Table1[[#This Row],[OrderDate]])</f>
        <v>2023</v>
      </c>
      <c r="Q56" s="8">
        <f t="shared" si="13"/>
        <v>45156</v>
      </c>
      <c r="R56">
        <f t="shared" ca="1" si="14"/>
        <v>2</v>
      </c>
      <c r="S56">
        <f t="shared" si="15"/>
        <v>70</v>
      </c>
      <c r="T56">
        <f t="shared" si="16"/>
        <v>59</v>
      </c>
      <c r="U56" t="str">
        <f t="shared" si="17"/>
        <v>23-02-1900</v>
      </c>
      <c r="V56" t="str">
        <f t="shared" si="18"/>
        <v>Medium</v>
      </c>
      <c r="W56" t="str">
        <f t="shared" si="19"/>
        <v>Sale</v>
      </c>
      <c r="X56" t="str">
        <f t="shared" si="20"/>
        <v>OK</v>
      </c>
      <c r="Y56" t="str">
        <f t="shared" si="21"/>
        <v>A</v>
      </c>
      <c r="Z56" t="str" cm="1">
        <f t="array" ref="Z56">_xlfn.IFS(
I56&gt;50000,"Premium",
I56&gt;=20000,"Regular",
TRUE,"Basic"
)</f>
        <v>Regular</v>
      </c>
    </row>
    <row r="57" spans="1:26" x14ac:dyDescent="0.3">
      <c r="A57" s="5">
        <v>56</v>
      </c>
      <c r="B57" s="5">
        <v>1054</v>
      </c>
      <c r="C57" t="s">
        <v>18</v>
      </c>
      <c r="D57" t="s">
        <v>14</v>
      </c>
      <c r="E57" t="s">
        <v>31</v>
      </c>
      <c r="F57" t="s">
        <v>27</v>
      </c>
      <c r="G57" s="5">
        <v>4</v>
      </c>
      <c r="H57" s="1">
        <v>3683</v>
      </c>
      <c r="I57" s="4">
        <v>14732</v>
      </c>
      <c r="J57" s="9" t="s">
        <v>81</v>
      </c>
      <c r="K57" s="3">
        <v>3683</v>
      </c>
      <c r="L57" s="2">
        <v>0.1</v>
      </c>
      <c r="M57" s="1">
        <v>13258.8</v>
      </c>
      <c r="N57">
        <f t="shared" si="11"/>
        <v>19</v>
      </c>
      <c r="O57" s="5">
        <f t="shared" si="12"/>
        <v>4</v>
      </c>
      <c r="P57">
        <f>YEAR(Table1[[#This Row],[OrderDate]])</f>
        <v>2023</v>
      </c>
      <c r="Q57" s="8">
        <f t="shared" si="13"/>
        <v>45035</v>
      </c>
      <c r="R57">
        <f t="shared" ca="1" si="14"/>
        <v>3</v>
      </c>
      <c r="S57">
        <f t="shared" si="15"/>
        <v>110</v>
      </c>
      <c r="T57">
        <f t="shared" si="16"/>
        <v>59</v>
      </c>
      <c r="U57" t="str">
        <f t="shared" si="17"/>
        <v>24-02-1900</v>
      </c>
      <c r="V57" t="str">
        <f t="shared" si="18"/>
        <v>Low</v>
      </c>
      <c r="W57" t="str">
        <f t="shared" si="19"/>
        <v>Sale</v>
      </c>
      <c r="X57" t="str">
        <f t="shared" si="20"/>
        <v>OK</v>
      </c>
      <c r="Y57" t="str">
        <f t="shared" si="21"/>
        <v>A</v>
      </c>
      <c r="Z57" t="str" cm="1">
        <f t="array" ref="Z57">_xlfn.IFS(
I57&gt;50000,"Premium",
I57&gt;=20000,"Regular",
TRUE,"Basic"
)</f>
        <v>Basic</v>
      </c>
    </row>
    <row r="58" spans="1:26" x14ac:dyDescent="0.3">
      <c r="A58" s="5">
        <v>57</v>
      </c>
      <c r="B58" s="5">
        <v>1017</v>
      </c>
      <c r="C58" t="s">
        <v>18</v>
      </c>
      <c r="D58" t="s">
        <v>14</v>
      </c>
      <c r="E58" t="s">
        <v>15</v>
      </c>
      <c r="F58" t="s">
        <v>27</v>
      </c>
      <c r="G58" s="5">
        <v>16</v>
      </c>
      <c r="H58" s="1">
        <v>1120</v>
      </c>
      <c r="I58" s="4">
        <v>17920</v>
      </c>
      <c r="J58" s="9" t="s">
        <v>82</v>
      </c>
      <c r="K58" s="3">
        <v>1120</v>
      </c>
      <c r="L58" s="2">
        <v>0.1</v>
      </c>
      <c r="M58" s="1">
        <v>16128</v>
      </c>
      <c r="N58">
        <f t="shared" si="11"/>
        <v>23</v>
      </c>
      <c r="O58" s="5">
        <f t="shared" si="12"/>
        <v>2</v>
      </c>
      <c r="P58">
        <f>YEAR(Table1[[#This Row],[OrderDate]])</f>
        <v>2023</v>
      </c>
      <c r="Q58" s="8">
        <f t="shared" si="13"/>
        <v>44980</v>
      </c>
      <c r="R58">
        <f t="shared" ca="1" si="14"/>
        <v>3</v>
      </c>
      <c r="S58">
        <f t="shared" si="15"/>
        <v>17</v>
      </c>
      <c r="T58">
        <f t="shared" si="16"/>
        <v>59</v>
      </c>
      <c r="U58" t="str">
        <f t="shared" si="17"/>
        <v>25-02-1900</v>
      </c>
      <c r="V58" t="str">
        <f t="shared" si="18"/>
        <v>Low</v>
      </c>
      <c r="W58" t="str">
        <f t="shared" si="19"/>
        <v>Sale</v>
      </c>
      <c r="X58" t="str">
        <f t="shared" si="20"/>
        <v>OK</v>
      </c>
      <c r="Y58" t="str">
        <f t="shared" si="21"/>
        <v>A</v>
      </c>
      <c r="Z58" t="str" cm="1">
        <f t="array" ref="Z58">_xlfn.IFS(
I58&gt;50000,"Premium",
I58&gt;=20000,"Regular",
TRUE,"Basic"
)</f>
        <v>Basic</v>
      </c>
    </row>
    <row r="59" spans="1:26" x14ac:dyDescent="0.3">
      <c r="A59" s="5">
        <v>58</v>
      </c>
      <c r="B59" s="5">
        <v>1032</v>
      </c>
      <c r="C59" t="s">
        <v>40</v>
      </c>
      <c r="D59" t="s">
        <v>25</v>
      </c>
      <c r="E59" t="s">
        <v>15</v>
      </c>
      <c r="F59" t="s">
        <v>16</v>
      </c>
      <c r="G59" s="5">
        <v>17</v>
      </c>
      <c r="H59" s="1">
        <v>1975</v>
      </c>
      <c r="I59" s="4">
        <v>33575</v>
      </c>
      <c r="J59" s="9" t="s">
        <v>83</v>
      </c>
      <c r="K59" s="3">
        <v>1975</v>
      </c>
      <c r="L59" s="2">
        <v>0.1</v>
      </c>
      <c r="M59" s="1">
        <v>30217.5</v>
      </c>
      <c r="N59">
        <f t="shared" si="11"/>
        <v>16</v>
      </c>
      <c r="O59" s="5">
        <f t="shared" si="12"/>
        <v>12</v>
      </c>
      <c r="P59">
        <f>YEAR(Table1[[#This Row],[OrderDate]])</f>
        <v>2023</v>
      </c>
      <c r="Q59" s="8">
        <f t="shared" si="13"/>
        <v>45276</v>
      </c>
      <c r="R59">
        <f t="shared" ca="1" si="14"/>
        <v>2</v>
      </c>
      <c r="S59">
        <f t="shared" si="15"/>
        <v>-42</v>
      </c>
      <c r="T59">
        <f t="shared" si="16"/>
        <v>59</v>
      </c>
      <c r="U59" t="str">
        <f t="shared" si="17"/>
        <v>26-02-1900</v>
      </c>
      <c r="V59" t="str">
        <f t="shared" si="18"/>
        <v>Medium</v>
      </c>
      <c r="W59" t="str">
        <f t="shared" si="19"/>
        <v>Sale</v>
      </c>
      <c r="X59" t="str">
        <f t="shared" si="20"/>
        <v>OK</v>
      </c>
      <c r="Y59" t="str">
        <f t="shared" si="21"/>
        <v>A</v>
      </c>
      <c r="Z59" t="str" cm="1">
        <f t="array" ref="Z59">_xlfn.IFS(
I59&gt;50000,"Premium",
I59&gt;=20000,"Regular",
TRUE,"Basic"
)</f>
        <v>Regular</v>
      </c>
    </row>
    <row r="60" spans="1:26" x14ac:dyDescent="0.3">
      <c r="A60" s="5">
        <v>59</v>
      </c>
      <c r="B60" s="5">
        <v>1063</v>
      </c>
      <c r="C60" t="s">
        <v>13</v>
      </c>
      <c r="D60" t="s">
        <v>19</v>
      </c>
      <c r="E60" t="s">
        <v>41</v>
      </c>
      <c r="F60" t="s">
        <v>16</v>
      </c>
      <c r="G60" s="5">
        <v>5</v>
      </c>
      <c r="H60" s="1">
        <v>116</v>
      </c>
      <c r="I60" s="4">
        <v>580</v>
      </c>
      <c r="J60" s="9" t="s">
        <v>84</v>
      </c>
      <c r="K60" s="3">
        <v>116</v>
      </c>
      <c r="L60" s="2">
        <v>0.05</v>
      </c>
      <c r="M60" s="1">
        <v>551</v>
      </c>
      <c r="N60">
        <f t="shared" si="11"/>
        <v>14</v>
      </c>
      <c r="O60" s="5">
        <f t="shared" si="12"/>
        <v>11</v>
      </c>
      <c r="P60">
        <f>YEAR(Table1[[#This Row],[OrderDate]])</f>
        <v>2023</v>
      </c>
      <c r="Q60" s="8">
        <f t="shared" si="13"/>
        <v>45244</v>
      </c>
      <c r="R60">
        <f t="shared" ca="1" si="14"/>
        <v>2</v>
      </c>
      <c r="S60">
        <f t="shared" si="15"/>
        <v>34</v>
      </c>
      <c r="T60">
        <f t="shared" si="16"/>
        <v>59</v>
      </c>
      <c r="U60" t="str">
        <f t="shared" si="17"/>
        <v>27-02-1900</v>
      </c>
      <c r="V60" t="str">
        <f t="shared" si="18"/>
        <v>Low</v>
      </c>
      <c r="W60" t="str">
        <f t="shared" si="19"/>
        <v>Sale</v>
      </c>
      <c r="X60" t="str">
        <f t="shared" si="20"/>
        <v>OK</v>
      </c>
      <c r="Y60" t="str">
        <f t="shared" si="21"/>
        <v>A</v>
      </c>
      <c r="Z60" t="str" cm="1">
        <f t="array" ref="Z60">_xlfn.IFS(
I60&gt;50000,"Premium",
I60&gt;=20000,"Regular",
TRUE,"Basic"
)</f>
        <v>Basic</v>
      </c>
    </row>
    <row r="61" spans="1:26" x14ac:dyDescent="0.3">
      <c r="A61" s="5">
        <v>60</v>
      </c>
      <c r="B61" s="5">
        <v>1073</v>
      </c>
      <c r="C61" t="s">
        <v>18</v>
      </c>
      <c r="D61" t="s">
        <v>23</v>
      </c>
      <c r="E61" t="s">
        <v>15</v>
      </c>
      <c r="F61" t="s">
        <v>16</v>
      </c>
      <c r="G61" s="5">
        <v>7</v>
      </c>
      <c r="H61" s="1">
        <v>939</v>
      </c>
      <c r="I61" s="4">
        <v>6573</v>
      </c>
      <c r="J61" s="9" t="s">
        <v>28</v>
      </c>
      <c r="K61" s="3">
        <v>939</v>
      </c>
      <c r="L61" s="2">
        <v>0.1</v>
      </c>
      <c r="M61" s="1">
        <v>5915.7</v>
      </c>
      <c r="N61">
        <f t="shared" si="11"/>
        <v>23</v>
      </c>
      <c r="O61" s="5">
        <f t="shared" si="12"/>
        <v>11</v>
      </c>
      <c r="P61">
        <f>YEAR(Table1[[#This Row],[OrderDate]])</f>
        <v>2023</v>
      </c>
      <c r="Q61" s="8">
        <f t="shared" si="13"/>
        <v>45253</v>
      </c>
      <c r="R61">
        <f t="shared" ca="1" si="14"/>
        <v>2</v>
      </c>
      <c r="S61">
        <f t="shared" si="15"/>
        <v>-209</v>
      </c>
      <c r="T61">
        <f t="shared" si="16"/>
        <v>59</v>
      </c>
      <c r="U61" t="str">
        <f t="shared" si="17"/>
        <v>28-02-1900</v>
      </c>
      <c r="V61" t="str">
        <f t="shared" si="18"/>
        <v>Low</v>
      </c>
      <c r="W61" t="str">
        <f t="shared" si="19"/>
        <v>Sale</v>
      </c>
      <c r="X61" t="str">
        <f t="shared" si="20"/>
        <v>OK</v>
      </c>
      <c r="Y61" t="str">
        <f t="shared" si="21"/>
        <v>A</v>
      </c>
      <c r="Z61" t="str" cm="1">
        <f t="array" ref="Z61">_xlfn.IFS(
I61&gt;50000,"Premium",
I61&gt;=20000,"Regular",
TRUE,"Basic"
)</f>
        <v>Basic</v>
      </c>
    </row>
    <row r="62" spans="1:26" x14ac:dyDescent="0.3">
      <c r="A62" s="5">
        <v>61</v>
      </c>
      <c r="B62" s="5">
        <v>1046</v>
      </c>
      <c r="C62" t="s">
        <v>40</v>
      </c>
      <c r="D62" t="s">
        <v>14</v>
      </c>
      <c r="E62" t="s">
        <v>41</v>
      </c>
      <c r="F62" t="s">
        <v>27</v>
      </c>
      <c r="G62" s="5">
        <v>20</v>
      </c>
      <c r="H62" s="1">
        <v>2436</v>
      </c>
      <c r="I62" s="4">
        <v>48720</v>
      </c>
      <c r="J62" s="9" t="s">
        <v>85</v>
      </c>
      <c r="K62" s="3">
        <v>2436</v>
      </c>
      <c r="L62" s="2">
        <v>0.1</v>
      </c>
      <c r="M62" s="1">
        <v>43848</v>
      </c>
      <c r="N62">
        <f t="shared" si="11"/>
        <v>19</v>
      </c>
      <c r="O62" s="5">
        <f t="shared" si="12"/>
        <v>9</v>
      </c>
      <c r="P62">
        <f>YEAR(Table1[[#This Row],[OrderDate]])</f>
        <v>2023</v>
      </c>
      <c r="Q62" s="8">
        <f t="shared" si="13"/>
        <v>45188</v>
      </c>
      <c r="R62">
        <f t="shared" ca="1" si="14"/>
        <v>2</v>
      </c>
      <c r="S62">
        <f t="shared" si="15"/>
        <v>74</v>
      </c>
      <c r="T62">
        <f t="shared" si="16"/>
        <v>59</v>
      </c>
      <c r="U62" t="str">
        <f t="shared" si="17"/>
        <v>29-02-1900</v>
      </c>
      <c r="V62" t="str">
        <f t="shared" si="18"/>
        <v>Medium</v>
      </c>
      <c r="W62" t="str">
        <f t="shared" si="19"/>
        <v>Sale</v>
      </c>
      <c r="X62" t="str">
        <f t="shared" si="20"/>
        <v>OK</v>
      </c>
      <c r="Y62" t="str">
        <f t="shared" si="21"/>
        <v>A</v>
      </c>
      <c r="Z62" t="str" cm="1">
        <f t="array" ref="Z62">_xlfn.IFS(
I62&gt;50000,"Premium",
I62&gt;=20000,"Regular",
TRUE,"Basic"
)</f>
        <v>Regular</v>
      </c>
    </row>
    <row r="63" spans="1:26" x14ac:dyDescent="0.3">
      <c r="A63" s="5">
        <v>62</v>
      </c>
      <c r="B63" s="5">
        <v>1045</v>
      </c>
      <c r="C63" t="s">
        <v>13</v>
      </c>
      <c r="D63" t="s">
        <v>19</v>
      </c>
      <c r="E63" t="s">
        <v>15</v>
      </c>
      <c r="F63" t="s">
        <v>27</v>
      </c>
      <c r="G63" s="5">
        <v>2</v>
      </c>
      <c r="H63" s="1">
        <v>4552</v>
      </c>
      <c r="I63" s="4">
        <v>9104</v>
      </c>
      <c r="J63" s="9" t="s">
        <v>86</v>
      </c>
      <c r="K63" s="3">
        <v>4552</v>
      </c>
      <c r="L63" s="2">
        <v>0.1</v>
      </c>
      <c r="M63" s="1">
        <v>8193.6</v>
      </c>
      <c r="N63">
        <f t="shared" si="11"/>
        <v>18</v>
      </c>
      <c r="O63" s="5">
        <f t="shared" si="12"/>
        <v>3</v>
      </c>
      <c r="P63">
        <f>YEAR(Table1[[#This Row],[OrderDate]])</f>
        <v>2023</v>
      </c>
      <c r="Q63" s="8">
        <f t="shared" si="13"/>
        <v>45003</v>
      </c>
      <c r="R63">
        <f t="shared" ca="1" si="14"/>
        <v>3</v>
      </c>
      <c r="S63">
        <f t="shared" si="15"/>
        <v>166</v>
      </c>
      <c r="T63">
        <f t="shared" si="16"/>
        <v>91</v>
      </c>
      <c r="U63" t="str">
        <f t="shared" si="17"/>
        <v>01-03-1900</v>
      </c>
      <c r="V63" t="str">
        <f t="shared" si="18"/>
        <v>Low</v>
      </c>
      <c r="W63" t="str">
        <f t="shared" si="19"/>
        <v>Sale</v>
      </c>
      <c r="X63" t="str">
        <f t="shared" si="20"/>
        <v>OK</v>
      </c>
      <c r="Y63" t="str">
        <f t="shared" si="21"/>
        <v>A</v>
      </c>
      <c r="Z63" t="str" cm="1">
        <f t="array" ref="Z63">_xlfn.IFS(
I63&gt;50000,"Premium",
I63&gt;=20000,"Regular",
TRUE,"Basic"
)</f>
        <v>Basic</v>
      </c>
    </row>
    <row r="64" spans="1:26" x14ac:dyDescent="0.3">
      <c r="A64" s="5">
        <v>63</v>
      </c>
      <c r="B64" s="5">
        <v>1085</v>
      </c>
      <c r="C64" t="s">
        <v>18</v>
      </c>
      <c r="D64" t="s">
        <v>19</v>
      </c>
      <c r="E64" t="s">
        <v>41</v>
      </c>
      <c r="F64" t="s">
        <v>27</v>
      </c>
      <c r="G64" s="5">
        <v>17</v>
      </c>
      <c r="H64" s="1">
        <v>2010</v>
      </c>
      <c r="I64" s="4">
        <v>34170</v>
      </c>
      <c r="J64" s="9" t="s">
        <v>87</v>
      </c>
      <c r="K64" s="3">
        <v>2010</v>
      </c>
      <c r="L64" s="2">
        <v>0.1</v>
      </c>
      <c r="M64" s="1">
        <v>30753</v>
      </c>
      <c r="N64">
        <f t="shared" si="11"/>
        <v>19</v>
      </c>
      <c r="O64" s="5">
        <f t="shared" si="12"/>
        <v>10</v>
      </c>
      <c r="P64">
        <f>YEAR(Table1[[#This Row],[OrderDate]])</f>
        <v>2023</v>
      </c>
      <c r="Q64" s="8">
        <f t="shared" si="13"/>
        <v>45218</v>
      </c>
      <c r="R64">
        <f t="shared" ca="1" si="14"/>
        <v>2</v>
      </c>
      <c r="S64">
        <f t="shared" si="15"/>
        <v>-78</v>
      </c>
      <c r="T64">
        <f t="shared" si="16"/>
        <v>91</v>
      </c>
      <c r="U64" t="str">
        <f t="shared" si="17"/>
        <v>02-03-1900</v>
      </c>
      <c r="V64" t="str">
        <f t="shared" si="18"/>
        <v>Medium</v>
      </c>
      <c r="W64" t="str">
        <f t="shared" si="19"/>
        <v>Sale</v>
      </c>
      <c r="X64" t="str">
        <f t="shared" si="20"/>
        <v>OK</v>
      </c>
      <c r="Y64" t="str">
        <f t="shared" si="21"/>
        <v>A</v>
      </c>
      <c r="Z64" t="str" cm="1">
        <f t="array" ref="Z64">_xlfn.IFS(
I64&gt;50000,"Premium",
I64&gt;=20000,"Regular",
TRUE,"Basic"
)</f>
        <v>Regular</v>
      </c>
    </row>
    <row r="65" spans="1:26" x14ac:dyDescent="0.3">
      <c r="A65" s="5">
        <v>64</v>
      </c>
      <c r="B65" s="5">
        <v>1041</v>
      </c>
      <c r="C65" t="s">
        <v>22</v>
      </c>
      <c r="D65" t="s">
        <v>19</v>
      </c>
      <c r="E65" t="s">
        <v>15</v>
      </c>
      <c r="F65" t="s">
        <v>27</v>
      </c>
      <c r="G65" s="5">
        <v>17</v>
      </c>
      <c r="H65" s="1">
        <v>454</v>
      </c>
      <c r="I65" s="4">
        <v>7718</v>
      </c>
      <c r="J65" s="9" t="s">
        <v>88</v>
      </c>
      <c r="K65" s="3">
        <v>454</v>
      </c>
      <c r="L65" s="2">
        <v>0.1</v>
      </c>
      <c r="M65" s="1">
        <v>6946.2</v>
      </c>
      <c r="N65">
        <f t="shared" si="11"/>
        <v>31</v>
      </c>
      <c r="O65" s="5">
        <f t="shared" si="12"/>
        <v>12</v>
      </c>
      <c r="P65">
        <f>YEAR(Table1[[#This Row],[OrderDate]])</f>
        <v>2023</v>
      </c>
      <c r="Q65" s="8">
        <f t="shared" si="13"/>
        <v>45291</v>
      </c>
      <c r="R65">
        <f t="shared" ca="1" si="14"/>
        <v>2</v>
      </c>
      <c r="S65">
        <f t="shared" si="15"/>
        <v>-163</v>
      </c>
      <c r="T65">
        <f t="shared" si="16"/>
        <v>91</v>
      </c>
      <c r="U65" t="str">
        <f t="shared" si="17"/>
        <v>03-03-1900</v>
      </c>
      <c r="V65" t="str">
        <f t="shared" si="18"/>
        <v>Low</v>
      </c>
      <c r="W65" t="str">
        <f t="shared" si="19"/>
        <v>Sale</v>
      </c>
      <c r="X65" t="str">
        <f t="shared" si="20"/>
        <v>OK</v>
      </c>
      <c r="Y65" t="str">
        <f t="shared" si="21"/>
        <v>A</v>
      </c>
      <c r="Z65" t="str" cm="1">
        <f t="array" ref="Z65">_xlfn.IFS(
I65&gt;50000,"Premium",
I65&gt;=20000,"Regular",
TRUE,"Basic"
)</f>
        <v>Basic</v>
      </c>
    </row>
    <row r="66" spans="1:26" x14ac:dyDescent="0.3">
      <c r="A66" s="5">
        <v>65</v>
      </c>
      <c r="B66" s="5">
        <v>1029</v>
      </c>
      <c r="C66" t="s">
        <v>13</v>
      </c>
      <c r="D66" t="s">
        <v>23</v>
      </c>
      <c r="E66" t="s">
        <v>41</v>
      </c>
      <c r="F66" t="s">
        <v>16</v>
      </c>
      <c r="G66" s="5">
        <v>20</v>
      </c>
      <c r="H66" s="1">
        <v>764</v>
      </c>
      <c r="I66" s="4">
        <v>15280</v>
      </c>
      <c r="J66" s="9" t="s">
        <v>89</v>
      </c>
      <c r="K66" s="3">
        <v>764</v>
      </c>
      <c r="L66" s="2">
        <v>0.1</v>
      </c>
      <c r="M66" s="1">
        <v>13752</v>
      </c>
      <c r="N66">
        <f t="shared" ref="N66:N97" si="22">DAY(J66)</f>
        <v>4</v>
      </c>
      <c r="O66" s="5">
        <f t="shared" ref="O66:O97" si="23">MONTH(J:J)</f>
        <v>2</v>
      </c>
      <c r="P66">
        <f>YEAR(Table1[[#This Row],[OrderDate]])</f>
        <v>2023</v>
      </c>
      <c r="Q66" s="8">
        <f t="shared" ref="Q66:Q97" si="24">DATEVALUE(J66)</f>
        <v>44961</v>
      </c>
      <c r="R66">
        <f t="shared" ref="R66:R97" ca="1" si="25">DATEDIF(J66, TODAY(), "Y")</f>
        <v>3</v>
      </c>
      <c r="S66">
        <f t="shared" ref="S66:S97" si="26">NETWORKDAYS(J66,J71)</f>
        <v>78</v>
      </c>
      <c r="T66">
        <f t="shared" ref="T66:T97" si="27">EOMONTH(A65,0)</f>
        <v>91</v>
      </c>
      <c r="U66" t="str">
        <f t="shared" ref="U66:U97" si="28">TEXT(A65,"DD-MM-YYYY")</f>
        <v>04-03-1900</v>
      </c>
      <c r="V66" t="str">
        <f t="shared" ref="V66:V97" si="29">IF(I66&gt;50000,"High",IF(I66&gt;=20000,"Medium","Low"))</f>
        <v>Low</v>
      </c>
      <c r="W66" t="str">
        <f t="shared" ref="W66:W97" si="30">IF(G66&lt;0,"Return","Sale")</f>
        <v>Sale</v>
      </c>
      <c r="X66" t="str">
        <f t="shared" ref="X66:X97" si="31">IF(ISBLANK(W66),"Missing","OK")</f>
        <v>OK</v>
      </c>
      <c r="Y66" t="str">
        <f t="shared" ref="Y66:Y97" si="32">IF(A65&gt;=9,"A",IF(A65&gt;=7,"B",IF(A65&gt;=0,"C","no order")))</f>
        <v>A</v>
      </c>
      <c r="Z66" t="str" cm="1">
        <f t="array" ref="Z66">_xlfn.IFS(
I66&gt;50000,"Premium",
I66&gt;=20000,"Regular",
TRUE,"Basic"
)</f>
        <v>Basic</v>
      </c>
    </row>
    <row r="67" spans="1:26" x14ac:dyDescent="0.3">
      <c r="A67" s="5">
        <v>66</v>
      </c>
      <c r="B67" s="5">
        <v>1020</v>
      </c>
      <c r="C67" t="s">
        <v>40</v>
      </c>
      <c r="D67" t="s">
        <v>23</v>
      </c>
      <c r="E67" t="s">
        <v>41</v>
      </c>
      <c r="F67" t="s">
        <v>16</v>
      </c>
      <c r="G67" s="5">
        <v>2</v>
      </c>
      <c r="H67" s="1">
        <v>761</v>
      </c>
      <c r="I67" s="4">
        <v>1522</v>
      </c>
      <c r="J67" s="9" t="s">
        <v>90</v>
      </c>
      <c r="K67" s="3">
        <v>761</v>
      </c>
      <c r="L67" s="2">
        <v>0.05</v>
      </c>
      <c r="M67" s="1">
        <v>1445.9</v>
      </c>
      <c r="N67">
        <f t="shared" si="22"/>
        <v>30</v>
      </c>
      <c r="O67" s="5">
        <f t="shared" si="23"/>
        <v>12</v>
      </c>
      <c r="P67">
        <f>YEAR(Table1[[#This Row],[OrderDate]])</f>
        <v>2023</v>
      </c>
      <c r="Q67" s="8">
        <f t="shared" si="24"/>
        <v>45290</v>
      </c>
      <c r="R67">
        <f t="shared" ca="1" si="25"/>
        <v>2</v>
      </c>
      <c r="S67">
        <f t="shared" si="26"/>
        <v>-132</v>
      </c>
      <c r="T67">
        <f t="shared" si="27"/>
        <v>91</v>
      </c>
      <c r="U67" t="str">
        <f t="shared" si="28"/>
        <v>05-03-1900</v>
      </c>
      <c r="V67" t="str">
        <f t="shared" si="29"/>
        <v>Low</v>
      </c>
      <c r="W67" t="str">
        <f t="shared" si="30"/>
        <v>Sale</v>
      </c>
      <c r="X67" t="str">
        <f t="shared" si="31"/>
        <v>OK</v>
      </c>
      <c r="Y67" t="str">
        <f t="shared" si="32"/>
        <v>A</v>
      </c>
      <c r="Z67" t="str" cm="1">
        <f t="array" ref="Z67">_xlfn.IFS(
I67&gt;50000,"Premium",
I67&gt;=20000,"Regular",
TRUE,"Basic"
)</f>
        <v>Basic</v>
      </c>
    </row>
    <row r="68" spans="1:26" x14ac:dyDescent="0.3">
      <c r="A68" s="5">
        <v>67</v>
      </c>
      <c r="B68" s="5">
        <v>1050</v>
      </c>
      <c r="C68" t="s">
        <v>22</v>
      </c>
      <c r="D68" t="s">
        <v>14</v>
      </c>
      <c r="E68" t="s">
        <v>26</v>
      </c>
      <c r="F68" t="s">
        <v>27</v>
      </c>
      <c r="G68" s="5">
        <v>5</v>
      </c>
      <c r="H68" s="1">
        <v>247</v>
      </c>
      <c r="I68" s="4">
        <v>1235</v>
      </c>
      <c r="J68" s="9" t="s">
        <v>58</v>
      </c>
      <c r="K68" s="3">
        <v>247</v>
      </c>
      <c r="L68" s="2">
        <v>0.05</v>
      </c>
      <c r="M68" s="1">
        <v>1173.25</v>
      </c>
      <c r="N68">
        <f t="shared" si="22"/>
        <v>6</v>
      </c>
      <c r="O68" s="5">
        <f t="shared" si="23"/>
        <v>11</v>
      </c>
      <c r="P68">
        <f>YEAR(Table1[[#This Row],[OrderDate]])</f>
        <v>2023</v>
      </c>
      <c r="Q68" s="8">
        <f t="shared" si="24"/>
        <v>45236</v>
      </c>
      <c r="R68">
        <f t="shared" ca="1" si="25"/>
        <v>2</v>
      </c>
      <c r="S68">
        <f t="shared" si="26"/>
        <v>-108</v>
      </c>
      <c r="T68">
        <f t="shared" si="27"/>
        <v>91</v>
      </c>
      <c r="U68" t="str">
        <f t="shared" si="28"/>
        <v>06-03-1900</v>
      </c>
      <c r="V68" t="str">
        <f t="shared" si="29"/>
        <v>Low</v>
      </c>
      <c r="W68" t="str">
        <f t="shared" si="30"/>
        <v>Sale</v>
      </c>
      <c r="X68" t="str">
        <f t="shared" si="31"/>
        <v>OK</v>
      </c>
      <c r="Y68" t="str">
        <f t="shared" si="32"/>
        <v>A</v>
      </c>
      <c r="Z68" t="str" cm="1">
        <f t="array" ref="Z68">_xlfn.IFS(
I68&gt;50000,"Premium",
I68&gt;=20000,"Regular",
TRUE,"Basic"
)</f>
        <v>Basic</v>
      </c>
    </row>
    <row r="69" spans="1:26" x14ac:dyDescent="0.3">
      <c r="A69" s="5">
        <v>68</v>
      </c>
      <c r="B69" s="5">
        <v>1080</v>
      </c>
      <c r="C69" t="s">
        <v>18</v>
      </c>
      <c r="D69" t="s">
        <v>23</v>
      </c>
      <c r="E69" t="s">
        <v>41</v>
      </c>
      <c r="F69" t="s">
        <v>27</v>
      </c>
      <c r="G69" s="5">
        <v>13</v>
      </c>
      <c r="H69" s="1">
        <v>2416</v>
      </c>
      <c r="I69" s="4">
        <v>31408</v>
      </c>
      <c r="J69" s="9" t="s">
        <v>91</v>
      </c>
      <c r="K69" s="3">
        <v>2416</v>
      </c>
      <c r="L69" s="2">
        <v>0.1</v>
      </c>
      <c r="M69" s="1">
        <v>28267.200000000001</v>
      </c>
      <c r="N69">
        <f t="shared" si="22"/>
        <v>4</v>
      </c>
      <c r="O69" s="5">
        <f t="shared" si="23"/>
        <v>7</v>
      </c>
      <c r="P69">
        <f>YEAR(Table1[[#This Row],[OrderDate]])</f>
        <v>2023</v>
      </c>
      <c r="Q69" s="8">
        <f t="shared" si="24"/>
        <v>45111</v>
      </c>
      <c r="R69">
        <f t="shared" ca="1" si="25"/>
        <v>2</v>
      </c>
      <c r="S69">
        <f t="shared" si="26"/>
        <v>-48</v>
      </c>
      <c r="T69">
        <f t="shared" si="27"/>
        <v>91</v>
      </c>
      <c r="U69" t="str">
        <f t="shared" si="28"/>
        <v>07-03-1900</v>
      </c>
      <c r="V69" t="str">
        <f t="shared" si="29"/>
        <v>Medium</v>
      </c>
      <c r="W69" t="str">
        <f t="shared" si="30"/>
        <v>Sale</v>
      </c>
      <c r="X69" t="str">
        <f t="shared" si="31"/>
        <v>OK</v>
      </c>
      <c r="Y69" t="str">
        <f t="shared" si="32"/>
        <v>A</v>
      </c>
      <c r="Z69" t="str" cm="1">
        <f t="array" ref="Z69">_xlfn.IFS(
I69&gt;50000,"Premium",
I69&gt;=20000,"Regular",
TRUE,"Basic"
)</f>
        <v>Regular</v>
      </c>
    </row>
    <row r="70" spans="1:26" x14ac:dyDescent="0.3">
      <c r="A70" s="5">
        <v>69</v>
      </c>
      <c r="C70" t="s">
        <v>13</v>
      </c>
      <c r="D70" t="s">
        <v>25</v>
      </c>
      <c r="E70" t="s">
        <v>20</v>
      </c>
      <c r="F70" t="s">
        <v>16</v>
      </c>
      <c r="G70" s="5">
        <v>13</v>
      </c>
      <c r="H70" s="1">
        <v>3238</v>
      </c>
      <c r="I70" s="4">
        <v>42094</v>
      </c>
      <c r="J70" s="9" t="s">
        <v>92</v>
      </c>
      <c r="K70" s="3">
        <v>3238</v>
      </c>
      <c r="L70" s="2">
        <v>0.1</v>
      </c>
      <c r="M70" s="1">
        <v>37884.6</v>
      </c>
      <c r="N70">
        <f t="shared" si="22"/>
        <v>17</v>
      </c>
      <c r="O70" s="5">
        <f t="shared" si="23"/>
        <v>5</v>
      </c>
      <c r="P70">
        <f>YEAR(Table1[[#This Row],[OrderDate]])</f>
        <v>2023</v>
      </c>
      <c r="Q70" s="8">
        <f t="shared" si="24"/>
        <v>45063</v>
      </c>
      <c r="R70">
        <f t="shared" ca="1" si="25"/>
        <v>2</v>
      </c>
      <c r="S70">
        <f t="shared" si="26"/>
        <v>-33</v>
      </c>
      <c r="T70">
        <f t="shared" si="27"/>
        <v>91</v>
      </c>
      <c r="U70" t="str">
        <f t="shared" si="28"/>
        <v>08-03-1900</v>
      </c>
      <c r="V70" t="str">
        <f t="shared" si="29"/>
        <v>Medium</v>
      </c>
      <c r="W70" t="str">
        <f t="shared" si="30"/>
        <v>Sale</v>
      </c>
      <c r="X70" t="str">
        <f t="shared" si="31"/>
        <v>OK</v>
      </c>
      <c r="Y70" t="str">
        <f t="shared" si="32"/>
        <v>A</v>
      </c>
      <c r="Z70" t="str" cm="1">
        <f t="array" ref="Z70">_xlfn.IFS(
I70&gt;50000,"Premium",
I70&gt;=20000,"Regular",
TRUE,"Basic"
)</f>
        <v>Regular</v>
      </c>
    </row>
    <row r="71" spans="1:26" x14ac:dyDescent="0.3">
      <c r="A71" s="5">
        <v>70</v>
      </c>
      <c r="B71" s="5">
        <v>1059</v>
      </c>
      <c r="C71" t="s">
        <v>40</v>
      </c>
      <c r="D71" t="s">
        <v>23</v>
      </c>
      <c r="E71" t="s">
        <v>41</v>
      </c>
      <c r="F71" t="s">
        <v>16</v>
      </c>
      <c r="G71" s="5">
        <v>1</v>
      </c>
      <c r="H71" s="1">
        <v>2019</v>
      </c>
      <c r="I71" s="4">
        <v>2019</v>
      </c>
      <c r="J71" s="9" t="s">
        <v>93</v>
      </c>
      <c r="K71" s="3">
        <v>2019</v>
      </c>
      <c r="L71" s="2">
        <v>0.05</v>
      </c>
      <c r="M71" s="1">
        <v>1918.05</v>
      </c>
      <c r="N71">
        <f t="shared" si="22"/>
        <v>24</v>
      </c>
      <c r="O71" s="5">
        <f t="shared" si="23"/>
        <v>5</v>
      </c>
      <c r="P71">
        <f>YEAR(Table1[[#This Row],[OrderDate]])</f>
        <v>2023</v>
      </c>
      <c r="Q71" s="8">
        <f t="shared" si="24"/>
        <v>45070</v>
      </c>
      <c r="R71">
        <f t="shared" ca="1" si="25"/>
        <v>2</v>
      </c>
      <c r="S71">
        <f t="shared" si="26"/>
        <v>60</v>
      </c>
      <c r="T71">
        <f t="shared" si="27"/>
        <v>91</v>
      </c>
      <c r="U71" t="str">
        <f t="shared" si="28"/>
        <v>09-03-1900</v>
      </c>
      <c r="V71" t="str">
        <f t="shared" si="29"/>
        <v>Low</v>
      </c>
      <c r="W71" t="str">
        <f t="shared" si="30"/>
        <v>Sale</v>
      </c>
      <c r="X71" t="str">
        <f t="shared" si="31"/>
        <v>OK</v>
      </c>
      <c r="Y71" t="str">
        <f t="shared" si="32"/>
        <v>A</v>
      </c>
      <c r="Z71" t="str" cm="1">
        <f t="array" ref="Z71">_xlfn.IFS(
I71&gt;50000,"Premium",
I71&gt;=20000,"Regular",
TRUE,"Basic"
)</f>
        <v>Basic</v>
      </c>
    </row>
    <row r="72" spans="1:26" x14ac:dyDescent="0.3">
      <c r="A72" s="5">
        <v>71</v>
      </c>
      <c r="B72" s="5">
        <v>1049</v>
      </c>
      <c r="C72" t="s">
        <v>22</v>
      </c>
      <c r="D72" t="s">
        <v>23</v>
      </c>
      <c r="E72" t="s">
        <v>26</v>
      </c>
      <c r="F72" t="s">
        <v>16</v>
      </c>
      <c r="G72" s="5">
        <v>11</v>
      </c>
      <c r="H72" s="1">
        <v>1195</v>
      </c>
      <c r="I72" s="4">
        <v>13145</v>
      </c>
      <c r="J72" s="9" t="s">
        <v>94</v>
      </c>
      <c r="K72" s="3">
        <v>1195</v>
      </c>
      <c r="L72" s="2">
        <v>0.1</v>
      </c>
      <c r="M72" s="1">
        <v>11830.5</v>
      </c>
      <c r="N72">
        <f t="shared" si="22"/>
        <v>29</v>
      </c>
      <c r="O72" s="5">
        <f t="shared" si="23"/>
        <v>6</v>
      </c>
      <c r="P72">
        <f>YEAR(Table1[[#This Row],[OrderDate]])</f>
        <v>2023</v>
      </c>
      <c r="Q72" s="8">
        <f t="shared" si="24"/>
        <v>45106</v>
      </c>
      <c r="R72">
        <f t="shared" ca="1" si="25"/>
        <v>2</v>
      </c>
      <c r="S72">
        <f t="shared" si="26"/>
        <v>-72</v>
      </c>
      <c r="T72">
        <f t="shared" si="27"/>
        <v>91</v>
      </c>
      <c r="U72" t="str">
        <f t="shared" si="28"/>
        <v>10-03-1900</v>
      </c>
      <c r="V72" t="str">
        <f t="shared" si="29"/>
        <v>Low</v>
      </c>
      <c r="W72" t="str">
        <f t="shared" si="30"/>
        <v>Sale</v>
      </c>
      <c r="X72" t="str">
        <f t="shared" si="31"/>
        <v>OK</v>
      </c>
      <c r="Y72" t="str">
        <f t="shared" si="32"/>
        <v>A</v>
      </c>
      <c r="Z72" t="str" cm="1">
        <f t="array" ref="Z72">_xlfn.IFS(
I72&gt;50000,"Premium",
I72&gt;=20000,"Regular",
TRUE,"Basic"
)</f>
        <v>Basic</v>
      </c>
    </row>
    <row r="73" spans="1:26" x14ac:dyDescent="0.3">
      <c r="A73" s="5">
        <v>72</v>
      </c>
      <c r="B73" s="5">
        <v>1061</v>
      </c>
      <c r="C73" t="s">
        <v>22</v>
      </c>
      <c r="D73" t="s">
        <v>23</v>
      </c>
      <c r="E73" t="s">
        <v>31</v>
      </c>
      <c r="F73" t="s">
        <v>27</v>
      </c>
      <c r="G73" s="5">
        <v>11</v>
      </c>
      <c r="H73" s="1">
        <v>2095</v>
      </c>
      <c r="I73" s="4">
        <v>23045</v>
      </c>
      <c r="J73" s="9" t="s">
        <v>95</v>
      </c>
      <c r="K73" s="3">
        <v>2095</v>
      </c>
      <c r="L73" s="2">
        <v>0.1</v>
      </c>
      <c r="M73" s="1">
        <v>20740.5</v>
      </c>
      <c r="N73">
        <f t="shared" si="22"/>
        <v>8</v>
      </c>
      <c r="O73" s="5">
        <f t="shared" si="23"/>
        <v>6</v>
      </c>
      <c r="P73">
        <f>YEAR(Table1[[#This Row],[OrderDate]])</f>
        <v>2023</v>
      </c>
      <c r="Q73" s="8">
        <f t="shared" si="24"/>
        <v>45085</v>
      </c>
      <c r="R73">
        <f t="shared" ca="1" si="25"/>
        <v>2</v>
      </c>
      <c r="S73">
        <f t="shared" si="26"/>
        <v>57</v>
      </c>
      <c r="T73">
        <f t="shared" si="27"/>
        <v>91</v>
      </c>
      <c r="U73" t="str">
        <f t="shared" si="28"/>
        <v>11-03-1900</v>
      </c>
      <c r="V73" t="str">
        <f t="shared" si="29"/>
        <v>Medium</v>
      </c>
      <c r="W73" t="str">
        <f t="shared" si="30"/>
        <v>Sale</v>
      </c>
      <c r="X73" t="str">
        <f t="shared" si="31"/>
        <v>OK</v>
      </c>
      <c r="Y73" t="str">
        <f t="shared" si="32"/>
        <v>A</v>
      </c>
      <c r="Z73" t="str" cm="1">
        <f t="array" ref="Z73">_xlfn.IFS(
I73&gt;50000,"Premium",
I73&gt;=20000,"Regular",
TRUE,"Basic"
)</f>
        <v>Regular</v>
      </c>
    </row>
    <row r="74" spans="1:26" x14ac:dyDescent="0.3">
      <c r="A74" s="5">
        <v>73</v>
      </c>
      <c r="B74" s="5">
        <v>1013</v>
      </c>
      <c r="C74" t="s">
        <v>40</v>
      </c>
      <c r="D74" t="s">
        <v>19</v>
      </c>
      <c r="E74" t="s">
        <v>31</v>
      </c>
      <c r="F74" t="s">
        <v>16</v>
      </c>
      <c r="G74" s="5">
        <v>20</v>
      </c>
      <c r="H74" s="1">
        <v>1217</v>
      </c>
      <c r="I74" s="4">
        <v>24340</v>
      </c>
      <c r="J74" s="9" t="s">
        <v>96</v>
      </c>
      <c r="K74" s="3">
        <v>1217</v>
      </c>
      <c r="L74" s="2">
        <v>0.1</v>
      </c>
      <c r="M74" s="1">
        <v>21906</v>
      </c>
      <c r="N74">
        <f t="shared" si="22"/>
        <v>28</v>
      </c>
      <c r="O74" s="5">
        <f t="shared" si="23"/>
        <v>4</v>
      </c>
      <c r="P74">
        <f>YEAR(Table1[[#This Row],[OrderDate]])</f>
        <v>2023</v>
      </c>
      <c r="Q74" s="8">
        <f t="shared" si="24"/>
        <v>45044</v>
      </c>
      <c r="R74">
        <f t="shared" ca="1" si="25"/>
        <v>3</v>
      </c>
      <c r="S74">
        <f t="shared" si="26"/>
        <v>-12</v>
      </c>
      <c r="T74">
        <f t="shared" si="27"/>
        <v>91</v>
      </c>
      <c r="U74" t="str">
        <f t="shared" si="28"/>
        <v>12-03-1900</v>
      </c>
      <c r="V74" t="str">
        <f t="shared" si="29"/>
        <v>Medium</v>
      </c>
      <c r="W74" t="str">
        <f t="shared" si="30"/>
        <v>Sale</v>
      </c>
      <c r="X74" t="str">
        <f t="shared" si="31"/>
        <v>OK</v>
      </c>
      <c r="Y74" t="str">
        <f t="shared" si="32"/>
        <v>A</v>
      </c>
      <c r="Z74" t="str" cm="1">
        <f t="array" ref="Z74">_xlfn.IFS(
I74&gt;50000,"Premium",
I74&gt;=20000,"Regular",
TRUE,"Basic"
)</f>
        <v>Regular</v>
      </c>
    </row>
    <row r="75" spans="1:26" x14ac:dyDescent="0.3">
      <c r="A75" s="5">
        <v>74</v>
      </c>
      <c r="B75" s="5">
        <v>1095</v>
      </c>
      <c r="C75" t="s">
        <v>18</v>
      </c>
      <c r="D75" t="s">
        <v>34</v>
      </c>
      <c r="E75" t="s">
        <v>26</v>
      </c>
      <c r="F75" t="s">
        <v>27</v>
      </c>
      <c r="G75" s="5">
        <v>3</v>
      </c>
      <c r="H75" s="1">
        <v>1796</v>
      </c>
      <c r="I75" s="4">
        <v>5388</v>
      </c>
      <c r="J75" s="9" t="s">
        <v>97</v>
      </c>
      <c r="K75" s="3">
        <v>1796</v>
      </c>
      <c r="L75" s="2">
        <v>0.1</v>
      </c>
      <c r="M75" s="1">
        <v>4849.2</v>
      </c>
      <c r="N75">
        <f t="shared" si="22"/>
        <v>1</v>
      </c>
      <c r="O75" s="5">
        <f t="shared" si="23"/>
        <v>4</v>
      </c>
      <c r="P75">
        <f>YEAR(Table1[[#This Row],[OrderDate]])</f>
        <v>2023</v>
      </c>
      <c r="Q75" s="8">
        <f t="shared" si="24"/>
        <v>45017</v>
      </c>
      <c r="R75">
        <f t="shared" ca="1" si="25"/>
        <v>3</v>
      </c>
      <c r="S75">
        <f t="shared" si="26"/>
        <v>97</v>
      </c>
      <c r="T75">
        <f t="shared" si="27"/>
        <v>91</v>
      </c>
      <c r="U75" t="str">
        <f t="shared" si="28"/>
        <v>13-03-1900</v>
      </c>
      <c r="V75" t="str">
        <f t="shared" si="29"/>
        <v>Low</v>
      </c>
      <c r="W75" t="str">
        <f t="shared" si="30"/>
        <v>Sale</v>
      </c>
      <c r="X75" t="str">
        <f t="shared" si="31"/>
        <v>OK</v>
      </c>
      <c r="Y75" t="str">
        <f t="shared" si="32"/>
        <v>A</v>
      </c>
      <c r="Z75" t="str" cm="1">
        <f t="array" ref="Z75">_xlfn.IFS(
I75&gt;50000,"Premium",
I75&gt;=20000,"Regular",
TRUE,"Basic"
)</f>
        <v>Basic</v>
      </c>
    </row>
    <row r="76" spans="1:26" x14ac:dyDescent="0.3">
      <c r="A76" s="5">
        <v>75</v>
      </c>
      <c r="B76" s="5">
        <v>1076</v>
      </c>
      <c r="C76" t="s">
        <v>29</v>
      </c>
      <c r="D76" t="s">
        <v>19</v>
      </c>
      <c r="E76" t="s">
        <v>15</v>
      </c>
      <c r="F76" t="s">
        <v>16</v>
      </c>
      <c r="G76" s="5">
        <v>3</v>
      </c>
      <c r="H76" s="1">
        <v>3850</v>
      </c>
      <c r="I76" s="4">
        <v>11550</v>
      </c>
      <c r="J76" s="9" t="s">
        <v>98</v>
      </c>
      <c r="K76" s="3">
        <v>3850</v>
      </c>
      <c r="L76" s="2">
        <v>0.1</v>
      </c>
      <c r="M76" s="1">
        <v>10395</v>
      </c>
      <c r="N76">
        <f t="shared" si="22"/>
        <v>15</v>
      </c>
      <c r="O76" s="5">
        <f t="shared" si="23"/>
        <v>8</v>
      </c>
      <c r="P76">
        <f>YEAR(Table1[[#This Row],[OrderDate]])</f>
        <v>2023</v>
      </c>
      <c r="Q76" s="8">
        <f t="shared" si="24"/>
        <v>45153</v>
      </c>
      <c r="R76">
        <f t="shared" ca="1" si="25"/>
        <v>2</v>
      </c>
      <c r="S76">
        <f t="shared" si="26"/>
        <v>-158</v>
      </c>
      <c r="T76">
        <f t="shared" si="27"/>
        <v>91</v>
      </c>
      <c r="U76" t="str">
        <f t="shared" si="28"/>
        <v>14-03-1900</v>
      </c>
      <c r="V76" t="str">
        <f t="shared" si="29"/>
        <v>Low</v>
      </c>
      <c r="W76" t="str">
        <f t="shared" si="30"/>
        <v>Sale</v>
      </c>
      <c r="X76" t="str">
        <f t="shared" si="31"/>
        <v>OK</v>
      </c>
      <c r="Y76" t="str">
        <f t="shared" si="32"/>
        <v>A</v>
      </c>
      <c r="Z76" t="str" cm="1">
        <f t="array" ref="Z76">_xlfn.IFS(
I76&gt;50000,"Premium",
I76&gt;=20000,"Regular",
TRUE,"Basic"
)</f>
        <v>Basic</v>
      </c>
    </row>
    <row r="77" spans="1:26" x14ac:dyDescent="0.3">
      <c r="A77" s="5">
        <v>76</v>
      </c>
      <c r="B77" s="5">
        <v>1098</v>
      </c>
      <c r="C77" t="s">
        <v>22</v>
      </c>
      <c r="D77" t="s">
        <v>14</v>
      </c>
      <c r="E77" t="s">
        <v>26</v>
      </c>
      <c r="F77" t="s">
        <v>16</v>
      </c>
      <c r="G77" s="5">
        <v>14</v>
      </c>
      <c r="H77" s="1">
        <v>3545</v>
      </c>
      <c r="I77" s="4">
        <v>49630</v>
      </c>
      <c r="J77" s="9" t="s">
        <v>99</v>
      </c>
      <c r="K77" s="3">
        <v>3545</v>
      </c>
      <c r="L77" s="2">
        <v>0.1</v>
      </c>
      <c r="M77" s="1">
        <v>44667</v>
      </c>
      <c r="N77">
        <f t="shared" si="22"/>
        <v>22</v>
      </c>
      <c r="O77" s="5">
        <f t="shared" si="23"/>
        <v>3</v>
      </c>
      <c r="P77">
        <f>YEAR(Table1[[#This Row],[OrderDate]])</f>
        <v>2023</v>
      </c>
      <c r="Q77" s="8">
        <f t="shared" si="24"/>
        <v>45007</v>
      </c>
      <c r="R77">
        <f t="shared" ca="1" si="25"/>
        <v>3</v>
      </c>
      <c r="S77">
        <f t="shared" si="26"/>
        <v>-50</v>
      </c>
      <c r="T77">
        <f t="shared" si="27"/>
        <v>91</v>
      </c>
      <c r="U77" t="str">
        <f t="shared" si="28"/>
        <v>15-03-1900</v>
      </c>
      <c r="V77" t="str">
        <f t="shared" si="29"/>
        <v>Medium</v>
      </c>
      <c r="W77" t="str">
        <f t="shared" si="30"/>
        <v>Sale</v>
      </c>
      <c r="X77" t="str">
        <f t="shared" si="31"/>
        <v>OK</v>
      </c>
      <c r="Y77" t="str">
        <f t="shared" si="32"/>
        <v>A</v>
      </c>
      <c r="Z77" t="str" cm="1">
        <f t="array" ref="Z77">_xlfn.IFS(
I77&gt;50000,"Premium",
I77&gt;=20000,"Regular",
TRUE,"Basic"
)</f>
        <v>Regular</v>
      </c>
    </row>
    <row r="78" spans="1:26" x14ac:dyDescent="0.3">
      <c r="A78" s="5">
        <v>77</v>
      </c>
      <c r="B78" s="5">
        <v>1079</v>
      </c>
      <c r="C78" t="s">
        <v>40</v>
      </c>
      <c r="D78" t="s">
        <v>19</v>
      </c>
      <c r="E78" t="s">
        <v>26</v>
      </c>
      <c r="F78" t="s">
        <v>27</v>
      </c>
      <c r="G78" s="5">
        <v>7</v>
      </c>
      <c r="H78" s="1">
        <v>2031</v>
      </c>
      <c r="I78" s="4">
        <v>14217</v>
      </c>
      <c r="J78" s="9" t="s">
        <v>100</v>
      </c>
      <c r="K78" s="3">
        <v>2031</v>
      </c>
      <c r="L78" s="2">
        <v>0.1</v>
      </c>
      <c r="M78" s="1">
        <v>12795.3</v>
      </c>
      <c r="N78">
        <f t="shared" si="22"/>
        <v>25</v>
      </c>
      <c r="O78" s="5">
        <f t="shared" si="23"/>
        <v>8</v>
      </c>
      <c r="P78">
        <f>YEAR(Table1[[#This Row],[OrderDate]])</f>
        <v>2023</v>
      </c>
      <c r="Q78" s="8">
        <f t="shared" si="24"/>
        <v>45163</v>
      </c>
      <c r="R78">
        <f t="shared" ca="1" si="25"/>
        <v>2</v>
      </c>
      <c r="S78">
        <f t="shared" si="26"/>
        <v>-102</v>
      </c>
      <c r="T78">
        <f t="shared" si="27"/>
        <v>91</v>
      </c>
      <c r="U78" t="str">
        <f t="shared" si="28"/>
        <v>16-03-1900</v>
      </c>
      <c r="V78" t="str">
        <f t="shared" si="29"/>
        <v>Low</v>
      </c>
      <c r="W78" t="str">
        <f t="shared" si="30"/>
        <v>Sale</v>
      </c>
      <c r="X78" t="str">
        <f t="shared" si="31"/>
        <v>OK</v>
      </c>
      <c r="Y78" t="str">
        <f t="shared" si="32"/>
        <v>A</v>
      </c>
      <c r="Z78" t="str" cm="1">
        <f t="array" ref="Z78">_xlfn.IFS(
I78&gt;50000,"Premium",
I78&gt;=20000,"Regular",
TRUE,"Basic"
)</f>
        <v>Basic</v>
      </c>
    </row>
    <row r="79" spans="1:26" x14ac:dyDescent="0.3">
      <c r="A79" s="5">
        <v>78</v>
      </c>
      <c r="B79" s="5">
        <v>1021</v>
      </c>
      <c r="C79" t="s">
        <v>29</v>
      </c>
      <c r="D79" t="s">
        <v>14</v>
      </c>
      <c r="E79" t="s">
        <v>41</v>
      </c>
      <c r="F79" t="s">
        <v>16</v>
      </c>
      <c r="G79" s="5">
        <v>9</v>
      </c>
      <c r="H79" s="1">
        <v>2867</v>
      </c>
      <c r="I79" s="4">
        <v>25803</v>
      </c>
      <c r="J79" s="9" t="s">
        <v>101</v>
      </c>
      <c r="K79" s="3">
        <v>2867</v>
      </c>
      <c r="L79" s="2">
        <v>0.1</v>
      </c>
      <c r="M79" s="1">
        <v>23222.7</v>
      </c>
      <c r="N79">
        <f t="shared" si="22"/>
        <v>13</v>
      </c>
      <c r="O79" s="5">
        <f t="shared" si="23"/>
        <v>4</v>
      </c>
      <c r="P79">
        <f>YEAR(Table1[[#This Row],[OrderDate]])</f>
        <v>2023</v>
      </c>
      <c r="Q79" s="8">
        <f t="shared" si="24"/>
        <v>45029</v>
      </c>
      <c r="R79">
        <f t="shared" ca="1" si="25"/>
        <v>3</v>
      </c>
      <c r="S79">
        <f t="shared" si="26"/>
        <v>-44</v>
      </c>
      <c r="T79">
        <f t="shared" si="27"/>
        <v>91</v>
      </c>
      <c r="U79" t="str">
        <f t="shared" si="28"/>
        <v>17-03-1900</v>
      </c>
      <c r="V79" t="str">
        <f t="shared" si="29"/>
        <v>Medium</v>
      </c>
      <c r="W79" t="str">
        <f t="shared" si="30"/>
        <v>Sale</v>
      </c>
      <c r="X79" t="str">
        <f t="shared" si="31"/>
        <v>OK</v>
      </c>
      <c r="Y79" t="str">
        <f t="shared" si="32"/>
        <v>A</v>
      </c>
      <c r="Z79" t="str" cm="1">
        <f t="array" ref="Z79">_xlfn.IFS(
I79&gt;50000,"Premium",
I79&gt;=20000,"Regular",
TRUE,"Basic"
)</f>
        <v>Regular</v>
      </c>
    </row>
    <row r="80" spans="1:26" x14ac:dyDescent="0.3">
      <c r="A80" s="5">
        <v>79</v>
      </c>
      <c r="B80" s="5">
        <v>1016</v>
      </c>
      <c r="C80" t="s">
        <v>22</v>
      </c>
      <c r="D80" t="s">
        <v>19</v>
      </c>
      <c r="E80" t="s">
        <v>41</v>
      </c>
      <c r="F80" t="s">
        <v>27</v>
      </c>
      <c r="G80" s="5">
        <v>8</v>
      </c>
      <c r="H80" s="1">
        <v>3111</v>
      </c>
      <c r="I80" s="4">
        <v>24888</v>
      </c>
      <c r="J80" s="9" t="s">
        <v>98</v>
      </c>
      <c r="K80" s="3">
        <v>3111</v>
      </c>
      <c r="L80" s="2">
        <v>0.1</v>
      </c>
      <c r="M80" s="1">
        <v>22399.200000000001</v>
      </c>
      <c r="N80">
        <f t="shared" si="22"/>
        <v>15</v>
      </c>
      <c r="O80" s="5">
        <f t="shared" si="23"/>
        <v>8</v>
      </c>
      <c r="P80">
        <f>YEAR(Table1[[#This Row],[OrderDate]])</f>
        <v>2023</v>
      </c>
      <c r="Q80" s="8">
        <f t="shared" si="24"/>
        <v>45153</v>
      </c>
      <c r="R80">
        <f t="shared" ca="1" si="25"/>
        <v>2</v>
      </c>
      <c r="S80">
        <f t="shared" si="26"/>
        <v>71</v>
      </c>
      <c r="T80">
        <f t="shared" si="27"/>
        <v>91</v>
      </c>
      <c r="U80" t="str">
        <f t="shared" si="28"/>
        <v>18-03-1900</v>
      </c>
      <c r="V80" t="str">
        <f t="shared" si="29"/>
        <v>Medium</v>
      </c>
      <c r="W80" t="str">
        <f t="shared" si="30"/>
        <v>Sale</v>
      </c>
      <c r="X80" t="str">
        <f t="shared" si="31"/>
        <v>OK</v>
      </c>
      <c r="Y80" t="str">
        <f t="shared" si="32"/>
        <v>A</v>
      </c>
      <c r="Z80" t="str" cm="1">
        <f t="array" ref="Z80">_xlfn.IFS(
I80&gt;50000,"Premium",
I80&gt;=20000,"Regular",
TRUE,"Basic"
)</f>
        <v>Regular</v>
      </c>
    </row>
    <row r="81" spans="1:26" x14ac:dyDescent="0.3">
      <c r="A81" s="5">
        <v>80</v>
      </c>
      <c r="B81" s="5">
        <v>1089</v>
      </c>
      <c r="C81" t="s">
        <v>40</v>
      </c>
      <c r="D81" t="s">
        <v>23</v>
      </c>
      <c r="E81" t="s">
        <v>41</v>
      </c>
      <c r="F81" t="s">
        <v>27</v>
      </c>
      <c r="G81" s="5">
        <v>8</v>
      </c>
      <c r="H81" s="1">
        <v>3263</v>
      </c>
      <c r="I81" s="4">
        <v>26104</v>
      </c>
      <c r="J81" s="9" t="s">
        <v>102</v>
      </c>
      <c r="K81" s="3">
        <v>3263</v>
      </c>
      <c r="L81" s="2">
        <v>0.1</v>
      </c>
      <c r="M81" s="1">
        <v>23493.599999999999</v>
      </c>
      <c r="N81">
        <f t="shared" si="22"/>
        <v>6</v>
      </c>
      <c r="O81" s="5">
        <f t="shared" si="23"/>
        <v>1</v>
      </c>
      <c r="P81">
        <f>YEAR(Table1[[#This Row],[OrderDate]])</f>
        <v>2023</v>
      </c>
      <c r="Q81" s="8">
        <f t="shared" si="24"/>
        <v>44932</v>
      </c>
      <c r="R81">
        <f t="shared" ca="1" si="25"/>
        <v>3</v>
      </c>
      <c r="S81">
        <f t="shared" si="26"/>
        <v>151</v>
      </c>
      <c r="T81">
        <f t="shared" si="27"/>
        <v>91</v>
      </c>
      <c r="U81" t="str">
        <f t="shared" si="28"/>
        <v>19-03-1900</v>
      </c>
      <c r="V81" t="str">
        <f t="shared" si="29"/>
        <v>Medium</v>
      </c>
      <c r="W81" t="str">
        <f t="shared" si="30"/>
        <v>Sale</v>
      </c>
      <c r="X81" t="str">
        <f t="shared" si="31"/>
        <v>OK</v>
      </c>
      <c r="Y81" t="str">
        <f t="shared" si="32"/>
        <v>A</v>
      </c>
      <c r="Z81" t="str" cm="1">
        <f t="array" ref="Z81">_xlfn.IFS(
I81&gt;50000,"Premium",
I81&gt;=20000,"Regular",
TRUE,"Basic"
)</f>
        <v>Regular</v>
      </c>
    </row>
    <row r="82" spans="1:26" x14ac:dyDescent="0.3">
      <c r="A82" s="5">
        <v>81</v>
      </c>
      <c r="B82" s="5">
        <v>1017</v>
      </c>
      <c r="C82" t="s">
        <v>18</v>
      </c>
      <c r="D82" t="s">
        <v>25</v>
      </c>
      <c r="E82" t="s">
        <v>20</v>
      </c>
      <c r="F82" t="s">
        <v>16</v>
      </c>
      <c r="G82" s="5">
        <v>13</v>
      </c>
      <c r="H82" s="1">
        <v>2951</v>
      </c>
      <c r="I82" s="4">
        <v>38363</v>
      </c>
      <c r="J82" s="9" t="s">
        <v>103</v>
      </c>
      <c r="K82" s="3">
        <v>2951</v>
      </c>
      <c r="L82" s="2">
        <v>0.1</v>
      </c>
      <c r="M82" s="1">
        <v>34526.699999999997</v>
      </c>
      <c r="N82">
        <f t="shared" si="22"/>
        <v>12</v>
      </c>
      <c r="O82" s="5">
        <f t="shared" si="23"/>
        <v>1</v>
      </c>
      <c r="P82">
        <f>YEAR(Table1[[#This Row],[OrderDate]])</f>
        <v>2023</v>
      </c>
      <c r="Q82" s="8">
        <f t="shared" si="24"/>
        <v>44938</v>
      </c>
      <c r="R82">
        <f t="shared" ca="1" si="25"/>
        <v>3</v>
      </c>
      <c r="S82">
        <f t="shared" si="26"/>
        <v>12</v>
      </c>
      <c r="T82">
        <f t="shared" si="27"/>
        <v>91</v>
      </c>
      <c r="U82" t="str">
        <f t="shared" si="28"/>
        <v>20-03-1900</v>
      </c>
      <c r="V82" t="str">
        <f t="shared" si="29"/>
        <v>Medium</v>
      </c>
      <c r="W82" t="str">
        <f t="shared" si="30"/>
        <v>Sale</v>
      </c>
      <c r="X82" t="str">
        <f t="shared" si="31"/>
        <v>OK</v>
      </c>
      <c r="Y82" t="str">
        <f t="shared" si="32"/>
        <v>A</v>
      </c>
      <c r="Z82" t="str" cm="1">
        <f t="array" ref="Z82">_xlfn.IFS(
I82&gt;50000,"Premium",
I82&gt;=20000,"Regular",
TRUE,"Basic"
)</f>
        <v>Regular</v>
      </c>
    </row>
    <row r="83" spans="1:26" x14ac:dyDescent="0.3">
      <c r="A83" s="5">
        <v>82</v>
      </c>
      <c r="B83" s="5">
        <v>1053</v>
      </c>
      <c r="C83" t="s">
        <v>22</v>
      </c>
      <c r="D83" t="s">
        <v>34</v>
      </c>
      <c r="E83" t="s">
        <v>41</v>
      </c>
      <c r="F83" t="s">
        <v>27</v>
      </c>
      <c r="G83" s="5">
        <v>12</v>
      </c>
      <c r="H83" s="1">
        <v>4215</v>
      </c>
      <c r="I83" s="4">
        <v>50580</v>
      </c>
      <c r="J83" s="9" t="s">
        <v>104</v>
      </c>
      <c r="K83" s="3">
        <v>4215</v>
      </c>
      <c r="L83" s="2">
        <v>0.1</v>
      </c>
      <c r="M83" s="1">
        <v>45522</v>
      </c>
      <c r="N83">
        <f t="shared" si="22"/>
        <v>6</v>
      </c>
      <c r="O83" s="5">
        <f t="shared" si="23"/>
        <v>4</v>
      </c>
      <c r="P83">
        <f>YEAR(Table1[[#This Row],[OrderDate]])</f>
        <v>2023</v>
      </c>
      <c r="Q83" s="8">
        <f t="shared" si="24"/>
        <v>45022</v>
      </c>
      <c r="R83">
        <f t="shared" ca="1" si="25"/>
        <v>3</v>
      </c>
      <c r="S83">
        <f t="shared" si="26"/>
        <v>-36</v>
      </c>
      <c r="T83">
        <f t="shared" si="27"/>
        <v>91</v>
      </c>
      <c r="U83" t="str">
        <f t="shared" si="28"/>
        <v>21-03-1900</v>
      </c>
      <c r="V83" t="str">
        <f t="shared" si="29"/>
        <v>High</v>
      </c>
      <c r="W83" t="str">
        <f t="shared" si="30"/>
        <v>Sale</v>
      </c>
      <c r="X83" t="str">
        <f t="shared" si="31"/>
        <v>OK</v>
      </c>
      <c r="Y83" t="str">
        <f t="shared" si="32"/>
        <v>A</v>
      </c>
      <c r="Z83" t="str" cm="1">
        <f t="array" ref="Z83">_xlfn.IFS(
I83&gt;50000,"Premium",
I83&gt;=20000,"Regular",
TRUE,"Basic"
)</f>
        <v>Premium</v>
      </c>
    </row>
    <row r="84" spans="1:26" x14ac:dyDescent="0.3">
      <c r="A84" s="5">
        <v>83</v>
      </c>
      <c r="B84" s="5">
        <v>1013</v>
      </c>
      <c r="C84" t="s">
        <v>18</v>
      </c>
      <c r="D84" t="s">
        <v>23</v>
      </c>
      <c r="E84" t="s">
        <v>31</v>
      </c>
      <c r="F84" t="s">
        <v>16</v>
      </c>
      <c r="G84" s="5">
        <v>8</v>
      </c>
      <c r="H84" s="1">
        <v>2102</v>
      </c>
      <c r="I84" s="4">
        <v>16816</v>
      </c>
      <c r="J84" s="9" t="s">
        <v>105</v>
      </c>
      <c r="K84" s="3">
        <v>2102</v>
      </c>
      <c r="L84" s="2">
        <v>0.1</v>
      </c>
      <c r="M84" s="1">
        <v>15134.4</v>
      </c>
      <c r="N84">
        <f t="shared" si="22"/>
        <v>11</v>
      </c>
      <c r="O84" s="5">
        <f t="shared" si="23"/>
        <v>2</v>
      </c>
      <c r="P84">
        <f>YEAR(Table1[[#This Row],[OrderDate]])</f>
        <v>2023</v>
      </c>
      <c r="Q84" s="8">
        <f t="shared" si="24"/>
        <v>44968</v>
      </c>
      <c r="R84">
        <f t="shared" ca="1" si="25"/>
        <v>3</v>
      </c>
      <c r="S84">
        <f t="shared" si="26"/>
        <v>194</v>
      </c>
      <c r="T84">
        <f t="shared" si="27"/>
        <v>91</v>
      </c>
      <c r="U84" t="str">
        <f t="shared" si="28"/>
        <v>22-03-1900</v>
      </c>
      <c r="V84" t="str">
        <f t="shared" si="29"/>
        <v>Low</v>
      </c>
      <c r="W84" t="str">
        <f t="shared" si="30"/>
        <v>Sale</v>
      </c>
      <c r="X84" t="str">
        <f t="shared" si="31"/>
        <v>OK</v>
      </c>
      <c r="Y84" t="str">
        <f t="shared" si="32"/>
        <v>A</v>
      </c>
      <c r="Z84" t="str" cm="1">
        <f t="array" ref="Z84">_xlfn.IFS(
I84&gt;50000,"Premium",
I84&gt;=20000,"Regular",
TRUE,"Basic"
)</f>
        <v>Basic</v>
      </c>
    </row>
    <row r="85" spans="1:26" x14ac:dyDescent="0.3">
      <c r="A85" s="5">
        <v>84</v>
      </c>
      <c r="B85" s="5">
        <v>1053</v>
      </c>
      <c r="C85" t="s">
        <v>18</v>
      </c>
      <c r="D85" t="s">
        <v>23</v>
      </c>
      <c r="E85" t="s">
        <v>15</v>
      </c>
      <c r="F85" t="s">
        <v>16</v>
      </c>
      <c r="G85" s="5">
        <v>15</v>
      </c>
      <c r="H85" s="1">
        <v>4747</v>
      </c>
      <c r="I85" s="4">
        <v>71205</v>
      </c>
      <c r="J85" s="9" t="s">
        <v>106</v>
      </c>
      <c r="K85" s="3">
        <v>4747</v>
      </c>
      <c r="L85" s="2">
        <v>0.1</v>
      </c>
      <c r="M85" s="1">
        <v>64084.5</v>
      </c>
      <c r="N85">
        <f t="shared" si="22"/>
        <v>21</v>
      </c>
      <c r="O85" s="5">
        <f t="shared" si="23"/>
        <v>11</v>
      </c>
      <c r="P85">
        <f>YEAR(Table1[[#This Row],[OrderDate]])</f>
        <v>2023</v>
      </c>
      <c r="Q85" s="8">
        <f t="shared" si="24"/>
        <v>45251</v>
      </c>
      <c r="R85">
        <f t="shared" ca="1" si="25"/>
        <v>2</v>
      </c>
      <c r="S85">
        <f t="shared" si="26"/>
        <v>-230</v>
      </c>
      <c r="T85">
        <f t="shared" si="27"/>
        <v>91</v>
      </c>
      <c r="U85" t="str">
        <f t="shared" si="28"/>
        <v>23-03-1900</v>
      </c>
      <c r="V85" t="str">
        <f t="shared" si="29"/>
        <v>High</v>
      </c>
      <c r="W85" t="str">
        <f t="shared" si="30"/>
        <v>Sale</v>
      </c>
      <c r="X85" t="str">
        <f t="shared" si="31"/>
        <v>OK</v>
      </c>
      <c r="Y85" t="str">
        <f t="shared" si="32"/>
        <v>A</v>
      </c>
      <c r="Z85" t="str" cm="1">
        <f t="array" ref="Z85">_xlfn.IFS(
I85&gt;50000,"Premium",
I85&gt;=20000,"Regular",
TRUE,"Basic"
)</f>
        <v>Premium</v>
      </c>
    </row>
    <row r="86" spans="1:26" x14ac:dyDescent="0.3">
      <c r="A86" s="5">
        <v>85</v>
      </c>
      <c r="B86" s="5">
        <v>1083</v>
      </c>
      <c r="C86" t="s">
        <v>29</v>
      </c>
      <c r="D86" t="s">
        <v>34</v>
      </c>
      <c r="E86" t="s">
        <v>41</v>
      </c>
      <c r="F86" t="s">
        <v>16</v>
      </c>
      <c r="G86" s="5">
        <v>8</v>
      </c>
      <c r="H86" s="1">
        <v>1707</v>
      </c>
      <c r="I86" s="4">
        <v>13656</v>
      </c>
      <c r="J86" s="9" t="s">
        <v>107</v>
      </c>
      <c r="K86" s="3">
        <v>1707</v>
      </c>
      <c r="L86" s="2">
        <v>0.1</v>
      </c>
      <c r="M86" s="1">
        <v>12290.4</v>
      </c>
      <c r="N86">
        <f t="shared" si="22"/>
        <v>5</v>
      </c>
      <c r="O86" s="5">
        <f t="shared" si="23"/>
        <v>8</v>
      </c>
      <c r="P86">
        <f>YEAR(Table1[[#This Row],[OrderDate]])</f>
        <v>2023</v>
      </c>
      <c r="Q86" s="8">
        <f t="shared" si="24"/>
        <v>45143</v>
      </c>
      <c r="R86">
        <f t="shared" ca="1" si="25"/>
        <v>2</v>
      </c>
      <c r="S86">
        <f t="shared" si="26"/>
        <v>10</v>
      </c>
      <c r="T86">
        <f t="shared" si="27"/>
        <v>91</v>
      </c>
      <c r="U86" t="str">
        <f t="shared" si="28"/>
        <v>24-03-1900</v>
      </c>
      <c r="V86" t="str">
        <f t="shared" si="29"/>
        <v>Low</v>
      </c>
      <c r="W86" t="str">
        <f t="shared" si="30"/>
        <v>Sale</v>
      </c>
      <c r="X86" t="str">
        <f t="shared" si="31"/>
        <v>OK</v>
      </c>
      <c r="Y86" t="str">
        <f t="shared" si="32"/>
        <v>A</v>
      </c>
      <c r="Z86" t="str" cm="1">
        <f t="array" ref="Z86">_xlfn.IFS(
I86&gt;50000,"Premium",
I86&gt;=20000,"Regular",
TRUE,"Basic"
)</f>
        <v>Basic</v>
      </c>
    </row>
    <row r="87" spans="1:26" x14ac:dyDescent="0.3">
      <c r="A87" s="5">
        <v>86</v>
      </c>
      <c r="B87" s="5">
        <v>1075</v>
      </c>
      <c r="C87" t="s">
        <v>40</v>
      </c>
      <c r="D87" t="s">
        <v>19</v>
      </c>
      <c r="E87" t="s">
        <v>20</v>
      </c>
      <c r="F87" t="s">
        <v>16</v>
      </c>
      <c r="G87" s="5">
        <v>13</v>
      </c>
      <c r="H87" s="1">
        <v>800</v>
      </c>
      <c r="I87" s="4">
        <v>10400</v>
      </c>
      <c r="J87" s="9" t="s">
        <v>108</v>
      </c>
      <c r="K87" s="3">
        <v>800</v>
      </c>
      <c r="L87" s="2">
        <v>0.1</v>
      </c>
      <c r="M87" s="1">
        <v>9360</v>
      </c>
      <c r="N87">
        <f t="shared" si="22"/>
        <v>28</v>
      </c>
      <c r="O87" s="5">
        <f t="shared" si="23"/>
        <v>1</v>
      </c>
      <c r="P87">
        <f>YEAR(Table1[[#This Row],[OrderDate]])</f>
        <v>2023</v>
      </c>
      <c r="Q87" s="8">
        <f t="shared" si="24"/>
        <v>44954</v>
      </c>
      <c r="R87">
        <f t="shared" ca="1" si="25"/>
        <v>3</v>
      </c>
      <c r="S87">
        <f t="shared" si="26"/>
        <v>42</v>
      </c>
      <c r="T87">
        <f t="shared" si="27"/>
        <v>91</v>
      </c>
      <c r="U87" t="str">
        <f t="shared" si="28"/>
        <v>25-03-1900</v>
      </c>
      <c r="V87" t="str">
        <f t="shared" si="29"/>
        <v>Low</v>
      </c>
      <c r="W87" t="str">
        <f t="shared" si="30"/>
        <v>Sale</v>
      </c>
      <c r="X87" t="str">
        <f t="shared" si="31"/>
        <v>OK</v>
      </c>
      <c r="Y87" t="str">
        <f t="shared" si="32"/>
        <v>A</v>
      </c>
      <c r="Z87" t="str" cm="1">
        <f t="array" ref="Z87">_xlfn.IFS(
I87&gt;50000,"Premium",
I87&gt;=20000,"Regular",
TRUE,"Basic"
)</f>
        <v>Basic</v>
      </c>
    </row>
    <row r="88" spans="1:26" x14ac:dyDescent="0.3">
      <c r="A88" s="5">
        <v>87</v>
      </c>
      <c r="B88" s="5">
        <v>1086</v>
      </c>
      <c r="C88" t="s">
        <v>13</v>
      </c>
      <c r="D88" t="s">
        <v>14</v>
      </c>
      <c r="E88" t="s">
        <v>31</v>
      </c>
      <c r="F88" t="s">
        <v>27</v>
      </c>
      <c r="G88" s="5">
        <v>4</v>
      </c>
      <c r="H88" s="1">
        <v>728</v>
      </c>
      <c r="I88" s="4">
        <v>2912</v>
      </c>
      <c r="J88" s="9" t="s">
        <v>109</v>
      </c>
      <c r="K88" s="3">
        <v>728</v>
      </c>
      <c r="L88" s="2">
        <v>0.05</v>
      </c>
      <c r="M88" s="1">
        <v>2766.4</v>
      </c>
      <c r="N88">
        <f t="shared" si="22"/>
        <v>16</v>
      </c>
      <c r="O88" s="5">
        <f t="shared" si="23"/>
        <v>2</v>
      </c>
      <c r="P88">
        <f>YEAR(Table1[[#This Row],[OrderDate]])</f>
        <v>2023</v>
      </c>
      <c r="Q88" s="8">
        <f t="shared" si="24"/>
        <v>44973</v>
      </c>
      <c r="R88">
        <f t="shared" ca="1" si="25"/>
        <v>3</v>
      </c>
      <c r="S88">
        <f t="shared" si="26"/>
        <v>-3</v>
      </c>
      <c r="T88">
        <f t="shared" si="27"/>
        <v>91</v>
      </c>
      <c r="U88" t="str">
        <f t="shared" si="28"/>
        <v>26-03-1900</v>
      </c>
      <c r="V88" t="str">
        <f t="shared" si="29"/>
        <v>Low</v>
      </c>
      <c r="W88" t="str">
        <f t="shared" si="30"/>
        <v>Sale</v>
      </c>
      <c r="X88" t="str">
        <f t="shared" si="31"/>
        <v>OK</v>
      </c>
      <c r="Y88" t="str">
        <f t="shared" si="32"/>
        <v>A</v>
      </c>
      <c r="Z88" t="str" cm="1">
        <f t="array" ref="Z88">_xlfn.IFS(
I88&gt;50000,"Premium",
I88&gt;=20000,"Regular",
TRUE,"Basic"
)</f>
        <v>Basic</v>
      </c>
    </row>
    <row r="89" spans="1:26" x14ac:dyDescent="0.3">
      <c r="A89" s="5">
        <v>88</v>
      </c>
      <c r="B89" s="5">
        <v>1012</v>
      </c>
      <c r="C89" t="s">
        <v>40</v>
      </c>
      <c r="D89" t="s">
        <v>19</v>
      </c>
      <c r="E89" t="s">
        <v>31</v>
      </c>
      <c r="F89" t="s">
        <v>16</v>
      </c>
      <c r="G89" s="5">
        <v>16</v>
      </c>
      <c r="H89" s="1">
        <v>621</v>
      </c>
      <c r="I89" s="4">
        <v>9936</v>
      </c>
      <c r="J89" s="9" t="s">
        <v>110</v>
      </c>
      <c r="K89" s="3">
        <v>621</v>
      </c>
      <c r="L89" s="2">
        <v>0.1</v>
      </c>
      <c r="M89" s="1">
        <v>8942.4</v>
      </c>
      <c r="N89">
        <f t="shared" si="22"/>
        <v>9</v>
      </c>
      <c r="O89" s="5">
        <f t="shared" si="23"/>
        <v>11</v>
      </c>
      <c r="P89">
        <f>YEAR(Table1[[#This Row],[OrderDate]])</f>
        <v>2023</v>
      </c>
      <c r="Q89" s="8">
        <f t="shared" si="24"/>
        <v>45239</v>
      </c>
      <c r="R89">
        <f t="shared" ca="1" si="25"/>
        <v>2</v>
      </c>
      <c r="S89">
        <f t="shared" si="26"/>
        <v>-219</v>
      </c>
      <c r="T89">
        <f t="shared" si="27"/>
        <v>91</v>
      </c>
      <c r="U89" t="str">
        <f t="shared" si="28"/>
        <v>27-03-1900</v>
      </c>
      <c r="V89" t="str">
        <f t="shared" si="29"/>
        <v>Low</v>
      </c>
      <c r="W89" t="str">
        <f t="shared" si="30"/>
        <v>Sale</v>
      </c>
      <c r="X89" t="str">
        <f t="shared" si="31"/>
        <v>OK</v>
      </c>
      <c r="Y89" t="str">
        <f t="shared" si="32"/>
        <v>A</v>
      </c>
      <c r="Z89" t="str" cm="1">
        <f t="array" ref="Z89">_xlfn.IFS(
I89&gt;50000,"Premium",
I89&gt;=20000,"Regular",
TRUE,"Basic"
)</f>
        <v>Basic</v>
      </c>
    </row>
    <row r="90" spans="1:26" x14ac:dyDescent="0.3">
      <c r="A90" s="5">
        <v>89</v>
      </c>
      <c r="B90" s="5">
        <v>1040</v>
      </c>
      <c r="C90" t="s">
        <v>40</v>
      </c>
      <c r="D90" t="s">
        <v>14</v>
      </c>
      <c r="E90" t="s">
        <v>26</v>
      </c>
      <c r="F90" t="s">
        <v>27</v>
      </c>
      <c r="G90" s="5">
        <v>18</v>
      </c>
      <c r="H90" s="1">
        <v>2664</v>
      </c>
      <c r="I90" s="4">
        <v>47952</v>
      </c>
      <c r="J90" s="9" t="s">
        <v>111</v>
      </c>
      <c r="K90" s="3">
        <v>2664</v>
      </c>
      <c r="L90" s="2">
        <v>0.1</v>
      </c>
      <c r="M90" s="1">
        <v>43156.800000000003</v>
      </c>
      <c r="N90">
        <f t="shared" si="22"/>
        <v>4</v>
      </c>
      <c r="O90" s="5">
        <f t="shared" si="23"/>
        <v>1</v>
      </c>
      <c r="P90">
        <f>YEAR(Table1[[#This Row],[OrderDate]])</f>
        <v>2023</v>
      </c>
      <c r="Q90" s="8">
        <f t="shared" si="24"/>
        <v>44930</v>
      </c>
      <c r="R90">
        <f t="shared" ca="1" si="25"/>
        <v>3</v>
      </c>
      <c r="S90">
        <f t="shared" si="26"/>
        <v>3</v>
      </c>
      <c r="T90">
        <f t="shared" si="27"/>
        <v>91</v>
      </c>
      <c r="U90" t="str">
        <f t="shared" si="28"/>
        <v>28-03-1900</v>
      </c>
      <c r="V90" t="str">
        <f t="shared" si="29"/>
        <v>Medium</v>
      </c>
      <c r="W90" t="str">
        <f t="shared" si="30"/>
        <v>Sale</v>
      </c>
      <c r="X90" t="str">
        <f t="shared" si="31"/>
        <v>OK</v>
      </c>
      <c r="Y90" t="str">
        <f t="shared" si="32"/>
        <v>A</v>
      </c>
      <c r="Z90" t="str" cm="1">
        <f t="array" ref="Z90">_xlfn.IFS(
I90&gt;50000,"Premium",
I90&gt;=20000,"Regular",
TRUE,"Basic"
)</f>
        <v>Regular</v>
      </c>
    </row>
    <row r="91" spans="1:26" x14ac:dyDescent="0.3">
      <c r="A91" s="5">
        <v>90</v>
      </c>
      <c r="B91" s="5">
        <v>1035</v>
      </c>
      <c r="C91" t="s">
        <v>18</v>
      </c>
      <c r="D91" t="s">
        <v>25</v>
      </c>
      <c r="E91" t="s">
        <v>15</v>
      </c>
      <c r="F91" t="s">
        <v>16</v>
      </c>
      <c r="G91" s="5">
        <v>10</v>
      </c>
      <c r="H91" s="1">
        <v>3788</v>
      </c>
      <c r="I91" s="4">
        <v>37880</v>
      </c>
      <c r="J91" s="9" t="s">
        <v>112</v>
      </c>
      <c r="K91" s="3">
        <v>3788</v>
      </c>
      <c r="L91" s="2">
        <v>0.1</v>
      </c>
      <c r="M91" s="1">
        <v>34092</v>
      </c>
      <c r="N91">
        <f t="shared" si="22"/>
        <v>19</v>
      </c>
      <c r="O91" s="5">
        <f t="shared" si="23"/>
        <v>8</v>
      </c>
      <c r="P91">
        <f>YEAR(Table1[[#This Row],[OrderDate]])</f>
        <v>2023</v>
      </c>
      <c r="Q91" s="8">
        <f t="shared" si="24"/>
        <v>45157</v>
      </c>
      <c r="R91">
        <f t="shared" ca="1" si="25"/>
        <v>2</v>
      </c>
      <c r="S91">
        <f t="shared" si="26"/>
        <v>-84</v>
      </c>
      <c r="T91">
        <f t="shared" si="27"/>
        <v>91</v>
      </c>
      <c r="U91" t="str">
        <f t="shared" si="28"/>
        <v>29-03-1900</v>
      </c>
      <c r="V91" t="str">
        <f t="shared" si="29"/>
        <v>Medium</v>
      </c>
      <c r="W91" t="str">
        <f t="shared" si="30"/>
        <v>Sale</v>
      </c>
      <c r="X91" t="str">
        <f t="shared" si="31"/>
        <v>OK</v>
      </c>
      <c r="Y91" t="str">
        <f t="shared" si="32"/>
        <v>A</v>
      </c>
      <c r="Z91" t="str" cm="1">
        <f t="array" ref="Z91">_xlfn.IFS(
I91&gt;50000,"Premium",
I91&gt;=20000,"Regular",
TRUE,"Basic"
)</f>
        <v>Regular</v>
      </c>
    </row>
    <row r="92" spans="1:26" x14ac:dyDescent="0.3">
      <c r="A92" s="5">
        <v>91</v>
      </c>
      <c r="B92" s="5">
        <v>1027</v>
      </c>
      <c r="C92" t="s">
        <v>40</v>
      </c>
      <c r="D92" t="s">
        <v>25</v>
      </c>
      <c r="E92" t="s">
        <v>20</v>
      </c>
      <c r="F92" t="s">
        <v>27</v>
      </c>
      <c r="G92" s="5">
        <v>14</v>
      </c>
      <c r="H92" s="1">
        <v>441</v>
      </c>
      <c r="I92" s="4">
        <v>6174</v>
      </c>
      <c r="J92" s="9" t="s">
        <v>113</v>
      </c>
      <c r="K92" s="3">
        <v>441</v>
      </c>
      <c r="L92" s="2">
        <v>0.1</v>
      </c>
      <c r="M92" s="1">
        <v>5556.6</v>
      </c>
      <c r="N92">
        <f t="shared" si="22"/>
        <v>28</v>
      </c>
      <c r="O92" s="5">
        <f t="shared" si="23"/>
        <v>3</v>
      </c>
      <c r="P92">
        <f>YEAR(Table1[[#This Row],[OrderDate]])</f>
        <v>2023</v>
      </c>
      <c r="Q92" s="8">
        <f t="shared" si="24"/>
        <v>45013</v>
      </c>
      <c r="R92">
        <f t="shared" ca="1" si="25"/>
        <v>3</v>
      </c>
      <c r="S92">
        <f t="shared" si="26"/>
        <v>4</v>
      </c>
      <c r="T92">
        <f t="shared" si="27"/>
        <v>91</v>
      </c>
      <c r="U92" t="str">
        <f t="shared" si="28"/>
        <v>30-03-1900</v>
      </c>
      <c r="V92" t="str">
        <f t="shared" si="29"/>
        <v>Low</v>
      </c>
      <c r="W92" t="str">
        <f t="shared" si="30"/>
        <v>Sale</v>
      </c>
      <c r="X92" t="str">
        <f t="shared" si="31"/>
        <v>OK</v>
      </c>
      <c r="Y92" t="str">
        <f t="shared" si="32"/>
        <v>A</v>
      </c>
      <c r="Z92" t="str" cm="1">
        <f t="array" ref="Z92">_xlfn.IFS(
I92&gt;50000,"Premium",
I92&gt;=20000,"Regular",
TRUE,"Basic"
)</f>
        <v>Basic</v>
      </c>
    </row>
    <row r="93" spans="1:26" x14ac:dyDescent="0.3">
      <c r="A93" s="5">
        <v>92</v>
      </c>
      <c r="B93" s="5">
        <v>1026</v>
      </c>
      <c r="C93" t="s">
        <v>29</v>
      </c>
      <c r="D93" t="s">
        <v>25</v>
      </c>
      <c r="E93" t="s">
        <v>31</v>
      </c>
      <c r="F93" t="s">
        <v>27</v>
      </c>
      <c r="G93" s="5">
        <v>16</v>
      </c>
      <c r="H93" s="1">
        <v>436</v>
      </c>
      <c r="I93" s="4">
        <v>6976</v>
      </c>
      <c r="J93" s="9" t="s">
        <v>114</v>
      </c>
      <c r="K93" s="3">
        <v>436</v>
      </c>
      <c r="L93" s="2">
        <v>0.1</v>
      </c>
      <c r="M93" s="1">
        <v>6278.4</v>
      </c>
      <c r="N93">
        <f t="shared" si="22"/>
        <v>14</v>
      </c>
      <c r="O93" s="5">
        <f t="shared" si="23"/>
        <v>2</v>
      </c>
      <c r="P93">
        <f>YEAR(Table1[[#This Row],[OrderDate]])</f>
        <v>2023</v>
      </c>
      <c r="Q93" s="8">
        <f t="shared" si="24"/>
        <v>44971</v>
      </c>
      <c r="R93">
        <f t="shared" ca="1" si="25"/>
        <v>3</v>
      </c>
      <c r="S93">
        <f t="shared" si="26"/>
        <v>136</v>
      </c>
      <c r="T93">
        <f t="shared" si="27"/>
        <v>91</v>
      </c>
      <c r="U93" t="str">
        <f t="shared" si="28"/>
        <v>31-03-1900</v>
      </c>
      <c r="V93" t="str">
        <f t="shared" si="29"/>
        <v>Low</v>
      </c>
      <c r="W93" t="str">
        <f t="shared" si="30"/>
        <v>Sale</v>
      </c>
      <c r="X93" t="str">
        <f t="shared" si="31"/>
        <v>OK</v>
      </c>
      <c r="Y93" t="str">
        <f t="shared" si="32"/>
        <v>A</v>
      </c>
      <c r="Z93" t="str" cm="1">
        <f t="array" ref="Z93">_xlfn.IFS(
I93&gt;50000,"Premium",
I93&gt;=20000,"Regular",
TRUE,"Basic"
)</f>
        <v>Basic</v>
      </c>
    </row>
    <row r="94" spans="1:26" x14ac:dyDescent="0.3">
      <c r="A94" s="5">
        <v>93</v>
      </c>
      <c r="B94" s="5">
        <v>1051</v>
      </c>
      <c r="C94" t="s">
        <v>22</v>
      </c>
      <c r="D94" t="s">
        <v>14</v>
      </c>
      <c r="E94" t="s">
        <v>31</v>
      </c>
      <c r="F94" t="s">
        <v>16</v>
      </c>
      <c r="G94" s="5">
        <v>17</v>
      </c>
      <c r="H94" s="1">
        <v>3297</v>
      </c>
      <c r="I94" s="4">
        <v>56049</v>
      </c>
      <c r="J94" s="9" t="s">
        <v>115</v>
      </c>
      <c r="K94" s="3">
        <v>3297</v>
      </c>
      <c r="L94" s="2">
        <v>0.1</v>
      </c>
      <c r="M94" s="1">
        <v>50444.1</v>
      </c>
      <c r="N94">
        <f t="shared" si="22"/>
        <v>7</v>
      </c>
      <c r="O94" s="5">
        <f t="shared" si="23"/>
        <v>1</v>
      </c>
      <c r="P94">
        <f>YEAR(Table1[[#This Row],[OrderDate]])</f>
        <v>2023</v>
      </c>
      <c r="Q94" s="8">
        <f t="shared" si="24"/>
        <v>44933</v>
      </c>
      <c r="R94">
        <f t="shared" ca="1" si="25"/>
        <v>3</v>
      </c>
      <c r="S94">
        <f t="shared" si="26"/>
        <v>56</v>
      </c>
      <c r="T94">
        <f t="shared" si="27"/>
        <v>121</v>
      </c>
      <c r="U94" t="str">
        <f t="shared" si="28"/>
        <v>01-04-1900</v>
      </c>
      <c r="V94" t="str">
        <f t="shared" si="29"/>
        <v>High</v>
      </c>
      <c r="W94" t="str">
        <f t="shared" si="30"/>
        <v>Sale</v>
      </c>
      <c r="X94" t="str">
        <f t="shared" si="31"/>
        <v>OK</v>
      </c>
      <c r="Y94" t="str">
        <f t="shared" si="32"/>
        <v>A</v>
      </c>
      <c r="Z94" t="str" cm="1">
        <f t="array" ref="Z94">_xlfn.IFS(
I94&gt;50000,"Premium",
I94&gt;=20000,"Regular",
TRUE,"Basic"
)</f>
        <v>Premium</v>
      </c>
    </row>
    <row r="95" spans="1:26" x14ac:dyDescent="0.3">
      <c r="A95" s="5">
        <v>94</v>
      </c>
      <c r="B95" s="5">
        <v>1004</v>
      </c>
      <c r="C95" t="s">
        <v>13</v>
      </c>
      <c r="D95" t="s">
        <v>14</v>
      </c>
      <c r="E95" t="s">
        <v>15</v>
      </c>
      <c r="F95" t="s">
        <v>27</v>
      </c>
      <c r="G95" s="5">
        <v>16</v>
      </c>
      <c r="H95" s="1">
        <v>1436</v>
      </c>
      <c r="I95" s="4">
        <v>22976</v>
      </c>
      <c r="J95" s="9" t="s">
        <v>115</v>
      </c>
      <c r="K95" s="3">
        <v>1436</v>
      </c>
      <c r="L95" s="2">
        <v>0.1</v>
      </c>
      <c r="M95" s="1">
        <v>20678.400000000001</v>
      </c>
      <c r="N95">
        <f t="shared" si="22"/>
        <v>7</v>
      </c>
      <c r="O95" s="5">
        <f t="shared" si="23"/>
        <v>1</v>
      </c>
      <c r="P95">
        <f>YEAR(Table1[[#This Row],[OrderDate]])</f>
        <v>2023</v>
      </c>
      <c r="Q95" s="8">
        <f t="shared" si="24"/>
        <v>44933</v>
      </c>
      <c r="R95">
        <f t="shared" ca="1" si="25"/>
        <v>3</v>
      </c>
      <c r="S95">
        <f t="shared" si="26"/>
        <v>50</v>
      </c>
      <c r="T95">
        <f t="shared" si="27"/>
        <v>121</v>
      </c>
      <c r="U95" t="str">
        <f t="shared" si="28"/>
        <v>02-04-1900</v>
      </c>
      <c r="V95" t="str">
        <f t="shared" si="29"/>
        <v>Medium</v>
      </c>
      <c r="W95" t="str">
        <f t="shared" si="30"/>
        <v>Sale</v>
      </c>
      <c r="X95" t="str">
        <f t="shared" si="31"/>
        <v>OK</v>
      </c>
      <c r="Y95" t="str">
        <f t="shared" si="32"/>
        <v>A</v>
      </c>
      <c r="Z95" t="str" cm="1">
        <f t="array" ref="Z95">_xlfn.IFS(
I95&gt;50000,"Premium",
I95&gt;=20000,"Regular",
TRUE,"Basic"
)</f>
        <v>Regular</v>
      </c>
    </row>
    <row r="96" spans="1:26" x14ac:dyDescent="0.3">
      <c r="A96" s="5">
        <v>95</v>
      </c>
      <c r="B96" s="5">
        <v>1068</v>
      </c>
      <c r="C96" t="s">
        <v>18</v>
      </c>
      <c r="D96" t="s">
        <v>19</v>
      </c>
      <c r="E96" t="s">
        <v>41</v>
      </c>
      <c r="F96" t="s">
        <v>16</v>
      </c>
      <c r="G96" s="5">
        <v>15</v>
      </c>
      <c r="H96" s="1">
        <v>2155</v>
      </c>
      <c r="I96" s="4">
        <v>32325</v>
      </c>
      <c r="J96" s="9" t="s">
        <v>116</v>
      </c>
      <c r="K96" s="3">
        <v>2155</v>
      </c>
      <c r="L96" s="2">
        <v>0.1</v>
      </c>
      <c r="M96" s="1">
        <v>29092.5</v>
      </c>
      <c r="N96">
        <f t="shared" si="22"/>
        <v>25</v>
      </c>
      <c r="O96" s="5">
        <f t="shared" si="23"/>
        <v>4</v>
      </c>
      <c r="P96">
        <f>YEAR(Table1[[#This Row],[OrderDate]])</f>
        <v>2023</v>
      </c>
      <c r="Q96" s="8">
        <f t="shared" si="24"/>
        <v>45041</v>
      </c>
      <c r="R96">
        <f t="shared" ca="1" si="25"/>
        <v>3</v>
      </c>
      <c r="S96">
        <f t="shared" si="26"/>
        <v>-37</v>
      </c>
      <c r="T96">
        <f t="shared" si="27"/>
        <v>121</v>
      </c>
      <c r="U96" t="str">
        <f t="shared" si="28"/>
        <v>03-04-1900</v>
      </c>
      <c r="V96" t="str">
        <f t="shared" si="29"/>
        <v>Medium</v>
      </c>
      <c r="W96" t="str">
        <f t="shared" si="30"/>
        <v>Sale</v>
      </c>
      <c r="X96" t="str">
        <f t="shared" si="31"/>
        <v>OK</v>
      </c>
      <c r="Y96" t="str">
        <f t="shared" si="32"/>
        <v>A</v>
      </c>
      <c r="Z96" t="str" cm="1">
        <f t="array" ref="Z96">_xlfn.IFS(
I96&gt;50000,"Premium",
I96&gt;=20000,"Regular",
TRUE,"Basic"
)</f>
        <v>Regular</v>
      </c>
    </row>
    <row r="97" spans="1:26" x14ac:dyDescent="0.3">
      <c r="A97" s="5">
        <v>96</v>
      </c>
      <c r="B97" s="5">
        <v>1062</v>
      </c>
      <c r="C97" t="s">
        <v>13</v>
      </c>
      <c r="D97" t="s">
        <v>14</v>
      </c>
      <c r="E97" t="s">
        <v>20</v>
      </c>
      <c r="F97" t="s">
        <v>16</v>
      </c>
      <c r="G97" s="5">
        <v>9</v>
      </c>
      <c r="H97" s="1">
        <v>4710</v>
      </c>
      <c r="I97" s="4">
        <v>42390</v>
      </c>
      <c r="J97" s="9" t="s">
        <v>117</v>
      </c>
      <c r="K97" s="3">
        <v>4710</v>
      </c>
      <c r="L97" s="2">
        <v>0.1</v>
      </c>
      <c r="M97" s="1">
        <v>38151</v>
      </c>
      <c r="N97">
        <f t="shared" si="22"/>
        <v>31</v>
      </c>
      <c r="O97" s="5">
        <f t="shared" si="23"/>
        <v>3</v>
      </c>
      <c r="P97">
        <f>YEAR(Table1[[#This Row],[OrderDate]])</f>
        <v>2023</v>
      </c>
      <c r="Q97" s="8">
        <f t="shared" si="24"/>
        <v>45016</v>
      </c>
      <c r="R97">
        <f t="shared" ca="1" si="25"/>
        <v>3</v>
      </c>
      <c r="S97">
        <f t="shared" si="26"/>
        <v>-28</v>
      </c>
      <c r="T97">
        <f t="shared" si="27"/>
        <v>121</v>
      </c>
      <c r="U97" t="str">
        <f t="shared" si="28"/>
        <v>04-04-1900</v>
      </c>
      <c r="V97" t="str">
        <f t="shared" si="29"/>
        <v>Medium</v>
      </c>
      <c r="W97" t="str">
        <f t="shared" si="30"/>
        <v>Sale</v>
      </c>
      <c r="X97" t="str">
        <f t="shared" si="31"/>
        <v>OK</v>
      </c>
      <c r="Y97" t="str">
        <f t="shared" si="32"/>
        <v>A</v>
      </c>
      <c r="Z97" t="str" cm="1">
        <f t="array" ref="Z97">_xlfn.IFS(
I97&gt;50000,"Premium",
I97&gt;=20000,"Regular",
TRUE,"Basic"
)</f>
        <v>Regular</v>
      </c>
    </row>
    <row r="98" spans="1:26" x14ac:dyDescent="0.3">
      <c r="A98" s="5">
        <v>97</v>
      </c>
      <c r="B98" s="5">
        <v>1091</v>
      </c>
      <c r="C98" t="s">
        <v>18</v>
      </c>
      <c r="D98" t="s">
        <v>19</v>
      </c>
      <c r="E98" t="s">
        <v>41</v>
      </c>
      <c r="F98" t="s">
        <v>27</v>
      </c>
      <c r="G98" s="5">
        <v>20</v>
      </c>
      <c r="H98" s="1">
        <v>1036</v>
      </c>
      <c r="I98" s="4">
        <v>20720</v>
      </c>
      <c r="J98" s="9" t="s">
        <v>118</v>
      </c>
      <c r="K98" s="3">
        <v>1036</v>
      </c>
      <c r="L98" s="2">
        <v>0.1</v>
      </c>
      <c r="M98" s="1">
        <v>18648</v>
      </c>
      <c r="N98">
        <f t="shared" ref="N98:N129" si="33">DAY(J98)</f>
        <v>22</v>
      </c>
      <c r="O98" s="5">
        <f t="shared" ref="O98:O129" si="34">MONTH(J:J)</f>
        <v>8</v>
      </c>
      <c r="P98">
        <f>YEAR(Table1[[#This Row],[OrderDate]])</f>
        <v>2023</v>
      </c>
      <c r="Q98" s="8">
        <f t="shared" ref="Q98:Q129" si="35">DATEVALUE(J98)</f>
        <v>45160</v>
      </c>
      <c r="R98">
        <f t="shared" ref="R98:R129" ca="1" si="36">DATEDIF(J98, TODAY(), "Y")</f>
        <v>2</v>
      </c>
      <c r="S98">
        <f t="shared" ref="S98:S129" si="37">NETWORKDAYS(J98,J103)</f>
        <v>-100</v>
      </c>
      <c r="T98">
        <f t="shared" ref="T98:T129" si="38">EOMONTH(A97,0)</f>
        <v>121</v>
      </c>
      <c r="U98" t="str">
        <f t="shared" ref="U98:U129" si="39">TEXT(A97,"DD-MM-YYYY")</f>
        <v>05-04-1900</v>
      </c>
      <c r="V98" t="str">
        <f t="shared" ref="V98:V129" si="40">IF(I98&gt;50000,"High",IF(I98&gt;=20000,"Medium","Low"))</f>
        <v>Medium</v>
      </c>
      <c r="W98" t="str">
        <f t="shared" ref="W98:W129" si="41">IF(G98&lt;0,"Return","Sale")</f>
        <v>Sale</v>
      </c>
      <c r="X98" t="str">
        <f t="shared" ref="X98:X129" si="42">IF(ISBLANK(W98),"Missing","OK")</f>
        <v>OK</v>
      </c>
      <c r="Y98" t="str">
        <f t="shared" ref="Y98:Y129" si="43">IF(A97&gt;=9,"A",IF(A97&gt;=7,"B",IF(A97&gt;=0,"C","no order")))</f>
        <v>A</v>
      </c>
      <c r="Z98" t="str" cm="1">
        <f t="array" ref="Z98">_xlfn.IFS(
I98&gt;50000,"Premium",
I98&gt;=20000,"Regular",
TRUE,"Basic"
)</f>
        <v>Regular</v>
      </c>
    </row>
    <row r="99" spans="1:26" x14ac:dyDescent="0.3">
      <c r="A99" s="5">
        <v>98</v>
      </c>
      <c r="B99" s="5">
        <v>1090</v>
      </c>
      <c r="C99" t="s">
        <v>40</v>
      </c>
      <c r="D99" t="s">
        <v>19</v>
      </c>
      <c r="E99" t="s">
        <v>31</v>
      </c>
      <c r="F99" t="s">
        <v>27</v>
      </c>
      <c r="G99" s="5">
        <v>11</v>
      </c>
      <c r="H99" s="1">
        <v>4322</v>
      </c>
      <c r="I99" s="4">
        <v>47542</v>
      </c>
      <c r="J99" s="9" t="s">
        <v>119</v>
      </c>
      <c r="K99" s="3">
        <v>4322</v>
      </c>
      <c r="L99" s="2">
        <v>0.1</v>
      </c>
      <c r="M99" s="1">
        <v>42787.8</v>
      </c>
      <c r="N99">
        <f t="shared" si="33"/>
        <v>27</v>
      </c>
      <c r="O99" s="5">
        <f t="shared" si="34"/>
        <v>3</v>
      </c>
      <c r="P99">
        <f>YEAR(Table1[[#This Row],[OrderDate]])</f>
        <v>2023</v>
      </c>
      <c r="Q99" s="8">
        <f t="shared" si="35"/>
        <v>45012</v>
      </c>
      <c r="R99">
        <f t="shared" ca="1" si="36"/>
        <v>3</v>
      </c>
      <c r="S99">
        <f t="shared" si="37"/>
        <v>130</v>
      </c>
      <c r="T99">
        <f t="shared" si="38"/>
        <v>121</v>
      </c>
      <c r="U99" t="str">
        <f t="shared" si="39"/>
        <v>06-04-1900</v>
      </c>
      <c r="V99" t="str">
        <f t="shared" si="40"/>
        <v>Medium</v>
      </c>
      <c r="W99" t="str">
        <f t="shared" si="41"/>
        <v>Sale</v>
      </c>
      <c r="X99" t="str">
        <f t="shared" si="42"/>
        <v>OK</v>
      </c>
      <c r="Y99" t="str">
        <f t="shared" si="43"/>
        <v>A</v>
      </c>
      <c r="Z99" t="str" cm="1">
        <f t="array" ref="Z99">_xlfn.IFS(
I99&gt;50000,"Premium",
I99&gt;=20000,"Regular",
TRUE,"Basic"
)</f>
        <v>Regular</v>
      </c>
    </row>
    <row r="100" spans="1:26" x14ac:dyDescent="0.3">
      <c r="A100" s="5">
        <v>99</v>
      </c>
      <c r="B100" s="5">
        <v>1072</v>
      </c>
      <c r="C100" t="s">
        <v>18</v>
      </c>
      <c r="D100" t="s">
        <v>14</v>
      </c>
      <c r="E100" t="s">
        <v>20</v>
      </c>
      <c r="F100" t="s">
        <v>16</v>
      </c>
      <c r="G100" s="5">
        <v>4</v>
      </c>
      <c r="H100" s="1">
        <v>3372</v>
      </c>
      <c r="I100" s="4">
        <v>13488</v>
      </c>
      <c r="J100" s="9" t="s">
        <v>120</v>
      </c>
      <c r="K100" s="3">
        <v>3372</v>
      </c>
      <c r="L100" s="2">
        <v>0.1</v>
      </c>
      <c r="M100" s="1">
        <v>12139.2</v>
      </c>
      <c r="N100">
        <f t="shared" si="33"/>
        <v>19</v>
      </c>
      <c r="O100" s="5">
        <f t="shared" si="34"/>
        <v>3</v>
      </c>
      <c r="P100">
        <f>YEAR(Table1[[#This Row],[OrderDate]])</f>
        <v>2023</v>
      </c>
      <c r="Q100" s="8">
        <f t="shared" si="35"/>
        <v>45004</v>
      </c>
      <c r="R100">
        <f t="shared" ca="1" si="36"/>
        <v>3</v>
      </c>
      <c r="S100">
        <f t="shared" si="37"/>
        <v>190</v>
      </c>
      <c r="T100">
        <f t="shared" si="38"/>
        <v>121</v>
      </c>
      <c r="U100" t="str">
        <f t="shared" si="39"/>
        <v>07-04-1900</v>
      </c>
      <c r="V100" t="str">
        <f t="shared" si="40"/>
        <v>Low</v>
      </c>
      <c r="W100" t="str">
        <f t="shared" si="41"/>
        <v>Sale</v>
      </c>
      <c r="X100" t="str">
        <f t="shared" si="42"/>
        <v>OK</v>
      </c>
      <c r="Y100" t="str">
        <f t="shared" si="43"/>
        <v>A</v>
      </c>
      <c r="Z100" t="str" cm="1">
        <f t="array" ref="Z100">_xlfn.IFS(
I100&gt;50000,"Premium",
I100&gt;=20000,"Regular",
TRUE,"Basic"
)</f>
        <v>Basic</v>
      </c>
    </row>
    <row r="101" spans="1:26" x14ac:dyDescent="0.3">
      <c r="A101" s="5">
        <v>100</v>
      </c>
      <c r="B101" s="5">
        <v>1007</v>
      </c>
      <c r="C101" t="s">
        <v>18</v>
      </c>
      <c r="D101" t="s">
        <v>23</v>
      </c>
      <c r="E101" t="s">
        <v>15</v>
      </c>
      <c r="F101" t="s">
        <v>16</v>
      </c>
      <c r="G101" s="5">
        <v>16</v>
      </c>
      <c r="H101" s="1">
        <v>1046</v>
      </c>
      <c r="I101" s="4">
        <v>16736</v>
      </c>
      <c r="J101" s="9" t="s">
        <v>69</v>
      </c>
      <c r="K101" s="3">
        <v>1046</v>
      </c>
      <c r="L101" s="2">
        <v>0.1</v>
      </c>
      <c r="M101" s="1">
        <v>15062.4</v>
      </c>
      <c r="N101">
        <f t="shared" si="33"/>
        <v>4</v>
      </c>
      <c r="O101" s="5">
        <f t="shared" si="34"/>
        <v>3</v>
      </c>
      <c r="P101">
        <f>YEAR(Table1[[#This Row],[OrderDate]])</f>
        <v>2023</v>
      </c>
      <c r="Q101" s="8">
        <f t="shared" si="35"/>
        <v>44989</v>
      </c>
      <c r="R101">
        <f t="shared" ca="1" si="36"/>
        <v>3</v>
      </c>
      <c r="S101">
        <f t="shared" si="37"/>
        <v>151</v>
      </c>
      <c r="T101">
        <f t="shared" si="38"/>
        <v>121</v>
      </c>
      <c r="U101" t="str">
        <f t="shared" si="39"/>
        <v>08-04-1900</v>
      </c>
      <c r="V101" t="str">
        <f t="shared" si="40"/>
        <v>Low</v>
      </c>
      <c r="W101" t="str">
        <f t="shared" si="41"/>
        <v>Sale</v>
      </c>
      <c r="X101" t="str">
        <f t="shared" si="42"/>
        <v>OK</v>
      </c>
      <c r="Y101" t="str">
        <f t="shared" si="43"/>
        <v>A</v>
      </c>
      <c r="Z101" t="str" cm="1">
        <f t="array" ref="Z101">_xlfn.IFS(
I101&gt;50000,"Premium",
I101&gt;=20000,"Regular",
TRUE,"Basic"
)</f>
        <v>Basic</v>
      </c>
    </row>
    <row r="102" spans="1:26" x14ac:dyDescent="0.3">
      <c r="A102" s="5">
        <v>101</v>
      </c>
      <c r="B102" s="5">
        <v>1086</v>
      </c>
      <c r="C102" t="s">
        <v>40</v>
      </c>
      <c r="D102" t="s">
        <v>14</v>
      </c>
      <c r="E102" t="s">
        <v>41</v>
      </c>
      <c r="F102" t="s">
        <v>16</v>
      </c>
      <c r="G102" s="5">
        <v>20</v>
      </c>
      <c r="H102" s="1">
        <v>651</v>
      </c>
      <c r="I102" s="4">
        <v>13020</v>
      </c>
      <c r="J102" s="9" t="s">
        <v>121</v>
      </c>
      <c r="K102" s="3">
        <v>651</v>
      </c>
      <c r="L102" s="2">
        <v>0.1</v>
      </c>
      <c r="M102" s="1">
        <v>11718</v>
      </c>
      <c r="N102">
        <f t="shared" si="33"/>
        <v>22</v>
      </c>
      <c r="O102" s="5">
        <f t="shared" si="34"/>
        <v>2</v>
      </c>
      <c r="P102">
        <f>YEAR(Table1[[#This Row],[OrderDate]])</f>
        <v>2023</v>
      </c>
      <c r="Q102" s="8">
        <f t="shared" si="35"/>
        <v>44979</v>
      </c>
      <c r="R102">
        <f t="shared" ca="1" si="36"/>
        <v>3</v>
      </c>
      <c r="S102">
        <f t="shared" si="37"/>
        <v>46</v>
      </c>
      <c r="T102">
        <f t="shared" si="38"/>
        <v>121</v>
      </c>
      <c r="U102" t="str">
        <f t="shared" si="39"/>
        <v>09-04-1900</v>
      </c>
      <c r="V102" t="str">
        <f t="shared" si="40"/>
        <v>Low</v>
      </c>
      <c r="W102" t="str">
        <f t="shared" si="41"/>
        <v>Sale</v>
      </c>
      <c r="X102" t="str">
        <f t="shared" si="42"/>
        <v>OK</v>
      </c>
      <c r="Y102" t="str">
        <f t="shared" si="43"/>
        <v>A</v>
      </c>
      <c r="Z102" t="str" cm="1">
        <f t="array" ref="Z102">_xlfn.IFS(
I102&gt;50000,"Premium",
I102&gt;=20000,"Regular",
TRUE,"Basic"
)</f>
        <v>Basic</v>
      </c>
    </row>
    <row r="103" spans="1:26" x14ac:dyDescent="0.3">
      <c r="A103" s="5">
        <v>102</v>
      </c>
      <c r="B103" s="5">
        <v>1022</v>
      </c>
      <c r="C103" t="s">
        <v>13</v>
      </c>
      <c r="D103" t="s">
        <v>23</v>
      </c>
      <c r="E103" t="s">
        <v>15</v>
      </c>
      <c r="F103" t="s">
        <v>16</v>
      </c>
      <c r="G103" s="5">
        <v>4</v>
      </c>
      <c r="H103" s="1">
        <v>4417</v>
      </c>
      <c r="I103" s="4">
        <v>17668</v>
      </c>
      <c r="J103" s="9" t="s">
        <v>122</v>
      </c>
      <c r="K103" s="3">
        <v>4417</v>
      </c>
      <c r="L103" s="2">
        <v>0.1</v>
      </c>
      <c r="M103" s="1">
        <v>15901.2</v>
      </c>
      <c r="N103">
        <f t="shared" si="33"/>
        <v>5</v>
      </c>
      <c r="O103" s="5">
        <f t="shared" si="34"/>
        <v>4</v>
      </c>
      <c r="P103">
        <f>YEAR(Table1[[#This Row],[OrderDate]])</f>
        <v>2023</v>
      </c>
      <c r="Q103" s="8">
        <f t="shared" si="35"/>
        <v>45021</v>
      </c>
      <c r="R103">
        <f t="shared" ca="1" si="36"/>
        <v>3</v>
      </c>
      <c r="S103">
        <f t="shared" si="37"/>
        <v>118</v>
      </c>
      <c r="T103">
        <f t="shared" si="38"/>
        <v>121</v>
      </c>
      <c r="U103" t="str">
        <f t="shared" si="39"/>
        <v>10-04-1900</v>
      </c>
      <c r="V103" t="str">
        <f t="shared" si="40"/>
        <v>Low</v>
      </c>
      <c r="W103" t="str">
        <f t="shared" si="41"/>
        <v>Sale</v>
      </c>
      <c r="X103" t="str">
        <f t="shared" si="42"/>
        <v>OK</v>
      </c>
      <c r="Y103" t="str">
        <f t="shared" si="43"/>
        <v>A</v>
      </c>
      <c r="Z103" t="str" cm="1">
        <f t="array" ref="Z103">_xlfn.IFS(
I103&gt;50000,"Premium",
I103&gt;=20000,"Regular",
TRUE,"Basic"
)</f>
        <v>Basic</v>
      </c>
    </row>
    <row r="104" spans="1:26" x14ac:dyDescent="0.3">
      <c r="A104" s="5">
        <v>103</v>
      </c>
      <c r="B104" s="5">
        <v>1060</v>
      </c>
      <c r="C104" t="s">
        <v>29</v>
      </c>
      <c r="D104" t="s">
        <v>23</v>
      </c>
      <c r="E104" t="s">
        <v>20</v>
      </c>
      <c r="F104" t="s">
        <v>16</v>
      </c>
      <c r="G104" s="5">
        <v>4</v>
      </c>
      <c r="H104" s="1">
        <v>475</v>
      </c>
      <c r="I104" s="4">
        <v>1900</v>
      </c>
      <c r="J104" s="9" t="s">
        <v>123</v>
      </c>
      <c r="K104" s="3">
        <v>475</v>
      </c>
      <c r="L104" s="2">
        <v>0.05</v>
      </c>
      <c r="M104" s="1">
        <v>1805</v>
      </c>
      <c r="N104">
        <f t="shared" si="33"/>
        <v>24</v>
      </c>
      <c r="O104" s="5">
        <f t="shared" si="34"/>
        <v>9</v>
      </c>
      <c r="P104">
        <f>YEAR(Table1[[#This Row],[OrderDate]])</f>
        <v>2023</v>
      </c>
      <c r="Q104" s="8">
        <f t="shared" si="35"/>
        <v>45193</v>
      </c>
      <c r="R104">
        <f t="shared" ca="1" si="36"/>
        <v>2</v>
      </c>
      <c r="S104">
        <f t="shared" si="37"/>
        <v>-7</v>
      </c>
      <c r="T104">
        <f t="shared" si="38"/>
        <v>121</v>
      </c>
      <c r="U104" t="str">
        <f t="shared" si="39"/>
        <v>11-04-1900</v>
      </c>
      <c r="V104" t="str">
        <f t="shared" si="40"/>
        <v>Low</v>
      </c>
      <c r="W104" t="str">
        <f t="shared" si="41"/>
        <v>Sale</v>
      </c>
      <c r="X104" t="str">
        <f t="shared" si="42"/>
        <v>OK</v>
      </c>
      <c r="Y104" t="str">
        <f t="shared" si="43"/>
        <v>A</v>
      </c>
      <c r="Z104" t="str" cm="1">
        <f t="array" ref="Z104">_xlfn.IFS(
I104&gt;50000,"Premium",
I104&gt;=20000,"Regular",
TRUE,"Basic"
)</f>
        <v>Basic</v>
      </c>
    </row>
    <row r="105" spans="1:26" x14ac:dyDescent="0.3">
      <c r="A105" s="5">
        <v>104</v>
      </c>
      <c r="B105" s="5">
        <v>1097</v>
      </c>
      <c r="C105" t="s">
        <v>22</v>
      </c>
      <c r="D105" t="s">
        <v>23</v>
      </c>
      <c r="E105" t="s">
        <v>15</v>
      </c>
      <c r="F105" t="s">
        <v>27</v>
      </c>
      <c r="G105" s="5">
        <v>16</v>
      </c>
      <c r="H105" s="1">
        <v>3896</v>
      </c>
      <c r="I105" s="4">
        <v>62336</v>
      </c>
      <c r="J105" s="9" t="s">
        <v>124</v>
      </c>
      <c r="K105" s="3">
        <v>3896</v>
      </c>
      <c r="L105" s="2">
        <v>0.1</v>
      </c>
      <c r="M105" s="1">
        <v>56102.400000000001</v>
      </c>
      <c r="N105">
        <f t="shared" si="33"/>
        <v>10</v>
      </c>
      <c r="O105" s="5">
        <f t="shared" si="34"/>
        <v>12</v>
      </c>
      <c r="P105">
        <f>YEAR(Table1[[#This Row],[OrderDate]])</f>
        <v>2023</v>
      </c>
      <c r="Q105" s="8">
        <f t="shared" si="35"/>
        <v>45270</v>
      </c>
      <c r="R105">
        <f t="shared" ca="1" si="36"/>
        <v>2</v>
      </c>
      <c r="S105">
        <f t="shared" si="37"/>
        <v>-55</v>
      </c>
      <c r="T105">
        <f t="shared" si="38"/>
        <v>121</v>
      </c>
      <c r="U105" t="str">
        <f t="shared" si="39"/>
        <v>12-04-1900</v>
      </c>
      <c r="V105" t="str">
        <f t="shared" si="40"/>
        <v>High</v>
      </c>
      <c r="W105" t="str">
        <f t="shared" si="41"/>
        <v>Sale</v>
      </c>
      <c r="X105" t="str">
        <f t="shared" si="42"/>
        <v>OK</v>
      </c>
      <c r="Y105" t="str">
        <f t="shared" si="43"/>
        <v>A</v>
      </c>
      <c r="Z105" t="str" cm="1">
        <f t="array" ref="Z105">_xlfn.IFS(
I105&gt;50000,"Premium",
I105&gt;=20000,"Regular",
TRUE,"Basic"
)</f>
        <v>Premium</v>
      </c>
    </row>
    <row r="106" spans="1:26" x14ac:dyDescent="0.3">
      <c r="A106" s="5">
        <v>105</v>
      </c>
      <c r="B106" s="5">
        <v>1009</v>
      </c>
      <c r="C106" t="s">
        <v>29</v>
      </c>
      <c r="D106" t="s">
        <v>25</v>
      </c>
      <c r="E106" t="s">
        <v>15</v>
      </c>
      <c r="F106" t="s">
        <v>27</v>
      </c>
      <c r="G106" s="5">
        <v>13</v>
      </c>
      <c r="H106" s="1">
        <v>2148</v>
      </c>
      <c r="I106" s="4">
        <v>27924</v>
      </c>
      <c r="J106" s="9" t="s">
        <v>125</v>
      </c>
      <c r="K106" s="3">
        <v>2148</v>
      </c>
      <c r="L106" s="2">
        <v>0.1</v>
      </c>
      <c r="M106" s="1">
        <v>25131.599999999999</v>
      </c>
      <c r="N106">
        <f t="shared" si="33"/>
        <v>2</v>
      </c>
      <c r="O106" s="5">
        <f t="shared" si="34"/>
        <v>10</v>
      </c>
      <c r="P106">
        <f>YEAR(Table1[[#This Row],[OrderDate]])</f>
        <v>2023</v>
      </c>
      <c r="Q106" s="8">
        <f t="shared" si="35"/>
        <v>45201</v>
      </c>
      <c r="R106">
        <f t="shared" ca="1" si="36"/>
        <v>2</v>
      </c>
      <c r="S106">
        <f t="shared" si="37"/>
        <v>-96</v>
      </c>
      <c r="T106">
        <f t="shared" si="38"/>
        <v>121</v>
      </c>
      <c r="U106" t="str">
        <f t="shared" si="39"/>
        <v>13-04-1900</v>
      </c>
      <c r="V106" t="str">
        <f t="shared" si="40"/>
        <v>Medium</v>
      </c>
      <c r="W106" t="str">
        <f t="shared" si="41"/>
        <v>Sale</v>
      </c>
      <c r="X106" t="str">
        <f t="shared" si="42"/>
        <v>OK</v>
      </c>
      <c r="Y106" t="str">
        <f t="shared" si="43"/>
        <v>A</v>
      </c>
      <c r="Z106" t="str" cm="1">
        <f t="array" ref="Z106">_xlfn.IFS(
I106&gt;50000,"Premium",
I106&gt;=20000,"Regular",
TRUE,"Basic"
)</f>
        <v>Regular</v>
      </c>
    </row>
    <row r="107" spans="1:26" x14ac:dyDescent="0.3">
      <c r="A107" s="5">
        <v>106</v>
      </c>
      <c r="B107" s="5">
        <v>1079</v>
      </c>
      <c r="C107" t="s">
        <v>22</v>
      </c>
      <c r="D107" t="s">
        <v>19</v>
      </c>
      <c r="E107" t="s">
        <v>26</v>
      </c>
      <c r="F107" t="s">
        <v>16</v>
      </c>
      <c r="G107" s="5">
        <v>7</v>
      </c>
      <c r="H107" s="1">
        <v>4742</v>
      </c>
      <c r="I107" s="4">
        <v>33194</v>
      </c>
      <c r="J107" s="9" t="s">
        <v>126</v>
      </c>
      <c r="K107" s="3">
        <v>4742</v>
      </c>
      <c r="L107" s="2">
        <v>0.1</v>
      </c>
      <c r="M107" s="1">
        <v>29874.6</v>
      </c>
      <c r="N107">
        <f t="shared" si="33"/>
        <v>26</v>
      </c>
      <c r="O107" s="5">
        <f t="shared" si="34"/>
        <v>4</v>
      </c>
      <c r="P107">
        <f>YEAR(Table1[[#This Row],[OrderDate]])</f>
        <v>2023</v>
      </c>
      <c r="Q107" s="8">
        <f t="shared" si="35"/>
        <v>45042</v>
      </c>
      <c r="R107">
        <f t="shared" ca="1" si="36"/>
        <v>3</v>
      </c>
      <c r="S107">
        <f t="shared" si="37"/>
        <v>132</v>
      </c>
      <c r="T107">
        <f t="shared" si="38"/>
        <v>121</v>
      </c>
      <c r="U107" t="str">
        <f t="shared" si="39"/>
        <v>14-04-1900</v>
      </c>
      <c r="V107" t="str">
        <f t="shared" si="40"/>
        <v>Medium</v>
      </c>
      <c r="W107" t="str">
        <f t="shared" si="41"/>
        <v>Sale</v>
      </c>
      <c r="X107" t="str">
        <f t="shared" si="42"/>
        <v>OK</v>
      </c>
      <c r="Y107" t="str">
        <f t="shared" si="43"/>
        <v>A</v>
      </c>
      <c r="Z107" t="str" cm="1">
        <f t="array" ref="Z107">_xlfn.IFS(
I107&gt;50000,"Premium",
I107&gt;=20000,"Regular",
TRUE,"Basic"
)</f>
        <v>Regular</v>
      </c>
    </row>
    <row r="108" spans="1:26" x14ac:dyDescent="0.3">
      <c r="A108" s="5">
        <v>107</v>
      </c>
      <c r="B108" s="5">
        <v>1018</v>
      </c>
      <c r="C108" t="s">
        <v>13</v>
      </c>
      <c r="D108" t="s">
        <v>34</v>
      </c>
      <c r="E108" t="s">
        <v>15</v>
      </c>
      <c r="F108" t="s">
        <v>27</v>
      </c>
      <c r="G108" s="5">
        <v>14</v>
      </c>
      <c r="H108" s="1">
        <v>364</v>
      </c>
      <c r="I108" s="4">
        <v>5096</v>
      </c>
      <c r="J108" s="9" t="s">
        <v>127</v>
      </c>
      <c r="K108" s="3">
        <v>364</v>
      </c>
      <c r="L108" s="2">
        <v>0.1</v>
      </c>
      <c r="M108" s="1">
        <v>4586.3999999999996</v>
      </c>
      <c r="N108">
        <f t="shared" si="33"/>
        <v>16</v>
      </c>
      <c r="O108" s="5">
        <f t="shared" si="34"/>
        <v>9</v>
      </c>
      <c r="P108">
        <f>YEAR(Table1[[#This Row],[OrderDate]])</f>
        <v>2023</v>
      </c>
      <c r="Q108" s="8">
        <f t="shared" si="35"/>
        <v>45185</v>
      </c>
      <c r="R108">
        <f t="shared" ca="1" si="36"/>
        <v>2</v>
      </c>
      <c r="S108">
        <f t="shared" si="37"/>
        <v>20</v>
      </c>
      <c r="T108">
        <f t="shared" si="38"/>
        <v>121</v>
      </c>
      <c r="U108" t="str">
        <f t="shared" si="39"/>
        <v>15-04-1900</v>
      </c>
      <c r="V108" t="str">
        <f t="shared" si="40"/>
        <v>Low</v>
      </c>
      <c r="W108" t="str">
        <f t="shared" si="41"/>
        <v>Sale</v>
      </c>
      <c r="X108" t="str">
        <f t="shared" si="42"/>
        <v>OK</v>
      </c>
      <c r="Y108" t="str">
        <f t="shared" si="43"/>
        <v>A</v>
      </c>
      <c r="Z108" t="str" cm="1">
        <f t="array" ref="Z108">_xlfn.IFS(
I108&gt;50000,"Premium",
I108&gt;=20000,"Regular",
TRUE,"Basic"
)</f>
        <v>Basic</v>
      </c>
    </row>
    <row r="109" spans="1:26" x14ac:dyDescent="0.3">
      <c r="A109" s="5">
        <v>108</v>
      </c>
      <c r="B109" s="5">
        <v>1067</v>
      </c>
      <c r="C109" t="s">
        <v>18</v>
      </c>
      <c r="D109" t="s">
        <v>23</v>
      </c>
      <c r="E109" t="s">
        <v>20</v>
      </c>
      <c r="F109" t="s">
        <v>16</v>
      </c>
      <c r="G109" s="5">
        <v>9</v>
      </c>
      <c r="H109" s="1">
        <v>4599</v>
      </c>
      <c r="I109" s="4">
        <v>41391</v>
      </c>
      <c r="J109" s="9" t="s">
        <v>128</v>
      </c>
      <c r="K109" s="3">
        <v>4599</v>
      </c>
      <c r="L109" s="2">
        <v>0.1</v>
      </c>
      <c r="M109" s="1">
        <v>37251.9</v>
      </c>
      <c r="N109">
        <f t="shared" si="33"/>
        <v>14</v>
      </c>
      <c r="O109" s="5">
        <f t="shared" si="34"/>
        <v>9</v>
      </c>
      <c r="P109">
        <f>YEAR(Table1[[#This Row],[OrderDate]])</f>
        <v>2023</v>
      </c>
      <c r="Q109" s="8">
        <f t="shared" si="35"/>
        <v>45183</v>
      </c>
      <c r="R109">
        <f t="shared" ca="1" si="36"/>
        <v>2</v>
      </c>
      <c r="S109">
        <f t="shared" si="37"/>
        <v>-93</v>
      </c>
      <c r="T109">
        <f t="shared" si="38"/>
        <v>121</v>
      </c>
      <c r="U109" t="str">
        <f t="shared" si="39"/>
        <v>16-04-1900</v>
      </c>
      <c r="V109" t="str">
        <f t="shared" si="40"/>
        <v>Medium</v>
      </c>
      <c r="W109" t="str">
        <f t="shared" si="41"/>
        <v>Sale</v>
      </c>
      <c r="X109" t="str">
        <f t="shared" si="42"/>
        <v>OK</v>
      </c>
      <c r="Y109" t="str">
        <f t="shared" si="43"/>
        <v>A</v>
      </c>
      <c r="Z109" t="str" cm="1">
        <f t="array" ref="Z109">_xlfn.IFS(
I109&gt;50000,"Premium",
I109&gt;=20000,"Regular",
TRUE,"Basic"
)</f>
        <v>Regular</v>
      </c>
    </row>
    <row r="110" spans="1:26" x14ac:dyDescent="0.3">
      <c r="A110" s="5">
        <v>109</v>
      </c>
      <c r="B110" s="5">
        <v>1061</v>
      </c>
      <c r="C110" t="s">
        <v>18</v>
      </c>
      <c r="D110" t="s">
        <v>19</v>
      </c>
      <c r="E110" t="s">
        <v>31</v>
      </c>
      <c r="F110" t="s">
        <v>16</v>
      </c>
      <c r="G110" s="5">
        <v>14</v>
      </c>
      <c r="H110" s="1">
        <v>2166</v>
      </c>
      <c r="I110" s="4">
        <v>30324</v>
      </c>
      <c r="J110" s="9" t="s">
        <v>129</v>
      </c>
      <c r="K110" s="3">
        <v>2166</v>
      </c>
      <c r="L110" s="2">
        <v>0.1</v>
      </c>
      <c r="M110" s="1">
        <v>27291.599999999999</v>
      </c>
      <c r="N110">
        <f t="shared" si="33"/>
        <v>23</v>
      </c>
      <c r="O110" s="5">
        <f t="shared" si="34"/>
        <v>9</v>
      </c>
      <c r="P110">
        <f>YEAR(Table1[[#This Row],[OrderDate]])</f>
        <v>2023</v>
      </c>
      <c r="Q110" s="8">
        <f t="shared" si="35"/>
        <v>45192</v>
      </c>
      <c r="R110">
        <f t="shared" ca="1" si="36"/>
        <v>2</v>
      </c>
      <c r="S110">
        <f t="shared" si="37"/>
        <v>-120</v>
      </c>
      <c r="T110">
        <f t="shared" si="38"/>
        <v>121</v>
      </c>
      <c r="U110" t="str">
        <f t="shared" si="39"/>
        <v>17-04-1900</v>
      </c>
      <c r="V110" t="str">
        <f t="shared" si="40"/>
        <v>Medium</v>
      </c>
      <c r="W110" t="str">
        <f t="shared" si="41"/>
        <v>Sale</v>
      </c>
      <c r="X110" t="str">
        <f t="shared" si="42"/>
        <v>OK</v>
      </c>
      <c r="Y110" t="str">
        <f t="shared" si="43"/>
        <v>A</v>
      </c>
      <c r="Z110" t="str" cm="1">
        <f t="array" ref="Z110">_xlfn.IFS(
I110&gt;50000,"Premium",
I110&gt;=20000,"Regular",
TRUE,"Basic"
)</f>
        <v>Regular</v>
      </c>
    </row>
    <row r="111" spans="1:26" x14ac:dyDescent="0.3">
      <c r="A111" s="5">
        <v>110</v>
      </c>
      <c r="B111" s="5">
        <v>1073</v>
      </c>
      <c r="C111" t="s">
        <v>29</v>
      </c>
      <c r="D111" t="s">
        <v>14</v>
      </c>
      <c r="E111" t="s">
        <v>20</v>
      </c>
      <c r="F111" t="s">
        <v>27</v>
      </c>
      <c r="G111" s="5">
        <v>8</v>
      </c>
      <c r="H111" s="1">
        <v>4953</v>
      </c>
      <c r="I111" s="4">
        <v>39624</v>
      </c>
      <c r="J111" s="9" t="s">
        <v>130</v>
      </c>
      <c r="K111" s="3">
        <v>4953</v>
      </c>
      <c r="L111" s="2">
        <v>0.1</v>
      </c>
      <c r="M111" s="1">
        <v>35661.599999999999</v>
      </c>
      <c r="N111">
        <f t="shared" si="33"/>
        <v>20</v>
      </c>
      <c r="O111" s="5">
        <f t="shared" si="34"/>
        <v>5</v>
      </c>
      <c r="P111">
        <f>YEAR(Table1[[#This Row],[OrderDate]])</f>
        <v>2023</v>
      </c>
      <c r="Q111" s="8">
        <f t="shared" si="35"/>
        <v>45066</v>
      </c>
      <c r="R111">
        <f t="shared" ca="1" si="36"/>
        <v>2</v>
      </c>
      <c r="S111">
        <f t="shared" si="37"/>
        <v>50</v>
      </c>
      <c r="T111">
        <f t="shared" si="38"/>
        <v>121</v>
      </c>
      <c r="U111" t="str">
        <f t="shared" si="39"/>
        <v>18-04-1900</v>
      </c>
      <c r="V111" t="str">
        <f t="shared" si="40"/>
        <v>Medium</v>
      </c>
      <c r="W111" t="str">
        <f t="shared" si="41"/>
        <v>Sale</v>
      </c>
      <c r="X111" t="str">
        <f t="shared" si="42"/>
        <v>OK</v>
      </c>
      <c r="Y111" t="str">
        <f t="shared" si="43"/>
        <v>A</v>
      </c>
      <c r="Z111" t="str" cm="1">
        <f t="array" ref="Z111">_xlfn.IFS(
I111&gt;50000,"Premium",
I111&gt;=20000,"Regular",
TRUE,"Basic"
)</f>
        <v>Regular</v>
      </c>
    </row>
    <row r="112" spans="1:26" x14ac:dyDescent="0.3">
      <c r="A112" s="5">
        <v>111</v>
      </c>
      <c r="B112" s="5">
        <v>1097</v>
      </c>
      <c r="C112" t="s">
        <v>29</v>
      </c>
      <c r="D112" t="s">
        <v>34</v>
      </c>
      <c r="E112" t="s">
        <v>41</v>
      </c>
      <c r="F112" t="s">
        <v>27</v>
      </c>
      <c r="G112" s="5">
        <v>13</v>
      </c>
      <c r="H112" s="1">
        <v>2291</v>
      </c>
      <c r="I112" s="4">
        <v>29783</v>
      </c>
      <c r="J112" s="9" t="s">
        <v>131</v>
      </c>
      <c r="K112" s="3">
        <v>2291</v>
      </c>
      <c r="L112" s="2">
        <v>0.1</v>
      </c>
      <c r="M112" s="1">
        <v>26804.7</v>
      </c>
      <c r="N112">
        <f t="shared" si="33"/>
        <v>26</v>
      </c>
      <c r="O112" s="5">
        <f t="shared" si="34"/>
        <v>10</v>
      </c>
      <c r="P112">
        <f>YEAR(Table1[[#This Row],[OrderDate]])</f>
        <v>2023</v>
      </c>
      <c r="Q112" s="8">
        <f t="shared" si="35"/>
        <v>45225</v>
      </c>
      <c r="R112">
        <f t="shared" ca="1" si="36"/>
        <v>2</v>
      </c>
      <c r="S112">
        <f t="shared" si="37"/>
        <v>-119</v>
      </c>
      <c r="T112">
        <f t="shared" si="38"/>
        <v>121</v>
      </c>
      <c r="U112" t="str">
        <f t="shared" si="39"/>
        <v>19-04-1900</v>
      </c>
      <c r="V112" t="str">
        <f t="shared" si="40"/>
        <v>Medium</v>
      </c>
      <c r="W112" t="str">
        <f t="shared" si="41"/>
        <v>Sale</v>
      </c>
      <c r="X112" t="str">
        <f t="shared" si="42"/>
        <v>OK</v>
      </c>
      <c r="Y112" t="str">
        <f t="shared" si="43"/>
        <v>A</v>
      </c>
      <c r="Z112" t="str" cm="1">
        <f t="array" ref="Z112">_xlfn.IFS(
I112&gt;50000,"Premium",
I112&gt;=20000,"Regular",
TRUE,"Basic"
)</f>
        <v>Regular</v>
      </c>
    </row>
    <row r="113" spans="1:26" x14ac:dyDescent="0.3">
      <c r="A113" s="5">
        <v>112</v>
      </c>
      <c r="B113" s="5">
        <v>1084</v>
      </c>
      <c r="C113" t="s">
        <v>29</v>
      </c>
      <c r="D113" t="s">
        <v>19</v>
      </c>
      <c r="E113" t="s">
        <v>41</v>
      </c>
      <c r="F113" t="s">
        <v>27</v>
      </c>
      <c r="G113" s="5">
        <v>18</v>
      </c>
      <c r="H113" s="1">
        <v>4315</v>
      </c>
      <c r="I113" s="4">
        <v>77670</v>
      </c>
      <c r="J113" s="9" t="s">
        <v>132</v>
      </c>
      <c r="K113" s="3">
        <v>4315</v>
      </c>
      <c r="L113" s="2">
        <v>0.1</v>
      </c>
      <c r="M113" s="1">
        <v>69903</v>
      </c>
      <c r="N113">
        <f t="shared" si="33"/>
        <v>15</v>
      </c>
      <c r="O113" s="5">
        <f t="shared" si="34"/>
        <v>10</v>
      </c>
      <c r="P113">
        <f>YEAR(Table1[[#This Row],[OrderDate]])</f>
        <v>2023</v>
      </c>
      <c r="Q113" s="8">
        <f t="shared" si="35"/>
        <v>45214</v>
      </c>
      <c r="R113">
        <f t="shared" ca="1" si="36"/>
        <v>2</v>
      </c>
      <c r="S113">
        <f t="shared" si="37"/>
        <v>-144</v>
      </c>
      <c r="T113">
        <f t="shared" si="38"/>
        <v>121</v>
      </c>
      <c r="U113" t="str">
        <f t="shared" si="39"/>
        <v>20-04-1900</v>
      </c>
      <c r="V113" t="str">
        <f t="shared" si="40"/>
        <v>High</v>
      </c>
      <c r="W113" t="str">
        <f t="shared" si="41"/>
        <v>Sale</v>
      </c>
      <c r="X113" t="str">
        <f t="shared" si="42"/>
        <v>OK</v>
      </c>
      <c r="Y113" t="str">
        <f t="shared" si="43"/>
        <v>A</v>
      </c>
      <c r="Z113" t="str" cm="1">
        <f t="array" ref="Z113">_xlfn.IFS(
I113&gt;50000,"Premium",
I113&gt;=20000,"Regular",
TRUE,"Basic"
)</f>
        <v>Premium</v>
      </c>
    </row>
    <row r="114" spans="1:26" x14ac:dyDescent="0.3">
      <c r="A114" s="5">
        <v>113</v>
      </c>
      <c r="B114" s="5">
        <v>1069</v>
      </c>
      <c r="C114" t="s">
        <v>22</v>
      </c>
      <c r="D114" t="s">
        <v>14</v>
      </c>
      <c r="E114" t="s">
        <v>20</v>
      </c>
      <c r="F114" t="s">
        <v>16</v>
      </c>
      <c r="G114" s="5">
        <v>17</v>
      </c>
      <c r="H114" s="1">
        <v>957</v>
      </c>
      <c r="I114" s="4">
        <v>16269</v>
      </c>
      <c r="J114" s="9" t="s">
        <v>133</v>
      </c>
      <c r="K114" s="3">
        <v>957</v>
      </c>
      <c r="L114" s="2">
        <v>0.1</v>
      </c>
      <c r="M114" s="1">
        <v>14642.1</v>
      </c>
      <c r="N114">
        <f t="shared" si="33"/>
        <v>9</v>
      </c>
      <c r="O114" s="5">
        <f t="shared" si="34"/>
        <v>5</v>
      </c>
      <c r="P114">
        <f>YEAR(Table1[[#This Row],[OrderDate]])</f>
        <v>2023</v>
      </c>
      <c r="Q114" s="8">
        <f t="shared" si="35"/>
        <v>45055</v>
      </c>
      <c r="R114">
        <f t="shared" ca="1" si="36"/>
        <v>2</v>
      </c>
      <c r="S114">
        <f t="shared" si="37"/>
        <v>-9</v>
      </c>
      <c r="T114">
        <f t="shared" si="38"/>
        <v>121</v>
      </c>
      <c r="U114" t="str">
        <f t="shared" si="39"/>
        <v>21-04-1900</v>
      </c>
      <c r="V114" t="str">
        <f t="shared" si="40"/>
        <v>Low</v>
      </c>
      <c r="W114" t="str">
        <f t="shared" si="41"/>
        <v>Sale</v>
      </c>
      <c r="X114" t="str">
        <f t="shared" si="42"/>
        <v>OK</v>
      </c>
      <c r="Y114" t="str">
        <f t="shared" si="43"/>
        <v>A</v>
      </c>
      <c r="Z114" t="str" cm="1">
        <f t="array" ref="Z114">_xlfn.IFS(
I114&gt;50000,"Premium",
I114&gt;=20000,"Regular",
TRUE,"Basic"
)</f>
        <v>Basic</v>
      </c>
    </row>
    <row r="115" spans="1:26" x14ac:dyDescent="0.3">
      <c r="A115" s="5">
        <v>114</v>
      </c>
      <c r="B115" s="5">
        <v>1022</v>
      </c>
      <c r="C115" t="s">
        <v>18</v>
      </c>
      <c r="D115" t="s">
        <v>34</v>
      </c>
      <c r="E115" t="s">
        <v>20</v>
      </c>
      <c r="F115" t="s">
        <v>27</v>
      </c>
      <c r="G115" s="5">
        <v>6</v>
      </c>
      <c r="H115" s="1">
        <v>4350</v>
      </c>
      <c r="I115" s="4">
        <v>26100</v>
      </c>
      <c r="J115" s="9" t="s">
        <v>134</v>
      </c>
      <c r="K115" s="3">
        <v>4350</v>
      </c>
      <c r="L115" s="2">
        <v>0.1</v>
      </c>
      <c r="M115" s="1">
        <v>23490</v>
      </c>
      <c r="N115">
        <f t="shared" si="33"/>
        <v>10</v>
      </c>
      <c r="O115" s="5">
        <f t="shared" si="34"/>
        <v>4</v>
      </c>
      <c r="P115">
        <f>YEAR(Table1[[#This Row],[OrderDate]])</f>
        <v>2023</v>
      </c>
      <c r="Q115" s="8">
        <f t="shared" si="35"/>
        <v>45026</v>
      </c>
      <c r="R115">
        <f t="shared" ca="1" si="36"/>
        <v>3</v>
      </c>
      <c r="S115">
        <f t="shared" si="37"/>
        <v>50</v>
      </c>
      <c r="T115">
        <f t="shared" si="38"/>
        <v>121</v>
      </c>
      <c r="U115" t="str">
        <f t="shared" si="39"/>
        <v>22-04-1900</v>
      </c>
      <c r="V115" t="str">
        <f t="shared" si="40"/>
        <v>Medium</v>
      </c>
      <c r="W115" t="str">
        <f t="shared" si="41"/>
        <v>Sale</v>
      </c>
      <c r="X115" t="str">
        <f t="shared" si="42"/>
        <v>OK</v>
      </c>
      <c r="Y115" t="str">
        <f t="shared" si="43"/>
        <v>A</v>
      </c>
      <c r="Z115" t="str" cm="1">
        <f t="array" ref="Z115">_xlfn.IFS(
I115&gt;50000,"Premium",
I115&gt;=20000,"Regular",
TRUE,"Basic"
)</f>
        <v>Regular</v>
      </c>
    </row>
    <row r="116" spans="1:26" x14ac:dyDescent="0.3">
      <c r="A116" s="5">
        <v>115</v>
      </c>
      <c r="C116" t="s">
        <v>13</v>
      </c>
      <c r="D116" t="s">
        <v>23</v>
      </c>
      <c r="E116" t="s">
        <v>41</v>
      </c>
      <c r="F116" t="s">
        <v>27</v>
      </c>
      <c r="G116" s="5">
        <v>11</v>
      </c>
      <c r="H116" s="1">
        <v>2252</v>
      </c>
      <c r="I116" s="4">
        <v>24772</v>
      </c>
      <c r="J116" s="9" t="s">
        <v>135</v>
      </c>
      <c r="K116" s="3">
        <v>2252</v>
      </c>
      <c r="L116" s="2">
        <v>0.1</v>
      </c>
      <c r="M116" s="1">
        <v>22294.799999999999</v>
      </c>
      <c r="N116">
        <f t="shared" si="33"/>
        <v>28</v>
      </c>
      <c r="O116" s="5">
        <f t="shared" si="34"/>
        <v>7</v>
      </c>
      <c r="P116">
        <f>YEAR(Table1[[#This Row],[OrderDate]])</f>
        <v>2023</v>
      </c>
      <c r="Q116" s="8">
        <f t="shared" si="35"/>
        <v>45135</v>
      </c>
      <c r="R116">
        <f t="shared" ca="1" si="36"/>
        <v>2</v>
      </c>
      <c r="S116">
        <f t="shared" si="37"/>
        <v>-100</v>
      </c>
      <c r="T116">
        <f t="shared" si="38"/>
        <v>121</v>
      </c>
      <c r="U116" t="str">
        <f t="shared" si="39"/>
        <v>23-04-1900</v>
      </c>
      <c r="V116" t="str">
        <f t="shared" si="40"/>
        <v>Medium</v>
      </c>
      <c r="W116" t="str">
        <f t="shared" si="41"/>
        <v>Sale</v>
      </c>
      <c r="X116" t="str">
        <f t="shared" si="42"/>
        <v>OK</v>
      </c>
      <c r="Y116" t="str">
        <f t="shared" si="43"/>
        <v>A</v>
      </c>
      <c r="Z116" t="str" cm="1">
        <f t="array" ref="Z116">_xlfn.IFS(
I116&gt;50000,"Premium",
I116&gt;=20000,"Regular",
TRUE,"Basic"
)</f>
        <v>Regular</v>
      </c>
    </row>
    <row r="117" spans="1:26" x14ac:dyDescent="0.3">
      <c r="A117" s="5">
        <v>116</v>
      </c>
      <c r="B117" s="5">
        <v>1062</v>
      </c>
      <c r="C117" t="s">
        <v>40</v>
      </c>
      <c r="D117" t="s">
        <v>19</v>
      </c>
      <c r="E117" t="s">
        <v>31</v>
      </c>
      <c r="F117" t="s">
        <v>16</v>
      </c>
      <c r="G117" s="5">
        <v>14</v>
      </c>
      <c r="H117" s="1">
        <v>3546</v>
      </c>
      <c r="I117" s="4">
        <v>49644</v>
      </c>
      <c r="J117" s="9" t="s">
        <v>136</v>
      </c>
      <c r="K117" s="3">
        <v>3546</v>
      </c>
      <c r="L117" s="2">
        <v>0.1</v>
      </c>
      <c r="M117" s="1">
        <v>44679.6</v>
      </c>
      <c r="N117">
        <f t="shared" si="33"/>
        <v>13</v>
      </c>
      <c r="O117" s="5">
        <f t="shared" si="34"/>
        <v>5</v>
      </c>
      <c r="P117">
        <f>YEAR(Table1[[#This Row],[OrderDate]])</f>
        <v>2023</v>
      </c>
      <c r="Q117" s="8">
        <f t="shared" si="35"/>
        <v>45059</v>
      </c>
      <c r="R117">
        <f t="shared" ca="1" si="36"/>
        <v>2</v>
      </c>
      <c r="S117">
        <f t="shared" si="37"/>
        <v>121</v>
      </c>
      <c r="T117">
        <f t="shared" si="38"/>
        <v>121</v>
      </c>
      <c r="U117" t="str">
        <f t="shared" si="39"/>
        <v>24-04-1900</v>
      </c>
      <c r="V117" t="str">
        <f t="shared" si="40"/>
        <v>Medium</v>
      </c>
      <c r="W117" t="str">
        <f t="shared" si="41"/>
        <v>Sale</v>
      </c>
      <c r="X117" t="str">
        <f t="shared" si="42"/>
        <v>OK</v>
      </c>
      <c r="Y117" t="str">
        <f t="shared" si="43"/>
        <v>A</v>
      </c>
      <c r="Z117" t="str" cm="1">
        <f t="array" ref="Z117">_xlfn.IFS(
I117&gt;50000,"Premium",
I117&gt;=20000,"Regular",
TRUE,"Basic"
)</f>
        <v>Regular</v>
      </c>
    </row>
    <row r="118" spans="1:26" x14ac:dyDescent="0.3">
      <c r="A118" s="5">
        <v>117</v>
      </c>
      <c r="B118" s="5">
        <v>1041</v>
      </c>
      <c r="C118" t="s">
        <v>18</v>
      </c>
      <c r="D118" t="s">
        <v>23</v>
      </c>
      <c r="E118" t="s">
        <v>41</v>
      </c>
      <c r="F118" t="s">
        <v>16</v>
      </c>
      <c r="G118" s="5">
        <v>16</v>
      </c>
      <c r="H118" s="1">
        <v>374</v>
      </c>
      <c r="I118" s="4">
        <v>5984</v>
      </c>
      <c r="J118" s="9" t="s">
        <v>113</v>
      </c>
      <c r="K118" s="3">
        <v>374</v>
      </c>
      <c r="L118" s="2">
        <v>0.1</v>
      </c>
      <c r="M118" s="1">
        <v>5385.6</v>
      </c>
      <c r="N118">
        <f t="shared" si="33"/>
        <v>28</v>
      </c>
      <c r="O118" s="5">
        <f t="shared" si="34"/>
        <v>3</v>
      </c>
      <c r="P118">
        <f>YEAR(Table1[[#This Row],[OrderDate]])</f>
        <v>2023</v>
      </c>
      <c r="Q118" s="8">
        <f t="shared" si="35"/>
        <v>45013</v>
      </c>
      <c r="R118">
        <f t="shared" ca="1" si="36"/>
        <v>3</v>
      </c>
      <c r="S118">
        <f t="shared" si="37"/>
        <v>43</v>
      </c>
      <c r="T118">
        <f t="shared" si="38"/>
        <v>121</v>
      </c>
      <c r="U118" t="str">
        <f t="shared" si="39"/>
        <v>25-04-1900</v>
      </c>
      <c r="V118" t="str">
        <f t="shared" si="40"/>
        <v>Low</v>
      </c>
      <c r="W118" t="str">
        <f t="shared" si="41"/>
        <v>Sale</v>
      </c>
      <c r="X118" t="str">
        <f t="shared" si="42"/>
        <v>OK</v>
      </c>
      <c r="Y118" t="str">
        <f t="shared" si="43"/>
        <v>A</v>
      </c>
      <c r="Z118" t="str" cm="1">
        <f t="array" ref="Z118">_xlfn.IFS(
I118&gt;50000,"Premium",
I118&gt;=20000,"Regular",
TRUE,"Basic"
)</f>
        <v>Basic</v>
      </c>
    </row>
    <row r="119" spans="1:26" x14ac:dyDescent="0.3">
      <c r="A119" s="5">
        <v>118</v>
      </c>
      <c r="B119" s="5">
        <v>1082</v>
      </c>
      <c r="C119" t="s">
        <v>13</v>
      </c>
      <c r="D119" t="s">
        <v>23</v>
      </c>
      <c r="E119" t="s">
        <v>26</v>
      </c>
      <c r="F119" t="s">
        <v>27</v>
      </c>
      <c r="G119" s="5">
        <v>1</v>
      </c>
      <c r="H119" s="1">
        <v>4951</v>
      </c>
      <c r="I119" s="4">
        <v>4951</v>
      </c>
      <c r="J119" s="9" t="s">
        <v>137</v>
      </c>
      <c r="K119" s="3">
        <v>4951</v>
      </c>
      <c r="L119" s="2">
        <v>0.05</v>
      </c>
      <c r="M119" s="1">
        <v>4703.45</v>
      </c>
      <c r="N119">
        <f t="shared" si="33"/>
        <v>27</v>
      </c>
      <c r="O119" s="5">
        <f t="shared" si="34"/>
        <v>4</v>
      </c>
      <c r="P119">
        <f>YEAR(Table1[[#This Row],[OrderDate]])</f>
        <v>2023</v>
      </c>
      <c r="Q119" s="8">
        <f t="shared" si="35"/>
        <v>45043</v>
      </c>
      <c r="R119">
        <f t="shared" ca="1" si="36"/>
        <v>3</v>
      </c>
      <c r="S119">
        <f t="shared" si="37"/>
        <v>89</v>
      </c>
      <c r="T119">
        <f t="shared" si="38"/>
        <v>121</v>
      </c>
      <c r="U119" t="str">
        <f t="shared" si="39"/>
        <v>26-04-1900</v>
      </c>
      <c r="V119" t="str">
        <f t="shared" si="40"/>
        <v>Low</v>
      </c>
      <c r="W119" t="str">
        <f t="shared" si="41"/>
        <v>Sale</v>
      </c>
      <c r="X119" t="str">
        <f t="shared" si="42"/>
        <v>OK</v>
      </c>
      <c r="Y119" t="str">
        <f t="shared" si="43"/>
        <v>A</v>
      </c>
      <c r="Z119" t="str" cm="1">
        <f t="array" ref="Z119">_xlfn.IFS(
I119&gt;50000,"Premium",
I119&gt;=20000,"Regular",
TRUE,"Basic"
)</f>
        <v>Basic</v>
      </c>
    </row>
    <row r="120" spans="1:26" x14ac:dyDescent="0.3">
      <c r="A120" s="5">
        <v>119</v>
      </c>
      <c r="B120" s="5">
        <v>1084</v>
      </c>
      <c r="C120" t="s">
        <v>18</v>
      </c>
      <c r="D120" t="s">
        <v>23</v>
      </c>
      <c r="E120" t="s">
        <v>20</v>
      </c>
      <c r="F120" t="s">
        <v>16</v>
      </c>
      <c r="G120" s="5">
        <v>6</v>
      </c>
      <c r="H120" s="1">
        <v>2192</v>
      </c>
      <c r="I120" s="4">
        <v>13152</v>
      </c>
      <c r="J120" s="9" t="s">
        <v>138</v>
      </c>
      <c r="K120" s="3">
        <v>2192</v>
      </c>
      <c r="L120" s="2">
        <v>0.1</v>
      </c>
      <c r="M120" s="1">
        <v>11836.8</v>
      </c>
      <c r="N120">
        <f t="shared" si="33"/>
        <v>16</v>
      </c>
      <c r="O120" s="5">
        <f t="shared" si="34"/>
        <v>6</v>
      </c>
      <c r="P120">
        <f>YEAR(Table1[[#This Row],[OrderDate]])</f>
        <v>2023</v>
      </c>
      <c r="Q120" s="8">
        <f t="shared" si="35"/>
        <v>45093</v>
      </c>
      <c r="R120">
        <f t="shared" ca="1" si="36"/>
        <v>2</v>
      </c>
      <c r="S120">
        <f t="shared" si="37"/>
        <v>-15</v>
      </c>
      <c r="T120">
        <f t="shared" si="38"/>
        <v>121</v>
      </c>
      <c r="U120" t="str">
        <f t="shared" si="39"/>
        <v>27-04-1900</v>
      </c>
      <c r="V120" t="str">
        <f t="shared" si="40"/>
        <v>Low</v>
      </c>
      <c r="W120" t="str">
        <f t="shared" si="41"/>
        <v>Sale</v>
      </c>
      <c r="X120" t="str">
        <f t="shared" si="42"/>
        <v>OK</v>
      </c>
      <c r="Y120" t="str">
        <f t="shared" si="43"/>
        <v>A</v>
      </c>
      <c r="Z120" t="str" cm="1">
        <f t="array" ref="Z120">_xlfn.IFS(
I120&gt;50000,"Premium",
I120&gt;=20000,"Regular",
TRUE,"Basic"
)</f>
        <v>Basic</v>
      </c>
    </row>
    <row r="121" spans="1:26" x14ac:dyDescent="0.3">
      <c r="A121" s="5">
        <v>120</v>
      </c>
      <c r="B121" s="5">
        <v>1095</v>
      </c>
      <c r="C121" t="s">
        <v>18</v>
      </c>
      <c r="D121" t="s">
        <v>19</v>
      </c>
      <c r="E121" t="s">
        <v>26</v>
      </c>
      <c r="F121" t="s">
        <v>27</v>
      </c>
      <c r="G121" s="5">
        <v>1</v>
      </c>
      <c r="H121" s="1">
        <v>2646</v>
      </c>
      <c r="I121" s="4">
        <v>2646</v>
      </c>
      <c r="J121" s="9" t="s">
        <v>139</v>
      </c>
      <c r="K121" s="3">
        <v>2646</v>
      </c>
      <c r="L121" s="2">
        <v>0.05</v>
      </c>
      <c r="M121" s="1">
        <v>2513.6999999999998</v>
      </c>
      <c r="N121">
        <f t="shared" si="33"/>
        <v>11</v>
      </c>
      <c r="O121" s="5">
        <f t="shared" si="34"/>
        <v>3</v>
      </c>
      <c r="P121">
        <f>YEAR(Table1[[#This Row],[OrderDate]])</f>
        <v>2023</v>
      </c>
      <c r="Q121" s="8">
        <f t="shared" si="35"/>
        <v>44996</v>
      </c>
      <c r="R121">
        <f t="shared" ca="1" si="36"/>
        <v>3</v>
      </c>
      <c r="S121">
        <f t="shared" si="37"/>
        <v>76</v>
      </c>
      <c r="T121">
        <f t="shared" si="38"/>
        <v>121</v>
      </c>
      <c r="U121" t="str">
        <f t="shared" si="39"/>
        <v>28-04-1900</v>
      </c>
      <c r="V121" t="str">
        <f t="shared" si="40"/>
        <v>Low</v>
      </c>
      <c r="W121" t="str">
        <f t="shared" si="41"/>
        <v>Sale</v>
      </c>
      <c r="X121" t="str">
        <f t="shared" si="42"/>
        <v>OK</v>
      </c>
      <c r="Y121" t="str">
        <f t="shared" si="43"/>
        <v>A</v>
      </c>
      <c r="Z121" t="str" cm="1">
        <f t="array" ref="Z121">_xlfn.IFS(
I121&gt;50000,"Premium",
I121&gt;=20000,"Regular",
TRUE,"Basic"
)</f>
        <v>Basic</v>
      </c>
    </row>
    <row r="122" spans="1:26" x14ac:dyDescent="0.3">
      <c r="A122" s="5">
        <v>121</v>
      </c>
      <c r="B122" s="5">
        <v>1010</v>
      </c>
      <c r="C122" t="s">
        <v>40</v>
      </c>
      <c r="D122" t="s">
        <v>19</v>
      </c>
      <c r="E122" t="s">
        <v>15</v>
      </c>
      <c r="F122" t="s">
        <v>16</v>
      </c>
      <c r="G122" s="5">
        <v>20</v>
      </c>
      <c r="H122" s="1">
        <v>1541</v>
      </c>
      <c r="I122" s="4">
        <v>30820</v>
      </c>
      <c r="J122" s="9" t="s">
        <v>140</v>
      </c>
      <c r="K122" s="3">
        <v>1541</v>
      </c>
      <c r="L122" s="2">
        <v>0.1</v>
      </c>
      <c r="M122" s="1">
        <v>27738</v>
      </c>
      <c r="N122">
        <f t="shared" si="33"/>
        <v>30</v>
      </c>
      <c r="O122" s="5">
        <f t="shared" si="34"/>
        <v>10</v>
      </c>
      <c r="P122">
        <f>YEAR(Table1[[#This Row],[OrderDate]])</f>
        <v>2023</v>
      </c>
      <c r="Q122" s="8">
        <f t="shared" si="35"/>
        <v>45229</v>
      </c>
      <c r="R122">
        <f t="shared" ca="1" si="36"/>
        <v>2</v>
      </c>
      <c r="S122">
        <f t="shared" si="37"/>
        <v>21</v>
      </c>
      <c r="T122">
        <f t="shared" si="38"/>
        <v>121</v>
      </c>
      <c r="U122" t="str">
        <f t="shared" si="39"/>
        <v>29-04-1900</v>
      </c>
      <c r="V122" t="str">
        <f t="shared" si="40"/>
        <v>Medium</v>
      </c>
      <c r="W122" t="str">
        <f t="shared" si="41"/>
        <v>Sale</v>
      </c>
      <c r="X122" t="str">
        <f t="shared" si="42"/>
        <v>OK</v>
      </c>
      <c r="Y122" t="str">
        <f t="shared" si="43"/>
        <v>A</v>
      </c>
      <c r="Z122" t="str" cm="1">
        <f t="array" ref="Z122">_xlfn.IFS(
I122&gt;50000,"Premium",
I122&gt;=20000,"Regular",
TRUE,"Basic"
)</f>
        <v>Regular</v>
      </c>
    </row>
    <row r="123" spans="1:26" x14ac:dyDescent="0.3">
      <c r="A123" s="5">
        <v>122</v>
      </c>
      <c r="B123" s="5">
        <v>1040</v>
      </c>
      <c r="C123" t="s">
        <v>29</v>
      </c>
      <c r="D123" t="s">
        <v>25</v>
      </c>
      <c r="E123" t="s">
        <v>26</v>
      </c>
      <c r="F123" t="s">
        <v>27</v>
      </c>
      <c r="G123" s="5">
        <v>4</v>
      </c>
      <c r="H123" s="1">
        <v>1182</v>
      </c>
      <c r="I123" s="4">
        <v>4728</v>
      </c>
      <c r="J123" s="9" t="s">
        <v>141</v>
      </c>
      <c r="K123" s="3">
        <v>1182</v>
      </c>
      <c r="L123" s="2">
        <v>0.05</v>
      </c>
      <c r="M123" s="1">
        <v>4491.6000000000004</v>
      </c>
      <c r="N123">
        <f t="shared" si="33"/>
        <v>25</v>
      </c>
      <c r="O123" s="5">
        <f t="shared" si="34"/>
        <v>5</v>
      </c>
      <c r="P123">
        <f>YEAR(Table1[[#This Row],[OrderDate]])</f>
        <v>2023</v>
      </c>
      <c r="Q123" s="8">
        <f t="shared" si="35"/>
        <v>45071</v>
      </c>
      <c r="R123">
        <f t="shared" ca="1" si="36"/>
        <v>2</v>
      </c>
      <c r="S123">
        <f t="shared" si="37"/>
        <v>57</v>
      </c>
      <c r="T123">
        <f t="shared" si="38"/>
        <v>121</v>
      </c>
      <c r="U123" t="str">
        <f t="shared" si="39"/>
        <v>30-04-1900</v>
      </c>
      <c r="V123" t="str">
        <f t="shared" si="40"/>
        <v>Low</v>
      </c>
      <c r="W123" t="str">
        <f t="shared" si="41"/>
        <v>Sale</v>
      </c>
      <c r="X123" t="str">
        <f t="shared" si="42"/>
        <v>OK</v>
      </c>
      <c r="Y123" t="str">
        <f t="shared" si="43"/>
        <v>A</v>
      </c>
      <c r="Z123" t="str" cm="1">
        <f t="array" ref="Z123">_xlfn.IFS(
I123&gt;50000,"Premium",
I123&gt;=20000,"Regular",
TRUE,"Basic"
)</f>
        <v>Basic</v>
      </c>
    </row>
    <row r="124" spans="1:26" x14ac:dyDescent="0.3">
      <c r="A124" s="5">
        <v>123</v>
      </c>
      <c r="B124" s="5">
        <v>1009</v>
      </c>
      <c r="C124" t="s">
        <v>18</v>
      </c>
      <c r="D124" t="s">
        <v>25</v>
      </c>
      <c r="E124" t="s">
        <v>31</v>
      </c>
      <c r="F124" t="s">
        <v>16</v>
      </c>
      <c r="G124" s="5">
        <v>3</v>
      </c>
      <c r="H124" s="1">
        <v>4135</v>
      </c>
      <c r="I124" s="4">
        <v>12405</v>
      </c>
      <c r="J124" s="9" t="s">
        <v>142</v>
      </c>
      <c r="K124" s="3">
        <v>4135</v>
      </c>
      <c r="L124" s="2">
        <v>0.1</v>
      </c>
      <c r="M124" s="1">
        <v>11164.5</v>
      </c>
      <c r="N124">
        <f t="shared" si="33"/>
        <v>29</v>
      </c>
      <c r="O124" s="5">
        <f t="shared" si="34"/>
        <v>8</v>
      </c>
      <c r="P124">
        <f>YEAR(Table1[[#This Row],[OrderDate]])</f>
        <v>2023</v>
      </c>
      <c r="Q124" s="8">
        <f t="shared" si="35"/>
        <v>45167</v>
      </c>
      <c r="R124">
        <f t="shared" ca="1" si="36"/>
        <v>2</v>
      </c>
      <c r="S124">
        <f t="shared" si="37"/>
        <v>-128</v>
      </c>
      <c r="T124">
        <f t="shared" si="38"/>
        <v>152</v>
      </c>
      <c r="U124" t="str">
        <f t="shared" si="39"/>
        <v>01-05-1900</v>
      </c>
      <c r="V124" t="str">
        <f t="shared" si="40"/>
        <v>Low</v>
      </c>
      <c r="W124" t="str">
        <f t="shared" si="41"/>
        <v>Sale</v>
      </c>
      <c r="X124" t="str">
        <f t="shared" si="42"/>
        <v>OK</v>
      </c>
      <c r="Y124" t="str">
        <f t="shared" si="43"/>
        <v>A</v>
      </c>
      <c r="Z124" t="str" cm="1">
        <f t="array" ref="Z124">_xlfn.IFS(
I124&gt;50000,"Premium",
I124&gt;=20000,"Regular",
TRUE,"Basic"
)</f>
        <v>Basic</v>
      </c>
    </row>
    <row r="125" spans="1:26" x14ac:dyDescent="0.3">
      <c r="A125" s="5">
        <v>124</v>
      </c>
      <c r="B125" s="5">
        <v>1065</v>
      </c>
      <c r="C125" t="s">
        <v>40</v>
      </c>
      <c r="D125" t="s">
        <v>25</v>
      </c>
      <c r="E125" t="s">
        <v>41</v>
      </c>
      <c r="F125" t="s">
        <v>27</v>
      </c>
      <c r="G125" s="5">
        <v>18</v>
      </c>
      <c r="H125" s="1">
        <v>3157</v>
      </c>
      <c r="I125" s="4">
        <v>56826</v>
      </c>
      <c r="J125" s="9" t="s">
        <v>143</v>
      </c>
      <c r="K125" s="3">
        <v>3157</v>
      </c>
      <c r="L125" s="2">
        <v>0.1</v>
      </c>
      <c r="M125" s="1">
        <v>51143.4</v>
      </c>
      <c r="N125">
        <f t="shared" si="33"/>
        <v>29</v>
      </c>
      <c r="O125" s="5">
        <f t="shared" si="34"/>
        <v>5</v>
      </c>
      <c r="P125">
        <f>YEAR(Table1[[#This Row],[OrderDate]])</f>
        <v>2023</v>
      </c>
      <c r="Q125" s="8">
        <f t="shared" si="35"/>
        <v>45075</v>
      </c>
      <c r="R125">
        <f t="shared" ca="1" si="36"/>
        <v>2</v>
      </c>
      <c r="S125">
        <f t="shared" si="37"/>
        <v>149</v>
      </c>
      <c r="T125">
        <f t="shared" si="38"/>
        <v>152</v>
      </c>
      <c r="U125" t="str">
        <f t="shared" si="39"/>
        <v>02-05-1900</v>
      </c>
      <c r="V125" t="str">
        <f t="shared" si="40"/>
        <v>High</v>
      </c>
      <c r="W125" t="str">
        <f t="shared" si="41"/>
        <v>Sale</v>
      </c>
      <c r="X125" t="str">
        <f t="shared" si="42"/>
        <v>OK</v>
      </c>
      <c r="Y125" t="str">
        <f t="shared" si="43"/>
        <v>A</v>
      </c>
      <c r="Z125" t="str" cm="1">
        <f t="array" ref="Z125">_xlfn.IFS(
I125&gt;50000,"Premium",
I125&gt;=20000,"Regular",
TRUE,"Basic"
)</f>
        <v>Premium</v>
      </c>
    </row>
    <row r="126" spans="1:26" x14ac:dyDescent="0.3">
      <c r="A126" s="5">
        <v>125</v>
      </c>
      <c r="B126" s="5">
        <v>1011</v>
      </c>
      <c r="C126" t="s">
        <v>22</v>
      </c>
      <c r="D126" t="s">
        <v>14</v>
      </c>
      <c r="E126" t="s">
        <v>31</v>
      </c>
      <c r="F126" t="s">
        <v>27</v>
      </c>
      <c r="G126" s="5">
        <v>10</v>
      </c>
      <c r="H126" s="1">
        <v>2010</v>
      </c>
      <c r="I126" s="4">
        <v>20100</v>
      </c>
      <c r="J126" s="9" t="s">
        <v>144</v>
      </c>
      <c r="K126" s="3">
        <v>2010</v>
      </c>
      <c r="L126" s="2">
        <v>0.1</v>
      </c>
      <c r="M126" s="1">
        <v>18090</v>
      </c>
      <c r="N126">
        <f t="shared" si="33"/>
        <v>26</v>
      </c>
      <c r="O126" s="5">
        <f t="shared" si="34"/>
        <v>6</v>
      </c>
      <c r="P126">
        <f>YEAR(Table1[[#This Row],[OrderDate]])</f>
        <v>2023</v>
      </c>
      <c r="Q126" s="8">
        <f t="shared" si="35"/>
        <v>45103</v>
      </c>
      <c r="R126">
        <f t="shared" ca="1" si="36"/>
        <v>2</v>
      </c>
      <c r="S126">
        <f t="shared" si="37"/>
        <v>-40</v>
      </c>
      <c r="T126">
        <f t="shared" si="38"/>
        <v>152</v>
      </c>
      <c r="U126" t="str">
        <f t="shared" si="39"/>
        <v>03-05-1900</v>
      </c>
      <c r="V126" t="str">
        <f t="shared" si="40"/>
        <v>Medium</v>
      </c>
      <c r="W126" t="str">
        <f t="shared" si="41"/>
        <v>Sale</v>
      </c>
      <c r="X126" t="str">
        <f t="shared" si="42"/>
        <v>OK</v>
      </c>
      <c r="Y126" t="str">
        <f t="shared" si="43"/>
        <v>A</v>
      </c>
      <c r="Z126" t="str" cm="1">
        <f t="array" ref="Z126">_xlfn.IFS(
I126&gt;50000,"Premium",
I126&gt;=20000,"Regular",
TRUE,"Basic"
)</f>
        <v>Regular</v>
      </c>
    </row>
    <row r="127" spans="1:26" x14ac:dyDescent="0.3">
      <c r="A127" s="5">
        <v>126</v>
      </c>
      <c r="B127" s="5">
        <v>1081</v>
      </c>
      <c r="C127" t="s">
        <v>22</v>
      </c>
      <c r="D127" t="s">
        <v>19</v>
      </c>
      <c r="E127" t="s">
        <v>20</v>
      </c>
      <c r="F127" t="s">
        <v>27</v>
      </c>
      <c r="G127" s="5">
        <v>12</v>
      </c>
      <c r="H127" s="1">
        <v>3084</v>
      </c>
      <c r="I127" s="4">
        <v>37008</v>
      </c>
      <c r="J127" s="9" t="s">
        <v>145</v>
      </c>
      <c r="K127" s="3">
        <v>3084</v>
      </c>
      <c r="L127" s="2">
        <v>0.1</v>
      </c>
      <c r="M127" s="1">
        <v>33307.199999999997</v>
      </c>
      <c r="N127">
        <f t="shared" si="33"/>
        <v>27</v>
      </c>
      <c r="O127" s="5">
        <f t="shared" si="34"/>
        <v>11</v>
      </c>
      <c r="P127">
        <f>YEAR(Table1[[#This Row],[OrderDate]])</f>
        <v>2023</v>
      </c>
      <c r="Q127" s="8">
        <f t="shared" si="35"/>
        <v>45257</v>
      </c>
      <c r="R127">
        <f t="shared" ca="1" si="36"/>
        <v>2</v>
      </c>
      <c r="S127">
        <f t="shared" si="37"/>
        <v>-231</v>
      </c>
      <c r="T127">
        <f t="shared" si="38"/>
        <v>152</v>
      </c>
      <c r="U127" t="str">
        <f t="shared" si="39"/>
        <v>04-05-1900</v>
      </c>
      <c r="V127" t="str">
        <f t="shared" si="40"/>
        <v>Medium</v>
      </c>
      <c r="W127" t="str">
        <f t="shared" si="41"/>
        <v>Sale</v>
      </c>
      <c r="X127" t="str">
        <f t="shared" si="42"/>
        <v>OK</v>
      </c>
      <c r="Y127" t="str">
        <f t="shared" si="43"/>
        <v>A</v>
      </c>
      <c r="Z127" t="str" cm="1">
        <f t="array" ref="Z127">_xlfn.IFS(
I127&gt;50000,"Premium",
I127&gt;=20000,"Regular",
TRUE,"Basic"
)</f>
        <v>Regular</v>
      </c>
    </row>
    <row r="128" spans="1:26" x14ac:dyDescent="0.3">
      <c r="A128" s="5">
        <v>127</v>
      </c>
      <c r="B128" s="5">
        <v>1010</v>
      </c>
      <c r="C128" t="s">
        <v>13</v>
      </c>
      <c r="D128" t="s">
        <v>23</v>
      </c>
      <c r="E128" t="s">
        <v>41</v>
      </c>
      <c r="F128" t="s">
        <v>27</v>
      </c>
      <c r="G128" s="5">
        <v>4</v>
      </c>
      <c r="H128" s="1">
        <v>888</v>
      </c>
      <c r="I128" s="4">
        <v>3552</v>
      </c>
      <c r="J128" s="9" t="s">
        <v>36</v>
      </c>
      <c r="K128" s="3">
        <v>888</v>
      </c>
      <c r="L128" s="2">
        <v>0.05</v>
      </c>
      <c r="M128" s="1">
        <v>3374.4</v>
      </c>
      <c r="N128">
        <f t="shared" si="33"/>
        <v>13</v>
      </c>
      <c r="O128" s="5">
        <f t="shared" si="34"/>
        <v>8</v>
      </c>
      <c r="P128">
        <f>YEAR(Table1[[#This Row],[OrderDate]])</f>
        <v>2023</v>
      </c>
      <c r="Q128" s="8">
        <f t="shared" si="35"/>
        <v>45151</v>
      </c>
      <c r="R128">
        <f t="shared" ca="1" si="36"/>
        <v>2</v>
      </c>
      <c r="S128">
        <f t="shared" si="37"/>
        <v>-126</v>
      </c>
      <c r="T128">
        <f t="shared" si="38"/>
        <v>152</v>
      </c>
      <c r="U128" t="str">
        <f t="shared" si="39"/>
        <v>05-05-1900</v>
      </c>
      <c r="V128" t="str">
        <f t="shared" si="40"/>
        <v>Low</v>
      </c>
      <c r="W128" t="str">
        <f t="shared" si="41"/>
        <v>Sale</v>
      </c>
      <c r="X128" t="str">
        <f t="shared" si="42"/>
        <v>OK</v>
      </c>
      <c r="Y128" t="str">
        <f t="shared" si="43"/>
        <v>A</v>
      </c>
      <c r="Z128" t="str" cm="1">
        <f t="array" ref="Z128">_xlfn.IFS(
I128&gt;50000,"Premium",
I128&gt;=20000,"Regular",
TRUE,"Basic"
)</f>
        <v>Basic</v>
      </c>
    </row>
    <row r="129" spans="1:26" x14ac:dyDescent="0.3">
      <c r="A129" s="5">
        <v>128</v>
      </c>
      <c r="B129" s="5">
        <v>1049</v>
      </c>
      <c r="C129" t="s">
        <v>18</v>
      </c>
      <c r="D129" t="s">
        <v>19</v>
      </c>
      <c r="E129" t="s">
        <v>15</v>
      </c>
      <c r="F129" t="s">
        <v>27</v>
      </c>
      <c r="G129" s="5">
        <v>13</v>
      </c>
      <c r="H129" s="1">
        <v>3484</v>
      </c>
      <c r="I129" s="4">
        <v>45292</v>
      </c>
      <c r="J129" s="9" t="s">
        <v>62</v>
      </c>
      <c r="K129" s="3">
        <v>3484</v>
      </c>
      <c r="L129" s="2">
        <v>0.1</v>
      </c>
      <c r="M129" s="1">
        <v>40762.800000000003</v>
      </c>
      <c r="N129">
        <f t="shared" si="33"/>
        <v>3</v>
      </c>
      <c r="O129" s="5">
        <f t="shared" si="34"/>
        <v>3</v>
      </c>
      <c r="P129">
        <f>YEAR(Table1[[#This Row],[OrderDate]])</f>
        <v>2023</v>
      </c>
      <c r="Q129" s="8">
        <f t="shared" si="35"/>
        <v>44988</v>
      </c>
      <c r="R129">
        <f t="shared" ca="1" si="36"/>
        <v>3</v>
      </c>
      <c r="S129">
        <f t="shared" si="37"/>
        <v>35</v>
      </c>
      <c r="T129">
        <f t="shared" si="38"/>
        <v>152</v>
      </c>
      <c r="U129" t="str">
        <f t="shared" si="39"/>
        <v>06-05-1900</v>
      </c>
      <c r="V129" t="str">
        <f t="shared" si="40"/>
        <v>Medium</v>
      </c>
      <c r="W129" t="str">
        <f t="shared" si="41"/>
        <v>Sale</v>
      </c>
      <c r="X129" t="str">
        <f t="shared" si="42"/>
        <v>OK</v>
      </c>
      <c r="Y129" t="str">
        <f t="shared" si="43"/>
        <v>A</v>
      </c>
      <c r="Z129" t="str" cm="1">
        <f t="array" ref="Z129">_xlfn.IFS(
I129&gt;50000,"Premium",
I129&gt;=20000,"Regular",
TRUE,"Basic"
)</f>
        <v>Regular</v>
      </c>
    </row>
    <row r="130" spans="1:26" x14ac:dyDescent="0.3">
      <c r="A130" s="5">
        <v>129</v>
      </c>
      <c r="B130" s="5">
        <v>1093</v>
      </c>
      <c r="C130" t="s">
        <v>13</v>
      </c>
      <c r="D130" t="s">
        <v>23</v>
      </c>
      <c r="E130" t="s">
        <v>41</v>
      </c>
      <c r="F130" t="s">
        <v>16</v>
      </c>
      <c r="G130" s="5">
        <v>13</v>
      </c>
      <c r="H130" s="1">
        <v>1912</v>
      </c>
      <c r="I130" s="4">
        <v>24856</v>
      </c>
      <c r="J130" s="9" t="s">
        <v>42</v>
      </c>
      <c r="K130" s="3">
        <v>1912</v>
      </c>
      <c r="L130" s="2">
        <v>0.1</v>
      </c>
      <c r="M130" s="1">
        <v>22370.400000000001</v>
      </c>
      <c r="N130">
        <f t="shared" ref="N130:N161" si="44">DAY(J130)</f>
        <v>21</v>
      </c>
      <c r="O130" s="5">
        <f t="shared" ref="O130:O161" si="45">MONTH(J:J)</f>
        <v>12</v>
      </c>
      <c r="P130">
        <f>YEAR(Table1[[#This Row],[OrderDate]])</f>
        <v>2023</v>
      </c>
      <c r="Q130" s="8">
        <f t="shared" ref="Q130:Q161" si="46">DATEVALUE(J130)</f>
        <v>45281</v>
      </c>
      <c r="R130">
        <f t="shared" ref="R130:R161" ca="1" si="47">DATEDIF(J130, TODAY(), "Y")</f>
        <v>2</v>
      </c>
      <c r="S130">
        <f t="shared" ref="S130:S161" si="48">NETWORKDAYS(J130,J135)</f>
        <v>-60</v>
      </c>
      <c r="T130">
        <f t="shared" ref="T130:T161" si="49">EOMONTH(A129,0)</f>
        <v>152</v>
      </c>
      <c r="U130" t="str">
        <f t="shared" ref="U130:U161" si="50">TEXT(A129,"DD-MM-YYYY")</f>
        <v>07-05-1900</v>
      </c>
      <c r="V130" t="str">
        <f t="shared" ref="V130:V161" si="51">IF(I130&gt;50000,"High",IF(I130&gt;=20000,"Medium","Low"))</f>
        <v>Medium</v>
      </c>
      <c r="W130" t="str">
        <f t="shared" ref="W130:W161" si="52">IF(G130&lt;0,"Return","Sale")</f>
        <v>Sale</v>
      </c>
      <c r="X130" t="str">
        <f t="shared" ref="X130:X161" si="53">IF(ISBLANK(W130),"Missing","OK")</f>
        <v>OK</v>
      </c>
      <c r="Y130" t="str">
        <f t="shared" ref="Y130:Y161" si="54">IF(A129&gt;=9,"A",IF(A129&gt;=7,"B",IF(A129&gt;=0,"C","no order")))</f>
        <v>A</v>
      </c>
      <c r="Z130" t="str" cm="1">
        <f t="array" ref="Z130">_xlfn.IFS(
I130&gt;50000,"Premium",
I130&gt;=20000,"Regular",
TRUE,"Basic"
)</f>
        <v>Regular</v>
      </c>
    </row>
    <row r="131" spans="1:26" x14ac:dyDescent="0.3">
      <c r="A131" s="5">
        <v>130</v>
      </c>
      <c r="B131" s="5">
        <v>1083</v>
      </c>
      <c r="C131" t="s">
        <v>18</v>
      </c>
      <c r="D131" t="s">
        <v>19</v>
      </c>
      <c r="E131" t="s">
        <v>31</v>
      </c>
      <c r="F131" t="s">
        <v>16</v>
      </c>
      <c r="G131" s="5">
        <v>18</v>
      </c>
      <c r="H131" s="1">
        <v>2836</v>
      </c>
      <c r="I131" s="4">
        <v>51048</v>
      </c>
      <c r="J131" s="9" t="s">
        <v>32</v>
      </c>
      <c r="K131" s="3">
        <v>2836</v>
      </c>
      <c r="L131" s="2">
        <v>0.1</v>
      </c>
      <c r="M131" s="1">
        <v>45943.199999999997</v>
      </c>
      <c r="N131">
        <f t="shared" si="44"/>
        <v>2</v>
      </c>
      <c r="O131" s="5">
        <f t="shared" si="45"/>
        <v>5</v>
      </c>
      <c r="P131">
        <f>YEAR(Table1[[#This Row],[OrderDate]])</f>
        <v>2023</v>
      </c>
      <c r="Q131" s="8">
        <f t="shared" si="46"/>
        <v>45048</v>
      </c>
      <c r="R131">
        <f t="shared" ca="1" si="47"/>
        <v>3</v>
      </c>
      <c r="S131">
        <f t="shared" si="48"/>
        <v>70</v>
      </c>
      <c r="T131">
        <f t="shared" si="49"/>
        <v>152</v>
      </c>
      <c r="U131" t="str">
        <f t="shared" si="50"/>
        <v>08-05-1900</v>
      </c>
      <c r="V131" t="str">
        <f t="shared" si="51"/>
        <v>High</v>
      </c>
      <c r="W131" t="str">
        <f t="shared" si="52"/>
        <v>Sale</v>
      </c>
      <c r="X131" t="str">
        <f t="shared" si="53"/>
        <v>OK</v>
      </c>
      <c r="Y131" t="str">
        <f t="shared" si="54"/>
        <v>A</v>
      </c>
      <c r="Z131" t="str" cm="1">
        <f t="array" ref="Z131">_xlfn.IFS(
I131&gt;50000,"Premium",
I131&gt;=20000,"Regular",
TRUE,"Basic"
)</f>
        <v>Premium</v>
      </c>
    </row>
    <row r="132" spans="1:26" x14ac:dyDescent="0.3">
      <c r="A132" s="5">
        <v>131</v>
      </c>
      <c r="B132" s="5">
        <v>1015</v>
      </c>
      <c r="C132" t="s">
        <v>22</v>
      </c>
      <c r="D132" t="s">
        <v>14</v>
      </c>
      <c r="E132" t="s">
        <v>31</v>
      </c>
      <c r="F132" t="s">
        <v>27</v>
      </c>
      <c r="G132" s="5">
        <v>13</v>
      </c>
      <c r="H132" s="1">
        <v>4812</v>
      </c>
      <c r="I132" s="4">
        <v>62556</v>
      </c>
      <c r="J132" s="9" t="s">
        <v>146</v>
      </c>
      <c r="K132" s="3">
        <v>4812</v>
      </c>
      <c r="L132" s="2">
        <v>0.1</v>
      </c>
      <c r="M132" s="1">
        <v>56300.4</v>
      </c>
      <c r="N132">
        <f t="shared" si="44"/>
        <v>9</v>
      </c>
      <c r="O132" s="5">
        <f t="shared" si="45"/>
        <v>1</v>
      </c>
      <c r="P132">
        <f>YEAR(Table1[[#This Row],[OrderDate]])</f>
        <v>2023</v>
      </c>
      <c r="Q132" s="8">
        <f t="shared" si="46"/>
        <v>44935</v>
      </c>
      <c r="R132">
        <f t="shared" ca="1" si="47"/>
        <v>3</v>
      </c>
      <c r="S132">
        <f t="shared" si="48"/>
        <v>210</v>
      </c>
      <c r="T132">
        <f t="shared" si="49"/>
        <v>152</v>
      </c>
      <c r="U132" t="str">
        <f t="shared" si="50"/>
        <v>09-05-1900</v>
      </c>
      <c r="V132" t="str">
        <f t="shared" si="51"/>
        <v>High</v>
      </c>
      <c r="W132" t="str">
        <f t="shared" si="52"/>
        <v>Sale</v>
      </c>
      <c r="X132" t="str">
        <f t="shared" si="53"/>
        <v>OK</v>
      </c>
      <c r="Y132" t="str">
        <f t="shared" si="54"/>
        <v>A</v>
      </c>
      <c r="Z132" t="str" cm="1">
        <f t="array" ref="Z132">_xlfn.IFS(
I132&gt;50000,"Premium",
I132&gt;=20000,"Regular",
TRUE,"Basic"
)</f>
        <v>Premium</v>
      </c>
    </row>
    <row r="133" spans="1:26" x14ac:dyDescent="0.3">
      <c r="A133" s="5">
        <v>132</v>
      </c>
      <c r="B133" s="5">
        <v>1050</v>
      </c>
      <c r="C133" t="s">
        <v>18</v>
      </c>
      <c r="D133" t="s">
        <v>34</v>
      </c>
      <c r="E133" t="s">
        <v>15</v>
      </c>
      <c r="F133" t="s">
        <v>27</v>
      </c>
      <c r="G133" s="5">
        <v>5</v>
      </c>
      <c r="H133" s="1">
        <v>4929</v>
      </c>
      <c r="I133" s="4">
        <v>24645</v>
      </c>
      <c r="J133" s="9" t="s">
        <v>147</v>
      </c>
      <c r="K133" s="3">
        <v>4929</v>
      </c>
      <c r="L133" s="2">
        <v>0.1</v>
      </c>
      <c r="M133" s="1">
        <v>22180.5</v>
      </c>
      <c r="N133">
        <f t="shared" si="44"/>
        <v>17</v>
      </c>
      <c r="O133" s="5">
        <f t="shared" si="45"/>
        <v>2</v>
      </c>
      <c r="P133">
        <f>YEAR(Table1[[#This Row],[OrderDate]])</f>
        <v>2023</v>
      </c>
      <c r="Q133" s="8">
        <f t="shared" si="46"/>
        <v>44974</v>
      </c>
      <c r="R133">
        <f t="shared" ca="1" si="47"/>
        <v>3</v>
      </c>
      <c r="S133">
        <f t="shared" si="48"/>
        <v>-20</v>
      </c>
      <c r="T133">
        <f t="shared" si="49"/>
        <v>152</v>
      </c>
      <c r="U133" t="str">
        <f t="shared" si="50"/>
        <v>10-05-1900</v>
      </c>
      <c r="V133" t="str">
        <f t="shared" si="51"/>
        <v>Medium</v>
      </c>
      <c r="W133" t="str">
        <f t="shared" si="52"/>
        <v>Sale</v>
      </c>
      <c r="X133" t="str">
        <f t="shared" si="53"/>
        <v>OK</v>
      </c>
      <c r="Y133" t="str">
        <f t="shared" si="54"/>
        <v>A</v>
      </c>
      <c r="Z133" t="str" cm="1">
        <f t="array" ref="Z133">_xlfn.IFS(
I133&gt;50000,"Premium",
I133&gt;=20000,"Regular",
TRUE,"Basic"
)</f>
        <v>Regular</v>
      </c>
    </row>
    <row r="134" spans="1:26" x14ac:dyDescent="0.3">
      <c r="A134" s="5">
        <v>133</v>
      </c>
      <c r="B134" s="5">
        <v>1075</v>
      </c>
      <c r="C134" t="s">
        <v>22</v>
      </c>
      <c r="D134" t="s">
        <v>25</v>
      </c>
      <c r="E134" t="s">
        <v>31</v>
      </c>
      <c r="F134" t="s">
        <v>16</v>
      </c>
      <c r="G134" s="5">
        <v>12</v>
      </c>
      <c r="H134" s="1">
        <v>4545</v>
      </c>
      <c r="I134" s="4">
        <v>54540</v>
      </c>
      <c r="J134" s="9" t="s">
        <v>148</v>
      </c>
      <c r="K134" s="3">
        <v>4545</v>
      </c>
      <c r="L134" s="2">
        <v>0.1</v>
      </c>
      <c r="M134" s="1">
        <v>49086</v>
      </c>
      <c r="N134">
        <f t="shared" si="44"/>
        <v>20</v>
      </c>
      <c r="O134" s="5">
        <f t="shared" si="45"/>
        <v>4</v>
      </c>
      <c r="P134">
        <f>YEAR(Table1[[#This Row],[OrderDate]])</f>
        <v>2023</v>
      </c>
      <c r="Q134" s="8">
        <f t="shared" si="46"/>
        <v>45036</v>
      </c>
      <c r="R134">
        <f t="shared" ca="1" si="47"/>
        <v>3</v>
      </c>
      <c r="S134">
        <f t="shared" si="48"/>
        <v>7</v>
      </c>
      <c r="T134">
        <f t="shared" si="49"/>
        <v>152</v>
      </c>
      <c r="U134" t="str">
        <f t="shared" si="50"/>
        <v>11-05-1900</v>
      </c>
      <c r="V134" t="str">
        <f t="shared" si="51"/>
        <v>High</v>
      </c>
      <c r="W134" t="str">
        <f t="shared" si="52"/>
        <v>Sale</v>
      </c>
      <c r="X134" t="str">
        <f t="shared" si="53"/>
        <v>OK</v>
      </c>
      <c r="Y134" t="str">
        <f t="shared" si="54"/>
        <v>A</v>
      </c>
      <c r="Z134" t="str" cm="1">
        <f t="array" ref="Z134">_xlfn.IFS(
I134&gt;50000,"Premium",
I134&gt;=20000,"Regular",
TRUE,"Basic"
)</f>
        <v>Premium</v>
      </c>
    </row>
    <row r="135" spans="1:26" x14ac:dyDescent="0.3">
      <c r="A135" s="5">
        <v>134</v>
      </c>
      <c r="B135" s="5">
        <v>1012</v>
      </c>
      <c r="C135" t="s">
        <v>18</v>
      </c>
      <c r="D135" t="s">
        <v>19</v>
      </c>
      <c r="E135" t="s">
        <v>15</v>
      </c>
      <c r="F135" t="s">
        <v>27</v>
      </c>
      <c r="G135" s="5">
        <v>10</v>
      </c>
      <c r="H135" s="1">
        <v>4408</v>
      </c>
      <c r="I135" s="4">
        <v>44080</v>
      </c>
      <c r="J135" s="9" t="s">
        <v>149</v>
      </c>
      <c r="K135" s="3">
        <v>4408</v>
      </c>
      <c r="L135" s="2">
        <v>0.1</v>
      </c>
      <c r="M135" s="1">
        <v>39672</v>
      </c>
      <c r="N135">
        <f t="shared" si="44"/>
        <v>29</v>
      </c>
      <c r="O135" s="5">
        <f t="shared" si="45"/>
        <v>9</v>
      </c>
      <c r="P135">
        <f>YEAR(Table1[[#This Row],[OrderDate]])</f>
        <v>2023</v>
      </c>
      <c r="Q135" s="8">
        <f t="shared" si="46"/>
        <v>45198</v>
      </c>
      <c r="R135">
        <f t="shared" ca="1" si="47"/>
        <v>2</v>
      </c>
      <c r="S135">
        <f t="shared" si="48"/>
        <v>-195</v>
      </c>
      <c r="T135">
        <f t="shared" si="49"/>
        <v>152</v>
      </c>
      <c r="U135" t="str">
        <f t="shared" si="50"/>
        <v>12-05-1900</v>
      </c>
      <c r="V135" t="str">
        <f t="shared" si="51"/>
        <v>Medium</v>
      </c>
      <c r="W135" t="str">
        <f t="shared" si="52"/>
        <v>Sale</v>
      </c>
      <c r="X135" t="str">
        <f t="shared" si="53"/>
        <v>OK</v>
      </c>
      <c r="Y135" t="str">
        <f t="shared" si="54"/>
        <v>A</v>
      </c>
      <c r="Z135" t="str" cm="1">
        <f t="array" ref="Z135">_xlfn.IFS(
I135&gt;50000,"Premium",
I135&gt;=20000,"Regular",
TRUE,"Basic"
)</f>
        <v>Regular</v>
      </c>
    </row>
    <row r="136" spans="1:26" x14ac:dyDescent="0.3">
      <c r="A136" s="5">
        <v>135</v>
      </c>
      <c r="B136" s="5">
        <v>1078</v>
      </c>
      <c r="C136" t="s">
        <v>22</v>
      </c>
      <c r="D136" t="s">
        <v>14</v>
      </c>
      <c r="E136" t="s">
        <v>26</v>
      </c>
      <c r="F136" t="s">
        <v>16</v>
      </c>
      <c r="G136" s="5">
        <v>12</v>
      </c>
      <c r="H136" s="1">
        <v>871</v>
      </c>
      <c r="I136" s="4">
        <v>10452</v>
      </c>
      <c r="J136" s="9" t="s">
        <v>39</v>
      </c>
      <c r="K136" s="3">
        <v>871</v>
      </c>
      <c r="L136" s="2">
        <v>0.1</v>
      </c>
      <c r="M136" s="1">
        <v>9406.7999999999993</v>
      </c>
      <c r="N136">
        <f t="shared" si="44"/>
        <v>7</v>
      </c>
      <c r="O136" s="5">
        <f t="shared" si="45"/>
        <v>8</v>
      </c>
      <c r="P136">
        <f>YEAR(Table1[[#This Row],[OrderDate]])</f>
        <v>2023</v>
      </c>
      <c r="Q136" s="8">
        <f t="shared" si="46"/>
        <v>45145</v>
      </c>
      <c r="R136">
        <f t="shared" ca="1" si="47"/>
        <v>2</v>
      </c>
      <c r="S136">
        <f t="shared" si="48"/>
        <v>65</v>
      </c>
      <c r="T136">
        <f t="shared" si="49"/>
        <v>152</v>
      </c>
      <c r="U136" t="str">
        <f t="shared" si="50"/>
        <v>13-05-1900</v>
      </c>
      <c r="V136" t="str">
        <f t="shared" si="51"/>
        <v>Low</v>
      </c>
      <c r="W136" t="str">
        <f t="shared" si="52"/>
        <v>Sale</v>
      </c>
      <c r="X136" t="str">
        <f t="shared" si="53"/>
        <v>OK</v>
      </c>
      <c r="Y136" t="str">
        <f t="shared" si="54"/>
        <v>A</v>
      </c>
      <c r="Z136" t="str" cm="1">
        <f t="array" ref="Z136">_xlfn.IFS(
I136&gt;50000,"Premium",
I136&gt;=20000,"Regular",
TRUE,"Basic"
)</f>
        <v>Basic</v>
      </c>
    </row>
    <row r="137" spans="1:26" x14ac:dyDescent="0.3">
      <c r="A137" s="5">
        <v>136</v>
      </c>
      <c r="B137" s="5">
        <v>1078</v>
      </c>
      <c r="C137" t="s">
        <v>18</v>
      </c>
      <c r="D137" t="s">
        <v>19</v>
      </c>
      <c r="E137" t="s">
        <v>41</v>
      </c>
      <c r="F137" t="s">
        <v>27</v>
      </c>
      <c r="G137" s="5">
        <v>5</v>
      </c>
      <c r="H137" s="1">
        <v>3641</v>
      </c>
      <c r="I137" s="4">
        <v>18205</v>
      </c>
      <c r="J137" s="9" t="s">
        <v>150</v>
      </c>
      <c r="K137" s="3">
        <v>3641</v>
      </c>
      <c r="L137" s="2">
        <v>0.1</v>
      </c>
      <c r="M137" s="1">
        <v>16384.5</v>
      </c>
      <c r="N137">
        <f t="shared" si="44"/>
        <v>29</v>
      </c>
      <c r="O137" s="5">
        <f t="shared" si="45"/>
        <v>10</v>
      </c>
      <c r="P137">
        <f>YEAR(Table1[[#This Row],[OrderDate]])</f>
        <v>2023</v>
      </c>
      <c r="Q137" s="8">
        <f t="shared" si="46"/>
        <v>45228</v>
      </c>
      <c r="R137">
        <f t="shared" ca="1" si="47"/>
        <v>2</v>
      </c>
      <c r="S137">
        <f t="shared" si="48"/>
        <v>-152</v>
      </c>
      <c r="T137">
        <f t="shared" si="49"/>
        <v>152</v>
      </c>
      <c r="U137" t="str">
        <f t="shared" si="50"/>
        <v>14-05-1900</v>
      </c>
      <c r="V137" t="str">
        <f t="shared" si="51"/>
        <v>Low</v>
      </c>
      <c r="W137" t="str">
        <f t="shared" si="52"/>
        <v>Sale</v>
      </c>
      <c r="X137" t="str">
        <f t="shared" si="53"/>
        <v>OK</v>
      </c>
      <c r="Y137" t="str">
        <f t="shared" si="54"/>
        <v>A</v>
      </c>
      <c r="Z137" t="str" cm="1">
        <f t="array" ref="Z137">_xlfn.IFS(
I137&gt;50000,"Premium",
I137&gt;=20000,"Regular",
TRUE,"Basic"
)</f>
        <v>Basic</v>
      </c>
    </row>
    <row r="138" spans="1:26" x14ac:dyDescent="0.3">
      <c r="A138" s="5">
        <v>137</v>
      </c>
      <c r="B138" s="5">
        <v>1040</v>
      </c>
      <c r="C138" t="s">
        <v>13</v>
      </c>
      <c r="D138" t="s">
        <v>34</v>
      </c>
      <c r="E138" t="s">
        <v>26</v>
      </c>
      <c r="F138" t="s">
        <v>27</v>
      </c>
      <c r="G138" s="5">
        <v>17</v>
      </c>
      <c r="H138" s="1">
        <v>734</v>
      </c>
      <c r="I138" s="4">
        <v>12478</v>
      </c>
      <c r="J138" s="9" t="s">
        <v>151</v>
      </c>
      <c r="K138" s="3">
        <v>734</v>
      </c>
      <c r="L138" s="2">
        <v>0.1</v>
      </c>
      <c r="M138" s="1">
        <v>11230.2</v>
      </c>
      <c r="N138">
        <f t="shared" si="44"/>
        <v>22</v>
      </c>
      <c r="O138" s="5">
        <f t="shared" si="45"/>
        <v>1</v>
      </c>
      <c r="P138">
        <f>YEAR(Table1[[#This Row],[OrderDate]])</f>
        <v>2023</v>
      </c>
      <c r="Q138" s="8">
        <f t="shared" si="46"/>
        <v>44948</v>
      </c>
      <c r="R138">
        <f t="shared" ca="1" si="47"/>
        <v>3</v>
      </c>
      <c r="S138">
        <f t="shared" si="48"/>
        <v>108</v>
      </c>
      <c r="T138">
        <f t="shared" si="49"/>
        <v>152</v>
      </c>
      <c r="U138" t="str">
        <f t="shared" si="50"/>
        <v>15-05-1900</v>
      </c>
      <c r="V138" t="str">
        <f t="shared" si="51"/>
        <v>Low</v>
      </c>
      <c r="W138" t="str">
        <f t="shared" si="52"/>
        <v>Sale</v>
      </c>
      <c r="X138" t="str">
        <f t="shared" si="53"/>
        <v>OK</v>
      </c>
      <c r="Y138" t="str">
        <f t="shared" si="54"/>
        <v>A</v>
      </c>
      <c r="Z138" t="str" cm="1">
        <f t="array" ref="Z138">_xlfn.IFS(
I138&gt;50000,"Premium",
I138&gt;=20000,"Regular",
TRUE,"Basic"
)</f>
        <v>Basic</v>
      </c>
    </row>
    <row r="139" spans="1:26" x14ac:dyDescent="0.3">
      <c r="A139" s="5">
        <v>138</v>
      </c>
      <c r="B139" s="5">
        <v>1079</v>
      </c>
      <c r="C139" t="s">
        <v>13</v>
      </c>
      <c r="D139" t="s">
        <v>19</v>
      </c>
      <c r="E139" t="s">
        <v>31</v>
      </c>
      <c r="F139" t="s">
        <v>27</v>
      </c>
      <c r="G139" s="5">
        <v>3</v>
      </c>
      <c r="H139" s="1">
        <v>4863</v>
      </c>
      <c r="I139" s="4">
        <v>14589</v>
      </c>
      <c r="J139" s="9" t="s">
        <v>64</v>
      </c>
      <c r="K139" s="3">
        <v>4863</v>
      </c>
      <c r="L139" s="2">
        <v>0.1</v>
      </c>
      <c r="M139" s="1">
        <v>13130.1</v>
      </c>
      <c r="N139">
        <f t="shared" si="44"/>
        <v>29</v>
      </c>
      <c r="O139" s="5">
        <f t="shared" si="45"/>
        <v>4</v>
      </c>
      <c r="P139">
        <f>YEAR(Table1[[#This Row],[OrderDate]])</f>
        <v>2023</v>
      </c>
      <c r="Q139" s="8">
        <f t="shared" si="46"/>
        <v>45045</v>
      </c>
      <c r="R139">
        <f t="shared" ca="1" si="47"/>
        <v>3</v>
      </c>
      <c r="S139">
        <f t="shared" si="48"/>
        <v>79</v>
      </c>
      <c r="T139">
        <f t="shared" si="49"/>
        <v>152</v>
      </c>
      <c r="U139" t="str">
        <f t="shared" si="50"/>
        <v>16-05-1900</v>
      </c>
      <c r="V139" t="str">
        <f t="shared" si="51"/>
        <v>Low</v>
      </c>
      <c r="W139" t="str">
        <f t="shared" si="52"/>
        <v>Sale</v>
      </c>
      <c r="X139" t="str">
        <f t="shared" si="53"/>
        <v>OK</v>
      </c>
      <c r="Y139" t="str">
        <f t="shared" si="54"/>
        <v>A</v>
      </c>
      <c r="Z139" t="str" cm="1">
        <f t="array" ref="Z139">_xlfn.IFS(
I139&gt;50000,"Premium",
I139&gt;=20000,"Regular",
TRUE,"Basic"
)</f>
        <v>Basic</v>
      </c>
    </row>
    <row r="140" spans="1:26" x14ac:dyDescent="0.3">
      <c r="A140" s="5">
        <v>139</v>
      </c>
      <c r="B140" s="5">
        <v>1039</v>
      </c>
      <c r="C140" t="s">
        <v>29</v>
      </c>
      <c r="D140" t="s">
        <v>23</v>
      </c>
      <c r="E140" t="s">
        <v>41</v>
      </c>
      <c r="F140" t="s">
        <v>27</v>
      </c>
      <c r="G140" s="5">
        <v>9</v>
      </c>
      <c r="H140" s="1">
        <v>902</v>
      </c>
      <c r="I140" s="4">
        <v>8118</v>
      </c>
      <c r="J140" s="9" t="s">
        <v>152</v>
      </c>
      <c r="K140" s="3">
        <v>902</v>
      </c>
      <c r="L140" s="2">
        <v>0.1</v>
      </c>
      <c r="M140" s="1">
        <v>7306.2</v>
      </c>
      <c r="N140">
        <f t="shared" si="44"/>
        <v>1</v>
      </c>
      <c r="O140" s="5">
        <f t="shared" si="45"/>
        <v>1</v>
      </c>
      <c r="P140">
        <f>YEAR(Table1[[#This Row],[OrderDate]])</f>
        <v>2023</v>
      </c>
      <c r="Q140" s="8">
        <f t="shared" si="46"/>
        <v>44927</v>
      </c>
      <c r="R140">
        <f t="shared" ca="1" si="47"/>
        <v>3</v>
      </c>
      <c r="S140">
        <f t="shared" si="48"/>
        <v>150</v>
      </c>
      <c r="T140">
        <f t="shared" si="49"/>
        <v>152</v>
      </c>
      <c r="U140" t="str">
        <f t="shared" si="50"/>
        <v>17-05-1900</v>
      </c>
      <c r="V140" t="str">
        <f t="shared" si="51"/>
        <v>Low</v>
      </c>
      <c r="W140" t="str">
        <f t="shared" si="52"/>
        <v>Sale</v>
      </c>
      <c r="X140" t="str">
        <f t="shared" si="53"/>
        <v>OK</v>
      </c>
      <c r="Y140" t="str">
        <f t="shared" si="54"/>
        <v>A</v>
      </c>
      <c r="Z140" t="str" cm="1">
        <f t="array" ref="Z140">_xlfn.IFS(
I140&gt;50000,"Premium",
I140&gt;=20000,"Regular",
TRUE,"Basic"
)</f>
        <v>Basic</v>
      </c>
    </row>
    <row r="141" spans="1:26" x14ac:dyDescent="0.3">
      <c r="A141" s="5">
        <v>140</v>
      </c>
      <c r="B141" s="5">
        <v>1042</v>
      </c>
      <c r="C141" t="s">
        <v>18</v>
      </c>
      <c r="D141" t="s">
        <v>25</v>
      </c>
      <c r="E141" t="s">
        <v>15</v>
      </c>
      <c r="F141" t="s">
        <v>16</v>
      </c>
      <c r="G141" s="5">
        <v>4</v>
      </c>
      <c r="H141" s="1">
        <v>357</v>
      </c>
      <c r="I141" s="4">
        <v>1428</v>
      </c>
      <c r="J141" s="9" t="s">
        <v>153</v>
      </c>
      <c r="K141" s="3">
        <v>357</v>
      </c>
      <c r="L141" s="2">
        <v>0.05</v>
      </c>
      <c r="M141" s="1">
        <v>1356.6</v>
      </c>
      <c r="N141">
        <f t="shared" si="44"/>
        <v>5</v>
      </c>
      <c r="O141" s="5">
        <f t="shared" si="45"/>
        <v>11</v>
      </c>
      <c r="P141">
        <f>YEAR(Table1[[#This Row],[OrderDate]])</f>
        <v>2023</v>
      </c>
      <c r="Q141" s="8">
        <f t="shared" si="46"/>
        <v>45235</v>
      </c>
      <c r="R141">
        <f t="shared" ca="1" si="47"/>
        <v>2</v>
      </c>
      <c r="S141">
        <f t="shared" si="48"/>
        <v>37</v>
      </c>
      <c r="T141">
        <f t="shared" si="49"/>
        <v>152</v>
      </c>
      <c r="U141" t="str">
        <f t="shared" si="50"/>
        <v>18-05-1900</v>
      </c>
      <c r="V141" t="str">
        <f t="shared" si="51"/>
        <v>Low</v>
      </c>
      <c r="W141" t="str">
        <f t="shared" si="52"/>
        <v>Sale</v>
      </c>
      <c r="X141" t="str">
        <f t="shared" si="53"/>
        <v>OK</v>
      </c>
      <c r="Y141" t="str">
        <f t="shared" si="54"/>
        <v>A</v>
      </c>
      <c r="Z141" t="str" cm="1">
        <f t="array" ref="Z141">_xlfn.IFS(
I141&gt;50000,"Premium",
I141&gt;=20000,"Regular",
TRUE,"Basic"
)</f>
        <v>Basic</v>
      </c>
    </row>
    <row r="142" spans="1:26" x14ac:dyDescent="0.3">
      <c r="A142" s="5">
        <v>141</v>
      </c>
      <c r="B142" s="5">
        <v>1050</v>
      </c>
      <c r="C142" t="s">
        <v>18</v>
      </c>
      <c r="D142" t="s">
        <v>14</v>
      </c>
      <c r="E142" t="s">
        <v>15</v>
      </c>
      <c r="F142" t="s">
        <v>27</v>
      </c>
      <c r="G142" s="5">
        <v>3</v>
      </c>
      <c r="H142" s="1">
        <v>904</v>
      </c>
      <c r="I142" s="4">
        <v>2712</v>
      </c>
      <c r="J142" s="9" t="s">
        <v>154</v>
      </c>
      <c r="K142" s="3">
        <v>904</v>
      </c>
      <c r="L142" s="2">
        <v>0.05</v>
      </c>
      <c r="M142" s="1">
        <v>2576.4</v>
      </c>
      <c r="N142">
        <f t="shared" si="44"/>
        <v>30</v>
      </c>
      <c r="O142" s="5">
        <f t="shared" si="45"/>
        <v>3</v>
      </c>
      <c r="P142">
        <f>YEAR(Table1[[#This Row],[OrderDate]])</f>
        <v>2023</v>
      </c>
      <c r="Q142" s="8">
        <f t="shared" si="46"/>
        <v>45015</v>
      </c>
      <c r="R142">
        <f t="shared" ca="1" si="47"/>
        <v>3</v>
      </c>
      <c r="S142">
        <f t="shared" si="48"/>
        <v>-42</v>
      </c>
      <c r="T142">
        <f t="shared" si="49"/>
        <v>152</v>
      </c>
      <c r="U142" t="str">
        <f t="shared" si="50"/>
        <v>19-05-1900</v>
      </c>
      <c r="V142" t="str">
        <f t="shared" si="51"/>
        <v>Low</v>
      </c>
      <c r="W142" t="str">
        <f t="shared" si="52"/>
        <v>Sale</v>
      </c>
      <c r="X142" t="str">
        <f t="shared" si="53"/>
        <v>OK</v>
      </c>
      <c r="Y142" t="str">
        <f t="shared" si="54"/>
        <v>A</v>
      </c>
      <c r="Z142" t="str" cm="1">
        <f t="array" ref="Z142">_xlfn.IFS(
I142&gt;50000,"Premium",
I142&gt;=20000,"Regular",
TRUE,"Basic"
)</f>
        <v>Basic</v>
      </c>
    </row>
    <row r="143" spans="1:26" x14ac:dyDescent="0.3">
      <c r="A143" s="5">
        <v>142</v>
      </c>
      <c r="B143" s="5">
        <v>1092</v>
      </c>
      <c r="C143" t="s">
        <v>18</v>
      </c>
      <c r="D143" t="s">
        <v>19</v>
      </c>
      <c r="E143" t="s">
        <v>20</v>
      </c>
      <c r="F143" t="s">
        <v>16</v>
      </c>
      <c r="G143" s="5">
        <v>19</v>
      </c>
      <c r="H143" s="1">
        <v>4157</v>
      </c>
      <c r="I143" s="4">
        <v>78983</v>
      </c>
      <c r="J143" s="9" t="s">
        <v>155</v>
      </c>
      <c r="K143" s="3">
        <v>4157</v>
      </c>
      <c r="L143" s="2">
        <v>0.1</v>
      </c>
      <c r="M143" s="1">
        <v>71084.7</v>
      </c>
      <c r="N143">
        <f t="shared" si="44"/>
        <v>21</v>
      </c>
      <c r="O143" s="5">
        <f t="shared" si="45"/>
        <v>6</v>
      </c>
      <c r="P143">
        <f>YEAR(Table1[[#This Row],[OrderDate]])</f>
        <v>2023</v>
      </c>
      <c r="Q143" s="8">
        <f t="shared" si="46"/>
        <v>45098</v>
      </c>
      <c r="R143">
        <f t="shared" ca="1" si="47"/>
        <v>2</v>
      </c>
      <c r="S143">
        <f t="shared" si="48"/>
        <v>88</v>
      </c>
      <c r="T143">
        <f t="shared" si="49"/>
        <v>152</v>
      </c>
      <c r="U143" t="str">
        <f t="shared" si="50"/>
        <v>20-05-1900</v>
      </c>
      <c r="V143" t="str">
        <f t="shared" si="51"/>
        <v>High</v>
      </c>
      <c r="W143" t="str">
        <f t="shared" si="52"/>
        <v>Sale</v>
      </c>
      <c r="X143" t="str">
        <f t="shared" si="53"/>
        <v>OK</v>
      </c>
      <c r="Y143" t="str">
        <f t="shared" si="54"/>
        <v>A</v>
      </c>
      <c r="Z143" t="str" cm="1">
        <f t="array" ref="Z143">_xlfn.IFS(
I143&gt;50000,"Premium",
I143&gt;=20000,"Regular",
TRUE,"Basic"
)</f>
        <v>Premium</v>
      </c>
    </row>
    <row r="144" spans="1:26" x14ac:dyDescent="0.3">
      <c r="A144" s="5">
        <v>143</v>
      </c>
      <c r="B144" s="5">
        <v>1079</v>
      </c>
      <c r="C144" t="s">
        <v>13</v>
      </c>
      <c r="D144" t="s">
        <v>34</v>
      </c>
      <c r="E144" t="s">
        <v>20</v>
      </c>
      <c r="F144" t="s">
        <v>27</v>
      </c>
      <c r="G144" s="5">
        <v>13</v>
      </c>
      <c r="H144" s="1">
        <v>1711</v>
      </c>
      <c r="I144" s="4">
        <v>22243</v>
      </c>
      <c r="J144" s="9" t="s">
        <v>156</v>
      </c>
      <c r="K144" s="3">
        <v>1711</v>
      </c>
      <c r="L144" s="2">
        <v>0.1</v>
      </c>
      <c r="M144" s="1">
        <v>20018.7</v>
      </c>
      <c r="N144">
        <f t="shared" si="44"/>
        <v>17</v>
      </c>
      <c r="O144" s="5">
        <f t="shared" si="45"/>
        <v>8</v>
      </c>
      <c r="P144">
        <f>YEAR(Table1[[#This Row],[OrderDate]])</f>
        <v>2023</v>
      </c>
      <c r="Q144" s="8">
        <f t="shared" si="46"/>
        <v>45155</v>
      </c>
      <c r="R144">
        <f t="shared" ca="1" si="47"/>
        <v>2</v>
      </c>
      <c r="S144">
        <f t="shared" si="48"/>
        <v>59</v>
      </c>
      <c r="T144">
        <f t="shared" si="49"/>
        <v>152</v>
      </c>
      <c r="U144" t="str">
        <f t="shared" si="50"/>
        <v>21-05-1900</v>
      </c>
      <c r="V144" t="str">
        <f t="shared" si="51"/>
        <v>Medium</v>
      </c>
      <c r="W144" t="str">
        <f t="shared" si="52"/>
        <v>Sale</v>
      </c>
      <c r="X144" t="str">
        <f t="shared" si="53"/>
        <v>OK</v>
      </c>
      <c r="Y144" t="str">
        <f t="shared" si="54"/>
        <v>A</v>
      </c>
      <c r="Z144" t="str" cm="1">
        <f t="array" ref="Z144">_xlfn.IFS(
I144&gt;50000,"Premium",
I144&gt;=20000,"Regular",
TRUE,"Basic"
)</f>
        <v>Regular</v>
      </c>
    </row>
    <row r="145" spans="1:26" x14ac:dyDescent="0.3">
      <c r="A145" s="5">
        <v>144</v>
      </c>
      <c r="C145" t="s">
        <v>18</v>
      </c>
      <c r="D145" t="s">
        <v>19</v>
      </c>
      <c r="E145" t="s">
        <v>31</v>
      </c>
      <c r="F145" t="s">
        <v>16</v>
      </c>
      <c r="G145" s="5">
        <v>17</v>
      </c>
      <c r="H145" s="1">
        <v>601</v>
      </c>
      <c r="I145" s="4">
        <v>10217</v>
      </c>
      <c r="J145" s="9" t="s">
        <v>157</v>
      </c>
      <c r="K145" s="3">
        <v>601</v>
      </c>
      <c r="L145" s="2">
        <v>0.1</v>
      </c>
      <c r="M145" s="1">
        <v>9195.2999999999993</v>
      </c>
      <c r="N145">
        <f t="shared" si="44"/>
        <v>30</v>
      </c>
      <c r="O145" s="5">
        <f t="shared" si="45"/>
        <v>7</v>
      </c>
      <c r="P145">
        <f>YEAR(Table1[[#This Row],[OrderDate]])</f>
        <v>2023</v>
      </c>
      <c r="Q145" s="8">
        <f t="shared" si="46"/>
        <v>45137</v>
      </c>
      <c r="R145">
        <f t="shared" ca="1" si="47"/>
        <v>2</v>
      </c>
      <c r="S145">
        <f t="shared" si="48"/>
        <v>-70</v>
      </c>
      <c r="T145">
        <f t="shared" si="49"/>
        <v>152</v>
      </c>
      <c r="U145" t="str">
        <f t="shared" si="50"/>
        <v>22-05-1900</v>
      </c>
      <c r="V145" t="str">
        <f t="shared" si="51"/>
        <v>Low</v>
      </c>
      <c r="W145" t="str">
        <f t="shared" si="52"/>
        <v>Sale</v>
      </c>
      <c r="X145" t="str">
        <f t="shared" si="53"/>
        <v>OK</v>
      </c>
      <c r="Y145" t="str">
        <f t="shared" si="54"/>
        <v>A</v>
      </c>
      <c r="Z145" t="str" cm="1">
        <f t="array" ref="Z145">_xlfn.IFS(
I145&gt;50000,"Premium",
I145&gt;=20000,"Regular",
TRUE,"Basic"
)</f>
        <v>Basic</v>
      </c>
    </row>
    <row r="146" spans="1:26" x14ac:dyDescent="0.3">
      <c r="A146" s="5">
        <v>145</v>
      </c>
      <c r="B146" s="5">
        <v>1061</v>
      </c>
      <c r="C146" t="s">
        <v>40</v>
      </c>
      <c r="D146" t="s">
        <v>34</v>
      </c>
      <c r="E146" t="s">
        <v>41</v>
      </c>
      <c r="F146" t="s">
        <v>16</v>
      </c>
      <c r="G146" s="5">
        <v>3</v>
      </c>
      <c r="H146" s="1">
        <v>164</v>
      </c>
      <c r="I146" s="4">
        <v>492</v>
      </c>
      <c r="J146" s="9" t="s">
        <v>158</v>
      </c>
      <c r="K146" s="3">
        <v>164</v>
      </c>
      <c r="L146" s="2">
        <v>0.05</v>
      </c>
      <c r="M146" s="1">
        <v>467.4</v>
      </c>
      <c r="N146">
        <f t="shared" si="44"/>
        <v>26</v>
      </c>
      <c r="O146" s="5">
        <f t="shared" si="45"/>
        <v>12</v>
      </c>
      <c r="P146">
        <f>YEAR(Table1[[#This Row],[OrderDate]])</f>
        <v>2023</v>
      </c>
      <c r="Q146" s="8">
        <f t="shared" si="46"/>
        <v>45286</v>
      </c>
      <c r="R146">
        <f t="shared" ca="1" si="47"/>
        <v>2</v>
      </c>
      <c r="S146">
        <f t="shared" si="48"/>
        <v>-38</v>
      </c>
      <c r="T146">
        <f t="shared" si="49"/>
        <v>152</v>
      </c>
      <c r="U146" t="str">
        <f t="shared" si="50"/>
        <v>23-05-1900</v>
      </c>
      <c r="V146" t="str">
        <f t="shared" si="51"/>
        <v>Low</v>
      </c>
      <c r="W146" t="str">
        <f t="shared" si="52"/>
        <v>Sale</v>
      </c>
      <c r="X146" t="str">
        <f t="shared" si="53"/>
        <v>OK</v>
      </c>
      <c r="Y146" t="str">
        <f t="shared" si="54"/>
        <v>A</v>
      </c>
      <c r="Z146" t="str" cm="1">
        <f t="array" ref="Z146">_xlfn.IFS(
I146&gt;50000,"Premium",
I146&gt;=20000,"Regular",
TRUE,"Basic"
)</f>
        <v>Basic</v>
      </c>
    </row>
    <row r="147" spans="1:26" x14ac:dyDescent="0.3">
      <c r="A147" s="5">
        <v>146</v>
      </c>
      <c r="B147" s="5">
        <v>1067</v>
      </c>
      <c r="C147" t="s">
        <v>29</v>
      </c>
      <c r="D147" t="s">
        <v>19</v>
      </c>
      <c r="E147" t="s">
        <v>20</v>
      </c>
      <c r="F147" t="s">
        <v>27</v>
      </c>
      <c r="G147" s="5">
        <v>2</v>
      </c>
      <c r="H147" s="1">
        <v>3026</v>
      </c>
      <c r="I147" s="4">
        <v>6052</v>
      </c>
      <c r="J147" s="9" t="s">
        <v>35</v>
      </c>
      <c r="K147" s="3">
        <v>3026</v>
      </c>
      <c r="L147" s="2">
        <v>0.1</v>
      </c>
      <c r="M147" s="1">
        <v>5446.8</v>
      </c>
      <c r="N147">
        <f t="shared" si="44"/>
        <v>1</v>
      </c>
      <c r="O147" s="5">
        <f t="shared" si="45"/>
        <v>2</v>
      </c>
      <c r="P147">
        <f>YEAR(Table1[[#This Row],[OrderDate]])</f>
        <v>2023</v>
      </c>
      <c r="Q147" s="8">
        <f t="shared" si="46"/>
        <v>44958</v>
      </c>
      <c r="R147">
        <f t="shared" ca="1" si="47"/>
        <v>3</v>
      </c>
      <c r="S147">
        <f t="shared" si="48"/>
        <v>125</v>
      </c>
      <c r="T147">
        <f t="shared" si="49"/>
        <v>152</v>
      </c>
      <c r="U147" t="str">
        <f t="shared" si="50"/>
        <v>24-05-1900</v>
      </c>
      <c r="V147" t="str">
        <f t="shared" si="51"/>
        <v>Low</v>
      </c>
      <c r="W147" t="str">
        <f t="shared" si="52"/>
        <v>Sale</v>
      </c>
      <c r="X147" t="str">
        <f t="shared" si="53"/>
        <v>OK</v>
      </c>
      <c r="Y147" t="str">
        <f t="shared" si="54"/>
        <v>A</v>
      </c>
      <c r="Z147" t="str" cm="1">
        <f t="array" ref="Z147">_xlfn.IFS(
I147&gt;50000,"Premium",
I147&gt;=20000,"Regular",
TRUE,"Basic"
)</f>
        <v>Basic</v>
      </c>
    </row>
    <row r="148" spans="1:26" x14ac:dyDescent="0.3">
      <c r="A148" s="5">
        <v>147</v>
      </c>
      <c r="B148" s="5">
        <v>1047</v>
      </c>
      <c r="C148" t="s">
        <v>29</v>
      </c>
      <c r="D148" t="s">
        <v>19</v>
      </c>
      <c r="E148" t="s">
        <v>20</v>
      </c>
      <c r="F148" t="s">
        <v>27</v>
      </c>
      <c r="G148" s="5">
        <v>6</v>
      </c>
      <c r="H148" s="1">
        <v>4907</v>
      </c>
      <c r="I148" s="4">
        <v>29442</v>
      </c>
      <c r="J148" s="9" t="s">
        <v>159</v>
      </c>
      <c r="K148" s="3">
        <v>4907</v>
      </c>
      <c r="L148" s="2">
        <v>0.1</v>
      </c>
      <c r="M148" s="1">
        <v>26497.8</v>
      </c>
      <c r="N148">
        <f t="shared" si="44"/>
        <v>22</v>
      </c>
      <c r="O148" s="5">
        <f t="shared" si="45"/>
        <v>10</v>
      </c>
      <c r="P148">
        <f>YEAR(Table1[[#This Row],[OrderDate]])</f>
        <v>2023</v>
      </c>
      <c r="Q148" s="8">
        <f t="shared" si="46"/>
        <v>45221</v>
      </c>
      <c r="R148">
        <f t="shared" ca="1" si="47"/>
        <v>2</v>
      </c>
      <c r="S148">
        <f t="shared" si="48"/>
        <v>46</v>
      </c>
      <c r="T148">
        <f t="shared" si="49"/>
        <v>152</v>
      </c>
      <c r="U148" t="str">
        <f t="shared" si="50"/>
        <v>25-05-1900</v>
      </c>
      <c r="V148" t="str">
        <f t="shared" si="51"/>
        <v>Medium</v>
      </c>
      <c r="W148" t="str">
        <f t="shared" si="52"/>
        <v>Sale</v>
      </c>
      <c r="X148" t="str">
        <f t="shared" si="53"/>
        <v>OK</v>
      </c>
      <c r="Y148" t="str">
        <f t="shared" si="54"/>
        <v>A</v>
      </c>
      <c r="Z148" t="str" cm="1">
        <f t="array" ref="Z148">_xlfn.IFS(
I148&gt;50000,"Premium",
I148&gt;=20000,"Regular",
TRUE,"Basic"
)</f>
        <v>Regular</v>
      </c>
    </row>
    <row r="149" spans="1:26" x14ac:dyDescent="0.3">
      <c r="A149" s="5">
        <v>148</v>
      </c>
      <c r="B149" s="5">
        <v>1084</v>
      </c>
      <c r="C149" t="s">
        <v>18</v>
      </c>
      <c r="D149" t="s">
        <v>19</v>
      </c>
      <c r="E149" t="s">
        <v>41</v>
      </c>
      <c r="F149" t="s">
        <v>16</v>
      </c>
      <c r="G149" s="5">
        <v>13</v>
      </c>
      <c r="H149" s="1">
        <v>4581</v>
      </c>
      <c r="I149" s="4">
        <v>59553</v>
      </c>
      <c r="J149" s="9" t="s">
        <v>46</v>
      </c>
      <c r="K149" s="3">
        <v>4581</v>
      </c>
      <c r="L149" s="2">
        <v>0.1</v>
      </c>
      <c r="M149" s="1">
        <v>53597.7</v>
      </c>
      <c r="N149">
        <f t="shared" si="44"/>
        <v>7</v>
      </c>
      <c r="O149" s="5">
        <f t="shared" si="45"/>
        <v>11</v>
      </c>
      <c r="P149">
        <f>YEAR(Table1[[#This Row],[OrderDate]])</f>
        <v>2023</v>
      </c>
      <c r="Q149" s="8">
        <f t="shared" si="46"/>
        <v>45237</v>
      </c>
      <c r="R149">
        <f t="shared" ca="1" si="47"/>
        <v>2</v>
      </c>
      <c r="S149">
        <f t="shared" si="48"/>
        <v>-97</v>
      </c>
      <c r="T149">
        <f t="shared" si="49"/>
        <v>152</v>
      </c>
      <c r="U149" t="str">
        <f t="shared" si="50"/>
        <v>26-05-1900</v>
      </c>
      <c r="V149" t="str">
        <f t="shared" si="51"/>
        <v>High</v>
      </c>
      <c r="W149" t="str">
        <f t="shared" si="52"/>
        <v>Sale</v>
      </c>
      <c r="X149" t="str">
        <f t="shared" si="53"/>
        <v>OK</v>
      </c>
      <c r="Y149" t="str">
        <f t="shared" si="54"/>
        <v>A</v>
      </c>
      <c r="Z149" t="str" cm="1">
        <f t="array" ref="Z149">_xlfn.IFS(
I149&gt;50000,"Premium",
I149&gt;=20000,"Regular",
TRUE,"Basic"
)</f>
        <v>Premium</v>
      </c>
    </row>
    <row r="150" spans="1:26" x14ac:dyDescent="0.3">
      <c r="A150" s="5">
        <v>149</v>
      </c>
      <c r="B150" s="5">
        <v>1015</v>
      </c>
      <c r="C150" t="s">
        <v>29</v>
      </c>
      <c r="D150" t="s">
        <v>14</v>
      </c>
      <c r="E150" t="s">
        <v>20</v>
      </c>
      <c r="F150" t="s">
        <v>27</v>
      </c>
      <c r="G150" s="5">
        <v>5</v>
      </c>
      <c r="H150" s="1">
        <v>448</v>
      </c>
      <c r="I150" s="4">
        <v>2240</v>
      </c>
      <c r="J150" s="9" t="s">
        <v>160</v>
      </c>
      <c r="K150" s="3">
        <v>448</v>
      </c>
      <c r="L150" s="2">
        <v>0.05</v>
      </c>
      <c r="M150" s="1">
        <v>2128</v>
      </c>
      <c r="N150">
        <f t="shared" si="44"/>
        <v>23</v>
      </c>
      <c r="O150" s="5">
        <f t="shared" si="45"/>
        <v>4</v>
      </c>
      <c r="P150">
        <f>YEAR(Table1[[#This Row],[OrderDate]])</f>
        <v>2023</v>
      </c>
      <c r="Q150" s="8">
        <f t="shared" si="46"/>
        <v>45039</v>
      </c>
      <c r="R150">
        <f t="shared" ca="1" si="47"/>
        <v>3</v>
      </c>
      <c r="S150">
        <f t="shared" si="48"/>
        <v>150</v>
      </c>
      <c r="T150">
        <f t="shared" si="49"/>
        <v>152</v>
      </c>
      <c r="U150" t="str">
        <f t="shared" si="50"/>
        <v>27-05-1900</v>
      </c>
      <c r="V150" t="str">
        <f t="shared" si="51"/>
        <v>Low</v>
      </c>
      <c r="W150" t="str">
        <f t="shared" si="52"/>
        <v>Sale</v>
      </c>
      <c r="X150" t="str">
        <f t="shared" si="53"/>
        <v>OK</v>
      </c>
      <c r="Y150" t="str">
        <f t="shared" si="54"/>
        <v>A</v>
      </c>
      <c r="Z150" t="str" cm="1">
        <f t="array" ref="Z150">_xlfn.IFS(
I150&gt;50000,"Premium",
I150&gt;=20000,"Regular",
TRUE,"Basic"
)</f>
        <v>Basic</v>
      </c>
    </row>
    <row r="151" spans="1:26" x14ac:dyDescent="0.3">
      <c r="A151" s="5">
        <v>150</v>
      </c>
      <c r="B151" s="5">
        <v>1016</v>
      </c>
      <c r="C151" t="s">
        <v>22</v>
      </c>
      <c r="D151" t="s">
        <v>19</v>
      </c>
      <c r="E151" t="s">
        <v>15</v>
      </c>
      <c r="F151" t="s">
        <v>27</v>
      </c>
      <c r="G151" s="5">
        <v>3</v>
      </c>
      <c r="H151" s="1">
        <v>2792</v>
      </c>
      <c r="I151" s="4">
        <v>8376</v>
      </c>
      <c r="J151" s="9" t="s">
        <v>161</v>
      </c>
      <c r="K151" s="3">
        <v>2792</v>
      </c>
      <c r="L151" s="2">
        <v>0.1</v>
      </c>
      <c r="M151" s="1">
        <v>7538.4</v>
      </c>
      <c r="N151">
        <f t="shared" si="44"/>
        <v>3</v>
      </c>
      <c r="O151" s="5">
        <f t="shared" si="45"/>
        <v>11</v>
      </c>
      <c r="P151">
        <f>YEAR(Table1[[#This Row],[OrderDate]])</f>
        <v>2023</v>
      </c>
      <c r="Q151" s="8">
        <f t="shared" si="46"/>
        <v>45233</v>
      </c>
      <c r="R151">
        <f t="shared" ca="1" si="47"/>
        <v>2</v>
      </c>
      <c r="S151">
        <f t="shared" si="48"/>
        <v>-188</v>
      </c>
      <c r="T151">
        <f t="shared" si="49"/>
        <v>152</v>
      </c>
      <c r="U151" t="str">
        <f t="shared" si="50"/>
        <v>28-05-1900</v>
      </c>
      <c r="V151" t="str">
        <f t="shared" si="51"/>
        <v>Low</v>
      </c>
      <c r="W151" t="str">
        <f t="shared" si="52"/>
        <v>Sale</v>
      </c>
      <c r="X151" t="str">
        <f t="shared" si="53"/>
        <v>OK</v>
      </c>
      <c r="Y151" t="str">
        <f t="shared" si="54"/>
        <v>A</v>
      </c>
      <c r="Z151" t="str" cm="1">
        <f t="array" ref="Z151">_xlfn.IFS(
I151&gt;50000,"Premium",
I151&gt;=20000,"Regular",
TRUE,"Basic"
)</f>
        <v>Basic</v>
      </c>
    </row>
    <row r="152" spans="1:26" x14ac:dyDescent="0.3">
      <c r="A152" s="5">
        <v>151</v>
      </c>
      <c r="B152" s="5">
        <v>1029</v>
      </c>
      <c r="C152" t="s">
        <v>13</v>
      </c>
      <c r="D152" t="s">
        <v>25</v>
      </c>
      <c r="E152" t="s">
        <v>15</v>
      </c>
      <c r="F152" t="s">
        <v>16</v>
      </c>
      <c r="G152" s="5">
        <v>7</v>
      </c>
      <c r="H152" s="1">
        <v>1199</v>
      </c>
      <c r="I152" s="4">
        <v>8393</v>
      </c>
      <c r="J152" s="9" t="s">
        <v>162</v>
      </c>
      <c r="K152" s="3">
        <v>1199</v>
      </c>
      <c r="L152" s="2">
        <v>0.1</v>
      </c>
      <c r="M152" s="1">
        <v>7553.7</v>
      </c>
      <c r="N152">
        <f t="shared" si="44"/>
        <v>25</v>
      </c>
      <c r="O152" s="5">
        <f t="shared" si="45"/>
        <v>7</v>
      </c>
      <c r="P152">
        <f>YEAR(Table1[[#This Row],[OrderDate]])</f>
        <v>2023</v>
      </c>
      <c r="Q152" s="8">
        <f t="shared" si="46"/>
        <v>45132</v>
      </c>
      <c r="R152">
        <f t="shared" ca="1" si="47"/>
        <v>2</v>
      </c>
      <c r="S152">
        <f t="shared" si="48"/>
        <v>109</v>
      </c>
      <c r="T152">
        <f t="shared" si="49"/>
        <v>152</v>
      </c>
      <c r="U152" t="str">
        <f t="shared" si="50"/>
        <v>29-05-1900</v>
      </c>
      <c r="V152" t="str">
        <f t="shared" si="51"/>
        <v>Low</v>
      </c>
      <c r="W152" t="str">
        <f t="shared" si="52"/>
        <v>Sale</v>
      </c>
      <c r="X152" t="str">
        <f t="shared" si="53"/>
        <v>OK</v>
      </c>
      <c r="Y152" t="str">
        <f t="shared" si="54"/>
        <v>A</v>
      </c>
      <c r="Z152" t="str" cm="1">
        <f t="array" ref="Z152">_xlfn.IFS(
I152&gt;50000,"Premium",
I152&gt;=20000,"Regular",
TRUE,"Basic"
)</f>
        <v>Basic</v>
      </c>
    </row>
    <row r="153" spans="1:26" x14ac:dyDescent="0.3">
      <c r="A153" s="5">
        <v>152</v>
      </c>
      <c r="B153" s="5">
        <v>1018</v>
      </c>
      <c r="C153" t="s">
        <v>29</v>
      </c>
      <c r="D153" t="s">
        <v>14</v>
      </c>
      <c r="E153" t="s">
        <v>15</v>
      </c>
      <c r="F153" t="s">
        <v>16</v>
      </c>
      <c r="G153" s="5">
        <v>10</v>
      </c>
      <c r="H153" s="1">
        <v>4311</v>
      </c>
      <c r="I153" s="4">
        <v>43110</v>
      </c>
      <c r="J153" s="9" t="s">
        <v>45</v>
      </c>
      <c r="K153" s="3">
        <v>4311</v>
      </c>
      <c r="L153" s="2">
        <v>0.1</v>
      </c>
      <c r="M153" s="1">
        <v>38799</v>
      </c>
      <c r="N153">
        <f t="shared" si="44"/>
        <v>25</v>
      </c>
      <c r="O153" s="5">
        <f t="shared" si="45"/>
        <v>12</v>
      </c>
      <c r="P153">
        <f>YEAR(Table1[[#This Row],[OrderDate]])</f>
        <v>2023</v>
      </c>
      <c r="Q153" s="8">
        <f t="shared" si="46"/>
        <v>45285</v>
      </c>
      <c r="R153">
        <f t="shared" ca="1" si="47"/>
        <v>2</v>
      </c>
      <c r="S153">
        <f t="shared" si="48"/>
        <v>-179</v>
      </c>
      <c r="T153">
        <f t="shared" si="49"/>
        <v>152</v>
      </c>
      <c r="U153" t="str">
        <f t="shared" si="50"/>
        <v>30-05-1900</v>
      </c>
      <c r="V153" t="str">
        <f t="shared" si="51"/>
        <v>Medium</v>
      </c>
      <c r="W153" t="str">
        <f t="shared" si="52"/>
        <v>Sale</v>
      </c>
      <c r="X153" t="str">
        <f t="shared" si="53"/>
        <v>OK</v>
      </c>
      <c r="Y153" t="str">
        <f t="shared" si="54"/>
        <v>A</v>
      </c>
      <c r="Z153" t="str" cm="1">
        <f t="array" ref="Z153">_xlfn.IFS(
I153&gt;50000,"Premium",
I153&gt;=20000,"Regular",
TRUE,"Basic"
)</f>
        <v>Regular</v>
      </c>
    </row>
    <row r="154" spans="1:26" x14ac:dyDescent="0.3">
      <c r="A154" s="5">
        <v>153</v>
      </c>
      <c r="B154" s="5">
        <v>1083</v>
      </c>
      <c r="C154" t="s">
        <v>13</v>
      </c>
      <c r="D154" t="s">
        <v>14</v>
      </c>
      <c r="E154" t="s">
        <v>15</v>
      </c>
      <c r="F154" t="s">
        <v>27</v>
      </c>
      <c r="G154" s="5">
        <v>20</v>
      </c>
      <c r="H154" s="1">
        <v>4719</v>
      </c>
      <c r="I154" s="4">
        <v>94380</v>
      </c>
      <c r="J154" s="9" t="s">
        <v>163</v>
      </c>
      <c r="K154" s="3">
        <v>4719</v>
      </c>
      <c r="L154" s="2">
        <v>0.1</v>
      </c>
      <c r="M154" s="1">
        <v>84942</v>
      </c>
      <c r="N154">
        <f t="shared" si="44"/>
        <v>24</v>
      </c>
      <c r="O154" s="5">
        <f t="shared" si="45"/>
        <v>6</v>
      </c>
      <c r="P154">
        <f>YEAR(Table1[[#This Row],[OrderDate]])</f>
        <v>2023</v>
      </c>
      <c r="Q154" s="8">
        <f t="shared" si="46"/>
        <v>45101</v>
      </c>
      <c r="R154">
        <f t="shared" ca="1" si="47"/>
        <v>2</v>
      </c>
      <c r="S154">
        <f t="shared" si="48"/>
        <v>71</v>
      </c>
      <c r="T154">
        <f t="shared" si="49"/>
        <v>152</v>
      </c>
      <c r="U154" t="str">
        <f t="shared" si="50"/>
        <v>31-05-1900</v>
      </c>
      <c r="V154" t="str">
        <f t="shared" si="51"/>
        <v>High</v>
      </c>
      <c r="W154" t="str">
        <f t="shared" si="52"/>
        <v>Sale</v>
      </c>
      <c r="X154" t="str">
        <f t="shared" si="53"/>
        <v>OK</v>
      </c>
      <c r="Y154" t="str">
        <f t="shared" si="54"/>
        <v>A</v>
      </c>
      <c r="Z154" t="str" cm="1">
        <f t="array" ref="Z154">_xlfn.IFS(
I154&gt;50000,"Premium",
I154&gt;=20000,"Regular",
TRUE,"Basic"
)</f>
        <v>Premium</v>
      </c>
    </row>
    <row r="155" spans="1:26" x14ac:dyDescent="0.3">
      <c r="A155" s="5">
        <v>154</v>
      </c>
      <c r="B155" s="5">
        <v>1031</v>
      </c>
      <c r="C155" t="s">
        <v>40</v>
      </c>
      <c r="D155" t="s">
        <v>25</v>
      </c>
      <c r="E155" t="s">
        <v>15</v>
      </c>
      <c r="F155" t="s">
        <v>16</v>
      </c>
      <c r="G155" s="5">
        <v>9</v>
      </c>
      <c r="H155" s="1">
        <v>347</v>
      </c>
      <c r="I155" s="4">
        <v>3123</v>
      </c>
      <c r="J155" s="9" t="s">
        <v>164</v>
      </c>
      <c r="K155" s="3">
        <v>347</v>
      </c>
      <c r="L155" s="2">
        <v>0.05</v>
      </c>
      <c r="M155" s="1">
        <v>2966.85</v>
      </c>
      <c r="N155">
        <f t="shared" si="44"/>
        <v>19</v>
      </c>
      <c r="O155" s="5">
        <f t="shared" si="45"/>
        <v>11</v>
      </c>
      <c r="P155">
        <f>YEAR(Table1[[#This Row],[OrderDate]])</f>
        <v>2023</v>
      </c>
      <c r="Q155" s="8">
        <f t="shared" si="46"/>
        <v>45249</v>
      </c>
      <c r="R155">
        <f t="shared" ca="1" si="47"/>
        <v>2</v>
      </c>
      <c r="S155">
        <f t="shared" si="48"/>
        <v>-59</v>
      </c>
      <c r="T155">
        <f t="shared" si="49"/>
        <v>182</v>
      </c>
      <c r="U155" t="str">
        <f t="shared" si="50"/>
        <v>01-06-1900</v>
      </c>
      <c r="V155" t="str">
        <f t="shared" si="51"/>
        <v>Low</v>
      </c>
      <c r="W155" t="str">
        <f t="shared" si="52"/>
        <v>Sale</v>
      </c>
      <c r="X155" t="str">
        <f t="shared" si="53"/>
        <v>OK</v>
      </c>
      <c r="Y155" t="str">
        <f t="shared" si="54"/>
        <v>A</v>
      </c>
      <c r="Z155" t="str" cm="1">
        <f t="array" ref="Z155">_xlfn.IFS(
I155&gt;50000,"Premium",
I155&gt;=20000,"Regular",
TRUE,"Basic"
)</f>
        <v>Basic</v>
      </c>
    </row>
    <row r="156" spans="1:26" x14ac:dyDescent="0.3">
      <c r="A156" s="5">
        <v>155</v>
      </c>
      <c r="B156" s="5">
        <v>1085</v>
      </c>
      <c r="C156" t="s">
        <v>40</v>
      </c>
      <c r="D156" t="s">
        <v>19</v>
      </c>
      <c r="E156" t="s">
        <v>20</v>
      </c>
      <c r="F156" t="s">
        <v>27</v>
      </c>
      <c r="G156" s="5">
        <v>13</v>
      </c>
      <c r="H156" s="1">
        <v>3729</v>
      </c>
      <c r="I156" s="4">
        <v>48477</v>
      </c>
      <c r="J156" s="9" t="s">
        <v>165</v>
      </c>
      <c r="K156" s="3">
        <v>3729</v>
      </c>
      <c r="L156" s="2">
        <v>0.1</v>
      </c>
      <c r="M156" s="1">
        <v>43629.3</v>
      </c>
      <c r="N156">
        <f t="shared" si="44"/>
        <v>15</v>
      </c>
      <c r="O156" s="5">
        <f t="shared" si="45"/>
        <v>2</v>
      </c>
      <c r="P156">
        <f>YEAR(Table1[[#This Row],[OrderDate]])</f>
        <v>2023</v>
      </c>
      <c r="Q156" s="8">
        <f t="shared" si="46"/>
        <v>44972</v>
      </c>
      <c r="R156">
        <f t="shared" ca="1" si="47"/>
        <v>3</v>
      </c>
      <c r="S156">
        <f t="shared" si="48"/>
        <v>108</v>
      </c>
      <c r="T156">
        <f t="shared" si="49"/>
        <v>182</v>
      </c>
      <c r="U156" t="str">
        <f t="shared" si="50"/>
        <v>02-06-1900</v>
      </c>
      <c r="V156" t="str">
        <f t="shared" si="51"/>
        <v>Medium</v>
      </c>
      <c r="W156" t="str">
        <f t="shared" si="52"/>
        <v>Sale</v>
      </c>
      <c r="X156" t="str">
        <f t="shared" si="53"/>
        <v>OK</v>
      </c>
      <c r="Y156" t="str">
        <f t="shared" si="54"/>
        <v>A</v>
      </c>
      <c r="Z156" t="str" cm="1">
        <f t="array" ref="Z156">_xlfn.IFS(
I156&gt;50000,"Premium",
I156&gt;=20000,"Regular",
TRUE,"Basic"
)</f>
        <v>Regular</v>
      </c>
    </row>
    <row r="157" spans="1:26" x14ac:dyDescent="0.3">
      <c r="A157" s="5">
        <v>156</v>
      </c>
      <c r="B157" s="5">
        <v>1043</v>
      </c>
      <c r="C157" t="s">
        <v>29</v>
      </c>
      <c r="D157" t="s">
        <v>23</v>
      </c>
      <c r="E157" t="s">
        <v>20</v>
      </c>
      <c r="F157" t="s">
        <v>16</v>
      </c>
      <c r="G157" s="5">
        <v>2</v>
      </c>
      <c r="H157" s="1">
        <v>1631</v>
      </c>
      <c r="I157" s="4">
        <v>3262</v>
      </c>
      <c r="J157" s="9" t="s">
        <v>78</v>
      </c>
      <c r="K157" s="3">
        <v>1631</v>
      </c>
      <c r="L157" s="2">
        <v>0.05</v>
      </c>
      <c r="M157" s="1">
        <v>3098.9</v>
      </c>
      <c r="N157">
        <f t="shared" si="44"/>
        <v>24</v>
      </c>
      <c r="O157" s="5">
        <f t="shared" si="45"/>
        <v>12</v>
      </c>
      <c r="P157">
        <f>YEAR(Table1[[#This Row],[OrderDate]])</f>
        <v>2023</v>
      </c>
      <c r="Q157" s="8">
        <f t="shared" si="46"/>
        <v>45284</v>
      </c>
      <c r="R157">
        <f t="shared" ca="1" si="47"/>
        <v>2</v>
      </c>
      <c r="S157">
        <f t="shared" si="48"/>
        <v>-84</v>
      </c>
      <c r="T157">
        <f t="shared" si="49"/>
        <v>182</v>
      </c>
      <c r="U157" t="str">
        <f t="shared" si="50"/>
        <v>03-06-1900</v>
      </c>
      <c r="V157" t="str">
        <f t="shared" si="51"/>
        <v>Low</v>
      </c>
      <c r="W157" t="str">
        <f t="shared" si="52"/>
        <v>Sale</v>
      </c>
      <c r="X157" t="str">
        <f t="shared" si="53"/>
        <v>OK</v>
      </c>
      <c r="Y157" t="str">
        <f t="shared" si="54"/>
        <v>A</v>
      </c>
      <c r="Z157" t="str" cm="1">
        <f t="array" ref="Z157">_xlfn.IFS(
I157&gt;50000,"Premium",
I157&gt;=20000,"Regular",
TRUE,"Basic"
)</f>
        <v>Basic</v>
      </c>
    </row>
    <row r="158" spans="1:26" x14ac:dyDescent="0.3">
      <c r="A158" s="5">
        <v>157</v>
      </c>
      <c r="B158" s="5">
        <v>1059</v>
      </c>
      <c r="C158" t="s">
        <v>40</v>
      </c>
      <c r="D158" t="s">
        <v>34</v>
      </c>
      <c r="E158" t="s">
        <v>31</v>
      </c>
      <c r="F158" t="s">
        <v>16</v>
      </c>
      <c r="G158" s="5">
        <v>13</v>
      </c>
      <c r="H158" s="1">
        <v>1766</v>
      </c>
      <c r="I158" s="4">
        <v>22958</v>
      </c>
      <c r="J158" s="9" t="s">
        <v>81</v>
      </c>
      <c r="K158" s="3">
        <v>1766</v>
      </c>
      <c r="L158" s="2">
        <v>0.1</v>
      </c>
      <c r="M158" s="1">
        <v>20662.2</v>
      </c>
      <c r="N158">
        <f t="shared" si="44"/>
        <v>19</v>
      </c>
      <c r="O158" s="5">
        <f t="shared" si="45"/>
        <v>4</v>
      </c>
      <c r="P158">
        <f>YEAR(Table1[[#This Row],[OrderDate]])</f>
        <v>2023</v>
      </c>
      <c r="Q158" s="8">
        <f t="shared" si="46"/>
        <v>45035</v>
      </c>
      <c r="R158">
        <f t="shared" ca="1" si="47"/>
        <v>3</v>
      </c>
      <c r="S158">
        <f t="shared" si="48"/>
        <v>118</v>
      </c>
      <c r="T158">
        <f t="shared" si="49"/>
        <v>182</v>
      </c>
      <c r="U158" t="str">
        <f t="shared" si="50"/>
        <v>04-06-1900</v>
      </c>
      <c r="V158" t="str">
        <f t="shared" si="51"/>
        <v>Medium</v>
      </c>
      <c r="W158" t="str">
        <f t="shared" si="52"/>
        <v>Sale</v>
      </c>
      <c r="X158" t="str">
        <f t="shared" si="53"/>
        <v>OK</v>
      </c>
      <c r="Y158" t="str">
        <f t="shared" si="54"/>
        <v>A</v>
      </c>
      <c r="Z158" t="str" cm="1">
        <f t="array" ref="Z158">_xlfn.IFS(
I158&gt;50000,"Premium",
I158&gt;=20000,"Regular",
TRUE,"Basic"
)</f>
        <v>Regular</v>
      </c>
    </row>
    <row r="159" spans="1:26" x14ac:dyDescent="0.3">
      <c r="A159" s="5">
        <v>158</v>
      </c>
      <c r="B159" s="5">
        <v>1088</v>
      </c>
      <c r="C159" t="s">
        <v>22</v>
      </c>
      <c r="D159" t="s">
        <v>19</v>
      </c>
      <c r="E159" t="s">
        <v>41</v>
      </c>
      <c r="F159" t="s">
        <v>27</v>
      </c>
      <c r="G159" s="5">
        <v>8</v>
      </c>
      <c r="H159" s="1">
        <v>3181</v>
      </c>
      <c r="I159" s="4">
        <v>25448</v>
      </c>
      <c r="J159" s="9" t="s">
        <v>125</v>
      </c>
      <c r="K159" s="3">
        <v>3181</v>
      </c>
      <c r="L159" s="2">
        <v>0.1</v>
      </c>
      <c r="M159" s="1">
        <v>22903.200000000001</v>
      </c>
      <c r="N159">
        <f t="shared" si="44"/>
        <v>2</v>
      </c>
      <c r="O159" s="5">
        <f t="shared" si="45"/>
        <v>10</v>
      </c>
      <c r="P159">
        <f>YEAR(Table1[[#This Row],[OrderDate]])</f>
        <v>2023</v>
      </c>
      <c r="Q159" s="8">
        <f t="shared" si="46"/>
        <v>45201</v>
      </c>
      <c r="R159">
        <f t="shared" ca="1" si="47"/>
        <v>2</v>
      </c>
      <c r="S159">
        <f t="shared" si="48"/>
        <v>55</v>
      </c>
      <c r="T159">
        <f t="shared" si="49"/>
        <v>182</v>
      </c>
      <c r="U159" t="str">
        <f t="shared" si="50"/>
        <v>05-06-1900</v>
      </c>
      <c r="V159" t="str">
        <f t="shared" si="51"/>
        <v>Medium</v>
      </c>
      <c r="W159" t="str">
        <f t="shared" si="52"/>
        <v>Sale</v>
      </c>
      <c r="X159" t="str">
        <f t="shared" si="53"/>
        <v>OK</v>
      </c>
      <c r="Y159" t="str">
        <f t="shared" si="54"/>
        <v>A</v>
      </c>
      <c r="Z159" t="str" cm="1">
        <f t="array" ref="Z159">_xlfn.IFS(
I159&gt;50000,"Premium",
I159&gt;=20000,"Regular",
TRUE,"Basic"
)</f>
        <v>Regular</v>
      </c>
    </row>
    <row r="160" spans="1:26" x14ac:dyDescent="0.3">
      <c r="A160" s="5">
        <v>159</v>
      </c>
      <c r="B160" s="5">
        <v>1098</v>
      </c>
      <c r="C160" t="s">
        <v>29</v>
      </c>
      <c r="D160" t="s">
        <v>34</v>
      </c>
      <c r="E160" t="s">
        <v>20</v>
      </c>
      <c r="F160" t="s">
        <v>27</v>
      </c>
      <c r="G160" s="5">
        <v>10</v>
      </c>
      <c r="H160" s="1">
        <v>3095</v>
      </c>
      <c r="I160" s="4">
        <v>30950</v>
      </c>
      <c r="J160" s="9" t="s">
        <v>142</v>
      </c>
      <c r="K160" s="3">
        <v>3095</v>
      </c>
      <c r="L160" s="2">
        <v>0.1</v>
      </c>
      <c r="M160" s="1">
        <v>27855</v>
      </c>
      <c r="N160">
        <f t="shared" si="44"/>
        <v>29</v>
      </c>
      <c r="O160" s="5">
        <f t="shared" si="45"/>
        <v>8</v>
      </c>
      <c r="P160">
        <f>YEAR(Table1[[#This Row],[OrderDate]])</f>
        <v>2023</v>
      </c>
      <c r="Q160" s="8">
        <f t="shared" si="46"/>
        <v>45167</v>
      </c>
      <c r="R160">
        <f t="shared" ca="1" si="47"/>
        <v>2</v>
      </c>
      <c r="S160">
        <f t="shared" si="48"/>
        <v>-113</v>
      </c>
      <c r="T160">
        <f t="shared" si="49"/>
        <v>182</v>
      </c>
      <c r="U160" t="str">
        <f t="shared" si="50"/>
        <v>06-06-1900</v>
      </c>
      <c r="V160" t="str">
        <f t="shared" si="51"/>
        <v>Medium</v>
      </c>
      <c r="W160" t="str">
        <f t="shared" si="52"/>
        <v>Sale</v>
      </c>
      <c r="X160" t="str">
        <f t="shared" si="53"/>
        <v>OK</v>
      </c>
      <c r="Y160" t="str">
        <f t="shared" si="54"/>
        <v>A</v>
      </c>
      <c r="Z160" t="str" cm="1">
        <f t="array" ref="Z160">_xlfn.IFS(
I160&gt;50000,"Premium",
I160&gt;=20000,"Regular",
TRUE,"Basic"
)</f>
        <v>Regular</v>
      </c>
    </row>
    <row r="161" spans="1:26" x14ac:dyDescent="0.3">
      <c r="A161" s="5">
        <v>160</v>
      </c>
      <c r="B161" s="5">
        <v>1042</v>
      </c>
      <c r="C161" t="s">
        <v>22</v>
      </c>
      <c r="D161" t="s">
        <v>19</v>
      </c>
      <c r="E161" t="s">
        <v>20</v>
      </c>
      <c r="F161" t="s">
        <v>27</v>
      </c>
      <c r="G161" s="5">
        <v>4</v>
      </c>
      <c r="H161" s="1">
        <v>1037</v>
      </c>
      <c r="I161" s="4">
        <v>4148</v>
      </c>
      <c r="J161" s="9" t="s">
        <v>166</v>
      </c>
      <c r="K161" s="3">
        <v>1037</v>
      </c>
      <c r="L161" s="2">
        <v>0.05</v>
      </c>
      <c r="M161" s="1">
        <v>3940.6</v>
      </c>
      <c r="N161">
        <f t="shared" si="44"/>
        <v>16</v>
      </c>
      <c r="O161" s="5">
        <f t="shared" si="45"/>
        <v>7</v>
      </c>
      <c r="P161">
        <f>YEAR(Table1[[#This Row],[OrderDate]])</f>
        <v>2023</v>
      </c>
      <c r="Q161" s="8">
        <f t="shared" si="46"/>
        <v>45123</v>
      </c>
      <c r="R161">
        <f t="shared" ca="1" si="47"/>
        <v>2</v>
      </c>
      <c r="S161">
        <f t="shared" si="48"/>
        <v>-42</v>
      </c>
      <c r="T161">
        <f t="shared" si="49"/>
        <v>182</v>
      </c>
      <c r="U161" t="str">
        <f t="shared" si="50"/>
        <v>07-06-1900</v>
      </c>
      <c r="V161" t="str">
        <f t="shared" si="51"/>
        <v>Low</v>
      </c>
      <c r="W161" t="str">
        <f t="shared" si="52"/>
        <v>Sale</v>
      </c>
      <c r="X161" t="str">
        <f t="shared" si="53"/>
        <v>OK</v>
      </c>
      <c r="Y161" t="str">
        <f t="shared" si="54"/>
        <v>A</v>
      </c>
      <c r="Z161" t="str" cm="1">
        <f t="array" ref="Z161">_xlfn.IFS(
I161&gt;50000,"Premium",
I161&gt;=20000,"Regular",
TRUE,"Basic"
)</f>
        <v>Basic</v>
      </c>
    </row>
    <row r="162" spans="1:26" x14ac:dyDescent="0.3">
      <c r="A162" s="5">
        <v>161</v>
      </c>
      <c r="B162" s="5">
        <v>1070</v>
      </c>
      <c r="C162" t="s">
        <v>40</v>
      </c>
      <c r="D162" t="s">
        <v>19</v>
      </c>
      <c r="E162" t="s">
        <v>26</v>
      </c>
      <c r="F162" t="s">
        <v>16</v>
      </c>
      <c r="G162" s="5">
        <v>5</v>
      </c>
      <c r="H162" s="1">
        <v>2638</v>
      </c>
      <c r="I162" s="4">
        <v>13190</v>
      </c>
      <c r="J162" s="9" t="s">
        <v>142</v>
      </c>
      <c r="K162" s="3">
        <v>2638</v>
      </c>
      <c r="L162" s="2">
        <v>0.1</v>
      </c>
      <c r="M162" s="1">
        <v>11871</v>
      </c>
      <c r="N162">
        <f t="shared" ref="N162:N193" si="55">DAY(J162)</f>
        <v>29</v>
      </c>
      <c r="O162" s="5">
        <f t="shared" ref="O162:O193" si="56">MONTH(J:J)</f>
        <v>8</v>
      </c>
      <c r="P162">
        <f>YEAR(Table1[[#This Row],[OrderDate]])</f>
        <v>2023</v>
      </c>
      <c r="Q162" s="8">
        <f t="shared" ref="Q162:Q193" si="57">DATEVALUE(J162)</f>
        <v>45167</v>
      </c>
      <c r="R162">
        <f t="shared" ref="R162:R193" ca="1" si="58">DATEDIF(J162, TODAY(), "Y")</f>
        <v>2</v>
      </c>
      <c r="S162">
        <f t="shared" ref="S162:S193" si="59">NETWORKDAYS(J162,J167)</f>
        <v>-106</v>
      </c>
      <c r="T162">
        <f t="shared" ref="T162:T193" si="60">EOMONTH(A161,0)</f>
        <v>182</v>
      </c>
      <c r="U162" t="str">
        <f t="shared" ref="U162:U193" si="61">TEXT(A161,"DD-MM-YYYY")</f>
        <v>08-06-1900</v>
      </c>
      <c r="V162" t="str">
        <f t="shared" ref="V162:V193" si="62">IF(I162&gt;50000,"High",IF(I162&gt;=20000,"Medium","Low"))</f>
        <v>Low</v>
      </c>
      <c r="W162" t="str">
        <f t="shared" ref="W162:W193" si="63">IF(G162&lt;0,"Return","Sale")</f>
        <v>Sale</v>
      </c>
      <c r="X162" t="str">
        <f t="shared" ref="X162:X193" si="64">IF(ISBLANK(W162),"Missing","OK")</f>
        <v>OK</v>
      </c>
      <c r="Y162" t="str">
        <f t="shared" ref="Y162:Y193" si="65">IF(A161&gt;=9,"A",IF(A161&gt;=7,"B",IF(A161&gt;=0,"C","no order")))</f>
        <v>A</v>
      </c>
      <c r="Z162" t="str" cm="1">
        <f t="array" ref="Z162">_xlfn.IFS(
I162&gt;50000,"Premium",
I162&gt;=20000,"Regular",
TRUE,"Basic"
)</f>
        <v>Basic</v>
      </c>
    </row>
    <row r="163" spans="1:26" x14ac:dyDescent="0.3">
      <c r="A163" s="5">
        <v>162</v>
      </c>
      <c r="B163" s="5">
        <v>1100</v>
      </c>
      <c r="C163" t="s">
        <v>22</v>
      </c>
      <c r="D163" t="s">
        <v>19</v>
      </c>
      <c r="E163" t="s">
        <v>31</v>
      </c>
      <c r="F163" t="s">
        <v>16</v>
      </c>
      <c r="G163" s="5">
        <v>8</v>
      </c>
      <c r="H163" s="1">
        <v>3170</v>
      </c>
      <c r="I163" s="4">
        <v>25360</v>
      </c>
      <c r="J163" s="9" t="s">
        <v>167</v>
      </c>
      <c r="K163" s="3">
        <v>3170</v>
      </c>
      <c r="L163" s="2">
        <v>0.1</v>
      </c>
      <c r="M163" s="1">
        <v>22824</v>
      </c>
      <c r="N163">
        <f t="shared" si="55"/>
        <v>30</v>
      </c>
      <c r="O163" s="5">
        <f t="shared" si="56"/>
        <v>9</v>
      </c>
      <c r="P163">
        <f>YEAR(Table1[[#This Row],[OrderDate]])</f>
        <v>2023</v>
      </c>
      <c r="Q163" s="8">
        <f t="shared" si="57"/>
        <v>45199</v>
      </c>
      <c r="R163">
        <f t="shared" ca="1" si="58"/>
        <v>2</v>
      </c>
      <c r="S163">
        <f t="shared" si="59"/>
        <v>-4</v>
      </c>
      <c r="T163">
        <f t="shared" si="60"/>
        <v>182</v>
      </c>
      <c r="U163" t="str">
        <f t="shared" si="61"/>
        <v>09-06-1900</v>
      </c>
      <c r="V163" t="str">
        <f t="shared" si="62"/>
        <v>Medium</v>
      </c>
      <c r="W163" t="str">
        <f t="shared" si="63"/>
        <v>Sale</v>
      </c>
      <c r="X163" t="str">
        <f t="shared" si="64"/>
        <v>OK</v>
      </c>
      <c r="Y163" t="str">
        <f t="shared" si="65"/>
        <v>A</v>
      </c>
      <c r="Z163" t="str" cm="1">
        <f t="array" ref="Z163">_xlfn.IFS(
I163&gt;50000,"Premium",
I163&gt;=20000,"Regular",
TRUE,"Basic"
)</f>
        <v>Regular</v>
      </c>
    </row>
    <row r="164" spans="1:26" x14ac:dyDescent="0.3">
      <c r="A164" s="5">
        <v>163</v>
      </c>
      <c r="B164" s="5">
        <v>1085</v>
      </c>
      <c r="C164" t="s">
        <v>18</v>
      </c>
      <c r="D164" t="s">
        <v>23</v>
      </c>
      <c r="E164" t="s">
        <v>31</v>
      </c>
      <c r="F164" t="s">
        <v>16</v>
      </c>
      <c r="G164" s="5">
        <v>15</v>
      </c>
      <c r="H164" s="1">
        <v>2296</v>
      </c>
      <c r="I164" s="4">
        <v>34440</v>
      </c>
      <c r="J164" s="9" t="s">
        <v>168</v>
      </c>
      <c r="K164" s="3">
        <v>2296</v>
      </c>
      <c r="L164" s="2">
        <v>0.1</v>
      </c>
      <c r="M164" s="1">
        <v>30996</v>
      </c>
      <c r="N164">
        <f t="shared" si="55"/>
        <v>17</v>
      </c>
      <c r="O164" s="5">
        <f t="shared" si="56"/>
        <v>12</v>
      </c>
      <c r="P164">
        <f>YEAR(Table1[[#This Row],[OrderDate]])</f>
        <v>2023</v>
      </c>
      <c r="Q164" s="8">
        <f t="shared" si="57"/>
        <v>45277</v>
      </c>
      <c r="R164">
        <f t="shared" ca="1" si="58"/>
        <v>2</v>
      </c>
      <c r="S164">
        <f t="shared" si="59"/>
        <v>-65</v>
      </c>
      <c r="T164">
        <f t="shared" si="60"/>
        <v>182</v>
      </c>
      <c r="U164" t="str">
        <f t="shared" si="61"/>
        <v>10-06-1900</v>
      </c>
      <c r="V164" t="str">
        <f t="shared" si="62"/>
        <v>Medium</v>
      </c>
      <c r="W164" t="str">
        <f t="shared" si="63"/>
        <v>Sale</v>
      </c>
      <c r="X164" t="str">
        <f t="shared" si="64"/>
        <v>OK</v>
      </c>
      <c r="Y164" t="str">
        <f t="shared" si="65"/>
        <v>A</v>
      </c>
      <c r="Z164" t="str" cm="1">
        <f t="array" ref="Z164">_xlfn.IFS(
I164&gt;50000,"Premium",
I164&gt;=20000,"Regular",
TRUE,"Basic"
)</f>
        <v>Regular</v>
      </c>
    </row>
    <row r="165" spans="1:26" x14ac:dyDescent="0.3">
      <c r="A165" s="5">
        <v>164</v>
      </c>
      <c r="B165" s="5">
        <v>1084</v>
      </c>
      <c r="C165" t="s">
        <v>22</v>
      </c>
      <c r="D165" t="s">
        <v>25</v>
      </c>
      <c r="E165" t="s">
        <v>20</v>
      </c>
      <c r="F165" t="s">
        <v>27</v>
      </c>
      <c r="G165" s="5">
        <v>1</v>
      </c>
      <c r="H165" s="1">
        <v>3966</v>
      </c>
      <c r="I165" s="4">
        <v>3966</v>
      </c>
      <c r="J165" s="9" t="s">
        <v>169</v>
      </c>
      <c r="K165" s="3">
        <v>3966</v>
      </c>
      <c r="L165" s="2">
        <v>0.05</v>
      </c>
      <c r="M165" s="1">
        <v>3767.7</v>
      </c>
      <c r="N165">
        <f t="shared" si="55"/>
        <v>24</v>
      </c>
      <c r="O165" s="5">
        <f t="shared" si="56"/>
        <v>3</v>
      </c>
      <c r="P165">
        <f>YEAR(Table1[[#This Row],[OrderDate]])</f>
        <v>2023</v>
      </c>
      <c r="Q165" s="8">
        <f t="shared" si="57"/>
        <v>45009</v>
      </c>
      <c r="R165">
        <f t="shared" ca="1" si="58"/>
        <v>3</v>
      </c>
      <c r="S165">
        <f t="shared" si="59"/>
        <v>194</v>
      </c>
      <c r="T165">
        <f t="shared" si="60"/>
        <v>182</v>
      </c>
      <c r="U165" t="str">
        <f t="shared" si="61"/>
        <v>11-06-1900</v>
      </c>
      <c r="V165" t="str">
        <f t="shared" si="62"/>
        <v>Low</v>
      </c>
      <c r="W165" t="str">
        <f t="shared" si="63"/>
        <v>Sale</v>
      </c>
      <c r="X165" t="str">
        <f t="shared" si="64"/>
        <v>OK</v>
      </c>
      <c r="Y165" t="str">
        <f t="shared" si="65"/>
        <v>A</v>
      </c>
      <c r="Z165" t="str" cm="1">
        <f t="array" ref="Z165">_xlfn.IFS(
I165&gt;50000,"Premium",
I165&gt;=20000,"Regular",
TRUE,"Basic"
)</f>
        <v>Basic</v>
      </c>
    </row>
    <row r="166" spans="1:26" x14ac:dyDescent="0.3">
      <c r="A166" s="5">
        <v>165</v>
      </c>
      <c r="B166" s="5">
        <v>1009</v>
      </c>
      <c r="C166" t="s">
        <v>29</v>
      </c>
      <c r="D166" t="s">
        <v>14</v>
      </c>
      <c r="E166" t="s">
        <v>20</v>
      </c>
      <c r="F166" t="s">
        <v>16</v>
      </c>
      <c r="G166" s="5">
        <v>20</v>
      </c>
      <c r="H166" s="1">
        <v>136</v>
      </c>
      <c r="I166" s="4">
        <v>2720</v>
      </c>
      <c r="J166" s="9" t="s">
        <v>66</v>
      </c>
      <c r="K166" s="3">
        <v>136</v>
      </c>
      <c r="L166" s="2">
        <v>0.05</v>
      </c>
      <c r="M166" s="1">
        <v>2584</v>
      </c>
      <c r="N166">
        <f t="shared" si="55"/>
        <v>18</v>
      </c>
      <c r="O166" s="5">
        <f t="shared" si="56"/>
        <v>5</v>
      </c>
      <c r="P166">
        <f>YEAR(Table1[[#This Row],[OrderDate]])</f>
        <v>2023</v>
      </c>
      <c r="Q166" s="8">
        <f t="shared" si="57"/>
        <v>45064</v>
      </c>
      <c r="R166">
        <f t="shared" ca="1" si="58"/>
        <v>2</v>
      </c>
      <c r="S166">
        <f t="shared" si="59"/>
        <v>92</v>
      </c>
      <c r="T166">
        <f t="shared" si="60"/>
        <v>182</v>
      </c>
      <c r="U166" t="str">
        <f t="shared" si="61"/>
        <v>12-06-1900</v>
      </c>
      <c r="V166" t="str">
        <f t="shared" si="62"/>
        <v>Low</v>
      </c>
      <c r="W166" t="str">
        <f t="shared" si="63"/>
        <v>Sale</v>
      </c>
      <c r="X166" t="str">
        <f t="shared" si="64"/>
        <v>OK</v>
      </c>
      <c r="Y166" t="str">
        <f t="shared" si="65"/>
        <v>A</v>
      </c>
      <c r="Z166" t="str" cm="1">
        <f t="array" ref="Z166">_xlfn.IFS(
I166&gt;50000,"Premium",
I166&gt;=20000,"Regular",
TRUE,"Basic"
)</f>
        <v>Basic</v>
      </c>
    </row>
    <row r="167" spans="1:26" x14ac:dyDescent="0.3">
      <c r="A167" s="5">
        <v>166</v>
      </c>
      <c r="B167" s="5">
        <v>1080</v>
      </c>
      <c r="C167" t="s">
        <v>13</v>
      </c>
      <c r="D167" t="s">
        <v>23</v>
      </c>
      <c r="E167" t="s">
        <v>20</v>
      </c>
      <c r="F167" t="s">
        <v>16</v>
      </c>
      <c r="G167" s="5">
        <v>6</v>
      </c>
      <c r="H167" s="1">
        <v>3245</v>
      </c>
      <c r="I167" s="4">
        <v>19470</v>
      </c>
      <c r="J167" s="9" t="s">
        <v>57</v>
      </c>
      <c r="K167" s="3">
        <v>3245</v>
      </c>
      <c r="L167" s="2">
        <v>0.1</v>
      </c>
      <c r="M167" s="1">
        <v>17523</v>
      </c>
      <c r="N167">
        <f t="shared" si="55"/>
        <v>4</v>
      </c>
      <c r="O167" s="5">
        <f t="shared" si="56"/>
        <v>4</v>
      </c>
      <c r="P167">
        <f>YEAR(Table1[[#This Row],[OrderDate]])</f>
        <v>2023</v>
      </c>
      <c r="Q167" s="8">
        <f t="shared" si="57"/>
        <v>45020</v>
      </c>
      <c r="R167">
        <f t="shared" ca="1" si="58"/>
        <v>3</v>
      </c>
      <c r="S167">
        <f t="shared" si="59"/>
        <v>164</v>
      </c>
      <c r="T167">
        <f t="shared" si="60"/>
        <v>182</v>
      </c>
      <c r="U167" t="str">
        <f t="shared" si="61"/>
        <v>13-06-1900</v>
      </c>
      <c r="V167" t="str">
        <f t="shared" si="62"/>
        <v>Low</v>
      </c>
      <c r="W167" t="str">
        <f t="shared" si="63"/>
        <v>Sale</v>
      </c>
      <c r="X167" t="str">
        <f t="shared" si="64"/>
        <v>OK</v>
      </c>
      <c r="Y167" t="str">
        <f t="shared" si="65"/>
        <v>A</v>
      </c>
      <c r="Z167" t="str" cm="1">
        <f t="array" ref="Z167">_xlfn.IFS(
I167&gt;50000,"Premium",
I167&gt;=20000,"Regular",
TRUE,"Basic"
)</f>
        <v>Basic</v>
      </c>
    </row>
    <row r="168" spans="1:26" x14ac:dyDescent="0.3">
      <c r="A168" s="5">
        <v>167</v>
      </c>
      <c r="B168" s="5">
        <v>1055</v>
      </c>
      <c r="C168" t="s">
        <v>29</v>
      </c>
      <c r="D168" t="s">
        <v>34</v>
      </c>
      <c r="E168" t="s">
        <v>41</v>
      </c>
      <c r="F168" t="s">
        <v>27</v>
      </c>
      <c r="G168" s="5">
        <v>2</v>
      </c>
      <c r="H168" s="1">
        <v>4104</v>
      </c>
      <c r="I168" s="4">
        <v>8208</v>
      </c>
      <c r="J168" s="9" t="s">
        <v>170</v>
      </c>
      <c r="K168" s="3">
        <v>4104</v>
      </c>
      <c r="L168" s="2">
        <v>0.1</v>
      </c>
      <c r="M168" s="1">
        <v>7387.2</v>
      </c>
      <c r="N168">
        <f t="shared" si="55"/>
        <v>26</v>
      </c>
      <c r="O168" s="5">
        <f t="shared" si="56"/>
        <v>9</v>
      </c>
      <c r="P168">
        <f>YEAR(Table1[[#This Row],[OrderDate]])</f>
        <v>2023</v>
      </c>
      <c r="Q168" s="8">
        <f t="shared" si="57"/>
        <v>45195</v>
      </c>
      <c r="R168">
        <f t="shared" ca="1" si="58"/>
        <v>2</v>
      </c>
      <c r="S168">
        <f t="shared" si="59"/>
        <v>-97</v>
      </c>
      <c r="T168">
        <f t="shared" si="60"/>
        <v>182</v>
      </c>
      <c r="U168" t="str">
        <f t="shared" si="61"/>
        <v>14-06-1900</v>
      </c>
      <c r="V168" t="str">
        <f t="shared" si="62"/>
        <v>Low</v>
      </c>
      <c r="W168" t="str">
        <f t="shared" si="63"/>
        <v>Sale</v>
      </c>
      <c r="X168" t="str">
        <f t="shared" si="64"/>
        <v>OK</v>
      </c>
      <c r="Y168" t="str">
        <f t="shared" si="65"/>
        <v>A</v>
      </c>
      <c r="Z168" t="str" cm="1">
        <f t="array" ref="Z168">_xlfn.IFS(
I168&gt;50000,"Premium",
I168&gt;=20000,"Regular",
TRUE,"Basic"
)</f>
        <v>Basic</v>
      </c>
    </row>
    <row r="169" spans="1:26" x14ac:dyDescent="0.3">
      <c r="A169" s="5">
        <v>168</v>
      </c>
      <c r="B169" s="5">
        <v>1045</v>
      </c>
      <c r="C169" t="s">
        <v>18</v>
      </c>
      <c r="D169" t="s">
        <v>19</v>
      </c>
      <c r="E169" t="s">
        <v>31</v>
      </c>
      <c r="F169" t="s">
        <v>27</v>
      </c>
      <c r="G169" s="5">
        <v>1</v>
      </c>
      <c r="H169" s="1">
        <v>2387</v>
      </c>
      <c r="I169" s="4">
        <v>2387</v>
      </c>
      <c r="J169" s="9" t="s">
        <v>127</v>
      </c>
      <c r="K169" s="3">
        <v>2387</v>
      </c>
      <c r="L169" s="2">
        <v>0.05</v>
      </c>
      <c r="M169" s="1">
        <v>2267.65</v>
      </c>
      <c r="N169">
        <f t="shared" si="55"/>
        <v>16</v>
      </c>
      <c r="O169" s="5">
        <f t="shared" si="56"/>
        <v>9</v>
      </c>
      <c r="P169">
        <f>YEAR(Table1[[#This Row],[OrderDate]])</f>
        <v>2023</v>
      </c>
      <c r="Q169" s="8">
        <f t="shared" si="57"/>
        <v>45185</v>
      </c>
      <c r="R169">
        <f t="shared" ca="1" si="58"/>
        <v>2</v>
      </c>
      <c r="S169">
        <f t="shared" si="59"/>
        <v>-182</v>
      </c>
      <c r="T169">
        <f t="shared" si="60"/>
        <v>182</v>
      </c>
      <c r="U169" t="str">
        <f t="shared" si="61"/>
        <v>15-06-1900</v>
      </c>
      <c r="V169" t="str">
        <f t="shared" si="62"/>
        <v>Low</v>
      </c>
      <c r="W169" t="str">
        <f t="shared" si="63"/>
        <v>Sale</v>
      </c>
      <c r="X169" t="str">
        <f t="shared" si="64"/>
        <v>OK</v>
      </c>
      <c r="Y169" t="str">
        <f t="shared" si="65"/>
        <v>A</v>
      </c>
      <c r="Z169" t="str" cm="1">
        <f t="array" ref="Z169">_xlfn.IFS(
I169&gt;50000,"Premium",
I169&gt;=20000,"Regular",
TRUE,"Basic"
)</f>
        <v>Basic</v>
      </c>
    </row>
    <row r="170" spans="1:26" x14ac:dyDescent="0.3">
      <c r="A170" s="5">
        <v>169</v>
      </c>
      <c r="B170" s="5">
        <v>1051</v>
      </c>
      <c r="C170" t="s">
        <v>29</v>
      </c>
      <c r="D170" t="s">
        <v>19</v>
      </c>
      <c r="E170" t="s">
        <v>20</v>
      </c>
      <c r="F170" t="s">
        <v>27</v>
      </c>
      <c r="G170" s="5">
        <v>6</v>
      </c>
      <c r="H170" s="1">
        <v>947</v>
      </c>
      <c r="I170" s="4">
        <v>5682</v>
      </c>
      <c r="J170" s="9" t="s">
        <v>171</v>
      </c>
      <c r="K170" s="3">
        <v>947</v>
      </c>
      <c r="L170" s="2">
        <v>0.1</v>
      </c>
      <c r="M170" s="1">
        <v>5113.8</v>
      </c>
      <c r="N170">
        <f t="shared" si="55"/>
        <v>20</v>
      </c>
      <c r="O170" s="5">
        <f t="shared" si="56"/>
        <v>12</v>
      </c>
      <c r="P170">
        <f>YEAR(Table1[[#This Row],[OrderDate]])</f>
        <v>2023</v>
      </c>
      <c r="Q170" s="8">
        <f t="shared" si="57"/>
        <v>45280</v>
      </c>
      <c r="R170">
        <f t="shared" ca="1" si="58"/>
        <v>2</v>
      </c>
      <c r="S170">
        <f t="shared" si="59"/>
        <v>-165</v>
      </c>
      <c r="T170">
        <f t="shared" si="60"/>
        <v>182</v>
      </c>
      <c r="U170" t="str">
        <f t="shared" si="61"/>
        <v>16-06-1900</v>
      </c>
      <c r="V170" t="str">
        <f t="shared" si="62"/>
        <v>Low</v>
      </c>
      <c r="W170" t="str">
        <f t="shared" si="63"/>
        <v>Sale</v>
      </c>
      <c r="X170" t="str">
        <f t="shared" si="64"/>
        <v>OK</v>
      </c>
      <c r="Y170" t="str">
        <f t="shared" si="65"/>
        <v>A</v>
      </c>
      <c r="Z170" t="str" cm="1">
        <f t="array" ref="Z170">_xlfn.IFS(
I170&gt;50000,"Premium",
I170&gt;=20000,"Regular",
TRUE,"Basic"
)</f>
        <v>Basic</v>
      </c>
    </row>
    <row r="171" spans="1:26" x14ac:dyDescent="0.3">
      <c r="A171" s="5">
        <v>170</v>
      </c>
      <c r="B171" s="5">
        <v>1059</v>
      </c>
      <c r="C171" t="s">
        <v>29</v>
      </c>
      <c r="D171" t="s">
        <v>14</v>
      </c>
      <c r="E171" t="s">
        <v>20</v>
      </c>
      <c r="F171" t="s">
        <v>27</v>
      </c>
      <c r="G171" s="5">
        <v>17</v>
      </c>
      <c r="H171" s="1">
        <v>2001</v>
      </c>
      <c r="I171" s="4">
        <v>34017</v>
      </c>
      <c r="J171" s="9" t="s">
        <v>129</v>
      </c>
      <c r="K171" s="3">
        <v>2001</v>
      </c>
      <c r="L171" s="2">
        <v>0.1</v>
      </c>
      <c r="M171" s="1">
        <v>30615.3</v>
      </c>
      <c r="N171">
        <f t="shared" si="55"/>
        <v>23</v>
      </c>
      <c r="O171" s="5">
        <f t="shared" si="56"/>
        <v>9</v>
      </c>
      <c r="P171">
        <f>YEAR(Table1[[#This Row],[OrderDate]])</f>
        <v>2023</v>
      </c>
      <c r="Q171" s="8">
        <f t="shared" si="57"/>
        <v>45192</v>
      </c>
      <c r="R171">
        <f t="shared" ca="1" si="58"/>
        <v>2</v>
      </c>
      <c r="S171">
        <f t="shared" si="59"/>
        <v>20</v>
      </c>
      <c r="T171">
        <f t="shared" si="60"/>
        <v>182</v>
      </c>
      <c r="U171" t="str">
        <f t="shared" si="61"/>
        <v>17-06-1900</v>
      </c>
      <c r="V171" t="str">
        <f t="shared" si="62"/>
        <v>Medium</v>
      </c>
      <c r="W171" t="str">
        <f t="shared" si="63"/>
        <v>Sale</v>
      </c>
      <c r="X171" t="str">
        <f t="shared" si="64"/>
        <v>OK</v>
      </c>
      <c r="Y171" t="str">
        <f t="shared" si="65"/>
        <v>A</v>
      </c>
      <c r="Z171" t="str" cm="1">
        <f t="array" ref="Z171">_xlfn.IFS(
I171&gt;50000,"Premium",
I171&gt;=20000,"Regular",
TRUE,"Basic"
)</f>
        <v>Regular</v>
      </c>
    </row>
    <row r="172" spans="1:26" x14ac:dyDescent="0.3">
      <c r="A172" s="5">
        <v>171</v>
      </c>
      <c r="B172" s="5">
        <v>1027</v>
      </c>
      <c r="C172" t="s">
        <v>29</v>
      </c>
      <c r="D172" t="s">
        <v>23</v>
      </c>
      <c r="E172" t="s">
        <v>41</v>
      </c>
      <c r="F172" t="s">
        <v>16</v>
      </c>
      <c r="G172" s="5">
        <v>4</v>
      </c>
      <c r="H172" s="1">
        <v>3417</v>
      </c>
      <c r="I172" s="4">
        <v>13668</v>
      </c>
      <c r="J172" s="9" t="s">
        <v>172</v>
      </c>
      <c r="K172" s="3">
        <v>3417</v>
      </c>
      <c r="L172" s="2">
        <v>0.1</v>
      </c>
      <c r="M172" s="1">
        <v>12301.2</v>
      </c>
      <c r="N172">
        <f t="shared" si="55"/>
        <v>18</v>
      </c>
      <c r="O172" s="5">
        <f t="shared" si="56"/>
        <v>11</v>
      </c>
      <c r="P172">
        <f>YEAR(Table1[[#This Row],[OrderDate]])</f>
        <v>2023</v>
      </c>
      <c r="Q172" s="8">
        <f t="shared" si="57"/>
        <v>45248</v>
      </c>
      <c r="R172">
        <f t="shared" ca="1" si="58"/>
        <v>2</v>
      </c>
      <c r="S172">
        <f t="shared" si="59"/>
        <v>-43</v>
      </c>
      <c r="T172">
        <f t="shared" si="60"/>
        <v>182</v>
      </c>
      <c r="U172" t="str">
        <f t="shared" si="61"/>
        <v>18-06-1900</v>
      </c>
      <c r="V172" t="str">
        <f t="shared" si="62"/>
        <v>Low</v>
      </c>
      <c r="W172" t="str">
        <f t="shared" si="63"/>
        <v>Sale</v>
      </c>
      <c r="X172" t="str">
        <f t="shared" si="64"/>
        <v>OK</v>
      </c>
      <c r="Y172" t="str">
        <f t="shared" si="65"/>
        <v>A</v>
      </c>
      <c r="Z172" t="str" cm="1">
        <f t="array" ref="Z172">_xlfn.IFS(
I172&gt;50000,"Premium",
I172&gt;=20000,"Regular",
TRUE,"Basic"
)</f>
        <v>Basic</v>
      </c>
    </row>
    <row r="173" spans="1:26" x14ac:dyDescent="0.3">
      <c r="A173" s="5">
        <v>172</v>
      </c>
      <c r="B173" s="5">
        <v>1004</v>
      </c>
      <c r="C173" t="s">
        <v>18</v>
      </c>
      <c r="D173" t="s">
        <v>25</v>
      </c>
      <c r="E173" t="s">
        <v>26</v>
      </c>
      <c r="F173" t="s">
        <v>27</v>
      </c>
      <c r="G173" s="5">
        <v>3</v>
      </c>
      <c r="H173" s="1">
        <v>2606</v>
      </c>
      <c r="I173" s="4">
        <v>7818</v>
      </c>
      <c r="J173" s="9" t="s">
        <v>173</v>
      </c>
      <c r="K173" s="3">
        <v>2606</v>
      </c>
      <c r="L173" s="2">
        <v>0.1</v>
      </c>
      <c r="M173" s="1">
        <v>7036.2</v>
      </c>
      <c r="N173">
        <f t="shared" si="55"/>
        <v>14</v>
      </c>
      <c r="O173" s="5">
        <f t="shared" si="56"/>
        <v>5</v>
      </c>
      <c r="P173">
        <f>YEAR(Table1[[#This Row],[OrderDate]])</f>
        <v>2023</v>
      </c>
      <c r="Q173" s="8">
        <f t="shared" si="57"/>
        <v>45060</v>
      </c>
      <c r="R173">
        <f t="shared" ca="1" si="58"/>
        <v>2</v>
      </c>
      <c r="S173">
        <f t="shared" si="59"/>
        <v>130</v>
      </c>
      <c r="T173">
        <f t="shared" si="60"/>
        <v>182</v>
      </c>
      <c r="U173" t="str">
        <f t="shared" si="61"/>
        <v>19-06-1900</v>
      </c>
      <c r="V173" t="str">
        <f t="shared" si="62"/>
        <v>Low</v>
      </c>
      <c r="W173" t="str">
        <f t="shared" si="63"/>
        <v>Sale</v>
      </c>
      <c r="X173" t="str">
        <f t="shared" si="64"/>
        <v>OK</v>
      </c>
      <c r="Y173" t="str">
        <f t="shared" si="65"/>
        <v>A</v>
      </c>
      <c r="Z173" t="str" cm="1">
        <f t="array" ref="Z173">_xlfn.IFS(
I173&gt;50000,"Premium",
I173&gt;=20000,"Regular",
TRUE,"Basic"
)</f>
        <v>Basic</v>
      </c>
    </row>
    <row r="174" spans="1:26" x14ac:dyDescent="0.3">
      <c r="A174" s="5">
        <v>173</v>
      </c>
      <c r="B174" s="5">
        <v>1094</v>
      </c>
      <c r="C174" t="s">
        <v>13</v>
      </c>
      <c r="D174" t="s">
        <v>34</v>
      </c>
      <c r="E174" t="s">
        <v>15</v>
      </c>
      <c r="F174" t="s">
        <v>27</v>
      </c>
      <c r="G174" s="5">
        <v>4</v>
      </c>
      <c r="H174" s="1">
        <v>579</v>
      </c>
      <c r="I174" s="4">
        <v>2316</v>
      </c>
      <c r="J174" s="9" t="s">
        <v>174</v>
      </c>
      <c r="K174" s="3">
        <v>579</v>
      </c>
      <c r="L174" s="2">
        <v>0.05</v>
      </c>
      <c r="M174" s="1">
        <v>2200.1999999999998</v>
      </c>
      <c r="N174">
        <f t="shared" si="55"/>
        <v>5</v>
      </c>
      <c r="O174" s="5">
        <f t="shared" si="56"/>
        <v>1</v>
      </c>
      <c r="P174">
        <f>YEAR(Table1[[#This Row],[OrderDate]])</f>
        <v>2023</v>
      </c>
      <c r="Q174" s="8">
        <f t="shared" si="57"/>
        <v>44931</v>
      </c>
      <c r="R174">
        <f t="shared" ca="1" si="58"/>
        <v>3</v>
      </c>
      <c r="S174">
        <f t="shared" si="59"/>
        <v>107</v>
      </c>
      <c r="T174">
        <f t="shared" si="60"/>
        <v>182</v>
      </c>
      <c r="U174" t="str">
        <f t="shared" si="61"/>
        <v>20-06-1900</v>
      </c>
      <c r="V174" t="str">
        <f t="shared" si="62"/>
        <v>Low</v>
      </c>
      <c r="W174" t="str">
        <f t="shared" si="63"/>
        <v>Sale</v>
      </c>
      <c r="X174" t="str">
        <f t="shared" si="64"/>
        <v>OK</v>
      </c>
      <c r="Y174" t="str">
        <f t="shared" si="65"/>
        <v>A</v>
      </c>
      <c r="Z174" t="str" cm="1">
        <f t="array" ref="Z174">_xlfn.IFS(
I174&gt;50000,"Premium",
I174&gt;=20000,"Regular",
TRUE,"Basic"
)</f>
        <v>Basic</v>
      </c>
    </row>
    <row r="175" spans="1:26" x14ac:dyDescent="0.3">
      <c r="A175" s="5">
        <v>174</v>
      </c>
      <c r="C175" t="s">
        <v>40</v>
      </c>
      <c r="D175" t="s">
        <v>14</v>
      </c>
      <c r="E175" t="s">
        <v>15</v>
      </c>
      <c r="F175" t="s">
        <v>27</v>
      </c>
      <c r="G175" s="5">
        <v>15</v>
      </c>
      <c r="H175" s="1">
        <v>4457</v>
      </c>
      <c r="I175" s="4">
        <v>66855</v>
      </c>
      <c r="J175" s="9" t="s">
        <v>175</v>
      </c>
      <c r="K175" s="3">
        <v>4457</v>
      </c>
      <c r="L175" s="2">
        <v>0.1</v>
      </c>
      <c r="M175" s="1">
        <v>60169.5</v>
      </c>
      <c r="N175">
        <f t="shared" si="55"/>
        <v>4</v>
      </c>
      <c r="O175" s="5">
        <f t="shared" si="56"/>
        <v>5</v>
      </c>
      <c r="P175">
        <f>YEAR(Table1[[#This Row],[OrderDate]])</f>
        <v>2023</v>
      </c>
      <c r="Q175" s="8">
        <f t="shared" si="57"/>
        <v>45050</v>
      </c>
      <c r="R175">
        <f t="shared" ca="1" si="58"/>
        <v>2</v>
      </c>
      <c r="S175">
        <f t="shared" si="59"/>
        <v>62</v>
      </c>
      <c r="T175">
        <f t="shared" si="60"/>
        <v>182</v>
      </c>
      <c r="U175" t="str">
        <f t="shared" si="61"/>
        <v>21-06-1900</v>
      </c>
      <c r="V175" t="str">
        <f t="shared" si="62"/>
        <v>High</v>
      </c>
      <c r="W175" t="str">
        <f t="shared" si="63"/>
        <v>Sale</v>
      </c>
      <c r="X175" t="str">
        <f t="shared" si="64"/>
        <v>OK</v>
      </c>
      <c r="Y175" t="str">
        <f t="shared" si="65"/>
        <v>A</v>
      </c>
      <c r="Z175" t="str" cm="1">
        <f t="array" ref="Z175">_xlfn.IFS(
I175&gt;50000,"Premium",
I175&gt;=20000,"Regular",
TRUE,"Basic"
)</f>
        <v>Premium</v>
      </c>
    </row>
    <row r="176" spans="1:26" x14ac:dyDescent="0.3">
      <c r="A176" s="5">
        <v>175</v>
      </c>
      <c r="B176" s="5">
        <v>1082</v>
      </c>
      <c r="C176" t="s">
        <v>13</v>
      </c>
      <c r="D176" t="s">
        <v>14</v>
      </c>
      <c r="E176" t="s">
        <v>15</v>
      </c>
      <c r="F176" t="s">
        <v>27</v>
      </c>
      <c r="G176" s="5">
        <v>19</v>
      </c>
      <c r="H176" s="1">
        <v>2434</v>
      </c>
      <c r="I176" s="4">
        <v>46246</v>
      </c>
      <c r="J176" s="9" t="s">
        <v>176</v>
      </c>
      <c r="K176" s="3">
        <v>2434</v>
      </c>
      <c r="L176" s="2">
        <v>0.1</v>
      </c>
      <c r="M176" s="1">
        <v>41621.4</v>
      </c>
      <c r="N176">
        <f t="shared" si="55"/>
        <v>21</v>
      </c>
      <c r="O176" s="5">
        <f t="shared" si="56"/>
        <v>10</v>
      </c>
      <c r="P176">
        <f>YEAR(Table1[[#This Row],[OrderDate]])</f>
        <v>2023</v>
      </c>
      <c r="Q176" s="8">
        <f t="shared" si="57"/>
        <v>45220</v>
      </c>
      <c r="R176">
        <f t="shared" ca="1" si="58"/>
        <v>2</v>
      </c>
      <c r="S176">
        <f t="shared" si="59"/>
        <v>-104</v>
      </c>
      <c r="T176">
        <f t="shared" si="60"/>
        <v>182</v>
      </c>
      <c r="U176" t="str">
        <f t="shared" si="61"/>
        <v>22-06-1900</v>
      </c>
      <c r="V176" t="str">
        <f t="shared" si="62"/>
        <v>Medium</v>
      </c>
      <c r="W176" t="str">
        <f t="shared" si="63"/>
        <v>Sale</v>
      </c>
      <c r="X176" t="str">
        <f t="shared" si="64"/>
        <v>OK</v>
      </c>
      <c r="Y176" t="str">
        <f t="shared" si="65"/>
        <v>A</v>
      </c>
      <c r="Z176" t="str" cm="1">
        <f t="array" ref="Z176">_xlfn.IFS(
I176&gt;50000,"Premium",
I176&gt;=20000,"Regular",
TRUE,"Basic"
)</f>
        <v>Regular</v>
      </c>
    </row>
    <row r="177" spans="1:26" x14ac:dyDescent="0.3">
      <c r="A177" s="5">
        <v>176</v>
      </c>
      <c r="B177" s="5">
        <v>1081</v>
      </c>
      <c r="C177" t="s">
        <v>18</v>
      </c>
      <c r="D177" t="s">
        <v>34</v>
      </c>
      <c r="E177" t="s">
        <v>20</v>
      </c>
      <c r="F177" t="s">
        <v>16</v>
      </c>
      <c r="G177" s="5">
        <v>15</v>
      </c>
      <c r="H177" s="1">
        <v>1406</v>
      </c>
      <c r="I177" s="4">
        <v>21090</v>
      </c>
      <c r="J177" s="9" t="s">
        <v>177</v>
      </c>
      <c r="K177" s="3">
        <v>1406</v>
      </c>
      <c r="L177" s="2">
        <v>0.1</v>
      </c>
      <c r="M177" s="1">
        <v>18981</v>
      </c>
      <c r="N177">
        <f t="shared" si="55"/>
        <v>20</v>
      </c>
      <c r="O177" s="5">
        <f t="shared" si="56"/>
        <v>9</v>
      </c>
      <c r="P177">
        <f>YEAR(Table1[[#This Row],[OrderDate]])</f>
        <v>2023</v>
      </c>
      <c r="Q177" s="8">
        <f t="shared" si="57"/>
        <v>45189</v>
      </c>
      <c r="R177">
        <f t="shared" ca="1" si="58"/>
        <v>2</v>
      </c>
      <c r="S177">
        <f t="shared" si="59"/>
        <v>-138</v>
      </c>
      <c r="T177">
        <f t="shared" si="60"/>
        <v>182</v>
      </c>
      <c r="U177" t="str">
        <f t="shared" si="61"/>
        <v>23-06-1900</v>
      </c>
      <c r="V177" t="str">
        <f t="shared" si="62"/>
        <v>Medium</v>
      </c>
      <c r="W177" t="str">
        <f t="shared" si="63"/>
        <v>Sale</v>
      </c>
      <c r="X177" t="str">
        <f t="shared" si="64"/>
        <v>OK</v>
      </c>
      <c r="Y177" t="str">
        <f t="shared" si="65"/>
        <v>A</v>
      </c>
      <c r="Z177" t="str" cm="1">
        <f t="array" ref="Z177">_xlfn.IFS(
I177&gt;50000,"Premium",
I177&gt;=20000,"Regular",
TRUE,"Basic"
)</f>
        <v>Regular</v>
      </c>
    </row>
    <row r="178" spans="1:26" x14ac:dyDescent="0.3">
      <c r="A178" s="5">
        <v>177</v>
      </c>
      <c r="B178" s="5">
        <v>1100</v>
      </c>
      <c r="C178" t="s">
        <v>40</v>
      </c>
      <c r="D178" t="s">
        <v>19</v>
      </c>
      <c r="E178" t="s">
        <v>41</v>
      </c>
      <c r="F178" t="s">
        <v>27</v>
      </c>
      <c r="G178" s="5">
        <v>7</v>
      </c>
      <c r="H178" s="1">
        <v>3885</v>
      </c>
      <c r="I178" s="4">
        <v>27195</v>
      </c>
      <c r="J178" s="9" t="s">
        <v>178</v>
      </c>
      <c r="K178" s="3">
        <v>3885</v>
      </c>
      <c r="L178" s="2">
        <v>0.1</v>
      </c>
      <c r="M178" s="1">
        <v>24475.5</v>
      </c>
      <c r="N178">
        <f t="shared" si="55"/>
        <v>10</v>
      </c>
      <c r="O178" s="5">
        <f t="shared" si="56"/>
        <v>11</v>
      </c>
      <c r="P178">
        <f>YEAR(Table1[[#This Row],[OrderDate]])</f>
        <v>2023</v>
      </c>
      <c r="Q178" s="8">
        <f t="shared" si="57"/>
        <v>45240</v>
      </c>
      <c r="R178">
        <f t="shared" ca="1" si="58"/>
        <v>2</v>
      </c>
      <c r="S178">
        <f t="shared" si="59"/>
        <v>-225</v>
      </c>
      <c r="T178">
        <f t="shared" si="60"/>
        <v>182</v>
      </c>
      <c r="U178" t="str">
        <f t="shared" si="61"/>
        <v>24-06-1900</v>
      </c>
      <c r="V178" t="str">
        <f t="shared" si="62"/>
        <v>Medium</v>
      </c>
      <c r="W178" t="str">
        <f t="shared" si="63"/>
        <v>Sale</v>
      </c>
      <c r="X178" t="str">
        <f t="shared" si="64"/>
        <v>OK</v>
      </c>
      <c r="Y178" t="str">
        <f t="shared" si="65"/>
        <v>A</v>
      </c>
      <c r="Z178" t="str" cm="1">
        <f t="array" ref="Z178">_xlfn.IFS(
I178&gt;50000,"Premium",
I178&gt;=20000,"Regular",
TRUE,"Basic"
)</f>
        <v>Regular</v>
      </c>
    </row>
    <row r="179" spans="1:26" x14ac:dyDescent="0.3">
      <c r="A179" s="5">
        <v>178</v>
      </c>
      <c r="B179" s="5">
        <v>1044</v>
      </c>
      <c r="C179" t="s">
        <v>22</v>
      </c>
      <c r="D179" t="s">
        <v>23</v>
      </c>
      <c r="E179" t="s">
        <v>15</v>
      </c>
      <c r="F179" t="s">
        <v>16</v>
      </c>
      <c r="G179" s="5">
        <v>10</v>
      </c>
      <c r="H179" s="1">
        <v>2890</v>
      </c>
      <c r="I179" s="4">
        <v>28900</v>
      </c>
      <c r="J179" s="9" t="s">
        <v>179</v>
      </c>
      <c r="K179" s="3">
        <v>2890</v>
      </c>
      <c r="L179" s="2">
        <v>0.1</v>
      </c>
      <c r="M179" s="1">
        <v>26010</v>
      </c>
      <c r="N179">
        <f t="shared" si="55"/>
        <v>2</v>
      </c>
      <c r="O179" s="5">
        <f t="shared" si="56"/>
        <v>6</v>
      </c>
      <c r="P179">
        <f>YEAR(Table1[[#This Row],[OrderDate]])</f>
        <v>2023</v>
      </c>
      <c r="Q179" s="8">
        <f t="shared" si="57"/>
        <v>45079</v>
      </c>
      <c r="R179">
        <f t="shared" ca="1" si="58"/>
        <v>2</v>
      </c>
      <c r="S179">
        <f t="shared" si="59"/>
        <v>-6</v>
      </c>
      <c r="T179">
        <f t="shared" si="60"/>
        <v>182</v>
      </c>
      <c r="U179" t="str">
        <f t="shared" si="61"/>
        <v>25-06-1900</v>
      </c>
      <c r="V179" t="str">
        <f t="shared" si="62"/>
        <v>Medium</v>
      </c>
      <c r="W179" t="str">
        <f t="shared" si="63"/>
        <v>Sale</v>
      </c>
      <c r="X179" t="str">
        <f t="shared" si="64"/>
        <v>OK</v>
      </c>
      <c r="Y179" t="str">
        <f t="shared" si="65"/>
        <v>A</v>
      </c>
      <c r="Z179" t="str" cm="1">
        <f t="array" ref="Z179">_xlfn.IFS(
I179&gt;50000,"Premium",
I179&gt;=20000,"Regular",
TRUE,"Basic"
)</f>
        <v>Regular</v>
      </c>
    </row>
    <row r="180" spans="1:26" x14ac:dyDescent="0.3">
      <c r="A180" s="5">
        <v>179</v>
      </c>
      <c r="B180" s="5">
        <v>1043</v>
      </c>
      <c r="C180" t="s">
        <v>29</v>
      </c>
      <c r="D180" t="s">
        <v>34</v>
      </c>
      <c r="E180" t="s">
        <v>26</v>
      </c>
      <c r="F180" t="s">
        <v>27</v>
      </c>
      <c r="G180" s="5">
        <v>6</v>
      </c>
      <c r="H180" s="1">
        <v>1385</v>
      </c>
      <c r="I180" s="4">
        <v>8310</v>
      </c>
      <c r="J180" s="9" t="s">
        <v>157</v>
      </c>
      <c r="K180" s="3">
        <v>1385</v>
      </c>
      <c r="L180" s="2">
        <v>0.1</v>
      </c>
      <c r="M180" s="1">
        <v>7479</v>
      </c>
      <c r="N180">
        <f t="shared" si="55"/>
        <v>30</v>
      </c>
      <c r="O180" s="5">
        <f t="shared" si="56"/>
        <v>7</v>
      </c>
      <c r="P180">
        <f>YEAR(Table1[[#This Row],[OrderDate]])</f>
        <v>2023</v>
      </c>
      <c r="Q180" s="8">
        <f t="shared" si="57"/>
        <v>45137</v>
      </c>
      <c r="R180">
        <f t="shared" ca="1" si="58"/>
        <v>2</v>
      </c>
      <c r="S180">
        <f t="shared" si="59"/>
        <v>-148</v>
      </c>
      <c r="T180">
        <f t="shared" si="60"/>
        <v>182</v>
      </c>
      <c r="U180" t="str">
        <f t="shared" si="61"/>
        <v>26-06-1900</v>
      </c>
      <c r="V180" t="str">
        <f t="shared" si="62"/>
        <v>Low</v>
      </c>
      <c r="W180" t="str">
        <f t="shared" si="63"/>
        <v>Sale</v>
      </c>
      <c r="X180" t="str">
        <f t="shared" si="64"/>
        <v>OK</v>
      </c>
      <c r="Y180" t="str">
        <f t="shared" si="65"/>
        <v>A</v>
      </c>
      <c r="Z180" t="str" cm="1">
        <f t="array" ref="Z180">_xlfn.IFS(
I180&gt;50000,"Premium",
I180&gt;=20000,"Regular",
TRUE,"Basic"
)</f>
        <v>Basic</v>
      </c>
    </row>
    <row r="181" spans="1:26" x14ac:dyDescent="0.3">
      <c r="A181" s="5">
        <v>180</v>
      </c>
      <c r="B181" s="5">
        <v>1049</v>
      </c>
      <c r="C181" t="s">
        <v>40</v>
      </c>
      <c r="D181" t="s">
        <v>34</v>
      </c>
      <c r="E181" t="s">
        <v>20</v>
      </c>
      <c r="F181" t="s">
        <v>16</v>
      </c>
      <c r="G181" s="5">
        <v>10</v>
      </c>
      <c r="H181" s="1">
        <v>2197</v>
      </c>
      <c r="I181" s="4">
        <v>21970</v>
      </c>
      <c r="J181" s="9" t="s">
        <v>180</v>
      </c>
      <c r="K181" s="3">
        <v>2197</v>
      </c>
      <c r="L181" s="2">
        <v>0.1</v>
      </c>
      <c r="M181" s="1">
        <v>19773</v>
      </c>
      <c r="N181">
        <f t="shared" si="55"/>
        <v>30</v>
      </c>
      <c r="O181" s="5">
        <f t="shared" si="56"/>
        <v>5</v>
      </c>
      <c r="P181">
        <f>YEAR(Table1[[#This Row],[OrderDate]])</f>
        <v>2023</v>
      </c>
      <c r="Q181" s="8">
        <f t="shared" si="57"/>
        <v>45076</v>
      </c>
      <c r="R181">
        <f t="shared" ca="1" si="58"/>
        <v>2</v>
      </c>
      <c r="S181">
        <f t="shared" si="59"/>
        <v>73</v>
      </c>
      <c r="T181">
        <f t="shared" si="60"/>
        <v>182</v>
      </c>
      <c r="U181" t="str">
        <f t="shared" si="61"/>
        <v>27-06-1900</v>
      </c>
      <c r="V181" t="str">
        <f t="shared" si="62"/>
        <v>Medium</v>
      </c>
      <c r="W181" t="str">
        <f t="shared" si="63"/>
        <v>Sale</v>
      </c>
      <c r="X181" t="str">
        <f t="shared" si="64"/>
        <v>OK</v>
      </c>
      <c r="Y181" t="str">
        <f t="shared" si="65"/>
        <v>A</v>
      </c>
      <c r="Z181" t="str" cm="1">
        <f t="array" ref="Z181">_xlfn.IFS(
I181&gt;50000,"Premium",
I181&gt;=20000,"Regular",
TRUE,"Basic"
)</f>
        <v>Regular</v>
      </c>
    </row>
    <row r="182" spans="1:26" x14ac:dyDescent="0.3">
      <c r="A182" s="5">
        <v>181</v>
      </c>
      <c r="B182" s="5">
        <v>1015</v>
      </c>
      <c r="C182" t="s">
        <v>29</v>
      </c>
      <c r="D182" t="s">
        <v>19</v>
      </c>
      <c r="E182" t="s">
        <v>41</v>
      </c>
      <c r="F182" t="s">
        <v>16</v>
      </c>
      <c r="G182" s="5">
        <v>7</v>
      </c>
      <c r="H182" s="1">
        <v>455</v>
      </c>
      <c r="I182" s="4">
        <v>3185</v>
      </c>
      <c r="J182" s="9" t="s">
        <v>181</v>
      </c>
      <c r="K182" s="3">
        <v>455</v>
      </c>
      <c r="L182" s="2">
        <v>0.05</v>
      </c>
      <c r="M182" s="1">
        <v>3025.75</v>
      </c>
      <c r="N182">
        <f t="shared" si="55"/>
        <v>13</v>
      </c>
      <c r="O182" s="5">
        <f t="shared" si="56"/>
        <v>3</v>
      </c>
      <c r="P182">
        <f>YEAR(Table1[[#This Row],[OrderDate]])</f>
        <v>2023</v>
      </c>
      <c r="Q182" s="8">
        <f t="shared" si="57"/>
        <v>44998</v>
      </c>
      <c r="R182">
        <f t="shared" ca="1" si="58"/>
        <v>3</v>
      </c>
      <c r="S182">
        <f t="shared" si="59"/>
        <v>180</v>
      </c>
      <c r="T182">
        <f t="shared" si="60"/>
        <v>182</v>
      </c>
      <c r="U182" t="str">
        <f t="shared" si="61"/>
        <v>28-06-1900</v>
      </c>
      <c r="V182" t="str">
        <f t="shared" si="62"/>
        <v>Low</v>
      </c>
      <c r="W182" t="str">
        <f t="shared" si="63"/>
        <v>Sale</v>
      </c>
      <c r="X182" t="str">
        <f t="shared" si="64"/>
        <v>OK</v>
      </c>
      <c r="Y182" t="str">
        <f t="shared" si="65"/>
        <v>A</v>
      </c>
      <c r="Z182" t="str" cm="1">
        <f t="array" ref="Z182">_xlfn.IFS(
I182&gt;50000,"Premium",
I182&gt;=20000,"Regular",
TRUE,"Basic"
)</f>
        <v>Basic</v>
      </c>
    </row>
    <row r="183" spans="1:26" x14ac:dyDescent="0.3">
      <c r="A183" s="5">
        <v>182</v>
      </c>
      <c r="B183" s="5">
        <v>1046</v>
      </c>
      <c r="C183" t="s">
        <v>40</v>
      </c>
      <c r="D183" t="s">
        <v>19</v>
      </c>
      <c r="E183" t="s">
        <v>41</v>
      </c>
      <c r="F183" t="s">
        <v>16</v>
      </c>
      <c r="G183" s="5">
        <v>18</v>
      </c>
      <c r="H183" s="1">
        <v>3288</v>
      </c>
      <c r="I183" s="4">
        <v>59184</v>
      </c>
      <c r="J183" s="9" t="s">
        <v>44</v>
      </c>
      <c r="K183" s="3">
        <v>3288</v>
      </c>
      <c r="L183" s="2">
        <v>0.1</v>
      </c>
      <c r="M183" s="1">
        <v>53265.599999999999</v>
      </c>
      <c r="N183">
        <f t="shared" si="55"/>
        <v>2</v>
      </c>
      <c r="O183" s="5">
        <f t="shared" si="56"/>
        <v>1</v>
      </c>
      <c r="P183">
        <f>YEAR(Table1[[#This Row],[OrderDate]])</f>
        <v>2023</v>
      </c>
      <c r="Q183" s="8">
        <f t="shared" si="57"/>
        <v>44928</v>
      </c>
      <c r="R183">
        <f t="shared" ca="1" si="58"/>
        <v>3</v>
      </c>
      <c r="S183">
        <f t="shared" si="59"/>
        <v>1</v>
      </c>
      <c r="T183">
        <f t="shared" si="60"/>
        <v>182</v>
      </c>
      <c r="U183" t="str">
        <f t="shared" si="61"/>
        <v>29-06-1900</v>
      </c>
      <c r="V183" t="str">
        <f t="shared" si="62"/>
        <v>High</v>
      </c>
      <c r="W183" t="str">
        <f t="shared" si="63"/>
        <v>Sale</v>
      </c>
      <c r="X183" t="str">
        <f t="shared" si="64"/>
        <v>OK</v>
      </c>
      <c r="Y183" t="str">
        <f t="shared" si="65"/>
        <v>A</v>
      </c>
      <c r="Z183" t="str" cm="1">
        <f t="array" ref="Z183">_xlfn.IFS(
I183&gt;50000,"Premium",
I183&gt;=20000,"Regular",
TRUE,"Basic"
)</f>
        <v>Premium</v>
      </c>
    </row>
    <row r="184" spans="1:26" x14ac:dyDescent="0.3">
      <c r="A184" s="5">
        <v>183</v>
      </c>
      <c r="B184" s="5">
        <v>1029</v>
      </c>
      <c r="C184" t="s">
        <v>29</v>
      </c>
      <c r="D184" t="s">
        <v>14</v>
      </c>
      <c r="E184" t="s">
        <v>20</v>
      </c>
      <c r="F184" t="s">
        <v>16</v>
      </c>
      <c r="G184" s="5">
        <v>16</v>
      </c>
      <c r="H184" s="1">
        <v>490</v>
      </c>
      <c r="I184" s="4">
        <v>7840</v>
      </c>
      <c r="J184" s="9" t="s">
        <v>182</v>
      </c>
      <c r="K184" s="3">
        <v>490</v>
      </c>
      <c r="L184" s="2">
        <v>0.1</v>
      </c>
      <c r="M184" s="1">
        <v>7056</v>
      </c>
      <c r="N184">
        <f t="shared" si="55"/>
        <v>26</v>
      </c>
      <c r="O184" s="5">
        <f t="shared" si="56"/>
        <v>5</v>
      </c>
      <c r="P184">
        <f>YEAR(Table1[[#This Row],[OrderDate]])</f>
        <v>2023</v>
      </c>
      <c r="Q184" s="8">
        <f t="shared" si="57"/>
        <v>45072</v>
      </c>
      <c r="R184">
        <f t="shared" ca="1" si="58"/>
        <v>2</v>
      </c>
      <c r="S184">
        <f t="shared" si="59"/>
        <v>-61</v>
      </c>
      <c r="T184">
        <f t="shared" si="60"/>
        <v>182</v>
      </c>
      <c r="U184" t="str">
        <f t="shared" si="61"/>
        <v>30-06-1900</v>
      </c>
      <c r="V184" t="str">
        <f t="shared" si="62"/>
        <v>Low</v>
      </c>
      <c r="W184" t="str">
        <f t="shared" si="63"/>
        <v>Sale</v>
      </c>
      <c r="X184" t="str">
        <f t="shared" si="64"/>
        <v>OK</v>
      </c>
      <c r="Y184" t="str">
        <f t="shared" si="65"/>
        <v>A</v>
      </c>
      <c r="Z184" t="str" cm="1">
        <f t="array" ref="Z184">_xlfn.IFS(
I184&gt;50000,"Premium",
I184&gt;=20000,"Regular",
TRUE,"Basic"
)</f>
        <v>Basic</v>
      </c>
    </row>
    <row r="185" spans="1:26" x14ac:dyDescent="0.3">
      <c r="A185" s="5">
        <v>184</v>
      </c>
      <c r="B185" s="5">
        <v>1006</v>
      </c>
      <c r="C185" t="s">
        <v>18</v>
      </c>
      <c r="D185" t="s">
        <v>34</v>
      </c>
      <c r="E185" t="s">
        <v>41</v>
      </c>
      <c r="F185" t="s">
        <v>16</v>
      </c>
      <c r="G185" s="5">
        <v>10</v>
      </c>
      <c r="H185" s="1">
        <v>361</v>
      </c>
      <c r="I185" s="4">
        <v>3610</v>
      </c>
      <c r="J185" s="9" t="s">
        <v>111</v>
      </c>
      <c r="K185" s="3">
        <v>361</v>
      </c>
      <c r="L185" s="2">
        <v>0.05</v>
      </c>
      <c r="M185" s="1">
        <v>3429.5</v>
      </c>
      <c r="N185">
        <f t="shared" si="55"/>
        <v>4</v>
      </c>
      <c r="O185" s="5">
        <f t="shared" si="56"/>
        <v>1</v>
      </c>
      <c r="P185">
        <f>YEAR(Table1[[#This Row],[OrderDate]])</f>
        <v>2023</v>
      </c>
      <c r="Q185" s="8">
        <f t="shared" si="57"/>
        <v>44930</v>
      </c>
      <c r="R185">
        <f t="shared" ca="1" si="58"/>
        <v>3</v>
      </c>
      <c r="S185">
        <f t="shared" si="59"/>
        <v>223</v>
      </c>
      <c r="T185">
        <f t="shared" si="60"/>
        <v>213</v>
      </c>
      <c r="U185" t="str">
        <f t="shared" si="61"/>
        <v>01-07-1900</v>
      </c>
      <c r="V185" t="str">
        <f t="shared" si="62"/>
        <v>Low</v>
      </c>
      <c r="W185" t="str">
        <f t="shared" si="63"/>
        <v>Sale</v>
      </c>
      <c r="X185" t="str">
        <f t="shared" si="64"/>
        <v>OK</v>
      </c>
      <c r="Y185" t="str">
        <f t="shared" si="65"/>
        <v>A</v>
      </c>
      <c r="Z185" t="str" cm="1">
        <f t="array" ref="Z185">_xlfn.IFS(
I185&gt;50000,"Premium",
I185&gt;=20000,"Regular",
TRUE,"Basic"
)</f>
        <v>Basic</v>
      </c>
    </row>
    <row r="186" spans="1:26" x14ac:dyDescent="0.3">
      <c r="A186" s="5">
        <v>185</v>
      </c>
      <c r="B186" s="5">
        <v>1075</v>
      </c>
      <c r="C186" t="s">
        <v>40</v>
      </c>
      <c r="D186" t="s">
        <v>34</v>
      </c>
      <c r="E186" t="s">
        <v>15</v>
      </c>
      <c r="F186" t="s">
        <v>16</v>
      </c>
      <c r="G186" s="5">
        <v>5</v>
      </c>
      <c r="H186" s="1">
        <v>3366</v>
      </c>
      <c r="I186" s="4">
        <v>16830</v>
      </c>
      <c r="J186" s="9" t="s">
        <v>183</v>
      </c>
      <c r="K186" s="3">
        <v>3366</v>
      </c>
      <c r="L186" s="2">
        <v>0.1</v>
      </c>
      <c r="M186" s="1">
        <v>15147</v>
      </c>
      <c r="N186">
        <f t="shared" si="55"/>
        <v>7</v>
      </c>
      <c r="O186" s="5">
        <f t="shared" si="56"/>
        <v>9</v>
      </c>
      <c r="P186">
        <f>YEAR(Table1[[#This Row],[OrderDate]])</f>
        <v>2023</v>
      </c>
      <c r="Q186" s="8">
        <f t="shared" si="57"/>
        <v>45176</v>
      </c>
      <c r="R186">
        <f t="shared" ca="1" si="58"/>
        <v>2</v>
      </c>
      <c r="S186">
        <f t="shared" si="59"/>
        <v>53</v>
      </c>
      <c r="T186">
        <f t="shared" si="60"/>
        <v>213</v>
      </c>
      <c r="U186" t="str">
        <f t="shared" si="61"/>
        <v>02-07-1900</v>
      </c>
      <c r="V186" t="str">
        <f t="shared" si="62"/>
        <v>Low</v>
      </c>
      <c r="W186" t="str">
        <f t="shared" si="63"/>
        <v>Sale</v>
      </c>
      <c r="X186" t="str">
        <f t="shared" si="64"/>
        <v>OK</v>
      </c>
      <c r="Y186" t="str">
        <f t="shared" si="65"/>
        <v>A</v>
      </c>
      <c r="Z186" t="str" cm="1">
        <f t="array" ref="Z186">_xlfn.IFS(
I186&gt;50000,"Premium",
I186&gt;=20000,"Regular",
TRUE,"Basic"
)</f>
        <v>Basic</v>
      </c>
    </row>
    <row r="187" spans="1:26" x14ac:dyDescent="0.3">
      <c r="A187" s="5">
        <v>186</v>
      </c>
      <c r="B187" s="5">
        <v>1085</v>
      </c>
      <c r="C187" t="s">
        <v>18</v>
      </c>
      <c r="D187" t="s">
        <v>25</v>
      </c>
      <c r="E187" t="s">
        <v>41</v>
      </c>
      <c r="F187" t="s">
        <v>16</v>
      </c>
      <c r="G187" s="5">
        <v>16</v>
      </c>
      <c r="H187" s="1">
        <v>4276</v>
      </c>
      <c r="I187" s="4">
        <v>68416</v>
      </c>
      <c r="J187" s="9" t="s">
        <v>164</v>
      </c>
      <c r="K187" s="3">
        <v>4276</v>
      </c>
      <c r="L187" s="2">
        <v>0.1</v>
      </c>
      <c r="M187" s="1">
        <v>61574.400000000001</v>
      </c>
      <c r="N187">
        <f t="shared" si="55"/>
        <v>19</v>
      </c>
      <c r="O187" s="5">
        <f t="shared" si="56"/>
        <v>11</v>
      </c>
      <c r="P187">
        <f>YEAR(Table1[[#This Row],[OrderDate]])</f>
        <v>2023</v>
      </c>
      <c r="Q187" s="8">
        <f t="shared" si="57"/>
        <v>45249</v>
      </c>
      <c r="R187">
        <f t="shared" ca="1" si="58"/>
        <v>2</v>
      </c>
      <c r="S187">
        <f t="shared" si="59"/>
        <v>-138</v>
      </c>
      <c r="T187">
        <f t="shared" si="60"/>
        <v>213</v>
      </c>
      <c r="U187" t="str">
        <f t="shared" si="61"/>
        <v>03-07-1900</v>
      </c>
      <c r="V187" t="str">
        <f t="shared" si="62"/>
        <v>High</v>
      </c>
      <c r="W187" t="str">
        <f t="shared" si="63"/>
        <v>Sale</v>
      </c>
      <c r="X187" t="str">
        <f t="shared" si="64"/>
        <v>OK</v>
      </c>
      <c r="Y187" t="str">
        <f t="shared" si="65"/>
        <v>A</v>
      </c>
      <c r="Z187" t="str" cm="1">
        <f t="array" ref="Z187">_xlfn.IFS(
I187&gt;50000,"Premium",
I187&gt;=20000,"Regular",
TRUE,"Basic"
)</f>
        <v>Premium</v>
      </c>
    </row>
    <row r="188" spans="1:26" x14ac:dyDescent="0.3">
      <c r="A188" s="5">
        <v>187</v>
      </c>
      <c r="B188" s="5">
        <v>1093</v>
      </c>
      <c r="C188" t="s">
        <v>22</v>
      </c>
      <c r="D188" t="s">
        <v>19</v>
      </c>
      <c r="E188" t="s">
        <v>26</v>
      </c>
      <c r="F188" t="s">
        <v>27</v>
      </c>
      <c r="G188" s="5">
        <v>18</v>
      </c>
      <c r="H188" s="1">
        <v>4082</v>
      </c>
      <c r="I188" s="4">
        <v>73476</v>
      </c>
      <c r="J188" s="9" t="s">
        <v>44</v>
      </c>
      <c r="K188" s="3">
        <v>4082</v>
      </c>
      <c r="L188" s="2">
        <v>0.1</v>
      </c>
      <c r="M188" s="1">
        <v>66128.399999999994</v>
      </c>
      <c r="N188">
        <f t="shared" si="55"/>
        <v>2</v>
      </c>
      <c r="O188" s="5">
        <f t="shared" si="56"/>
        <v>1</v>
      </c>
      <c r="P188">
        <f>YEAR(Table1[[#This Row],[OrderDate]])</f>
        <v>2023</v>
      </c>
      <c r="Q188" s="8">
        <f t="shared" si="57"/>
        <v>44928</v>
      </c>
      <c r="R188">
        <f t="shared" ca="1" si="58"/>
        <v>3</v>
      </c>
      <c r="S188">
        <f t="shared" si="59"/>
        <v>124</v>
      </c>
      <c r="T188">
        <f t="shared" si="60"/>
        <v>213</v>
      </c>
      <c r="U188" t="str">
        <f t="shared" si="61"/>
        <v>04-07-1900</v>
      </c>
      <c r="V188" t="str">
        <f t="shared" si="62"/>
        <v>High</v>
      </c>
      <c r="W188" t="str">
        <f t="shared" si="63"/>
        <v>Sale</v>
      </c>
      <c r="X188" t="str">
        <f t="shared" si="64"/>
        <v>OK</v>
      </c>
      <c r="Y188" t="str">
        <f t="shared" si="65"/>
        <v>A</v>
      </c>
      <c r="Z188" t="str" cm="1">
        <f t="array" ref="Z188">_xlfn.IFS(
I188&gt;50000,"Premium",
I188&gt;=20000,"Regular",
TRUE,"Basic"
)</f>
        <v>Premium</v>
      </c>
    </row>
    <row r="189" spans="1:26" x14ac:dyDescent="0.3">
      <c r="A189" s="5">
        <v>188</v>
      </c>
      <c r="B189" s="5">
        <v>1066</v>
      </c>
      <c r="C189" t="s">
        <v>13</v>
      </c>
      <c r="D189" t="s">
        <v>14</v>
      </c>
      <c r="E189" t="s">
        <v>20</v>
      </c>
      <c r="F189" t="s">
        <v>27</v>
      </c>
      <c r="G189" s="5">
        <v>20</v>
      </c>
      <c r="H189" s="1">
        <v>4902</v>
      </c>
      <c r="I189" s="4">
        <v>98040</v>
      </c>
      <c r="J189" s="9" t="s">
        <v>62</v>
      </c>
      <c r="K189" s="3">
        <v>4902</v>
      </c>
      <c r="L189" s="2">
        <v>0.1</v>
      </c>
      <c r="M189" s="1">
        <v>88236</v>
      </c>
      <c r="N189">
        <f t="shared" si="55"/>
        <v>3</v>
      </c>
      <c r="O189" s="5">
        <f t="shared" si="56"/>
        <v>3</v>
      </c>
      <c r="P189">
        <f>YEAR(Table1[[#This Row],[OrderDate]])</f>
        <v>2023</v>
      </c>
      <c r="Q189" s="8">
        <f t="shared" si="57"/>
        <v>44988</v>
      </c>
      <c r="R189">
        <f t="shared" ca="1" si="58"/>
        <v>3</v>
      </c>
      <c r="S189">
        <f t="shared" si="59"/>
        <v>124</v>
      </c>
      <c r="T189">
        <f t="shared" si="60"/>
        <v>213</v>
      </c>
      <c r="U189" t="str">
        <f t="shared" si="61"/>
        <v>05-07-1900</v>
      </c>
      <c r="V189" t="str">
        <f t="shared" si="62"/>
        <v>High</v>
      </c>
      <c r="W189" t="str">
        <f t="shared" si="63"/>
        <v>Sale</v>
      </c>
      <c r="X189" t="str">
        <f t="shared" si="64"/>
        <v>OK</v>
      </c>
      <c r="Y189" t="str">
        <f t="shared" si="65"/>
        <v>A</v>
      </c>
      <c r="Z189" t="str" cm="1">
        <f t="array" ref="Z189">_xlfn.IFS(
I189&gt;50000,"Premium",
I189&gt;=20000,"Regular",
TRUE,"Basic"
)</f>
        <v>Premium</v>
      </c>
    </row>
    <row r="190" spans="1:26" x14ac:dyDescent="0.3">
      <c r="A190" s="5">
        <v>189</v>
      </c>
      <c r="B190" s="5">
        <v>1007</v>
      </c>
      <c r="C190" t="s">
        <v>13</v>
      </c>
      <c r="D190" t="s">
        <v>14</v>
      </c>
      <c r="E190" t="s">
        <v>15</v>
      </c>
      <c r="F190" t="s">
        <v>27</v>
      </c>
      <c r="G190" s="5">
        <v>15</v>
      </c>
      <c r="H190" s="1">
        <v>710</v>
      </c>
      <c r="I190" s="4">
        <v>10650</v>
      </c>
      <c r="J190" s="9" t="s">
        <v>178</v>
      </c>
      <c r="K190" s="3">
        <v>710</v>
      </c>
      <c r="L190" s="2">
        <v>0.1</v>
      </c>
      <c r="M190" s="1">
        <v>9585</v>
      </c>
      <c r="N190">
        <f t="shared" si="55"/>
        <v>10</v>
      </c>
      <c r="O190" s="5">
        <f t="shared" si="56"/>
        <v>11</v>
      </c>
      <c r="P190">
        <f>YEAR(Table1[[#This Row],[OrderDate]])</f>
        <v>2023</v>
      </c>
      <c r="Q190" s="8">
        <f t="shared" si="57"/>
        <v>45240</v>
      </c>
      <c r="R190">
        <f t="shared" ca="1" si="58"/>
        <v>2</v>
      </c>
      <c r="S190">
        <f t="shared" si="59"/>
        <v>-209</v>
      </c>
      <c r="T190">
        <f t="shared" si="60"/>
        <v>213</v>
      </c>
      <c r="U190" t="str">
        <f t="shared" si="61"/>
        <v>06-07-1900</v>
      </c>
      <c r="V190" t="str">
        <f t="shared" si="62"/>
        <v>Low</v>
      </c>
      <c r="W190" t="str">
        <f t="shared" si="63"/>
        <v>Sale</v>
      </c>
      <c r="X190" t="str">
        <f t="shared" si="64"/>
        <v>OK</v>
      </c>
      <c r="Y190" t="str">
        <f t="shared" si="65"/>
        <v>A</v>
      </c>
      <c r="Z190" t="str" cm="1">
        <f t="array" ref="Z190">_xlfn.IFS(
I190&gt;50000,"Premium",
I190&gt;=20000,"Regular",
TRUE,"Basic"
)</f>
        <v>Basic</v>
      </c>
    </row>
    <row r="191" spans="1:26" x14ac:dyDescent="0.3">
      <c r="A191" s="5">
        <v>190</v>
      </c>
      <c r="B191" s="5">
        <v>1066</v>
      </c>
      <c r="C191" t="s">
        <v>40</v>
      </c>
      <c r="D191" t="s">
        <v>25</v>
      </c>
      <c r="E191" t="s">
        <v>41</v>
      </c>
      <c r="F191" t="s">
        <v>16</v>
      </c>
      <c r="G191" s="5">
        <v>14</v>
      </c>
      <c r="H191" s="1">
        <v>1843</v>
      </c>
      <c r="I191" s="4">
        <v>25802</v>
      </c>
      <c r="J191" s="9" t="s">
        <v>184</v>
      </c>
      <c r="K191" s="3">
        <v>1843</v>
      </c>
      <c r="L191" s="2">
        <v>0.1</v>
      </c>
      <c r="M191" s="1">
        <v>23221.8</v>
      </c>
      <c r="N191">
        <f t="shared" si="55"/>
        <v>20</v>
      </c>
      <c r="O191" s="5">
        <f t="shared" si="56"/>
        <v>11</v>
      </c>
      <c r="P191">
        <f>YEAR(Table1[[#This Row],[OrderDate]])</f>
        <v>2023</v>
      </c>
      <c r="Q191" s="8">
        <f t="shared" si="57"/>
        <v>45250</v>
      </c>
      <c r="R191">
        <f t="shared" ca="1" si="58"/>
        <v>2</v>
      </c>
      <c r="S191">
        <f t="shared" si="59"/>
        <v>-204</v>
      </c>
      <c r="T191">
        <f t="shared" si="60"/>
        <v>213</v>
      </c>
      <c r="U191" t="str">
        <f t="shared" si="61"/>
        <v>07-07-1900</v>
      </c>
      <c r="V191" t="str">
        <f t="shared" si="62"/>
        <v>Medium</v>
      </c>
      <c r="W191" t="str">
        <f t="shared" si="63"/>
        <v>Sale</v>
      </c>
      <c r="X191" t="str">
        <f t="shared" si="64"/>
        <v>OK</v>
      </c>
      <c r="Y191" t="str">
        <f t="shared" si="65"/>
        <v>A</v>
      </c>
      <c r="Z191" t="str" cm="1">
        <f t="array" ref="Z191">_xlfn.IFS(
I191&gt;50000,"Premium",
I191&gt;=20000,"Regular",
TRUE,"Basic"
)</f>
        <v>Regular</v>
      </c>
    </row>
    <row r="192" spans="1:26" x14ac:dyDescent="0.3">
      <c r="A192" s="5">
        <v>191</v>
      </c>
      <c r="B192" s="5">
        <v>1082</v>
      </c>
      <c r="C192" t="s">
        <v>40</v>
      </c>
      <c r="D192" t="s">
        <v>14</v>
      </c>
      <c r="E192" t="s">
        <v>20</v>
      </c>
      <c r="F192" t="s">
        <v>27</v>
      </c>
      <c r="G192" s="5">
        <v>8</v>
      </c>
      <c r="H192" s="1">
        <v>3902</v>
      </c>
      <c r="I192" s="4">
        <v>31216</v>
      </c>
      <c r="J192" s="9" t="s">
        <v>185</v>
      </c>
      <c r="K192" s="3">
        <v>3902</v>
      </c>
      <c r="L192" s="2">
        <v>0.1</v>
      </c>
      <c r="M192" s="1">
        <v>28094.400000000001</v>
      </c>
      <c r="N192">
        <f t="shared" si="55"/>
        <v>10</v>
      </c>
      <c r="O192" s="5">
        <f t="shared" si="56"/>
        <v>5</v>
      </c>
      <c r="P192">
        <f>YEAR(Table1[[#This Row],[OrderDate]])</f>
        <v>2023</v>
      </c>
      <c r="Q192" s="8">
        <f t="shared" si="57"/>
        <v>45056</v>
      </c>
      <c r="R192">
        <f t="shared" ca="1" si="58"/>
        <v>2</v>
      </c>
      <c r="S192">
        <f t="shared" si="59"/>
        <v>166</v>
      </c>
      <c r="T192">
        <f t="shared" si="60"/>
        <v>213</v>
      </c>
      <c r="U192" t="str">
        <f t="shared" si="61"/>
        <v>08-07-1900</v>
      </c>
      <c r="V192" t="str">
        <f t="shared" si="62"/>
        <v>Medium</v>
      </c>
      <c r="W192" t="str">
        <f t="shared" si="63"/>
        <v>Sale</v>
      </c>
      <c r="X192" t="str">
        <f t="shared" si="64"/>
        <v>OK</v>
      </c>
      <c r="Y192" t="str">
        <f t="shared" si="65"/>
        <v>A</v>
      </c>
      <c r="Z192" t="str" cm="1">
        <f t="array" ref="Z192">_xlfn.IFS(
I192&gt;50000,"Premium",
I192&gt;=20000,"Regular",
TRUE,"Basic"
)</f>
        <v>Regular</v>
      </c>
    </row>
    <row r="193" spans="1:26" x14ac:dyDescent="0.3">
      <c r="A193" s="5">
        <v>192</v>
      </c>
      <c r="B193" s="5">
        <v>1078</v>
      </c>
      <c r="C193" t="s">
        <v>29</v>
      </c>
      <c r="D193" t="s">
        <v>25</v>
      </c>
      <c r="E193" t="s">
        <v>41</v>
      </c>
      <c r="F193" t="s">
        <v>16</v>
      </c>
      <c r="G193" s="5">
        <v>13</v>
      </c>
      <c r="H193" s="1">
        <v>231</v>
      </c>
      <c r="I193" s="4">
        <v>3003</v>
      </c>
      <c r="J193" s="9" t="s">
        <v>186</v>
      </c>
      <c r="K193" s="3">
        <v>231</v>
      </c>
      <c r="L193" s="2">
        <v>0.05</v>
      </c>
      <c r="M193" s="1">
        <v>2852.85</v>
      </c>
      <c r="N193">
        <f t="shared" si="55"/>
        <v>22</v>
      </c>
      <c r="O193" s="5">
        <f t="shared" si="56"/>
        <v>6</v>
      </c>
      <c r="P193">
        <f>YEAR(Table1[[#This Row],[OrderDate]])</f>
        <v>2023</v>
      </c>
      <c r="Q193" s="8">
        <f t="shared" si="57"/>
        <v>45099</v>
      </c>
      <c r="R193">
        <f t="shared" ca="1" si="58"/>
        <v>2</v>
      </c>
      <c r="S193">
        <f t="shared" si="59"/>
        <v>-66</v>
      </c>
      <c r="T193">
        <f t="shared" si="60"/>
        <v>213</v>
      </c>
      <c r="U193" t="str">
        <f t="shared" si="61"/>
        <v>09-07-1900</v>
      </c>
      <c r="V193" t="str">
        <f t="shared" si="62"/>
        <v>Low</v>
      </c>
      <c r="W193" t="str">
        <f t="shared" si="63"/>
        <v>Sale</v>
      </c>
      <c r="X193" t="str">
        <f t="shared" si="64"/>
        <v>OK</v>
      </c>
      <c r="Y193" t="str">
        <f t="shared" si="65"/>
        <v>A</v>
      </c>
      <c r="Z193" t="str" cm="1">
        <f t="array" ref="Z193">_xlfn.IFS(
I193&gt;50000,"Premium",
I193&gt;=20000,"Regular",
TRUE,"Basic"
)</f>
        <v>Basic</v>
      </c>
    </row>
    <row r="194" spans="1:26" x14ac:dyDescent="0.3">
      <c r="A194" s="5">
        <v>193</v>
      </c>
      <c r="B194" s="5">
        <v>1031</v>
      </c>
      <c r="C194" t="s">
        <v>13</v>
      </c>
      <c r="D194" t="s">
        <v>19</v>
      </c>
      <c r="E194" t="s">
        <v>15</v>
      </c>
      <c r="F194" t="s">
        <v>16</v>
      </c>
      <c r="G194" s="5">
        <v>12</v>
      </c>
      <c r="H194" s="1">
        <v>136</v>
      </c>
      <c r="I194" s="4">
        <v>1632</v>
      </c>
      <c r="J194" s="9" t="s">
        <v>48</v>
      </c>
      <c r="K194" s="3">
        <v>136</v>
      </c>
      <c r="L194" s="2">
        <v>0.05</v>
      </c>
      <c r="M194" s="1">
        <v>1550.4</v>
      </c>
      <c r="N194">
        <f t="shared" ref="N194:N201" si="66">DAY(J194)</f>
        <v>23</v>
      </c>
      <c r="O194" s="5">
        <f t="shared" ref="O194:O201" si="67">MONTH(J:J)</f>
        <v>8</v>
      </c>
      <c r="P194">
        <f>YEAR(Table1[[#This Row],[OrderDate]])</f>
        <v>2023</v>
      </c>
      <c r="Q194" s="8">
        <f t="shared" ref="Q194:Q201" si="68">DATEVALUE(J194)</f>
        <v>45161</v>
      </c>
      <c r="R194">
        <f t="shared" ref="R194:R201" ca="1" si="69">DATEDIF(J194, TODAY(), "Y")</f>
        <v>2</v>
      </c>
      <c r="S194">
        <f t="shared" ref="S194:S201" si="70">NETWORKDAYS(J194,J199)</f>
        <v>-33</v>
      </c>
      <c r="T194">
        <f t="shared" ref="T194:T201" si="71">EOMONTH(A193,0)</f>
        <v>213</v>
      </c>
      <c r="U194" t="str">
        <f t="shared" ref="U194:U201" si="72">TEXT(A193,"DD-MM-YYYY")</f>
        <v>10-07-1900</v>
      </c>
      <c r="V194" t="str">
        <f t="shared" ref="V194:V201" si="73">IF(I194&gt;50000,"High",IF(I194&gt;=20000,"Medium","Low"))</f>
        <v>Low</v>
      </c>
      <c r="W194" t="str">
        <f t="shared" ref="W194:W201" si="74">IF(G194&lt;0,"Return","Sale")</f>
        <v>Sale</v>
      </c>
      <c r="X194" t="str">
        <f t="shared" ref="X194:X201" si="75">IF(ISBLANK(W194),"Missing","OK")</f>
        <v>OK</v>
      </c>
      <c r="Y194" t="str">
        <f t="shared" ref="Y194:Y201" si="76">IF(A193&gt;=9,"A",IF(A193&gt;=7,"B",IF(A193&gt;=0,"C","no order")))</f>
        <v>A</v>
      </c>
      <c r="Z194" t="str" cm="1">
        <f t="array" ref="Z194">_xlfn.IFS(
I194&gt;50000,"Premium",
I194&gt;=20000,"Regular",
TRUE,"Basic"
)</f>
        <v>Basic</v>
      </c>
    </row>
    <row r="195" spans="1:26" x14ac:dyDescent="0.3">
      <c r="A195" s="5">
        <v>194</v>
      </c>
      <c r="B195" s="5">
        <v>1011</v>
      </c>
      <c r="C195" t="s">
        <v>13</v>
      </c>
      <c r="D195" t="s">
        <v>23</v>
      </c>
      <c r="E195" t="s">
        <v>26</v>
      </c>
      <c r="F195" t="s">
        <v>16</v>
      </c>
      <c r="G195" s="5">
        <v>17</v>
      </c>
      <c r="H195" s="1">
        <v>471</v>
      </c>
      <c r="I195" s="4">
        <v>8007</v>
      </c>
      <c r="J195" s="9" t="s">
        <v>63</v>
      </c>
      <c r="K195" s="3">
        <v>471</v>
      </c>
      <c r="L195" s="2">
        <v>0.1</v>
      </c>
      <c r="M195" s="1">
        <v>7206.3</v>
      </c>
      <c r="N195">
        <f t="shared" si="66"/>
        <v>24</v>
      </c>
      <c r="O195" s="5">
        <f t="shared" si="67"/>
        <v>1</v>
      </c>
      <c r="P195">
        <f>YEAR(Table1[[#This Row],[OrderDate]])</f>
        <v>2023</v>
      </c>
      <c r="Q195" s="8">
        <f t="shared" si="68"/>
        <v>44950</v>
      </c>
      <c r="R195">
        <f t="shared" ca="1" si="69"/>
        <v>3</v>
      </c>
      <c r="S195">
        <f t="shared" si="70"/>
        <v>164</v>
      </c>
      <c r="T195">
        <f t="shared" si="71"/>
        <v>213</v>
      </c>
      <c r="U195" t="str">
        <f t="shared" si="72"/>
        <v>11-07-1900</v>
      </c>
      <c r="V195" t="str">
        <f t="shared" si="73"/>
        <v>Low</v>
      </c>
      <c r="W195" t="str">
        <f t="shared" si="74"/>
        <v>Sale</v>
      </c>
      <c r="X195" t="str">
        <f t="shared" si="75"/>
        <v>OK</v>
      </c>
      <c r="Y195" t="str">
        <f t="shared" si="76"/>
        <v>A</v>
      </c>
      <c r="Z195" t="str" cm="1">
        <f t="array" ref="Z195">_xlfn.IFS(
I195&gt;50000,"Premium",
I195&gt;=20000,"Regular",
TRUE,"Basic"
)</f>
        <v>Basic</v>
      </c>
    </row>
    <row r="196" spans="1:26" x14ac:dyDescent="0.3">
      <c r="A196" s="5">
        <v>195</v>
      </c>
      <c r="B196" s="5">
        <v>1012</v>
      </c>
      <c r="C196" t="s">
        <v>18</v>
      </c>
      <c r="D196" t="s">
        <v>19</v>
      </c>
      <c r="E196" t="s">
        <v>15</v>
      </c>
      <c r="F196" t="s">
        <v>16</v>
      </c>
      <c r="G196" s="5">
        <v>10</v>
      </c>
      <c r="H196" s="1">
        <v>2738</v>
      </c>
      <c r="I196" s="4">
        <v>27380</v>
      </c>
      <c r="J196" s="9" t="s">
        <v>187</v>
      </c>
      <c r="K196" s="3">
        <v>2738</v>
      </c>
      <c r="L196" s="2">
        <v>0.1</v>
      </c>
      <c r="M196" s="1">
        <v>24642</v>
      </c>
      <c r="N196">
        <f t="shared" si="66"/>
        <v>8</v>
      </c>
      <c r="O196" s="5">
        <f t="shared" si="67"/>
        <v>2</v>
      </c>
      <c r="P196">
        <f>YEAR(Table1[[#This Row],[OrderDate]])</f>
        <v>2023</v>
      </c>
      <c r="Q196" s="8">
        <f t="shared" si="68"/>
        <v>44965</v>
      </c>
      <c r="R196">
        <f t="shared" ca="1" si="69"/>
        <v>3</v>
      </c>
      <c r="S196">
        <f t="shared" si="70"/>
        <v>194</v>
      </c>
      <c r="T196">
        <f t="shared" si="71"/>
        <v>213</v>
      </c>
      <c r="U196" t="str">
        <f t="shared" si="72"/>
        <v>12-07-1900</v>
      </c>
      <c r="V196" t="str">
        <f t="shared" si="73"/>
        <v>Medium</v>
      </c>
      <c r="W196" t="str">
        <f t="shared" si="74"/>
        <v>Sale</v>
      </c>
      <c r="X196" t="str">
        <f t="shared" si="75"/>
        <v>OK</v>
      </c>
      <c r="Y196" t="str">
        <f t="shared" si="76"/>
        <v>A</v>
      </c>
      <c r="Z196" t="str" cm="1">
        <f t="array" ref="Z196">_xlfn.IFS(
I196&gt;50000,"Premium",
I196&gt;=20000,"Regular",
TRUE,"Basic"
)</f>
        <v>Regular</v>
      </c>
    </row>
    <row r="197" spans="1:26" x14ac:dyDescent="0.3">
      <c r="A197" s="5">
        <v>196</v>
      </c>
      <c r="B197" s="5">
        <v>1075</v>
      </c>
      <c r="C197" t="s">
        <v>22</v>
      </c>
      <c r="D197" t="s">
        <v>14</v>
      </c>
      <c r="E197" t="s">
        <v>31</v>
      </c>
      <c r="F197" t="s">
        <v>27</v>
      </c>
      <c r="G197" s="5">
        <v>14</v>
      </c>
      <c r="H197" s="1">
        <v>2937</v>
      </c>
      <c r="I197" s="4">
        <v>41118</v>
      </c>
      <c r="J197" s="9" t="s">
        <v>188</v>
      </c>
      <c r="K197" s="3">
        <v>2937</v>
      </c>
      <c r="L197" s="2">
        <v>0.1</v>
      </c>
      <c r="M197" s="1">
        <v>37006.199999999997</v>
      </c>
      <c r="N197">
        <f t="shared" si="66"/>
        <v>27</v>
      </c>
      <c r="O197" s="5">
        <f t="shared" si="67"/>
        <v>12</v>
      </c>
      <c r="P197">
        <f>YEAR(Table1[[#This Row],[OrderDate]])</f>
        <v>2023</v>
      </c>
      <c r="Q197" s="8">
        <f t="shared" si="68"/>
        <v>45287</v>
      </c>
      <c r="R197">
        <f t="shared" ca="1" si="69"/>
        <v>2</v>
      </c>
      <c r="S197">
        <f t="shared" si="70"/>
        <v>-32348</v>
      </c>
      <c r="T197">
        <f t="shared" si="71"/>
        <v>213</v>
      </c>
      <c r="U197" t="str">
        <f t="shared" si="72"/>
        <v>13-07-1900</v>
      </c>
      <c r="V197" t="str">
        <f t="shared" si="73"/>
        <v>Medium</v>
      </c>
      <c r="W197" t="str">
        <f t="shared" si="74"/>
        <v>Sale</v>
      </c>
      <c r="X197" t="str">
        <f t="shared" si="75"/>
        <v>OK</v>
      </c>
      <c r="Y197" t="str">
        <f t="shared" si="76"/>
        <v>A</v>
      </c>
      <c r="Z197" t="str" cm="1">
        <f t="array" ref="Z197">_xlfn.IFS(
I197&gt;50000,"Premium",
I197&gt;=20000,"Regular",
TRUE,"Basic"
)</f>
        <v>Regular</v>
      </c>
    </row>
    <row r="198" spans="1:26" x14ac:dyDescent="0.3">
      <c r="A198" s="5">
        <v>197</v>
      </c>
      <c r="B198" s="5">
        <v>1012</v>
      </c>
      <c r="C198" t="s">
        <v>13</v>
      </c>
      <c r="D198" t="s">
        <v>25</v>
      </c>
      <c r="E198" t="s">
        <v>20</v>
      </c>
      <c r="F198" t="s">
        <v>16</v>
      </c>
      <c r="G198" s="5">
        <v>1</v>
      </c>
      <c r="H198" s="1">
        <v>2405</v>
      </c>
      <c r="I198" s="4">
        <v>2405</v>
      </c>
      <c r="J198" s="9" t="s">
        <v>189</v>
      </c>
      <c r="K198" s="3">
        <v>2405</v>
      </c>
      <c r="L198" s="2">
        <v>0.05</v>
      </c>
      <c r="M198" s="1">
        <v>2284.75</v>
      </c>
      <c r="N198">
        <f t="shared" si="66"/>
        <v>23</v>
      </c>
      <c r="O198" s="5">
        <f t="shared" si="67"/>
        <v>3</v>
      </c>
      <c r="P198">
        <f>YEAR(Table1[[#This Row],[OrderDate]])</f>
        <v>2023</v>
      </c>
      <c r="Q198" s="8">
        <f t="shared" si="68"/>
        <v>45008</v>
      </c>
      <c r="R198">
        <f t="shared" ca="1" si="69"/>
        <v>3</v>
      </c>
      <c r="S198">
        <f t="shared" si="70"/>
        <v>-32149</v>
      </c>
      <c r="T198">
        <f t="shared" si="71"/>
        <v>213</v>
      </c>
      <c r="U198" t="str">
        <f t="shared" si="72"/>
        <v>14-07-1900</v>
      </c>
      <c r="V198" t="str">
        <f t="shared" si="73"/>
        <v>Low</v>
      </c>
      <c r="W198" t="str">
        <f t="shared" si="74"/>
        <v>Sale</v>
      </c>
      <c r="X198" t="str">
        <f t="shared" si="75"/>
        <v>OK</v>
      </c>
      <c r="Y198" t="str">
        <f t="shared" si="76"/>
        <v>A</v>
      </c>
      <c r="Z198" t="str" cm="1">
        <f t="array" ref="Z198">_xlfn.IFS(
I198&gt;50000,"Premium",
I198&gt;=20000,"Regular",
TRUE,"Basic"
)</f>
        <v>Basic</v>
      </c>
    </row>
    <row r="199" spans="1:26" x14ac:dyDescent="0.3">
      <c r="A199" s="5">
        <v>198</v>
      </c>
      <c r="B199" s="5">
        <v>1047</v>
      </c>
      <c r="C199" t="s">
        <v>18</v>
      </c>
      <c r="D199" t="s">
        <v>19</v>
      </c>
      <c r="E199" t="s">
        <v>15</v>
      </c>
      <c r="F199" t="s">
        <v>27</v>
      </c>
      <c r="G199" s="5">
        <v>20</v>
      </c>
      <c r="H199" s="1">
        <v>3054</v>
      </c>
      <c r="I199" s="4">
        <v>61080</v>
      </c>
      <c r="J199" s="9" t="s">
        <v>190</v>
      </c>
      <c r="K199" s="3">
        <v>3054</v>
      </c>
      <c r="L199" s="2">
        <v>0.1</v>
      </c>
      <c r="M199" s="1">
        <v>54972</v>
      </c>
      <c r="N199">
        <f t="shared" si="66"/>
        <v>9</v>
      </c>
      <c r="O199" s="5">
        <f t="shared" si="67"/>
        <v>7</v>
      </c>
      <c r="P199">
        <f>YEAR(Table1[[#This Row],[OrderDate]])</f>
        <v>2023</v>
      </c>
      <c r="Q199" s="8">
        <f t="shared" si="68"/>
        <v>45116</v>
      </c>
      <c r="R199">
        <f t="shared" ca="1" si="69"/>
        <v>2</v>
      </c>
      <c r="S199">
        <f t="shared" si="70"/>
        <v>-32225</v>
      </c>
      <c r="T199">
        <f t="shared" si="71"/>
        <v>213</v>
      </c>
      <c r="U199" t="str">
        <f t="shared" si="72"/>
        <v>15-07-1900</v>
      </c>
      <c r="V199" t="str">
        <f t="shared" si="73"/>
        <v>High</v>
      </c>
      <c r="W199" t="str">
        <f t="shared" si="74"/>
        <v>Sale</v>
      </c>
      <c r="X199" t="str">
        <f t="shared" si="75"/>
        <v>OK</v>
      </c>
      <c r="Y199" t="str">
        <f t="shared" si="76"/>
        <v>A</v>
      </c>
      <c r="Z199" t="str" cm="1">
        <f t="array" ref="Z199">_xlfn.IFS(
I199&gt;50000,"Premium",
I199&gt;=20000,"Regular",
TRUE,"Basic"
)</f>
        <v>Premium</v>
      </c>
    </row>
    <row r="200" spans="1:26" x14ac:dyDescent="0.3">
      <c r="A200" s="5">
        <v>199</v>
      </c>
      <c r="B200" s="5">
        <v>1029</v>
      </c>
      <c r="C200" t="s">
        <v>18</v>
      </c>
      <c r="D200" t="s">
        <v>14</v>
      </c>
      <c r="E200" t="s">
        <v>15</v>
      </c>
      <c r="F200" t="s">
        <v>27</v>
      </c>
      <c r="G200" s="5">
        <v>19</v>
      </c>
      <c r="H200" s="1">
        <v>2062</v>
      </c>
      <c r="I200" s="4">
        <v>39178</v>
      </c>
      <c r="J200" s="9" t="s">
        <v>191</v>
      </c>
      <c r="K200" s="3">
        <v>2062</v>
      </c>
      <c r="L200" s="2">
        <v>0.1</v>
      </c>
      <c r="M200" s="1">
        <v>35260.199999999997</v>
      </c>
      <c r="N200">
        <f t="shared" si="66"/>
        <v>10</v>
      </c>
      <c r="O200" s="5">
        <f t="shared" si="67"/>
        <v>9</v>
      </c>
      <c r="P200">
        <f>YEAR(Table1[[#This Row],[OrderDate]])</f>
        <v>2023</v>
      </c>
      <c r="Q200" s="8">
        <f t="shared" si="68"/>
        <v>45179</v>
      </c>
      <c r="R200">
        <f t="shared" ca="1" si="69"/>
        <v>2</v>
      </c>
      <c r="S200">
        <f t="shared" si="70"/>
        <v>-32270</v>
      </c>
      <c r="T200">
        <f t="shared" si="71"/>
        <v>213</v>
      </c>
      <c r="U200" t="str">
        <f t="shared" si="72"/>
        <v>16-07-1900</v>
      </c>
      <c r="V200" t="str">
        <f t="shared" si="73"/>
        <v>Medium</v>
      </c>
      <c r="W200" t="str">
        <f t="shared" si="74"/>
        <v>Sale</v>
      </c>
      <c r="X200" t="str">
        <f t="shared" si="75"/>
        <v>OK</v>
      </c>
      <c r="Y200" t="str">
        <f t="shared" si="76"/>
        <v>A</v>
      </c>
      <c r="Z200" t="str" cm="1">
        <f t="array" ref="Z200">_xlfn.IFS(
I200&gt;50000,"Premium",
I200&gt;=20000,"Regular",
TRUE,"Basic"
)</f>
        <v>Regular</v>
      </c>
    </row>
    <row r="201" spans="1:26" x14ac:dyDescent="0.3">
      <c r="A201" s="5">
        <v>200</v>
      </c>
      <c r="B201" s="5">
        <v>1076</v>
      </c>
      <c r="C201" t="s">
        <v>29</v>
      </c>
      <c r="D201" t="s">
        <v>23</v>
      </c>
      <c r="E201" t="s">
        <v>41</v>
      </c>
      <c r="F201" t="s">
        <v>16</v>
      </c>
      <c r="G201" s="5">
        <v>15</v>
      </c>
      <c r="H201" s="1">
        <v>1569</v>
      </c>
      <c r="I201" s="4">
        <v>23535</v>
      </c>
      <c r="J201" s="9" t="s">
        <v>58</v>
      </c>
      <c r="K201" s="3">
        <v>1569</v>
      </c>
      <c r="L201" s="2">
        <v>0.1</v>
      </c>
      <c r="M201" s="1">
        <v>21181.5</v>
      </c>
      <c r="N201">
        <f t="shared" si="66"/>
        <v>6</v>
      </c>
      <c r="O201" s="5">
        <f t="shared" si="67"/>
        <v>11</v>
      </c>
      <c r="P201">
        <f>YEAR(Table1[[#This Row],[OrderDate]])</f>
        <v>2023</v>
      </c>
      <c r="Q201" s="8">
        <f t="shared" si="68"/>
        <v>45236</v>
      </c>
      <c r="R201">
        <f t="shared" ca="1" si="69"/>
        <v>2</v>
      </c>
      <c r="S201">
        <f t="shared" si="70"/>
        <v>-32311</v>
      </c>
      <c r="T201">
        <f t="shared" si="71"/>
        <v>213</v>
      </c>
      <c r="U201" t="str">
        <f t="shared" si="72"/>
        <v>17-07-1900</v>
      </c>
      <c r="V201" t="str">
        <f t="shared" si="73"/>
        <v>Medium</v>
      </c>
      <c r="W201" t="str">
        <f t="shared" si="74"/>
        <v>Sale</v>
      </c>
      <c r="X201" t="str">
        <f t="shared" si="75"/>
        <v>OK</v>
      </c>
      <c r="Y201" t="str">
        <f t="shared" si="76"/>
        <v>A</v>
      </c>
      <c r="Z201" t="str" cm="1">
        <f t="array" ref="Z201">_xlfn.IFS(
I201&gt;50000,"Premium",
I201&gt;=20000,"Regular",
TRUE,"Basic"
)</f>
        <v>Regular</v>
      </c>
    </row>
  </sheetData>
  <dataConsolidate/>
  <conditionalFormatting sqref="B2:B201">
    <cfRule type="containsBlanks" dxfId="0" priority="1">
      <formula>LEN(TRIM(B2))=0</formula>
    </cfRule>
  </conditionalFormatting>
  <dataValidations count="4">
    <dataValidation type="list" allowBlank="1" showInputMessage="1" showErrorMessage="1" sqref="N4" xr:uid="{9CD41AD2-B3EE-4C0F-A031-FC5BE6C85CB3}">
      <formula1>#REF!</formula1>
    </dataValidation>
    <dataValidation type="whole" allowBlank="1" showInputMessage="1" showErrorMessage="1" sqref="G1:G1048576" xr:uid="{2A9ADA7C-97B7-445E-A2B3-F8B5F8246DEF}">
      <formula1>1</formula1>
      <formula2>1000</formula2>
    </dataValidation>
    <dataValidation type="decimal" allowBlank="1" showInputMessage="1" showErrorMessage="1" sqref="L12" xr:uid="{77F3B7F6-AC7D-469F-A3CC-E223A3547C39}">
      <formula1>0</formula1>
      <formula2>100000</formula2>
    </dataValidation>
    <dataValidation type="whole" allowBlank="1" showInputMessage="1" showErrorMessage="1" errorTitle="only number Allow" error="only number Allow" sqref="B1:B1048576" xr:uid="{3B50D1D3-4EE9-4BB2-BE3D-7359B3298DDA}">
      <formula1>0</formula1>
      <formula2>100000</formula2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Cleaned_Data</vt:lpstr>
      <vt:lpstr>courtal1</vt:lpstr>
      <vt:lpstr>courtal3</vt:lpstr>
      <vt:lpstr>coutar2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jaydeep b</cp:lastModifiedBy>
  <dcterms:created xsi:type="dcterms:W3CDTF">2026-05-02T07:55:19Z</dcterms:created>
  <dcterms:modified xsi:type="dcterms:W3CDTF">2026-05-03T12:28:43Z</dcterms:modified>
</cp:coreProperties>
</file>