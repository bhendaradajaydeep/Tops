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mini project\"/>
    </mc:Choice>
  </mc:AlternateContent>
  <xr:revisionPtr revIDLastSave="0" documentId="13_ncr:1_{3F5DBBDD-7344-4CAC-B92A-6DA34B975C98}" xr6:coauthVersionLast="47" xr6:coauthVersionMax="47" xr10:uidLastSave="{00000000-0000-0000-0000-000000000000}"/>
  <bookViews>
    <workbookView xWindow="-108" yWindow="-108" windowWidth="23256" windowHeight="12576" xr2:uid="{25A80D25-3B62-4D31-9FD9-C05C7419E722}"/>
  </bookViews>
  <sheets>
    <sheet name="Sheet1" sheetId="1" r:id="rId1"/>
  </sheets>
  <definedNames>
    <definedName name="jan">Sheet1!$O$35:$O$180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Z7" i="1"/>
  <c r="AA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" i="1"/>
  <c r="Q13" i="1" a="1"/>
  <c r="Q13" i="1" s="1"/>
  <c r="Q14" i="1" a="1"/>
  <c r="Q14" i="1"/>
  <c r="Q15" i="1" a="1"/>
  <c r="Q15" i="1" s="1"/>
  <c r="Q16" i="1" a="1"/>
  <c r="Q16" i="1"/>
  <c r="Q17" i="1" a="1"/>
  <c r="Q17" i="1" s="1"/>
  <c r="Q18" i="1" a="1"/>
  <c r="Q18" i="1" s="1"/>
  <c r="Q19" i="1" a="1"/>
  <c r="Q19" i="1" s="1"/>
  <c r="Q20" i="1" a="1"/>
  <c r="Q20" i="1"/>
  <c r="Q21" i="1" a="1"/>
  <c r="Q21" i="1" s="1"/>
  <c r="Q22" i="1" a="1"/>
  <c r="Q22" i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/>
  <c r="Q29" i="1" a="1"/>
  <c r="Q29" i="1" s="1"/>
  <c r="Q30" i="1" a="1"/>
  <c r="Q30" i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/>
  <c r="Q37" i="1" a="1"/>
  <c r="Q37" i="1" s="1"/>
  <c r="Q38" i="1" a="1"/>
  <c r="Q38" i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/>
  <c r="Q45" i="1" a="1"/>
  <c r="Q45" i="1" s="1"/>
  <c r="Q46" i="1" a="1"/>
  <c r="Q46" i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/>
  <c r="Q53" i="1" a="1"/>
  <c r="Q53" i="1" s="1"/>
  <c r="Q54" i="1" a="1"/>
  <c r="Q54" i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/>
  <c r="Q61" i="1" a="1"/>
  <c r="Q61" i="1" s="1"/>
  <c r="Q62" i="1" a="1"/>
  <c r="Q62" i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/>
  <c r="Q69" i="1" a="1"/>
  <c r="Q69" i="1" s="1"/>
  <c r="Q70" i="1" a="1"/>
  <c r="Q70" i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/>
  <c r="Q77" i="1" a="1"/>
  <c r="Q77" i="1" s="1"/>
  <c r="Q78" i="1" a="1"/>
  <c r="Q78" i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/>
  <c r="Q85" i="1" a="1"/>
  <c r="Q85" i="1" s="1"/>
  <c r="Q86" i="1" a="1"/>
  <c r="Q86" i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/>
  <c r="Q93" i="1" a="1"/>
  <c r="Q93" i="1" s="1"/>
  <c r="Q94" i="1" a="1"/>
  <c r="Q94" i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/>
  <c r="Q101" i="1" a="1"/>
  <c r="Q101" i="1" s="1"/>
  <c r="Q102" i="1" a="1"/>
  <c r="Q102" i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/>
  <c r="Q109" i="1" a="1"/>
  <c r="Q109" i="1" s="1"/>
  <c r="Q110" i="1" a="1"/>
  <c r="Q110" i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/>
  <c r="Q117" i="1" a="1"/>
  <c r="Q117" i="1" s="1"/>
  <c r="Q118" i="1" a="1"/>
  <c r="Q118" i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/>
  <c r="Q125" i="1" a="1"/>
  <c r="Q125" i="1" s="1"/>
  <c r="Q126" i="1" a="1"/>
  <c r="Q126" i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/>
  <c r="Q133" i="1" a="1"/>
  <c r="Q133" i="1" s="1"/>
  <c r="Q134" i="1" a="1"/>
  <c r="Q134" i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/>
  <c r="Q141" i="1" a="1"/>
  <c r="Q141" i="1" s="1"/>
  <c r="Q142" i="1" a="1"/>
  <c r="Q142" i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/>
  <c r="Q149" i="1" a="1"/>
  <c r="Q149" i="1" s="1"/>
  <c r="Q150" i="1" a="1"/>
  <c r="Q150" i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/>
  <c r="Q157" i="1" a="1"/>
  <c r="Q157" i="1" s="1"/>
  <c r="Q158" i="1" a="1"/>
  <c r="Q158" i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/>
  <c r="Q165" i="1" a="1"/>
  <c r="Q165" i="1" s="1"/>
  <c r="Q166" i="1" a="1"/>
  <c r="Q166" i="1"/>
  <c r="Q167" i="1" a="1"/>
  <c r="Q167" i="1" s="1"/>
  <c r="Q168" i="1" a="1"/>
  <c r="Q168" i="1"/>
  <c r="Q169" i="1" a="1"/>
  <c r="Q169" i="1" s="1"/>
  <c r="Q170" i="1" a="1"/>
  <c r="Q170" i="1" s="1"/>
  <c r="Q171" i="1" a="1"/>
  <c r="Q171" i="1" s="1"/>
  <c r="Q172" i="1" a="1"/>
  <c r="Q172" i="1"/>
  <c r="Q173" i="1" a="1"/>
  <c r="Q173" i="1" s="1"/>
  <c r="Q174" i="1" a="1"/>
  <c r="Q174" i="1"/>
  <c r="Q175" i="1" a="1"/>
  <c r="Q175" i="1" s="1"/>
  <c r="Q176" i="1" a="1"/>
  <c r="Q176" i="1"/>
  <c r="Q177" i="1" a="1"/>
  <c r="Q177" i="1" s="1"/>
  <c r="Q178" i="1" a="1"/>
  <c r="Q178" i="1" s="1"/>
  <c r="Q179" i="1" a="1"/>
  <c r="Q179" i="1" s="1"/>
  <c r="Q180" i="1" a="1"/>
  <c r="Q180" i="1"/>
  <c r="Q181" i="1" a="1"/>
  <c r="Q181" i="1" s="1"/>
  <c r="Q182" i="1" a="1"/>
  <c r="Q182" i="1"/>
  <c r="Q183" i="1" a="1"/>
  <c r="Q183" i="1" s="1"/>
  <c r="Q184" i="1" a="1"/>
  <c r="Q184" i="1"/>
  <c r="Q185" i="1" a="1"/>
  <c r="Q185" i="1" s="1"/>
  <c r="Q186" i="1" a="1"/>
  <c r="Q186" i="1"/>
  <c r="Q187" i="1" a="1"/>
  <c r="Q187" i="1" s="1"/>
  <c r="Q188" i="1" a="1"/>
  <c r="Q188" i="1"/>
  <c r="Q189" i="1" a="1"/>
  <c r="Q189" i="1" s="1"/>
  <c r="Q190" i="1" a="1"/>
  <c r="Q190" i="1"/>
  <c r="Q191" i="1" a="1"/>
  <c r="Q191" i="1" s="1"/>
  <c r="Q192" i="1" a="1"/>
  <c r="Q192" i="1"/>
  <c r="Q193" i="1" a="1"/>
  <c r="Q193" i="1" s="1"/>
  <c r="Q194" i="1" a="1"/>
  <c r="Q194" i="1"/>
  <c r="Q195" i="1" a="1"/>
  <c r="Q195" i="1" s="1"/>
  <c r="Q196" i="1" a="1"/>
  <c r="Q196" i="1"/>
  <c r="Q197" i="1" a="1"/>
  <c r="Q197" i="1" s="1"/>
  <c r="Q198" i="1" a="1"/>
  <c r="Q198" i="1"/>
  <c r="Q199" i="1" a="1"/>
  <c r="Q199" i="1" s="1"/>
  <c r="Q200" i="1" a="1"/>
  <c r="Q200" i="1"/>
  <c r="Q201" i="1" a="1"/>
  <c r="Q201" i="1" s="1"/>
  <c r="Q3" i="1" a="1"/>
  <c r="Q3" i="1" s="1"/>
  <c r="Q4" i="1" a="1"/>
  <c r="Q4" i="1"/>
  <c r="Q5" i="1" a="1"/>
  <c r="Q5" i="1" s="1"/>
  <c r="Q6" i="1" a="1"/>
  <c r="Q6" i="1"/>
  <c r="Q7" i="1" a="1"/>
  <c r="Q7" i="1" s="1"/>
  <c r="Q8" i="1" a="1"/>
  <c r="Q8" i="1"/>
  <c r="Q9" i="1" a="1"/>
  <c r="Q9" i="1" s="1"/>
  <c r="Q10" i="1" a="1"/>
  <c r="Q10" i="1"/>
  <c r="Q11" i="1" a="1"/>
  <c r="Q11" i="1" s="1"/>
  <c r="Q12" i="1" a="1"/>
  <c r="Q12" i="1" s="1"/>
  <c r="Q2" i="1" a="1"/>
  <c r="Q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<sst xmlns="http://schemas.openxmlformats.org/spreadsheetml/2006/main" count="1226" uniqueCount="285">
  <si>
    <t>ORD0001</t>
  </si>
  <si>
    <t>Personal Care</t>
  </si>
  <si>
    <t>Shampoo</t>
  </si>
  <si>
    <t>Delhi</t>
  </si>
  <si>
    <t>Wallet</t>
  </si>
  <si>
    <t>ORD0002</t>
  </si>
  <si>
    <t>Bakery</t>
  </si>
  <si>
    <t>Donut</t>
  </si>
  <si>
    <t>ORD0003</t>
  </si>
  <si>
    <t>Face Wash</t>
  </si>
  <si>
    <t>Pune</t>
  </si>
  <si>
    <t>Maharashtra</t>
  </si>
  <si>
    <t>Credit Card</t>
  </si>
  <si>
    <t>ORD0004</t>
  </si>
  <si>
    <t>Beverages</t>
  </si>
  <si>
    <t>Juice</t>
  </si>
  <si>
    <t>Chennai</t>
  </si>
  <si>
    <t>Tamil Nadu</t>
  </si>
  <si>
    <t>Cash on Delivery</t>
  </si>
  <si>
    <t>ORD0005</t>
  </si>
  <si>
    <t>Snacks</t>
  </si>
  <si>
    <t>Noodles</t>
  </si>
  <si>
    <t>ORD0006</t>
  </si>
  <si>
    <t>Household</t>
  </si>
  <si>
    <t>Mop</t>
  </si>
  <si>
    <t>Kolkata</t>
  </si>
  <si>
    <t>West Bengal</t>
  </si>
  <si>
    <t>Debit Card</t>
  </si>
  <si>
    <t>ORD0007</t>
  </si>
  <si>
    <t>Cleaner</t>
  </si>
  <si>
    <t>Mumbai</t>
  </si>
  <si>
    <t>ORD0008</t>
  </si>
  <si>
    <t>Dairy</t>
  </si>
  <si>
    <t>Butter</t>
  </si>
  <si>
    <t>ORD0009</t>
  </si>
  <si>
    <t>Chocolate</t>
  </si>
  <si>
    <t>Hyderabad</t>
  </si>
  <si>
    <t>Telangana</t>
  </si>
  <si>
    <t>UPI</t>
  </si>
  <si>
    <t>ORD0010</t>
  </si>
  <si>
    <t>ORD0011</t>
  </si>
  <si>
    <t>Lotion</t>
  </si>
  <si>
    <t>Bangalore</t>
  </si>
  <si>
    <t>Karnataka</t>
  </si>
  <si>
    <t>ORD0012</t>
  </si>
  <si>
    <t>ORD0013</t>
  </si>
  <si>
    <t>Cheese</t>
  </si>
  <si>
    <t>ORD0014</t>
  </si>
  <si>
    <t>Detergent</t>
  </si>
  <si>
    <t>ORD0015</t>
  </si>
  <si>
    <t>Curd</t>
  </si>
  <si>
    <t>ORD0016</t>
  </si>
  <si>
    <t>Muffin</t>
  </si>
  <si>
    <t>ORD0017</t>
  </si>
  <si>
    <t>Tea</t>
  </si>
  <si>
    <t>ORD0018</t>
  </si>
  <si>
    <t>Bread</t>
  </si>
  <si>
    <t>ORD0019</t>
  </si>
  <si>
    <t>ORD0020</t>
  </si>
  <si>
    <t>Ahmedabad</t>
  </si>
  <si>
    <t>Gujarat</t>
  </si>
  <si>
    <t>ORD0021</t>
  </si>
  <si>
    <t>Cake</t>
  </si>
  <si>
    <t>ORD0022</t>
  </si>
  <si>
    <t>Fruits &amp; Vegetables</t>
  </si>
  <si>
    <t>Onion</t>
  </si>
  <si>
    <t>ORD0023</t>
  </si>
  <si>
    <t>Coffee</t>
  </si>
  <si>
    <t>ORD0024</t>
  </si>
  <si>
    <t>ORD0025</t>
  </si>
  <si>
    <t>ORD0026</t>
  </si>
  <si>
    <t>ORD0027</t>
  </si>
  <si>
    <t>ORD0028</t>
  </si>
  <si>
    <t>Energy Drink</t>
  </si>
  <si>
    <t>ORD0029</t>
  </si>
  <si>
    <t>Toothpaste</t>
  </si>
  <si>
    <t>ORD0030</t>
  </si>
  <si>
    <t>Banana</t>
  </si>
  <si>
    <t>ORD0031</t>
  </si>
  <si>
    <t>ORD0032</t>
  </si>
  <si>
    <t>ORD0033</t>
  </si>
  <si>
    <t>Potato</t>
  </si>
  <si>
    <t>ORD0034</t>
  </si>
  <si>
    <t>ORD0035</t>
  </si>
  <si>
    <t>ORD0036</t>
  </si>
  <si>
    <t>ORD0037</t>
  </si>
  <si>
    <t>ORD0038</t>
  </si>
  <si>
    <t>Biscuits</t>
  </si>
  <si>
    <t>ORD0039</t>
  </si>
  <si>
    <t>Tomato</t>
  </si>
  <si>
    <t>ORD0040</t>
  </si>
  <si>
    <t>Milk</t>
  </si>
  <si>
    <t>ORD0041</t>
  </si>
  <si>
    <t>ORD0042</t>
  </si>
  <si>
    <t>ORD0043</t>
  </si>
  <si>
    <t>ORD0044</t>
  </si>
  <si>
    <t>ORD0045</t>
  </si>
  <si>
    <t>ORD0046</t>
  </si>
  <si>
    <t>ORD0047</t>
  </si>
  <si>
    <t>Soap</t>
  </si>
  <si>
    <t>ORD0048</t>
  </si>
  <si>
    <t>ORD0049</t>
  </si>
  <si>
    <t>ORD0050</t>
  </si>
  <si>
    <t>ORD0051</t>
  </si>
  <si>
    <t>Soda</t>
  </si>
  <si>
    <t>ORD0052</t>
  </si>
  <si>
    <t>ORD0053</t>
  </si>
  <si>
    <t>Apple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</si>
  <si>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</si>
  <si>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</si>
  <si>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</si>
  <si>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</si>
  <si>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</si>
  <si>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</si>
  <si>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</si>
  <si>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</si>
  <si>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</si>
  <si>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</si>
  <si>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</si>
  <si>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</si>
  <si>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</si>
  <si>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</si>
  <si>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</si>
  <si>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</si>
  <si>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</si>
  <si>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</si>
  <si>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</si>
  <si>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</si>
  <si>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</si>
  <si>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Popcorn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</si>
  <si>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</si>
  <si>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</si>
  <si>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</si>
  <si>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</si>
  <si>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</si>
  <si>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</si>
  <si>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</si>
  <si>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</si>
  <si>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</si>
  <si>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</si>
  <si>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</si>
  <si>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Dish Soap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</si>
  <si>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</si>
  <si>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</si>
  <si>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</si>
  <si>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</si>
  <si>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</si>
  <si>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</si>
  <si>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</si>
  <si>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</si>
  <si>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Tissue</t>
  </si>
  <si>
    <t>ORD0094</t>
  </si>
  <si>
    <t>ORD0095</t>
  </si>
  <si>
    <t>ORD0096</t>
  </si>
  <si>
    <t>Chips</t>
  </si>
  <si>
    <t>ORD0097</t>
  </si>
  <si>
    <t>Paneer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</si>
  <si>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</si>
  <si>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</si>
  <si>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</si>
  <si>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</si>
  <si>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</si>
  <si>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</si>
  <si>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</si>
  <si>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</si>
  <si>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</si>
  <si>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</si>
  <si>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</si>
  <si>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</si>
  <si>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</si>
  <si>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</si>
  <si>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</si>
  <si>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</si>
  <si>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</si>
  <si>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</si>
  <si>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</si>
  <si>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</si>
  <si>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</si>
  <si>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</si>
  <si>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</si>
  <si>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</si>
  <si>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</si>
  <si>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</si>
  <si>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</si>
  <si>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</si>
  <si>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</si>
  <si>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</si>
  <si>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</si>
  <si>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</si>
  <si>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</si>
  <si>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</si>
  <si>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</si>
  <si>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</si>
  <si>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</si>
  <si>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</si>
  <si>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</si>
  <si>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</si>
  <si>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</si>
  <si>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</si>
  <si>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</si>
  <si>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Croissant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</si>
  <si>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</si>
  <si>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</si>
  <si>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</si>
  <si>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</si>
  <si>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</si>
  <si>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</si>
  <si>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</si>
  <si>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</si>
  <si>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</si>
  <si>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</si>
  <si>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</si>
  <si>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</si>
  <si>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</si>
  <si>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</si>
  <si>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</si>
  <si>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</si>
  <si>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</si>
  <si>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</si>
  <si>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</si>
  <si>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</si>
  <si>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</si>
  <si>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</si>
  <si>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</si>
  <si>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</si>
  <si>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</si>
  <si>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</si>
  <si>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</si>
  <si>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</si>
  <si>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</si>
  <si>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</si>
  <si>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</si>
  <si>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</si>
  <si>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</si>
  <si>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</si>
  <si>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</si>
  <si>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</si>
  <si>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</si>
  <si>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</si>
  <si>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</si>
  <si>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</si>
  <si>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</si>
  <si>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</si>
  <si>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</si>
  <si>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</si>
  <si>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</si>
  <si>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</si>
  <si>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</si>
  <si>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</si>
  <si>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</si>
  <si>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</si>
  <si>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</si>
  <si>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</si>
  <si>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</si>
  <si>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</si>
  <si>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</si>
  <si>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</si>
  <si>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</si>
  <si>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</si>
  <si>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</si>
  <si>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</si>
  <si>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Order ID</t>
  </si>
  <si>
    <t>Order Date</t>
  </si>
  <si>
    <t>Product Category</t>
  </si>
  <si>
    <t>Product Name</t>
  </si>
  <si>
    <t>City</t>
  </si>
  <si>
    <t>State</t>
  </si>
  <si>
    <t>Order Quantity</t>
  </si>
  <si>
    <t>Selling Price</t>
  </si>
  <si>
    <t>Cost Price</t>
  </si>
  <si>
    <t>Discount (%)</t>
  </si>
  <si>
    <t>Delivery Time (min)</t>
  </si>
  <si>
    <t>Payment Mode</t>
  </si>
  <si>
    <t xml:space="preserve">total sale </t>
  </si>
  <si>
    <t>Total cost</t>
  </si>
  <si>
    <t>Profit</t>
  </si>
  <si>
    <t>sale</t>
  </si>
  <si>
    <t>payment  risk</t>
  </si>
  <si>
    <t>retrun</t>
  </si>
  <si>
    <t xml:space="preserve">Customer type </t>
  </si>
  <si>
    <t>Important orders</t>
  </si>
  <si>
    <t>id</t>
  </si>
  <si>
    <t>name</t>
  </si>
  <si>
    <t xml:space="preserve">Category 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</si>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</sst>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2" fillId="0" borderId="0" xfId="0" applyFont="1" applyAlignment="1">
      <alignment horizontal="left" vertical="center" indent="2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B24CA-2853-4866-949F-42698899A8AE}" name="Table1" displayName="Table1" ref="A1:O201" totalsRowShown="0" headerRowDxfId="6" headerRowBorderDxfId="5" tableBorderDxfId="4">
  <autoFilter ref="A1:O201" xr:uid="{A1CB24CA-2853-4866-949F-42698899A8AE}"/>
  <tableColumns count="15">
    <tableColumn id="1" xr3:uid="{F6779D04-09CA-4173-8426-EE6B08F2A67E}" name="Order ID"/>
    <tableColumn id="2" xr3:uid="{E6FB0DB6-5142-4CF5-B63F-686083EA786B}" name="Order Date" dataDxfId="3"/>
    <tableColumn id="3" xr3:uid="{F0A9899B-EEE6-483F-A203-8B672943BE95}" name="Product Category"/>
    <tableColumn id="4" xr3:uid="{0E3E68E4-E883-4374-ADB6-2FDB5914602A}" name="Product Name"/>
    <tableColumn id="5" xr3:uid="{44F9C159-D59E-4966-BD15-92412CD233F1}" name="City"/>
    <tableColumn id="6" xr3:uid="{1DE06F51-CE78-460A-80DA-BF474AF904B2}" name="State"/>
    <tableColumn id="7" xr3:uid="{04881597-C4E1-488C-8BDB-61C7D26E1521}" name="Order Quantity"/>
    <tableColumn id="8" xr3:uid="{C5A85EE8-5FA5-4AD5-B17B-01FB05F1BDF7}" name="Selling Price"/>
    <tableColumn id="9" xr3:uid="{8D6978E2-0AD9-417C-8D5B-92546410CF61}" name="Cost Price"/>
    <tableColumn id="10" xr3:uid="{CF147561-01DD-4C6E-8A17-071D3DF5762C}" name="Discount (%)"/>
    <tableColumn id="11" xr3:uid="{5D2AC16B-2FD1-4E9A-9AE2-E10EC5DD038A}" name="Delivery Time (min)"/>
    <tableColumn id="12" xr3:uid="{3F82B095-5BA0-4DE5-A4C5-7D8737A5B3CA}" name="Payment Mode"/>
    <tableColumn id="13" xr3:uid="{3D6F0C3D-D97E-4A00-8A9B-621054659009}" name="total sale " dataDxfId="2"/>
    <tableColumn id="14" xr3:uid="{C3DD73E5-38A1-43F7-A4E4-78DC0CE544A2}" name="Total cost" dataDxfId="1"/>
    <tableColumn id="15" xr3:uid="{2FD4DE85-2CC5-4319-BB49-65137C023C3F}" name="Profit" dataDxfId="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A82043-B9D4-4965-97C6-45A4B17CF53A}" name="Table2" displayName="Table2" ref="Y1:AA2" totalsRowShown="0">
  <autoFilter ref="Y1:AA2" xr:uid="{18A82043-B9D4-4965-97C6-45A4B17CF53A}"/>
  <tableColumns count="3">
    <tableColumn id="1" xr3:uid="{F2B0A7E8-710E-467C-83A0-F2074249B03E}" name="id"/>
    <tableColumn id="2" xr3:uid="{7E197235-1F33-4952-AD98-0A2AC8215F3F}" name="name">
      <calculatedColumnFormula>VLOOKUP(Y2,A:D,4,FALSE)</calculatedColumnFormula>
    </tableColumn>
    <tableColumn id="3" xr3:uid="{E088E161-DBAC-4EFA-93E8-5B5F36C39626}" name="Category ">
      <calculatedColumnFormula>VLOOKUP(Y2,A:D,3,FALSE)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C2D451-D897-43A5-B6EE-1BA9FEFC5146}" name="Table3" displayName="Table3" ref="Y6:Z7" totalsRowShown="0">
  <autoFilter ref="Y6:Z7" xr:uid="{D8C2D451-D897-43A5-B6EE-1BA9FEFC5146}"/>
  <tableColumns count="2">
    <tableColumn id="1" xr3:uid="{D04722A1-C103-4B81-AAFF-57F4AA9A3A9C}" name="id"/>
    <tableColumn id="2" xr3:uid="{69396A33-D7B7-4D1B-8F20-F4B38156B923}" name="discount">
      <calculatedColumnFormula>_xlfn.XLOOKUP(Y7,A:A,J:J,"not found",0)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2235-7EB9-43F5-9DD2-A2058A828B7F}">
  <dimension ref="A1:AA201"/>
  <sheetViews>
    <sheetView tabSelected="1" topLeftCell="M1" workbookViewId="0">
      <selection activeCell="X12" sqref="X12"/>
    </sheetView>
  </sheetViews>
  <sheetFormatPr defaultRowHeight="14.4" x14ac:dyDescent="0.3"/>
  <cols>
    <col min="1" max="1" width="13.109375" bestFit="1" customWidth="1"/>
    <col min="2" max="2" width="15.33203125" style="3" bestFit="1" customWidth="1"/>
    <col min="3" max="3" width="18.33203125" customWidth="1"/>
    <col min="4" max="4" width="15.5546875" customWidth="1"/>
    <col min="7" max="7" width="16.44140625" customWidth="1"/>
    <col min="8" max="8" width="13.33203125" customWidth="1"/>
    <col min="9" max="9" width="11.6640625" customWidth="1"/>
    <col min="10" max="10" width="14.109375" customWidth="1"/>
    <col min="11" max="11" width="20" customWidth="1"/>
    <col min="12" max="12" width="16.44140625" customWidth="1"/>
    <col min="13" max="13" width="17.44140625" bestFit="1" customWidth="1"/>
    <col min="14" max="14" width="17.88671875" bestFit="1" customWidth="1"/>
    <col min="15" max="15" width="8.88671875" style="5"/>
    <col min="18" max="18" width="11.44140625" bestFit="1" customWidth="1"/>
    <col min="20" max="20" width="17.44140625" bestFit="1" customWidth="1"/>
    <col min="21" max="21" width="19.21875" bestFit="1" customWidth="1"/>
    <col min="24" max="24" width="8.88671875" customWidth="1"/>
    <col min="26" max="26" width="9.77734375" customWidth="1"/>
    <col min="27" max="27" width="16.44140625" bestFit="1" customWidth="1"/>
  </cols>
  <sheetData>
    <row r="1" spans="1:27" ht="15.6" x14ac:dyDescent="0.3">
      <c r="A1" s="1" t="s">
        <v>261</v>
      </c>
      <c r="B1" s="2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4" t="s">
        <v>275</v>
      </c>
      <c r="Q1" t="s">
        <v>276</v>
      </c>
      <c r="R1" t="s">
        <v>277</v>
      </c>
      <c r="S1" t="s">
        <v>278</v>
      </c>
      <c r="T1" s="6" t="s">
        <v>279</v>
      </c>
      <c r="U1" s="6" t="s">
        <v>280</v>
      </c>
      <c r="Y1" t="s">
        <v>281</v>
      </c>
      <c r="Z1" t="s">
        <v>282</v>
      </c>
      <c r="AA1" s="6" t="s">
        <v>283</v>
      </c>
    </row>
    <row r="2" spans="1:27" x14ac:dyDescent="0.3">
      <c r="A2" t="s">
        <v>0</v>
      </c>
      <c r="B2" s="3">
        <v>44971</v>
      </c>
      <c r="C2" t="s">
        <v>1</v>
      </c>
      <c r="D2" t="s">
        <v>2</v>
      </c>
      <c r="E2" t="s">
        <v>3</v>
      </c>
      <c r="F2" t="s">
        <v>3</v>
      </c>
      <c r="G2">
        <v>5</v>
      </c>
      <c r="H2">
        <v>150.26</v>
      </c>
      <c r="I2">
        <v>130</v>
      </c>
      <c r="J2">
        <v>0</v>
      </c>
      <c r="K2">
        <v>96</v>
      </c>
      <c r="L2" t="s">
        <v>4</v>
      </c>
      <c r="M2">
        <v>751.3</v>
      </c>
      <c r="N2">
        <v>650</v>
      </c>
      <c r="O2">
        <v>101.29999999999995</v>
      </c>
      <c r="Q2" t="str" cm="1">
        <f t="array" ref="Q2">_xlfn.IFS(M2&lt;100,"low",M2&lt;500,"medum",M2&gt;500,"high")</f>
        <v>high</v>
      </c>
      <c r="R2" t="str">
        <f>IF(OR(L2="wallet",L2="upi"),"risk","not risk")</f>
        <v>risk</v>
      </c>
      <c r="S2" t="str">
        <f>IF(G2&lt;1,"retrun","not")</f>
        <v>not</v>
      </c>
      <c r="T2" t="str">
        <f>IF(M2&gt;1000,"premium Customor","Normal Customor")</f>
        <v>Normal Customor</v>
      </c>
      <c r="U2" t="str">
        <f>IF(G2&gt;4,"important","not")</f>
        <v>important</v>
      </c>
      <c r="Y2" t="s">
        <v>191</v>
      </c>
      <c r="Z2" t="str">
        <f>VLOOKUP(Y2,A:D,4,FALSE)</f>
        <v>Apple</v>
      </c>
      <c r="AA2" t="str">
        <f>VLOOKUP(Y2,A:D,3,FALSE)</f>
        <v>Fruits &amp; Vegetables</v>
      </c>
    </row>
    <row r="3" spans="1:27" x14ac:dyDescent="0.3">
      <c r="A3" t="s">
        <v>5</v>
      </c>
      <c r="B3" s="3">
        <v>45028</v>
      </c>
      <c r="C3" t="s">
        <v>6</v>
      </c>
      <c r="D3" t="s">
        <v>7</v>
      </c>
      <c r="E3" t="s">
        <v>3</v>
      </c>
      <c r="F3" t="s">
        <v>3</v>
      </c>
      <c r="G3">
        <v>0</v>
      </c>
      <c r="H3">
        <v>66.7</v>
      </c>
      <c r="I3">
        <v>55.91</v>
      </c>
      <c r="J3">
        <v>20</v>
      </c>
      <c r="K3">
        <v>13</v>
      </c>
      <c r="L3" t="s">
        <v>4</v>
      </c>
      <c r="M3">
        <v>66.7</v>
      </c>
      <c r="N3">
        <v>55.91</v>
      </c>
      <c r="O3">
        <v>10.790000000000006</v>
      </c>
      <c r="Q3" t="str" cm="1">
        <f t="array" ref="Q3">_xlfn.IFS(M3&lt;100,"low",M3&lt;500,"medum",M3&gt;500,"high")</f>
        <v>low</v>
      </c>
      <c r="R3" t="str">
        <f t="shared" ref="R3:R66" si="0">IF(OR(L3="wallet",L3="upi"),"risk","not risk")</f>
        <v>risk</v>
      </c>
      <c r="S3" t="str">
        <f t="shared" ref="S3:S66" si="1">IF(G3&lt;1,"retrun","not")</f>
        <v>retrun</v>
      </c>
      <c r="T3" t="str">
        <f t="shared" ref="T3:T66" si="2">IF(M3&gt;1000,"premium Customor","Normal Customor")</f>
        <v>Normal Customor</v>
      </c>
      <c r="U3" t="str">
        <f t="shared" ref="U3:U66" si="3">IF(G3&gt;4,"important","not")</f>
        <v>not</v>
      </c>
    </row>
    <row r="4" spans="1:27" x14ac:dyDescent="0.3">
      <c r="A4" t="s">
        <v>8</v>
      </c>
      <c r="B4" s="3">
        <v>45284</v>
      </c>
      <c r="C4" t="s">
        <v>1</v>
      </c>
      <c r="D4" t="s">
        <v>9</v>
      </c>
      <c r="E4" t="s">
        <v>10</v>
      </c>
      <c r="F4" t="s">
        <v>11</v>
      </c>
      <c r="G4">
        <v>4</v>
      </c>
      <c r="H4">
        <v>278.73</v>
      </c>
      <c r="I4">
        <v>230.11</v>
      </c>
      <c r="J4">
        <v>0</v>
      </c>
      <c r="K4">
        <v>107</v>
      </c>
      <c r="L4" t="s">
        <v>12</v>
      </c>
      <c r="M4">
        <v>1114.92</v>
      </c>
      <c r="N4">
        <v>920.44</v>
      </c>
      <c r="O4">
        <v>194.48000000000002</v>
      </c>
      <c r="Q4" t="str" cm="1">
        <f t="array" ref="Q4">_xlfn.IFS(M4&lt;100,"low",M4&lt;500,"medum",M4&gt;500,"high")</f>
        <v>high</v>
      </c>
      <c r="R4" t="str">
        <f t="shared" si="0"/>
        <v>not risk</v>
      </c>
      <c r="S4" t="str">
        <f t="shared" si="1"/>
        <v>not</v>
      </c>
      <c r="T4" t="str">
        <f t="shared" si="2"/>
        <v>premium Customor</v>
      </c>
      <c r="U4" t="str">
        <f t="shared" si="3"/>
        <v>not</v>
      </c>
    </row>
    <row r="5" spans="1:27" x14ac:dyDescent="0.3">
      <c r="A5" t="s">
        <v>13</v>
      </c>
      <c r="B5" s="3">
        <v>44976</v>
      </c>
      <c r="C5" t="s">
        <v>14</v>
      </c>
      <c r="D5" t="s">
        <v>15</v>
      </c>
      <c r="E5" t="s">
        <v>16</v>
      </c>
      <c r="F5" t="s">
        <v>17</v>
      </c>
      <c r="G5">
        <v>3</v>
      </c>
      <c r="H5">
        <v>162.32</v>
      </c>
      <c r="I5">
        <v>115.5</v>
      </c>
      <c r="J5">
        <v>0</v>
      </c>
      <c r="K5">
        <v>21</v>
      </c>
      <c r="L5" t="s">
        <v>18</v>
      </c>
      <c r="M5">
        <v>486.96</v>
      </c>
      <c r="N5">
        <v>346.5</v>
      </c>
      <c r="O5">
        <v>140.45999999999998</v>
      </c>
      <c r="Q5" t="str" cm="1">
        <f t="array" ref="Q5">_xlfn.IFS(M5&lt;100,"low",M5&lt;500,"medum",M5&gt;500,"high")</f>
        <v>medum</v>
      </c>
      <c r="R5" t="str">
        <f t="shared" si="0"/>
        <v>not risk</v>
      </c>
      <c r="S5" t="str">
        <f t="shared" si="1"/>
        <v>not</v>
      </c>
      <c r="T5" t="str">
        <f t="shared" si="2"/>
        <v>Normal Customor</v>
      </c>
      <c r="U5" t="str">
        <f t="shared" si="3"/>
        <v>not</v>
      </c>
    </row>
    <row r="6" spans="1:27" x14ac:dyDescent="0.3">
      <c r="A6" t="s">
        <v>19</v>
      </c>
      <c r="B6" s="3">
        <v>45077</v>
      </c>
      <c r="C6" t="s">
        <v>20</v>
      </c>
      <c r="D6" t="s">
        <v>21</v>
      </c>
      <c r="E6" t="s">
        <v>16</v>
      </c>
      <c r="F6" t="s">
        <v>17</v>
      </c>
      <c r="G6">
        <v>1</v>
      </c>
      <c r="H6">
        <v>483.17</v>
      </c>
      <c r="I6">
        <v>367.57</v>
      </c>
      <c r="J6">
        <v>15</v>
      </c>
      <c r="K6">
        <v>20</v>
      </c>
      <c r="L6" t="s">
        <v>4</v>
      </c>
      <c r="M6">
        <v>483.17</v>
      </c>
      <c r="N6">
        <v>367.57</v>
      </c>
      <c r="O6">
        <v>115.60000000000002</v>
      </c>
      <c r="Q6" t="str" cm="1">
        <f t="array" ref="Q6">_xlfn.IFS(M6&lt;100,"low",M6&lt;500,"medum",M6&gt;500,"high")</f>
        <v>medum</v>
      </c>
      <c r="R6" t="str">
        <f t="shared" si="0"/>
        <v>risk</v>
      </c>
      <c r="S6" t="str">
        <f t="shared" si="1"/>
        <v>not</v>
      </c>
      <c r="T6" t="str">
        <f t="shared" si="2"/>
        <v>Normal Customor</v>
      </c>
      <c r="U6" t="str">
        <f t="shared" si="3"/>
        <v>not</v>
      </c>
      <c r="Y6" t="s">
        <v>281</v>
      </c>
      <c r="Z6" t="s">
        <v>284</v>
      </c>
    </row>
    <row r="7" spans="1:27" x14ac:dyDescent="0.3">
      <c r="A7" t="s">
        <v>22</v>
      </c>
      <c r="B7" s="3">
        <v>44967</v>
      </c>
      <c r="C7" t="s">
        <v>23</v>
      </c>
      <c r="D7" t="s">
        <v>24</v>
      </c>
      <c r="E7" t="s">
        <v>25</v>
      </c>
      <c r="F7" t="s">
        <v>26</v>
      </c>
      <c r="G7">
        <v>10</v>
      </c>
      <c r="H7">
        <v>117.54</v>
      </c>
      <c r="I7">
        <v>104.22</v>
      </c>
      <c r="J7">
        <v>5</v>
      </c>
      <c r="K7">
        <v>108</v>
      </c>
      <c r="L7" t="s">
        <v>27</v>
      </c>
      <c r="M7">
        <v>1175.4000000000001</v>
      </c>
      <c r="N7">
        <v>1042.2</v>
      </c>
      <c r="O7">
        <v>133.20000000000005</v>
      </c>
      <c r="Q7" t="str" cm="1">
        <f t="array" ref="Q7">_xlfn.IFS(M7&lt;100,"low",M7&lt;500,"medum",M7&gt;500,"high")</f>
        <v>high</v>
      </c>
      <c r="R7" t="str">
        <f t="shared" si="0"/>
        <v>not risk</v>
      </c>
      <c r="S7" t="str">
        <f t="shared" si="1"/>
        <v>not</v>
      </c>
      <c r="T7" t="str">
        <f t="shared" si="2"/>
        <v>premium Customor</v>
      </c>
      <c r="U7" t="str">
        <f t="shared" si="3"/>
        <v>important</v>
      </c>
      <c r="Y7">
        <v>0</v>
      </c>
      <c r="Z7" t="str">
        <f>_xlfn.XLOOKUP(Y7,A:A,J:J,"not found",0)</f>
        <v>not found</v>
      </c>
    </row>
    <row r="8" spans="1:27" x14ac:dyDescent="0.3">
      <c r="A8" t="s">
        <v>28</v>
      </c>
      <c r="B8" s="3">
        <v>45108</v>
      </c>
      <c r="C8" t="s">
        <v>23</v>
      </c>
      <c r="D8" t="s">
        <v>29</v>
      </c>
      <c r="E8" t="s">
        <v>30</v>
      </c>
      <c r="F8" t="s">
        <v>11</v>
      </c>
      <c r="G8">
        <v>7</v>
      </c>
      <c r="H8">
        <v>198.01</v>
      </c>
      <c r="I8">
        <v>146.21</v>
      </c>
      <c r="J8">
        <v>10</v>
      </c>
      <c r="K8">
        <v>30</v>
      </c>
      <c r="L8" t="s">
        <v>27</v>
      </c>
      <c r="M8">
        <v>1386.07</v>
      </c>
      <c r="N8">
        <v>1023.47</v>
      </c>
      <c r="O8">
        <v>362.59999999999991</v>
      </c>
      <c r="Q8" t="str" cm="1">
        <f t="array" ref="Q8">_xlfn.IFS(M8&lt;100,"low",M8&lt;500,"medum",M8&gt;500,"high")</f>
        <v>high</v>
      </c>
      <c r="R8" t="str">
        <f t="shared" si="0"/>
        <v>not risk</v>
      </c>
      <c r="S8" t="str">
        <f t="shared" si="1"/>
        <v>not</v>
      </c>
      <c r="T8" t="str">
        <f t="shared" si="2"/>
        <v>premium Customor</v>
      </c>
      <c r="U8" t="str">
        <f t="shared" si="3"/>
        <v>important</v>
      </c>
    </row>
    <row r="9" spans="1:27" x14ac:dyDescent="0.3">
      <c r="A9" t="s">
        <v>31</v>
      </c>
      <c r="B9" s="3">
        <v>45121</v>
      </c>
      <c r="C9" t="s">
        <v>32</v>
      </c>
      <c r="D9" t="s">
        <v>33</v>
      </c>
      <c r="E9" t="s">
        <v>30</v>
      </c>
      <c r="F9" t="s">
        <v>11</v>
      </c>
      <c r="G9">
        <v>0</v>
      </c>
      <c r="H9">
        <v>421.87</v>
      </c>
      <c r="I9">
        <v>321.14</v>
      </c>
      <c r="J9">
        <v>5</v>
      </c>
      <c r="K9">
        <v>30</v>
      </c>
      <c r="L9" t="s">
        <v>18</v>
      </c>
      <c r="M9">
        <v>4218.7</v>
      </c>
      <c r="N9">
        <v>3211.3999999999996</v>
      </c>
      <c r="O9">
        <v>1007.3000000000002</v>
      </c>
      <c r="Q9" t="str" cm="1">
        <f t="array" ref="Q9">_xlfn.IFS(M9&lt;100,"low",M9&lt;500,"medum",M9&gt;500,"high")</f>
        <v>high</v>
      </c>
      <c r="R9" t="str">
        <f t="shared" si="0"/>
        <v>not risk</v>
      </c>
      <c r="S9" t="str">
        <f t="shared" si="1"/>
        <v>retrun</v>
      </c>
      <c r="T9" t="str">
        <f t="shared" si="2"/>
        <v>premium Customor</v>
      </c>
      <c r="U9" t="str">
        <f t="shared" si="3"/>
        <v>not</v>
      </c>
    </row>
    <row r="10" spans="1:27" x14ac:dyDescent="0.3">
      <c r="A10" t="s">
        <v>34</v>
      </c>
      <c r="B10" s="3">
        <v>45088</v>
      </c>
      <c r="C10" t="s">
        <v>20</v>
      </c>
      <c r="D10" t="s">
        <v>35</v>
      </c>
      <c r="E10" t="s">
        <v>36</v>
      </c>
      <c r="F10" t="s">
        <v>37</v>
      </c>
      <c r="G10">
        <v>6</v>
      </c>
      <c r="H10">
        <v>596.6</v>
      </c>
      <c r="I10">
        <v>423</v>
      </c>
      <c r="J10">
        <v>5</v>
      </c>
      <c r="K10">
        <v>115</v>
      </c>
      <c r="L10" t="s">
        <v>38</v>
      </c>
      <c r="M10">
        <v>3579.6000000000004</v>
      </c>
      <c r="N10">
        <v>2538</v>
      </c>
      <c r="O10">
        <v>1041.6000000000004</v>
      </c>
      <c r="Q10" t="str" cm="1">
        <f t="array" ref="Q10">_xlfn.IFS(M10&lt;100,"low",M10&lt;500,"medum",M10&gt;500,"high")</f>
        <v>high</v>
      </c>
      <c r="R10" t="str">
        <f t="shared" si="0"/>
        <v>risk</v>
      </c>
      <c r="S10" t="str">
        <f t="shared" si="1"/>
        <v>not</v>
      </c>
      <c r="T10" t="str">
        <f t="shared" si="2"/>
        <v>premium Customor</v>
      </c>
      <c r="U10" t="str">
        <f t="shared" si="3"/>
        <v>important</v>
      </c>
    </row>
    <row r="11" spans="1:27" x14ac:dyDescent="0.3">
      <c r="A11" t="s">
        <v>39</v>
      </c>
      <c r="B11" s="3">
        <v>45129</v>
      </c>
      <c r="C11" t="s">
        <v>14</v>
      </c>
      <c r="D11" t="s">
        <v>15</v>
      </c>
      <c r="E11" t="s">
        <v>30</v>
      </c>
      <c r="F11" t="s">
        <v>11</v>
      </c>
      <c r="G11">
        <v>4</v>
      </c>
      <c r="H11">
        <v>606.96</v>
      </c>
      <c r="I11">
        <v>457.44</v>
      </c>
      <c r="J11">
        <v>10</v>
      </c>
      <c r="K11">
        <v>37</v>
      </c>
      <c r="L11" t="s">
        <v>18</v>
      </c>
      <c r="M11">
        <v>2427.84</v>
      </c>
      <c r="N11">
        <v>1829.76</v>
      </c>
      <c r="O11">
        <v>598.08000000000015</v>
      </c>
      <c r="Q11" t="str" cm="1">
        <f t="array" ref="Q11">_xlfn.IFS(M11&lt;100,"low",M11&lt;500,"medum",M11&gt;500,"high")</f>
        <v>high</v>
      </c>
      <c r="R11" t="str">
        <f t="shared" si="0"/>
        <v>not risk</v>
      </c>
      <c r="S11" t="str">
        <f t="shared" si="1"/>
        <v>not</v>
      </c>
      <c r="T11" t="str">
        <f t="shared" si="2"/>
        <v>premium Customor</v>
      </c>
      <c r="U11" t="str">
        <f t="shared" si="3"/>
        <v>not</v>
      </c>
    </row>
    <row r="12" spans="1:27" x14ac:dyDescent="0.3">
      <c r="A12" t="s">
        <v>40</v>
      </c>
      <c r="B12" s="3">
        <v>45146</v>
      </c>
      <c r="C12" t="s">
        <v>1</v>
      </c>
      <c r="D12" t="s">
        <v>41</v>
      </c>
      <c r="E12" t="s">
        <v>42</v>
      </c>
      <c r="F12" t="s">
        <v>43</v>
      </c>
      <c r="G12">
        <v>5</v>
      </c>
      <c r="H12">
        <v>109.63</v>
      </c>
      <c r="I12">
        <v>78.42</v>
      </c>
      <c r="J12">
        <v>20</v>
      </c>
      <c r="K12">
        <v>43</v>
      </c>
      <c r="L12" t="s">
        <v>4</v>
      </c>
      <c r="M12">
        <v>548.15</v>
      </c>
      <c r="N12">
        <v>392.1</v>
      </c>
      <c r="O12">
        <v>156.04999999999995</v>
      </c>
      <c r="Q12" t="str" cm="1">
        <f t="array" ref="Q12">_xlfn.IFS(M12&lt;100,"low",M12&lt;500,"medum",M12&gt;500,"high")</f>
        <v>high</v>
      </c>
      <c r="R12" t="str">
        <f t="shared" si="0"/>
        <v>risk</v>
      </c>
      <c r="S12" t="str">
        <f t="shared" si="1"/>
        <v>not</v>
      </c>
      <c r="T12" t="str">
        <f t="shared" si="2"/>
        <v>Normal Customor</v>
      </c>
      <c r="U12" t="str">
        <f t="shared" si="3"/>
        <v>important</v>
      </c>
    </row>
    <row r="13" spans="1:27" x14ac:dyDescent="0.3">
      <c r="A13" t="s">
        <v>44</v>
      </c>
      <c r="B13" s="3">
        <v>44983</v>
      </c>
      <c r="C13" t="s">
        <v>6</v>
      </c>
      <c r="D13" t="s">
        <v>7</v>
      </c>
      <c r="E13" t="s">
        <v>25</v>
      </c>
      <c r="F13" t="s">
        <v>26</v>
      </c>
      <c r="G13">
        <v>4</v>
      </c>
      <c r="H13">
        <v>576.15</v>
      </c>
      <c r="I13">
        <v>498.69</v>
      </c>
      <c r="J13">
        <v>15</v>
      </c>
      <c r="K13">
        <v>21</v>
      </c>
      <c r="L13" t="s">
        <v>38</v>
      </c>
      <c r="M13">
        <v>2304.6</v>
      </c>
      <c r="N13">
        <v>1994.76</v>
      </c>
      <c r="O13">
        <v>309.83999999999992</v>
      </c>
      <c r="Q13" t="str" cm="1">
        <f t="array" ref="Q13">_xlfn.IFS(M13&lt;100,"low",M13&lt;500,"medum",M13&gt;500,"high")</f>
        <v>high</v>
      </c>
      <c r="R13" t="str">
        <f t="shared" si="0"/>
        <v>risk</v>
      </c>
      <c r="S13" t="str">
        <f t="shared" si="1"/>
        <v>not</v>
      </c>
      <c r="T13" t="str">
        <f t="shared" si="2"/>
        <v>premium Customor</v>
      </c>
      <c r="U13" t="str">
        <f t="shared" si="3"/>
        <v>not</v>
      </c>
    </row>
    <row r="14" spans="1:27" x14ac:dyDescent="0.3">
      <c r="A14" t="s">
        <v>45</v>
      </c>
      <c r="B14" s="3">
        <v>45210</v>
      </c>
      <c r="C14" t="s">
        <v>32</v>
      </c>
      <c r="D14" t="s">
        <v>46</v>
      </c>
      <c r="E14" t="s">
        <v>10</v>
      </c>
      <c r="F14" t="s">
        <v>11</v>
      </c>
      <c r="G14">
        <v>10</v>
      </c>
      <c r="H14">
        <v>51.52</v>
      </c>
      <c r="I14">
        <v>41.13</v>
      </c>
      <c r="J14">
        <v>15</v>
      </c>
      <c r="K14">
        <v>77</v>
      </c>
      <c r="L14" t="s">
        <v>27</v>
      </c>
      <c r="M14">
        <v>515.20000000000005</v>
      </c>
      <c r="N14">
        <v>411.3</v>
      </c>
      <c r="O14">
        <v>103.90000000000003</v>
      </c>
      <c r="Q14" t="str" cm="1">
        <f t="array" ref="Q14">_xlfn.IFS(M14&lt;100,"low",M14&lt;500,"medum",M14&gt;500,"high")</f>
        <v>high</v>
      </c>
      <c r="R14" t="str">
        <f t="shared" si="0"/>
        <v>not risk</v>
      </c>
      <c r="S14" t="str">
        <f t="shared" si="1"/>
        <v>not</v>
      </c>
      <c r="T14" t="str">
        <f t="shared" si="2"/>
        <v>Normal Customor</v>
      </c>
      <c r="U14" t="str">
        <f t="shared" si="3"/>
        <v>important</v>
      </c>
    </row>
    <row r="15" spans="1:27" x14ac:dyDescent="0.3">
      <c r="A15" t="s">
        <v>47</v>
      </c>
      <c r="B15" s="3">
        <v>45149</v>
      </c>
      <c r="C15" t="s">
        <v>23</v>
      </c>
      <c r="D15" t="s">
        <v>48</v>
      </c>
      <c r="E15" t="s">
        <v>30</v>
      </c>
      <c r="F15" t="s">
        <v>11</v>
      </c>
      <c r="G15">
        <v>9</v>
      </c>
      <c r="H15">
        <v>531.91</v>
      </c>
      <c r="I15">
        <v>377.93</v>
      </c>
      <c r="J15">
        <v>10</v>
      </c>
      <c r="K15">
        <v>24</v>
      </c>
      <c r="L15" t="s">
        <v>27</v>
      </c>
      <c r="M15">
        <v>4787.1899999999996</v>
      </c>
      <c r="N15">
        <v>3401.37</v>
      </c>
      <c r="O15">
        <v>1385.8199999999997</v>
      </c>
      <c r="Q15" t="str" cm="1">
        <f t="array" ref="Q15">_xlfn.IFS(M15&lt;100,"low",M15&lt;500,"medum",M15&gt;500,"high")</f>
        <v>high</v>
      </c>
      <c r="R15" t="str">
        <f t="shared" si="0"/>
        <v>not risk</v>
      </c>
      <c r="S15" t="str">
        <f t="shared" si="1"/>
        <v>not</v>
      </c>
      <c r="T15" t="str">
        <f t="shared" si="2"/>
        <v>premium Customor</v>
      </c>
      <c r="U15" t="str">
        <f t="shared" si="3"/>
        <v>important</v>
      </c>
    </row>
    <row r="16" spans="1:27" x14ac:dyDescent="0.3">
      <c r="A16" t="s">
        <v>49</v>
      </c>
      <c r="B16" s="3">
        <v>45254</v>
      </c>
      <c r="C16" t="s">
        <v>32</v>
      </c>
      <c r="D16" t="s">
        <v>50</v>
      </c>
      <c r="E16" t="s">
        <v>3</v>
      </c>
      <c r="F16" t="s">
        <v>3</v>
      </c>
      <c r="G16">
        <v>5</v>
      </c>
      <c r="H16">
        <v>683.05</v>
      </c>
      <c r="I16">
        <v>486.23</v>
      </c>
      <c r="J16">
        <v>20</v>
      </c>
      <c r="K16">
        <v>23</v>
      </c>
      <c r="L16" t="s">
        <v>27</v>
      </c>
      <c r="M16">
        <v>3415.25</v>
      </c>
      <c r="N16">
        <v>2431.15</v>
      </c>
      <c r="O16">
        <v>984.09999999999991</v>
      </c>
      <c r="Q16" t="str" cm="1">
        <f t="array" ref="Q16">_xlfn.IFS(M16&lt;100,"low",M16&lt;500,"medum",M16&gt;500,"high")</f>
        <v>high</v>
      </c>
      <c r="R16" t="str">
        <f t="shared" si="0"/>
        <v>not risk</v>
      </c>
      <c r="S16" t="str">
        <f t="shared" si="1"/>
        <v>not</v>
      </c>
      <c r="T16" t="str">
        <f t="shared" si="2"/>
        <v>premium Customor</v>
      </c>
      <c r="U16" t="str">
        <f t="shared" si="3"/>
        <v>important</v>
      </c>
    </row>
    <row r="17" spans="1:21" x14ac:dyDescent="0.3">
      <c r="A17" t="s">
        <v>51</v>
      </c>
      <c r="B17" s="3">
        <v>45092</v>
      </c>
      <c r="C17" t="s">
        <v>6</v>
      </c>
      <c r="D17" t="s">
        <v>52</v>
      </c>
      <c r="E17" t="s">
        <v>36</v>
      </c>
      <c r="F17" t="s">
        <v>37</v>
      </c>
      <c r="H17">
        <v>225.03</v>
      </c>
      <c r="I17">
        <v>193.22</v>
      </c>
      <c r="J17">
        <v>20</v>
      </c>
      <c r="K17">
        <v>10</v>
      </c>
      <c r="L17" t="s">
        <v>4</v>
      </c>
      <c r="M17">
        <v>675.09</v>
      </c>
      <c r="N17">
        <v>579.66</v>
      </c>
      <c r="O17">
        <v>95.430000000000064</v>
      </c>
      <c r="Q17" t="str" cm="1">
        <f t="array" ref="Q17">_xlfn.IFS(M17&lt;100,"low",M17&lt;500,"medum",M17&gt;500,"high")</f>
        <v>high</v>
      </c>
      <c r="R17" t="str">
        <f t="shared" si="0"/>
        <v>risk</v>
      </c>
      <c r="S17" t="str">
        <f t="shared" si="1"/>
        <v>retrun</v>
      </c>
      <c r="T17" t="str">
        <f t="shared" si="2"/>
        <v>Normal Customor</v>
      </c>
      <c r="U17" t="str">
        <f t="shared" si="3"/>
        <v>not</v>
      </c>
    </row>
    <row r="18" spans="1:21" x14ac:dyDescent="0.3">
      <c r="A18" t="s">
        <v>53</v>
      </c>
      <c r="B18" s="3">
        <v>45050</v>
      </c>
      <c r="C18" t="s">
        <v>14</v>
      </c>
      <c r="D18" t="s">
        <v>54</v>
      </c>
      <c r="E18" t="s">
        <v>30</v>
      </c>
      <c r="F18" t="s">
        <v>11</v>
      </c>
      <c r="G18">
        <v>6</v>
      </c>
      <c r="H18">
        <v>631.19000000000005</v>
      </c>
      <c r="I18">
        <v>440.57</v>
      </c>
      <c r="J18">
        <v>10</v>
      </c>
      <c r="K18">
        <v>40</v>
      </c>
      <c r="L18" t="s">
        <v>38</v>
      </c>
      <c r="M18">
        <v>3787.1400000000003</v>
      </c>
      <c r="N18">
        <v>2643.42</v>
      </c>
      <c r="O18">
        <v>1143.7200000000003</v>
      </c>
      <c r="Q18" t="str" cm="1">
        <f t="array" ref="Q18">_xlfn.IFS(M18&lt;100,"low",M18&lt;500,"medum",M18&gt;500,"high")</f>
        <v>high</v>
      </c>
      <c r="R18" t="str">
        <f t="shared" si="0"/>
        <v>risk</v>
      </c>
      <c r="S18" t="str">
        <f t="shared" si="1"/>
        <v>not</v>
      </c>
      <c r="T18" t="str">
        <f t="shared" si="2"/>
        <v>premium Customor</v>
      </c>
      <c r="U18" t="str">
        <f t="shared" si="3"/>
        <v>important</v>
      </c>
    </row>
    <row r="19" spans="1:21" x14ac:dyDescent="0.3">
      <c r="A19" t="s">
        <v>55</v>
      </c>
      <c r="B19" s="3">
        <v>44992</v>
      </c>
      <c r="C19" t="s">
        <v>6</v>
      </c>
      <c r="D19" t="s">
        <v>56</v>
      </c>
      <c r="E19" t="s">
        <v>30</v>
      </c>
      <c r="F19" t="s">
        <v>11</v>
      </c>
      <c r="G19">
        <v>8</v>
      </c>
      <c r="H19">
        <v>611.16999999999996</v>
      </c>
      <c r="I19">
        <v>409.85</v>
      </c>
      <c r="J19">
        <v>20</v>
      </c>
      <c r="K19">
        <v>108</v>
      </c>
      <c r="L19" t="s">
        <v>12</v>
      </c>
      <c r="M19">
        <v>4889.3599999999997</v>
      </c>
      <c r="N19">
        <v>3278.8</v>
      </c>
      <c r="O19">
        <v>1610.5599999999995</v>
      </c>
      <c r="Q19" t="str" cm="1">
        <f t="array" ref="Q19">_xlfn.IFS(M19&lt;100,"low",M19&lt;500,"medum",M19&gt;500,"high")</f>
        <v>high</v>
      </c>
      <c r="R19" t="str">
        <f t="shared" si="0"/>
        <v>not risk</v>
      </c>
      <c r="S19" t="str">
        <f t="shared" si="1"/>
        <v>not</v>
      </c>
      <c r="T19" t="str">
        <f t="shared" si="2"/>
        <v>premium Customor</v>
      </c>
      <c r="U19" t="str">
        <f t="shared" si="3"/>
        <v>important</v>
      </c>
    </row>
    <row r="20" spans="1:21" x14ac:dyDescent="0.3">
      <c r="A20" t="s">
        <v>57</v>
      </c>
      <c r="B20" s="3">
        <v>45086</v>
      </c>
      <c r="C20" t="s">
        <v>1</v>
      </c>
      <c r="D20" t="s">
        <v>41</v>
      </c>
      <c r="E20" t="s">
        <v>42</v>
      </c>
      <c r="F20" t="s">
        <v>43</v>
      </c>
      <c r="G20">
        <v>5</v>
      </c>
      <c r="H20">
        <v>360.58</v>
      </c>
      <c r="I20">
        <v>268.56</v>
      </c>
      <c r="J20">
        <v>5</v>
      </c>
      <c r="K20">
        <v>79</v>
      </c>
      <c r="L20" t="s">
        <v>12</v>
      </c>
      <c r="M20">
        <v>1802.8999999999999</v>
      </c>
      <c r="N20">
        <v>1342.8</v>
      </c>
      <c r="O20">
        <v>460.09999999999991</v>
      </c>
      <c r="Q20" t="str" cm="1">
        <f t="array" ref="Q20">_xlfn.IFS(M20&lt;100,"low",M20&lt;500,"medum",M20&gt;500,"high")</f>
        <v>high</v>
      </c>
      <c r="R20" t="str">
        <f t="shared" si="0"/>
        <v>not risk</v>
      </c>
      <c r="S20" t="str">
        <f t="shared" si="1"/>
        <v>not</v>
      </c>
      <c r="T20" t="str">
        <f t="shared" si="2"/>
        <v>premium Customor</v>
      </c>
      <c r="U20" t="str">
        <f t="shared" si="3"/>
        <v>important</v>
      </c>
    </row>
    <row r="21" spans="1:21" x14ac:dyDescent="0.3">
      <c r="A21" t="s">
        <v>58</v>
      </c>
      <c r="B21" s="3">
        <v>45228</v>
      </c>
      <c r="C21" t="s">
        <v>14</v>
      </c>
      <c r="D21" t="s">
        <v>15</v>
      </c>
      <c r="E21" t="s">
        <v>59</v>
      </c>
      <c r="F21" t="s">
        <v>60</v>
      </c>
      <c r="G21">
        <v>9</v>
      </c>
      <c r="H21">
        <v>277.27999999999997</v>
      </c>
      <c r="I21">
        <v>231.23</v>
      </c>
      <c r="J21">
        <v>0</v>
      </c>
      <c r="K21">
        <v>53</v>
      </c>
      <c r="L21" t="s">
        <v>38</v>
      </c>
      <c r="M21">
        <v>2495.5199999999995</v>
      </c>
      <c r="N21">
        <v>2081.0699999999997</v>
      </c>
      <c r="O21">
        <v>414.44999999999982</v>
      </c>
      <c r="Q21" t="str" cm="1">
        <f t="array" ref="Q21">_xlfn.IFS(M21&lt;100,"low",M21&lt;500,"medum",M21&gt;500,"high")</f>
        <v>high</v>
      </c>
      <c r="R21" t="str">
        <f t="shared" si="0"/>
        <v>risk</v>
      </c>
      <c r="S21" t="str">
        <f t="shared" si="1"/>
        <v>not</v>
      </c>
      <c r="T21" t="str">
        <f t="shared" si="2"/>
        <v>premium Customor</v>
      </c>
      <c r="U21" t="str">
        <f t="shared" si="3"/>
        <v>important</v>
      </c>
    </row>
    <row r="22" spans="1:21" x14ac:dyDescent="0.3">
      <c r="A22" t="s">
        <v>61</v>
      </c>
      <c r="B22" s="3">
        <v>45096</v>
      </c>
      <c r="C22" t="s">
        <v>6</v>
      </c>
      <c r="D22" t="s">
        <v>62</v>
      </c>
      <c r="E22" t="s">
        <v>36</v>
      </c>
      <c r="F22" t="s">
        <v>37</v>
      </c>
      <c r="G22">
        <v>1</v>
      </c>
      <c r="H22">
        <v>60.58</v>
      </c>
      <c r="I22">
        <v>44.79</v>
      </c>
      <c r="J22">
        <v>5</v>
      </c>
      <c r="K22">
        <v>18</v>
      </c>
      <c r="L22" t="s">
        <v>38</v>
      </c>
      <c r="M22">
        <v>60.58</v>
      </c>
      <c r="N22">
        <v>44.79</v>
      </c>
      <c r="O22">
        <v>15.79</v>
      </c>
      <c r="Q22" t="str" cm="1">
        <f t="array" ref="Q22">_xlfn.IFS(M22&lt;100,"low",M22&lt;500,"medum",M22&gt;500,"high")</f>
        <v>low</v>
      </c>
      <c r="R22" t="str">
        <f t="shared" si="0"/>
        <v>risk</v>
      </c>
      <c r="S22" t="str">
        <f t="shared" si="1"/>
        <v>not</v>
      </c>
      <c r="T22" t="str">
        <f t="shared" si="2"/>
        <v>Normal Customor</v>
      </c>
      <c r="U22" t="str">
        <f t="shared" si="3"/>
        <v>not</v>
      </c>
    </row>
    <row r="23" spans="1:21" x14ac:dyDescent="0.3">
      <c r="A23" t="s">
        <v>63</v>
      </c>
      <c r="B23" s="3">
        <v>45222</v>
      </c>
      <c r="C23" t="s">
        <v>64</v>
      </c>
      <c r="D23" t="s">
        <v>65</v>
      </c>
      <c r="E23" t="s">
        <v>36</v>
      </c>
      <c r="F23" t="s">
        <v>37</v>
      </c>
      <c r="G23">
        <v>5</v>
      </c>
      <c r="H23">
        <v>400.53</v>
      </c>
      <c r="I23">
        <v>337.8</v>
      </c>
      <c r="J23">
        <v>5</v>
      </c>
      <c r="K23">
        <v>102</v>
      </c>
      <c r="L23" t="s">
        <v>4</v>
      </c>
      <c r="M23">
        <v>2002.6499999999999</v>
      </c>
      <c r="N23">
        <v>1689</v>
      </c>
      <c r="O23">
        <v>313.64999999999986</v>
      </c>
      <c r="Q23" t="str" cm="1">
        <f t="array" ref="Q23">_xlfn.IFS(M23&lt;100,"low",M23&lt;500,"medum",M23&gt;500,"high")</f>
        <v>high</v>
      </c>
      <c r="R23" t="str">
        <f t="shared" si="0"/>
        <v>risk</v>
      </c>
      <c r="S23" t="str">
        <f t="shared" si="1"/>
        <v>not</v>
      </c>
      <c r="T23" t="str">
        <f t="shared" si="2"/>
        <v>premium Customor</v>
      </c>
      <c r="U23" t="str">
        <f t="shared" si="3"/>
        <v>important</v>
      </c>
    </row>
    <row r="24" spans="1:21" x14ac:dyDescent="0.3">
      <c r="A24" t="s">
        <v>66</v>
      </c>
      <c r="B24" s="3">
        <v>45137</v>
      </c>
      <c r="C24" t="s">
        <v>14</v>
      </c>
      <c r="D24" t="s">
        <v>67</v>
      </c>
      <c r="E24" t="s">
        <v>59</v>
      </c>
      <c r="F24" t="s">
        <v>60</v>
      </c>
      <c r="G24">
        <v>7</v>
      </c>
      <c r="H24">
        <v>117.64</v>
      </c>
      <c r="I24">
        <v>103.3</v>
      </c>
      <c r="J24">
        <v>15</v>
      </c>
      <c r="K24">
        <v>55</v>
      </c>
      <c r="L24" t="s">
        <v>18</v>
      </c>
      <c r="M24">
        <v>823.48</v>
      </c>
      <c r="N24">
        <v>723.1</v>
      </c>
      <c r="O24">
        <v>100.38</v>
      </c>
      <c r="Q24" t="str" cm="1">
        <f t="array" ref="Q24">_xlfn.IFS(M24&lt;100,"low",M24&lt;500,"medum",M24&gt;500,"high")</f>
        <v>high</v>
      </c>
      <c r="R24" t="str">
        <f t="shared" si="0"/>
        <v>not risk</v>
      </c>
      <c r="S24" t="str">
        <f t="shared" si="1"/>
        <v>not</v>
      </c>
      <c r="T24" t="str">
        <f t="shared" si="2"/>
        <v>Normal Customor</v>
      </c>
      <c r="U24" t="str">
        <f t="shared" si="3"/>
        <v>important</v>
      </c>
    </row>
    <row r="25" spans="1:21" x14ac:dyDescent="0.3">
      <c r="A25" t="s">
        <v>68</v>
      </c>
      <c r="B25" s="3">
        <v>45024</v>
      </c>
      <c r="C25" t="s">
        <v>14</v>
      </c>
      <c r="D25" t="s">
        <v>54</v>
      </c>
      <c r="E25" t="s">
        <v>30</v>
      </c>
      <c r="F25" t="s">
        <v>11</v>
      </c>
      <c r="G25">
        <v>1</v>
      </c>
      <c r="H25">
        <v>256.14</v>
      </c>
      <c r="I25">
        <v>207.28</v>
      </c>
      <c r="J25">
        <v>0</v>
      </c>
      <c r="K25">
        <v>41</v>
      </c>
      <c r="L25" t="s">
        <v>12</v>
      </c>
      <c r="M25">
        <v>256.14</v>
      </c>
      <c r="N25">
        <v>207.28</v>
      </c>
      <c r="O25">
        <v>48.859999999999985</v>
      </c>
      <c r="Q25" t="str" cm="1">
        <f t="array" ref="Q25">_xlfn.IFS(M25&lt;100,"low",M25&lt;500,"medum",M25&gt;500,"high")</f>
        <v>medum</v>
      </c>
      <c r="R25" t="str">
        <f t="shared" si="0"/>
        <v>not risk</v>
      </c>
      <c r="S25" t="str">
        <f t="shared" si="1"/>
        <v>not</v>
      </c>
      <c r="T25" t="str">
        <f t="shared" si="2"/>
        <v>Normal Customor</v>
      </c>
      <c r="U25" t="str">
        <f t="shared" si="3"/>
        <v>not</v>
      </c>
    </row>
    <row r="26" spans="1:21" x14ac:dyDescent="0.3">
      <c r="A26" t="s">
        <v>69</v>
      </c>
      <c r="B26" s="3">
        <v>44977</v>
      </c>
      <c r="C26" t="s">
        <v>6</v>
      </c>
      <c r="D26" t="s">
        <v>7</v>
      </c>
      <c r="E26" t="s">
        <v>42</v>
      </c>
      <c r="F26" t="s">
        <v>43</v>
      </c>
      <c r="G26">
        <v>7</v>
      </c>
      <c r="H26">
        <v>128.38999999999999</v>
      </c>
      <c r="I26">
        <v>99.91</v>
      </c>
      <c r="J26">
        <v>0</v>
      </c>
      <c r="K26">
        <v>66</v>
      </c>
      <c r="L26" t="s">
        <v>4</v>
      </c>
      <c r="M26">
        <v>898.7299999999999</v>
      </c>
      <c r="N26">
        <v>699.37</v>
      </c>
      <c r="O26">
        <v>199.3599999999999</v>
      </c>
      <c r="Q26" t="str" cm="1">
        <f t="array" ref="Q26">_xlfn.IFS(M26&lt;100,"low",M26&lt;500,"medum",M26&gt;500,"high")</f>
        <v>high</v>
      </c>
      <c r="R26" t="str">
        <f t="shared" si="0"/>
        <v>risk</v>
      </c>
      <c r="S26" t="str">
        <f t="shared" si="1"/>
        <v>not</v>
      </c>
      <c r="T26" t="str">
        <f t="shared" si="2"/>
        <v>Normal Customor</v>
      </c>
      <c r="U26" t="str">
        <f t="shared" si="3"/>
        <v>important</v>
      </c>
    </row>
    <row r="27" spans="1:21" x14ac:dyDescent="0.3">
      <c r="A27" t="s">
        <v>70</v>
      </c>
      <c r="B27" s="3">
        <v>45173</v>
      </c>
      <c r="C27" t="s">
        <v>64</v>
      </c>
      <c r="D27" t="s">
        <v>65</v>
      </c>
      <c r="E27" t="s">
        <v>3</v>
      </c>
      <c r="F27" t="s">
        <v>3</v>
      </c>
      <c r="G27">
        <v>2</v>
      </c>
      <c r="H27">
        <v>667.8</v>
      </c>
      <c r="I27">
        <v>463.92</v>
      </c>
      <c r="J27">
        <v>5</v>
      </c>
      <c r="K27">
        <v>62</v>
      </c>
      <c r="L27" t="s">
        <v>18</v>
      </c>
      <c r="M27">
        <v>1335.6</v>
      </c>
      <c r="N27">
        <v>927.84</v>
      </c>
      <c r="O27">
        <v>407.75999999999988</v>
      </c>
      <c r="Q27" t="str" cm="1">
        <f t="array" ref="Q27">_xlfn.IFS(M27&lt;100,"low",M27&lt;500,"medum",M27&gt;500,"high")</f>
        <v>high</v>
      </c>
      <c r="R27" t="str">
        <f t="shared" si="0"/>
        <v>not risk</v>
      </c>
      <c r="S27" t="str">
        <f t="shared" si="1"/>
        <v>not</v>
      </c>
      <c r="T27" t="str">
        <f t="shared" si="2"/>
        <v>premium Customor</v>
      </c>
      <c r="U27" t="str">
        <f t="shared" si="3"/>
        <v>not</v>
      </c>
    </row>
    <row r="28" spans="1:21" x14ac:dyDescent="0.3">
      <c r="A28" t="s">
        <v>71</v>
      </c>
      <c r="B28" s="3">
        <v>45073</v>
      </c>
      <c r="C28" t="s">
        <v>32</v>
      </c>
      <c r="D28" t="s">
        <v>50</v>
      </c>
      <c r="E28" t="s">
        <v>3</v>
      </c>
      <c r="F28" t="s">
        <v>3</v>
      </c>
      <c r="G28">
        <v>3</v>
      </c>
      <c r="H28">
        <v>292.39999999999998</v>
      </c>
      <c r="I28">
        <v>195.7</v>
      </c>
      <c r="J28">
        <v>10</v>
      </c>
      <c r="K28">
        <v>110</v>
      </c>
      <c r="L28" t="s">
        <v>18</v>
      </c>
      <c r="M28">
        <v>877.19999999999993</v>
      </c>
      <c r="N28">
        <v>587.09999999999991</v>
      </c>
      <c r="O28">
        <v>290.10000000000002</v>
      </c>
      <c r="Q28" t="str" cm="1">
        <f t="array" ref="Q28">_xlfn.IFS(M28&lt;100,"low",M28&lt;500,"medum",M28&gt;500,"high")</f>
        <v>high</v>
      </c>
      <c r="R28" t="str">
        <f t="shared" si="0"/>
        <v>not risk</v>
      </c>
      <c r="S28" t="str">
        <f t="shared" si="1"/>
        <v>not</v>
      </c>
      <c r="T28" t="str">
        <f t="shared" si="2"/>
        <v>Normal Customor</v>
      </c>
      <c r="U28" t="str">
        <f t="shared" si="3"/>
        <v>not</v>
      </c>
    </row>
    <row r="29" spans="1:21" x14ac:dyDescent="0.3">
      <c r="A29" t="s">
        <v>72</v>
      </c>
      <c r="B29" s="3">
        <v>44958</v>
      </c>
      <c r="C29" t="s">
        <v>14</v>
      </c>
      <c r="D29" t="s">
        <v>73</v>
      </c>
      <c r="E29" t="s">
        <v>59</v>
      </c>
      <c r="F29" t="s">
        <v>60</v>
      </c>
      <c r="G29">
        <v>3</v>
      </c>
      <c r="H29">
        <v>122.33</v>
      </c>
      <c r="I29">
        <v>103.05</v>
      </c>
      <c r="J29">
        <v>0</v>
      </c>
      <c r="K29">
        <v>84</v>
      </c>
      <c r="L29" t="s">
        <v>4</v>
      </c>
      <c r="M29">
        <v>366.99</v>
      </c>
      <c r="N29">
        <v>309.14999999999998</v>
      </c>
      <c r="O29">
        <v>57.840000000000032</v>
      </c>
      <c r="Q29" t="str" cm="1">
        <f t="array" ref="Q29">_xlfn.IFS(M29&lt;100,"low",M29&lt;500,"medum",M29&gt;500,"high")</f>
        <v>medum</v>
      </c>
      <c r="R29" t="str">
        <f t="shared" si="0"/>
        <v>risk</v>
      </c>
      <c r="S29" t="str">
        <f t="shared" si="1"/>
        <v>not</v>
      </c>
      <c r="T29" t="str">
        <f t="shared" si="2"/>
        <v>Normal Customor</v>
      </c>
      <c r="U29" t="str">
        <f t="shared" si="3"/>
        <v>not</v>
      </c>
    </row>
    <row r="30" spans="1:21" x14ac:dyDescent="0.3">
      <c r="A30" t="s">
        <v>74</v>
      </c>
      <c r="B30" s="3">
        <v>45187</v>
      </c>
      <c r="C30" t="s">
        <v>1</v>
      </c>
      <c r="D30" t="s">
        <v>75</v>
      </c>
      <c r="E30" t="s">
        <v>3</v>
      </c>
      <c r="F30" t="s">
        <v>3</v>
      </c>
      <c r="G30">
        <v>1</v>
      </c>
      <c r="H30">
        <v>385.46</v>
      </c>
      <c r="I30">
        <v>296.25</v>
      </c>
      <c r="J30">
        <v>20</v>
      </c>
      <c r="K30">
        <v>30</v>
      </c>
      <c r="L30" t="s">
        <v>38</v>
      </c>
      <c r="M30">
        <v>385.46</v>
      </c>
      <c r="N30">
        <v>296.25</v>
      </c>
      <c r="O30">
        <v>89.20999999999998</v>
      </c>
      <c r="Q30" t="str" cm="1">
        <f t="array" ref="Q30">_xlfn.IFS(M30&lt;100,"low",M30&lt;500,"medum",M30&gt;500,"high")</f>
        <v>medum</v>
      </c>
      <c r="R30" t="str">
        <f t="shared" si="0"/>
        <v>risk</v>
      </c>
      <c r="S30" t="str">
        <f t="shared" si="1"/>
        <v>not</v>
      </c>
      <c r="T30" t="str">
        <f t="shared" si="2"/>
        <v>Normal Customor</v>
      </c>
      <c r="U30" t="str">
        <f t="shared" si="3"/>
        <v>not</v>
      </c>
    </row>
    <row r="31" spans="1:21" x14ac:dyDescent="0.3">
      <c r="A31" t="s">
        <v>76</v>
      </c>
      <c r="B31" s="3">
        <v>45053</v>
      </c>
      <c r="C31" t="s">
        <v>64</v>
      </c>
      <c r="D31" t="s">
        <v>77</v>
      </c>
      <c r="E31" t="s">
        <v>30</v>
      </c>
      <c r="F31" t="s">
        <v>11</v>
      </c>
      <c r="G31">
        <v>10</v>
      </c>
      <c r="H31">
        <v>62.56</v>
      </c>
      <c r="I31">
        <v>43.3</v>
      </c>
      <c r="J31">
        <v>15</v>
      </c>
      <c r="K31">
        <v>25</v>
      </c>
      <c r="L31" t="s">
        <v>4</v>
      </c>
      <c r="M31">
        <v>625.6</v>
      </c>
      <c r="N31">
        <v>433</v>
      </c>
      <c r="O31">
        <v>192.60000000000002</v>
      </c>
      <c r="Q31" t="str" cm="1">
        <f t="array" ref="Q31">_xlfn.IFS(M31&lt;100,"low",M31&lt;500,"medum",M31&gt;500,"high")</f>
        <v>high</v>
      </c>
      <c r="R31" t="str">
        <f t="shared" si="0"/>
        <v>risk</v>
      </c>
      <c r="S31" t="str">
        <f t="shared" si="1"/>
        <v>not</v>
      </c>
      <c r="T31" t="str">
        <f t="shared" si="2"/>
        <v>Normal Customor</v>
      </c>
      <c r="U31" t="str">
        <f t="shared" si="3"/>
        <v>important</v>
      </c>
    </row>
    <row r="32" spans="1:21" x14ac:dyDescent="0.3">
      <c r="A32" t="s">
        <v>78</v>
      </c>
      <c r="B32" s="3">
        <v>45060</v>
      </c>
      <c r="C32" t="s">
        <v>6</v>
      </c>
      <c r="D32" t="s">
        <v>52</v>
      </c>
      <c r="E32" t="s">
        <v>3</v>
      </c>
      <c r="F32" t="s">
        <v>3</v>
      </c>
      <c r="G32">
        <v>10</v>
      </c>
      <c r="H32">
        <v>68.38</v>
      </c>
      <c r="I32">
        <v>50.17</v>
      </c>
      <c r="J32">
        <v>20</v>
      </c>
      <c r="K32">
        <v>76</v>
      </c>
      <c r="L32" t="s">
        <v>27</v>
      </c>
      <c r="M32">
        <v>683.8</v>
      </c>
      <c r="N32">
        <v>501.70000000000005</v>
      </c>
      <c r="O32">
        <v>182.09999999999991</v>
      </c>
      <c r="Q32" t="str" cm="1">
        <f t="array" ref="Q32">_xlfn.IFS(M32&lt;100,"low",M32&lt;500,"medum",M32&gt;500,"high")</f>
        <v>high</v>
      </c>
      <c r="R32" t="str">
        <f t="shared" si="0"/>
        <v>not risk</v>
      </c>
      <c r="S32" t="str">
        <f t="shared" si="1"/>
        <v>not</v>
      </c>
      <c r="T32" t="str">
        <f t="shared" si="2"/>
        <v>Normal Customor</v>
      </c>
      <c r="U32" t="str">
        <f t="shared" si="3"/>
        <v>important</v>
      </c>
    </row>
    <row r="33" spans="1:21" x14ac:dyDescent="0.3">
      <c r="A33" t="s">
        <v>79</v>
      </c>
      <c r="B33" s="3">
        <v>44964</v>
      </c>
      <c r="C33" t="s">
        <v>32</v>
      </c>
      <c r="D33" t="s">
        <v>33</v>
      </c>
      <c r="E33" t="s">
        <v>36</v>
      </c>
      <c r="F33" t="s">
        <v>37</v>
      </c>
      <c r="G33">
        <v>5</v>
      </c>
      <c r="H33">
        <v>279.13</v>
      </c>
      <c r="I33">
        <v>203.94</v>
      </c>
      <c r="J33">
        <v>10</v>
      </c>
      <c r="K33">
        <v>68</v>
      </c>
      <c r="L33" t="s">
        <v>27</v>
      </c>
      <c r="M33">
        <v>1395.65</v>
      </c>
      <c r="N33">
        <v>1019.7</v>
      </c>
      <c r="O33">
        <v>375.95000000000005</v>
      </c>
      <c r="Q33" t="str" cm="1">
        <f t="array" ref="Q33">_xlfn.IFS(M33&lt;100,"low",M33&lt;500,"medum",M33&gt;500,"high")</f>
        <v>high</v>
      </c>
      <c r="R33" t="str">
        <f t="shared" si="0"/>
        <v>not risk</v>
      </c>
      <c r="S33" t="str">
        <f t="shared" si="1"/>
        <v>not</v>
      </c>
      <c r="T33" t="str">
        <f t="shared" si="2"/>
        <v>premium Customor</v>
      </c>
      <c r="U33" t="str">
        <f t="shared" si="3"/>
        <v>important</v>
      </c>
    </row>
    <row r="34" spans="1:21" x14ac:dyDescent="0.3">
      <c r="A34" t="s">
        <v>80</v>
      </c>
      <c r="B34" s="3">
        <v>45052</v>
      </c>
      <c r="C34" t="s">
        <v>64</v>
      </c>
      <c r="D34" t="s">
        <v>81</v>
      </c>
      <c r="E34" t="s">
        <v>30</v>
      </c>
      <c r="F34" t="s">
        <v>11</v>
      </c>
      <c r="G34">
        <v>2</v>
      </c>
      <c r="H34">
        <v>356.12</v>
      </c>
      <c r="I34">
        <v>273.44</v>
      </c>
      <c r="J34">
        <v>5</v>
      </c>
      <c r="K34">
        <v>54</v>
      </c>
      <c r="L34" t="s">
        <v>38</v>
      </c>
      <c r="M34">
        <v>712.24</v>
      </c>
      <c r="N34">
        <v>546.88</v>
      </c>
      <c r="O34">
        <v>165.36</v>
      </c>
      <c r="Q34" t="str" cm="1">
        <f t="array" ref="Q34">_xlfn.IFS(M34&lt;100,"low",M34&lt;500,"medum",M34&gt;500,"high")</f>
        <v>high</v>
      </c>
      <c r="R34" t="str">
        <f t="shared" si="0"/>
        <v>risk</v>
      </c>
      <c r="S34" t="str">
        <f t="shared" si="1"/>
        <v>not</v>
      </c>
      <c r="T34" t="str">
        <f t="shared" si="2"/>
        <v>Normal Customor</v>
      </c>
      <c r="U34" t="str">
        <f t="shared" si="3"/>
        <v>not</v>
      </c>
    </row>
    <row r="35" spans="1:21" x14ac:dyDescent="0.3">
      <c r="A35" t="s">
        <v>82</v>
      </c>
      <c r="B35" s="3">
        <v>44931</v>
      </c>
      <c r="C35" t="s">
        <v>20</v>
      </c>
      <c r="D35" t="s">
        <v>21</v>
      </c>
      <c r="E35" t="s">
        <v>42</v>
      </c>
      <c r="F35" t="s">
        <v>43</v>
      </c>
      <c r="G35">
        <v>8</v>
      </c>
      <c r="H35">
        <v>578.17999999999995</v>
      </c>
      <c r="I35">
        <v>418.54</v>
      </c>
      <c r="J35">
        <v>20</v>
      </c>
      <c r="K35">
        <v>113</v>
      </c>
      <c r="L35" t="s">
        <v>4</v>
      </c>
      <c r="M35">
        <v>4625.4399999999996</v>
      </c>
      <c r="N35">
        <v>3348.32</v>
      </c>
      <c r="O35" s="5">
        <v>1277.1199999999994</v>
      </c>
      <c r="Q35" t="str" cm="1">
        <f t="array" ref="Q35">_xlfn.IFS(M35&lt;100,"low",M35&lt;500,"medum",M35&gt;500,"high")</f>
        <v>high</v>
      </c>
      <c r="R35" t="str">
        <f t="shared" si="0"/>
        <v>risk</v>
      </c>
      <c r="S35" t="str">
        <f t="shared" si="1"/>
        <v>not</v>
      </c>
      <c r="T35" t="str">
        <f t="shared" si="2"/>
        <v>premium Customor</v>
      </c>
      <c r="U35" t="str">
        <f t="shared" si="3"/>
        <v>important</v>
      </c>
    </row>
    <row r="36" spans="1:21" x14ac:dyDescent="0.3">
      <c r="A36" t="s">
        <v>83</v>
      </c>
      <c r="B36" s="3">
        <v>45006</v>
      </c>
      <c r="C36" t="s">
        <v>1</v>
      </c>
      <c r="D36" t="s">
        <v>9</v>
      </c>
      <c r="E36" t="s">
        <v>16</v>
      </c>
      <c r="F36" t="s">
        <v>17</v>
      </c>
      <c r="G36">
        <v>2</v>
      </c>
      <c r="H36">
        <v>542.34</v>
      </c>
      <c r="I36">
        <v>470.08</v>
      </c>
      <c r="J36">
        <v>0</v>
      </c>
      <c r="K36">
        <v>23</v>
      </c>
      <c r="L36" t="s">
        <v>4</v>
      </c>
      <c r="M36">
        <v>1084.68</v>
      </c>
      <c r="N36">
        <v>940.16</v>
      </c>
      <c r="O36">
        <v>144.5200000000001</v>
      </c>
      <c r="Q36" t="str" cm="1">
        <f t="array" ref="Q36">_xlfn.IFS(M36&lt;100,"low",M36&lt;500,"medum",M36&gt;500,"high")</f>
        <v>high</v>
      </c>
      <c r="R36" t="str">
        <f t="shared" si="0"/>
        <v>risk</v>
      </c>
      <c r="S36" t="str">
        <f t="shared" si="1"/>
        <v>not</v>
      </c>
      <c r="T36" t="str">
        <f t="shared" si="2"/>
        <v>premium Customor</v>
      </c>
      <c r="U36" t="str">
        <f t="shared" si="3"/>
        <v>not</v>
      </c>
    </row>
    <row r="37" spans="1:21" x14ac:dyDescent="0.3">
      <c r="A37" t="s">
        <v>84</v>
      </c>
      <c r="B37" s="3">
        <v>45055</v>
      </c>
      <c r="C37" t="s">
        <v>20</v>
      </c>
      <c r="D37" t="s">
        <v>21</v>
      </c>
      <c r="E37" t="s">
        <v>36</v>
      </c>
      <c r="F37" t="s">
        <v>37</v>
      </c>
      <c r="G37">
        <v>6</v>
      </c>
      <c r="H37">
        <v>148.58000000000001</v>
      </c>
      <c r="I37">
        <v>109.76</v>
      </c>
      <c r="J37">
        <v>10</v>
      </c>
      <c r="K37">
        <v>74</v>
      </c>
      <c r="L37" t="s">
        <v>18</v>
      </c>
      <c r="M37">
        <v>891.48</v>
      </c>
      <c r="N37">
        <v>658.56000000000006</v>
      </c>
      <c r="O37">
        <v>232.91999999999996</v>
      </c>
      <c r="Q37" t="str" cm="1">
        <f t="array" ref="Q37">_xlfn.IFS(M37&lt;100,"low",M37&lt;500,"medum",M37&gt;500,"high")</f>
        <v>high</v>
      </c>
      <c r="R37" t="str">
        <f t="shared" si="0"/>
        <v>not risk</v>
      </c>
      <c r="S37" t="str">
        <f t="shared" si="1"/>
        <v>not</v>
      </c>
      <c r="T37" t="str">
        <f t="shared" si="2"/>
        <v>Normal Customor</v>
      </c>
      <c r="U37" t="str">
        <f t="shared" si="3"/>
        <v>important</v>
      </c>
    </row>
    <row r="38" spans="1:21" x14ac:dyDescent="0.3">
      <c r="A38" t="s">
        <v>85</v>
      </c>
      <c r="B38" s="3">
        <v>45253</v>
      </c>
      <c r="C38" t="s">
        <v>23</v>
      </c>
      <c r="D38" t="s">
        <v>48</v>
      </c>
      <c r="E38" t="s">
        <v>30</v>
      </c>
      <c r="F38" t="s">
        <v>11</v>
      </c>
      <c r="G38">
        <v>7</v>
      </c>
      <c r="H38">
        <v>465.36</v>
      </c>
      <c r="I38">
        <v>416.38</v>
      </c>
      <c r="J38">
        <v>10</v>
      </c>
      <c r="K38">
        <v>108</v>
      </c>
      <c r="L38" t="s">
        <v>12</v>
      </c>
      <c r="M38">
        <v>3257.52</v>
      </c>
      <c r="N38">
        <v>2914.66</v>
      </c>
      <c r="O38">
        <v>342.86000000000013</v>
      </c>
      <c r="Q38" t="str" cm="1">
        <f t="array" ref="Q38">_xlfn.IFS(M38&lt;100,"low",M38&lt;500,"medum",M38&gt;500,"high")</f>
        <v>high</v>
      </c>
      <c r="R38" t="str">
        <f t="shared" si="0"/>
        <v>not risk</v>
      </c>
      <c r="S38" t="str">
        <f t="shared" si="1"/>
        <v>not</v>
      </c>
      <c r="T38" t="str">
        <f t="shared" si="2"/>
        <v>premium Customor</v>
      </c>
      <c r="U38" t="str">
        <f t="shared" si="3"/>
        <v>important</v>
      </c>
    </row>
    <row r="39" spans="1:21" x14ac:dyDescent="0.3">
      <c r="A39" t="s">
        <v>86</v>
      </c>
      <c r="B39" s="3">
        <v>45206</v>
      </c>
      <c r="C39" t="s">
        <v>20</v>
      </c>
      <c r="D39" t="s">
        <v>87</v>
      </c>
      <c r="E39" t="s">
        <v>59</v>
      </c>
      <c r="F39" t="s">
        <v>60</v>
      </c>
      <c r="G39">
        <v>9</v>
      </c>
      <c r="H39">
        <v>471.18</v>
      </c>
      <c r="I39">
        <v>355.78</v>
      </c>
      <c r="J39">
        <v>0</v>
      </c>
      <c r="K39">
        <v>19</v>
      </c>
      <c r="L39" t="s">
        <v>12</v>
      </c>
      <c r="M39">
        <v>4240.62</v>
      </c>
      <c r="N39">
        <v>3202.0199999999995</v>
      </c>
      <c r="O39">
        <v>1038.6000000000004</v>
      </c>
      <c r="Q39" t="str" cm="1">
        <f t="array" ref="Q39">_xlfn.IFS(M39&lt;100,"low",M39&lt;500,"medum",M39&gt;500,"high")</f>
        <v>high</v>
      </c>
      <c r="R39" t="str">
        <f t="shared" si="0"/>
        <v>not risk</v>
      </c>
      <c r="S39" t="str">
        <f t="shared" si="1"/>
        <v>not</v>
      </c>
      <c r="T39" t="str">
        <f t="shared" si="2"/>
        <v>premium Customor</v>
      </c>
      <c r="U39" t="str">
        <f t="shared" si="3"/>
        <v>important</v>
      </c>
    </row>
    <row r="40" spans="1:21" x14ac:dyDescent="0.3">
      <c r="A40" t="s">
        <v>88</v>
      </c>
      <c r="B40" s="3">
        <v>45276</v>
      </c>
      <c r="C40" t="s">
        <v>64</v>
      </c>
      <c r="D40" t="s">
        <v>89</v>
      </c>
      <c r="E40" t="s">
        <v>42</v>
      </c>
      <c r="F40" t="s">
        <v>43</v>
      </c>
      <c r="G40">
        <v>7</v>
      </c>
      <c r="H40">
        <v>88.63</v>
      </c>
      <c r="I40">
        <v>72.45</v>
      </c>
      <c r="J40">
        <v>0</v>
      </c>
      <c r="K40">
        <v>55</v>
      </c>
      <c r="L40" t="s">
        <v>12</v>
      </c>
      <c r="M40">
        <v>620.41</v>
      </c>
      <c r="N40">
        <v>507.15000000000003</v>
      </c>
      <c r="O40">
        <v>113.25999999999993</v>
      </c>
      <c r="Q40" t="str" cm="1">
        <f t="array" ref="Q40">_xlfn.IFS(M40&lt;100,"low",M40&lt;500,"medum",M40&gt;500,"high")</f>
        <v>high</v>
      </c>
      <c r="R40" t="str">
        <f t="shared" si="0"/>
        <v>not risk</v>
      </c>
      <c r="S40" t="str">
        <f t="shared" si="1"/>
        <v>not</v>
      </c>
      <c r="T40" t="str">
        <f t="shared" si="2"/>
        <v>Normal Customor</v>
      </c>
      <c r="U40" t="str">
        <f t="shared" si="3"/>
        <v>important</v>
      </c>
    </row>
    <row r="41" spans="1:21" x14ac:dyDescent="0.3">
      <c r="A41" t="s">
        <v>90</v>
      </c>
      <c r="B41" s="3">
        <v>45048</v>
      </c>
      <c r="C41" t="s">
        <v>32</v>
      </c>
      <c r="D41" t="s">
        <v>91</v>
      </c>
      <c r="E41" t="s">
        <v>25</v>
      </c>
      <c r="F41" t="s">
        <v>26</v>
      </c>
      <c r="G41">
        <v>9</v>
      </c>
      <c r="H41">
        <v>559.6</v>
      </c>
      <c r="I41">
        <v>443.23</v>
      </c>
      <c r="J41">
        <v>20</v>
      </c>
      <c r="K41">
        <v>105</v>
      </c>
      <c r="L41" t="s">
        <v>12</v>
      </c>
      <c r="M41">
        <v>5036.4000000000005</v>
      </c>
      <c r="N41">
        <v>3989.07</v>
      </c>
      <c r="O41">
        <v>1047.3300000000004</v>
      </c>
      <c r="Q41" t="str" cm="1">
        <f t="array" ref="Q41">_xlfn.IFS(M41&lt;100,"low",M41&lt;500,"medum",M41&gt;500,"high")</f>
        <v>high</v>
      </c>
      <c r="R41" t="str">
        <f t="shared" si="0"/>
        <v>not risk</v>
      </c>
      <c r="S41" t="str">
        <f t="shared" si="1"/>
        <v>not</v>
      </c>
      <c r="T41" t="str">
        <f t="shared" si="2"/>
        <v>premium Customor</v>
      </c>
      <c r="U41" t="str">
        <f t="shared" si="3"/>
        <v>important</v>
      </c>
    </row>
    <row r="42" spans="1:21" x14ac:dyDescent="0.3">
      <c r="A42" t="s">
        <v>92</v>
      </c>
      <c r="B42" s="3">
        <v>45269</v>
      </c>
      <c r="C42" t="s">
        <v>23</v>
      </c>
      <c r="D42" t="s">
        <v>29</v>
      </c>
      <c r="E42" t="s">
        <v>42</v>
      </c>
      <c r="F42" t="s">
        <v>43</v>
      </c>
      <c r="G42">
        <v>7</v>
      </c>
      <c r="H42">
        <v>30.89</v>
      </c>
      <c r="I42">
        <v>22.15</v>
      </c>
      <c r="J42">
        <v>10</v>
      </c>
      <c r="K42">
        <v>110</v>
      </c>
      <c r="L42" t="s">
        <v>18</v>
      </c>
      <c r="M42">
        <v>216.23000000000002</v>
      </c>
      <c r="N42">
        <v>155.04999999999998</v>
      </c>
      <c r="O42">
        <v>61.180000000000035</v>
      </c>
      <c r="Q42" t="str" cm="1">
        <f t="array" ref="Q42">_xlfn.IFS(M42&lt;100,"low",M42&lt;500,"medum",M42&gt;500,"high")</f>
        <v>medum</v>
      </c>
      <c r="R42" t="str">
        <f t="shared" si="0"/>
        <v>not risk</v>
      </c>
      <c r="S42" t="str">
        <f t="shared" si="1"/>
        <v>not</v>
      </c>
      <c r="T42" t="str">
        <f t="shared" si="2"/>
        <v>Normal Customor</v>
      </c>
      <c r="U42" t="str">
        <f t="shared" si="3"/>
        <v>important</v>
      </c>
    </row>
    <row r="43" spans="1:21" x14ac:dyDescent="0.3">
      <c r="A43" t="s">
        <v>93</v>
      </c>
      <c r="B43" s="3">
        <v>45040</v>
      </c>
      <c r="C43" t="s">
        <v>23</v>
      </c>
      <c r="D43" t="s">
        <v>29</v>
      </c>
      <c r="E43" t="s">
        <v>16</v>
      </c>
      <c r="F43" t="s">
        <v>17</v>
      </c>
      <c r="G43">
        <v>3</v>
      </c>
      <c r="H43">
        <v>452.51</v>
      </c>
      <c r="I43">
        <v>395.81</v>
      </c>
      <c r="J43">
        <v>0</v>
      </c>
      <c r="K43">
        <v>119</v>
      </c>
      <c r="L43" t="s">
        <v>18</v>
      </c>
      <c r="M43">
        <v>1357.53</v>
      </c>
      <c r="N43">
        <v>1187.43</v>
      </c>
      <c r="O43">
        <v>170.09999999999991</v>
      </c>
      <c r="Q43" t="str" cm="1">
        <f t="array" ref="Q43">_xlfn.IFS(M43&lt;100,"low",M43&lt;500,"medum",M43&gt;500,"high")</f>
        <v>high</v>
      </c>
      <c r="R43" t="str">
        <f t="shared" si="0"/>
        <v>not risk</v>
      </c>
      <c r="S43" t="str">
        <f t="shared" si="1"/>
        <v>not</v>
      </c>
      <c r="T43" t="str">
        <f t="shared" si="2"/>
        <v>premium Customor</v>
      </c>
      <c r="U43" t="str">
        <f t="shared" si="3"/>
        <v>not</v>
      </c>
    </row>
    <row r="44" spans="1:21" x14ac:dyDescent="0.3">
      <c r="A44" t="s">
        <v>94</v>
      </c>
      <c r="B44" s="3">
        <v>45131</v>
      </c>
      <c r="C44" t="s">
        <v>32</v>
      </c>
      <c r="D44" t="s">
        <v>50</v>
      </c>
      <c r="E44" t="s">
        <v>25</v>
      </c>
      <c r="F44" t="s">
        <v>26</v>
      </c>
      <c r="G44">
        <v>5</v>
      </c>
      <c r="H44">
        <v>596.88</v>
      </c>
      <c r="I44">
        <v>412.06</v>
      </c>
      <c r="J44">
        <v>5</v>
      </c>
      <c r="K44">
        <v>13</v>
      </c>
      <c r="L44" t="s">
        <v>12</v>
      </c>
      <c r="M44">
        <v>2984.4</v>
      </c>
      <c r="N44">
        <v>2060.3000000000002</v>
      </c>
      <c r="O44">
        <v>924.09999999999991</v>
      </c>
      <c r="Q44" t="str" cm="1">
        <f t="array" ref="Q44">_xlfn.IFS(M44&lt;100,"low",M44&lt;500,"medum",M44&gt;500,"high")</f>
        <v>high</v>
      </c>
      <c r="R44" t="str">
        <f t="shared" si="0"/>
        <v>not risk</v>
      </c>
      <c r="S44" t="str">
        <f t="shared" si="1"/>
        <v>not</v>
      </c>
      <c r="T44" t="str">
        <f t="shared" si="2"/>
        <v>premium Customor</v>
      </c>
      <c r="U44" t="str">
        <f t="shared" si="3"/>
        <v>important</v>
      </c>
    </row>
    <row r="45" spans="1:21" x14ac:dyDescent="0.3">
      <c r="A45" t="s">
        <v>95</v>
      </c>
      <c r="B45" s="3">
        <v>44986</v>
      </c>
      <c r="C45" t="s">
        <v>20</v>
      </c>
      <c r="D45" t="s">
        <v>21</v>
      </c>
      <c r="E45" t="s">
        <v>30</v>
      </c>
      <c r="F45" t="s">
        <v>11</v>
      </c>
      <c r="G45">
        <v>5</v>
      </c>
      <c r="H45">
        <v>237.36</v>
      </c>
      <c r="I45">
        <v>182.06</v>
      </c>
      <c r="J45">
        <v>20</v>
      </c>
      <c r="K45">
        <v>52</v>
      </c>
      <c r="L45" t="s">
        <v>38</v>
      </c>
      <c r="M45">
        <v>1186.8000000000002</v>
      </c>
      <c r="N45">
        <v>910.3</v>
      </c>
      <c r="O45">
        <v>276.50000000000023</v>
      </c>
      <c r="Q45" t="str" cm="1">
        <f t="array" ref="Q45">_xlfn.IFS(M45&lt;100,"low",M45&lt;500,"medum",M45&gt;500,"high")</f>
        <v>high</v>
      </c>
      <c r="R45" t="str">
        <f t="shared" si="0"/>
        <v>risk</v>
      </c>
      <c r="S45" t="str">
        <f t="shared" si="1"/>
        <v>not</v>
      </c>
      <c r="T45" t="str">
        <f t="shared" si="2"/>
        <v>premium Customor</v>
      </c>
      <c r="U45" t="str">
        <f t="shared" si="3"/>
        <v>important</v>
      </c>
    </row>
    <row r="46" spans="1:21" x14ac:dyDescent="0.3">
      <c r="A46" t="s">
        <v>96</v>
      </c>
      <c r="B46" s="3">
        <v>45188</v>
      </c>
      <c r="C46" t="s">
        <v>20</v>
      </c>
      <c r="D46" t="s">
        <v>87</v>
      </c>
      <c r="E46" t="s">
        <v>16</v>
      </c>
      <c r="F46" t="s">
        <v>17</v>
      </c>
      <c r="G46">
        <v>1</v>
      </c>
      <c r="H46">
        <v>80.400000000000006</v>
      </c>
      <c r="I46">
        <v>63.12</v>
      </c>
      <c r="J46">
        <v>10</v>
      </c>
      <c r="K46">
        <v>65</v>
      </c>
      <c r="L46" t="s">
        <v>4</v>
      </c>
      <c r="M46">
        <v>80.400000000000006</v>
      </c>
      <c r="N46">
        <v>63.12</v>
      </c>
      <c r="O46">
        <v>17.280000000000008</v>
      </c>
      <c r="Q46" t="str" cm="1">
        <f t="array" ref="Q46">_xlfn.IFS(M46&lt;100,"low",M46&lt;500,"medum",M46&gt;500,"high")</f>
        <v>low</v>
      </c>
      <c r="R46" t="str">
        <f t="shared" si="0"/>
        <v>risk</v>
      </c>
      <c r="S46" t="str">
        <f t="shared" si="1"/>
        <v>not</v>
      </c>
      <c r="T46" t="str">
        <f t="shared" si="2"/>
        <v>Normal Customor</v>
      </c>
      <c r="U46" t="str">
        <f t="shared" si="3"/>
        <v>not</v>
      </c>
    </row>
    <row r="47" spans="1:21" x14ac:dyDescent="0.3">
      <c r="A47" t="s">
        <v>97</v>
      </c>
      <c r="B47" s="3">
        <v>45278</v>
      </c>
      <c r="C47" t="s">
        <v>64</v>
      </c>
      <c r="D47" t="s">
        <v>81</v>
      </c>
      <c r="E47" t="s">
        <v>36</v>
      </c>
      <c r="F47" t="s">
        <v>37</v>
      </c>
      <c r="G47">
        <v>5</v>
      </c>
      <c r="H47">
        <v>40.46</v>
      </c>
      <c r="I47">
        <v>31.75</v>
      </c>
      <c r="J47">
        <v>20</v>
      </c>
      <c r="K47">
        <v>113</v>
      </c>
      <c r="L47" t="s">
        <v>4</v>
      </c>
      <c r="M47">
        <v>202.3</v>
      </c>
      <c r="N47">
        <v>158.75</v>
      </c>
      <c r="O47">
        <v>43.550000000000011</v>
      </c>
      <c r="Q47" t="str" cm="1">
        <f t="array" ref="Q47">_xlfn.IFS(M47&lt;100,"low",M47&lt;500,"medum",M47&gt;500,"high")</f>
        <v>medum</v>
      </c>
      <c r="R47" t="str">
        <f t="shared" si="0"/>
        <v>risk</v>
      </c>
      <c r="S47" t="str">
        <f t="shared" si="1"/>
        <v>not</v>
      </c>
      <c r="T47" t="str">
        <f t="shared" si="2"/>
        <v>Normal Customor</v>
      </c>
      <c r="U47" t="str">
        <f t="shared" si="3"/>
        <v>important</v>
      </c>
    </row>
    <row r="48" spans="1:21" x14ac:dyDescent="0.3">
      <c r="A48" t="s">
        <v>98</v>
      </c>
      <c r="B48" s="3">
        <v>45266</v>
      </c>
      <c r="C48" t="s">
        <v>1</v>
      </c>
      <c r="D48" t="s">
        <v>99</v>
      </c>
      <c r="E48" t="s">
        <v>25</v>
      </c>
      <c r="F48" t="s">
        <v>26</v>
      </c>
      <c r="G48">
        <v>7</v>
      </c>
      <c r="H48">
        <v>60.49</v>
      </c>
      <c r="I48">
        <v>44.29</v>
      </c>
      <c r="J48">
        <v>10</v>
      </c>
      <c r="K48">
        <v>89</v>
      </c>
      <c r="L48" t="s">
        <v>27</v>
      </c>
      <c r="M48">
        <v>423.43</v>
      </c>
      <c r="N48">
        <v>310.02999999999997</v>
      </c>
      <c r="O48">
        <v>113.40000000000003</v>
      </c>
      <c r="Q48" t="str" cm="1">
        <f t="array" ref="Q48">_xlfn.IFS(M48&lt;100,"low",M48&lt;500,"medum",M48&gt;500,"high")</f>
        <v>medum</v>
      </c>
      <c r="R48" t="str">
        <f t="shared" si="0"/>
        <v>not risk</v>
      </c>
      <c r="S48" t="str">
        <f t="shared" si="1"/>
        <v>not</v>
      </c>
      <c r="T48" t="str">
        <f t="shared" si="2"/>
        <v>Normal Customor</v>
      </c>
      <c r="U48" t="str">
        <f t="shared" si="3"/>
        <v>important</v>
      </c>
    </row>
    <row r="49" spans="1:21" x14ac:dyDescent="0.3">
      <c r="A49" t="s">
        <v>100</v>
      </c>
      <c r="B49" s="3">
        <v>45210</v>
      </c>
      <c r="C49" t="s">
        <v>23</v>
      </c>
      <c r="D49" t="s">
        <v>48</v>
      </c>
      <c r="E49" t="s">
        <v>16</v>
      </c>
      <c r="F49" t="s">
        <v>17</v>
      </c>
      <c r="G49">
        <v>9</v>
      </c>
      <c r="H49">
        <v>204.1</v>
      </c>
      <c r="I49">
        <v>161.55000000000001</v>
      </c>
      <c r="J49">
        <v>15</v>
      </c>
      <c r="K49">
        <v>99</v>
      </c>
      <c r="L49" t="s">
        <v>27</v>
      </c>
      <c r="M49">
        <v>1836.8999999999999</v>
      </c>
      <c r="N49">
        <v>1453.95</v>
      </c>
      <c r="O49">
        <v>382.94999999999982</v>
      </c>
      <c r="Q49" t="str" cm="1">
        <f t="array" ref="Q49">_xlfn.IFS(M49&lt;100,"low",M49&lt;500,"medum",M49&gt;500,"high")</f>
        <v>high</v>
      </c>
      <c r="R49" t="str">
        <f t="shared" si="0"/>
        <v>not risk</v>
      </c>
      <c r="S49" t="str">
        <f t="shared" si="1"/>
        <v>not</v>
      </c>
      <c r="T49" t="str">
        <f t="shared" si="2"/>
        <v>premium Customor</v>
      </c>
      <c r="U49" t="str">
        <f t="shared" si="3"/>
        <v>important</v>
      </c>
    </row>
    <row r="50" spans="1:21" x14ac:dyDescent="0.3">
      <c r="A50" t="s">
        <v>101</v>
      </c>
      <c r="B50" s="3">
        <v>45134</v>
      </c>
      <c r="C50" t="s">
        <v>32</v>
      </c>
      <c r="D50" t="s">
        <v>46</v>
      </c>
      <c r="E50" t="s">
        <v>10</v>
      </c>
      <c r="F50" t="s">
        <v>11</v>
      </c>
      <c r="G50">
        <v>7</v>
      </c>
      <c r="H50">
        <v>499.54</v>
      </c>
      <c r="I50">
        <v>341.89</v>
      </c>
      <c r="J50">
        <v>20</v>
      </c>
      <c r="K50">
        <v>82</v>
      </c>
      <c r="L50" t="s">
        <v>27</v>
      </c>
      <c r="M50">
        <v>3496.78</v>
      </c>
      <c r="N50">
        <v>2393.23</v>
      </c>
      <c r="O50">
        <v>1103.5500000000002</v>
      </c>
      <c r="Q50" t="str" cm="1">
        <f t="array" ref="Q50">_xlfn.IFS(M50&lt;100,"low",M50&lt;500,"medum",M50&gt;500,"high")</f>
        <v>high</v>
      </c>
      <c r="R50" t="str">
        <f t="shared" si="0"/>
        <v>not risk</v>
      </c>
      <c r="S50" t="str">
        <f t="shared" si="1"/>
        <v>not</v>
      </c>
      <c r="T50" t="str">
        <f t="shared" si="2"/>
        <v>premium Customor</v>
      </c>
      <c r="U50" t="str">
        <f t="shared" si="3"/>
        <v>important</v>
      </c>
    </row>
    <row r="51" spans="1:21" x14ac:dyDescent="0.3">
      <c r="A51" t="s">
        <v>102</v>
      </c>
      <c r="B51" s="3">
        <v>45165</v>
      </c>
      <c r="C51" t="s">
        <v>6</v>
      </c>
      <c r="D51" t="s">
        <v>56</v>
      </c>
      <c r="E51" t="s">
        <v>16</v>
      </c>
      <c r="F51" t="s">
        <v>17</v>
      </c>
      <c r="G51">
        <v>5</v>
      </c>
      <c r="H51">
        <v>159.80000000000001</v>
      </c>
      <c r="I51">
        <v>112.99</v>
      </c>
      <c r="J51">
        <v>20</v>
      </c>
      <c r="K51">
        <v>93</v>
      </c>
      <c r="L51" t="s">
        <v>27</v>
      </c>
      <c r="M51">
        <v>799</v>
      </c>
      <c r="N51">
        <v>564.94999999999993</v>
      </c>
      <c r="O51">
        <v>234.05000000000007</v>
      </c>
      <c r="Q51" t="str" cm="1">
        <f t="array" ref="Q51">_xlfn.IFS(M51&lt;100,"low",M51&lt;500,"medum",M51&gt;500,"high")</f>
        <v>high</v>
      </c>
      <c r="R51" t="str">
        <f t="shared" si="0"/>
        <v>not risk</v>
      </c>
      <c r="S51" t="str">
        <f t="shared" si="1"/>
        <v>not</v>
      </c>
      <c r="T51" t="str">
        <f t="shared" si="2"/>
        <v>Normal Customor</v>
      </c>
      <c r="U51" t="str">
        <f t="shared" si="3"/>
        <v>important</v>
      </c>
    </row>
    <row r="52" spans="1:21" x14ac:dyDescent="0.3">
      <c r="A52" t="s">
        <v>103</v>
      </c>
      <c r="B52" s="3">
        <v>45072</v>
      </c>
      <c r="C52" t="s">
        <v>14</v>
      </c>
      <c r="D52" t="s">
        <v>104</v>
      </c>
      <c r="E52" t="s">
        <v>36</v>
      </c>
      <c r="F52" t="s">
        <v>37</v>
      </c>
      <c r="G52">
        <v>9</v>
      </c>
      <c r="H52">
        <v>353.23</v>
      </c>
      <c r="I52">
        <v>241.86</v>
      </c>
      <c r="J52">
        <v>5</v>
      </c>
      <c r="K52">
        <v>94</v>
      </c>
      <c r="L52" t="s">
        <v>38</v>
      </c>
      <c r="M52">
        <v>3179.07</v>
      </c>
      <c r="N52">
        <v>2176.7400000000002</v>
      </c>
      <c r="O52">
        <v>1002.3299999999999</v>
      </c>
      <c r="Q52" t="str" cm="1">
        <f t="array" ref="Q52">_xlfn.IFS(M52&lt;100,"low",M52&lt;500,"medum",M52&gt;500,"high")</f>
        <v>high</v>
      </c>
      <c r="R52" t="str">
        <f t="shared" si="0"/>
        <v>risk</v>
      </c>
      <c r="S52" t="str">
        <f t="shared" si="1"/>
        <v>not</v>
      </c>
      <c r="T52" t="str">
        <f t="shared" si="2"/>
        <v>premium Customor</v>
      </c>
      <c r="U52" t="str">
        <f t="shared" si="3"/>
        <v>important</v>
      </c>
    </row>
    <row r="53" spans="1:21" x14ac:dyDescent="0.3">
      <c r="A53" t="s">
        <v>105</v>
      </c>
      <c r="B53" s="3">
        <v>45002</v>
      </c>
      <c r="C53" t="s">
        <v>6</v>
      </c>
      <c r="D53" t="s">
        <v>52</v>
      </c>
      <c r="E53" t="s">
        <v>25</v>
      </c>
      <c r="F53" t="s">
        <v>26</v>
      </c>
      <c r="G53">
        <v>2</v>
      </c>
      <c r="H53">
        <v>575.63</v>
      </c>
      <c r="I53">
        <v>411.03</v>
      </c>
      <c r="J53">
        <v>10</v>
      </c>
      <c r="K53">
        <v>38</v>
      </c>
      <c r="L53" t="s">
        <v>12</v>
      </c>
      <c r="M53">
        <v>1151.26</v>
      </c>
      <c r="N53">
        <v>822.06</v>
      </c>
      <c r="O53">
        <v>329.20000000000005</v>
      </c>
      <c r="Q53" t="str" cm="1">
        <f t="array" ref="Q53">_xlfn.IFS(M53&lt;100,"low",M53&lt;500,"medum",M53&gt;500,"high")</f>
        <v>high</v>
      </c>
      <c r="R53" t="str">
        <f t="shared" si="0"/>
        <v>not risk</v>
      </c>
      <c r="S53" t="str">
        <f t="shared" si="1"/>
        <v>not</v>
      </c>
      <c r="T53" t="str">
        <f t="shared" si="2"/>
        <v>premium Customor</v>
      </c>
      <c r="U53" t="str">
        <f t="shared" si="3"/>
        <v>not</v>
      </c>
    </row>
    <row r="54" spans="1:21" x14ac:dyDescent="0.3">
      <c r="A54" t="s">
        <v>106</v>
      </c>
      <c r="B54" s="3">
        <v>45026</v>
      </c>
      <c r="C54" t="s">
        <v>64</v>
      </c>
      <c r="D54" t="s">
        <v>107</v>
      </c>
      <c r="E54" t="s">
        <v>36</v>
      </c>
      <c r="F54" t="s">
        <v>37</v>
      </c>
      <c r="G54">
        <v>8</v>
      </c>
      <c r="H54">
        <v>435.62</v>
      </c>
      <c r="I54">
        <v>309.52</v>
      </c>
      <c r="J54">
        <v>15</v>
      </c>
      <c r="K54">
        <v>63</v>
      </c>
      <c r="L54" t="s">
        <v>4</v>
      </c>
      <c r="M54">
        <v>3484.96</v>
      </c>
      <c r="N54">
        <v>2476.16</v>
      </c>
      <c r="O54">
        <v>1008.8000000000002</v>
      </c>
      <c r="Q54" t="str" cm="1">
        <f t="array" ref="Q54">_xlfn.IFS(M54&lt;100,"low",M54&lt;500,"medum",M54&gt;500,"high")</f>
        <v>high</v>
      </c>
      <c r="R54" t="str">
        <f t="shared" si="0"/>
        <v>risk</v>
      </c>
      <c r="S54" t="str">
        <f t="shared" si="1"/>
        <v>not</v>
      </c>
      <c r="T54" t="str">
        <f t="shared" si="2"/>
        <v>premium Customor</v>
      </c>
      <c r="U54" t="str">
        <f t="shared" si="3"/>
        <v>important</v>
      </c>
    </row>
    <row r="55" spans="1:21" x14ac:dyDescent="0.3">
      <c r="A55" t="s">
        <v>108</v>
      </c>
      <c r="B55" s="3">
        <v>45144</v>
      </c>
      <c r="C55" t="s">
        <v>1</v>
      </c>
      <c r="D55" t="s">
        <v>41</v>
      </c>
      <c r="E55" t="s">
        <v>59</v>
      </c>
      <c r="F55" t="s">
        <v>60</v>
      </c>
      <c r="G55">
        <v>7</v>
      </c>
      <c r="H55">
        <v>176.5</v>
      </c>
      <c r="I55">
        <v>129.55000000000001</v>
      </c>
      <c r="J55">
        <v>0</v>
      </c>
      <c r="K55">
        <v>106</v>
      </c>
      <c r="L55" t="s">
        <v>38</v>
      </c>
      <c r="M55">
        <v>1235.5</v>
      </c>
      <c r="N55">
        <v>906.85000000000014</v>
      </c>
      <c r="O55">
        <v>328.64999999999986</v>
      </c>
      <c r="Q55" t="str" cm="1">
        <f t="array" ref="Q55">_xlfn.IFS(M55&lt;100,"low",M55&lt;500,"medum",M55&gt;500,"high")</f>
        <v>high</v>
      </c>
      <c r="R55" t="str">
        <f t="shared" si="0"/>
        <v>risk</v>
      </c>
      <c r="S55" t="str">
        <f t="shared" si="1"/>
        <v>not</v>
      </c>
      <c r="T55" t="str">
        <f t="shared" si="2"/>
        <v>premium Customor</v>
      </c>
      <c r="U55" t="str">
        <f t="shared" si="3"/>
        <v>important</v>
      </c>
    </row>
    <row r="56" spans="1:21" x14ac:dyDescent="0.3">
      <c r="A56" t="s">
        <v>109</v>
      </c>
      <c r="B56" s="3">
        <v>45164</v>
      </c>
      <c r="C56" t="s">
        <v>32</v>
      </c>
      <c r="D56" t="s">
        <v>46</v>
      </c>
      <c r="E56" t="s">
        <v>59</v>
      </c>
      <c r="F56" t="s">
        <v>60</v>
      </c>
      <c r="G56">
        <v>1</v>
      </c>
      <c r="H56">
        <v>415.35</v>
      </c>
      <c r="I56">
        <v>283.13</v>
      </c>
      <c r="J56">
        <v>0</v>
      </c>
      <c r="K56">
        <v>68</v>
      </c>
      <c r="L56" t="s">
        <v>12</v>
      </c>
      <c r="M56">
        <v>415.35</v>
      </c>
      <c r="N56">
        <v>283.13</v>
      </c>
      <c r="O56">
        <v>132.22000000000003</v>
      </c>
      <c r="Q56" t="str" cm="1">
        <f t="array" ref="Q56">_xlfn.IFS(M56&lt;100,"low",M56&lt;500,"medum",M56&gt;500,"high")</f>
        <v>medum</v>
      </c>
      <c r="R56" t="str">
        <f t="shared" si="0"/>
        <v>not risk</v>
      </c>
      <c r="S56" t="str">
        <f t="shared" si="1"/>
        <v>not</v>
      </c>
      <c r="T56" t="str">
        <f t="shared" si="2"/>
        <v>Normal Customor</v>
      </c>
      <c r="U56" t="str">
        <f t="shared" si="3"/>
        <v>not</v>
      </c>
    </row>
    <row r="57" spans="1:21" x14ac:dyDescent="0.3">
      <c r="A57" t="s">
        <v>110</v>
      </c>
      <c r="B57" s="3">
        <v>45155</v>
      </c>
      <c r="C57" t="s">
        <v>1</v>
      </c>
      <c r="D57" t="s">
        <v>9</v>
      </c>
      <c r="E57" t="s">
        <v>25</v>
      </c>
      <c r="F57" t="s">
        <v>26</v>
      </c>
      <c r="G57">
        <v>8</v>
      </c>
      <c r="H57">
        <v>430.47</v>
      </c>
      <c r="I57">
        <v>310.2</v>
      </c>
      <c r="J57">
        <v>20</v>
      </c>
      <c r="K57">
        <v>64</v>
      </c>
      <c r="L57" t="s">
        <v>4</v>
      </c>
      <c r="M57">
        <v>3443.76</v>
      </c>
      <c r="N57">
        <v>2481.6</v>
      </c>
      <c r="O57">
        <v>962.16000000000031</v>
      </c>
      <c r="Q57" t="str" cm="1">
        <f t="array" ref="Q57">_xlfn.IFS(M57&lt;100,"low",M57&lt;500,"medum",M57&gt;500,"high")</f>
        <v>high</v>
      </c>
      <c r="R57" t="str">
        <f t="shared" si="0"/>
        <v>risk</v>
      </c>
      <c r="S57" t="str">
        <f t="shared" si="1"/>
        <v>not</v>
      </c>
      <c r="T57" t="str">
        <f t="shared" si="2"/>
        <v>premium Customor</v>
      </c>
      <c r="U57" t="str">
        <f t="shared" si="3"/>
        <v>important</v>
      </c>
    </row>
    <row r="58" spans="1:21" x14ac:dyDescent="0.3">
      <c r="A58" t="s">
        <v>111</v>
      </c>
      <c r="B58" s="3">
        <v>45175</v>
      </c>
      <c r="C58" t="s">
        <v>32</v>
      </c>
      <c r="D58" t="s">
        <v>50</v>
      </c>
      <c r="E58" t="s">
        <v>59</v>
      </c>
      <c r="F58" t="s">
        <v>60</v>
      </c>
      <c r="G58">
        <v>5</v>
      </c>
      <c r="H58">
        <v>543.32000000000005</v>
      </c>
      <c r="I58">
        <v>378.37</v>
      </c>
      <c r="J58">
        <v>10</v>
      </c>
      <c r="K58">
        <v>108</v>
      </c>
      <c r="L58" t="s">
        <v>4</v>
      </c>
      <c r="M58">
        <v>2716.6000000000004</v>
      </c>
      <c r="N58">
        <v>1891.85</v>
      </c>
      <c r="O58">
        <v>824.75000000000045</v>
      </c>
      <c r="Q58" t="str" cm="1">
        <f t="array" ref="Q58">_xlfn.IFS(M58&lt;100,"low",M58&lt;500,"medum",M58&gt;500,"high")</f>
        <v>high</v>
      </c>
      <c r="R58" t="str">
        <f t="shared" si="0"/>
        <v>risk</v>
      </c>
      <c r="S58" t="str">
        <f t="shared" si="1"/>
        <v>not</v>
      </c>
      <c r="T58" t="str">
        <f t="shared" si="2"/>
        <v>premium Customor</v>
      </c>
      <c r="U58" t="str">
        <f t="shared" si="3"/>
        <v>important</v>
      </c>
    </row>
    <row r="59" spans="1:21" x14ac:dyDescent="0.3">
      <c r="A59" t="s">
        <v>112</v>
      </c>
      <c r="B59" s="3">
        <v>45203</v>
      </c>
      <c r="C59" t="s">
        <v>1</v>
      </c>
      <c r="D59" t="s">
        <v>99</v>
      </c>
      <c r="E59" t="s">
        <v>16</v>
      </c>
      <c r="F59" t="s">
        <v>17</v>
      </c>
      <c r="G59">
        <v>8</v>
      </c>
      <c r="H59">
        <v>58.25</v>
      </c>
      <c r="I59">
        <v>47.97</v>
      </c>
      <c r="J59">
        <v>10</v>
      </c>
      <c r="K59">
        <v>52</v>
      </c>
      <c r="L59" t="s">
        <v>27</v>
      </c>
      <c r="M59">
        <v>466</v>
      </c>
      <c r="N59">
        <v>383.76</v>
      </c>
      <c r="O59">
        <v>82.240000000000009</v>
      </c>
      <c r="Q59" t="str" cm="1">
        <f t="array" ref="Q59">_xlfn.IFS(M59&lt;100,"low",M59&lt;500,"medum",M59&gt;500,"high")</f>
        <v>medum</v>
      </c>
      <c r="R59" t="str">
        <f t="shared" si="0"/>
        <v>not risk</v>
      </c>
      <c r="S59" t="str">
        <f t="shared" si="1"/>
        <v>not</v>
      </c>
      <c r="T59" t="str">
        <f t="shared" si="2"/>
        <v>Normal Customor</v>
      </c>
      <c r="U59" t="str">
        <f t="shared" si="3"/>
        <v>important</v>
      </c>
    </row>
    <row r="60" spans="1:21" x14ac:dyDescent="0.3">
      <c r="A60" t="s">
        <v>113</v>
      </c>
      <c r="B60" s="3">
        <v>45135</v>
      </c>
      <c r="C60" t="s">
        <v>64</v>
      </c>
      <c r="D60" t="s">
        <v>77</v>
      </c>
      <c r="E60" t="s">
        <v>42</v>
      </c>
      <c r="F60" t="s">
        <v>43</v>
      </c>
      <c r="G60">
        <v>4</v>
      </c>
      <c r="H60">
        <v>229.54</v>
      </c>
      <c r="I60">
        <v>197.69</v>
      </c>
      <c r="J60">
        <v>5</v>
      </c>
      <c r="K60">
        <v>18</v>
      </c>
      <c r="L60" t="s">
        <v>18</v>
      </c>
      <c r="M60">
        <v>918.16</v>
      </c>
      <c r="N60">
        <v>790.76</v>
      </c>
      <c r="O60">
        <v>127.39999999999998</v>
      </c>
      <c r="Q60" t="str" cm="1">
        <f t="array" ref="Q60">_xlfn.IFS(M60&lt;100,"low",M60&lt;500,"medum",M60&gt;500,"high")</f>
        <v>high</v>
      </c>
      <c r="R60" t="str">
        <f t="shared" si="0"/>
        <v>not risk</v>
      </c>
      <c r="S60" t="str">
        <f t="shared" si="1"/>
        <v>not</v>
      </c>
      <c r="T60" t="str">
        <f t="shared" si="2"/>
        <v>Normal Customor</v>
      </c>
      <c r="U60" t="str">
        <f t="shared" si="3"/>
        <v>not</v>
      </c>
    </row>
    <row r="61" spans="1:21" x14ac:dyDescent="0.3">
      <c r="A61" t="s">
        <v>114</v>
      </c>
      <c r="B61" s="3">
        <v>45283</v>
      </c>
      <c r="C61" t="s">
        <v>20</v>
      </c>
      <c r="D61" t="s">
        <v>35</v>
      </c>
      <c r="E61" t="s">
        <v>59</v>
      </c>
      <c r="F61" t="s">
        <v>60</v>
      </c>
      <c r="G61">
        <v>7</v>
      </c>
      <c r="H61">
        <v>58.06</v>
      </c>
      <c r="I61">
        <v>40.51</v>
      </c>
      <c r="J61">
        <v>15</v>
      </c>
      <c r="K61">
        <v>108</v>
      </c>
      <c r="L61" t="s">
        <v>4</v>
      </c>
      <c r="M61">
        <v>406.42</v>
      </c>
      <c r="N61">
        <v>283.57</v>
      </c>
      <c r="O61">
        <v>122.85000000000002</v>
      </c>
      <c r="Q61" t="str" cm="1">
        <f t="array" ref="Q61">_xlfn.IFS(M61&lt;100,"low",M61&lt;500,"medum",M61&gt;500,"high")</f>
        <v>medum</v>
      </c>
      <c r="R61" t="str">
        <f t="shared" si="0"/>
        <v>risk</v>
      </c>
      <c r="S61" t="str">
        <f t="shared" si="1"/>
        <v>not</v>
      </c>
      <c r="T61" t="str">
        <f t="shared" si="2"/>
        <v>Normal Customor</v>
      </c>
      <c r="U61" t="str">
        <f t="shared" si="3"/>
        <v>important</v>
      </c>
    </row>
    <row r="62" spans="1:21" x14ac:dyDescent="0.3">
      <c r="A62" t="s">
        <v>115</v>
      </c>
      <c r="B62" s="3">
        <v>45202</v>
      </c>
      <c r="C62" t="s">
        <v>64</v>
      </c>
      <c r="D62" t="s">
        <v>65</v>
      </c>
      <c r="E62" t="s">
        <v>10</v>
      </c>
      <c r="F62" t="s">
        <v>11</v>
      </c>
      <c r="G62">
        <v>8</v>
      </c>
      <c r="H62">
        <v>15.99</v>
      </c>
      <c r="I62">
        <v>12.89</v>
      </c>
      <c r="J62">
        <v>15</v>
      </c>
      <c r="K62">
        <v>119</v>
      </c>
      <c r="L62" t="s">
        <v>18</v>
      </c>
      <c r="M62">
        <v>127.92</v>
      </c>
      <c r="N62">
        <v>103.12</v>
      </c>
      <c r="O62">
        <v>24.799999999999997</v>
      </c>
      <c r="Q62" t="str" cm="1">
        <f t="array" ref="Q62">_xlfn.IFS(M62&lt;100,"low",M62&lt;500,"medum",M62&gt;500,"high")</f>
        <v>medum</v>
      </c>
      <c r="R62" t="str">
        <f t="shared" si="0"/>
        <v>not risk</v>
      </c>
      <c r="S62" t="str">
        <f t="shared" si="1"/>
        <v>not</v>
      </c>
      <c r="T62" t="str">
        <f t="shared" si="2"/>
        <v>Normal Customor</v>
      </c>
      <c r="U62" t="str">
        <f t="shared" si="3"/>
        <v>important</v>
      </c>
    </row>
    <row r="63" spans="1:21" x14ac:dyDescent="0.3">
      <c r="A63" t="s">
        <v>116</v>
      </c>
      <c r="B63" s="3">
        <v>45269</v>
      </c>
      <c r="C63" t="s">
        <v>1</v>
      </c>
      <c r="D63" t="s">
        <v>9</v>
      </c>
      <c r="E63" t="s">
        <v>36</v>
      </c>
      <c r="F63" t="s">
        <v>37</v>
      </c>
      <c r="G63">
        <v>8</v>
      </c>
      <c r="H63">
        <v>149.76</v>
      </c>
      <c r="I63">
        <v>117.52</v>
      </c>
      <c r="J63">
        <v>0</v>
      </c>
      <c r="K63">
        <v>59</v>
      </c>
      <c r="L63" t="s">
        <v>27</v>
      </c>
      <c r="M63">
        <v>1198.08</v>
      </c>
      <c r="N63">
        <v>940.16</v>
      </c>
      <c r="O63">
        <v>257.91999999999996</v>
      </c>
      <c r="Q63" t="str" cm="1">
        <f t="array" ref="Q63">_xlfn.IFS(M63&lt;100,"low",M63&lt;500,"medum",M63&gt;500,"high")</f>
        <v>high</v>
      </c>
      <c r="R63" t="str">
        <f t="shared" si="0"/>
        <v>not risk</v>
      </c>
      <c r="S63" t="str">
        <f t="shared" si="1"/>
        <v>not</v>
      </c>
      <c r="T63" t="str">
        <f t="shared" si="2"/>
        <v>premium Customor</v>
      </c>
      <c r="U63" t="str">
        <f t="shared" si="3"/>
        <v>important</v>
      </c>
    </row>
    <row r="64" spans="1:21" x14ac:dyDescent="0.3">
      <c r="A64" t="s">
        <v>117</v>
      </c>
      <c r="B64" s="3">
        <v>45230</v>
      </c>
      <c r="C64" t="s">
        <v>1</v>
      </c>
      <c r="D64" t="s">
        <v>41</v>
      </c>
      <c r="E64" t="s">
        <v>42</v>
      </c>
      <c r="F64" t="s">
        <v>43</v>
      </c>
      <c r="G64">
        <v>8</v>
      </c>
      <c r="H64">
        <v>687.32</v>
      </c>
      <c r="I64">
        <v>460.58</v>
      </c>
      <c r="J64">
        <v>20</v>
      </c>
      <c r="K64">
        <v>13</v>
      </c>
      <c r="L64" t="s">
        <v>18</v>
      </c>
      <c r="M64">
        <v>5498.56</v>
      </c>
      <c r="N64">
        <v>3684.64</v>
      </c>
      <c r="O64">
        <v>1813.9200000000005</v>
      </c>
      <c r="Q64" t="str" cm="1">
        <f t="array" ref="Q64">_xlfn.IFS(M64&lt;100,"low",M64&lt;500,"medum",M64&gt;500,"high")</f>
        <v>high</v>
      </c>
      <c r="R64" t="str">
        <f t="shared" si="0"/>
        <v>not risk</v>
      </c>
      <c r="S64" t="str">
        <f t="shared" si="1"/>
        <v>not</v>
      </c>
      <c r="T64" t="str">
        <f t="shared" si="2"/>
        <v>premium Customor</v>
      </c>
      <c r="U64" t="str">
        <f t="shared" si="3"/>
        <v>important</v>
      </c>
    </row>
    <row r="65" spans="1:21" x14ac:dyDescent="0.3">
      <c r="A65" t="s">
        <v>118</v>
      </c>
      <c r="B65" s="3">
        <v>45094</v>
      </c>
      <c r="C65" t="s">
        <v>6</v>
      </c>
      <c r="D65" t="s">
        <v>56</v>
      </c>
      <c r="E65" t="s">
        <v>30</v>
      </c>
      <c r="F65" t="s">
        <v>11</v>
      </c>
      <c r="G65">
        <v>7</v>
      </c>
      <c r="H65">
        <v>98.27</v>
      </c>
      <c r="I65">
        <v>76.489999999999995</v>
      </c>
      <c r="J65">
        <v>0</v>
      </c>
      <c r="K65">
        <v>43</v>
      </c>
      <c r="L65" t="s">
        <v>18</v>
      </c>
      <c r="M65">
        <v>687.89</v>
      </c>
      <c r="N65">
        <v>535.42999999999995</v>
      </c>
      <c r="O65">
        <v>152.46000000000004</v>
      </c>
      <c r="Q65" t="str" cm="1">
        <f t="array" ref="Q65">_xlfn.IFS(M65&lt;100,"low",M65&lt;500,"medum",M65&gt;500,"high")</f>
        <v>high</v>
      </c>
      <c r="R65" t="str">
        <f t="shared" si="0"/>
        <v>not risk</v>
      </c>
      <c r="S65" t="str">
        <f t="shared" si="1"/>
        <v>not</v>
      </c>
      <c r="T65" t="str">
        <f t="shared" si="2"/>
        <v>Normal Customor</v>
      </c>
      <c r="U65" t="str">
        <f t="shared" si="3"/>
        <v>important</v>
      </c>
    </row>
    <row r="66" spans="1:21" x14ac:dyDescent="0.3">
      <c r="A66" t="s">
        <v>119</v>
      </c>
      <c r="B66" s="3">
        <v>45167</v>
      </c>
      <c r="C66" t="s">
        <v>32</v>
      </c>
      <c r="D66" t="s">
        <v>50</v>
      </c>
      <c r="E66" t="s">
        <v>25</v>
      </c>
      <c r="F66" t="s">
        <v>26</v>
      </c>
      <c r="G66">
        <v>6</v>
      </c>
      <c r="H66">
        <v>479.38</v>
      </c>
      <c r="I66">
        <v>383</v>
      </c>
      <c r="J66">
        <v>15</v>
      </c>
      <c r="K66">
        <v>42</v>
      </c>
      <c r="L66" t="s">
        <v>38</v>
      </c>
      <c r="M66">
        <v>2876.2799999999997</v>
      </c>
      <c r="N66">
        <v>2298</v>
      </c>
      <c r="O66">
        <v>578.27999999999975</v>
      </c>
      <c r="Q66" t="str" cm="1">
        <f t="array" ref="Q66">_xlfn.IFS(M66&lt;100,"low",M66&lt;500,"medum",M66&gt;500,"high")</f>
        <v>high</v>
      </c>
      <c r="R66" t="str">
        <f t="shared" si="0"/>
        <v>risk</v>
      </c>
      <c r="S66" t="str">
        <f t="shared" si="1"/>
        <v>not</v>
      </c>
      <c r="T66" t="str">
        <f t="shared" si="2"/>
        <v>premium Customor</v>
      </c>
      <c r="U66" t="str">
        <f t="shared" si="3"/>
        <v>important</v>
      </c>
    </row>
    <row r="67" spans="1:21" x14ac:dyDescent="0.3">
      <c r="A67" t="s">
        <v>120</v>
      </c>
      <c r="B67" s="3">
        <v>45053</v>
      </c>
      <c r="C67" t="s">
        <v>64</v>
      </c>
      <c r="D67" t="s">
        <v>65</v>
      </c>
      <c r="E67" t="s">
        <v>3</v>
      </c>
      <c r="F67" t="s">
        <v>3</v>
      </c>
      <c r="G67">
        <v>6</v>
      </c>
      <c r="H67">
        <v>135.15</v>
      </c>
      <c r="I67">
        <v>119.87</v>
      </c>
      <c r="J67">
        <v>0</v>
      </c>
      <c r="K67">
        <v>106</v>
      </c>
      <c r="L67" t="s">
        <v>38</v>
      </c>
      <c r="M67">
        <v>810.90000000000009</v>
      </c>
      <c r="N67">
        <v>719.22</v>
      </c>
      <c r="O67">
        <v>91.680000000000064</v>
      </c>
      <c r="Q67" t="str" cm="1">
        <f t="array" ref="Q67">_xlfn.IFS(M67&lt;100,"low",M67&lt;500,"medum",M67&gt;500,"high")</f>
        <v>high</v>
      </c>
      <c r="R67" t="str">
        <f t="shared" ref="R67:R130" si="4">IF(OR(L67="wallet",L67="upi"),"risk","not risk")</f>
        <v>risk</v>
      </c>
      <c r="S67" t="str">
        <f t="shared" ref="S67:S130" si="5">IF(G67&lt;1,"retrun","not")</f>
        <v>not</v>
      </c>
      <c r="T67" t="str">
        <f t="shared" ref="T67:T130" si="6">IF(M67&gt;1000,"premium Customor","Normal Customor")</f>
        <v>Normal Customor</v>
      </c>
      <c r="U67" t="str">
        <f t="shared" ref="U67:U130" si="7">IF(G67&gt;4,"important","not")</f>
        <v>important</v>
      </c>
    </row>
    <row r="68" spans="1:21" x14ac:dyDescent="0.3">
      <c r="A68" t="s">
        <v>121</v>
      </c>
      <c r="B68" s="3">
        <v>45285</v>
      </c>
      <c r="C68" t="s">
        <v>32</v>
      </c>
      <c r="D68" t="s">
        <v>91</v>
      </c>
      <c r="E68" t="s">
        <v>42</v>
      </c>
      <c r="F68" t="s">
        <v>43</v>
      </c>
      <c r="G68">
        <v>4</v>
      </c>
      <c r="H68">
        <v>98.28</v>
      </c>
      <c r="I68">
        <v>71.849999999999994</v>
      </c>
      <c r="J68">
        <v>20</v>
      </c>
      <c r="K68">
        <v>37</v>
      </c>
      <c r="L68" t="s">
        <v>18</v>
      </c>
      <c r="M68">
        <v>393.12</v>
      </c>
      <c r="N68">
        <v>287.39999999999998</v>
      </c>
      <c r="O68">
        <v>105.72000000000003</v>
      </c>
      <c r="Q68" t="str" cm="1">
        <f t="array" ref="Q68">_xlfn.IFS(M68&lt;100,"low",M68&lt;500,"medum",M68&gt;500,"high")</f>
        <v>medum</v>
      </c>
      <c r="R68" t="str">
        <f t="shared" si="4"/>
        <v>not risk</v>
      </c>
      <c r="S68" t="str">
        <f t="shared" si="5"/>
        <v>not</v>
      </c>
      <c r="T68" t="str">
        <f t="shared" si="6"/>
        <v>Normal Customor</v>
      </c>
      <c r="U68" t="str">
        <f t="shared" si="7"/>
        <v>not</v>
      </c>
    </row>
    <row r="69" spans="1:21" x14ac:dyDescent="0.3">
      <c r="A69" t="s">
        <v>122</v>
      </c>
      <c r="B69" s="3">
        <v>45086</v>
      </c>
      <c r="C69" t="s">
        <v>20</v>
      </c>
      <c r="D69" t="s">
        <v>21</v>
      </c>
      <c r="E69" t="s">
        <v>42</v>
      </c>
      <c r="F69" t="s">
        <v>43</v>
      </c>
      <c r="G69">
        <v>10</v>
      </c>
      <c r="H69">
        <v>430.31</v>
      </c>
      <c r="I69">
        <v>307.55</v>
      </c>
      <c r="J69">
        <v>0</v>
      </c>
      <c r="K69">
        <v>109</v>
      </c>
      <c r="L69" t="s">
        <v>12</v>
      </c>
      <c r="M69">
        <v>4303.1000000000004</v>
      </c>
      <c r="N69">
        <v>3075.5</v>
      </c>
      <c r="O69">
        <v>1227.6000000000004</v>
      </c>
      <c r="Q69" t="str" cm="1">
        <f t="array" ref="Q69">_xlfn.IFS(M69&lt;100,"low",M69&lt;500,"medum",M69&gt;500,"high")</f>
        <v>high</v>
      </c>
      <c r="R69" t="str">
        <f t="shared" si="4"/>
        <v>not risk</v>
      </c>
      <c r="S69" t="str">
        <f t="shared" si="5"/>
        <v>not</v>
      </c>
      <c r="T69" t="str">
        <f t="shared" si="6"/>
        <v>premium Customor</v>
      </c>
      <c r="U69" t="str">
        <f t="shared" si="7"/>
        <v>important</v>
      </c>
    </row>
    <row r="70" spans="1:21" x14ac:dyDescent="0.3">
      <c r="A70" t="s">
        <v>123</v>
      </c>
      <c r="B70" s="3">
        <v>44965</v>
      </c>
      <c r="C70" t="s">
        <v>64</v>
      </c>
      <c r="D70" t="s">
        <v>65</v>
      </c>
      <c r="E70" t="s">
        <v>3</v>
      </c>
      <c r="F70" t="s">
        <v>3</v>
      </c>
      <c r="G70">
        <v>5</v>
      </c>
      <c r="H70">
        <v>427.46</v>
      </c>
      <c r="I70">
        <v>292.14</v>
      </c>
      <c r="J70">
        <v>15</v>
      </c>
      <c r="K70">
        <v>60</v>
      </c>
      <c r="L70" t="s">
        <v>12</v>
      </c>
      <c r="M70">
        <v>2137.2999999999997</v>
      </c>
      <c r="N70">
        <v>1460.6999999999998</v>
      </c>
      <c r="O70">
        <v>676.59999999999991</v>
      </c>
      <c r="Q70" t="str" cm="1">
        <f t="array" ref="Q70">_xlfn.IFS(M70&lt;100,"low",M70&lt;500,"medum",M70&gt;500,"high")</f>
        <v>high</v>
      </c>
      <c r="R70" t="str">
        <f t="shared" si="4"/>
        <v>not risk</v>
      </c>
      <c r="S70" t="str">
        <f t="shared" si="5"/>
        <v>not</v>
      </c>
      <c r="T70" t="str">
        <f t="shared" si="6"/>
        <v>premium Customor</v>
      </c>
      <c r="U70" t="str">
        <f t="shared" si="7"/>
        <v>important</v>
      </c>
    </row>
    <row r="71" spans="1:21" x14ac:dyDescent="0.3">
      <c r="A71" t="s">
        <v>124</v>
      </c>
      <c r="B71" s="3">
        <v>44948</v>
      </c>
      <c r="C71" t="s">
        <v>6</v>
      </c>
      <c r="D71" t="s">
        <v>62</v>
      </c>
      <c r="E71" t="s">
        <v>30</v>
      </c>
      <c r="F71" t="s">
        <v>11</v>
      </c>
      <c r="G71">
        <v>5</v>
      </c>
      <c r="H71">
        <v>571.77</v>
      </c>
      <c r="I71">
        <v>426.64</v>
      </c>
      <c r="J71">
        <v>0</v>
      </c>
      <c r="K71">
        <v>111</v>
      </c>
      <c r="L71" t="s">
        <v>4</v>
      </c>
      <c r="M71">
        <v>2858.85</v>
      </c>
      <c r="N71">
        <v>2133.1999999999998</v>
      </c>
      <c r="O71" s="5">
        <v>725.65000000000009</v>
      </c>
      <c r="Q71" t="str" cm="1">
        <f t="array" ref="Q71">_xlfn.IFS(M71&lt;100,"low",M71&lt;500,"medum",M71&gt;500,"high")</f>
        <v>high</v>
      </c>
      <c r="R71" t="str">
        <f t="shared" si="4"/>
        <v>risk</v>
      </c>
      <c r="S71" t="str">
        <f t="shared" si="5"/>
        <v>not</v>
      </c>
      <c r="T71" t="str">
        <f t="shared" si="6"/>
        <v>premium Customor</v>
      </c>
      <c r="U71" t="str">
        <f t="shared" si="7"/>
        <v>important</v>
      </c>
    </row>
    <row r="72" spans="1:21" x14ac:dyDescent="0.3">
      <c r="A72" t="s">
        <v>125</v>
      </c>
      <c r="B72" s="3">
        <v>45177</v>
      </c>
      <c r="C72" t="s">
        <v>20</v>
      </c>
      <c r="D72" t="s">
        <v>35</v>
      </c>
      <c r="E72" t="s">
        <v>10</v>
      </c>
      <c r="F72" t="s">
        <v>11</v>
      </c>
      <c r="G72">
        <v>6</v>
      </c>
      <c r="H72">
        <v>59.51</v>
      </c>
      <c r="I72">
        <v>43.79</v>
      </c>
      <c r="J72">
        <v>0</v>
      </c>
      <c r="K72">
        <v>118</v>
      </c>
      <c r="L72" t="s">
        <v>18</v>
      </c>
      <c r="M72">
        <v>357.06</v>
      </c>
      <c r="N72">
        <v>262.74</v>
      </c>
      <c r="O72">
        <v>94.32</v>
      </c>
      <c r="Q72" t="str" cm="1">
        <f t="array" ref="Q72">_xlfn.IFS(M72&lt;100,"low",M72&lt;500,"medum",M72&gt;500,"high")</f>
        <v>medum</v>
      </c>
      <c r="R72" t="str">
        <f t="shared" si="4"/>
        <v>not risk</v>
      </c>
      <c r="S72" t="str">
        <f t="shared" si="5"/>
        <v>not</v>
      </c>
      <c r="T72" t="str">
        <f t="shared" si="6"/>
        <v>Normal Customor</v>
      </c>
      <c r="U72" t="str">
        <f t="shared" si="7"/>
        <v>important</v>
      </c>
    </row>
    <row r="73" spans="1:21" x14ac:dyDescent="0.3">
      <c r="A73" t="s">
        <v>126</v>
      </c>
      <c r="B73" s="3">
        <v>45242</v>
      </c>
      <c r="C73" t="s">
        <v>64</v>
      </c>
      <c r="D73" t="s">
        <v>81</v>
      </c>
      <c r="E73" t="s">
        <v>25</v>
      </c>
      <c r="F73" t="s">
        <v>26</v>
      </c>
      <c r="G73">
        <v>8</v>
      </c>
      <c r="H73">
        <v>454.35</v>
      </c>
      <c r="I73">
        <v>356.58</v>
      </c>
      <c r="J73">
        <v>20</v>
      </c>
      <c r="K73">
        <v>93</v>
      </c>
      <c r="L73" t="s">
        <v>27</v>
      </c>
      <c r="M73">
        <v>3634.8</v>
      </c>
      <c r="N73">
        <v>2852.64</v>
      </c>
      <c r="O73">
        <v>782.16000000000031</v>
      </c>
      <c r="Q73" t="str" cm="1">
        <f t="array" ref="Q73">_xlfn.IFS(M73&lt;100,"low",M73&lt;500,"medum",M73&gt;500,"high")</f>
        <v>high</v>
      </c>
      <c r="R73" t="str">
        <f t="shared" si="4"/>
        <v>not risk</v>
      </c>
      <c r="S73" t="str">
        <f t="shared" si="5"/>
        <v>not</v>
      </c>
      <c r="T73" t="str">
        <f t="shared" si="6"/>
        <v>premium Customor</v>
      </c>
      <c r="U73" t="str">
        <f t="shared" si="7"/>
        <v>important</v>
      </c>
    </row>
    <row r="74" spans="1:21" x14ac:dyDescent="0.3">
      <c r="A74" t="s">
        <v>127</v>
      </c>
      <c r="B74" s="3">
        <v>44971</v>
      </c>
      <c r="C74" t="s">
        <v>23</v>
      </c>
      <c r="D74" t="s">
        <v>24</v>
      </c>
      <c r="E74" t="s">
        <v>59</v>
      </c>
      <c r="F74" t="s">
        <v>60</v>
      </c>
      <c r="G74">
        <v>8</v>
      </c>
      <c r="H74">
        <v>311.11</v>
      </c>
      <c r="I74">
        <v>223.43</v>
      </c>
      <c r="J74">
        <v>10</v>
      </c>
      <c r="K74">
        <v>51</v>
      </c>
      <c r="L74" t="s">
        <v>12</v>
      </c>
      <c r="M74">
        <v>2488.88</v>
      </c>
      <c r="N74">
        <v>1787.44</v>
      </c>
      <c r="O74">
        <v>701.44</v>
      </c>
      <c r="Q74" t="str" cm="1">
        <f t="array" ref="Q74">_xlfn.IFS(M74&lt;100,"low",M74&lt;500,"medum",M74&gt;500,"high")</f>
        <v>high</v>
      </c>
      <c r="R74" t="str">
        <f t="shared" si="4"/>
        <v>not risk</v>
      </c>
      <c r="S74" t="str">
        <f t="shared" si="5"/>
        <v>not</v>
      </c>
      <c r="T74" t="str">
        <f t="shared" si="6"/>
        <v>premium Customor</v>
      </c>
      <c r="U74" t="str">
        <f t="shared" si="7"/>
        <v>important</v>
      </c>
    </row>
    <row r="75" spans="1:21" x14ac:dyDescent="0.3">
      <c r="A75" t="s">
        <v>128</v>
      </c>
      <c r="B75" s="3">
        <v>45093</v>
      </c>
      <c r="C75" t="s">
        <v>20</v>
      </c>
      <c r="D75" t="s">
        <v>129</v>
      </c>
      <c r="E75" t="s">
        <v>36</v>
      </c>
      <c r="F75" t="s">
        <v>37</v>
      </c>
      <c r="G75">
        <v>8</v>
      </c>
      <c r="H75">
        <v>395.46</v>
      </c>
      <c r="I75">
        <v>289.23</v>
      </c>
      <c r="J75">
        <v>10</v>
      </c>
      <c r="K75">
        <v>13</v>
      </c>
      <c r="L75" t="s">
        <v>18</v>
      </c>
      <c r="M75">
        <v>3163.68</v>
      </c>
      <c r="N75">
        <v>2313.84</v>
      </c>
      <c r="O75">
        <v>849.83999999999969</v>
      </c>
      <c r="Q75" t="str" cm="1">
        <f t="array" ref="Q75">_xlfn.IFS(M75&lt;100,"low",M75&lt;500,"medum",M75&gt;500,"high")</f>
        <v>high</v>
      </c>
      <c r="R75" t="str">
        <f t="shared" si="4"/>
        <v>not risk</v>
      </c>
      <c r="S75" t="str">
        <f t="shared" si="5"/>
        <v>not</v>
      </c>
      <c r="T75" t="str">
        <f t="shared" si="6"/>
        <v>premium Customor</v>
      </c>
      <c r="U75" t="str">
        <f t="shared" si="7"/>
        <v>important</v>
      </c>
    </row>
    <row r="76" spans="1:21" x14ac:dyDescent="0.3">
      <c r="A76" t="s">
        <v>130</v>
      </c>
      <c r="B76" s="3">
        <v>45211</v>
      </c>
      <c r="C76" t="s">
        <v>32</v>
      </c>
      <c r="D76" t="s">
        <v>50</v>
      </c>
      <c r="E76" t="s">
        <v>36</v>
      </c>
      <c r="F76" t="s">
        <v>37</v>
      </c>
      <c r="G76">
        <v>6</v>
      </c>
      <c r="H76">
        <v>495.62</v>
      </c>
      <c r="I76">
        <v>400.94</v>
      </c>
      <c r="J76">
        <v>20</v>
      </c>
      <c r="K76">
        <v>99</v>
      </c>
      <c r="L76" t="s">
        <v>27</v>
      </c>
      <c r="M76">
        <v>2973.7200000000003</v>
      </c>
      <c r="N76">
        <v>2405.64</v>
      </c>
      <c r="O76">
        <v>568.08000000000038</v>
      </c>
      <c r="Q76" t="str" cm="1">
        <f t="array" ref="Q76">_xlfn.IFS(M76&lt;100,"low",M76&lt;500,"medum",M76&gt;500,"high")</f>
        <v>high</v>
      </c>
      <c r="R76" t="str">
        <f t="shared" si="4"/>
        <v>not risk</v>
      </c>
      <c r="S76" t="str">
        <f t="shared" si="5"/>
        <v>not</v>
      </c>
      <c r="T76" t="str">
        <f t="shared" si="6"/>
        <v>premium Customor</v>
      </c>
      <c r="U76" t="str">
        <f t="shared" si="7"/>
        <v>important</v>
      </c>
    </row>
    <row r="77" spans="1:21" x14ac:dyDescent="0.3">
      <c r="A77" t="s">
        <v>131</v>
      </c>
      <c r="B77" s="3">
        <v>45280</v>
      </c>
      <c r="C77" t="s">
        <v>64</v>
      </c>
      <c r="D77" t="s">
        <v>65</v>
      </c>
      <c r="E77" t="s">
        <v>36</v>
      </c>
      <c r="F77" t="s">
        <v>37</v>
      </c>
      <c r="G77">
        <v>2</v>
      </c>
      <c r="H77">
        <v>161.94</v>
      </c>
      <c r="I77">
        <v>128.26</v>
      </c>
      <c r="J77">
        <v>20</v>
      </c>
      <c r="K77">
        <v>107</v>
      </c>
      <c r="L77" t="s">
        <v>12</v>
      </c>
      <c r="M77">
        <v>323.88</v>
      </c>
      <c r="N77">
        <v>256.52</v>
      </c>
      <c r="O77">
        <v>67.360000000000014</v>
      </c>
      <c r="Q77" t="str" cm="1">
        <f t="array" ref="Q77">_xlfn.IFS(M77&lt;100,"low",M77&lt;500,"medum",M77&gt;500,"high")</f>
        <v>medum</v>
      </c>
      <c r="R77" t="str">
        <f t="shared" si="4"/>
        <v>not risk</v>
      </c>
      <c r="S77" t="str">
        <f t="shared" si="5"/>
        <v>not</v>
      </c>
      <c r="T77" t="str">
        <f t="shared" si="6"/>
        <v>Normal Customor</v>
      </c>
      <c r="U77" t="str">
        <f t="shared" si="7"/>
        <v>not</v>
      </c>
    </row>
    <row r="78" spans="1:21" x14ac:dyDescent="0.3">
      <c r="A78" t="s">
        <v>132</v>
      </c>
      <c r="B78" s="3">
        <v>45115</v>
      </c>
      <c r="C78" t="s">
        <v>14</v>
      </c>
      <c r="D78" t="s">
        <v>104</v>
      </c>
      <c r="E78" t="s">
        <v>59</v>
      </c>
      <c r="F78" t="s">
        <v>60</v>
      </c>
      <c r="G78">
        <v>1</v>
      </c>
      <c r="H78">
        <v>66.09</v>
      </c>
      <c r="I78">
        <v>55.6</v>
      </c>
      <c r="J78">
        <v>5</v>
      </c>
      <c r="K78">
        <v>49</v>
      </c>
      <c r="L78" t="s">
        <v>4</v>
      </c>
      <c r="M78">
        <v>66.09</v>
      </c>
      <c r="N78">
        <v>55.6</v>
      </c>
      <c r="O78">
        <v>10.490000000000002</v>
      </c>
      <c r="Q78" t="str" cm="1">
        <f t="array" ref="Q78">_xlfn.IFS(M78&lt;100,"low",M78&lt;500,"medum",M78&gt;500,"high")</f>
        <v>low</v>
      </c>
      <c r="R78" t="str">
        <f t="shared" si="4"/>
        <v>risk</v>
      </c>
      <c r="S78" t="str">
        <f t="shared" si="5"/>
        <v>not</v>
      </c>
      <c r="T78" t="str">
        <f t="shared" si="6"/>
        <v>Normal Customor</v>
      </c>
      <c r="U78" t="str">
        <f t="shared" si="7"/>
        <v>not</v>
      </c>
    </row>
    <row r="79" spans="1:21" x14ac:dyDescent="0.3">
      <c r="A79" t="s">
        <v>133</v>
      </c>
      <c r="B79" s="3">
        <v>45065</v>
      </c>
      <c r="C79" t="s">
        <v>14</v>
      </c>
      <c r="D79" t="s">
        <v>73</v>
      </c>
      <c r="E79" t="s">
        <v>25</v>
      </c>
      <c r="F79" t="s">
        <v>26</v>
      </c>
      <c r="G79">
        <v>7</v>
      </c>
      <c r="H79">
        <v>657.9</v>
      </c>
      <c r="I79">
        <v>498.35</v>
      </c>
      <c r="J79">
        <v>10</v>
      </c>
      <c r="K79">
        <v>99</v>
      </c>
      <c r="L79" t="s">
        <v>18</v>
      </c>
      <c r="M79">
        <v>4605.3</v>
      </c>
      <c r="N79">
        <v>3488.4500000000003</v>
      </c>
      <c r="O79">
        <v>1116.8499999999999</v>
      </c>
      <c r="Q79" t="str" cm="1">
        <f t="array" ref="Q79">_xlfn.IFS(M79&lt;100,"low",M79&lt;500,"medum",M79&gt;500,"high")</f>
        <v>high</v>
      </c>
      <c r="R79" t="str">
        <f t="shared" si="4"/>
        <v>not risk</v>
      </c>
      <c r="S79" t="str">
        <f t="shared" si="5"/>
        <v>not</v>
      </c>
      <c r="T79" t="str">
        <f t="shared" si="6"/>
        <v>premium Customor</v>
      </c>
      <c r="U79" t="str">
        <f t="shared" si="7"/>
        <v>important</v>
      </c>
    </row>
    <row r="80" spans="1:21" x14ac:dyDescent="0.3">
      <c r="A80" t="s">
        <v>134</v>
      </c>
      <c r="B80" s="3">
        <v>45025</v>
      </c>
      <c r="C80" t="s">
        <v>20</v>
      </c>
      <c r="D80" t="s">
        <v>21</v>
      </c>
      <c r="E80" t="s">
        <v>36</v>
      </c>
      <c r="F80" t="s">
        <v>37</v>
      </c>
      <c r="G80">
        <v>2</v>
      </c>
      <c r="H80">
        <v>445.64</v>
      </c>
      <c r="I80">
        <v>363.43</v>
      </c>
      <c r="J80">
        <v>20</v>
      </c>
      <c r="K80">
        <v>107</v>
      </c>
      <c r="L80" t="s">
        <v>12</v>
      </c>
      <c r="M80">
        <v>891.28</v>
      </c>
      <c r="N80">
        <v>726.86</v>
      </c>
      <c r="O80">
        <v>164.41999999999996</v>
      </c>
      <c r="Q80" t="str" cm="1">
        <f t="array" ref="Q80">_xlfn.IFS(M80&lt;100,"low",M80&lt;500,"medum",M80&gt;500,"high")</f>
        <v>high</v>
      </c>
      <c r="R80" t="str">
        <f t="shared" si="4"/>
        <v>not risk</v>
      </c>
      <c r="S80" t="str">
        <f t="shared" si="5"/>
        <v>not</v>
      </c>
      <c r="T80" t="str">
        <f t="shared" si="6"/>
        <v>Normal Customor</v>
      </c>
      <c r="U80" t="str">
        <f t="shared" si="7"/>
        <v>not</v>
      </c>
    </row>
    <row r="81" spans="1:21" x14ac:dyDescent="0.3">
      <c r="A81" t="s">
        <v>135</v>
      </c>
      <c r="B81" s="3">
        <v>45078</v>
      </c>
      <c r="C81" t="s">
        <v>32</v>
      </c>
      <c r="D81" t="s">
        <v>50</v>
      </c>
      <c r="E81" t="s">
        <v>16</v>
      </c>
      <c r="F81" t="s">
        <v>17</v>
      </c>
      <c r="G81">
        <v>10</v>
      </c>
      <c r="H81">
        <v>639.91999999999996</v>
      </c>
      <c r="I81">
        <v>488.54</v>
      </c>
      <c r="J81">
        <v>10</v>
      </c>
      <c r="K81">
        <v>22</v>
      </c>
      <c r="L81" t="s">
        <v>12</v>
      </c>
      <c r="M81">
        <v>6399.2</v>
      </c>
      <c r="N81">
        <v>4885.4000000000005</v>
      </c>
      <c r="O81">
        <v>1513.7999999999993</v>
      </c>
      <c r="Q81" t="str" cm="1">
        <f t="array" ref="Q81">_xlfn.IFS(M81&lt;100,"low",M81&lt;500,"medum",M81&gt;500,"high")</f>
        <v>high</v>
      </c>
      <c r="R81" t="str">
        <f t="shared" si="4"/>
        <v>not risk</v>
      </c>
      <c r="S81" t="str">
        <f t="shared" si="5"/>
        <v>not</v>
      </c>
      <c r="T81" t="str">
        <f t="shared" si="6"/>
        <v>premium Customor</v>
      </c>
      <c r="U81" t="str">
        <f t="shared" si="7"/>
        <v>important</v>
      </c>
    </row>
    <row r="82" spans="1:21" x14ac:dyDescent="0.3">
      <c r="A82" t="s">
        <v>136</v>
      </c>
      <c r="B82" s="3">
        <v>45210</v>
      </c>
      <c r="C82" t="s">
        <v>32</v>
      </c>
      <c r="D82" t="s">
        <v>33</v>
      </c>
      <c r="E82" t="s">
        <v>42</v>
      </c>
      <c r="F82" t="s">
        <v>43</v>
      </c>
      <c r="G82">
        <v>5</v>
      </c>
      <c r="H82">
        <v>22.24</v>
      </c>
      <c r="I82">
        <v>16.93</v>
      </c>
      <c r="J82">
        <v>10</v>
      </c>
      <c r="K82">
        <v>15</v>
      </c>
      <c r="L82" t="s">
        <v>38</v>
      </c>
      <c r="M82">
        <v>111.19999999999999</v>
      </c>
      <c r="N82">
        <v>84.65</v>
      </c>
      <c r="O82">
        <v>26.549999999999983</v>
      </c>
      <c r="Q82" t="str" cm="1">
        <f t="array" ref="Q82">_xlfn.IFS(M82&lt;100,"low",M82&lt;500,"medum",M82&gt;500,"high")</f>
        <v>medum</v>
      </c>
      <c r="R82" t="str">
        <f t="shared" si="4"/>
        <v>risk</v>
      </c>
      <c r="S82" t="str">
        <f t="shared" si="5"/>
        <v>not</v>
      </c>
      <c r="T82" t="str">
        <f t="shared" si="6"/>
        <v>Normal Customor</v>
      </c>
      <c r="U82" t="str">
        <f t="shared" si="7"/>
        <v>important</v>
      </c>
    </row>
    <row r="83" spans="1:21" x14ac:dyDescent="0.3">
      <c r="A83" t="s">
        <v>137</v>
      </c>
      <c r="B83" s="3">
        <v>45101</v>
      </c>
      <c r="C83" t="s">
        <v>20</v>
      </c>
      <c r="D83" t="s">
        <v>87</v>
      </c>
      <c r="E83" t="s">
        <v>59</v>
      </c>
      <c r="F83" t="s">
        <v>60</v>
      </c>
      <c r="G83">
        <v>2</v>
      </c>
      <c r="H83">
        <v>581.88</v>
      </c>
      <c r="I83">
        <v>437.63</v>
      </c>
      <c r="J83">
        <v>15</v>
      </c>
      <c r="K83">
        <v>71</v>
      </c>
      <c r="L83" t="s">
        <v>18</v>
      </c>
      <c r="M83">
        <v>1163.76</v>
      </c>
      <c r="N83">
        <v>875.26</v>
      </c>
      <c r="O83">
        <v>288.5</v>
      </c>
      <c r="Q83" t="str" cm="1">
        <f t="array" ref="Q83">_xlfn.IFS(M83&lt;100,"low",M83&lt;500,"medum",M83&gt;500,"high")</f>
        <v>high</v>
      </c>
      <c r="R83" t="str">
        <f t="shared" si="4"/>
        <v>not risk</v>
      </c>
      <c r="S83" t="str">
        <f t="shared" si="5"/>
        <v>not</v>
      </c>
      <c r="T83" t="str">
        <f t="shared" si="6"/>
        <v>premium Customor</v>
      </c>
      <c r="U83" t="str">
        <f t="shared" si="7"/>
        <v>not</v>
      </c>
    </row>
    <row r="84" spans="1:21" x14ac:dyDescent="0.3">
      <c r="A84" t="s">
        <v>138</v>
      </c>
      <c r="B84" s="3">
        <v>45249</v>
      </c>
      <c r="C84" t="s">
        <v>32</v>
      </c>
      <c r="D84" t="s">
        <v>91</v>
      </c>
      <c r="E84" t="s">
        <v>16</v>
      </c>
      <c r="F84" t="s">
        <v>17</v>
      </c>
      <c r="G84">
        <v>8</v>
      </c>
      <c r="H84">
        <v>74.209999999999994</v>
      </c>
      <c r="I84">
        <v>65.900000000000006</v>
      </c>
      <c r="J84">
        <v>15</v>
      </c>
      <c r="K84">
        <v>19</v>
      </c>
      <c r="L84" t="s">
        <v>4</v>
      </c>
      <c r="M84">
        <v>593.67999999999995</v>
      </c>
      <c r="N84">
        <v>527.20000000000005</v>
      </c>
      <c r="O84">
        <v>66.479999999999905</v>
      </c>
      <c r="Q84" t="str" cm="1">
        <f t="array" ref="Q84">_xlfn.IFS(M84&lt;100,"low",M84&lt;500,"medum",M84&gt;500,"high")</f>
        <v>high</v>
      </c>
      <c r="R84" t="str">
        <f t="shared" si="4"/>
        <v>risk</v>
      </c>
      <c r="S84" t="str">
        <f t="shared" si="5"/>
        <v>not</v>
      </c>
      <c r="T84" t="str">
        <f t="shared" si="6"/>
        <v>Normal Customor</v>
      </c>
      <c r="U84" t="str">
        <f t="shared" si="7"/>
        <v>important</v>
      </c>
    </row>
    <row r="85" spans="1:21" x14ac:dyDescent="0.3">
      <c r="A85" t="s">
        <v>139</v>
      </c>
      <c r="B85" s="3">
        <v>45212</v>
      </c>
      <c r="C85" t="s">
        <v>1</v>
      </c>
      <c r="D85" t="s">
        <v>2</v>
      </c>
      <c r="E85" t="s">
        <v>42</v>
      </c>
      <c r="F85" t="s">
        <v>43</v>
      </c>
      <c r="G85">
        <v>3</v>
      </c>
      <c r="H85">
        <v>602.9</v>
      </c>
      <c r="I85">
        <v>407.46</v>
      </c>
      <c r="J85">
        <v>0</v>
      </c>
      <c r="K85">
        <v>41</v>
      </c>
      <c r="L85" t="s">
        <v>38</v>
      </c>
      <c r="M85">
        <v>1808.6999999999998</v>
      </c>
      <c r="N85">
        <v>1222.3799999999999</v>
      </c>
      <c r="O85">
        <v>586.31999999999994</v>
      </c>
      <c r="Q85" t="str" cm="1">
        <f t="array" ref="Q85">_xlfn.IFS(M85&lt;100,"low",M85&lt;500,"medum",M85&gt;500,"high")</f>
        <v>high</v>
      </c>
      <c r="R85" t="str">
        <f t="shared" si="4"/>
        <v>risk</v>
      </c>
      <c r="S85" t="str">
        <f t="shared" si="5"/>
        <v>not</v>
      </c>
      <c r="T85" t="str">
        <f t="shared" si="6"/>
        <v>premium Customor</v>
      </c>
      <c r="U85" t="str">
        <f t="shared" si="7"/>
        <v>not</v>
      </c>
    </row>
    <row r="86" spans="1:21" x14ac:dyDescent="0.3">
      <c r="A86" t="s">
        <v>140</v>
      </c>
      <c r="B86" s="3">
        <v>45146</v>
      </c>
      <c r="C86" t="s">
        <v>23</v>
      </c>
      <c r="D86" t="s">
        <v>141</v>
      </c>
      <c r="E86" t="s">
        <v>36</v>
      </c>
      <c r="F86" t="s">
        <v>37</v>
      </c>
      <c r="G86">
        <v>9</v>
      </c>
      <c r="H86">
        <v>287.39999999999998</v>
      </c>
      <c r="I86">
        <v>196.39</v>
      </c>
      <c r="J86">
        <v>10</v>
      </c>
      <c r="K86">
        <v>120</v>
      </c>
      <c r="L86" t="s">
        <v>4</v>
      </c>
      <c r="M86">
        <v>2586.6</v>
      </c>
      <c r="N86">
        <v>1767.5099999999998</v>
      </c>
      <c r="O86">
        <v>819.09000000000015</v>
      </c>
      <c r="Q86" t="str" cm="1">
        <f t="array" ref="Q86">_xlfn.IFS(M86&lt;100,"low",M86&lt;500,"medum",M86&gt;500,"high")</f>
        <v>high</v>
      </c>
      <c r="R86" t="str">
        <f t="shared" si="4"/>
        <v>risk</v>
      </c>
      <c r="S86" t="str">
        <f t="shared" si="5"/>
        <v>not</v>
      </c>
      <c r="T86" t="str">
        <f t="shared" si="6"/>
        <v>premium Customor</v>
      </c>
      <c r="U86" t="str">
        <f t="shared" si="7"/>
        <v>important</v>
      </c>
    </row>
    <row r="87" spans="1:21" x14ac:dyDescent="0.3">
      <c r="A87" t="s">
        <v>142</v>
      </c>
      <c r="B87" s="3">
        <v>45062</v>
      </c>
      <c r="C87" t="s">
        <v>20</v>
      </c>
      <c r="D87" t="s">
        <v>35</v>
      </c>
      <c r="E87" t="s">
        <v>3</v>
      </c>
      <c r="F87" t="s">
        <v>3</v>
      </c>
      <c r="G87">
        <v>10</v>
      </c>
      <c r="H87">
        <v>547.57000000000005</v>
      </c>
      <c r="I87">
        <v>480.45</v>
      </c>
      <c r="J87">
        <v>5</v>
      </c>
      <c r="K87">
        <v>90</v>
      </c>
      <c r="L87" t="s">
        <v>12</v>
      </c>
      <c r="M87">
        <v>5475.7000000000007</v>
      </c>
      <c r="N87">
        <v>4804.5</v>
      </c>
      <c r="O87">
        <v>671.20000000000073</v>
      </c>
      <c r="Q87" t="str" cm="1">
        <f t="array" ref="Q87">_xlfn.IFS(M87&lt;100,"low",M87&lt;500,"medum",M87&gt;500,"high")</f>
        <v>high</v>
      </c>
      <c r="R87" t="str">
        <f t="shared" si="4"/>
        <v>not risk</v>
      </c>
      <c r="S87" t="str">
        <f t="shared" si="5"/>
        <v>not</v>
      </c>
      <c r="T87" t="str">
        <f t="shared" si="6"/>
        <v>premium Customor</v>
      </c>
      <c r="U87" t="str">
        <f t="shared" si="7"/>
        <v>important</v>
      </c>
    </row>
    <row r="88" spans="1:21" x14ac:dyDescent="0.3">
      <c r="A88" t="s">
        <v>143</v>
      </c>
      <c r="B88" s="3">
        <v>45279</v>
      </c>
      <c r="C88" t="s">
        <v>1</v>
      </c>
      <c r="D88" t="s">
        <v>2</v>
      </c>
      <c r="E88" t="s">
        <v>42</v>
      </c>
      <c r="F88" t="s">
        <v>43</v>
      </c>
      <c r="G88">
        <v>4</v>
      </c>
      <c r="H88">
        <v>107.54</v>
      </c>
      <c r="I88">
        <v>95.17</v>
      </c>
      <c r="J88">
        <v>0</v>
      </c>
      <c r="K88">
        <v>62</v>
      </c>
      <c r="L88" t="s">
        <v>18</v>
      </c>
      <c r="M88">
        <v>430.16</v>
      </c>
      <c r="N88">
        <v>380.68</v>
      </c>
      <c r="O88">
        <v>49.480000000000018</v>
      </c>
      <c r="Q88" t="str" cm="1">
        <f t="array" ref="Q88">_xlfn.IFS(M88&lt;100,"low",M88&lt;500,"medum",M88&gt;500,"high")</f>
        <v>medum</v>
      </c>
      <c r="R88" t="str">
        <f t="shared" si="4"/>
        <v>not risk</v>
      </c>
      <c r="S88" t="str">
        <f t="shared" si="5"/>
        <v>not</v>
      </c>
      <c r="T88" t="str">
        <f t="shared" si="6"/>
        <v>Normal Customor</v>
      </c>
      <c r="U88" t="str">
        <f t="shared" si="7"/>
        <v>not</v>
      </c>
    </row>
    <row r="89" spans="1:21" x14ac:dyDescent="0.3">
      <c r="A89" t="s">
        <v>144</v>
      </c>
      <c r="B89" s="3">
        <v>45062</v>
      </c>
      <c r="C89" t="s">
        <v>6</v>
      </c>
      <c r="D89" t="s">
        <v>7</v>
      </c>
      <c r="E89" t="s">
        <v>16</v>
      </c>
      <c r="F89" t="s">
        <v>17</v>
      </c>
      <c r="G89">
        <v>1</v>
      </c>
      <c r="H89">
        <v>170.66</v>
      </c>
      <c r="I89">
        <v>123.42</v>
      </c>
      <c r="J89">
        <v>15</v>
      </c>
      <c r="K89">
        <v>19</v>
      </c>
      <c r="L89" t="s">
        <v>12</v>
      </c>
      <c r="M89">
        <v>170.66</v>
      </c>
      <c r="N89">
        <v>123.42</v>
      </c>
      <c r="O89">
        <v>47.239999999999995</v>
      </c>
      <c r="Q89" t="str" cm="1">
        <f t="array" ref="Q89">_xlfn.IFS(M89&lt;100,"low",M89&lt;500,"medum",M89&gt;500,"high")</f>
        <v>medum</v>
      </c>
      <c r="R89" t="str">
        <f t="shared" si="4"/>
        <v>not risk</v>
      </c>
      <c r="S89" t="str">
        <f t="shared" si="5"/>
        <v>not</v>
      </c>
      <c r="T89" t="str">
        <f t="shared" si="6"/>
        <v>Normal Customor</v>
      </c>
      <c r="U89" t="str">
        <f t="shared" si="7"/>
        <v>not</v>
      </c>
    </row>
    <row r="90" spans="1:21" x14ac:dyDescent="0.3">
      <c r="A90" t="s">
        <v>145</v>
      </c>
      <c r="B90" s="3">
        <v>44963</v>
      </c>
      <c r="C90" t="s">
        <v>23</v>
      </c>
      <c r="D90" t="s">
        <v>24</v>
      </c>
      <c r="E90" t="s">
        <v>36</v>
      </c>
      <c r="F90" t="s">
        <v>37</v>
      </c>
      <c r="G90">
        <v>7</v>
      </c>
      <c r="H90">
        <v>78.819999999999993</v>
      </c>
      <c r="I90">
        <v>66.239999999999995</v>
      </c>
      <c r="J90">
        <v>5</v>
      </c>
      <c r="K90">
        <v>44</v>
      </c>
      <c r="L90" t="s">
        <v>12</v>
      </c>
      <c r="M90">
        <v>551.74</v>
      </c>
      <c r="N90">
        <v>463.67999999999995</v>
      </c>
      <c r="O90">
        <v>88.060000000000059</v>
      </c>
      <c r="Q90" t="str" cm="1">
        <f t="array" ref="Q90">_xlfn.IFS(M90&lt;100,"low",M90&lt;500,"medum",M90&gt;500,"high")</f>
        <v>high</v>
      </c>
      <c r="R90" t="str">
        <f t="shared" si="4"/>
        <v>not risk</v>
      </c>
      <c r="S90" t="str">
        <f t="shared" si="5"/>
        <v>not</v>
      </c>
      <c r="T90" t="str">
        <f t="shared" si="6"/>
        <v>Normal Customor</v>
      </c>
      <c r="U90" t="str">
        <f t="shared" si="7"/>
        <v>important</v>
      </c>
    </row>
    <row r="91" spans="1:21" x14ac:dyDescent="0.3">
      <c r="A91" t="s">
        <v>146</v>
      </c>
      <c r="B91" s="3">
        <v>45166</v>
      </c>
      <c r="C91" t="s">
        <v>64</v>
      </c>
      <c r="D91" t="s">
        <v>77</v>
      </c>
      <c r="E91" t="s">
        <v>16</v>
      </c>
      <c r="F91" t="s">
        <v>17</v>
      </c>
      <c r="G91">
        <v>10</v>
      </c>
      <c r="H91">
        <v>500.52</v>
      </c>
      <c r="I91">
        <v>376.99</v>
      </c>
      <c r="J91">
        <v>10</v>
      </c>
      <c r="K91">
        <v>66</v>
      </c>
      <c r="L91" t="s">
        <v>38</v>
      </c>
      <c r="M91">
        <v>5005.2</v>
      </c>
      <c r="N91">
        <v>3769.9</v>
      </c>
      <c r="O91">
        <v>1235.2999999999997</v>
      </c>
      <c r="Q91" t="str" cm="1">
        <f t="array" ref="Q91">_xlfn.IFS(M91&lt;100,"low",M91&lt;500,"medum",M91&gt;500,"high")</f>
        <v>high</v>
      </c>
      <c r="R91" t="str">
        <f t="shared" si="4"/>
        <v>risk</v>
      </c>
      <c r="S91" t="str">
        <f t="shared" si="5"/>
        <v>not</v>
      </c>
      <c r="T91" t="str">
        <f t="shared" si="6"/>
        <v>premium Customor</v>
      </c>
      <c r="U91" t="str">
        <f t="shared" si="7"/>
        <v>important</v>
      </c>
    </row>
    <row r="92" spans="1:21" x14ac:dyDescent="0.3">
      <c r="A92" t="s">
        <v>147</v>
      </c>
      <c r="B92" s="3">
        <v>45148</v>
      </c>
      <c r="C92" t="s">
        <v>1</v>
      </c>
      <c r="D92" t="s">
        <v>75</v>
      </c>
      <c r="E92" t="s">
        <v>10</v>
      </c>
      <c r="F92" t="s">
        <v>11</v>
      </c>
      <c r="G92">
        <v>5</v>
      </c>
      <c r="H92">
        <v>331.17</v>
      </c>
      <c r="I92">
        <v>255.23</v>
      </c>
      <c r="J92">
        <v>0</v>
      </c>
      <c r="K92">
        <v>86</v>
      </c>
      <c r="L92" t="s">
        <v>38</v>
      </c>
      <c r="M92">
        <v>1655.8500000000001</v>
      </c>
      <c r="N92">
        <v>1276.1499999999999</v>
      </c>
      <c r="O92">
        <v>379.70000000000027</v>
      </c>
      <c r="Q92" t="str" cm="1">
        <f t="array" ref="Q92">_xlfn.IFS(M92&lt;100,"low",M92&lt;500,"medum",M92&gt;500,"high")</f>
        <v>high</v>
      </c>
      <c r="R92" t="str">
        <f t="shared" si="4"/>
        <v>risk</v>
      </c>
      <c r="S92" t="str">
        <f t="shared" si="5"/>
        <v>not</v>
      </c>
      <c r="T92" t="str">
        <f t="shared" si="6"/>
        <v>premium Customor</v>
      </c>
      <c r="U92" t="str">
        <f t="shared" si="7"/>
        <v>important</v>
      </c>
    </row>
    <row r="93" spans="1:21" x14ac:dyDescent="0.3">
      <c r="A93" t="s">
        <v>148</v>
      </c>
      <c r="B93" s="3">
        <v>45271</v>
      </c>
      <c r="C93" t="s">
        <v>1</v>
      </c>
      <c r="D93" t="s">
        <v>75</v>
      </c>
      <c r="E93" t="s">
        <v>16</v>
      </c>
      <c r="F93" t="s">
        <v>17</v>
      </c>
      <c r="G93">
        <v>1</v>
      </c>
      <c r="H93">
        <v>81.290000000000006</v>
      </c>
      <c r="I93">
        <v>54.75</v>
      </c>
      <c r="J93">
        <v>20</v>
      </c>
      <c r="K93">
        <v>85</v>
      </c>
      <c r="L93" t="s">
        <v>38</v>
      </c>
      <c r="M93">
        <v>81.290000000000006</v>
      </c>
      <c r="N93">
        <v>54.75</v>
      </c>
      <c r="O93">
        <v>26.540000000000006</v>
      </c>
      <c r="Q93" t="str" cm="1">
        <f t="array" ref="Q93">_xlfn.IFS(M93&lt;100,"low",M93&lt;500,"medum",M93&gt;500,"high")</f>
        <v>low</v>
      </c>
      <c r="R93" t="str">
        <f t="shared" si="4"/>
        <v>risk</v>
      </c>
      <c r="S93" t="str">
        <f t="shared" si="5"/>
        <v>not</v>
      </c>
      <c r="T93" t="str">
        <f t="shared" si="6"/>
        <v>Normal Customor</v>
      </c>
      <c r="U93" t="str">
        <f t="shared" si="7"/>
        <v>not</v>
      </c>
    </row>
    <row r="94" spans="1:21" x14ac:dyDescent="0.3">
      <c r="A94" t="s">
        <v>149</v>
      </c>
      <c r="B94" s="3">
        <v>45150</v>
      </c>
      <c r="C94" t="s">
        <v>23</v>
      </c>
      <c r="D94" t="s">
        <v>150</v>
      </c>
      <c r="E94" t="s">
        <v>3</v>
      </c>
      <c r="F94" t="s">
        <v>3</v>
      </c>
      <c r="G94">
        <v>3</v>
      </c>
      <c r="H94">
        <v>327.29000000000002</v>
      </c>
      <c r="I94">
        <v>240.55</v>
      </c>
      <c r="J94">
        <v>10</v>
      </c>
      <c r="K94">
        <v>33</v>
      </c>
      <c r="L94" t="s">
        <v>4</v>
      </c>
      <c r="M94">
        <v>981.87000000000012</v>
      </c>
      <c r="N94">
        <v>721.65000000000009</v>
      </c>
      <c r="O94">
        <v>260.22000000000003</v>
      </c>
      <c r="Q94" t="str" cm="1">
        <f t="array" ref="Q94">_xlfn.IFS(M94&lt;100,"low",M94&lt;500,"medum",M94&gt;500,"high")</f>
        <v>high</v>
      </c>
      <c r="R94" t="str">
        <f t="shared" si="4"/>
        <v>risk</v>
      </c>
      <c r="S94" t="str">
        <f t="shared" si="5"/>
        <v>not</v>
      </c>
      <c r="T94" t="str">
        <f t="shared" si="6"/>
        <v>Normal Customor</v>
      </c>
      <c r="U94" t="str">
        <f t="shared" si="7"/>
        <v>not</v>
      </c>
    </row>
    <row r="95" spans="1:21" x14ac:dyDescent="0.3">
      <c r="A95" t="s">
        <v>151</v>
      </c>
      <c r="B95" s="3">
        <v>45095</v>
      </c>
      <c r="C95" t="s">
        <v>1</v>
      </c>
      <c r="D95" t="s">
        <v>41</v>
      </c>
      <c r="E95" t="s">
        <v>30</v>
      </c>
      <c r="F95" t="s">
        <v>11</v>
      </c>
      <c r="G95">
        <v>8</v>
      </c>
      <c r="H95">
        <v>222.61</v>
      </c>
      <c r="I95">
        <v>180.5</v>
      </c>
      <c r="J95">
        <v>0</v>
      </c>
      <c r="K95">
        <v>119</v>
      </c>
      <c r="L95" t="s">
        <v>12</v>
      </c>
      <c r="M95">
        <v>1780.88</v>
      </c>
      <c r="N95">
        <v>1444</v>
      </c>
      <c r="O95">
        <v>336.88000000000011</v>
      </c>
      <c r="Q95" t="str" cm="1">
        <f t="array" ref="Q95">_xlfn.IFS(M95&lt;100,"low",M95&lt;500,"medum",M95&gt;500,"high")</f>
        <v>high</v>
      </c>
      <c r="R95" t="str">
        <f t="shared" si="4"/>
        <v>not risk</v>
      </c>
      <c r="S95" t="str">
        <f t="shared" si="5"/>
        <v>not</v>
      </c>
      <c r="T95" t="str">
        <f t="shared" si="6"/>
        <v>premium Customor</v>
      </c>
      <c r="U95" t="str">
        <f t="shared" si="7"/>
        <v>important</v>
      </c>
    </row>
    <row r="96" spans="1:21" x14ac:dyDescent="0.3">
      <c r="A96" t="s">
        <v>152</v>
      </c>
      <c r="B96" s="3">
        <v>45056</v>
      </c>
      <c r="C96" t="s">
        <v>14</v>
      </c>
      <c r="D96" t="s">
        <v>104</v>
      </c>
      <c r="E96" t="s">
        <v>16</v>
      </c>
      <c r="F96" t="s">
        <v>17</v>
      </c>
      <c r="G96">
        <v>7</v>
      </c>
      <c r="H96">
        <v>539.42999999999995</v>
      </c>
      <c r="I96">
        <v>408.65</v>
      </c>
      <c r="J96">
        <v>15</v>
      </c>
      <c r="K96">
        <v>21</v>
      </c>
      <c r="L96" t="s">
        <v>27</v>
      </c>
      <c r="M96">
        <v>3776.0099999999998</v>
      </c>
      <c r="N96">
        <v>2860.5499999999997</v>
      </c>
      <c r="O96">
        <v>915.46</v>
      </c>
      <c r="Q96" t="str" cm="1">
        <f t="array" ref="Q96">_xlfn.IFS(M96&lt;100,"low",M96&lt;500,"medum",M96&gt;500,"high")</f>
        <v>high</v>
      </c>
      <c r="R96" t="str">
        <f t="shared" si="4"/>
        <v>not risk</v>
      </c>
      <c r="S96" t="str">
        <f t="shared" si="5"/>
        <v>not</v>
      </c>
      <c r="T96" t="str">
        <f t="shared" si="6"/>
        <v>premium Customor</v>
      </c>
      <c r="U96" t="str">
        <f t="shared" si="7"/>
        <v>important</v>
      </c>
    </row>
    <row r="97" spans="1:21" x14ac:dyDescent="0.3">
      <c r="A97" t="s">
        <v>153</v>
      </c>
      <c r="B97" s="3">
        <v>44954</v>
      </c>
      <c r="C97" t="s">
        <v>20</v>
      </c>
      <c r="D97" t="s">
        <v>154</v>
      </c>
      <c r="E97" t="s">
        <v>10</v>
      </c>
      <c r="F97" t="s">
        <v>11</v>
      </c>
      <c r="G97">
        <v>9</v>
      </c>
      <c r="H97">
        <v>455.82</v>
      </c>
      <c r="I97">
        <v>414.21</v>
      </c>
      <c r="J97">
        <v>20</v>
      </c>
      <c r="K97">
        <v>69</v>
      </c>
      <c r="L97" t="s">
        <v>18</v>
      </c>
      <c r="M97">
        <v>4102.38</v>
      </c>
      <c r="N97">
        <v>3727.89</v>
      </c>
      <c r="O97" s="5">
        <v>374.49000000000024</v>
      </c>
      <c r="Q97" t="str" cm="1">
        <f t="array" ref="Q97">_xlfn.IFS(M97&lt;100,"low",M97&lt;500,"medum",M97&gt;500,"high")</f>
        <v>high</v>
      </c>
      <c r="R97" t="str">
        <f t="shared" si="4"/>
        <v>not risk</v>
      </c>
      <c r="S97" t="str">
        <f t="shared" si="5"/>
        <v>not</v>
      </c>
      <c r="T97" t="str">
        <f t="shared" si="6"/>
        <v>premium Customor</v>
      </c>
      <c r="U97" t="str">
        <f t="shared" si="7"/>
        <v>important</v>
      </c>
    </row>
    <row r="98" spans="1:21" x14ac:dyDescent="0.3">
      <c r="A98" t="s">
        <v>155</v>
      </c>
      <c r="B98" s="3">
        <v>45208</v>
      </c>
      <c r="C98" t="s">
        <v>32</v>
      </c>
      <c r="D98" t="s">
        <v>156</v>
      </c>
      <c r="E98" t="s">
        <v>25</v>
      </c>
      <c r="F98" t="s">
        <v>26</v>
      </c>
      <c r="G98">
        <v>10</v>
      </c>
      <c r="H98">
        <v>513.95000000000005</v>
      </c>
      <c r="I98">
        <v>380.66</v>
      </c>
      <c r="J98">
        <v>0</v>
      </c>
      <c r="K98">
        <v>36</v>
      </c>
      <c r="L98" t="s">
        <v>27</v>
      </c>
      <c r="M98">
        <v>5139.5</v>
      </c>
      <c r="N98">
        <v>3806.6000000000004</v>
      </c>
      <c r="O98">
        <v>1332.8999999999996</v>
      </c>
      <c r="Q98" t="str" cm="1">
        <f t="array" ref="Q98">_xlfn.IFS(M98&lt;100,"low",M98&lt;500,"medum",M98&gt;500,"high")</f>
        <v>high</v>
      </c>
      <c r="R98" t="str">
        <f t="shared" si="4"/>
        <v>not risk</v>
      </c>
      <c r="S98" t="str">
        <f t="shared" si="5"/>
        <v>not</v>
      </c>
      <c r="T98" t="str">
        <f t="shared" si="6"/>
        <v>premium Customor</v>
      </c>
      <c r="U98" t="str">
        <f t="shared" si="7"/>
        <v>important</v>
      </c>
    </row>
    <row r="99" spans="1:21" x14ac:dyDescent="0.3">
      <c r="A99" t="s">
        <v>157</v>
      </c>
      <c r="B99" s="3">
        <v>45290</v>
      </c>
      <c r="C99" t="s">
        <v>32</v>
      </c>
      <c r="D99" t="s">
        <v>33</v>
      </c>
      <c r="E99" t="s">
        <v>59</v>
      </c>
      <c r="F99" t="s">
        <v>60</v>
      </c>
      <c r="G99">
        <v>8</v>
      </c>
      <c r="H99">
        <v>103.5</v>
      </c>
      <c r="I99">
        <v>69.5</v>
      </c>
      <c r="J99">
        <v>20</v>
      </c>
      <c r="K99">
        <v>112</v>
      </c>
      <c r="L99" t="s">
        <v>12</v>
      </c>
      <c r="M99">
        <v>828</v>
      </c>
      <c r="N99">
        <v>556</v>
      </c>
      <c r="O99">
        <v>272</v>
      </c>
      <c r="Q99" t="str" cm="1">
        <f t="array" ref="Q99">_xlfn.IFS(M99&lt;100,"low",M99&lt;500,"medum",M99&gt;500,"high")</f>
        <v>high</v>
      </c>
      <c r="R99" t="str">
        <f t="shared" si="4"/>
        <v>not risk</v>
      </c>
      <c r="S99" t="str">
        <f t="shared" si="5"/>
        <v>not</v>
      </c>
      <c r="T99" t="str">
        <f t="shared" si="6"/>
        <v>Normal Customor</v>
      </c>
      <c r="U99" t="str">
        <f t="shared" si="7"/>
        <v>important</v>
      </c>
    </row>
    <row r="100" spans="1:21" x14ac:dyDescent="0.3">
      <c r="A100" t="s">
        <v>158</v>
      </c>
      <c r="B100" s="3">
        <v>45258</v>
      </c>
      <c r="C100" t="s">
        <v>32</v>
      </c>
      <c r="D100" t="s">
        <v>33</v>
      </c>
      <c r="E100" t="s">
        <v>3</v>
      </c>
      <c r="F100" t="s">
        <v>3</v>
      </c>
      <c r="G100">
        <v>9</v>
      </c>
      <c r="H100">
        <v>249.78</v>
      </c>
      <c r="I100">
        <v>209.92</v>
      </c>
      <c r="J100">
        <v>0</v>
      </c>
      <c r="K100">
        <v>69</v>
      </c>
      <c r="L100" t="s">
        <v>38</v>
      </c>
      <c r="M100">
        <v>2248.02</v>
      </c>
      <c r="N100">
        <v>1889.28</v>
      </c>
      <c r="O100">
        <v>358.74</v>
      </c>
      <c r="Q100" t="str" cm="1">
        <f t="array" ref="Q100">_xlfn.IFS(M100&lt;100,"low",M100&lt;500,"medum",M100&gt;500,"high")</f>
        <v>high</v>
      </c>
      <c r="R100" t="str">
        <f t="shared" si="4"/>
        <v>risk</v>
      </c>
      <c r="S100" t="str">
        <f t="shared" si="5"/>
        <v>not</v>
      </c>
      <c r="T100" t="str">
        <f t="shared" si="6"/>
        <v>premium Customor</v>
      </c>
      <c r="U100" t="str">
        <f t="shared" si="7"/>
        <v>important</v>
      </c>
    </row>
    <row r="101" spans="1:21" x14ac:dyDescent="0.3">
      <c r="A101" t="s">
        <v>159</v>
      </c>
      <c r="B101" s="3">
        <v>45160</v>
      </c>
      <c r="C101" t="s">
        <v>23</v>
      </c>
      <c r="D101" t="s">
        <v>29</v>
      </c>
      <c r="E101" t="s">
        <v>59</v>
      </c>
      <c r="F101" t="s">
        <v>60</v>
      </c>
      <c r="G101">
        <v>5</v>
      </c>
      <c r="H101">
        <v>313.64999999999998</v>
      </c>
      <c r="I101">
        <v>259.35000000000002</v>
      </c>
      <c r="J101">
        <v>15</v>
      </c>
      <c r="K101">
        <v>70</v>
      </c>
      <c r="L101" t="s">
        <v>12</v>
      </c>
      <c r="M101">
        <v>1568.25</v>
      </c>
      <c r="N101">
        <v>1296.75</v>
      </c>
      <c r="O101">
        <v>271.5</v>
      </c>
      <c r="Q101" t="str" cm="1">
        <f t="array" ref="Q101">_xlfn.IFS(M101&lt;100,"low",M101&lt;500,"medum",M101&gt;500,"high")</f>
        <v>high</v>
      </c>
      <c r="R101" t="str">
        <f t="shared" si="4"/>
        <v>not risk</v>
      </c>
      <c r="S101" t="str">
        <f t="shared" si="5"/>
        <v>not</v>
      </c>
      <c r="T101" t="str">
        <f t="shared" si="6"/>
        <v>premium Customor</v>
      </c>
      <c r="U101" t="str">
        <f t="shared" si="7"/>
        <v>important</v>
      </c>
    </row>
    <row r="102" spans="1:21" x14ac:dyDescent="0.3">
      <c r="A102" t="s">
        <v>160</v>
      </c>
      <c r="B102" s="3">
        <v>45068</v>
      </c>
      <c r="C102" t="s">
        <v>6</v>
      </c>
      <c r="D102" t="s">
        <v>62</v>
      </c>
      <c r="E102" t="s">
        <v>10</v>
      </c>
      <c r="F102" t="s">
        <v>11</v>
      </c>
      <c r="G102">
        <v>4</v>
      </c>
      <c r="H102">
        <v>601.76</v>
      </c>
      <c r="I102">
        <v>461.72</v>
      </c>
      <c r="J102">
        <v>5</v>
      </c>
      <c r="K102">
        <v>120</v>
      </c>
      <c r="L102" t="s">
        <v>38</v>
      </c>
      <c r="M102">
        <v>2407.04</v>
      </c>
      <c r="N102">
        <v>1846.88</v>
      </c>
      <c r="O102">
        <v>560.15999999999985</v>
      </c>
      <c r="Q102" t="str" cm="1">
        <f t="array" ref="Q102">_xlfn.IFS(M102&lt;100,"low",M102&lt;500,"medum",M102&gt;500,"high")</f>
        <v>high</v>
      </c>
      <c r="R102" t="str">
        <f t="shared" si="4"/>
        <v>risk</v>
      </c>
      <c r="S102" t="str">
        <f t="shared" si="5"/>
        <v>not</v>
      </c>
      <c r="T102" t="str">
        <f t="shared" si="6"/>
        <v>premium Customor</v>
      </c>
      <c r="U102" t="str">
        <f t="shared" si="7"/>
        <v>not</v>
      </c>
    </row>
    <row r="103" spans="1:21" x14ac:dyDescent="0.3">
      <c r="A103" t="s">
        <v>161</v>
      </c>
      <c r="B103" s="3">
        <v>45223</v>
      </c>
      <c r="C103" t="s">
        <v>23</v>
      </c>
      <c r="D103" t="s">
        <v>141</v>
      </c>
      <c r="E103" t="s">
        <v>25</v>
      </c>
      <c r="F103" t="s">
        <v>26</v>
      </c>
      <c r="G103">
        <v>9</v>
      </c>
      <c r="H103">
        <v>155.15</v>
      </c>
      <c r="I103">
        <v>140.91</v>
      </c>
      <c r="J103">
        <v>10</v>
      </c>
      <c r="K103">
        <v>117</v>
      </c>
      <c r="L103" t="s">
        <v>4</v>
      </c>
      <c r="M103">
        <v>1396.3500000000001</v>
      </c>
      <c r="N103">
        <v>1268.19</v>
      </c>
      <c r="O103">
        <v>128.16000000000008</v>
      </c>
      <c r="Q103" t="str" cm="1">
        <f t="array" ref="Q103">_xlfn.IFS(M103&lt;100,"low",M103&lt;500,"medum",M103&gt;500,"high")</f>
        <v>high</v>
      </c>
      <c r="R103" t="str">
        <f t="shared" si="4"/>
        <v>risk</v>
      </c>
      <c r="S103" t="str">
        <f t="shared" si="5"/>
        <v>not</v>
      </c>
      <c r="T103" t="str">
        <f t="shared" si="6"/>
        <v>premium Customor</v>
      </c>
      <c r="U103" t="str">
        <f t="shared" si="7"/>
        <v>important</v>
      </c>
    </row>
    <row r="104" spans="1:21" x14ac:dyDescent="0.3">
      <c r="A104" t="s">
        <v>162</v>
      </c>
      <c r="B104" s="3">
        <v>45120</v>
      </c>
      <c r="C104" t="s">
        <v>1</v>
      </c>
      <c r="D104" t="s">
        <v>41</v>
      </c>
      <c r="E104" t="s">
        <v>42</v>
      </c>
      <c r="F104" t="s">
        <v>43</v>
      </c>
      <c r="G104">
        <v>8</v>
      </c>
      <c r="H104">
        <v>339.1</v>
      </c>
      <c r="I104">
        <v>273.89999999999998</v>
      </c>
      <c r="J104">
        <v>20</v>
      </c>
      <c r="K104">
        <v>107</v>
      </c>
      <c r="L104" t="s">
        <v>4</v>
      </c>
      <c r="M104">
        <v>2712.8</v>
      </c>
      <c r="N104">
        <v>2191.1999999999998</v>
      </c>
      <c r="O104">
        <v>521.60000000000036</v>
      </c>
      <c r="Q104" t="str" cm="1">
        <f t="array" ref="Q104">_xlfn.IFS(M104&lt;100,"low",M104&lt;500,"medum",M104&gt;500,"high")</f>
        <v>high</v>
      </c>
      <c r="R104" t="str">
        <f t="shared" si="4"/>
        <v>risk</v>
      </c>
      <c r="S104" t="str">
        <f t="shared" si="5"/>
        <v>not</v>
      </c>
      <c r="T104" t="str">
        <f t="shared" si="6"/>
        <v>premium Customor</v>
      </c>
      <c r="U104" t="str">
        <f t="shared" si="7"/>
        <v>important</v>
      </c>
    </row>
    <row r="105" spans="1:21" x14ac:dyDescent="0.3">
      <c r="A105" t="s">
        <v>163</v>
      </c>
      <c r="B105" s="3">
        <v>45169</v>
      </c>
      <c r="C105" t="s">
        <v>14</v>
      </c>
      <c r="D105" t="s">
        <v>15</v>
      </c>
      <c r="E105" t="s">
        <v>36</v>
      </c>
      <c r="F105" t="s">
        <v>37</v>
      </c>
      <c r="G105">
        <v>4</v>
      </c>
      <c r="H105">
        <v>346.31</v>
      </c>
      <c r="I105">
        <v>290.18</v>
      </c>
      <c r="J105">
        <v>15</v>
      </c>
      <c r="K105">
        <v>15</v>
      </c>
      <c r="L105" t="s">
        <v>27</v>
      </c>
      <c r="M105">
        <v>1385.24</v>
      </c>
      <c r="N105">
        <v>1160.72</v>
      </c>
      <c r="O105">
        <v>224.51999999999998</v>
      </c>
      <c r="Q105" t="str" cm="1">
        <f t="array" ref="Q105">_xlfn.IFS(M105&lt;100,"low",M105&lt;500,"medum",M105&gt;500,"high")</f>
        <v>high</v>
      </c>
      <c r="R105" t="str">
        <f t="shared" si="4"/>
        <v>not risk</v>
      </c>
      <c r="S105" t="str">
        <f t="shared" si="5"/>
        <v>not</v>
      </c>
      <c r="T105" t="str">
        <f t="shared" si="6"/>
        <v>premium Customor</v>
      </c>
      <c r="U105" t="str">
        <f t="shared" si="7"/>
        <v>not</v>
      </c>
    </row>
    <row r="106" spans="1:21" x14ac:dyDescent="0.3">
      <c r="A106" t="s">
        <v>164</v>
      </c>
      <c r="B106" s="3">
        <v>44978</v>
      </c>
      <c r="C106" t="s">
        <v>1</v>
      </c>
      <c r="D106" t="s">
        <v>41</v>
      </c>
      <c r="E106" t="s">
        <v>10</v>
      </c>
      <c r="F106" t="s">
        <v>11</v>
      </c>
      <c r="G106">
        <v>3</v>
      </c>
      <c r="H106">
        <v>281.72000000000003</v>
      </c>
      <c r="I106">
        <v>252.71</v>
      </c>
      <c r="J106">
        <v>20</v>
      </c>
      <c r="K106">
        <v>85</v>
      </c>
      <c r="L106" t="s">
        <v>27</v>
      </c>
      <c r="M106">
        <v>845.16000000000008</v>
      </c>
      <c r="N106">
        <v>758.13</v>
      </c>
      <c r="O106">
        <v>87.030000000000086</v>
      </c>
      <c r="Q106" t="str" cm="1">
        <f t="array" ref="Q106">_xlfn.IFS(M106&lt;100,"low",M106&lt;500,"medum",M106&gt;500,"high")</f>
        <v>high</v>
      </c>
      <c r="R106" t="str">
        <f t="shared" si="4"/>
        <v>not risk</v>
      </c>
      <c r="S106" t="str">
        <f t="shared" si="5"/>
        <v>not</v>
      </c>
      <c r="T106" t="str">
        <f t="shared" si="6"/>
        <v>Normal Customor</v>
      </c>
      <c r="U106" t="str">
        <f t="shared" si="7"/>
        <v>not</v>
      </c>
    </row>
    <row r="107" spans="1:21" x14ac:dyDescent="0.3">
      <c r="A107" t="s">
        <v>165</v>
      </c>
      <c r="B107" s="3">
        <v>44965</v>
      </c>
      <c r="C107" t="s">
        <v>23</v>
      </c>
      <c r="D107" t="s">
        <v>141</v>
      </c>
      <c r="E107" t="s">
        <v>30</v>
      </c>
      <c r="F107" t="s">
        <v>11</v>
      </c>
      <c r="G107">
        <v>9</v>
      </c>
      <c r="H107">
        <v>504.53</v>
      </c>
      <c r="I107">
        <v>456.12</v>
      </c>
      <c r="J107">
        <v>5</v>
      </c>
      <c r="K107">
        <v>62</v>
      </c>
      <c r="L107" t="s">
        <v>12</v>
      </c>
      <c r="M107">
        <v>4540.7699999999995</v>
      </c>
      <c r="N107">
        <v>4105.08</v>
      </c>
      <c r="O107">
        <v>435.6899999999996</v>
      </c>
      <c r="Q107" t="str" cm="1">
        <f t="array" ref="Q107">_xlfn.IFS(M107&lt;100,"low",M107&lt;500,"medum",M107&gt;500,"high")</f>
        <v>high</v>
      </c>
      <c r="R107" t="str">
        <f t="shared" si="4"/>
        <v>not risk</v>
      </c>
      <c r="S107" t="str">
        <f t="shared" si="5"/>
        <v>not</v>
      </c>
      <c r="T107" t="str">
        <f t="shared" si="6"/>
        <v>premium Customor</v>
      </c>
      <c r="U107" t="str">
        <f t="shared" si="7"/>
        <v>important</v>
      </c>
    </row>
    <row r="108" spans="1:21" x14ac:dyDescent="0.3">
      <c r="A108" t="s">
        <v>166</v>
      </c>
      <c r="B108" s="3">
        <v>45121</v>
      </c>
      <c r="C108" t="s">
        <v>14</v>
      </c>
      <c r="D108" t="s">
        <v>15</v>
      </c>
      <c r="E108" t="s">
        <v>25</v>
      </c>
      <c r="F108" t="s">
        <v>26</v>
      </c>
      <c r="G108">
        <v>10</v>
      </c>
      <c r="H108">
        <v>475.2</v>
      </c>
      <c r="I108">
        <v>349.43</v>
      </c>
      <c r="J108">
        <v>10</v>
      </c>
      <c r="K108">
        <v>119</v>
      </c>
      <c r="L108" t="s">
        <v>4</v>
      </c>
      <c r="M108">
        <v>4752</v>
      </c>
      <c r="N108">
        <v>3494.3</v>
      </c>
      <c r="O108">
        <v>1257.6999999999998</v>
      </c>
      <c r="Q108" t="str" cm="1">
        <f t="array" ref="Q108">_xlfn.IFS(M108&lt;100,"low",M108&lt;500,"medum",M108&gt;500,"high")</f>
        <v>high</v>
      </c>
      <c r="R108" t="str">
        <f t="shared" si="4"/>
        <v>risk</v>
      </c>
      <c r="S108" t="str">
        <f t="shared" si="5"/>
        <v>not</v>
      </c>
      <c r="T108" t="str">
        <f t="shared" si="6"/>
        <v>premium Customor</v>
      </c>
      <c r="U108" t="str">
        <f t="shared" si="7"/>
        <v>important</v>
      </c>
    </row>
    <row r="109" spans="1:21" x14ac:dyDescent="0.3">
      <c r="A109" t="s">
        <v>167</v>
      </c>
      <c r="B109" s="3">
        <v>45149</v>
      </c>
      <c r="C109" t="s">
        <v>20</v>
      </c>
      <c r="D109" t="s">
        <v>129</v>
      </c>
      <c r="E109" t="s">
        <v>3</v>
      </c>
      <c r="F109" t="s">
        <v>3</v>
      </c>
      <c r="G109">
        <v>10</v>
      </c>
      <c r="H109">
        <v>58.87</v>
      </c>
      <c r="I109">
        <v>43.53</v>
      </c>
      <c r="J109">
        <v>10</v>
      </c>
      <c r="K109">
        <v>39</v>
      </c>
      <c r="L109" t="s">
        <v>38</v>
      </c>
      <c r="M109">
        <v>588.69999999999993</v>
      </c>
      <c r="N109">
        <v>435.3</v>
      </c>
      <c r="O109">
        <v>153.39999999999992</v>
      </c>
      <c r="Q109" t="str" cm="1">
        <f t="array" ref="Q109">_xlfn.IFS(M109&lt;100,"low",M109&lt;500,"medum",M109&gt;500,"high")</f>
        <v>high</v>
      </c>
      <c r="R109" t="str">
        <f t="shared" si="4"/>
        <v>risk</v>
      </c>
      <c r="S109" t="str">
        <f t="shared" si="5"/>
        <v>not</v>
      </c>
      <c r="T109" t="str">
        <f t="shared" si="6"/>
        <v>Normal Customor</v>
      </c>
      <c r="U109" t="str">
        <f t="shared" si="7"/>
        <v>important</v>
      </c>
    </row>
    <row r="110" spans="1:21" x14ac:dyDescent="0.3">
      <c r="A110" t="s">
        <v>168</v>
      </c>
      <c r="B110" s="3">
        <v>45077</v>
      </c>
      <c r="C110" t="s">
        <v>64</v>
      </c>
      <c r="D110" t="s">
        <v>107</v>
      </c>
      <c r="E110" t="s">
        <v>59</v>
      </c>
      <c r="F110" t="s">
        <v>60</v>
      </c>
      <c r="G110">
        <v>3</v>
      </c>
      <c r="H110">
        <v>511.57</v>
      </c>
      <c r="I110">
        <v>350.06</v>
      </c>
      <c r="J110">
        <v>0</v>
      </c>
      <c r="K110">
        <v>51</v>
      </c>
      <c r="L110" t="s">
        <v>38</v>
      </c>
      <c r="M110">
        <v>1534.71</v>
      </c>
      <c r="N110">
        <v>1050.18</v>
      </c>
      <c r="O110">
        <v>484.53</v>
      </c>
      <c r="Q110" t="str" cm="1">
        <f t="array" ref="Q110">_xlfn.IFS(M110&lt;100,"low",M110&lt;500,"medum",M110&gt;500,"high")</f>
        <v>high</v>
      </c>
      <c r="R110" t="str">
        <f t="shared" si="4"/>
        <v>risk</v>
      </c>
      <c r="S110" t="str">
        <f t="shared" si="5"/>
        <v>not</v>
      </c>
      <c r="T110" t="str">
        <f t="shared" si="6"/>
        <v>premium Customor</v>
      </c>
      <c r="U110" t="str">
        <f t="shared" si="7"/>
        <v>not</v>
      </c>
    </row>
    <row r="111" spans="1:21" x14ac:dyDescent="0.3">
      <c r="A111" t="s">
        <v>169</v>
      </c>
      <c r="B111" s="3">
        <v>44967</v>
      </c>
      <c r="C111" t="s">
        <v>20</v>
      </c>
      <c r="D111" t="s">
        <v>21</v>
      </c>
      <c r="E111" t="s">
        <v>10</v>
      </c>
      <c r="F111" t="s">
        <v>11</v>
      </c>
      <c r="G111">
        <v>3</v>
      </c>
      <c r="H111">
        <v>164</v>
      </c>
      <c r="I111">
        <v>129.66</v>
      </c>
      <c r="J111">
        <v>5</v>
      </c>
      <c r="K111">
        <v>31</v>
      </c>
      <c r="L111" t="s">
        <v>12</v>
      </c>
      <c r="M111">
        <v>492</v>
      </c>
      <c r="N111">
        <v>388.98</v>
      </c>
      <c r="O111">
        <v>103.01999999999998</v>
      </c>
      <c r="Q111" t="str" cm="1">
        <f t="array" ref="Q111">_xlfn.IFS(M111&lt;100,"low",M111&lt;500,"medum",M111&gt;500,"high")</f>
        <v>medum</v>
      </c>
      <c r="R111" t="str">
        <f t="shared" si="4"/>
        <v>not risk</v>
      </c>
      <c r="S111" t="str">
        <f t="shared" si="5"/>
        <v>not</v>
      </c>
      <c r="T111" t="str">
        <f t="shared" si="6"/>
        <v>Normal Customor</v>
      </c>
      <c r="U111" t="str">
        <f t="shared" si="7"/>
        <v>not</v>
      </c>
    </row>
    <row r="112" spans="1:21" x14ac:dyDescent="0.3">
      <c r="A112" t="s">
        <v>170</v>
      </c>
      <c r="B112" s="3">
        <v>45162</v>
      </c>
      <c r="C112" t="s">
        <v>6</v>
      </c>
      <c r="D112" t="s">
        <v>7</v>
      </c>
      <c r="E112" t="s">
        <v>36</v>
      </c>
      <c r="F112" t="s">
        <v>37</v>
      </c>
      <c r="G112">
        <v>8</v>
      </c>
      <c r="H112">
        <v>529.20000000000005</v>
      </c>
      <c r="I112">
        <v>457.29</v>
      </c>
      <c r="J112">
        <v>15</v>
      </c>
      <c r="K112">
        <v>91</v>
      </c>
      <c r="L112" t="s">
        <v>27</v>
      </c>
      <c r="M112">
        <v>4233.6000000000004</v>
      </c>
      <c r="N112">
        <v>3658.32</v>
      </c>
      <c r="O112">
        <v>575.2800000000002</v>
      </c>
      <c r="Q112" t="str" cm="1">
        <f t="array" ref="Q112">_xlfn.IFS(M112&lt;100,"low",M112&lt;500,"medum",M112&gt;500,"high")</f>
        <v>high</v>
      </c>
      <c r="R112" t="str">
        <f t="shared" si="4"/>
        <v>not risk</v>
      </c>
      <c r="S112" t="str">
        <f t="shared" si="5"/>
        <v>not</v>
      </c>
      <c r="T112" t="str">
        <f t="shared" si="6"/>
        <v>premium Customor</v>
      </c>
      <c r="U112" t="str">
        <f t="shared" si="7"/>
        <v>important</v>
      </c>
    </row>
    <row r="113" spans="1:21" x14ac:dyDescent="0.3">
      <c r="A113" t="s">
        <v>171</v>
      </c>
      <c r="B113" s="3">
        <v>45080</v>
      </c>
      <c r="C113" t="s">
        <v>20</v>
      </c>
      <c r="D113" t="s">
        <v>154</v>
      </c>
      <c r="E113" t="s">
        <v>59</v>
      </c>
      <c r="F113" t="s">
        <v>60</v>
      </c>
      <c r="G113">
        <v>5</v>
      </c>
      <c r="H113">
        <v>397.85</v>
      </c>
      <c r="I113">
        <v>342.03</v>
      </c>
      <c r="J113">
        <v>15</v>
      </c>
      <c r="K113">
        <v>54</v>
      </c>
      <c r="L113" t="s">
        <v>4</v>
      </c>
      <c r="M113">
        <v>1989.25</v>
      </c>
      <c r="N113">
        <v>1710.1499999999999</v>
      </c>
      <c r="O113">
        <v>279.10000000000014</v>
      </c>
      <c r="Q113" t="str" cm="1">
        <f t="array" ref="Q113">_xlfn.IFS(M113&lt;100,"low",M113&lt;500,"medum",M113&gt;500,"high")</f>
        <v>high</v>
      </c>
      <c r="R113" t="str">
        <f t="shared" si="4"/>
        <v>risk</v>
      </c>
      <c r="S113" t="str">
        <f t="shared" si="5"/>
        <v>not</v>
      </c>
      <c r="T113" t="str">
        <f t="shared" si="6"/>
        <v>premium Customor</v>
      </c>
      <c r="U113" t="str">
        <f t="shared" si="7"/>
        <v>important</v>
      </c>
    </row>
    <row r="114" spans="1:21" x14ac:dyDescent="0.3">
      <c r="A114" t="s">
        <v>172</v>
      </c>
      <c r="B114" s="3">
        <v>44981</v>
      </c>
      <c r="C114" t="s">
        <v>1</v>
      </c>
      <c r="D114" t="s">
        <v>41</v>
      </c>
      <c r="E114" t="s">
        <v>16</v>
      </c>
      <c r="F114" t="s">
        <v>17</v>
      </c>
      <c r="G114">
        <v>8</v>
      </c>
      <c r="H114">
        <v>500.42</v>
      </c>
      <c r="I114">
        <v>424.2</v>
      </c>
      <c r="J114">
        <v>15</v>
      </c>
      <c r="K114">
        <v>119</v>
      </c>
      <c r="L114" t="s">
        <v>18</v>
      </c>
      <c r="M114">
        <v>4003.36</v>
      </c>
      <c r="N114">
        <v>3393.6</v>
      </c>
      <c r="O114">
        <v>609.76000000000022</v>
      </c>
      <c r="Q114" t="str" cm="1">
        <f t="array" ref="Q114">_xlfn.IFS(M114&lt;100,"low",M114&lt;500,"medum",M114&gt;500,"high")</f>
        <v>high</v>
      </c>
      <c r="R114" t="str">
        <f t="shared" si="4"/>
        <v>not risk</v>
      </c>
      <c r="S114" t="str">
        <f t="shared" si="5"/>
        <v>not</v>
      </c>
      <c r="T114" t="str">
        <f t="shared" si="6"/>
        <v>premium Customor</v>
      </c>
      <c r="U114" t="str">
        <f t="shared" si="7"/>
        <v>important</v>
      </c>
    </row>
    <row r="115" spans="1:21" x14ac:dyDescent="0.3">
      <c r="A115" t="s">
        <v>173</v>
      </c>
      <c r="B115" s="3">
        <v>45067</v>
      </c>
      <c r="C115" t="s">
        <v>32</v>
      </c>
      <c r="D115" t="s">
        <v>50</v>
      </c>
      <c r="E115" t="s">
        <v>25</v>
      </c>
      <c r="F115" t="s">
        <v>26</v>
      </c>
      <c r="G115">
        <v>10</v>
      </c>
      <c r="H115">
        <v>213.83</v>
      </c>
      <c r="I115">
        <v>154.97999999999999</v>
      </c>
      <c r="J115">
        <v>0</v>
      </c>
      <c r="K115">
        <v>116</v>
      </c>
      <c r="L115" t="s">
        <v>18</v>
      </c>
      <c r="M115">
        <v>2138.3000000000002</v>
      </c>
      <c r="N115">
        <v>1549.8</v>
      </c>
      <c r="O115">
        <v>588.50000000000023</v>
      </c>
      <c r="Q115" t="str" cm="1">
        <f t="array" ref="Q115">_xlfn.IFS(M115&lt;100,"low",M115&lt;500,"medum",M115&gt;500,"high")</f>
        <v>high</v>
      </c>
      <c r="R115" t="str">
        <f t="shared" si="4"/>
        <v>not risk</v>
      </c>
      <c r="S115" t="str">
        <f t="shared" si="5"/>
        <v>not</v>
      </c>
      <c r="T115" t="str">
        <f t="shared" si="6"/>
        <v>premium Customor</v>
      </c>
      <c r="U115" t="str">
        <f t="shared" si="7"/>
        <v>important</v>
      </c>
    </row>
    <row r="116" spans="1:21" x14ac:dyDescent="0.3">
      <c r="A116" t="s">
        <v>174</v>
      </c>
      <c r="B116" s="3">
        <v>45237</v>
      </c>
      <c r="C116" t="s">
        <v>64</v>
      </c>
      <c r="D116" t="s">
        <v>65</v>
      </c>
      <c r="E116" t="s">
        <v>3</v>
      </c>
      <c r="F116" t="s">
        <v>3</v>
      </c>
      <c r="G116">
        <v>10</v>
      </c>
      <c r="H116">
        <v>537.61</v>
      </c>
      <c r="I116">
        <v>375.13</v>
      </c>
      <c r="J116">
        <v>10</v>
      </c>
      <c r="K116">
        <v>109</v>
      </c>
      <c r="L116" t="s">
        <v>12</v>
      </c>
      <c r="M116">
        <v>5376.1</v>
      </c>
      <c r="N116">
        <v>3751.3</v>
      </c>
      <c r="O116">
        <v>1624.8000000000002</v>
      </c>
      <c r="Q116" t="str" cm="1">
        <f t="array" ref="Q116">_xlfn.IFS(M116&lt;100,"low",M116&lt;500,"medum",M116&gt;500,"high")</f>
        <v>high</v>
      </c>
      <c r="R116" t="str">
        <f t="shared" si="4"/>
        <v>not risk</v>
      </c>
      <c r="S116" t="str">
        <f t="shared" si="5"/>
        <v>not</v>
      </c>
      <c r="T116" t="str">
        <f t="shared" si="6"/>
        <v>premium Customor</v>
      </c>
      <c r="U116" t="str">
        <f t="shared" si="7"/>
        <v>important</v>
      </c>
    </row>
    <row r="117" spans="1:21" x14ac:dyDescent="0.3">
      <c r="A117" t="s">
        <v>175</v>
      </c>
      <c r="B117" s="3">
        <v>45248</v>
      </c>
      <c r="C117" t="s">
        <v>23</v>
      </c>
      <c r="D117" t="s">
        <v>150</v>
      </c>
      <c r="E117" t="s">
        <v>36</v>
      </c>
      <c r="F117" t="s">
        <v>37</v>
      </c>
      <c r="G117">
        <v>4</v>
      </c>
      <c r="H117">
        <v>430.86</v>
      </c>
      <c r="I117">
        <v>314.24</v>
      </c>
      <c r="J117">
        <v>5</v>
      </c>
      <c r="K117">
        <v>90</v>
      </c>
      <c r="L117" t="s">
        <v>38</v>
      </c>
      <c r="M117">
        <v>1723.44</v>
      </c>
      <c r="N117">
        <v>1256.96</v>
      </c>
      <c r="O117">
        <v>466.48</v>
      </c>
      <c r="Q117" t="str" cm="1">
        <f t="array" ref="Q117">_xlfn.IFS(M117&lt;100,"low",M117&lt;500,"medum",M117&gt;500,"high")</f>
        <v>high</v>
      </c>
      <c r="R117" t="str">
        <f t="shared" si="4"/>
        <v>risk</v>
      </c>
      <c r="S117" t="str">
        <f t="shared" si="5"/>
        <v>not</v>
      </c>
      <c r="T117" t="str">
        <f t="shared" si="6"/>
        <v>premium Customor</v>
      </c>
      <c r="U117" t="str">
        <f t="shared" si="7"/>
        <v>not</v>
      </c>
    </row>
    <row r="118" spans="1:21" x14ac:dyDescent="0.3">
      <c r="A118" t="s">
        <v>176</v>
      </c>
      <c r="B118" s="3">
        <v>45094</v>
      </c>
      <c r="C118" t="s">
        <v>1</v>
      </c>
      <c r="D118" t="s">
        <v>2</v>
      </c>
      <c r="E118" t="s">
        <v>16</v>
      </c>
      <c r="F118" t="s">
        <v>17</v>
      </c>
      <c r="G118">
        <v>8</v>
      </c>
      <c r="H118">
        <v>32.83</v>
      </c>
      <c r="I118">
        <v>26.35</v>
      </c>
      <c r="J118">
        <v>5</v>
      </c>
      <c r="K118">
        <v>21</v>
      </c>
      <c r="L118" t="s">
        <v>27</v>
      </c>
      <c r="M118">
        <v>262.64</v>
      </c>
      <c r="N118">
        <v>210.8</v>
      </c>
      <c r="O118">
        <v>51.839999999999975</v>
      </c>
      <c r="Q118" t="str" cm="1">
        <f t="array" ref="Q118">_xlfn.IFS(M118&lt;100,"low",M118&lt;500,"medum",M118&gt;500,"high")</f>
        <v>medum</v>
      </c>
      <c r="R118" t="str">
        <f t="shared" si="4"/>
        <v>not risk</v>
      </c>
      <c r="S118" t="str">
        <f t="shared" si="5"/>
        <v>not</v>
      </c>
      <c r="T118" t="str">
        <f t="shared" si="6"/>
        <v>Normal Customor</v>
      </c>
      <c r="U118" t="str">
        <f t="shared" si="7"/>
        <v>important</v>
      </c>
    </row>
    <row r="119" spans="1:21" x14ac:dyDescent="0.3">
      <c r="A119" t="s">
        <v>177</v>
      </c>
      <c r="B119" s="3">
        <v>45066</v>
      </c>
      <c r="C119" t="s">
        <v>1</v>
      </c>
      <c r="D119" t="s">
        <v>41</v>
      </c>
      <c r="E119" t="s">
        <v>42</v>
      </c>
      <c r="F119" t="s">
        <v>43</v>
      </c>
      <c r="G119">
        <v>4</v>
      </c>
      <c r="H119">
        <v>98.37</v>
      </c>
      <c r="I119">
        <v>74.760000000000005</v>
      </c>
      <c r="J119">
        <v>10</v>
      </c>
      <c r="K119">
        <v>77</v>
      </c>
      <c r="L119" t="s">
        <v>4</v>
      </c>
      <c r="M119">
        <v>393.48</v>
      </c>
      <c r="N119">
        <v>299.04000000000002</v>
      </c>
      <c r="O119">
        <v>94.44</v>
      </c>
      <c r="Q119" t="str" cm="1">
        <f t="array" ref="Q119">_xlfn.IFS(M119&lt;100,"low",M119&lt;500,"medum",M119&gt;500,"high")</f>
        <v>medum</v>
      </c>
      <c r="R119" t="str">
        <f t="shared" si="4"/>
        <v>risk</v>
      </c>
      <c r="S119" t="str">
        <f t="shared" si="5"/>
        <v>not</v>
      </c>
      <c r="T119" t="str">
        <f t="shared" si="6"/>
        <v>Normal Customor</v>
      </c>
      <c r="U119" t="str">
        <f t="shared" si="7"/>
        <v>not</v>
      </c>
    </row>
    <row r="120" spans="1:21" x14ac:dyDescent="0.3">
      <c r="A120" t="s">
        <v>178</v>
      </c>
      <c r="B120" s="3">
        <v>45166</v>
      </c>
      <c r="C120" t="s">
        <v>23</v>
      </c>
      <c r="D120" t="s">
        <v>29</v>
      </c>
      <c r="E120" t="s">
        <v>16</v>
      </c>
      <c r="F120" t="s">
        <v>17</v>
      </c>
      <c r="G120">
        <v>8</v>
      </c>
      <c r="H120">
        <v>589.55999999999995</v>
      </c>
      <c r="I120">
        <v>484.02</v>
      </c>
      <c r="J120">
        <v>10</v>
      </c>
      <c r="K120">
        <v>112</v>
      </c>
      <c r="L120" t="s">
        <v>38</v>
      </c>
      <c r="M120">
        <v>4716.4799999999996</v>
      </c>
      <c r="N120">
        <v>3872.16</v>
      </c>
      <c r="O120">
        <v>844.31999999999971</v>
      </c>
      <c r="Q120" t="str" cm="1">
        <f t="array" ref="Q120">_xlfn.IFS(M120&lt;100,"low",M120&lt;500,"medum",M120&gt;500,"high")</f>
        <v>high</v>
      </c>
      <c r="R120" t="str">
        <f t="shared" si="4"/>
        <v>risk</v>
      </c>
      <c r="S120" t="str">
        <f t="shared" si="5"/>
        <v>not</v>
      </c>
      <c r="T120" t="str">
        <f t="shared" si="6"/>
        <v>premium Customor</v>
      </c>
      <c r="U120" t="str">
        <f t="shared" si="7"/>
        <v>important</v>
      </c>
    </row>
    <row r="121" spans="1:21" x14ac:dyDescent="0.3">
      <c r="A121" t="s">
        <v>179</v>
      </c>
      <c r="B121" s="3">
        <v>44934</v>
      </c>
      <c r="C121" t="s">
        <v>64</v>
      </c>
      <c r="D121" t="s">
        <v>77</v>
      </c>
      <c r="E121" t="s">
        <v>36</v>
      </c>
      <c r="F121" t="s">
        <v>37</v>
      </c>
      <c r="G121">
        <v>7</v>
      </c>
      <c r="H121">
        <v>688.11</v>
      </c>
      <c r="I121">
        <v>483.96</v>
      </c>
      <c r="J121">
        <v>10</v>
      </c>
      <c r="K121">
        <v>21</v>
      </c>
      <c r="L121" t="s">
        <v>18</v>
      </c>
      <c r="M121">
        <v>4816.7700000000004</v>
      </c>
      <c r="N121">
        <v>3387.72</v>
      </c>
      <c r="O121" s="5">
        <v>1429.0500000000006</v>
      </c>
      <c r="Q121" t="str" cm="1">
        <f t="array" ref="Q121">_xlfn.IFS(M121&lt;100,"low",M121&lt;500,"medum",M121&gt;500,"high")</f>
        <v>high</v>
      </c>
      <c r="R121" t="str">
        <f t="shared" si="4"/>
        <v>not risk</v>
      </c>
      <c r="S121" t="str">
        <f t="shared" si="5"/>
        <v>not</v>
      </c>
      <c r="T121" t="str">
        <f t="shared" si="6"/>
        <v>premium Customor</v>
      </c>
      <c r="U121" t="str">
        <f t="shared" si="7"/>
        <v>important</v>
      </c>
    </row>
    <row r="122" spans="1:21" x14ac:dyDescent="0.3">
      <c r="A122" t="s">
        <v>180</v>
      </c>
      <c r="B122" s="3">
        <v>45253</v>
      </c>
      <c r="C122" t="s">
        <v>20</v>
      </c>
      <c r="D122" t="s">
        <v>35</v>
      </c>
      <c r="E122" t="s">
        <v>30</v>
      </c>
      <c r="F122" t="s">
        <v>11</v>
      </c>
      <c r="G122">
        <v>8</v>
      </c>
      <c r="H122">
        <v>266.77999999999997</v>
      </c>
      <c r="I122">
        <v>190.61</v>
      </c>
      <c r="J122">
        <v>10</v>
      </c>
      <c r="K122">
        <v>84</v>
      </c>
      <c r="L122" t="s">
        <v>18</v>
      </c>
      <c r="M122">
        <v>2134.2399999999998</v>
      </c>
      <c r="N122">
        <v>1524.88</v>
      </c>
      <c r="O122">
        <v>609.35999999999967</v>
      </c>
      <c r="Q122" t="str" cm="1">
        <f t="array" ref="Q122">_xlfn.IFS(M122&lt;100,"low",M122&lt;500,"medum",M122&gt;500,"high")</f>
        <v>high</v>
      </c>
      <c r="R122" t="str">
        <f t="shared" si="4"/>
        <v>not risk</v>
      </c>
      <c r="S122" t="str">
        <f t="shared" si="5"/>
        <v>not</v>
      </c>
      <c r="T122" t="str">
        <f t="shared" si="6"/>
        <v>premium Customor</v>
      </c>
      <c r="U122" t="str">
        <f t="shared" si="7"/>
        <v>important</v>
      </c>
    </row>
    <row r="123" spans="1:21" x14ac:dyDescent="0.3">
      <c r="A123" t="s">
        <v>181</v>
      </c>
      <c r="B123" s="3">
        <v>45040</v>
      </c>
      <c r="C123" t="s">
        <v>20</v>
      </c>
      <c r="D123" t="s">
        <v>154</v>
      </c>
      <c r="E123" t="s">
        <v>36</v>
      </c>
      <c r="F123" t="s">
        <v>37</v>
      </c>
      <c r="G123">
        <v>8</v>
      </c>
      <c r="H123">
        <v>32.36</v>
      </c>
      <c r="I123">
        <v>22.26</v>
      </c>
      <c r="J123">
        <v>20</v>
      </c>
      <c r="K123">
        <v>51</v>
      </c>
      <c r="L123" t="s">
        <v>4</v>
      </c>
      <c r="M123">
        <v>258.88</v>
      </c>
      <c r="N123">
        <v>178.08</v>
      </c>
      <c r="O123">
        <v>80.799999999999983</v>
      </c>
      <c r="Q123" t="str" cm="1">
        <f t="array" ref="Q123">_xlfn.IFS(M123&lt;100,"low",M123&lt;500,"medum",M123&gt;500,"high")</f>
        <v>medum</v>
      </c>
      <c r="R123" t="str">
        <f t="shared" si="4"/>
        <v>risk</v>
      </c>
      <c r="S123" t="str">
        <f t="shared" si="5"/>
        <v>not</v>
      </c>
      <c r="T123" t="str">
        <f t="shared" si="6"/>
        <v>Normal Customor</v>
      </c>
      <c r="U123" t="str">
        <f t="shared" si="7"/>
        <v>important</v>
      </c>
    </row>
    <row r="124" spans="1:21" x14ac:dyDescent="0.3">
      <c r="A124" t="s">
        <v>182</v>
      </c>
      <c r="B124" s="3">
        <v>45179</v>
      </c>
      <c r="C124" t="s">
        <v>1</v>
      </c>
      <c r="D124" t="s">
        <v>2</v>
      </c>
      <c r="E124" t="s">
        <v>59</v>
      </c>
      <c r="F124" t="s">
        <v>60</v>
      </c>
      <c r="G124">
        <v>5</v>
      </c>
      <c r="H124">
        <v>376.26</v>
      </c>
      <c r="I124">
        <v>328.13</v>
      </c>
      <c r="J124">
        <v>0</v>
      </c>
      <c r="K124">
        <v>14</v>
      </c>
      <c r="L124" t="s">
        <v>27</v>
      </c>
      <c r="M124">
        <v>1881.3</v>
      </c>
      <c r="N124">
        <v>1640.65</v>
      </c>
      <c r="O124">
        <v>240.64999999999986</v>
      </c>
      <c r="Q124" t="str" cm="1">
        <f t="array" ref="Q124">_xlfn.IFS(M124&lt;100,"low",M124&lt;500,"medum",M124&gt;500,"high")</f>
        <v>high</v>
      </c>
      <c r="R124" t="str">
        <f t="shared" si="4"/>
        <v>not risk</v>
      </c>
      <c r="S124" t="str">
        <f t="shared" si="5"/>
        <v>not</v>
      </c>
      <c r="T124" t="str">
        <f t="shared" si="6"/>
        <v>premium Customor</v>
      </c>
      <c r="U124" t="str">
        <f t="shared" si="7"/>
        <v>important</v>
      </c>
    </row>
    <row r="125" spans="1:21" x14ac:dyDescent="0.3">
      <c r="A125" t="s">
        <v>183</v>
      </c>
      <c r="B125" s="3">
        <v>45006</v>
      </c>
      <c r="C125" t="s">
        <v>64</v>
      </c>
      <c r="D125" t="s">
        <v>107</v>
      </c>
      <c r="E125" t="s">
        <v>36</v>
      </c>
      <c r="F125" t="s">
        <v>37</v>
      </c>
      <c r="G125">
        <v>9</v>
      </c>
      <c r="H125">
        <v>98.01</v>
      </c>
      <c r="I125">
        <v>76.48</v>
      </c>
      <c r="J125">
        <v>20</v>
      </c>
      <c r="K125">
        <v>63</v>
      </c>
      <c r="L125" t="s">
        <v>4</v>
      </c>
      <c r="M125">
        <v>882.09</v>
      </c>
      <c r="N125">
        <v>688.32</v>
      </c>
      <c r="O125">
        <v>193.76999999999998</v>
      </c>
      <c r="Q125" t="str" cm="1">
        <f t="array" ref="Q125">_xlfn.IFS(M125&lt;100,"low",M125&lt;500,"medum",M125&gt;500,"high")</f>
        <v>high</v>
      </c>
      <c r="R125" t="str">
        <f t="shared" si="4"/>
        <v>risk</v>
      </c>
      <c r="S125" t="str">
        <f t="shared" si="5"/>
        <v>not</v>
      </c>
      <c r="T125" t="str">
        <f t="shared" si="6"/>
        <v>Normal Customor</v>
      </c>
      <c r="U125" t="str">
        <f t="shared" si="7"/>
        <v>important</v>
      </c>
    </row>
    <row r="126" spans="1:21" x14ac:dyDescent="0.3">
      <c r="A126" t="s">
        <v>184</v>
      </c>
      <c r="B126" s="3">
        <v>45038</v>
      </c>
      <c r="C126" t="s">
        <v>14</v>
      </c>
      <c r="D126" t="s">
        <v>54</v>
      </c>
      <c r="E126" t="s">
        <v>59</v>
      </c>
      <c r="F126" t="s">
        <v>60</v>
      </c>
      <c r="G126">
        <v>10</v>
      </c>
      <c r="H126">
        <v>310.89999999999998</v>
      </c>
      <c r="I126">
        <v>209.98</v>
      </c>
      <c r="J126">
        <v>0</v>
      </c>
      <c r="K126">
        <v>98</v>
      </c>
      <c r="L126" t="s">
        <v>27</v>
      </c>
      <c r="M126">
        <v>3109</v>
      </c>
      <c r="N126">
        <v>2099.7999999999997</v>
      </c>
      <c r="O126">
        <v>1009.2000000000003</v>
      </c>
      <c r="Q126" t="str" cm="1">
        <f t="array" ref="Q126">_xlfn.IFS(M126&lt;100,"low",M126&lt;500,"medum",M126&gt;500,"high")</f>
        <v>high</v>
      </c>
      <c r="R126" t="str">
        <f t="shared" si="4"/>
        <v>not risk</v>
      </c>
      <c r="S126" t="str">
        <f t="shared" si="5"/>
        <v>not</v>
      </c>
      <c r="T126" t="str">
        <f t="shared" si="6"/>
        <v>premium Customor</v>
      </c>
      <c r="U126" t="str">
        <f t="shared" si="7"/>
        <v>important</v>
      </c>
    </row>
    <row r="127" spans="1:21" x14ac:dyDescent="0.3">
      <c r="A127" t="s">
        <v>185</v>
      </c>
      <c r="B127" s="3">
        <v>44958</v>
      </c>
      <c r="C127" t="s">
        <v>14</v>
      </c>
      <c r="D127" t="s">
        <v>104</v>
      </c>
      <c r="E127" t="s">
        <v>36</v>
      </c>
      <c r="F127" t="s">
        <v>37</v>
      </c>
      <c r="G127">
        <v>6</v>
      </c>
      <c r="H127">
        <v>80.64</v>
      </c>
      <c r="I127">
        <v>58.68</v>
      </c>
      <c r="J127">
        <v>20</v>
      </c>
      <c r="K127">
        <v>92</v>
      </c>
      <c r="L127" t="s">
        <v>27</v>
      </c>
      <c r="M127">
        <v>483.84000000000003</v>
      </c>
      <c r="N127">
        <v>352.08</v>
      </c>
      <c r="O127">
        <v>131.76000000000005</v>
      </c>
      <c r="Q127" t="str" cm="1">
        <f t="array" ref="Q127">_xlfn.IFS(M127&lt;100,"low",M127&lt;500,"medum",M127&gt;500,"high")</f>
        <v>medum</v>
      </c>
      <c r="R127" t="str">
        <f t="shared" si="4"/>
        <v>not risk</v>
      </c>
      <c r="S127" t="str">
        <f t="shared" si="5"/>
        <v>not</v>
      </c>
      <c r="T127" t="str">
        <f t="shared" si="6"/>
        <v>Normal Customor</v>
      </c>
      <c r="U127" t="str">
        <f t="shared" si="7"/>
        <v>important</v>
      </c>
    </row>
    <row r="128" spans="1:21" x14ac:dyDescent="0.3">
      <c r="A128" t="s">
        <v>186</v>
      </c>
      <c r="B128" s="3">
        <v>45255</v>
      </c>
      <c r="C128" t="s">
        <v>14</v>
      </c>
      <c r="D128" t="s">
        <v>15</v>
      </c>
      <c r="E128" t="s">
        <v>36</v>
      </c>
      <c r="F128" t="s">
        <v>37</v>
      </c>
      <c r="G128">
        <v>2</v>
      </c>
      <c r="H128">
        <v>679.12</v>
      </c>
      <c r="I128">
        <v>475.02</v>
      </c>
      <c r="J128">
        <v>0</v>
      </c>
      <c r="K128">
        <v>94</v>
      </c>
      <c r="L128" t="s">
        <v>12</v>
      </c>
      <c r="M128">
        <v>1358.24</v>
      </c>
      <c r="N128">
        <v>950.04</v>
      </c>
      <c r="O128">
        <v>408.20000000000005</v>
      </c>
      <c r="Q128" t="str" cm="1">
        <f t="array" ref="Q128">_xlfn.IFS(M128&lt;100,"low",M128&lt;500,"medum",M128&gt;500,"high")</f>
        <v>high</v>
      </c>
      <c r="R128" t="str">
        <f t="shared" si="4"/>
        <v>not risk</v>
      </c>
      <c r="S128" t="str">
        <f t="shared" si="5"/>
        <v>not</v>
      </c>
      <c r="T128" t="str">
        <f t="shared" si="6"/>
        <v>premium Customor</v>
      </c>
      <c r="U128" t="str">
        <f t="shared" si="7"/>
        <v>not</v>
      </c>
    </row>
    <row r="129" spans="1:21" x14ac:dyDescent="0.3">
      <c r="A129" t="s">
        <v>187</v>
      </c>
      <c r="B129" s="3">
        <v>45032</v>
      </c>
      <c r="C129" t="s">
        <v>1</v>
      </c>
      <c r="D129" t="s">
        <v>9</v>
      </c>
      <c r="E129" t="s">
        <v>3</v>
      </c>
      <c r="F129" t="s">
        <v>3</v>
      </c>
      <c r="G129">
        <v>1</v>
      </c>
      <c r="H129">
        <v>473.62</v>
      </c>
      <c r="I129">
        <v>395.53</v>
      </c>
      <c r="J129">
        <v>5</v>
      </c>
      <c r="K129">
        <v>110</v>
      </c>
      <c r="L129" t="s">
        <v>4</v>
      </c>
      <c r="M129">
        <v>473.62</v>
      </c>
      <c r="N129">
        <v>395.53</v>
      </c>
      <c r="O129">
        <v>78.090000000000032</v>
      </c>
      <c r="Q129" t="str" cm="1">
        <f t="array" ref="Q129">_xlfn.IFS(M129&lt;100,"low",M129&lt;500,"medum",M129&gt;500,"high")</f>
        <v>medum</v>
      </c>
      <c r="R129" t="str">
        <f t="shared" si="4"/>
        <v>risk</v>
      </c>
      <c r="S129" t="str">
        <f t="shared" si="5"/>
        <v>not</v>
      </c>
      <c r="T129" t="str">
        <f t="shared" si="6"/>
        <v>Normal Customor</v>
      </c>
      <c r="U129" t="str">
        <f t="shared" si="7"/>
        <v>not</v>
      </c>
    </row>
    <row r="130" spans="1:21" x14ac:dyDescent="0.3">
      <c r="A130" t="s">
        <v>188</v>
      </c>
      <c r="B130" s="3">
        <v>45232</v>
      </c>
      <c r="C130" t="s">
        <v>64</v>
      </c>
      <c r="D130" t="s">
        <v>65</v>
      </c>
      <c r="E130" t="s">
        <v>36</v>
      </c>
      <c r="F130" t="s">
        <v>37</v>
      </c>
      <c r="G130">
        <v>10</v>
      </c>
      <c r="H130">
        <v>167.69</v>
      </c>
      <c r="I130">
        <v>115.82</v>
      </c>
      <c r="J130">
        <v>10</v>
      </c>
      <c r="K130">
        <v>109</v>
      </c>
      <c r="L130" t="s">
        <v>12</v>
      </c>
      <c r="M130">
        <v>1676.9</v>
      </c>
      <c r="N130">
        <v>1158.1999999999998</v>
      </c>
      <c r="O130">
        <v>518.70000000000027</v>
      </c>
      <c r="Q130" t="str" cm="1">
        <f t="array" ref="Q130">_xlfn.IFS(M130&lt;100,"low",M130&lt;500,"medum",M130&gt;500,"high")</f>
        <v>high</v>
      </c>
      <c r="R130" t="str">
        <f t="shared" si="4"/>
        <v>not risk</v>
      </c>
      <c r="S130" t="str">
        <f t="shared" si="5"/>
        <v>not</v>
      </c>
      <c r="T130" t="str">
        <f t="shared" si="6"/>
        <v>premium Customor</v>
      </c>
      <c r="U130" t="str">
        <f t="shared" si="7"/>
        <v>important</v>
      </c>
    </row>
    <row r="131" spans="1:21" x14ac:dyDescent="0.3">
      <c r="A131" t="s">
        <v>189</v>
      </c>
      <c r="B131" s="3">
        <v>44994</v>
      </c>
      <c r="C131" t="s">
        <v>64</v>
      </c>
      <c r="D131" t="s">
        <v>89</v>
      </c>
      <c r="E131" t="s">
        <v>42</v>
      </c>
      <c r="F131" t="s">
        <v>43</v>
      </c>
      <c r="G131">
        <v>3</v>
      </c>
      <c r="H131">
        <v>389.92</v>
      </c>
      <c r="I131">
        <v>274.70999999999998</v>
      </c>
      <c r="J131">
        <v>0</v>
      </c>
      <c r="K131">
        <v>94</v>
      </c>
      <c r="L131" t="s">
        <v>38</v>
      </c>
      <c r="M131">
        <v>1169.76</v>
      </c>
      <c r="N131">
        <v>824.12999999999988</v>
      </c>
      <c r="O131">
        <v>345.63000000000011</v>
      </c>
      <c r="Q131" t="str" cm="1">
        <f t="array" ref="Q131">_xlfn.IFS(M131&lt;100,"low",M131&lt;500,"medum",M131&gt;500,"high")</f>
        <v>high</v>
      </c>
      <c r="R131" t="str">
        <f t="shared" ref="R131:R194" si="8">IF(OR(L131="wallet",L131="upi"),"risk","not risk")</f>
        <v>risk</v>
      </c>
      <c r="S131" t="str">
        <f t="shared" ref="S131:S194" si="9">IF(G131&lt;1,"retrun","not")</f>
        <v>not</v>
      </c>
      <c r="T131" t="str">
        <f t="shared" ref="T131:T194" si="10">IF(M131&gt;1000,"premium Customor","Normal Customor")</f>
        <v>premium Customor</v>
      </c>
      <c r="U131" t="str">
        <f t="shared" ref="U131:U194" si="11">IF(G131&gt;4,"important","not")</f>
        <v>not</v>
      </c>
    </row>
    <row r="132" spans="1:21" x14ac:dyDescent="0.3">
      <c r="A132" t="s">
        <v>190</v>
      </c>
      <c r="B132" s="3">
        <v>45196</v>
      </c>
      <c r="C132" t="s">
        <v>64</v>
      </c>
      <c r="D132" t="s">
        <v>89</v>
      </c>
      <c r="E132" t="s">
        <v>36</v>
      </c>
      <c r="F132" t="s">
        <v>37</v>
      </c>
      <c r="G132">
        <v>10</v>
      </c>
      <c r="H132">
        <v>197.27</v>
      </c>
      <c r="I132">
        <v>168.65</v>
      </c>
      <c r="J132">
        <v>0</v>
      </c>
      <c r="K132">
        <v>26</v>
      </c>
      <c r="L132" t="s">
        <v>18</v>
      </c>
      <c r="M132">
        <v>1972.7</v>
      </c>
      <c r="N132">
        <v>1686.5</v>
      </c>
      <c r="O132">
        <v>286.20000000000005</v>
      </c>
      <c r="Q132" t="str" cm="1">
        <f t="array" ref="Q132">_xlfn.IFS(M132&lt;100,"low",M132&lt;500,"medum",M132&gt;500,"high")</f>
        <v>high</v>
      </c>
      <c r="R132" t="str">
        <f t="shared" si="8"/>
        <v>not risk</v>
      </c>
      <c r="S132" t="str">
        <f t="shared" si="9"/>
        <v>not</v>
      </c>
      <c r="T132" t="str">
        <f t="shared" si="10"/>
        <v>premium Customor</v>
      </c>
      <c r="U132" t="str">
        <f t="shared" si="11"/>
        <v>important</v>
      </c>
    </row>
    <row r="133" spans="1:21" x14ac:dyDescent="0.3">
      <c r="A133" t="s">
        <v>191</v>
      </c>
      <c r="B133" s="3">
        <v>45040</v>
      </c>
      <c r="C133" t="s">
        <v>64</v>
      </c>
      <c r="D133" t="s">
        <v>107</v>
      </c>
      <c r="E133" t="s">
        <v>59</v>
      </c>
      <c r="F133" t="s">
        <v>60</v>
      </c>
      <c r="G133">
        <v>8</v>
      </c>
      <c r="H133">
        <v>510.67</v>
      </c>
      <c r="I133">
        <v>391.23</v>
      </c>
      <c r="J133">
        <v>0</v>
      </c>
      <c r="K133">
        <v>67</v>
      </c>
      <c r="L133" t="s">
        <v>4</v>
      </c>
      <c r="M133">
        <v>4085.36</v>
      </c>
      <c r="N133">
        <v>3129.84</v>
      </c>
      <c r="O133">
        <v>955.52</v>
      </c>
      <c r="Q133" t="str" cm="1">
        <f t="array" ref="Q133">_xlfn.IFS(M133&lt;100,"low",M133&lt;500,"medum",M133&gt;500,"high")</f>
        <v>high</v>
      </c>
      <c r="R133" t="str">
        <f t="shared" si="8"/>
        <v>risk</v>
      </c>
      <c r="S133" t="str">
        <f t="shared" si="9"/>
        <v>not</v>
      </c>
      <c r="T133" t="str">
        <f t="shared" si="10"/>
        <v>premium Customor</v>
      </c>
      <c r="U133" t="str">
        <f t="shared" si="11"/>
        <v>important</v>
      </c>
    </row>
    <row r="134" spans="1:21" x14ac:dyDescent="0.3">
      <c r="A134" t="s">
        <v>192</v>
      </c>
      <c r="B134" s="3">
        <v>45145</v>
      </c>
      <c r="C134" t="s">
        <v>6</v>
      </c>
      <c r="D134" t="s">
        <v>56</v>
      </c>
      <c r="E134" t="s">
        <v>16</v>
      </c>
      <c r="F134" t="s">
        <v>17</v>
      </c>
      <c r="G134">
        <v>8</v>
      </c>
      <c r="H134">
        <v>361.82</v>
      </c>
      <c r="I134">
        <v>325.24</v>
      </c>
      <c r="J134">
        <v>15</v>
      </c>
      <c r="K134">
        <v>118</v>
      </c>
      <c r="L134" t="s">
        <v>18</v>
      </c>
      <c r="M134">
        <v>2894.56</v>
      </c>
      <c r="N134">
        <v>2601.92</v>
      </c>
      <c r="O134">
        <v>292.63999999999987</v>
      </c>
      <c r="Q134" t="str" cm="1">
        <f t="array" ref="Q134">_xlfn.IFS(M134&lt;100,"low",M134&lt;500,"medum",M134&gt;500,"high")</f>
        <v>high</v>
      </c>
      <c r="R134" t="str">
        <f t="shared" si="8"/>
        <v>not risk</v>
      </c>
      <c r="S134" t="str">
        <f t="shared" si="9"/>
        <v>not</v>
      </c>
      <c r="T134" t="str">
        <f t="shared" si="10"/>
        <v>premium Customor</v>
      </c>
      <c r="U134" t="str">
        <f t="shared" si="11"/>
        <v>important</v>
      </c>
    </row>
    <row r="135" spans="1:21" x14ac:dyDescent="0.3">
      <c r="A135" t="s">
        <v>193</v>
      </c>
      <c r="B135" s="3">
        <v>44991</v>
      </c>
      <c r="C135" t="s">
        <v>1</v>
      </c>
      <c r="D135" t="s">
        <v>2</v>
      </c>
      <c r="E135" t="s">
        <v>59</v>
      </c>
      <c r="F135" t="s">
        <v>60</v>
      </c>
      <c r="G135">
        <v>8</v>
      </c>
      <c r="H135">
        <v>52.1</v>
      </c>
      <c r="I135">
        <v>46.01</v>
      </c>
      <c r="J135">
        <v>20</v>
      </c>
      <c r="K135">
        <v>28</v>
      </c>
      <c r="L135" t="s">
        <v>38</v>
      </c>
      <c r="M135">
        <v>416.8</v>
      </c>
      <c r="N135">
        <v>368.08</v>
      </c>
      <c r="O135">
        <v>48.720000000000027</v>
      </c>
      <c r="Q135" t="str" cm="1">
        <f t="array" ref="Q135">_xlfn.IFS(M135&lt;100,"low",M135&lt;500,"medum",M135&gt;500,"high")</f>
        <v>medum</v>
      </c>
      <c r="R135" t="str">
        <f t="shared" si="8"/>
        <v>risk</v>
      </c>
      <c r="S135" t="str">
        <f t="shared" si="9"/>
        <v>not</v>
      </c>
      <c r="T135" t="str">
        <f t="shared" si="10"/>
        <v>Normal Customor</v>
      </c>
      <c r="U135" t="str">
        <f t="shared" si="11"/>
        <v>important</v>
      </c>
    </row>
    <row r="136" spans="1:21" x14ac:dyDescent="0.3">
      <c r="A136" t="s">
        <v>194</v>
      </c>
      <c r="B136" s="3">
        <v>45147</v>
      </c>
      <c r="C136" t="s">
        <v>20</v>
      </c>
      <c r="D136" t="s">
        <v>35</v>
      </c>
      <c r="E136" t="s">
        <v>25</v>
      </c>
      <c r="F136" t="s">
        <v>26</v>
      </c>
      <c r="G136">
        <v>7</v>
      </c>
      <c r="H136">
        <v>652.66</v>
      </c>
      <c r="I136">
        <v>497.37</v>
      </c>
      <c r="J136">
        <v>15</v>
      </c>
      <c r="K136">
        <v>74</v>
      </c>
      <c r="L136" t="s">
        <v>4</v>
      </c>
      <c r="M136">
        <v>4568.62</v>
      </c>
      <c r="N136">
        <v>3481.59</v>
      </c>
      <c r="O136">
        <v>1087.0299999999997</v>
      </c>
      <c r="Q136" t="str" cm="1">
        <f t="array" ref="Q136">_xlfn.IFS(M136&lt;100,"low",M136&lt;500,"medum",M136&gt;500,"high")</f>
        <v>high</v>
      </c>
      <c r="R136" t="str">
        <f t="shared" si="8"/>
        <v>risk</v>
      </c>
      <c r="S136" t="str">
        <f t="shared" si="9"/>
        <v>not</v>
      </c>
      <c r="T136" t="str">
        <f t="shared" si="10"/>
        <v>premium Customor</v>
      </c>
      <c r="U136" t="str">
        <f t="shared" si="11"/>
        <v>important</v>
      </c>
    </row>
    <row r="137" spans="1:21" x14ac:dyDescent="0.3">
      <c r="A137" t="s">
        <v>195</v>
      </c>
      <c r="B137" s="3">
        <v>45131</v>
      </c>
      <c r="C137" t="s">
        <v>64</v>
      </c>
      <c r="D137" t="s">
        <v>107</v>
      </c>
      <c r="E137" t="s">
        <v>36</v>
      </c>
      <c r="F137" t="s">
        <v>37</v>
      </c>
      <c r="G137">
        <v>7</v>
      </c>
      <c r="H137">
        <v>275.52</v>
      </c>
      <c r="I137">
        <v>231.26</v>
      </c>
      <c r="J137">
        <v>10</v>
      </c>
      <c r="K137">
        <v>115</v>
      </c>
      <c r="L137" t="s">
        <v>18</v>
      </c>
      <c r="M137">
        <v>1928.6399999999999</v>
      </c>
      <c r="N137">
        <v>1618.82</v>
      </c>
      <c r="O137">
        <v>309.81999999999994</v>
      </c>
      <c r="Q137" t="str" cm="1">
        <f t="array" ref="Q137">_xlfn.IFS(M137&lt;100,"low",M137&lt;500,"medum",M137&gt;500,"high")</f>
        <v>high</v>
      </c>
      <c r="R137" t="str">
        <f t="shared" si="8"/>
        <v>not risk</v>
      </c>
      <c r="S137" t="str">
        <f t="shared" si="9"/>
        <v>not</v>
      </c>
      <c r="T137" t="str">
        <f t="shared" si="10"/>
        <v>premium Customor</v>
      </c>
      <c r="U137" t="str">
        <f t="shared" si="11"/>
        <v>important</v>
      </c>
    </row>
    <row r="138" spans="1:21" x14ac:dyDescent="0.3">
      <c r="A138" t="s">
        <v>196</v>
      </c>
      <c r="B138" s="3">
        <v>44961</v>
      </c>
      <c r="C138" t="s">
        <v>14</v>
      </c>
      <c r="D138" t="s">
        <v>54</v>
      </c>
      <c r="E138" t="s">
        <v>25</v>
      </c>
      <c r="F138" t="s">
        <v>26</v>
      </c>
      <c r="G138">
        <v>7</v>
      </c>
      <c r="H138">
        <v>196.09</v>
      </c>
      <c r="I138">
        <v>163.13999999999999</v>
      </c>
      <c r="J138">
        <v>5</v>
      </c>
      <c r="K138">
        <v>97</v>
      </c>
      <c r="L138" t="s">
        <v>18</v>
      </c>
      <c r="M138">
        <v>1372.63</v>
      </c>
      <c r="N138">
        <v>1141.98</v>
      </c>
      <c r="O138">
        <v>230.65000000000009</v>
      </c>
      <c r="Q138" t="str" cm="1">
        <f t="array" ref="Q138">_xlfn.IFS(M138&lt;100,"low",M138&lt;500,"medum",M138&gt;500,"high")</f>
        <v>high</v>
      </c>
      <c r="R138" t="str">
        <f t="shared" si="8"/>
        <v>not risk</v>
      </c>
      <c r="S138" t="str">
        <f t="shared" si="9"/>
        <v>not</v>
      </c>
      <c r="T138" t="str">
        <f t="shared" si="10"/>
        <v>premium Customor</v>
      </c>
      <c r="U138" t="str">
        <f t="shared" si="11"/>
        <v>important</v>
      </c>
    </row>
    <row r="139" spans="1:21" x14ac:dyDescent="0.3">
      <c r="A139" t="s">
        <v>197</v>
      </c>
      <c r="B139" s="3">
        <v>45227</v>
      </c>
      <c r="C139" t="s">
        <v>64</v>
      </c>
      <c r="D139" t="s">
        <v>107</v>
      </c>
      <c r="E139" t="s">
        <v>30</v>
      </c>
      <c r="F139" t="s">
        <v>11</v>
      </c>
      <c r="G139">
        <v>7</v>
      </c>
      <c r="H139">
        <v>79.989999999999995</v>
      </c>
      <c r="I139">
        <v>57.32</v>
      </c>
      <c r="J139">
        <v>5</v>
      </c>
      <c r="K139">
        <v>81</v>
      </c>
      <c r="L139" t="s">
        <v>38</v>
      </c>
      <c r="M139">
        <v>559.92999999999995</v>
      </c>
      <c r="N139">
        <v>401.24</v>
      </c>
      <c r="O139">
        <v>158.68999999999994</v>
      </c>
      <c r="Q139" t="str" cm="1">
        <f t="array" ref="Q139">_xlfn.IFS(M139&lt;100,"low",M139&lt;500,"medum",M139&gt;500,"high")</f>
        <v>high</v>
      </c>
      <c r="R139" t="str">
        <f t="shared" si="8"/>
        <v>risk</v>
      </c>
      <c r="S139" t="str">
        <f t="shared" si="9"/>
        <v>not</v>
      </c>
      <c r="T139" t="str">
        <f t="shared" si="10"/>
        <v>Normal Customor</v>
      </c>
      <c r="U139" t="str">
        <f t="shared" si="11"/>
        <v>important</v>
      </c>
    </row>
    <row r="140" spans="1:21" x14ac:dyDescent="0.3">
      <c r="A140" t="s">
        <v>198</v>
      </c>
      <c r="B140" s="3">
        <v>45074</v>
      </c>
      <c r="C140" t="s">
        <v>6</v>
      </c>
      <c r="D140" t="s">
        <v>52</v>
      </c>
      <c r="E140" t="s">
        <v>25</v>
      </c>
      <c r="F140" t="s">
        <v>26</v>
      </c>
      <c r="G140">
        <v>2</v>
      </c>
      <c r="H140">
        <v>306.27</v>
      </c>
      <c r="I140">
        <v>211.3</v>
      </c>
      <c r="J140">
        <v>15</v>
      </c>
      <c r="K140">
        <v>102</v>
      </c>
      <c r="L140" t="s">
        <v>38</v>
      </c>
      <c r="M140">
        <v>612.54</v>
      </c>
      <c r="N140">
        <v>422.6</v>
      </c>
      <c r="O140">
        <v>189.93999999999994</v>
      </c>
      <c r="Q140" t="str" cm="1">
        <f t="array" ref="Q140">_xlfn.IFS(M140&lt;100,"low",M140&lt;500,"medum",M140&gt;500,"high")</f>
        <v>high</v>
      </c>
      <c r="R140" t="str">
        <f t="shared" si="8"/>
        <v>risk</v>
      </c>
      <c r="S140" t="str">
        <f t="shared" si="9"/>
        <v>not</v>
      </c>
      <c r="T140" t="str">
        <f t="shared" si="10"/>
        <v>Normal Customor</v>
      </c>
      <c r="U140" t="str">
        <f t="shared" si="11"/>
        <v>not</v>
      </c>
    </row>
    <row r="141" spans="1:21" x14ac:dyDescent="0.3">
      <c r="A141" t="s">
        <v>199</v>
      </c>
      <c r="B141" s="3">
        <v>45106</v>
      </c>
      <c r="C141" t="s">
        <v>6</v>
      </c>
      <c r="D141" t="s">
        <v>200</v>
      </c>
      <c r="E141" t="s">
        <v>25</v>
      </c>
      <c r="F141" t="s">
        <v>26</v>
      </c>
      <c r="G141">
        <v>2</v>
      </c>
      <c r="H141">
        <v>347.45</v>
      </c>
      <c r="I141">
        <v>293.18</v>
      </c>
      <c r="J141">
        <v>15</v>
      </c>
      <c r="K141">
        <v>38</v>
      </c>
      <c r="L141" t="s">
        <v>38</v>
      </c>
      <c r="M141">
        <v>694.9</v>
      </c>
      <c r="N141">
        <v>586.36</v>
      </c>
      <c r="O141">
        <v>108.53999999999996</v>
      </c>
      <c r="Q141" t="str" cm="1">
        <f t="array" ref="Q141">_xlfn.IFS(M141&lt;100,"low",M141&lt;500,"medum",M141&gt;500,"high")</f>
        <v>high</v>
      </c>
      <c r="R141" t="str">
        <f t="shared" si="8"/>
        <v>risk</v>
      </c>
      <c r="S141" t="str">
        <f t="shared" si="9"/>
        <v>not</v>
      </c>
      <c r="T141" t="str">
        <f t="shared" si="10"/>
        <v>Normal Customor</v>
      </c>
      <c r="U141" t="str">
        <f t="shared" si="11"/>
        <v>not</v>
      </c>
    </row>
    <row r="142" spans="1:21" x14ac:dyDescent="0.3">
      <c r="A142" t="s">
        <v>201</v>
      </c>
      <c r="B142" s="3">
        <v>45245</v>
      </c>
      <c r="C142" t="s">
        <v>23</v>
      </c>
      <c r="D142" t="s">
        <v>24</v>
      </c>
      <c r="E142" t="s">
        <v>25</v>
      </c>
      <c r="F142" t="s">
        <v>26</v>
      </c>
      <c r="G142">
        <v>2</v>
      </c>
      <c r="H142">
        <v>510.16</v>
      </c>
      <c r="I142">
        <v>383.68</v>
      </c>
      <c r="J142">
        <v>15</v>
      </c>
      <c r="K142">
        <v>118</v>
      </c>
      <c r="L142" t="s">
        <v>4</v>
      </c>
      <c r="M142">
        <v>1020.32</v>
      </c>
      <c r="N142">
        <v>767.36</v>
      </c>
      <c r="O142">
        <v>252.96000000000004</v>
      </c>
      <c r="Q142" t="str" cm="1">
        <f t="array" ref="Q142">_xlfn.IFS(M142&lt;100,"low",M142&lt;500,"medum",M142&gt;500,"high")</f>
        <v>high</v>
      </c>
      <c r="R142" t="str">
        <f t="shared" si="8"/>
        <v>risk</v>
      </c>
      <c r="S142" t="str">
        <f t="shared" si="9"/>
        <v>not</v>
      </c>
      <c r="T142" t="str">
        <f t="shared" si="10"/>
        <v>premium Customor</v>
      </c>
      <c r="U142" t="str">
        <f t="shared" si="11"/>
        <v>not</v>
      </c>
    </row>
    <row r="143" spans="1:21" x14ac:dyDescent="0.3">
      <c r="A143" t="s">
        <v>202</v>
      </c>
      <c r="B143" s="3">
        <v>45066</v>
      </c>
      <c r="C143" t="s">
        <v>6</v>
      </c>
      <c r="D143" t="s">
        <v>52</v>
      </c>
      <c r="E143" t="s">
        <v>3</v>
      </c>
      <c r="F143" t="s">
        <v>3</v>
      </c>
      <c r="G143">
        <v>10</v>
      </c>
      <c r="H143">
        <v>666.14</v>
      </c>
      <c r="I143">
        <v>465.25</v>
      </c>
      <c r="J143">
        <v>10</v>
      </c>
      <c r="K143">
        <v>13</v>
      </c>
      <c r="L143" t="s">
        <v>12</v>
      </c>
      <c r="M143">
        <v>6661.4</v>
      </c>
      <c r="N143">
        <v>4652.5</v>
      </c>
      <c r="O143">
        <v>2008.8999999999996</v>
      </c>
      <c r="Q143" t="str" cm="1">
        <f t="array" ref="Q143">_xlfn.IFS(M143&lt;100,"low",M143&lt;500,"medum",M143&gt;500,"high")</f>
        <v>high</v>
      </c>
      <c r="R143" t="str">
        <f t="shared" si="8"/>
        <v>not risk</v>
      </c>
      <c r="S143" t="str">
        <f t="shared" si="9"/>
        <v>not</v>
      </c>
      <c r="T143" t="str">
        <f t="shared" si="10"/>
        <v>premium Customor</v>
      </c>
      <c r="U143" t="str">
        <f t="shared" si="11"/>
        <v>important</v>
      </c>
    </row>
    <row r="144" spans="1:21" x14ac:dyDescent="0.3">
      <c r="A144" t="s">
        <v>203</v>
      </c>
      <c r="B144" s="3">
        <v>44962</v>
      </c>
      <c r="C144" t="s">
        <v>1</v>
      </c>
      <c r="D144" t="s">
        <v>75</v>
      </c>
      <c r="E144" t="s">
        <v>25</v>
      </c>
      <c r="F144" t="s">
        <v>26</v>
      </c>
      <c r="G144">
        <v>6</v>
      </c>
      <c r="H144">
        <v>18.809999999999999</v>
      </c>
      <c r="I144">
        <v>12.99</v>
      </c>
      <c r="J144">
        <v>20</v>
      </c>
      <c r="K144">
        <v>94</v>
      </c>
      <c r="L144" t="s">
        <v>18</v>
      </c>
      <c r="M144">
        <v>112.85999999999999</v>
      </c>
      <c r="N144">
        <v>77.94</v>
      </c>
      <c r="O144">
        <v>34.919999999999987</v>
      </c>
      <c r="Q144" t="str" cm="1">
        <f t="array" ref="Q144">_xlfn.IFS(M144&lt;100,"low",M144&lt;500,"medum",M144&gt;500,"high")</f>
        <v>medum</v>
      </c>
      <c r="R144" t="str">
        <f t="shared" si="8"/>
        <v>not risk</v>
      </c>
      <c r="S144" t="str">
        <f t="shared" si="9"/>
        <v>not</v>
      </c>
      <c r="T144" t="str">
        <f t="shared" si="10"/>
        <v>Normal Customor</v>
      </c>
      <c r="U144" t="str">
        <f t="shared" si="11"/>
        <v>important</v>
      </c>
    </row>
    <row r="145" spans="1:21" x14ac:dyDescent="0.3">
      <c r="A145" t="s">
        <v>204</v>
      </c>
      <c r="B145" s="3">
        <v>45086</v>
      </c>
      <c r="C145" t="s">
        <v>32</v>
      </c>
      <c r="D145" t="s">
        <v>91</v>
      </c>
      <c r="E145" t="s">
        <v>30</v>
      </c>
      <c r="F145" t="s">
        <v>11</v>
      </c>
      <c r="G145">
        <v>9</v>
      </c>
      <c r="H145">
        <v>146.34</v>
      </c>
      <c r="I145">
        <v>115.42</v>
      </c>
      <c r="J145">
        <v>10</v>
      </c>
      <c r="K145">
        <v>30</v>
      </c>
      <c r="L145" t="s">
        <v>27</v>
      </c>
      <c r="M145">
        <v>1317.06</v>
      </c>
      <c r="N145">
        <v>1038.78</v>
      </c>
      <c r="O145">
        <v>278.27999999999997</v>
      </c>
      <c r="Q145" t="str" cm="1">
        <f t="array" ref="Q145">_xlfn.IFS(M145&lt;100,"low",M145&lt;500,"medum",M145&gt;500,"high")</f>
        <v>high</v>
      </c>
      <c r="R145" t="str">
        <f t="shared" si="8"/>
        <v>not risk</v>
      </c>
      <c r="S145" t="str">
        <f t="shared" si="9"/>
        <v>not</v>
      </c>
      <c r="T145" t="str">
        <f t="shared" si="10"/>
        <v>premium Customor</v>
      </c>
      <c r="U145" t="str">
        <f t="shared" si="11"/>
        <v>important</v>
      </c>
    </row>
    <row r="146" spans="1:21" x14ac:dyDescent="0.3">
      <c r="A146" t="s">
        <v>205</v>
      </c>
      <c r="B146" s="3">
        <v>45066</v>
      </c>
      <c r="C146" t="s">
        <v>1</v>
      </c>
      <c r="D146" t="s">
        <v>75</v>
      </c>
      <c r="E146" t="s">
        <v>30</v>
      </c>
      <c r="F146" t="s">
        <v>11</v>
      </c>
      <c r="G146">
        <v>1</v>
      </c>
      <c r="H146">
        <v>120.88</v>
      </c>
      <c r="I146">
        <v>86.23</v>
      </c>
      <c r="J146">
        <v>0</v>
      </c>
      <c r="K146">
        <v>96</v>
      </c>
      <c r="L146" t="s">
        <v>38</v>
      </c>
      <c r="M146">
        <v>120.88</v>
      </c>
      <c r="N146">
        <v>86.23</v>
      </c>
      <c r="O146">
        <v>34.649999999999991</v>
      </c>
      <c r="Q146" t="str" cm="1">
        <f t="array" ref="Q146">_xlfn.IFS(M146&lt;100,"low",M146&lt;500,"medum",M146&gt;500,"high")</f>
        <v>medum</v>
      </c>
      <c r="R146" t="str">
        <f t="shared" si="8"/>
        <v>risk</v>
      </c>
      <c r="S146" t="str">
        <f t="shared" si="9"/>
        <v>not</v>
      </c>
      <c r="T146" t="str">
        <f t="shared" si="10"/>
        <v>Normal Customor</v>
      </c>
      <c r="U146" t="str">
        <f t="shared" si="11"/>
        <v>not</v>
      </c>
    </row>
    <row r="147" spans="1:21" x14ac:dyDescent="0.3">
      <c r="A147" t="s">
        <v>206</v>
      </c>
      <c r="B147" s="3">
        <v>45147</v>
      </c>
      <c r="C147" t="s">
        <v>14</v>
      </c>
      <c r="D147" t="s">
        <v>104</v>
      </c>
      <c r="E147" t="s">
        <v>59</v>
      </c>
      <c r="F147" t="s">
        <v>60</v>
      </c>
      <c r="G147">
        <v>10</v>
      </c>
      <c r="H147">
        <v>274.02</v>
      </c>
      <c r="I147">
        <v>226.6</v>
      </c>
      <c r="J147">
        <v>20</v>
      </c>
      <c r="K147">
        <v>24</v>
      </c>
      <c r="L147" t="s">
        <v>27</v>
      </c>
      <c r="M147">
        <v>2740.2</v>
      </c>
      <c r="N147">
        <v>2266</v>
      </c>
      <c r="O147">
        <v>474.19999999999982</v>
      </c>
      <c r="Q147" t="str" cm="1">
        <f t="array" ref="Q147">_xlfn.IFS(M147&lt;100,"low",M147&lt;500,"medum",M147&gt;500,"high")</f>
        <v>high</v>
      </c>
      <c r="R147" t="str">
        <f t="shared" si="8"/>
        <v>not risk</v>
      </c>
      <c r="S147" t="str">
        <f t="shared" si="9"/>
        <v>not</v>
      </c>
      <c r="T147" t="str">
        <f t="shared" si="10"/>
        <v>premium Customor</v>
      </c>
      <c r="U147" t="str">
        <f t="shared" si="11"/>
        <v>important</v>
      </c>
    </row>
    <row r="148" spans="1:21" x14ac:dyDescent="0.3">
      <c r="A148" t="s">
        <v>207</v>
      </c>
      <c r="B148" s="3">
        <v>44930</v>
      </c>
      <c r="C148" t="s">
        <v>64</v>
      </c>
      <c r="D148" t="s">
        <v>89</v>
      </c>
      <c r="E148" t="s">
        <v>59</v>
      </c>
      <c r="F148" t="s">
        <v>60</v>
      </c>
      <c r="G148">
        <v>9</v>
      </c>
      <c r="H148">
        <v>376.7</v>
      </c>
      <c r="I148">
        <v>336.89</v>
      </c>
      <c r="J148">
        <v>15</v>
      </c>
      <c r="K148">
        <v>86</v>
      </c>
      <c r="L148" t="s">
        <v>38</v>
      </c>
      <c r="M148">
        <v>3390.2999999999997</v>
      </c>
      <c r="N148">
        <v>3032.0099999999998</v>
      </c>
      <c r="O148" s="5">
        <v>358.28999999999996</v>
      </c>
      <c r="Q148" t="str" cm="1">
        <f t="array" ref="Q148">_xlfn.IFS(M148&lt;100,"low",M148&lt;500,"medum",M148&gt;500,"high")</f>
        <v>high</v>
      </c>
      <c r="R148" t="str">
        <f t="shared" si="8"/>
        <v>risk</v>
      </c>
      <c r="S148" t="str">
        <f t="shared" si="9"/>
        <v>not</v>
      </c>
      <c r="T148" t="str">
        <f t="shared" si="10"/>
        <v>premium Customor</v>
      </c>
      <c r="U148" t="str">
        <f t="shared" si="11"/>
        <v>important</v>
      </c>
    </row>
    <row r="149" spans="1:21" x14ac:dyDescent="0.3">
      <c r="A149" t="s">
        <v>208</v>
      </c>
      <c r="B149" s="3">
        <v>45147</v>
      </c>
      <c r="C149" t="s">
        <v>32</v>
      </c>
      <c r="D149" t="s">
        <v>33</v>
      </c>
      <c r="E149" t="s">
        <v>36</v>
      </c>
      <c r="F149" t="s">
        <v>37</v>
      </c>
      <c r="G149">
        <v>3</v>
      </c>
      <c r="H149">
        <v>467.39</v>
      </c>
      <c r="I149">
        <v>384.44</v>
      </c>
      <c r="J149">
        <v>0</v>
      </c>
      <c r="K149">
        <v>10</v>
      </c>
      <c r="L149" t="s">
        <v>18</v>
      </c>
      <c r="M149">
        <v>1402.17</v>
      </c>
      <c r="N149">
        <v>1153.32</v>
      </c>
      <c r="O149">
        <v>248.85000000000014</v>
      </c>
      <c r="Q149" t="str" cm="1">
        <f t="array" ref="Q149">_xlfn.IFS(M149&lt;100,"low",M149&lt;500,"medum",M149&gt;500,"high")</f>
        <v>high</v>
      </c>
      <c r="R149" t="str">
        <f t="shared" si="8"/>
        <v>not risk</v>
      </c>
      <c r="S149" t="str">
        <f t="shared" si="9"/>
        <v>not</v>
      </c>
      <c r="T149" t="str">
        <f t="shared" si="10"/>
        <v>premium Customor</v>
      </c>
      <c r="U149" t="str">
        <f t="shared" si="11"/>
        <v>not</v>
      </c>
    </row>
    <row r="150" spans="1:21" x14ac:dyDescent="0.3">
      <c r="A150" t="s">
        <v>209</v>
      </c>
      <c r="B150" s="3">
        <v>44948</v>
      </c>
      <c r="C150" t="s">
        <v>32</v>
      </c>
      <c r="D150" t="s">
        <v>46</v>
      </c>
      <c r="E150" t="s">
        <v>10</v>
      </c>
      <c r="F150" t="s">
        <v>11</v>
      </c>
      <c r="G150">
        <v>9</v>
      </c>
      <c r="H150">
        <v>461.28</v>
      </c>
      <c r="I150">
        <v>354.8</v>
      </c>
      <c r="J150">
        <v>10</v>
      </c>
      <c r="K150">
        <v>19</v>
      </c>
      <c r="L150" t="s">
        <v>18</v>
      </c>
      <c r="M150">
        <v>4151.5199999999995</v>
      </c>
      <c r="N150">
        <v>3193.2000000000003</v>
      </c>
      <c r="O150" s="5">
        <v>958.31999999999925</v>
      </c>
      <c r="Q150" t="str" cm="1">
        <f t="array" ref="Q150">_xlfn.IFS(M150&lt;100,"low",M150&lt;500,"medum",M150&gt;500,"high")</f>
        <v>high</v>
      </c>
      <c r="R150" t="str">
        <f t="shared" si="8"/>
        <v>not risk</v>
      </c>
      <c r="S150" t="str">
        <f t="shared" si="9"/>
        <v>not</v>
      </c>
      <c r="T150" t="str">
        <f t="shared" si="10"/>
        <v>premium Customor</v>
      </c>
      <c r="U150" t="str">
        <f t="shared" si="11"/>
        <v>important</v>
      </c>
    </row>
    <row r="151" spans="1:21" x14ac:dyDescent="0.3">
      <c r="A151" t="s">
        <v>210</v>
      </c>
      <c r="B151" s="3">
        <v>45075</v>
      </c>
      <c r="C151" t="s">
        <v>14</v>
      </c>
      <c r="D151" t="s">
        <v>54</v>
      </c>
      <c r="E151" t="s">
        <v>59</v>
      </c>
      <c r="F151" t="s">
        <v>60</v>
      </c>
      <c r="G151">
        <v>2</v>
      </c>
      <c r="H151">
        <v>575.26</v>
      </c>
      <c r="I151">
        <v>432.43</v>
      </c>
      <c r="J151">
        <v>20</v>
      </c>
      <c r="K151">
        <v>61</v>
      </c>
      <c r="L151" t="s">
        <v>18</v>
      </c>
      <c r="M151">
        <v>1150.52</v>
      </c>
      <c r="N151">
        <v>864.86</v>
      </c>
      <c r="O151">
        <v>285.65999999999997</v>
      </c>
      <c r="Q151" t="str" cm="1">
        <f t="array" ref="Q151">_xlfn.IFS(M151&lt;100,"low",M151&lt;500,"medum",M151&gt;500,"high")</f>
        <v>high</v>
      </c>
      <c r="R151" t="str">
        <f t="shared" si="8"/>
        <v>not risk</v>
      </c>
      <c r="S151" t="str">
        <f t="shared" si="9"/>
        <v>not</v>
      </c>
      <c r="T151" t="str">
        <f t="shared" si="10"/>
        <v>premium Customor</v>
      </c>
      <c r="U151" t="str">
        <f t="shared" si="11"/>
        <v>not</v>
      </c>
    </row>
    <row r="152" spans="1:21" x14ac:dyDescent="0.3">
      <c r="A152" t="s">
        <v>211</v>
      </c>
      <c r="B152" s="3">
        <v>44972</v>
      </c>
      <c r="C152" t="s">
        <v>64</v>
      </c>
      <c r="D152" t="s">
        <v>81</v>
      </c>
      <c r="E152" t="s">
        <v>3</v>
      </c>
      <c r="F152" t="s">
        <v>3</v>
      </c>
      <c r="G152">
        <v>6</v>
      </c>
      <c r="H152">
        <v>139.36000000000001</v>
      </c>
      <c r="I152">
        <v>94.22</v>
      </c>
      <c r="J152">
        <v>15</v>
      </c>
      <c r="K152">
        <v>116</v>
      </c>
      <c r="L152" t="s">
        <v>27</v>
      </c>
      <c r="M152">
        <v>836.16000000000008</v>
      </c>
      <c r="N152">
        <v>565.31999999999994</v>
      </c>
      <c r="O152">
        <v>270.84000000000015</v>
      </c>
      <c r="Q152" t="str" cm="1">
        <f t="array" ref="Q152">_xlfn.IFS(M152&lt;100,"low",M152&lt;500,"medum",M152&gt;500,"high")</f>
        <v>high</v>
      </c>
      <c r="R152" t="str">
        <f t="shared" si="8"/>
        <v>not risk</v>
      </c>
      <c r="S152" t="str">
        <f t="shared" si="9"/>
        <v>not</v>
      </c>
      <c r="T152" t="str">
        <f t="shared" si="10"/>
        <v>Normal Customor</v>
      </c>
      <c r="U152" t="str">
        <f t="shared" si="11"/>
        <v>important</v>
      </c>
    </row>
    <row r="153" spans="1:21" x14ac:dyDescent="0.3">
      <c r="A153" t="s">
        <v>212</v>
      </c>
      <c r="B153" s="3">
        <v>45040</v>
      </c>
      <c r="C153" t="s">
        <v>14</v>
      </c>
      <c r="D153" t="s">
        <v>54</v>
      </c>
      <c r="E153" t="s">
        <v>36</v>
      </c>
      <c r="F153" t="s">
        <v>37</v>
      </c>
      <c r="G153">
        <v>7</v>
      </c>
      <c r="H153">
        <v>390.98</v>
      </c>
      <c r="I153">
        <v>298.55</v>
      </c>
      <c r="J153">
        <v>15</v>
      </c>
      <c r="K153">
        <v>49</v>
      </c>
      <c r="L153" t="s">
        <v>27</v>
      </c>
      <c r="M153">
        <v>2736.86</v>
      </c>
      <c r="N153">
        <v>2089.85</v>
      </c>
      <c r="O153">
        <v>647.01000000000022</v>
      </c>
      <c r="Q153" t="str" cm="1">
        <f t="array" ref="Q153">_xlfn.IFS(M153&lt;100,"low",M153&lt;500,"medum",M153&gt;500,"high")</f>
        <v>high</v>
      </c>
      <c r="R153" t="str">
        <f t="shared" si="8"/>
        <v>not risk</v>
      </c>
      <c r="S153" t="str">
        <f t="shared" si="9"/>
        <v>not</v>
      </c>
      <c r="T153" t="str">
        <f t="shared" si="10"/>
        <v>premium Customor</v>
      </c>
      <c r="U153" t="str">
        <f t="shared" si="11"/>
        <v>important</v>
      </c>
    </row>
    <row r="154" spans="1:21" x14ac:dyDescent="0.3">
      <c r="A154" t="s">
        <v>213</v>
      </c>
      <c r="B154" s="3">
        <v>45106</v>
      </c>
      <c r="C154" t="s">
        <v>20</v>
      </c>
      <c r="D154" t="s">
        <v>87</v>
      </c>
      <c r="E154" t="s">
        <v>30</v>
      </c>
      <c r="F154" t="s">
        <v>11</v>
      </c>
      <c r="G154">
        <v>9</v>
      </c>
      <c r="H154">
        <v>420.28</v>
      </c>
      <c r="I154">
        <v>320.27999999999997</v>
      </c>
      <c r="J154">
        <v>5</v>
      </c>
      <c r="K154">
        <v>109</v>
      </c>
      <c r="L154" t="s">
        <v>27</v>
      </c>
      <c r="M154">
        <v>3782.5199999999995</v>
      </c>
      <c r="N154">
        <v>2882.5199999999995</v>
      </c>
      <c r="O154">
        <v>900</v>
      </c>
      <c r="Q154" t="str" cm="1">
        <f t="array" ref="Q154">_xlfn.IFS(M154&lt;100,"low",M154&lt;500,"medum",M154&gt;500,"high")</f>
        <v>high</v>
      </c>
      <c r="R154" t="str">
        <f t="shared" si="8"/>
        <v>not risk</v>
      </c>
      <c r="S154" t="str">
        <f t="shared" si="9"/>
        <v>not</v>
      </c>
      <c r="T154" t="str">
        <f t="shared" si="10"/>
        <v>premium Customor</v>
      </c>
      <c r="U154" t="str">
        <f t="shared" si="11"/>
        <v>important</v>
      </c>
    </row>
    <row r="155" spans="1:21" x14ac:dyDescent="0.3">
      <c r="A155" t="s">
        <v>214</v>
      </c>
      <c r="B155" s="3">
        <v>45017</v>
      </c>
      <c r="C155" t="s">
        <v>1</v>
      </c>
      <c r="D155" t="s">
        <v>99</v>
      </c>
      <c r="E155" t="s">
        <v>36</v>
      </c>
      <c r="F155" t="s">
        <v>37</v>
      </c>
      <c r="G155">
        <v>2</v>
      </c>
      <c r="H155">
        <v>96.39</v>
      </c>
      <c r="I155">
        <v>81.760000000000005</v>
      </c>
      <c r="J155">
        <v>20</v>
      </c>
      <c r="K155">
        <v>29</v>
      </c>
      <c r="L155" t="s">
        <v>38</v>
      </c>
      <c r="M155">
        <v>192.78</v>
      </c>
      <c r="N155">
        <v>163.52000000000001</v>
      </c>
      <c r="O155">
        <v>29.259999999999991</v>
      </c>
      <c r="Q155" t="str" cm="1">
        <f t="array" ref="Q155">_xlfn.IFS(M155&lt;100,"low",M155&lt;500,"medum",M155&gt;500,"high")</f>
        <v>medum</v>
      </c>
      <c r="R155" t="str">
        <f t="shared" si="8"/>
        <v>risk</v>
      </c>
      <c r="S155" t="str">
        <f t="shared" si="9"/>
        <v>not</v>
      </c>
      <c r="T155" t="str">
        <f t="shared" si="10"/>
        <v>Normal Customor</v>
      </c>
      <c r="U155" t="str">
        <f t="shared" si="11"/>
        <v>not</v>
      </c>
    </row>
    <row r="156" spans="1:21" x14ac:dyDescent="0.3">
      <c r="A156" t="s">
        <v>215</v>
      </c>
      <c r="B156" s="3">
        <v>45092</v>
      </c>
      <c r="C156" t="s">
        <v>23</v>
      </c>
      <c r="D156" t="s">
        <v>141</v>
      </c>
      <c r="E156" t="s">
        <v>59</v>
      </c>
      <c r="F156" t="s">
        <v>60</v>
      </c>
      <c r="G156">
        <v>10</v>
      </c>
      <c r="H156">
        <v>489.23</v>
      </c>
      <c r="I156">
        <v>382.34</v>
      </c>
      <c r="J156">
        <v>20</v>
      </c>
      <c r="K156">
        <v>92</v>
      </c>
      <c r="L156" t="s">
        <v>4</v>
      </c>
      <c r="M156">
        <v>4892.3</v>
      </c>
      <c r="N156">
        <v>3823.3999999999996</v>
      </c>
      <c r="O156">
        <v>1068.9000000000005</v>
      </c>
      <c r="Q156" t="str" cm="1">
        <f t="array" ref="Q156">_xlfn.IFS(M156&lt;100,"low",M156&lt;500,"medum",M156&gt;500,"high")</f>
        <v>high</v>
      </c>
      <c r="R156" t="str">
        <f t="shared" si="8"/>
        <v>risk</v>
      </c>
      <c r="S156" t="str">
        <f t="shared" si="9"/>
        <v>not</v>
      </c>
      <c r="T156" t="str">
        <f t="shared" si="10"/>
        <v>premium Customor</v>
      </c>
      <c r="U156" t="str">
        <f t="shared" si="11"/>
        <v>important</v>
      </c>
    </row>
    <row r="157" spans="1:21" x14ac:dyDescent="0.3">
      <c r="A157" t="s">
        <v>216</v>
      </c>
      <c r="B157" s="3">
        <v>45229</v>
      </c>
      <c r="C157" t="s">
        <v>23</v>
      </c>
      <c r="D157" t="s">
        <v>150</v>
      </c>
      <c r="E157" t="s">
        <v>42</v>
      </c>
      <c r="F157" t="s">
        <v>43</v>
      </c>
      <c r="G157">
        <v>8</v>
      </c>
      <c r="H157">
        <v>55.49</v>
      </c>
      <c r="I157">
        <v>43.46</v>
      </c>
      <c r="J157">
        <v>10</v>
      </c>
      <c r="K157">
        <v>111</v>
      </c>
      <c r="L157" t="s">
        <v>27</v>
      </c>
      <c r="M157">
        <v>443.92</v>
      </c>
      <c r="N157">
        <v>347.68</v>
      </c>
      <c r="O157">
        <v>96.240000000000009</v>
      </c>
      <c r="Q157" t="str" cm="1">
        <f t="array" ref="Q157">_xlfn.IFS(M157&lt;100,"low",M157&lt;500,"medum",M157&gt;500,"high")</f>
        <v>medum</v>
      </c>
      <c r="R157" t="str">
        <f t="shared" si="8"/>
        <v>not risk</v>
      </c>
      <c r="S157" t="str">
        <f t="shared" si="9"/>
        <v>not</v>
      </c>
      <c r="T157" t="str">
        <f t="shared" si="10"/>
        <v>Normal Customor</v>
      </c>
      <c r="U157" t="str">
        <f t="shared" si="11"/>
        <v>important</v>
      </c>
    </row>
    <row r="158" spans="1:21" x14ac:dyDescent="0.3">
      <c r="A158" t="s">
        <v>217</v>
      </c>
      <c r="B158" s="3">
        <v>44966</v>
      </c>
      <c r="C158" t="s">
        <v>64</v>
      </c>
      <c r="D158" t="s">
        <v>89</v>
      </c>
      <c r="E158" t="s">
        <v>30</v>
      </c>
      <c r="F158" t="s">
        <v>11</v>
      </c>
      <c r="G158">
        <v>5</v>
      </c>
      <c r="H158">
        <v>263.43</v>
      </c>
      <c r="I158">
        <v>236.25</v>
      </c>
      <c r="J158">
        <v>10</v>
      </c>
      <c r="K158">
        <v>116</v>
      </c>
      <c r="L158" t="s">
        <v>27</v>
      </c>
      <c r="M158">
        <v>1317.15</v>
      </c>
      <c r="N158">
        <v>1181.25</v>
      </c>
      <c r="O158">
        <v>135.90000000000009</v>
      </c>
      <c r="Q158" t="str" cm="1">
        <f t="array" ref="Q158">_xlfn.IFS(M158&lt;100,"low",M158&lt;500,"medum",M158&gt;500,"high")</f>
        <v>high</v>
      </c>
      <c r="R158" t="str">
        <f t="shared" si="8"/>
        <v>not risk</v>
      </c>
      <c r="S158" t="str">
        <f t="shared" si="9"/>
        <v>not</v>
      </c>
      <c r="T158" t="str">
        <f t="shared" si="10"/>
        <v>premium Customor</v>
      </c>
      <c r="U158" t="str">
        <f t="shared" si="11"/>
        <v>important</v>
      </c>
    </row>
    <row r="159" spans="1:21" x14ac:dyDescent="0.3">
      <c r="A159" t="s">
        <v>218</v>
      </c>
      <c r="B159" s="3">
        <v>45260</v>
      </c>
      <c r="C159" t="s">
        <v>1</v>
      </c>
      <c r="D159" t="s">
        <v>2</v>
      </c>
      <c r="E159" t="s">
        <v>10</v>
      </c>
      <c r="F159" t="s">
        <v>11</v>
      </c>
      <c r="G159">
        <v>8</v>
      </c>
      <c r="H159">
        <v>436.15</v>
      </c>
      <c r="I159">
        <v>294.36</v>
      </c>
      <c r="J159">
        <v>0</v>
      </c>
      <c r="K159">
        <v>67</v>
      </c>
      <c r="L159" t="s">
        <v>4</v>
      </c>
      <c r="M159">
        <v>3489.2</v>
      </c>
      <c r="N159">
        <v>2354.88</v>
      </c>
      <c r="O159">
        <v>1134.3199999999997</v>
      </c>
      <c r="Q159" t="str" cm="1">
        <f t="array" ref="Q159">_xlfn.IFS(M159&lt;100,"low",M159&lt;500,"medum",M159&gt;500,"high")</f>
        <v>high</v>
      </c>
      <c r="R159" t="str">
        <f t="shared" si="8"/>
        <v>risk</v>
      </c>
      <c r="S159" t="str">
        <f t="shared" si="9"/>
        <v>not</v>
      </c>
      <c r="T159" t="str">
        <f t="shared" si="10"/>
        <v>premium Customor</v>
      </c>
      <c r="U159" t="str">
        <f t="shared" si="11"/>
        <v>important</v>
      </c>
    </row>
    <row r="160" spans="1:21" x14ac:dyDescent="0.3">
      <c r="A160" t="s">
        <v>219</v>
      </c>
      <c r="B160" s="3">
        <v>44970</v>
      </c>
      <c r="C160" t="s">
        <v>32</v>
      </c>
      <c r="D160" t="s">
        <v>33</v>
      </c>
      <c r="E160" t="s">
        <v>59</v>
      </c>
      <c r="F160" t="s">
        <v>60</v>
      </c>
      <c r="G160">
        <v>9</v>
      </c>
      <c r="H160">
        <v>94.39</v>
      </c>
      <c r="I160">
        <v>83.92</v>
      </c>
      <c r="J160">
        <v>0</v>
      </c>
      <c r="K160">
        <v>113</v>
      </c>
      <c r="L160" t="s">
        <v>27</v>
      </c>
      <c r="M160">
        <v>849.51</v>
      </c>
      <c r="N160">
        <v>755.28</v>
      </c>
      <c r="O160">
        <v>94.230000000000018</v>
      </c>
      <c r="Q160" t="str" cm="1">
        <f t="array" ref="Q160">_xlfn.IFS(M160&lt;100,"low",M160&lt;500,"medum",M160&gt;500,"high")</f>
        <v>high</v>
      </c>
      <c r="R160" t="str">
        <f t="shared" si="8"/>
        <v>not risk</v>
      </c>
      <c r="S160" t="str">
        <f t="shared" si="9"/>
        <v>not</v>
      </c>
      <c r="T160" t="str">
        <f t="shared" si="10"/>
        <v>Normal Customor</v>
      </c>
      <c r="U160" t="str">
        <f t="shared" si="11"/>
        <v>important</v>
      </c>
    </row>
    <row r="161" spans="1:21" x14ac:dyDescent="0.3">
      <c r="A161" t="s">
        <v>220</v>
      </c>
      <c r="B161" s="3">
        <v>45008</v>
      </c>
      <c r="C161" t="s">
        <v>6</v>
      </c>
      <c r="D161" t="s">
        <v>62</v>
      </c>
      <c r="E161" t="s">
        <v>3</v>
      </c>
      <c r="F161" t="s">
        <v>3</v>
      </c>
      <c r="G161">
        <v>4</v>
      </c>
      <c r="H161">
        <v>533.80999999999995</v>
      </c>
      <c r="I161">
        <v>356.73</v>
      </c>
      <c r="J161">
        <v>20</v>
      </c>
      <c r="K161">
        <v>76</v>
      </c>
      <c r="L161" t="s">
        <v>4</v>
      </c>
      <c r="M161">
        <v>2135.2399999999998</v>
      </c>
      <c r="N161">
        <v>1426.92</v>
      </c>
      <c r="O161">
        <v>708.31999999999971</v>
      </c>
      <c r="Q161" t="str" cm="1">
        <f t="array" ref="Q161">_xlfn.IFS(M161&lt;100,"low",M161&lt;500,"medum",M161&gt;500,"high")</f>
        <v>high</v>
      </c>
      <c r="R161" t="str">
        <f t="shared" si="8"/>
        <v>risk</v>
      </c>
      <c r="S161" t="str">
        <f t="shared" si="9"/>
        <v>not</v>
      </c>
      <c r="T161" t="str">
        <f t="shared" si="10"/>
        <v>premium Customor</v>
      </c>
      <c r="U161" t="str">
        <f t="shared" si="11"/>
        <v>not</v>
      </c>
    </row>
    <row r="162" spans="1:21" x14ac:dyDescent="0.3">
      <c r="A162" t="s">
        <v>221</v>
      </c>
      <c r="B162" s="3">
        <v>44960</v>
      </c>
      <c r="C162" t="s">
        <v>20</v>
      </c>
      <c r="D162" t="s">
        <v>21</v>
      </c>
      <c r="E162" t="s">
        <v>16</v>
      </c>
      <c r="F162" t="s">
        <v>17</v>
      </c>
      <c r="G162">
        <v>7</v>
      </c>
      <c r="H162">
        <v>259.79000000000002</v>
      </c>
      <c r="I162">
        <v>210.3</v>
      </c>
      <c r="J162">
        <v>20</v>
      </c>
      <c r="K162">
        <v>16</v>
      </c>
      <c r="L162" t="s">
        <v>27</v>
      </c>
      <c r="M162">
        <v>1818.5300000000002</v>
      </c>
      <c r="N162">
        <v>1472.1000000000001</v>
      </c>
      <c r="O162">
        <v>346.43000000000006</v>
      </c>
      <c r="Q162" t="str" cm="1">
        <f t="array" ref="Q162">_xlfn.IFS(M162&lt;100,"low",M162&lt;500,"medum",M162&gt;500,"high")</f>
        <v>high</v>
      </c>
      <c r="R162" t="str">
        <f t="shared" si="8"/>
        <v>not risk</v>
      </c>
      <c r="S162" t="str">
        <f t="shared" si="9"/>
        <v>not</v>
      </c>
      <c r="T162" t="str">
        <f t="shared" si="10"/>
        <v>premium Customor</v>
      </c>
      <c r="U162" t="str">
        <f t="shared" si="11"/>
        <v>important</v>
      </c>
    </row>
    <row r="163" spans="1:21" x14ac:dyDescent="0.3">
      <c r="A163" t="s">
        <v>222</v>
      </c>
      <c r="B163" s="3">
        <v>44968</v>
      </c>
      <c r="C163" t="s">
        <v>20</v>
      </c>
      <c r="D163" t="s">
        <v>154</v>
      </c>
      <c r="E163" t="s">
        <v>10</v>
      </c>
      <c r="F163" t="s">
        <v>11</v>
      </c>
      <c r="G163">
        <v>5</v>
      </c>
      <c r="H163">
        <v>192.29</v>
      </c>
      <c r="I163">
        <v>133.47999999999999</v>
      </c>
      <c r="J163">
        <v>20</v>
      </c>
      <c r="K163">
        <v>29</v>
      </c>
      <c r="L163" t="s">
        <v>27</v>
      </c>
      <c r="M163">
        <v>961.44999999999993</v>
      </c>
      <c r="N163">
        <v>667.4</v>
      </c>
      <c r="O163">
        <v>294.04999999999995</v>
      </c>
      <c r="Q163" t="str" cm="1">
        <f t="array" ref="Q163">_xlfn.IFS(M163&lt;100,"low",M163&lt;500,"medum",M163&gt;500,"high")</f>
        <v>high</v>
      </c>
      <c r="R163" t="str">
        <f t="shared" si="8"/>
        <v>not risk</v>
      </c>
      <c r="S163" t="str">
        <f t="shared" si="9"/>
        <v>not</v>
      </c>
      <c r="T163" t="str">
        <f t="shared" si="10"/>
        <v>Normal Customor</v>
      </c>
      <c r="U163" t="str">
        <f t="shared" si="11"/>
        <v>important</v>
      </c>
    </row>
    <row r="164" spans="1:21" x14ac:dyDescent="0.3">
      <c r="A164" t="s">
        <v>223</v>
      </c>
      <c r="B164" s="3">
        <v>45289</v>
      </c>
      <c r="C164" t="s">
        <v>6</v>
      </c>
      <c r="D164" t="s">
        <v>62</v>
      </c>
      <c r="E164" t="s">
        <v>25</v>
      </c>
      <c r="F164" t="s">
        <v>26</v>
      </c>
      <c r="G164">
        <v>5</v>
      </c>
      <c r="H164">
        <v>667.86</v>
      </c>
      <c r="I164">
        <v>484.17</v>
      </c>
      <c r="J164">
        <v>15</v>
      </c>
      <c r="K164">
        <v>26</v>
      </c>
      <c r="L164" t="s">
        <v>4</v>
      </c>
      <c r="M164">
        <v>3339.3</v>
      </c>
      <c r="N164">
        <v>2420.85</v>
      </c>
      <c r="O164">
        <v>918.45000000000027</v>
      </c>
      <c r="Q164" t="str" cm="1">
        <f t="array" ref="Q164">_xlfn.IFS(M164&lt;100,"low",M164&lt;500,"medum",M164&gt;500,"high")</f>
        <v>high</v>
      </c>
      <c r="R164" t="str">
        <f t="shared" si="8"/>
        <v>risk</v>
      </c>
      <c r="S164" t="str">
        <f t="shared" si="9"/>
        <v>not</v>
      </c>
      <c r="T164" t="str">
        <f t="shared" si="10"/>
        <v>premium Customor</v>
      </c>
      <c r="U164" t="str">
        <f t="shared" si="11"/>
        <v>important</v>
      </c>
    </row>
    <row r="165" spans="1:21" x14ac:dyDescent="0.3">
      <c r="A165" t="s">
        <v>224</v>
      </c>
      <c r="B165" s="3">
        <v>45187</v>
      </c>
      <c r="C165" t="s">
        <v>64</v>
      </c>
      <c r="D165" t="s">
        <v>89</v>
      </c>
      <c r="E165" t="s">
        <v>10</v>
      </c>
      <c r="F165" t="s">
        <v>11</v>
      </c>
      <c r="G165">
        <v>6</v>
      </c>
      <c r="H165">
        <v>558.79</v>
      </c>
      <c r="I165">
        <v>408.46</v>
      </c>
      <c r="J165">
        <v>20</v>
      </c>
      <c r="K165">
        <v>21</v>
      </c>
      <c r="L165" t="s">
        <v>18</v>
      </c>
      <c r="M165">
        <v>3352.74</v>
      </c>
      <c r="N165">
        <v>2450.7599999999998</v>
      </c>
      <c r="O165">
        <v>901.98</v>
      </c>
      <c r="Q165" t="str" cm="1">
        <f t="array" ref="Q165">_xlfn.IFS(M165&lt;100,"low",M165&lt;500,"medum",M165&gt;500,"high")</f>
        <v>high</v>
      </c>
      <c r="R165" t="str">
        <f t="shared" si="8"/>
        <v>not risk</v>
      </c>
      <c r="S165" t="str">
        <f t="shared" si="9"/>
        <v>not</v>
      </c>
      <c r="T165" t="str">
        <f t="shared" si="10"/>
        <v>premium Customor</v>
      </c>
      <c r="U165" t="str">
        <f t="shared" si="11"/>
        <v>important</v>
      </c>
    </row>
    <row r="166" spans="1:21" x14ac:dyDescent="0.3">
      <c r="A166" t="s">
        <v>225</v>
      </c>
      <c r="B166" s="3">
        <v>44997</v>
      </c>
      <c r="C166" t="s">
        <v>20</v>
      </c>
      <c r="D166" t="s">
        <v>154</v>
      </c>
      <c r="E166" t="s">
        <v>25</v>
      </c>
      <c r="F166" t="s">
        <v>26</v>
      </c>
      <c r="G166">
        <v>5</v>
      </c>
      <c r="H166">
        <v>116.59</v>
      </c>
      <c r="I166">
        <v>98.33</v>
      </c>
      <c r="J166">
        <v>15</v>
      </c>
      <c r="K166">
        <v>34</v>
      </c>
      <c r="L166" t="s">
        <v>12</v>
      </c>
      <c r="M166">
        <v>582.95000000000005</v>
      </c>
      <c r="N166">
        <v>491.65</v>
      </c>
      <c r="O166">
        <v>91.300000000000068</v>
      </c>
      <c r="Q166" t="str" cm="1">
        <f t="array" ref="Q166">_xlfn.IFS(M166&lt;100,"low",M166&lt;500,"medum",M166&gt;500,"high")</f>
        <v>high</v>
      </c>
      <c r="R166" t="str">
        <f t="shared" si="8"/>
        <v>not risk</v>
      </c>
      <c r="S166" t="str">
        <f t="shared" si="9"/>
        <v>not</v>
      </c>
      <c r="T166" t="str">
        <f t="shared" si="10"/>
        <v>Normal Customor</v>
      </c>
      <c r="U166" t="str">
        <f t="shared" si="11"/>
        <v>important</v>
      </c>
    </row>
    <row r="167" spans="1:21" x14ac:dyDescent="0.3">
      <c r="A167" t="s">
        <v>226</v>
      </c>
      <c r="B167" s="3">
        <v>45243</v>
      </c>
      <c r="C167" t="s">
        <v>32</v>
      </c>
      <c r="D167" t="s">
        <v>91</v>
      </c>
      <c r="E167" t="s">
        <v>16</v>
      </c>
      <c r="F167" t="s">
        <v>17</v>
      </c>
      <c r="G167">
        <v>2</v>
      </c>
      <c r="H167">
        <v>340.52</v>
      </c>
      <c r="I167">
        <v>258.77</v>
      </c>
      <c r="J167">
        <v>20</v>
      </c>
      <c r="K167">
        <v>14</v>
      </c>
      <c r="L167" t="s">
        <v>27</v>
      </c>
      <c r="M167">
        <v>681.04</v>
      </c>
      <c r="N167">
        <v>517.54</v>
      </c>
      <c r="O167">
        <v>163.5</v>
      </c>
      <c r="Q167" t="str" cm="1">
        <f t="array" ref="Q167">_xlfn.IFS(M167&lt;100,"low",M167&lt;500,"medum",M167&gt;500,"high")</f>
        <v>high</v>
      </c>
      <c r="R167" t="str">
        <f t="shared" si="8"/>
        <v>not risk</v>
      </c>
      <c r="S167" t="str">
        <f t="shared" si="9"/>
        <v>not</v>
      </c>
      <c r="T167" t="str">
        <f t="shared" si="10"/>
        <v>Normal Customor</v>
      </c>
      <c r="U167" t="str">
        <f t="shared" si="11"/>
        <v>not</v>
      </c>
    </row>
    <row r="168" spans="1:21" x14ac:dyDescent="0.3">
      <c r="A168" t="s">
        <v>227</v>
      </c>
      <c r="B168" s="3">
        <v>45151</v>
      </c>
      <c r="C168" t="s">
        <v>32</v>
      </c>
      <c r="D168" t="s">
        <v>156</v>
      </c>
      <c r="E168" t="s">
        <v>10</v>
      </c>
      <c r="F168" t="s">
        <v>11</v>
      </c>
      <c r="G168">
        <v>3</v>
      </c>
      <c r="H168">
        <v>128.21</v>
      </c>
      <c r="I168">
        <v>89.5</v>
      </c>
      <c r="J168">
        <v>20</v>
      </c>
      <c r="K168">
        <v>113</v>
      </c>
      <c r="L168" t="s">
        <v>12</v>
      </c>
      <c r="M168">
        <v>384.63</v>
      </c>
      <c r="N168">
        <v>268.5</v>
      </c>
      <c r="O168">
        <v>116.13</v>
      </c>
      <c r="Q168" t="str" cm="1">
        <f t="array" ref="Q168">_xlfn.IFS(M168&lt;100,"low",M168&lt;500,"medum",M168&gt;500,"high")</f>
        <v>medum</v>
      </c>
      <c r="R168" t="str">
        <f t="shared" si="8"/>
        <v>not risk</v>
      </c>
      <c r="S168" t="str">
        <f t="shared" si="9"/>
        <v>not</v>
      </c>
      <c r="T168" t="str">
        <f t="shared" si="10"/>
        <v>Normal Customor</v>
      </c>
      <c r="U168" t="str">
        <f t="shared" si="11"/>
        <v>not</v>
      </c>
    </row>
    <row r="169" spans="1:21" x14ac:dyDescent="0.3">
      <c r="A169" t="s">
        <v>228</v>
      </c>
      <c r="B169" s="3">
        <v>45049</v>
      </c>
      <c r="C169" t="s">
        <v>64</v>
      </c>
      <c r="D169" t="s">
        <v>81</v>
      </c>
      <c r="E169" t="s">
        <v>25</v>
      </c>
      <c r="F169" t="s">
        <v>26</v>
      </c>
      <c r="G169">
        <v>4</v>
      </c>
      <c r="H169">
        <v>652.09</v>
      </c>
      <c r="I169">
        <v>485.1</v>
      </c>
      <c r="J169">
        <v>15</v>
      </c>
      <c r="K169">
        <v>39</v>
      </c>
      <c r="L169" t="s">
        <v>4</v>
      </c>
      <c r="M169">
        <v>2608.36</v>
      </c>
      <c r="N169">
        <v>1940.4</v>
      </c>
      <c r="O169">
        <v>667.96</v>
      </c>
      <c r="Q169" t="str" cm="1">
        <f t="array" ref="Q169">_xlfn.IFS(M169&lt;100,"low",M169&lt;500,"medum",M169&gt;500,"high")</f>
        <v>high</v>
      </c>
      <c r="R169" t="str">
        <f t="shared" si="8"/>
        <v>risk</v>
      </c>
      <c r="S169" t="str">
        <f t="shared" si="9"/>
        <v>not</v>
      </c>
      <c r="T169" t="str">
        <f t="shared" si="10"/>
        <v>premium Customor</v>
      </c>
      <c r="U169" t="str">
        <f t="shared" si="11"/>
        <v>not</v>
      </c>
    </row>
    <row r="170" spans="1:21" x14ac:dyDescent="0.3">
      <c r="A170" t="s">
        <v>229</v>
      </c>
      <c r="B170" s="3">
        <v>45122</v>
      </c>
      <c r="C170" t="s">
        <v>20</v>
      </c>
      <c r="D170" t="s">
        <v>129</v>
      </c>
      <c r="E170" t="s">
        <v>36</v>
      </c>
      <c r="F170" t="s">
        <v>37</v>
      </c>
      <c r="G170">
        <v>6</v>
      </c>
      <c r="H170">
        <v>454.72</v>
      </c>
      <c r="I170">
        <v>342.37</v>
      </c>
      <c r="J170">
        <v>15</v>
      </c>
      <c r="K170">
        <v>69</v>
      </c>
      <c r="L170" t="s">
        <v>27</v>
      </c>
      <c r="M170">
        <v>2728.32</v>
      </c>
      <c r="N170">
        <v>2054.2200000000003</v>
      </c>
      <c r="O170">
        <v>674.09999999999991</v>
      </c>
      <c r="Q170" t="str" cm="1">
        <f t="array" ref="Q170">_xlfn.IFS(M170&lt;100,"low",M170&lt;500,"medum",M170&gt;500,"high")</f>
        <v>high</v>
      </c>
      <c r="R170" t="str">
        <f t="shared" si="8"/>
        <v>not risk</v>
      </c>
      <c r="S170" t="str">
        <f t="shared" si="9"/>
        <v>not</v>
      </c>
      <c r="T170" t="str">
        <f t="shared" si="10"/>
        <v>premium Customor</v>
      </c>
      <c r="U170" t="str">
        <f t="shared" si="11"/>
        <v>important</v>
      </c>
    </row>
    <row r="171" spans="1:21" x14ac:dyDescent="0.3">
      <c r="A171" t="s">
        <v>230</v>
      </c>
      <c r="B171" s="3">
        <v>45255</v>
      </c>
      <c r="C171" t="s">
        <v>6</v>
      </c>
      <c r="D171" t="s">
        <v>52</v>
      </c>
      <c r="E171" t="s">
        <v>10</v>
      </c>
      <c r="F171" t="s">
        <v>11</v>
      </c>
      <c r="G171">
        <v>3</v>
      </c>
      <c r="H171">
        <v>582.79999999999995</v>
      </c>
      <c r="I171">
        <v>410.28</v>
      </c>
      <c r="J171">
        <v>5</v>
      </c>
      <c r="K171">
        <v>42</v>
      </c>
      <c r="L171" t="s">
        <v>38</v>
      </c>
      <c r="M171">
        <v>1748.3999999999999</v>
      </c>
      <c r="N171">
        <v>1230.8399999999999</v>
      </c>
      <c r="O171">
        <v>517.55999999999995</v>
      </c>
      <c r="Q171" t="str" cm="1">
        <f t="array" ref="Q171">_xlfn.IFS(M171&lt;100,"low",M171&lt;500,"medum",M171&gt;500,"high")</f>
        <v>high</v>
      </c>
      <c r="R171" t="str">
        <f t="shared" si="8"/>
        <v>risk</v>
      </c>
      <c r="S171" t="str">
        <f t="shared" si="9"/>
        <v>not</v>
      </c>
      <c r="T171" t="str">
        <f t="shared" si="10"/>
        <v>premium Customor</v>
      </c>
      <c r="U171" t="str">
        <f t="shared" si="11"/>
        <v>not</v>
      </c>
    </row>
    <row r="172" spans="1:21" x14ac:dyDescent="0.3">
      <c r="A172" t="s">
        <v>231</v>
      </c>
      <c r="B172" s="3">
        <v>45189</v>
      </c>
      <c r="C172" t="s">
        <v>14</v>
      </c>
      <c r="D172" t="s">
        <v>15</v>
      </c>
      <c r="E172" t="s">
        <v>30</v>
      </c>
      <c r="F172" t="s">
        <v>11</v>
      </c>
      <c r="G172">
        <v>9</v>
      </c>
      <c r="H172">
        <v>518.47</v>
      </c>
      <c r="I172">
        <v>427.07</v>
      </c>
      <c r="J172">
        <v>5</v>
      </c>
      <c r="K172">
        <v>44</v>
      </c>
      <c r="L172" t="s">
        <v>18</v>
      </c>
      <c r="M172">
        <v>4666.2300000000005</v>
      </c>
      <c r="N172">
        <v>3843.63</v>
      </c>
      <c r="O172">
        <v>822.60000000000036</v>
      </c>
      <c r="Q172" t="str" cm="1">
        <f t="array" ref="Q172">_xlfn.IFS(M172&lt;100,"low",M172&lt;500,"medum",M172&gt;500,"high")</f>
        <v>high</v>
      </c>
      <c r="R172" t="str">
        <f t="shared" si="8"/>
        <v>not risk</v>
      </c>
      <c r="S172" t="str">
        <f t="shared" si="9"/>
        <v>not</v>
      </c>
      <c r="T172" t="str">
        <f t="shared" si="10"/>
        <v>premium Customor</v>
      </c>
      <c r="U172" t="str">
        <f t="shared" si="11"/>
        <v>important</v>
      </c>
    </row>
    <row r="173" spans="1:21" x14ac:dyDescent="0.3">
      <c r="A173" t="s">
        <v>232</v>
      </c>
      <c r="B173" s="3">
        <v>45129</v>
      </c>
      <c r="C173" t="s">
        <v>32</v>
      </c>
      <c r="D173" t="s">
        <v>50</v>
      </c>
      <c r="E173" t="s">
        <v>30</v>
      </c>
      <c r="F173" t="s">
        <v>11</v>
      </c>
      <c r="G173">
        <v>4</v>
      </c>
      <c r="H173">
        <v>596.34</v>
      </c>
      <c r="I173">
        <v>410.18</v>
      </c>
      <c r="J173">
        <v>0</v>
      </c>
      <c r="K173">
        <v>63</v>
      </c>
      <c r="L173" t="s">
        <v>38</v>
      </c>
      <c r="M173">
        <v>2385.36</v>
      </c>
      <c r="N173">
        <v>1640.72</v>
      </c>
      <c r="O173">
        <v>744.6400000000001</v>
      </c>
      <c r="Q173" t="str" cm="1">
        <f t="array" ref="Q173">_xlfn.IFS(M173&lt;100,"low",M173&lt;500,"medum",M173&gt;500,"high")</f>
        <v>high</v>
      </c>
      <c r="R173" t="str">
        <f t="shared" si="8"/>
        <v>risk</v>
      </c>
      <c r="S173" t="str">
        <f t="shared" si="9"/>
        <v>not</v>
      </c>
      <c r="T173" t="str">
        <f t="shared" si="10"/>
        <v>premium Customor</v>
      </c>
      <c r="U173" t="str">
        <f t="shared" si="11"/>
        <v>not</v>
      </c>
    </row>
    <row r="174" spans="1:21" x14ac:dyDescent="0.3">
      <c r="A174" t="s">
        <v>233</v>
      </c>
      <c r="B174" s="3">
        <v>45259</v>
      </c>
      <c r="C174" t="s">
        <v>6</v>
      </c>
      <c r="D174" t="s">
        <v>200</v>
      </c>
      <c r="E174" t="s">
        <v>36</v>
      </c>
      <c r="F174" t="s">
        <v>37</v>
      </c>
      <c r="G174">
        <v>7</v>
      </c>
      <c r="H174">
        <v>621.63</v>
      </c>
      <c r="I174">
        <v>497.32</v>
      </c>
      <c r="J174">
        <v>0</v>
      </c>
      <c r="K174">
        <v>50</v>
      </c>
      <c r="L174" t="s">
        <v>38</v>
      </c>
      <c r="M174">
        <v>4351.41</v>
      </c>
      <c r="N174">
        <v>3481.24</v>
      </c>
      <c r="O174">
        <v>870.17000000000007</v>
      </c>
      <c r="Q174" t="str" cm="1">
        <f t="array" ref="Q174">_xlfn.IFS(M174&lt;100,"low",M174&lt;500,"medum",M174&gt;500,"high")</f>
        <v>high</v>
      </c>
      <c r="R174" t="str">
        <f t="shared" si="8"/>
        <v>risk</v>
      </c>
      <c r="S174" t="str">
        <f t="shared" si="9"/>
        <v>not</v>
      </c>
      <c r="T174" t="str">
        <f t="shared" si="10"/>
        <v>premium Customor</v>
      </c>
      <c r="U174" t="str">
        <f t="shared" si="11"/>
        <v>important</v>
      </c>
    </row>
    <row r="175" spans="1:21" x14ac:dyDescent="0.3">
      <c r="A175" t="s">
        <v>234</v>
      </c>
      <c r="B175" s="3">
        <v>45156</v>
      </c>
      <c r="C175" t="s">
        <v>20</v>
      </c>
      <c r="D175" t="s">
        <v>87</v>
      </c>
      <c r="E175" t="s">
        <v>42</v>
      </c>
      <c r="F175" t="s">
        <v>43</v>
      </c>
      <c r="G175">
        <v>1</v>
      </c>
      <c r="H175">
        <v>215.6</v>
      </c>
      <c r="I175">
        <v>150.57</v>
      </c>
      <c r="J175">
        <v>5</v>
      </c>
      <c r="K175">
        <v>107</v>
      </c>
      <c r="L175" t="s">
        <v>18</v>
      </c>
      <c r="M175">
        <v>215.6</v>
      </c>
      <c r="N175">
        <v>150.57</v>
      </c>
      <c r="O175">
        <v>65.03</v>
      </c>
      <c r="Q175" t="str" cm="1">
        <f t="array" ref="Q175">_xlfn.IFS(M175&lt;100,"low",M175&lt;500,"medum",M175&gt;500,"high")</f>
        <v>medum</v>
      </c>
      <c r="R175" t="str">
        <f t="shared" si="8"/>
        <v>not risk</v>
      </c>
      <c r="S175" t="str">
        <f t="shared" si="9"/>
        <v>not</v>
      </c>
      <c r="T175" t="str">
        <f t="shared" si="10"/>
        <v>Normal Customor</v>
      </c>
      <c r="U175" t="str">
        <f t="shared" si="11"/>
        <v>not</v>
      </c>
    </row>
    <row r="176" spans="1:21" x14ac:dyDescent="0.3">
      <c r="A176" t="s">
        <v>235</v>
      </c>
      <c r="B176" s="3">
        <v>45197</v>
      </c>
      <c r="C176" t="s">
        <v>6</v>
      </c>
      <c r="D176" t="s">
        <v>56</v>
      </c>
      <c r="E176" t="s">
        <v>30</v>
      </c>
      <c r="F176" t="s">
        <v>11</v>
      </c>
      <c r="G176">
        <v>1</v>
      </c>
      <c r="H176">
        <v>194.16</v>
      </c>
      <c r="I176">
        <v>135.4</v>
      </c>
      <c r="J176">
        <v>20</v>
      </c>
      <c r="K176">
        <v>103</v>
      </c>
      <c r="L176" t="s">
        <v>4</v>
      </c>
      <c r="M176">
        <v>194.16</v>
      </c>
      <c r="N176">
        <v>135.4</v>
      </c>
      <c r="O176">
        <v>58.759999999999991</v>
      </c>
      <c r="Q176" t="str" cm="1">
        <f t="array" ref="Q176">_xlfn.IFS(M176&lt;100,"low",M176&lt;500,"medum",M176&gt;500,"high")</f>
        <v>medum</v>
      </c>
      <c r="R176" t="str">
        <f t="shared" si="8"/>
        <v>risk</v>
      </c>
      <c r="S176" t="str">
        <f t="shared" si="9"/>
        <v>not</v>
      </c>
      <c r="T176" t="str">
        <f t="shared" si="10"/>
        <v>Normal Customor</v>
      </c>
      <c r="U176" t="str">
        <f t="shared" si="11"/>
        <v>not</v>
      </c>
    </row>
    <row r="177" spans="1:21" x14ac:dyDescent="0.3">
      <c r="A177" t="s">
        <v>236</v>
      </c>
      <c r="B177" s="3">
        <v>45161</v>
      </c>
      <c r="C177" t="s">
        <v>14</v>
      </c>
      <c r="D177" t="s">
        <v>54</v>
      </c>
      <c r="E177" t="s">
        <v>16</v>
      </c>
      <c r="F177" t="s">
        <v>17</v>
      </c>
      <c r="G177">
        <v>4</v>
      </c>
      <c r="H177">
        <v>176.33</v>
      </c>
      <c r="I177">
        <v>157.56</v>
      </c>
      <c r="J177">
        <v>15</v>
      </c>
      <c r="K177">
        <v>91</v>
      </c>
      <c r="L177" t="s">
        <v>4</v>
      </c>
      <c r="M177">
        <v>705.32</v>
      </c>
      <c r="N177">
        <v>630.24</v>
      </c>
      <c r="O177">
        <v>75.080000000000041</v>
      </c>
      <c r="Q177" t="str" cm="1">
        <f t="array" ref="Q177">_xlfn.IFS(M177&lt;100,"low",M177&lt;500,"medum",M177&gt;500,"high")</f>
        <v>high</v>
      </c>
      <c r="R177" t="str">
        <f t="shared" si="8"/>
        <v>risk</v>
      </c>
      <c r="S177" t="str">
        <f t="shared" si="9"/>
        <v>not</v>
      </c>
      <c r="T177" t="str">
        <f t="shared" si="10"/>
        <v>Normal Customor</v>
      </c>
      <c r="U177" t="str">
        <f t="shared" si="11"/>
        <v>not</v>
      </c>
    </row>
    <row r="178" spans="1:21" x14ac:dyDescent="0.3">
      <c r="A178" t="s">
        <v>237</v>
      </c>
      <c r="B178" s="3">
        <v>45076</v>
      </c>
      <c r="C178" t="s">
        <v>64</v>
      </c>
      <c r="D178" t="s">
        <v>107</v>
      </c>
      <c r="E178" t="s">
        <v>59</v>
      </c>
      <c r="F178" t="s">
        <v>60</v>
      </c>
      <c r="G178">
        <v>10</v>
      </c>
      <c r="H178">
        <v>368.86</v>
      </c>
      <c r="I178">
        <v>272.67</v>
      </c>
      <c r="J178">
        <v>20</v>
      </c>
      <c r="K178">
        <v>40</v>
      </c>
      <c r="L178" t="s">
        <v>12</v>
      </c>
      <c r="M178">
        <v>3688.6000000000004</v>
      </c>
      <c r="N178">
        <v>2726.7000000000003</v>
      </c>
      <c r="O178">
        <v>961.90000000000009</v>
      </c>
      <c r="Q178" t="str" cm="1">
        <f t="array" ref="Q178">_xlfn.IFS(M178&lt;100,"low",M178&lt;500,"medum",M178&gt;500,"high")</f>
        <v>high</v>
      </c>
      <c r="R178" t="str">
        <f t="shared" si="8"/>
        <v>not risk</v>
      </c>
      <c r="S178" t="str">
        <f t="shared" si="9"/>
        <v>not</v>
      </c>
      <c r="T178" t="str">
        <f t="shared" si="10"/>
        <v>premium Customor</v>
      </c>
      <c r="U178" t="str">
        <f t="shared" si="11"/>
        <v>important</v>
      </c>
    </row>
    <row r="179" spans="1:21" x14ac:dyDescent="0.3">
      <c r="A179" t="s">
        <v>238</v>
      </c>
      <c r="B179" s="3">
        <v>44961</v>
      </c>
      <c r="C179" t="s">
        <v>14</v>
      </c>
      <c r="D179" t="s">
        <v>54</v>
      </c>
      <c r="E179" t="s">
        <v>25</v>
      </c>
      <c r="F179" t="s">
        <v>26</v>
      </c>
      <c r="G179">
        <v>4</v>
      </c>
      <c r="H179">
        <v>340.29</v>
      </c>
      <c r="I179">
        <v>289.63</v>
      </c>
      <c r="J179">
        <v>0</v>
      </c>
      <c r="K179">
        <v>77</v>
      </c>
      <c r="L179" t="s">
        <v>27</v>
      </c>
      <c r="M179">
        <v>1361.16</v>
      </c>
      <c r="N179">
        <v>1158.52</v>
      </c>
      <c r="O179">
        <v>202.6400000000001</v>
      </c>
      <c r="Q179" t="str" cm="1">
        <f t="array" ref="Q179">_xlfn.IFS(M179&lt;100,"low",M179&lt;500,"medum",M179&gt;500,"high")</f>
        <v>high</v>
      </c>
      <c r="R179" t="str">
        <f t="shared" si="8"/>
        <v>not risk</v>
      </c>
      <c r="S179" t="str">
        <f t="shared" si="9"/>
        <v>not</v>
      </c>
      <c r="T179" t="str">
        <f t="shared" si="10"/>
        <v>premium Customor</v>
      </c>
      <c r="U179" t="str">
        <f t="shared" si="11"/>
        <v>not</v>
      </c>
    </row>
    <row r="180" spans="1:21" x14ac:dyDescent="0.3">
      <c r="A180" t="s">
        <v>239</v>
      </c>
      <c r="B180" s="3">
        <v>44935</v>
      </c>
      <c r="C180" t="s">
        <v>6</v>
      </c>
      <c r="D180" t="s">
        <v>52</v>
      </c>
      <c r="E180" t="s">
        <v>3</v>
      </c>
      <c r="F180" t="s">
        <v>3</v>
      </c>
      <c r="G180">
        <v>7</v>
      </c>
      <c r="H180">
        <v>489.35</v>
      </c>
      <c r="I180">
        <v>437.93</v>
      </c>
      <c r="J180">
        <v>15</v>
      </c>
      <c r="K180">
        <v>57</v>
      </c>
      <c r="L180" t="s">
        <v>27</v>
      </c>
      <c r="M180">
        <v>3425.4500000000003</v>
      </c>
      <c r="N180">
        <v>3065.51</v>
      </c>
      <c r="O180" s="5">
        <v>359.94000000000005</v>
      </c>
      <c r="Q180" t="str" cm="1">
        <f t="array" ref="Q180">_xlfn.IFS(M180&lt;100,"low",M180&lt;500,"medum",M180&gt;500,"high")</f>
        <v>high</v>
      </c>
      <c r="R180" t="str">
        <f t="shared" si="8"/>
        <v>not risk</v>
      </c>
      <c r="S180" t="str">
        <f t="shared" si="9"/>
        <v>not</v>
      </c>
      <c r="T180" t="str">
        <f t="shared" si="10"/>
        <v>premium Customor</v>
      </c>
      <c r="U180" t="str">
        <f t="shared" si="11"/>
        <v>important</v>
      </c>
    </row>
    <row r="181" spans="1:21" x14ac:dyDescent="0.3">
      <c r="A181" t="s">
        <v>240</v>
      </c>
      <c r="B181" s="3">
        <v>44995</v>
      </c>
      <c r="C181" t="s">
        <v>20</v>
      </c>
      <c r="D181" t="s">
        <v>154</v>
      </c>
      <c r="E181" t="s">
        <v>25</v>
      </c>
      <c r="F181" t="s">
        <v>26</v>
      </c>
      <c r="G181">
        <v>4</v>
      </c>
      <c r="H181">
        <v>498.82</v>
      </c>
      <c r="I181">
        <v>369.14</v>
      </c>
      <c r="J181">
        <v>20</v>
      </c>
      <c r="K181">
        <v>104</v>
      </c>
      <c r="L181" t="s">
        <v>27</v>
      </c>
      <c r="M181">
        <v>1995.28</v>
      </c>
      <c r="N181">
        <v>1476.56</v>
      </c>
      <c r="O181">
        <v>518.72</v>
      </c>
      <c r="Q181" t="str" cm="1">
        <f t="array" ref="Q181">_xlfn.IFS(M181&lt;100,"low",M181&lt;500,"medum",M181&gt;500,"high")</f>
        <v>high</v>
      </c>
      <c r="R181" t="str">
        <f t="shared" si="8"/>
        <v>not risk</v>
      </c>
      <c r="S181" t="str">
        <f t="shared" si="9"/>
        <v>not</v>
      </c>
      <c r="T181" t="str">
        <f t="shared" si="10"/>
        <v>premium Customor</v>
      </c>
      <c r="U181" t="str">
        <f t="shared" si="11"/>
        <v>not</v>
      </c>
    </row>
    <row r="182" spans="1:21" x14ac:dyDescent="0.3">
      <c r="A182" t="s">
        <v>241</v>
      </c>
      <c r="B182" s="3">
        <v>44996</v>
      </c>
      <c r="C182" t="s">
        <v>64</v>
      </c>
      <c r="D182" t="s">
        <v>89</v>
      </c>
      <c r="E182" t="s">
        <v>25</v>
      </c>
      <c r="F182" t="s">
        <v>26</v>
      </c>
      <c r="G182">
        <v>3</v>
      </c>
      <c r="H182">
        <v>572.75</v>
      </c>
      <c r="I182">
        <v>416.89</v>
      </c>
      <c r="J182">
        <v>15</v>
      </c>
      <c r="K182">
        <v>90</v>
      </c>
      <c r="L182" t="s">
        <v>12</v>
      </c>
      <c r="M182">
        <v>1718.25</v>
      </c>
      <c r="N182">
        <v>1250.67</v>
      </c>
      <c r="O182">
        <v>467.57999999999993</v>
      </c>
      <c r="Q182" t="str" cm="1">
        <f t="array" ref="Q182">_xlfn.IFS(M182&lt;100,"low",M182&lt;500,"medum",M182&gt;500,"high")</f>
        <v>high</v>
      </c>
      <c r="R182" t="str">
        <f t="shared" si="8"/>
        <v>not risk</v>
      </c>
      <c r="S182" t="str">
        <f t="shared" si="9"/>
        <v>not</v>
      </c>
      <c r="T182" t="str">
        <f t="shared" si="10"/>
        <v>premium Customor</v>
      </c>
      <c r="U182" t="str">
        <f t="shared" si="11"/>
        <v>not</v>
      </c>
    </row>
    <row r="183" spans="1:21" x14ac:dyDescent="0.3">
      <c r="A183" t="s">
        <v>242</v>
      </c>
      <c r="B183" s="3">
        <v>45190</v>
      </c>
      <c r="C183" t="s">
        <v>64</v>
      </c>
      <c r="D183" t="s">
        <v>81</v>
      </c>
      <c r="E183" t="s">
        <v>3</v>
      </c>
      <c r="F183" t="s">
        <v>3</v>
      </c>
      <c r="G183">
        <v>5</v>
      </c>
      <c r="H183">
        <v>154.08000000000001</v>
      </c>
      <c r="I183">
        <v>108.78</v>
      </c>
      <c r="J183">
        <v>0</v>
      </c>
      <c r="K183">
        <v>50</v>
      </c>
      <c r="L183" t="s">
        <v>27</v>
      </c>
      <c r="M183">
        <v>770.40000000000009</v>
      </c>
      <c r="N183">
        <v>543.9</v>
      </c>
      <c r="O183">
        <v>226.50000000000011</v>
      </c>
      <c r="Q183" t="str" cm="1">
        <f t="array" ref="Q183">_xlfn.IFS(M183&lt;100,"low",M183&lt;500,"medum",M183&gt;500,"high")</f>
        <v>high</v>
      </c>
      <c r="R183" t="str">
        <f t="shared" si="8"/>
        <v>not risk</v>
      </c>
      <c r="S183" t="str">
        <f t="shared" si="9"/>
        <v>not</v>
      </c>
      <c r="T183" t="str">
        <f t="shared" si="10"/>
        <v>Normal Customor</v>
      </c>
      <c r="U183" t="str">
        <f t="shared" si="11"/>
        <v>important</v>
      </c>
    </row>
    <row r="184" spans="1:21" x14ac:dyDescent="0.3">
      <c r="A184" t="s">
        <v>243</v>
      </c>
      <c r="B184" s="3">
        <v>45262</v>
      </c>
      <c r="C184" t="s">
        <v>14</v>
      </c>
      <c r="D184" t="s">
        <v>73</v>
      </c>
      <c r="E184" t="s">
        <v>59</v>
      </c>
      <c r="F184" t="s">
        <v>60</v>
      </c>
      <c r="G184">
        <v>5</v>
      </c>
      <c r="H184">
        <v>37.96</v>
      </c>
      <c r="I184">
        <v>27.94</v>
      </c>
      <c r="J184">
        <v>10</v>
      </c>
      <c r="K184">
        <v>55</v>
      </c>
      <c r="L184" t="s">
        <v>38</v>
      </c>
      <c r="M184">
        <v>189.8</v>
      </c>
      <c r="N184">
        <v>139.70000000000002</v>
      </c>
      <c r="O184">
        <v>50.099999999999994</v>
      </c>
      <c r="Q184" t="str" cm="1">
        <f t="array" ref="Q184">_xlfn.IFS(M184&lt;100,"low",M184&lt;500,"medum",M184&gt;500,"high")</f>
        <v>medum</v>
      </c>
      <c r="R184" t="str">
        <f t="shared" si="8"/>
        <v>risk</v>
      </c>
      <c r="S184" t="str">
        <f t="shared" si="9"/>
        <v>not</v>
      </c>
      <c r="T184" t="str">
        <f t="shared" si="10"/>
        <v>Normal Customor</v>
      </c>
      <c r="U184" t="str">
        <f t="shared" si="11"/>
        <v>important</v>
      </c>
    </row>
    <row r="185" spans="1:21" x14ac:dyDescent="0.3">
      <c r="A185" t="s">
        <v>244</v>
      </c>
      <c r="B185" s="3">
        <v>45022</v>
      </c>
      <c r="C185" t="s">
        <v>20</v>
      </c>
      <c r="D185" t="s">
        <v>21</v>
      </c>
      <c r="E185" t="s">
        <v>30</v>
      </c>
      <c r="F185" t="s">
        <v>11</v>
      </c>
      <c r="G185">
        <v>6</v>
      </c>
      <c r="H185">
        <v>282.38</v>
      </c>
      <c r="I185">
        <v>224.11</v>
      </c>
      <c r="J185">
        <v>15</v>
      </c>
      <c r="K185">
        <v>59</v>
      </c>
      <c r="L185" t="s">
        <v>27</v>
      </c>
      <c r="M185">
        <v>1694.28</v>
      </c>
      <c r="N185">
        <v>1344.66</v>
      </c>
      <c r="O185">
        <v>349.61999999999989</v>
      </c>
      <c r="Q185" t="str" cm="1">
        <f t="array" ref="Q185">_xlfn.IFS(M185&lt;100,"low",M185&lt;500,"medum",M185&gt;500,"high")</f>
        <v>high</v>
      </c>
      <c r="R185" t="str">
        <f t="shared" si="8"/>
        <v>not risk</v>
      </c>
      <c r="S185" t="str">
        <f t="shared" si="9"/>
        <v>not</v>
      </c>
      <c r="T185" t="str">
        <f t="shared" si="10"/>
        <v>premium Customor</v>
      </c>
      <c r="U185" t="str">
        <f t="shared" si="11"/>
        <v>important</v>
      </c>
    </row>
    <row r="186" spans="1:21" x14ac:dyDescent="0.3">
      <c r="A186" t="s">
        <v>245</v>
      </c>
      <c r="B186" s="3">
        <v>45235</v>
      </c>
      <c r="C186" t="s">
        <v>14</v>
      </c>
      <c r="D186" t="s">
        <v>104</v>
      </c>
      <c r="E186" t="s">
        <v>25</v>
      </c>
      <c r="F186" t="s">
        <v>26</v>
      </c>
      <c r="G186">
        <v>9</v>
      </c>
      <c r="H186">
        <v>159.41</v>
      </c>
      <c r="I186">
        <v>140.69</v>
      </c>
      <c r="J186">
        <v>15</v>
      </c>
      <c r="K186">
        <v>20</v>
      </c>
      <c r="L186" t="s">
        <v>18</v>
      </c>
      <c r="M186">
        <v>1434.69</v>
      </c>
      <c r="N186">
        <v>1266.21</v>
      </c>
      <c r="O186">
        <v>168.48000000000002</v>
      </c>
      <c r="Q186" t="str" cm="1">
        <f t="array" ref="Q186">_xlfn.IFS(M186&lt;100,"low",M186&lt;500,"medum",M186&gt;500,"high")</f>
        <v>high</v>
      </c>
      <c r="R186" t="str">
        <f t="shared" si="8"/>
        <v>not risk</v>
      </c>
      <c r="S186" t="str">
        <f t="shared" si="9"/>
        <v>not</v>
      </c>
      <c r="T186" t="str">
        <f t="shared" si="10"/>
        <v>premium Customor</v>
      </c>
      <c r="U186" t="str">
        <f t="shared" si="11"/>
        <v>important</v>
      </c>
    </row>
    <row r="187" spans="1:21" x14ac:dyDescent="0.3">
      <c r="A187" t="s">
        <v>246</v>
      </c>
      <c r="B187" s="3">
        <v>45235</v>
      </c>
      <c r="C187" t="s">
        <v>23</v>
      </c>
      <c r="D187" t="s">
        <v>29</v>
      </c>
      <c r="E187" t="s">
        <v>16</v>
      </c>
      <c r="F187" t="s">
        <v>17</v>
      </c>
      <c r="G187">
        <v>6</v>
      </c>
      <c r="H187">
        <v>74.2</v>
      </c>
      <c r="I187">
        <v>60.27</v>
      </c>
      <c r="J187">
        <v>10</v>
      </c>
      <c r="K187">
        <v>49</v>
      </c>
      <c r="L187" t="s">
        <v>18</v>
      </c>
      <c r="M187">
        <v>445.20000000000005</v>
      </c>
      <c r="N187">
        <v>361.62</v>
      </c>
      <c r="O187">
        <v>83.580000000000041</v>
      </c>
      <c r="Q187" t="str" cm="1">
        <f t="array" ref="Q187">_xlfn.IFS(M187&lt;100,"low",M187&lt;500,"medum",M187&gt;500,"high")</f>
        <v>medum</v>
      </c>
      <c r="R187" t="str">
        <f t="shared" si="8"/>
        <v>not risk</v>
      </c>
      <c r="S187" t="str">
        <f t="shared" si="9"/>
        <v>not</v>
      </c>
      <c r="T187" t="str">
        <f t="shared" si="10"/>
        <v>Normal Customor</v>
      </c>
      <c r="U187" t="str">
        <f t="shared" si="11"/>
        <v>important</v>
      </c>
    </row>
    <row r="188" spans="1:21" x14ac:dyDescent="0.3">
      <c r="A188" t="s">
        <v>247</v>
      </c>
      <c r="B188" s="3">
        <v>45067</v>
      </c>
      <c r="C188" t="s">
        <v>1</v>
      </c>
      <c r="D188" t="s">
        <v>41</v>
      </c>
      <c r="E188" t="s">
        <v>42</v>
      </c>
      <c r="F188" t="s">
        <v>43</v>
      </c>
      <c r="G188">
        <v>8</v>
      </c>
      <c r="H188">
        <v>203.57</v>
      </c>
      <c r="I188">
        <v>182.26</v>
      </c>
      <c r="J188">
        <v>10</v>
      </c>
      <c r="K188">
        <v>88</v>
      </c>
      <c r="L188" t="s">
        <v>18</v>
      </c>
      <c r="M188">
        <v>1628.56</v>
      </c>
      <c r="N188">
        <v>1458.08</v>
      </c>
      <c r="O188">
        <v>170.48000000000002</v>
      </c>
      <c r="Q188" t="str" cm="1">
        <f t="array" ref="Q188">_xlfn.IFS(M188&lt;100,"low",M188&lt;500,"medum",M188&gt;500,"high")</f>
        <v>high</v>
      </c>
      <c r="R188" t="str">
        <f t="shared" si="8"/>
        <v>not risk</v>
      </c>
      <c r="S188" t="str">
        <f t="shared" si="9"/>
        <v>not</v>
      </c>
      <c r="T188" t="str">
        <f t="shared" si="10"/>
        <v>premium Customor</v>
      </c>
      <c r="U188" t="str">
        <f t="shared" si="11"/>
        <v>important</v>
      </c>
    </row>
    <row r="189" spans="1:21" x14ac:dyDescent="0.3">
      <c r="A189" t="s">
        <v>248</v>
      </c>
      <c r="B189" s="3">
        <v>45238</v>
      </c>
      <c r="C189" t="s">
        <v>1</v>
      </c>
      <c r="D189" t="s">
        <v>2</v>
      </c>
      <c r="E189" t="s">
        <v>30</v>
      </c>
      <c r="F189" t="s">
        <v>11</v>
      </c>
      <c r="G189">
        <v>7</v>
      </c>
      <c r="H189">
        <v>267.07</v>
      </c>
      <c r="I189">
        <v>188.02</v>
      </c>
      <c r="J189">
        <v>5</v>
      </c>
      <c r="K189">
        <v>13</v>
      </c>
      <c r="L189" t="s">
        <v>12</v>
      </c>
      <c r="M189">
        <v>1869.49</v>
      </c>
      <c r="N189">
        <v>1316.14</v>
      </c>
      <c r="O189">
        <v>553.34999999999991</v>
      </c>
      <c r="Q189" t="str" cm="1">
        <f t="array" ref="Q189">_xlfn.IFS(M189&lt;100,"low",M189&lt;500,"medum",M189&gt;500,"high")</f>
        <v>high</v>
      </c>
      <c r="R189" t="str">
        <f t="shared" si="8"/>
        <v>not risk</v>
      </c>
      <c r="S189" t="str">
        <f t="shared" si="9"/>
        <v>not</v>
      </c>
      <c r="T189" t="str">
        <f t="shared" si="10"/>
        <v>premium Customor</v>
      </c>
      <c r="U189" t="str">
        <f t="shared" si="11"/>
        <v>important</v>
      </c>
    </row>
    <row r="190" spans="1:21" x14ac:dyDescent="0.3">
      <c r="A190" t="s">
        <v>249</v>
      </c>
      <c r="B190" s="3">
        <v>45217</v>
      </c>
      <c r="C190" t="s">
        <v>1</v>
      </c>
      <c r="D190" t="s">
        <v>41</v>
      </c>
      <c r="E190" t="s">
        <v>3</v>
      </c>
      <c r="F190" t="s">
        <v>3</v>
      </c>
      <c r="G190">
        <v>3</v>
      </c>
      <c r="H190">
        <v>60.61</v>
      </c>
      <c r="I190">
        <v>42.94</v>
      </c>
      <c r="J190">
        <v>10</v>
      </c>
      <c r="K190">
        <v>56</v>
      </c>
      <c r="L190" t="s">
        <v>18</v>
      </c>
      <c r="M190">
        <v>181.82999999999998</v>
      </c>
      <c r="N190">
        <v>128.82</v>
      </c>
      <c r="O190">
        <v>53.009999999999991</v>
      </c>
      <c r="Q190" t="str" cm="1">
        <f t="array" ref="Q190">_xlfn.IFS(M190&lt;100,"low",M190&lt;500,"medum",M190&gt;500,"high")</f>
        <v>medum</v>
      </c>
      <c r="R190" t="str">
        <f t="shared" si="8"/>
        <v>not risk</v>
      </c>
      <c r="S190" t="str">
        <f t="shared" si="9"/>
        <v>not</v>
      </c>
      <c r="T190" t="str">
        <f t="shared" si="10"/>
        <v>Normal Customor</v>
      </c>
      <c r="U190" t="str">
        <f t="shared" si="11"/>
        <v>not</v>
      </c>
    </row>
    <row r="191" spans="1:21" x14ac:dyDescent="0.3">
      <c r="A191" t="s">
        <v>250</v>
      </c>
      <c r="B191" s="3">
        <v>45198</v>
      </c>
      <c r="C191" t="s">
        <v>64</v>
      </c>
      <c r="D191" t="s">
        <v>65</v>
      </c>
      <c r="E191" t="s">
        <v>42</v>
      </c>
      <c r="F191" t="s">
        <v>43</v>
      </c>
      <c r="G191">
        <v>8</v>
      </c>
      <c r="H191">
        <v>593.08000000000004</v>
      </c>
      <c r="I191">
        <v>474.92</v>
      </c>
      <c r="J191">
        <v>0</v>
      </c>
      <c r="K191">
        <v>83</v>
      </c>
      <c r="L191" t="s">
        <v>12</v>
      </c>
      <c r="M191">
        <v>4744.6400000000003</v>
      </c>
      <c r="N191">
        <v>3799.36</v>
      </c>
      <c r="O191">
        <v>945.2800000000002</v>
      </c>
      <c r="Q191" t="str" cm="1">
        <f t="array" ref="Q191">_xlfn.IFS(M191&lt;100,"low",M191&lt;500,"medum",M191&gt;500,"high")</f>
        <v>high</v>
      </c>
      <c r="R191" t="str">
        <f t="shared" si="8"/>
        <v>not risk</v>
      </c>
      <c r="S191" t="str">
        <f t="shared" si="9"/>
        <v>not</v>
      </c>
      <c r="T191" t="str">
        <f t="shared" si="10"/>
        <v>premium Customor</v>
      </c>
      <c r="U191" t="str">
        <f t="shared" si="11"/>
        <v>important</v>
      </c>
    </row>
    <row r="192" spans="1:21" x14ac:dyDescent="0.3">
      <c r="A192" t="s">
        <v>251</v>
      </c>
      <c r="B192" s="3">
        <v>45125</v>
      </c>
      <c r="C192" t="s">
        <v>20</v>
      </c>
      <c r="D192" t="s">
        <v>129</v>
      </c>
      <c r="E192" t="s">
        <v>25</v>
      </c>
      <c r="F192" t="s">
        <v>26</v>
      </c>
      <c r="G192">
        <v>5</v>
      </c>
      <c r="H192">
        <v>151.55000000000001</v>
      </c>
      <c r="I192">
        <v>132.31</v>
      </c>
      <c r="J192">
        <v>5</v>
      </c>
      <c r="K192">
        <v>73</v>
      </c>
      <c r="L192" t="s">
        <v>4</v>
      </c>
      <c r="M192">
        <v>757.75</v>
      </c>
      <c r="N192">
        <v>661.55</v>
      </c>
      <c r="O192">
        <v>96.200000000000045</v>
      </c>
      <c r="Q192" t="str" cm="1">
        <f t="array" ref="Q192">_xlfn.IFS(M192&lt;100,"low",M192&lt;500,"medum",M192&gt;500,"high")</f>
        <v>high</v>
      </c>
      <c r="R192" t="str">
        <f t="shared" si="8"/>
        <v>risk</v>
      </c>
      <c r="S192" t="str">
        <f t="shared" si="9"/>
        <v>not</v>
      </c>
      <c r="T192" t="str">
        <f t="shared" si="10"/>
        <v>Normal Customor</v>
      </c>
      <c r="U192" t="str">
        <f t="shared" si="11"/>
        <v>important</v>
      </c>
    </row>
    <row r="193" spans="1:21" x14ac:dyDescent="0.3">
      <c r="A193" t="s">
        <v>252</v>
      </c>
      <c r="B193" s="3">
        <v>45029</v>
      </c>
      <c r="C193" t="s">
        <v>6</v>
      </c>
      <c r="D193" t="s">
        <v>56</v>
      </c>
      <c r="E193" t="s">
        <v>16</v>
      </c>
      <c r="F193" t="s">
        <v>17</v>
      </c>
      <c r="G193">
        <v>5</v>
      </c>
      <c r="H193">
        <v>420.95</v>
      </c>
      <c r="I193">
        <v>354.98</v>
      </c>
      <c r="J193">
        <v>20</v>
      </c>
      <c r="K193">
        <v>46</v>
      </c>
      <c r="L193" t="s">
        <v>18</v>
      </c>
      <c r="M193">
        <v>2104.75</v>
      </c>
      <c r="N193">
        <v>1774.9</v>
      </c>
      <c r="O193">
        <v>329.84999999999991</v>
      </c>
      <c r="Q193" t="str" cm="1">
        <f t="array" ref="Q193">_xlfn.IFS(M193&lt;100,"low",M193&lt;500,"medum",M193&gt;500,"high")</f>
        <v>high</v>
      </c>
      <c r="R193" t="str">
        <f t="shared" si="8"/>
        <v>not risk</v>
      </c>
      <c r="S193" t="str">
        <f t="shared" si="9"/>
        <v>not</v>
      </c>
      <c r="T193" t="str">
        <f t="shared" si="10"/>
        <v>premium Customor</v>
      </c>
      <c r="U193" t="str">
        <f t="shared" si="11"/>
        <v>important</v>
      </c>
    </row>
    <row r="194" spans="1:21" x14ac:dyDescent="0.3">
      <c r="A194" t="s">
        <v>253</v>
      </c>
      <c r="B194" s="3">
        <v>45268</v>
      </c>
      <c r="C194" t="s">
        <v>64</v>
      </c>
      <c r="D194" t="s">
        <v>77</v>
      </c>
      <c r="E194" t="s">
        <v>30</v>
      </c>
      <c r="F194" t="s">
        <v>11</v>
      </c>
      <c r="G194">
        <v>8</v>
      </c>
      <c r="H194">
        <v>131.05000000000001</v>
      </c>
      <c r="I194">
        <v>94.6</v>
      </c>
      <c r="J194">
        <v>0</v>
      </c>
      <c r="K194">
        <v>113</v>
      </c>
      <c r="L194" t="s">
        <v>27</v>
      </c>
      <c r="M194">
        <v>1048.4000000000001</v>
      </c>
      <c r="N194">
        <v>756.8</v>
      </c>
      <c r="O194">
        <v>291.60000000000014</v>
      </c>
      <c r="Q194" t="str" cm="1">
        <f t="array" ref="Q194">_xlfn.IFS(M194&lt;100,"low",M194&lt;500,"medum",M194&gt;500,"high")</f>
        <v>high</v>
      </c>
      <c r="R194" t="str">
        <f t="shared" si="8"/>
        <v>not risk</v>
      </c>
      <c r="S194" t="str">
        <f t="shared" si="9"/>
        <v>not</v>
      </c>
      <c r="T194" t="str">
        <f t="shared" si="10"/>
        <v>premium Customor</v>
      </c>
      <c r="U194" t="str">
        <f t="shared" si="11"/>
        <v>important</v>
      </c>
    </row>
    <row r="195" spans="1:21" x14ac:dyDescent="0.3">
      <c r="A195" t="s">
        <v>254</v>
      </c>
      <c r="B195" s="3">
        <v>45187</v>
      </c>
      <c r="C195" t="s">
        <v>20</v>
      </c>
      <c r="D195" t="s">
        <v>154</v>
      </c>
      <c r="E195" t="s">
        <v>16</v>
      </c>
      <c r="F195" t="s">
        <v>17</v>
      </c>
      <c r="G195">
        <v>5</v>
      </c>
      <c r="H195">
        <v>591.51</v>
      </c>
      <c r="I195">
        <v>427.17</v>
      </c>
      <c r="J195">
        <v>5</v>
      </c>
      <c r="K195">
        <v>111</v>
      </c>
      <c r="L195" t="s">
        <v>27</v>
      </c>
      <c r="M195">
        <v>2957.55</v>
      </c>
      <c r="N195">
        <v>2135.85</v>
      </c>
      <c r="O195">
        <v>821.70000000000027</v>
      </c>
      <c r="Q195" t="str" cm="1">
        <f t="array" ref="Q195">_xlfn.IFS(M195&lt;100,"low",M195&lt;500,"medum",M195&gt;500,"high")</f>
        <v>high</v>
      </c>
      <c r="R195" t="str">
        <f t="shared" ref="R195:R201" si="12">IF(OR(L195="wallet",L195="upi"),"risk","not risk")</f>
        <v>not risk</v>
      </c>
      <c r="S195" t="str">
        <f t="shared" ref="S195:S201" si="13">IF(G195&lt;1,"retrun","not")</f>
        <v>not</v>
      </c>
      <c r="T195" t="str">
        <f t="shared" ref="T195:T201" si="14">IF(M195&gt;1000,"premium Customor","Normal Customor")</f>
        <v>premium Customor</v>
      </c>
      <c r="U195" t="str">
        <f t="shared" ref="U195:U201" si="15">IF(G195&gt;4,"important","not")</f>
        <v>important</v>
      </c>
    </row>
    <row r="196" spans="1:21" x14ac:dyDescent="0.3">
      <c r="A196" t="s">
        <v>255</v>
      </c>
      <c r="B196" s="3">
        <v>45115</v>
      </c>
      <c r="C196" t="s">
        <v>32</v>
      </c>
      <c r="D196" t="s">
        <v>91</v>
      </c>
      <c r="E196" t="s">
        <v>36</v>
      </c>
      <c r="F196" t="s">
        <v>37</v>
      </c>
      <c r="G196">
        <v>3</v>
      </c>
      <c r="H196">
        <v>163.5</v>
      </c>
      <c r="I196">
        <v>126</v>
      </c>
      <c r="J196">
        <v>10</v>
      </c>
      <c r="K196">
        <v>80</v>
      </c>
      <c r="L196" t="s">
        <v>4</v>
      </c>
      <c r="M196">
        <v>490.5</v>
      </c>
      <c r="N196">
        <v>378</v>
      </c>
      <c r="O196">
        <v>112.5</v>
      </c>
      <c r="Q196" t="str" cm="1">
        <f t="array" ref="Q196">_xlfn.IFS(M196&lt;100,"low",M196&lt;500,"medum",M196&gt;500,"high")</f>
        <v>medum</v>
      </c>
      <c r="R196" t="str">
        <f t="shared" si="12"/>
        <v>risk</v>
      </c>
      <c r="S196" t="str">
        <f t="shared" si="13"/>
        <v>not</v>
      </c>
      <c r="T196" t="str">
        <f t="shared" si="14"/>
        <v>Normal Customor</v>
      </c>
      <c r="U196" t="str">
        <f t="shared" si="15"/>
        <v>not</v>
      </c>
    </row>
    <row r="197" spans="1:21" x14ac:dyDescent="0.3">
      <c r="A197" t="s">
        <v>256</v>
      </c>
      <c r="B197" s="3">
        <v>45196</v>
      </c>
      <c r="C197" t="s">
        <v>14</v>
      </c>
      <c r="D197" t="s">
        <v>73</v>
      </c>
      <c r="E197" t="s">
        <v>42</v>
      </c>
      <c r="F197" t="s">
        <v>43</v>
      </c>
      <c r="G197">
        <v>10</v>
      </c>
      <c r="H197">
        <v>499.27</v>
      </c>
      <c r="I197">
        <v>443.28</v>
      </c>
      <c r="J197">
        <v>15</v>
      </c>
      <c r="K197">
        <v>101</v>
      </c>
      <c r="L197" t="s">
        <v>18</v>
      </c>
      <c r="M197">
        <v>4992.7</v>
      </c>
      <c r="N197">
        <v>4432.7999999999993</v>
      </c>
      <c r="O197">
        <v>559.90000000000055</v>
      </c>
      <c r="Q197" t="str" cm="1">
        <f t="array" ref="Q197">_xlfn.IFS(M197&lt;100,"low",M197&lt;500,"medum",M197&gt;500,"high")</f>
        <v>high</v>
      </c>
      <c r="R197" t="str">
        <f t="shared" si="12"/>
        <v>not risk</v>
      </c>
      <c r="S197" t="str">
        <f t="shared" si="13"/>
        <v>not</v>
      </c>
      <c r="T197" t="str">
        <f t="shared" si="14"/>
        <v>premium Customor</v>
      </c>
      <c r="U197" t="str">
        <f t="shared" si="15"/>
        <v>important</v>
      </c>
    </row>
    <row r="198" spans="1:21" x14ac:dyDescent="0.3">
      <c r="A198" t="s">
        <v>257</v>
      </c>
      <c r="B198" s="3">
        <v>45103</v>
      </c>
      <c r="C198" t="s">
        <v>14</v>
      </c>
      <c r="D198" t="s">
        <v>104</v>
      </c>
      <c r="E198" t="s">
        <v>30</v>
      </c>
      <c r="F198" t="s">
        <v>11</v>
      </c>
      <c r="G198">
        <v>3</v>
      </c>
      <c r="H198">
        <v>660.11</v>
      </c>
      <c r="I198">
        <v>486.47</v>
      </c>
      <c r="J198">
        <v>15</v>
      </c>
      <c r="K198">
        <v>69</v>
      </c>
      <c r="L198" t="s">
        <v>4</v>
      </c>
      <c r="M198">
        <v>1980.33</v>
      </c>
      <c r="N198">
        <v>1459.41</v>
      </c>
      <c r="O198">
        <v>520.91999999999985</v>
      </c>
      <c r="Q198" t="str" cm="1">
        <f t="array" ref="Q198">_xlfn.IFS(M198&lt;100,"low",M198&lt;500,"medum",M198&gt;500,"high")</f>
        <v>high</v>
      </c>
      <c r="R198" t="str">
        <f t="shared" si="12"/>
        <v>risk</v>
      </c>
      <c r="S198" t="str">
        <f t="shared" si="13"/>
        <v>not</v>
      </c>
      <c r="T198" t="str">
        <f t="shared" si="14"/>
        <v>premium Customor</v>
      </c>
      <c r="U198" t="str">
        <f t="shared" si="15"/>
        <v>not</v>
      </c>
    </row>
    <row r="199" spans="1:21" x14ac:dyDescent="0.3">
      <c r="A199" t="s">
        <v>258</v>
      </c>
      <c r="B199" s="3">
        <v>45192</v>
      </c>
      <c r="C199" t="s">
        <v>32</v>
      </c>
      <c r="D199" t="s">
        <v>156</v>
      </c>
      <c r="E199" t="s">
        <v>42</v>
      </c>
      <c r="F199" t="s">
        <v>43</v>
      </c>
      <c r="G199">
        <v>3</v>
      </c>
      <c r="H199">
        <v>325.04000000000002</v>
      </c>
      <c r="I199">
        <v>221.98</v>
      </c>
      <c r="J199">
        <v>0</v>
      </c>
      <c r="K199">
        <v>116</v>
      </c>
      <c r="L199" t="s">
        <v>38</v>
      </c>
      <c r="M199">
        <v>975.12000000000012</v>
      </c>
      <c r="N199">
        <v>665.93999999999994</v>
      </c>
      <c r="O199">
        <v>309.18000000000018</v>
      </c>
      <c r="Q199" t="str" cm="1">
        <f t="array" ref="Q199">_xlfn.IFS(M199&lt;100,"low",M199&lt;500,"medum",M199&gt;500,"high")</f>
        <v>high</v>
      </c>
      <c r="R199" t="str">
        <f t="shared" si="12"/>
        <v>risk</v>
      </c>
      <c r="S199" t="str">
        <f t="shared" si="13"/>
        <v>not</v>
      </c>
      <c r="T199" t="str">
        <f t="shared" si="14"/>
        <v>Normal Customor</v>
      </c>
      <c r="U199" t="str">
        <f t="shared" si="15"/>
        <v>not</v>
      </c>
    </row>
    <row r="200" spans="1:21" x14ac:dyDescent="0.3">
      <c r="A200" t="s">
        <v>259</v>
      </c>
      <c r="B200" s="3">
        <v>44967</v>
      </c>
      <c r="C200" t="s">
        <v>32</v>
      </c>
      <c r="D200" t="s">
        <v>33</v>
      </c>
      <c r="E200" t="s">
        <v>42</v>
      </c>
      <c r="F200" t="s">
        <v>43</v>
      </c>
      <c r="G200">
        <v>3</v>
      </c>
      <c r="H200">
        <v>232.61</v>
      </c>
      <c r="I200">
        <v>168.1</v>
      </c>
      <c r="J200">
        <v>10</v>
      </c>
      <c r="K200">
        <v>76</v>
      </c>
      <c r="L200" t="s">
        <v>27</v>
      </c>
      <c r="M200">
        <v>697.83</v>
      </c>
      <c r="N200">
        <v>504.29999999999995</v>
      </c>
      <c r="O200">
        <v>193.53000000000009</v>
      </c>
      <c r="Q200" t="str" cm="1">
        <f t="array" ref="Q200">_xlfn.IFS(M200&lt;100,"low",M200&lt;500,"medum",M200&gt;500,"high")</f>
        <v>high</v>
      </c>
      <c r="R200" t="str">
        <f t="shared" si="12"/>
        <v>not risk</v>
      </c>
      <c r="S200" t="str">
        <f t="shared" si="13"/>
        <v>not</v>
      </c>
      <c r="T200" t="str">
        <f t="shared" si="14"/>
        <v>Normal Customor</v>
      </c>
      <c r="U200" t="str">
        <f t="shared" si="15"/>
        <v>not</v>
      </c>
    </row>
    <row r="201" spans="1:21" x14ac:dyDescent="0.3">
      <c r="A201" t="s">
        <v>260</v>
      </c>
      <c r="B201" s="3">
        <v>45230</v>
      </c>
      <c r="C201" t="s">
        <v>20</v>
      </c>
      <c r="D201" t="s">
        <v>87</v>
      </c>
      <c r="E201" t="s">
        <v>16</v>
      </c>
      <c r="F201" t="s">
        <v>17</v>
      </c>
      <c r="G201">
        <v>3</v>
      </c>
      <c r="H201">
        <v>425.61</v>
      </c>
      <c r="I201">
        <v>316.26</v>
      </c>
      <c r="J201">
        <v>0</v>
      </c>
      <c r="K201">
        <v>74</v>
      </c>
      <c r="L201" t="s">
        <v>12</v>
      </c>
      <c r="M201">
        <v>1276.83</v>
      </c>
      <c r="N201">
        <v>948.78</v>
      </c>
      <c r="O201">
        <v>328.04999999999995</v>
      </c>
      <c r="Q201" t="str" cm="1">
        <f t="array" ref="Q201">_xlfn.IFS(M201&lt;100,"low",M201&lt;500,"medum",M201&gt;500,"high")</f>
        <v>high</v>
      </c>
      <c r="R201" t="str">
        <f t="shared" si="12"/>
        <v>not risk</v>
      </c>
      <c r="S201" t="str">
        <f t="shared" si="13"/>
        <v>not</v>
      </c>
      <c r="T201" t="str">
        <f t="shared" si="14"/>
        <v>premium Customor</v>
      </c>
      <c r="U201" t="str">
        <f t="shared" si="15"/>
        <v>not</v>
      </c>
    </row>
  </sheetData>
  <dataValidations count="1">
    <dataValidation type="list" allowBlank="1" showInputMessage="1" showErrorMessage="1" sqref="Y2" xr:uid="{0AFEE9A5-3DA7-4693-AC15-A6E4990811BB}">
      <formula1>$A:$A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FC2183-6BA1-46AE-9604-8832CA8F17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jaydeep b</cp:lastModifiedBy>
  <dcterms:created xsi:type="dcterms:W3CDTF">2025-10-09T12:36:05Z</dcterms:created>
  <dcterms:modified xsi:type="dcterms:W3CDTF">2026-05-05T07:50:12Z</dcterms:modified>
</cp:coreProperties>
</file>