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LATITUDE\Desktop\excell all\mini project\"/>
    </mc:Choice>
  </mc:AlternateContent>
  <xr:revisionPtr revIDLastSave="0" documentId="13_ncr:1_{FE167E9E-91BA-4DCB-8922-E8B1CA538325}" xr6:coauthVersionLast="47" xr6:coauthVersionMax="47" xr10:uidLastSave="{00000000-0000-0000-0000-000000000000}"/>
  <bookViews>
    <workbookView xWindow="-108" yWindow="-108" windowWidth="23256" windowHeight="12576" xr2:uid="{25A80D25-3B62-4D31-9FD9-C05C7419E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S201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" i="1"/>
  <c r="U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</calcChain>
</file>

<file path=xl/sharedStrings.xml><?xml version="1.0" encoding="utf-8"?>
<sst xmlns="http://schemas.openxmlformats.org/spreadsheetml/2006/main" count="1222" uniqueCount="280">
  <si>
    <t>ORD0001</t>
  </si>
  <si>
    <t>Personal Care</t>
  </si>
  <si>
    <t>Shampoo</t>
  </si>
  <si>
    <t>Delhi</t>
  </si>
  <si>
    <t>Wallet</t>
  </si>
  <si>
    <t>Bakery</t>
  </si>
  <si>
    <t>Donut</t>
  </si>
  <si>
    <t>ORD0003</t>
  </si>
  <si>
    <t>Face Wash</t>
  </si>
  <si>
    <t>Pune</t>
  </si>
  <si>
    <t>Maharashtra</t>
  </si>
  <si>
    <t>Credit Card</t>
  </si>
  <si>
    <t>ORD0004</t>
  </si>
  <si>
    <t>Beverages</t>
  </si>
  <si>
    <t>Juice</t>
  </si>
  <si>
    <t>Chennai</t>
  </si>
  <si>
    <t>Tamil Nadu</t>
  </si>
  <si>
    <t>Cash on Delivery</t>
  </si>
  <si>
    <t>Snacks</t>
  </si>
  <si>
    <t>Noodles</t>
  </si>
  <si>
    <t>ORD0006</t>
  </si>
  <si>
    <t>Household</t>
  </si>
  <si>
    <t>Mop</t>
  </si>
  <si>
    <t>Kolkata</t>
  </si>
  <si>
    <t>West Bengal</t>
  </si>
  <si>
    <t>Debit Card</t>
  </si>
  <si>
    <t>ORD0007</t>
  </si>
  <si>
    <t>Cleaner</t>
  </si>
  <si>
    <t>Mumbai</t>
  </si>
  <si>
    <t>ORD0008</t>
  </si>
  <si>
    <t>Dairy</t>
  </si>
  <si>
    <t>Butter</t>
  </si>
  <si>
    <t>ORD0009</t>
  </si>
  <si>
    <t>Chocolate</t>
  </si>
  <si>
    <t>Hyderabad</t>
  </si>
  <si>
    <t>Telangana</t>
  </si>
  <si>
    <t>UPI</t>
  </si>
  <si>
    <t>ORD0010</t>
  </si>
  <si>
    <t>ORD0011</t>
  </si>
  <si>
    <t>Lotion</t>
  </si>
  <si>
    <t>Bangalore</t>
  </si>
  <si>
    <t>Karnataka</t>
  </si>
  <si>
    <t>ORD0012</t>
  </si>
  <si>
    <t>ORD0013</t>
  </si>
  <si>
    <t>Cheese</t>
  </si>
  <si>
    <t>ORD0014</t>
  </si>
  <si>
    <t>Detergent</t>
  </si>
  <si>
    <t>ORD0015</t>
  </si>
  <si>
    <t>Curd</t>
  </si>
  <si>
    <t>ORD0016</t>
  </si>
  <si>
    <t>Muffin</t>
  </si>
  <si>
    <t>ORD0017</t>
  </si>
  <si>
    <t>Tea</t>
  </si>
  <si>
    <t>ORD0018</t>
  </si>
  <si>
    <t>Bread</t>
  </si>
  <si>
    <t>ORD0019</t>
  </si>
  <si>
    <t>ORD0020</t>
  </si>
  <si>
    <t>Ahmedabad</t>
  </si>
  <si>
    <t>Gujarat</t>
  </si>
  <si>
    <t>ORD0021</t>
  </si>
  <si>
    <t>Cake</t>
  </si>
  <si>
    <t>ORD0022</t>
  </si>
  <si>
    <t>Fruits &amp; Vegetables</t>
  </si>
  <si>
    <t>Onion</t>
  </si>
  <si>
    <t>ORD0023</t>
  </si>
  <si>
    <t>Coffee</t>
  </si>
  <si>
    <t>ORD0024</t>
  </si>
  <si>
    <t>ORD0025</t>
  </si>
  <si>
    <t>ORD0026</t>
  </si>
  <si>
    <t>ORD0027</t>
  </si>
  <si>
    <t>ORD0028</t>
  </si>
  <si>
    <t>Energy Drink</t>
  </si>
  <si>
    <t>ORD0029</t>
  </si>
  <si>
    <t>Toothpaste</t>
  </si>
  <si>
    <t>ORD0030</t>
  </si>
  <si>
    <t>Banana</t>
  </si>
  <si>
    <t>ORD0031</t>
  </si>
  <si>
    <t>ORD0032</t>
  </si>
  <si>
    <t>ORD0033</t>
  </si>
  <si>
    <t>Potato</t>
  </si>
  <si>
    <t>ORD0034</t>
  </si>
  <si>
    <t>ORD0035</t>
  </si>
  <si>
    <t>ORD0036</t>
  </si>
  <si>
    <t>ORD0037</t>
  </si>
  <si>
    <t>ORD0038</t>
  </si>
  <si>
    <t>Biscuits</t>
  </si>
  <si>
    <t>ORD0039</t>
  </si>
  <si>
    <t>Tomato</t>
  </si>
  <si>
    <t>ORD0040</t>
  </si>
  <si>
    <t>Milk</t>
  </si>
  <si>
    <t>ORD0041</t>
  </si>
  <si>
    <t>ORD0042</t>
  </si>
  <si>
    <t>ORD0043</t>
  </si>
  <si>
    <t>ORD0044</t>
  </si>
  <si>
    <t>ORD0045</t>
  </si>
  <si>
    <t>ORD0046</t>
  </si>
  <si>
    <t>ORD0047</t>
  </si>
  <si>
    <t>Soap</t>
  </si>
  <si>
    <t>ORD0048</t>
  </si>
  <si>
    <t>ORD0049</t>
  </si>
  <si>
    <t>ORD0050</t>
  </si>
  <si>
    <t>ORD0051</t>
  </si>
  <si>
    <t>Soda</t>
  </si>
  <si>
    <t>ORD0052</t>
  </si>
  <si>
    <t>ORD0053</t>
  </si>
  <si>
    <t>Apple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</si>
  <si>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</si>
  <si>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</si>
  <si>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</si>
  <si>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</si>
  <si>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</si>
  <si>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</si>
  <si>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</si>
  <si>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</si>
  <si>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</si>
  <si>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</si>
  <si>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</si>
  <si>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</si>
  <si>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</si>
  <si>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</si>
  <si>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</si>
  <si>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</si>
  <si>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</si>
  <si>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</si>
  <si>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</si>
  <si>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</si>
  <si>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</si>
  <si>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Popcorn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</si>
  <si>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</si>
  <si>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</si>
  <si>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</si>
  <si>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</si>
  <si>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</si>
  <si>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</si>
  <si>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</si>
  <si>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</si>
  <si>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</si>
  <si>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</si>
  <si>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</si>
  <si>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Dish Soap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</si>
  <si>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</si>
  <si>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</si>
  <si>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</si>
  <si>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</si>
  <si>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</si>
  <si>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</si>
  <si>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</si>
  <si>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</si>
  <si>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Tissue</t>
  </si>
  <si>
    <t>ORD0094</t>
  </si>
  <si>
    <t>ORD0095</t>
  </si>
  <si>
    <t>ORD0096</t>
  </si>
  <si>
    <t>Chips</t>
  </si>
  <si>
    <t>ORD0097</t>
  </si>
  <si>
    <t>Paneer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</si>
  <si>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</si>
  <si>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</si>
  <si>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</si>
  <si>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</si>
  <si>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</si>
  <si>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</si>
  <si>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</si>
  <si>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</si>
  <si>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</si>
  <si>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</si>
  <si>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</si>
  <si>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</si>
  <si>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</si>
  <si>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</si>
  <si>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</si>
  <si>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</si>
  <si>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</si>
  <si>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</si>
  <si>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</si>
  <si>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</si>
  <si>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</si>
  <si>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</si>
  <si>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</si>
  <si>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</si>
  <si>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</si>
  <si>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</si>
  <si>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</si>
  <si>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</si>
  <si>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</si>
  <si>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</si>
  <si>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</si>
  <si>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</si>
  <si>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</si>
  <si>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</si>
  <si>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</si>
  <si>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</si>
  <si>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</si>
  <si>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</si>
  <si>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</si>
  <si>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</si>
  <si>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</si>
  <si>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</si>
  <si>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</si>
  <si>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Croissant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</si>
  <si>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</si>
  <si>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</si>
  <si>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</si>
  <si>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</si>
  <si>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</si>
  <si>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</si>
  <si>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</si>
  <si>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</si>
  <si>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</si>
  <si>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</si>
  <si>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</si>
  <si>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</si>
  <si>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</si>
  <si>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</si>
  <si>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</si>
  <si>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</si>
  <si>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</si>
  <si>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</si>
  <si>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</si>
  <si>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</si>
  <si>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</si>
  <si>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</si>
  <si>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</si>
  <si>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</si>
  <si>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</si>
  <si>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</si>
  <si>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</si>
  <si>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</si>
  <si>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</si>
  <si>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</si>
  <si>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</si>
  <si>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</si>
  <si>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</si>
  <si>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</si>
  <si>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</si>
  <si>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</si>
  <si>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</si>
  <si>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</si>
  <si>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</si>
  <si>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</si>
  <si>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</si>
  <si>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</si>
  <si>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</si>
  <si>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</si>
  <si>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</si>
  <si>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</si>
  <si>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</si>
  <si>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</si>
  <si>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</si>
  <si>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</si>
  <si>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</si>
  <si>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</si>
  <si>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</si>
  <si>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</si>
  <si>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</si>
  <si>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</si>
  <si>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</si>
  <si>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</si>
  <si>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</si>
  <si>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</si>
  <si>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Order ID</t>
  </si>
  <si>
    <t>Order Date</t>
  </si>
  <si>
    <t>Product Category</t>
  </si>
  <si>
    <t>Product Name</t>
  </si>
  <si>
    <t>City</t>
  </si>
  <si>
    <t>State</t>
  </si>
  <si>
    <t>Order Quantity</t>
  </si>
  <si>
    <t>Selling Price</t>
  </si>
  <si>
    <t>Cost Price</t>
  </si>
  <si>
    <t>Discount (%)</t>
  </si>
  <si>
    <t>Delivery Time (min)</t>
  </si>
  <si>
    <t>Payment Mode</t>
  </si>
  <si>
    <t xml:space="preserve">total sale </t>
  </si>
  <si>
    <t>Total cost</t>
  </si>
  <si>
    <t>Returns detect</t>
  </si>
  <si>
    <t>Revenu</t>
  </si>
  <si>
    <t>product id</t>
  </si>
  <si>
    <t>prodect cetegory</t>
  </si>
  <si>
    <t>description</t>
  </si>
  <si>
    <t>rate</t>
  </si>
  <si>
    <t>satr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</si>
</sst>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CB24CA-2853-4866-949F-42698899A8AE}" name="Table1" displayName="Table1" ref="A1:R381" totalsRowShown="0" headerRowDxfId="10" headerRowBorderDxfId="9" tableBorderDxfId="8">
  <autoFilter ref="A1:R381" xr:uid="{A1CB24CA-2853-4866-949F-42698899A8AE}"/>
  <tableColumns count="18">
    <tableColumn id="1" xr3:uid="{F6779D04-09CA-4173-8426-EE6B08F2A67E}" name="Order ID"/>
    <tableColumn id="2" xr3:uid="{E6FB0DB6-5142-4CF5-B63F-686083EA786B}" name="Order Date" dataDxfId="7"/>
    <tableColumn id="3" xr3:uid="{F0A9899B-EEE6-483F-A203-8B672943BE95}" name="Product Category"/>
    <tableColumn id="4" xr3:uid="{0E3E68E4-E883-4374-ADB6-2FDB5914602A}" name="Product Name"/>
    <tableColumn id="5" xr3:uid="{44F9C159-D59E-4966-BD15-92412CD233F1}" name="City"/>
    <tableColumn id="6" xr3:uid="{1DE06F51-CE78-460A-80DA-BF474AF904B2}" name="State"/>
    <tableColumn id="7" xr3:uid="{04881597-C4E1-488C-8BDB-61C7D26E1521}" name="Order Quantity"/>
    <tableColumn id="16" xr3:uid="{F12D0618-0857-408A-9C8B-F76D1AC64F45}" name="Returns detect" dataDxfId="6">
      <calculatedColumnFormula>IF(G2&lt;0,"Return","Normal")</calculatedColumnFormula>
    </tableColumn>
    <tableColumn id="8" xr3:uid="{C5A85EE8-5FA5-4AD5-B17B-01FB05F1BDF7}" name="Selling Price"/>
    <tableColumn id="9" xr3:uid="{8D6978E2-0AD9-417C-8D5B-92546410CF61}" name="Cost Price"/>
    <tableColumn id="10" xr3:uid="{CF147561-01DD-4C6E-8A17-071D3DF5762C}" name="Discount (%)"/>
    <tableColumn id="11" xr3:uid="{5D2AC16B-2FD1-4E9A-9AE2-E10EC5DD038A}" name="Delivery Time (min)"/>
    <tableColumn id="12" xr3:uid="{3F82B095-5BA0-4DE5-A4C5-7D8737A5B3CA}" name="Payment Mode"/>
    <tableColumn id="13" xr3:uid="{3D6F0C3D-D97E-4A00-8A9B-621054659009}" name="total sale " dataDxfId="5"/>
    <tableColumn id="14" xr3:uid="{C3DD73E5-38A1-43F7-A4E4-78DC0CE544A2}" name="Total cost" dataDxfId="4"/>
    <tableColumn id="15" xr3:uid="{2FD4DE85-2CC5-4319-BB49-65137C023C3F}" name="Revenu" dataDxfId="3"/>
    <tableColumn id="17" xr3:uid="{D478417F-5A0E-4658-B961-71767601C51B}" name="rate" dataDxfId="2"/>
    <tableColumn id="18" xr3:uid="{71C01F7D-B3B3-48BB-9605-AE67E1DDA85E}" name="satr" dataDxfId="0">
      <calculatedColumnFormula>REPT("⭐",Q2) &amp; " (" &amp; Q2 &amp; "/5)"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2235-7EB9-43F5-9DD2-A2058A828B7F}">
  <dimension ref="A1:U381"/>
  <sheetViews>
    <sheetView tabSelected="1" topLeftCell="G1" zoomScale="71" zoomScaleNormal="85" workbookViewId="0">
      <selection activeCell="M14" sqref="M14"/>
    </sheetView>
  </sheetViews>
  <sheetFormatPr defaultRowHeight="14.4" x14ac:dyDescent="0.3"/>
  <cols>
    <col min="1" max="1" width="13.109375" bestFit="1" customWidth="1"/>
    <col min="2" max="2" width="16.6640625" style="3" bestFit="1" customWidth="1"/>
    <col min="3" max="3" width="18.33203125" customWidth="1"/>
    <col min="4" max="4" width="15.5546875" customWidth="1"/>
    <col min="5" max="5" width="11.109375" bestFit="1" customWidth="1"/>
    <col min="6" max="6" width="11.88671875" bestFit="1" customWidth="1"/>
    <col min="7" max="7" width="16.44140625" customWidth="1"/>
    <col min="8" max="8" width="20" bestFit="1" customWidth="1"/>
    <col min="9" max="9" width="18" bestFit="1" customWidth="1"/>
    <col min="10" max="10" width="16" bestFit="1" customWidth="1"/>
    <col min="11" max="11" width="18.21875" bestFit="1" customWidth="1"/>
    <col min="12" max="12" width="24" customWidth="1"/>
    <col min="13" max="13" width="20.109375" bestFit="1" customWidth="1"/>
    <col min="14" max="15" width="15.6640625" bestFit="1" customWidth="1"/>
    <col min="16" max="16" width="12" customWidth="1"/>
    <col min="18" max="18" width="19.77734375" bestFit="1" customWidth="1"/>
    <col min="19" max="19" width="60.6640625" bestFit="1" customWidth="1"/>
    <col min="20" max="20" width="10.6640625" bestFit="1" customWidth="1"/>
    <col min="21" max="21" width="15" bestFit="1" customWidth="1"/>
  </cols>
  <sheetData>
    <row r="1" spans="1:21" x14ac:dyDescent="0.3">
      <c r="A1" s="1" t="s">
        <v>259</v>
      </c>
      <c r="B1" s="2" t="s">
        <v>260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273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271</v>
      </c>
      <c r="O1" s="1" t="s">
        <v>272</v>
      </c>
      <c r="P1" s="1" t="s">
        <v>274</v>
      </c>
      <c r="Q1" s="1" t="s">
        <v>278</v>
      </c>
      <c r="R1" s="1" t="s">
        <v>279</v>
      </c>
      <c r="S1" s="5" t="s">
        <v>277</v>
      </c>
      <c r="T1" s="5"/>
    </row>
    <row r="2" spans="1:21" x14ac:dyDescent="0.3">
      <c r="A2" t="s">
        <v>0</v>
      </c>
      <c r="B2" s="3">
        <v>44971</v>
      </c>
      <c r="C2" t="s">
        <v>1</v>
      </c>
      <c r="D2" t="s">
        <v>2</v>
      </c>
      <c r="E2" t="s">
        <v>3</v>
      </c>
      <c r="F2" t="s">
        <v>3</v>
      </c>
      <c r="G2">
        <v>-1</v>
      </c>
      <c r="H2" t="str">
        <f t="shared" ref="H2:H33" si="0">IF(G2&lt;0,"Return","Normal")</f>
        <v>Return</v>
      </c>
      <c r="I2">
        <v>150.26</v>
      </c>
      <c r="J2">
        <v>130</v>
      </c>
      <c r="K2">
        <v>0</v>
      </c>
      <c r="L2">
        <v>96</v>
      </c>
      <c r="M2" t="s">
        <v>4</v>
      </c>
      <c r="N2">
        <v>751.3</v>
      </c>
      <c r="O2">
        <v>650</v>
      </c>
      <c r="P2">
        <v>101.29999999999995</v>
      </c>
      <c r="Q2">
        <v>3</v>
      </c>
      <c r="R2" s="7" t="str">
        <f t="shared" ref="R2:R65" si="1">REPT("⭐",Q2) &amp; " (" &amp; Q2 &amp; "/5)"</f>
        <v>⭐⭐⭐ (3/5)</v>
      </c>
      <c r="S2" t="str">
        <f>D2 &amp; " is a item to cetegry " &amp; C2 &amp; " price of " &amp; I2</f>
        <v>Shampoo is a item to cetegry Personal Care price of 150.26</v>
      </c>
      <c r="T2" t="s">
        <v>275</v>
      </c>
      <c r="U2" t="s">
        <v>276</v>
      </c>
    </row>
    <row r="3" spans="1:21" x14ac:dyDescent="0.3">
      <c r="A3" t="s">
        <v>0</v>
      </c>
      <c r="B3" s="3">
        <v>45028</v>
      </c>
      <c r="C3" t="s">
        <v>5</v>
      </c>
      <c r="D3" t="s">
        <v>6</v>
      </c>
      <c r="E3" t="s">
        <v>3</v>
      </c>
      <c r="F3" t="s">
        <v>3</v>
      </c>
      <c r="G3">
        <v>1</v>
      </c>
      <c r="H3" t="str">
        <f t="shared" si="0"/>
        <v>Normal</v>
      </c>
      <c r="I3">
        <v>66.7</v>
      </c>
      <c r="J3">
        <v>55.91</v>
      </c>
      <c r="K3">
        <v>20</v>
      </c>
      <c r="L3">
        <v>13</v>
      </c>
      <c r="M3" t="s">
        <v>4</v>
      </c>
      <c r="N3">
        <v>66.7</v>
      </c>
      <c r="O3">
        <v>55.91</v>
      </c>
      <c r="P3">
        <v>10.790000000000006</v>
      </c>
      <c r="Q3">
        <v>5</v>
      </c>
      <c r="R3" s="7" t="str">
        <f t="shared" si="1"/>
        <v>⭐⭐⭐⭐⭐ (5/5)</v>
      </c>
      <c r="S3" t="str">
        <f t="shared" ref="S3:S66" si="2">D3 &amp; " is a item to cetegry " &amp; C3 &amp; " price of " &amp; I3</f>
        <v>Donut is a item to cetegry Bakery price of 66.7</v>
      </c>
      <c r="T3" t="s">
        <v>43</v>
      </c>
      <c r="U3" t="str">
        <f>_xlfn.XLOOKUP(T3,A:A,C:C,"not",0)</f>
        <v>Dairy</v>
      </c>
    </row>
    <row r="4" spans="1:21" x14ac:dyDescent="0.3">
      <c r="A4" t="s">
        <v>7</v>
      </c>
      <c r="B4" s="3">
        <v>45284</v>
      </c>
      <c r="C4" t="s">
        <v>1</v>
      </c>
      <c r="D4" t="s">
        <v>8</v>
      </c>
      <c r="E4" t="s">
        <v>9</v>
      </c>
      <c r="F4" t="s">
        <v>10</v>
      </c>
      <c r="G4">
        <v>4</v>
      </c>
      <c r="H4" t="str">
        <f t="shared" si="0"/>
        <v>Normal</v>
      </c>
      <c r="I4">
        <v>278.73</v>
      </c>
      <c r="J4">
        <v>230.11</v>
      </c>
      <c r="K4">
        <v>0</v>
      </c>
      <c r="L4">
        <v>107</v>
      </c>
      <c r="M4" t="s">
        <v>11</v>
      </c>
      <c r="N4">
        <v>1114.92</v>
      </c>
      <c r="O4">
        <v>920.44</v>
      </c>
      <c r="P4">
        <v>194.48000000000002</v>
      </c>
      <c r="Q4">
        <v>2</v>
      </c>
      <c r="R4" s="7" t="str">
        <f t="shared" si="1"/>
        <v>⭐⭐ (2/5)</v>
      </c>
      <c r="S4" t="str">
        <f t="shared" si="2"/>
        <v>Face Wash is a item to cetegry Personal Care price of 278.73</v>
      </c>
      <c r="T4" s="4"/>
    </row>
    <row r="5" spans="1:21" x14ac:dyDescent="0.3">
      <c r="A5" t="s">
        <v>12</v>
      </c>
      <c r="B5" s="3">
        <v>44976</v>
      </c>
      <c r="C5" t="s">
        <v>13</v>
      </c>
      <c r="D5" t="s">
        <v>14</v>
      </c>
      <c r="E5" t="s">
        <v>15</v>
      </c>
      <c r="F5" t="s">
        <v>16</v>
      </c>
      <c r="G5">
        <v>3</v>
      </c>
      <c r="H5" t="str">
        <f t="shared" si="0"/>
        <v>Normal</v>
      </c>
      <c r="I5">
        <v>162.32</v>
      </c>
      <c r="J5">
        <v>115.5</v>
      </c>
      <c r="K5">
        <v>0</v>
      </c>
      <c r="L5">
        <v>21</v>
      </c>
      <c r="M5" t="s">
        <v>17</v>
      </c>
      <c r="N5">
        <v>486.96</v>
      </c>
      <c r="O5">
        <v>346.5</v>
      </c>
      <c r="P5">
        <v>140.45999999999998</v>
      </c>
      <c r="Q5">
        <v>1</v>
      </c>
      <c r="R5" s="7" t="str">
        <f t="shared" si="1"/>
        <v>⭐ (1/5)</v>
      </c>
      <c r="S5" t="str">
        <f t="shared" si="2"/>
        <v>Juice is a item to cetegry Beverages price of 162.32</v>
      </c>
      <c r="T5" s="5"/>
    </row>
    <row r="6" spans="1:21" x14ac:dyDescent="0.3">
      <c r="A6" t="s">
        <v>12</v>
      </c>
      <c r="B6" s="3">
        <v>45077</v>
      </c>
      <c r="C6" t="s">
        <v>18</v>
      </c>
      <c r="D6" t="s">
        <v>19</v>
      </c>
      <c r="E6" t="s">
        <v>15</v>
      </c>
      <c r="F6" t="s">
        <v>16</v>
      </c>
      <c r="G6">
        <v>1</v>
      </c>
      <c r="H6" t="str">
        <f t="shared" si="0"/>
        <v>Normal</v>
      </c>
      <c r="I6">
        <v>483.17</v>
      </c>
      <c r="J6">
        <v>367.57</v>
      </c>
      <c r="K6">
        <v>15</v>
      </c>
      <c r="L6">
        <v>20</v>
      </c>
      <c r="M6" t="s">
        <v>4</v>
      </c>
      <c r="N6">
        <v>483.17</v>
      </c>
      <c r="O6">
        <v>367.57</v>
      </c>
      <c r="P6">
        <v>115.60000000000002</v>
      </c>
      <c r="Q6">
        <v>4</v>
      </c>
      <c r="R6" s="7" t="str">
        <f t="shared" si="1"/>
        <v>⭐⭐⭐⭐ (4/5)</v>
      </c>
      <c r="S6" t="str">
        <f t="shared" si="2"/>
        <v>Noodles is a item to cetegry Snacks price of 483.17</v>
      </c>
    </row>
    <row r="7" spans="1:21" x14ac:dyDescent="0.3">
      <c r="A7" t="s">
        <v>20</v>
      </c>
      <c r="B7" s="3">
        <v>44967</v>
      </c>
      <c r="C7" t="s">
        <v>21</v>
      </c>
      <c r="D7" t="s">
        <v>22</v>
      </c>
      <c r="E7" t="s">
        <v>23</v>
      </c>
      <c r="F7" t="s">
        <v>24</v>
      </c>
      <c r="G7">
        <v>10</v>
      </c>
      <c r="H7" t="str">
        <f t="shared" si="0"/>
        <v>Normal</v>
      </c>
      <c r="I7">
        <v>117.54</v>
      </c>
      <c r="J7">
        <v>104.22</v>
      </c>
      <c r="K7">
        <v>5</v>
      </c>
      <c r="L7">
        <v>108</v>
      </c>
      <c r="M7" t="s">
        <v>25</v>
      </c>
      <c r="N7">
        <v>1175.4000000000001</v>
      </c>
      <c r="O7">
        <v>1042.2</v>
      </c>
      <c r="P7">
        <v>133.20000000000005</v>
      </c>
      <c r="Q7">
        <v>2</v>
      </c>
      <c r="R7" s="7" t="str">
        <f t="shared" si="1"/>
        <v>⭐⭐ (2/5)</v>
      </c>
      <c r="S7" t="str">
        <f t="shared" si="2"/>
        <v>Mop is a item to cetegry Household price of 117.54</v>
      </c>
    </row>
    <row r="8" spans="1:21" x14ac:dyDescent="0.3">
      <c r="A8" t="s">
        <v>26</v>
      </c>
      <c r="B8" s="3">
        <v>45108</v>
      </c>
      <c r="C8" t="s">
        <v>21</v>
      </c>
      <c r="D8" t="s">
        <v>27</v>
      </c>
      <c r="E8" t="s">
        <v>28</v>
      </c>
      <c r="F8" t="s">
        <v>10</v>
      </c>
      <c r="G8">
        <v>7</v>
      </c>
      <c r="H8" t="str">
        <f t="shared" si="0"/>
        <v>Normal</v>
      </c>
      <c r="I8">
        <v>198.01</v>
      </c>
      <c r="J8">
        <v>146.21</v>
      </c>
      <c r="K8">
        <v>10</v>
      </c>
      <c r="L8">
        <v>30</v>
      </c>
      <c r="M8" t="s">
        <v>25</v>
      </c>
      <c r="N8">
        <v>1386.07</v>
      </c>
      <c r="O8">
        <v>1023.47</v>
      </c>
      <c r="P8">
        <v>362.59999999999991</v>
      </c>
      <c r="Q8">
        <v>5</v>
      </c>
      <c r="R8" s="7" t="str">
        <f t="shared" si="1"/>
        <v>⭐⭐⭐⭐⭐ (5/5)</v>
      </c>
      <c r="S8" t="str">
        <f t="shared" si="2"/>
        <v>Cleaner is a item to cetegry Household price of 198.01</v>
      </c>
    </row>
    <row r="9" spans="1:21" x14ac:dyDescent="0.3">
      <c r="A9" t="s">
        <v>29</v>
      </c>
      <c r="B9" s="3">
        <v>45121</v>
      </c>
      <c r="C9" t="s">
        <v>30</v>
      </c>
      <c r="D9" t="s">
        <v>31</v>
      </c>
      <c r="E9" t="s">
        <v>28</v>
      </c>
      <c r="F9" t="s">
        <v>10</v>
      </c>
      <c r="G9">
        <v>10</v>
      </c>
      <c r="H9" t="str">
        <f t="shared" si="0"/>
        <v>Normal</v>
      </c>
      <c r="I9">
        <v>421.87</v>
      </c>
      <c r="J9">
        <v>321.14</v>
      </c>
      <c r="K9">
        <v>5</v>
      </c>
      <c r="L9">
        <v>30</v>
      </c>
      <c r="M9" t="s">
        <v>17</v>
      </c>
      <c r="N9">
        <v>4218.7</v>
      </c>
      <c r="O9">
        <v>3211.3999999999996</v>
      </c>
      <c r="P9">
        <v>1007.3000000000002</v>
      </c>
      <c r="Q9">
        <v>3</v>
      </c>
      <c r="R9" s="7" t="str">
        <f t="shared" si="1"/>
        <v>⭐⭐⭐ (3/5)</v>
      </c>
      <c r="S9" t="str">
        <f t="shared" si="2"/>
        <v>Butter is a item to cetegry Dairy price of 421.87</v>
      </c>
      <c r="T9" s="5"/>
    </row>
    <row r="10" spans="1:21" x14ac:dyDescent="0.3">
      <c r="A10" t="s">
        <v>32</v>
      </c>
      <c r="B10" s="3">
        <v>45088</v>
      </c>
      <c r="C10" t="s">
        <v>18</v>
      </c>
      <c r="D10" t="s">
        <v>33</v>
      </c>
      <c r="E10" t="s">
        <v>34</v>
      </c>
      <c r="F10" t="s">
        <v>35</v>
      </c>
      <c r="G10">
        <v>6</v>
      </c>
      <c r="H10" t="str">
        <f t="shared" si="0"/>
        <v>Normal</v>
      </c>
      <c r="I10">
        <v>596.6</v>
      </c>
      <c r="J10">
        <v>423</v>
      </c>
      <c r="K10">
        <v>5</v>
      </c>
      <c r="L10">
        <v>115</v>
      </c>
      <c r="M10" t="s">
        <v>36</v>
      </c>
      <c r="N10">
        <v>3579.6000000000004</v>
      </c>
      <c r="O10">
        <v>2538</v>
      </c>
      <c r="P10">
        <v>1041.6000000000004</v>
      </c>
      <c r="Q10">
        <v>1</v>
      </c>
      <c r="R10" s="7" t="str">
        <f t="shared" si="1"/>
        <v>⭐ (1/5)</v>
      </c>
      <c r="S10" t="str">
        <f t="shared" si="2"/>
        <v>Chocolate is a item to cetegry Snacks price of 596.6</v>
      </c>
    </row>
    <row r="11" spans="1:21" x14ac:dyDescent="0.3">
      <c r="A11" t="s">
        <v>37</v>
      </c>
      <c r="B11" s="3">
        <v>45129</v>
      </c>
      <c r="C11" t="s">
        <v>13</v>
      </c>
      <c r="D11" t="s">
        <v>14</v>
      </c>
      <c r="E11" t="s">
        <v>28</v>
      </c>
      <c r="F11" t="s">
        <v>10</v>
      </c>
      <c r="G11">
        <v>4</v>
      </c>
      <c r="H11" t="str">
        <f t="shared" si="0"/>
        <v>Normal</v>
      </c>
      <c r="I11">
        <v>606.96</v>
      </c>
      <c r="J11">
        <v>457.44</v>
      </c>
      <c r="K11">
        <v>10</v>
      </c>
      <c r="L11">
        <v>37</v>
      </c>
      <c r="M11" t="s">
        <v>17</v>
      </c>
      <c r="N11">
        <v>2427.84</v>
      </c>
      <c r="O11">
        <v>1829.76</v>
      </c>
      <c r="P11">
        <v>598.08000000000015</v>
      </c>
      <c r="Q11">
        <v>4</v>
      </c>
      <c r="R11" s="7" t="str">
        <f t="shared" si="1"/>
        <v>⭐⭐⭐⭐ (4/5)</v>
      </c>
      <c r="S11" t="str">
        <f t="shared" si="2"/>
        <v>Juice is a item to cetegry Beverages price of 606.96</v>
      </c>
    </row>
    <row r="12" spans="1:21" x14ac:dyDescent="0.3">
      <c r="A12" t="s">
        <v>38</v>
      </c>
      <c r="B12" s="3">
        <v>45146</v>
      </c>
      <c r="C12" t="s">
        <v>1</v>
      </c>
      <c r="D12" t="s">
        <v>39</v>
      </c>
      <c r="E12" t="s">
        <v>40</v>
      </c>
      <c r="F12" t="s">
        <v>41</v>
      </c>
      <c r="G12">
        <v>5</v>
      </c>
      <c r="H12" t="str">
        <f t="shared" si="0"/>
        <v>Normal</v>
      </c>
      <c r="I12">
        <v>109.63</v>
      </c>
      <c r="J12">
        <v>78.42</v>
      </c>
      <c r="K12">
        <v>20</v>
      </c>
      <c r="L12">
        <v>43</v>
      </c>
      <c r="M12" t="s">
        <v>4</v>
      </c>
      <c r="N12">
        <v>548.15</v>
      </c>
      <c r="O12">
        <v>392.1</v>
      </c>
      <c r="P12">
        <v>156.04999999999995</v>
      </c>
      <c r="Q12">
        <v>5</v>
      </c>
      <c r="R12" s="7" t="str">
        <f t="shared" si="1"/>
        <v>⭐⭐⭐⭐⭐ (5/5)</v>
      </c>
      <c r="S12" t="str">
        <f t="shared" si="2"/>
        <v>Lotion is a item to cetegry Personal Care price of 109.63</v>
      </c>
    </row>
    <row r="13" spans="1:21" x14ac:dyDescent="0.3">
      <c r="A13" t="s">
        <v>42</v>
      </c>
      <c r="B13" s="3">
        <v>44983</v>
      </c>
      <c r="C13" t="s">
        <v>5</v>
      </c>
      <c r="D13" t="s">
        <v>6</v>
      </c>
      <c r="E13" t="s">
        <v>23</v>
      </c>
      <c r="F13" t="s">
        <v>24</v>
      </c>
      <c r="G13">
        <v>4</v>
      </c>
      <c r="H13" t="str">
        <f t="shared" si="0"/>
        <v>Normal</v>
      </c>
      <c r="I13">
        <v>576.15</v>
      </c>
      <c r="J13">
        <v>498.69</v>
      </c>
      <c r="K13">
        <v>15</v>
      </c>
      <c r="L13">
        <v>21</v>
      </c>
      <c r="M13" t="s">
        <v>36</v>
      </c>
      <c r="N13">
        <v>2304.6</v>
      </c>
      <c r="O13">
        <v>1994.76</v>
      </c>
      <c r="P13">
        <v>309.83999999999992</v>
      </c>
      <c r="Q13">
        <v>2</v>
      </c>
      <c r="R13" s="7" t="str">
        <f t="shared" si="1"/>
        <v>⭐⭐ (2/5)</v>
      </c>
      <c r="S13" t="str">
        <f t="shared" si="2"/>
        <v>Donut is a item to cetegry Bakery price of 576.15</v>
      </c>
      <c r="T13" s="5"/>
    </row>
    <row r="14" spans="1:21" x14ac:dyDescent="0.3">
      <c r="A14" t="s">
        <v>43</v>
      </c>
      <c r="B14" s="3">
        <v>45210</v>
      </c>
      <c r="C14" t="s">
        <v>30</v>
      </c>
      <c r="D14" t="s">
        <v>44</v>
      </c>
      <c r="E14" t="s">
        <v>9</v>
      </c>
      <c r="F14" t="s">
        <v>10</v>
      </c>
      <c r="G14">
        <v>-10</v>
      </c>
      <c r="H14" t="str">
        <f t="shared" si="0"/>
        <v>Return</v>
      </c>
      <c r="I14">
        <v>51.52</v>
      </c>
      <c r="J14">
        <v>41.13</v>
      </c>
      <c r="K14">
        <v>15</v>
      </c>
      <c r="L14">
        <v>77</v>
      </c>
      <c r="M14" t="s">
        <v>25</v>
      </c>
      <c r="N14">
        <v>515.20000000000005</v>
      </c>
      <c r="O14">
        <v>411.3</v>
      </c>
      <c r="P14">
        <v>103.90000000000003</v>
      </c>
      <c r="Q14">
        <v>3</v>
      </c>
      <c r="R14" s="7" t="str">
        <f t="shared" si="1"/>
        <v>⭐⭐⭐ (3/5)</v>
      </c>
      <c r="S14" t="str">
        <f t="shared" si="2"/>
        <v>Cheese is a item to cetegry Dairy price of 51.52</v>
      </c>
    </row>
    <row r="15" spans="1:21" x14ac:dyDescent="0.3">
      <c r="A15" t="s">
        <v>45</v>
      </c>
      <c r="B15" s="3">
        <v>45149</v>
      </c>
      <c r="C15" t="s">
        <v>21</v>
      </c>
      <c r="D15" t="s">
        <v>46</v>
      </c>
      <c r="E15" t="s">
        <v>28</v>
      </c>
      <c r="F15" t="s">
        <v>10</v>
      </c>
      <c r="G15">
        <v>-1</v>
      </c>
      <c r="H15" t="str">
        <f t="shared" si="0"/>
        <v>Return</v>
      </c>
      <c r="I15">
        <v>531.91</v>
      </c>
      <c r="J15">
        <v>377.93</v>
      </c>
      <c r="K15">
        <v>10</v>
      </c>
      <c r="L15">
        <v>24</v>
      </c>
      <c r="M15" t="s">
        <v>25</v>
      </c>
      <c r="N15">
        <v>4787.1899999999996</v>
      </c>
      <c r="O15">
        <v>3401.37</v>
      </c>
      <c r="P15">
        <v>1385.8199999999997</v>
      </c>
      <c r="Q15">
        <v>1</v>
      </c>
      <c r="R15" s="7" t="str">
        <f t="shared" si="1"/>
        <v>⭐ (1/5)</v>
      </c>
      <c r="S15" t="str">
        <f t="shared" si="2"/>
        <v>Detergent is a item to cetegry Household price of 531.91</v>
      </c>
    </row>
    <row r="16" spans="1:21" x14ac:dyDescent="0.3">
      <c r="A16" t="s">
        <v>47</v>
      </c>
      <c r="B16" s="3">
        <v>45254</v>
      </c>
      <c r="C16" t="s">
        <v>30</v>
      </c>
      <c r="D16" t="s">
        <v>48</v>
      </c>
      <c r="E16" t="s">
        <v>3</v>
      </c>
      <c r="F16" t="s">
        <v>3</v>
      </c>
      <c r="G16">
        <v>5</v>
      </c>
      <c r="H16" t="str">
        <f t="shared" si="0"/>
        <v>Normal</v>
      </c>
      <c r="I16">
        <v>683.05</v>
      </c>
      <c r="J16">
        <v>486.23</v>
      </c>
      <c r="K16">
        <v>20</v>
      </c>
      <c r="L16">
        <v>23</v>
      </c>
      <c r="M16" t="s">
        <v>25</v>
      </c>
      <c r="N16">
        <v>3415.25</v>
      </c>
      <c r="O16">
        <v>2431.15</v>
      </c>
      <c r="P16">
        <v>984.09999999999991</v>
      </c>
      <c r="Q16">
        <v>4</v>
      </c>
      <c r="R16" s="7" t="str">
        <f t="shared" si="1"/>
        <v>⭐⭐⭐⭐ (4/5)</v>
      </c>
      <c r="S16" t="str">
        <f t="shared" si="2"/>
        <v>Curd is a item to cetegry Dairy price of 683.05</v>
      </c>
    </row>
    <row r="17" spans="1:20" x14ac:dyDescent="0.3">
      <c r="A17" t="s">
        <v>49</v>
      </c>
      <c r="B17" s="3">
        <v>45092</v>
      </c>
      <c r="C17" t="s">
        <v>5</v>
      </c>
      <c r="D17" t="s">
        <v>50</v>
      </c>
      <c r="E17" t="s">
        <v>34</v>
      </c>
      <c r="F17" t="s">
        <v>35</v>
      </c>
      <c r="G17">
        <v>3</v>
      </c>
      <c r="H17" t="str">
        <f t="shared" si="0"/>
        <v>Normal</v>
      </c>
      <c r="I17">
        <v>225.03</v>
      </c>
      <c r="J17">
        <v>193.22</v>
      </c>
      <c r="K17">
        <v>20</v>
      </c>
      <c r="L17">
        <v>10</v>
      </c>
      <c r="M17" t="s">
        <v>4</v>
      </c>
      <c r="N17">
        <v>675.09</v>
      </c>
      <c r="O17">
        <v>579.66</v>
      </c>
      <c r="P17">
        <v>95.430000000000064</v>
      </c>
      <c r="Q17">
        <v>2</v>
      </c>
      <c r="R17" s="7" t="str">
        <f t="shared" si="1"/>
        <v>⭐⭐ (2/5)</v>
      </c>
      <c r="S17" t="str">
        <f t="shared" si="2"/>
        <v>Muffin is a item to cetegry Bakery price of 225.03</v>
      </c>
    </row>
    <row r="18" spans="1:20" x14ac:dyDescent="0.3">
      <c r="A18" t="s">
        <v>51</v>
      </c>
      <c r="B18" s="3">
        <v>45050</v>
      </c>
      <c r="C18" t="s">
        <v>13</v>
      </c>
      <c r="D18" t="s">
        <v>52</v>
      </c>
      <c r="E18" t="s">
        <v>28</v>
      </c>
      <c r="F18" t="s">
        <v>10</v>
      </c>
      <c r="G18">
        <v>-6</v>
      </c>
      <c r="H18" t="str">
        <f t="shared" si="0"/>
        <v>Return</v>
      </c>
      <c r="I18">
        <v>631.19000000000005</v>
      </c>
      <c r="J18">
        <v>440.57</v>
      </c>
      <c r="K18">
        <v>10</v>
      </c>
      <c r="L18">
        <v>40</v>
      </c>
      <c r="M18" t="s">
        <v>36</v>
      </c>
      <c r="N18">
        <v>3787.1400000000003</v>
      </c>
      <c r="O18">
        <v>2643.42</v>
      </c>
      <c r="P18">
        <v>1143.7200000000003</v>
      </c>
      <c r="Q18">
        <v>5</v>
      </c>
      <c r="R18" s="7" t="str">
        <f t="shared" si="1"/>
        <v>⭐⭐⭐⭐⭐ (5/5)</v>
      </c>
      <c r="S18" t="str">
        <f t="shared" si="2"/>
        <v>Tea is a item to cetegry Beverages price of 631.19</v>
      </c>
      <c r="T18" s="6"/>
    </row>
    <row r="19" spans="1:20" x14ac:dyDescent="0.3">
      <c r="A19" t="s">
        <v>53</v>
      </c>
      <c r="B19" s="3">
        <v>44992</v>
      </c>
      <c r="C19" t="s">
        <v>5</v>
      </c>
      <c r="D19" t="s">
        <v>54</v>
      </c>
      <c r="E19" t="s">
        <v>28</v>
      </c>
      <c r="F19" t="s">
        <v>10</v>
      </c>
      <c r="G19">
        <v>8</v>
      </c>
      <c r="H19" t="str">
        <f t="shared" si="0"/>
        <v>Normal</v>
      </c>
      <c r="I19">
        <v>611.16999999999996</v>
      </c>
      <c r="J19">
        <v>409.85</v>
      </c>
      <c r="K19">
        <v>20</v>
      </c>
      <c r="L19">
        <v>108</v>
      </c>
      <c r="M19" t="s">
        <v>11</v>
      </c>
      <c r="N19">
        <v>4889.3599999999997</v>
      </c>
      <c r="O19">
        <v>3278.8</v>
      </c>
      <c r="P19">
        <v>1610.5599999999995</v>
      </c>
      <c r="Q19">
        <v>3</v>
      </c>
      <c r="R19" s="7" t="str">
        <f t="shared" si="1"/>
        <v>⭐⭐⭐ (3/5)</v>
      </c>
      <c r="S19" t="str">
        <f t="shared" si="2"/>
        <v>Bread is a item to cetegry Bakery price of 611.17</v>
      </c>
    </row>
    <row r="20" spans="1:20" x14ac:dyDescent="0.3">
      <c r="A20" t="s">
        <v>55</v>
      </c>
      <c r="B20" s="3">
        <v>45086</v>
      </c>
      <c r="C20" t="s">
        <v>1</v>
      </c>
      <c r="D20" t="s">
        <v>39</v>
      </c>
      <c r="E20" t="s">
        <v>40</v>
      </c>
      <c r="F20" t="s">
        <v>41</v>
      </c>
      <c r="G20">
        <v>5</v>
      </c>
      <c r="H20" t="str">
        <f t="shared" si="0"/>
        <v>Normal</v>
      </c>
      <c r="I20">
        <v>360.58</v>
      </c>
      <c r="J20">
        <v>268.56</v>
      </c>
      <c r="K20">
        <v>5</v>
      </c>
      <c r="L20">
        <v>79</v>
      </c>
      <c r="M20" t="s">
        <v>11</v>
      </c>
      <c r="N20">
        <v>1802.8999999999999</v>
      </c>
      <c r="O20">
        <v>1342.8</v>
      </c>
      <c r="P20">
        <v>460.09999999999991</v>
      </c>
      <c r="Q20">
        <v>1</v>
      </c>
      <c r="R20" s="7" t="str">
        <f t="shared" si="1"/>
        <v>⭐ (1/5)</v>
      </c>
      <c r="S20" t="str">
        <f t="shared" si="2"/>
        <v>Lotion is a item to cetegry Personal Care price of 360.58</v>
      </c>
    </row>
    <row r="21" spans="1:20" x14ac:dyDescent="0.3">
      <c r="A21" t="s">
        <v>56</v>
      </c>
      <c r="B21" s="3">
        <v>45228</v>
      </c>
      <c r="C21" t="s">
        <v>13</v>
      </c>
      <c r="D21" t="s">
        <v>14</v>
      </c>
      <c r="E21" t="s">
        <v>57</v>
      </c>
      <c r="F21" t="s">
        <v>58</v>
      </c>
      <c r="G21">
        <v>9</v>
      </c>
      <c r="H21" t="str">
        <f t="shared" si="0"/>
        <v>Normal</v>
      </c>
      <c r="I21">
        <v>277.27999999999997</v>
      </c>
      <c r="J21">
        <v>231.23</v>
      </c>
      <c r="K21">
        <v>0</v>
      </c>
      <c r="L21">
        <v>53</v>
      </c>
      <c r="M21" t="s">
        <v>36</v>
      </c>
      <c r="N21">
        <v>2495.5199999999995</v>
      </c>
      <c r="O21">
        <v>2081.0699999999997</v>
      </c>
      <c r="P21">
        <v>414.44999999999982</v>
      </c>
      <c r="Q21">
        <v>4</v>
      </c>
      <c r="R21" s="7" t="str">
        <f t="shared" si="1"/>
        <v>⭐⭐⭐⭐ (4/5)</v>
      </c>
      <c r="S21" t="str">
        <f t="shared" si="2"/>
        <v>Juice is a item to cetegry Beverages price of 277.28</v>
      </c>
    </row>
    <row r="22" spans="1:20" x14ac:dyDescent="0.3">
      <c r="A22" t="s">
        <v>59</v>
      </c>
      <c r="B22" s="3">
        <v>45096</v>
      </c>
      <c r="C22" t="s">
        <v>5</v>
      </c>
      <c r="D22" t="s">
        <v>60</v>
      </c>
      <c r="E22" t="s">
        <v>34</v>
      </c>
      <c r="F22" t="s">
        <v>35</v>
      </c>
      <c r="G22">
        <v>1</v>
      </c>
      <c r="H22" t="str">
        <f t="shared" si="0"/>
        <v>Normal</v>
      </c>
      <c r="I22">
        <v>60.58</v>
      </c>
      <c r="J22">
        <v>44.79</v>
      </c>
      <c r="K22">
        <v>5</v>
      </c>
      <c r="L22">
        <v>18</v>
      </c>
      <c r="M22" t="s">
        <v>36</v>
      </c>
      <c r="N22">
        <v>60.58</v>
      </c>
      <c r="O22">
        <v>44.79</v>
      </c>
      <c r="P22">
        <v>15.79</v>
      </c>
      <c r="Q22">
        <v>2</v>
      </c>
      <c r="R22" s="7" t="str">
        <f t="shared" si="1"/>
        <v>⭐⭐ (2/5)</v>
      </c>
      <c r="S22" t="str">
        <f t="shared" si="2"/>
        <v>Cake is a item to cetegry Bakery price of 60.58</v>
      </c>
    </row>
    <row r="23" spans="1:20" x14ac:dyDescent="0.3">
      <c r="A23" t="s">
        <v>61</v>
      </c>
      <c r="B23" s="3">
        <v>45222</v>
      </c>
      <c r="C23" t="s">
        <v>62</v>
      </c>
      <c r="D23" t="s">
        <v>63</v>
      </c>
      <c r="E23" t="s">
        <v>34</v>
      </c>
      <c r="F23" t="s">
        <v>35</v>
      </c>
      <c r="G23">
        <v>5</v>
      </c>
      <c r="H23" t="str">
        <f t="shared" si="0"/>
        <v>Normal</v>
      </c>
      <c r="I23">
        <v>400.53</v>
      </c>
      <c r="J23">
        <v>337.8</v>
      </c>
      <c r="K23">
        <v>5</v>
      </c>
      <c r="L23">
        <v>102</v>
      </c>
      <c r="M23" t="s">
        <v>4</v>
      </c>
      <c r="N23">
        <v>2002.6499999999999</v>
      </c>
      <c r="O23">
        <v>1689</v>
      </c>
      <c r="P23">
        <v>313.64999999999986</v>
      </c>
      <c r="Q23">
        <v>5</v>
      </c>
      <c r="R23" s="7" t="str">
        <f t="shared" si="1"/>
        <v>⭐⭐⭐⭐⭐ (5/5)</v>
      </c>
      <c r="S23" t="str">
        <f t="shared" si="2"/>
        <v>Onion is a item to cetegry Fruits &amp; Vegetables price of 400.53</v>
      </c>
    </row>
    <row r="24" spans="1:20" x14ac:dyDescent="0.3">
      <c r="A24" t="s">
        <v>64</v>
      </c>
      <c r="B24" s="3">
        <v>45137</v>
      </c>
      <c r="C24" t="s">
        <v>13</v>
      </c>
      <c r="D24" t="s">
        <v>65</v>
      </c>
      <c r="E24" t="s">
        <v>57</v>
      </c>
      <c r="F24" t="s">
        <v>58</v>
      </c>
      <c r="G24">
        <v>7</v>
      </c>
      <c r="H24" t="str">
        <f t="shared" si="0"/>
        <v>Normal</v>
      </c>
      <c r="I24">
        <v>117.64</v>
      </c>
      <c r="J24">
        <v>103.3</v>
      </c>
      <c r="K24">
        <v>15</v>
      </c>
      <c r="L24">
        <v>55</v>
      </c>
      <c r="M24" t="s">
        <v>17</v>
      </c>
      <c r="N24">
        <v>823.48</v>
      </c>
      <c r="O24">
        <v>723.1</v>
      </c>
      <c r="P24">
        <v>100.38</v>
      </c>
      <c r="Q24">
        <v>3</v>
      </c>
      <c r="R24" s="7" t="str">
        <f t="shared" si="1"/>
        <v>⭐⭐⭐ (3/5)</v>
      </c>
      <c r="S24" t="str">
        <f t="shared" si="2"/>
        <v>Coffee is a item to cetegry Beverages price of 117.64</v>
      </c>
      <c r="T24" s="6"/>
    </row>
    <row r="25" spans="1:20" x14ac:dyDescent="0.3">
      <c r="A25" t="s">
        <v>66</v>
      </c>
      <c r="B25" s="3">
        <v>45024</v>
      </c>
      <c r="C25" t="s">
        <v>13</v>
      </c>
      <c r="D25" t="s">
        <v>52</v>
      </c>
      <c r="E25" t="s">
        <v>28</v>
      </c>
      <c r="F25" t="s">
        <v>10</v>
      </c>
      <c r="G25">
        <v>1</v>
      </c>
      <c r="H25" t="str">
        <f t="shared" si="0"/>
        <v>Normal</v>
      </c>
      <c r="I25">
        <v>256.14</v>
      </c>
      <c r="J25">
        <v>207.28</v>
      </c>
      <c r="K25">
        <v>0</v>
      </c>
      <c r="L25">
        <v>41</v>
      </c>
      <c r="M25" t="s">
        <v>11</v>
      </c>
      <c r="N25">
        <v>256.14</v>
      </c>
      <c r="O25">
        <v>207.28</v>
      </c>
      <c r="P25">
        <v>48.859999999999985</v>
      </c>
      <c r="Q25">
        <v>4</v>
      </c>
      <c r="R25" s="7" t="str">
        <f t="shared" si="1"/>
        <v>⭐⭐⭐⭐ (4/5)</v>
      </c>
      <c r="S25" t="str">
        <f t="shared" si="2"/>
        <v>Tea is a item to cetegry Beverages price of 256.14</v>
      </c>
      <c r="T25" s="5"/>
    </row>
    <row r="26" spans="1:20" x14ac:dyDescent="0.3">
      <c r="A26" t="s">
        <v>67</v>
      </c>
      <c r="B26" s="3">
        <v>44977</v>
      </c>
      <c r="C26" t="s">
        <v>5</v>
      </c>
      <c r="D26" t="s">
        <v>6</v>
      </c>
      <c r="E26" t="s">
        <v>40</v>
      </c>
      <c r="F26" t="s">
        <v>41</v>
      </c>
      <c r="G26">
        <v>-7</v>
      </c>
      <c r="H26" t="str">
        <f t="shared" si="0"/>
        <v>Return</v>
      </c>
      <c r="I26">
        <v>128.38999999999999</v>
      </c>
      <c r="J26">
        <v>99.91</v>
      </c>
      <c r="K26">
        <v>0</v>
      </c>
      <c r="L26">
        <v>66</v>
      </c>
      <c r="M26" t="s">
        <v>4</v>
      </c>
      <c r="N26">
        <v>898.7299999999999</v>
      </c>
      <c r="O26">
        <v>699.37</v>
      </c>
      <c r="P26">
        <v>199.3599999999999</v>
      </c>
      <c r="Q26">
        <v>1</v>
      </c>
      <c r="R26" s="7" t="str">
        <f t="shared" si="1"/>
        <v>⭐ (1/5)</v>
      </c>
      <c r="S26" t="str">
        <f t="shared" si="2"/>
        <v>Donut is a item to cetegry Bakery price of 128.39</v>
      </c>
    </row>
    <row r="27" spans="1:20" x14ac:dyDescent="0.3">
      <c r="A27" t="s">
        <v>68</v>
      </c>
      <c r="B27" s="3">
        <v>45173</v>
      </c>
      <c r="C27" t="s">
        <v>62</v>
      </c>
      <c r="D27" t="s">
        <v>63</v>
      </c>
      <c r="E27" t="s">
        <v>3</v>
      </c>
      <c r="F27" t="s">
        <v>3</v>
      </c>
      <c r="G27">
        <v>2</v>
      </c>
      <c r="H27" t="str">
        <f t="shared" si="0"/>
        <v>Normal</v>
      </c>
      <c r="I27">
        <v>667.8</v>
      </c>
      <c r="J27">
        <v>463.92</v>
      </c>
      <c r="K27">
        <v>5</v>
      </c>
      <c r="L27">
        <v>62</v>
      </c>
      <c r="M27" t="s">
        <v>17</v>
      </c>
      <c r="N27">
        <v>1335.6</v>
      </c>
      <c r="O27">
        <v>927.84</v>
      </c>
      <c r="P27">
        <v>407.75999999999988</v>
      </c>
      <c r="Q27">
        <v>2</v>
      </c>
      <c r="R27" s="7" t="str">
        <f t="shared" si="1"/>
        <v>⭐⭐ (2/5)</v>
      </c>
      <c r="S27" t="str">
        <f t="shared" si="2"/>
        <v>Onion is a item to cetegry Fruits &amp; Vegetables price of 667.8</v>
      </c>
    </row>
    <row r="28" spans="1:20" x14ac:dyDescent="0.3">
      <c r="A28" t="s">
        <v>69</v>
      </c>
      <c r="B28" s="3">
        <v>45073</v>
      </c>
      <c r="C28" t="s">
        <v>30</v>
      </c>
      <c r="D28" t="s">
        <v>48</v>
      </c>
      <c r="E28" t="s">
        <v>3</v>
      </c>
      <c r="F28" t="s">
        <v>3</v>
      </c>
      <c r="G28">
        <v>3</v>
      </c>
      <c r="H28" t="str">
        <f t="shared" si="0"/>
        <v>Normal</v>
      </c>
      <c r="I28">
        <v>292.39999999999998</v>
      </c>
      <c r="J28">
        <v>195.7</v>
      </c>
      <c r="K28">
        <v>10</v>
      </c>
      <c r="L28">
        <v>110</v>
      </c>
      <c r="M28" t="s">
        <v>17</v>
      </c>
      <c r="N28">
        <v>877.19999999999993</v>
      </c>
      <c r="O28">
        <v>587.09999999999991</v>
      </c>
      <c r="P28">
        <v>290.10000000000002</v>
      </c>
      <c r="Q28">
        <v>5</v>
      </c>
      <c r="R28" s="7" t="str">
        <f t="shared" si="1"/>
        <v>⭐⭐⭐⭐⭐ (5/5)</v>
      </c>
      <c r="S28" t="str">
        <f t="shared" si="2"/>
        <v>Curd is a item to cetegry Dairy price of 292.4</v>
      </c>
    </row>
    <row r="29" spans="1:20" x14ac:dyDescent="0.3">
      <c r="A29" t="s">
        <v>70</v>
      </c>
      <c r="B29" s="3">
        <v>44958</v>
      </c>
      <c r="C29" t="s">
        <v>13</v>
      </c>
      <c r="D29" t="s">
        <v>71</v>
      </c>
      <c r="E29" t="s">
        <v>57</v>
      </c>
      <c r="F29" t="s">
        <v>58</v>
      </c>
      <c r="G29">
        <v>3</v>
      </c>
      <c r="H29" t="str">
        <f t="shared" si="0"/>
        <v>Normal</v>
      </c>
      <c r="I29">
        <v>122.33</v>
      </c>
      <c r="J29">
        <v>103.05</v>
      </c>
      <c r="K29">
        <v>0</v>
      </c>
      <c r="L29">
        <v>84</v>
      </c>
      <c r="M29" t="s">
        <v>4</v>
      </c>
      <c r="N29">
        <v>366.99</v>
      </c>
      <c r="O29">
        <v>309.14999999999998</v>
      </c>
      <c r="P29">
        <v>57.840000000000032</v>
      </c>
      <c r="Q29">
        <v>3</v>
      </c>
      <c r="R29" s="7" t="str">
        <f t="shared" si="1"/>
        <v>⭐⭐⭐ (3/5)</v>
      </c>
      <c r="S29" t="str">
        <f t="shared" si="2"/>
        <v>Energy Drink is a item to cetegry Beverages price of 122.33</v>
      </c>
    </row>
    <row r="30" spans="1:20" x14ac:dyDescent="0.3">
      <c r="A30" t="s">
        <v>72</v>
      </c>
      <c r="B30" s="3">
        <v>45187</v>
      </c>
      <c r="C30" t="s">
        <v>1</v>
      </c>
      <c r="D30" t="s">
        <v>73</v>
      </c>
      <c r="E30" t="s">
        <v>3</v>
      </c>
      <c r="F30" t="s">
        <v>3</v>
      </c>
      <c r="G30">
        <v>1</v>
      </c>
      <c r="H30" t="str">
        <f t="shared" si="0"/>
        <v>Normal</v>
      </c>
      <c r="I30">
        <v>385.46</v>
      </c>
      <c r="J30">
        <v>296.25</v>
      </c>
      <c r="K30">
        <v>20</v>
      </c>
      <c r="L30">
        <v>30</v>
      </c>
      <c r="M30" t="s">
        <v>36</v>
      </c>
      <c r="N30">
        <v>385.46</v>
      </c>
      <c r="O30">
        <v>296.25</v>
      </c>
      <c r="P30">
        <v>89.20999999999998</v>
      </c>
      <c r="Q30">
        <v>4</v>
      </c>
      <c r="R30" s="7" t="str">
        <f t="shared" si="1"/>
        <v>⭐⭐⭐⭐ (4/5)</v>
      </c>
      <c r="S30" t="str">
        <f t="shared" si="2"/>
        <v>Toothpaste is a item to cetegry Personal Care price of 385.46</v>
      </c>
    </row>
    <row r="31" spans="1:20" x14ac:dyDescent="0.3">
      <c r="A31" t="s">
        <v>74</v>
      </c>
      <c r="B31" s="3">
        <v>45053</v>
      </c>
      <c r="C31" t="s">
        <v>62</v>
      </c>
      <c r="D31" t="s">
        <v>75</v>
      </c>
      <c r="E31" t="s">
        <v>28</v>
      </c>
      <c r="F31" t="s">
        <v>10</v>
      </c>
      <c r="G31">
        <v>10</v>
      </c>
      <c r="H31" t="str">
        <f t="shared" si="0"/>
        <v>Normal</v>
      </c>
      <c r="I31">
        <v>62.56</v>
      </c>
      <c r="J31">
        <v>43.3</v>
      </c>
      <c r="K31">
        <v>15</v>
      </c>
      <c r="L31">
        <v>25</v>
      </c>
      <c r="M31" t="s">
        <v>4</v>
      </c>
      <c r="N31">
        <v>625.6</v>
      </c>
      <c r="O31">
        <v>433</v>
      </c>
      <c r="P31">
        <v>192.60000000000002</v>
      </c>
      <c r="Q31">
        <v>1</v>
      </c>
      <c r="R31" s="7" t="str">
        <f t="shared" si="1"/>
        <v>⭐ (1/5)</v>
      </c>
      <c r="S31" t="str">
        <f t="shared" si="2"/>
        <v>Banana is a item to cetegry Fruits &amp; Vegetables price of 62.56</v>
      </c>
    </row>
    <row r="32" spans="1:20" x14ac:dyDescent="0.3">
      <c r="A32" t="s">
        <v>76</v>
      </c>
      <c r="B32" s="3">
        <v>45060</v>
      </c>
      <c r="C32" t="s">
        <v>5</v>
      </c>
      <c r="D32" t="s">
        <v>50</v>
      </c>
      <c r="E32" t="s">
        <v>3</v>
      </c>
      <c r="F32" t="s">
        <v>3</v>
      </c>
      <c r="G32">
        <v>10</v>
      </c>
      <c r="H32" t="str">
        <f t="shared" si="0"/>
        <v>Normal</v>
      </c>
      <c r="I32">
        <v>68.38</v>
      </c>
      <c r="J32">
        <v>50.17</v>
      </c>
      <c r="K32">
        <v>20</v>
      </c>
      <c r="L32">
        <v>76</v>
      </c>
      <c r="M32" t="s">
        <v>25</v>
      </c>
      <c r="N32">
        <v>683.8</v>
      </c>
      <c r="O32">
        <v>501.70000000000005</v>
      </c>
      <c r="P32">
        <v>182.09999999999991</v>
      </c>
      <c r="Q32">
        <v>2</v>
      </c>
      <c r="R32" s="7" t="str">
        <f t="shared" si="1"/>
        <v>⭐⭐ (2/5)</v>
      </c>
      <c r="S32" t="str">
        <f t="shared" si="2"/>
        <v>Muffin is a item to cetegry Bakery price of 68.38</v>
      </c>
    </row>
    <row r="33" spans="1:19" x14ac:dyDescent="0.3">
      <c r="A33" t="s">
        <v>77</v>
      </c>
      <c r="B33" s="3">
        <v>44964</v>
      </c>
      <c r="C33" t="s">
        <v>30</v>
      </c>
      <c r="D33" t="s">
        <v>31</v>
      </c>
      <c r="E33" t="s">
        <v>34</v>
      </c>
      <c r="F33" t="s">
        <v>35</v>
      </c>
      <c r="G33">
        <v>5</v>
      </c>
      <c r="H33" t="str">
        <f t="shared" si="0"/>
        <v>Normal</v>
      </c>
      <c r="I33">
        <v>279.13</v>
      </c>
      <c r="J33">
        <v>203.94</v>
      </c>
      <c r="K33">
        <v>10</v>
      </c>
      <c r="L33">
        <v>68</v>
      </c>
      <c r="M33" t="s">
        <v>25</v>
      </c>
      <c r="N33">
        <v>1395.65</v>
      </c>
      <c r="O33">
        <v>1019.7</v>
      </c>
      <c r="P33">
        <v>375.95000000000005</v>
      </c>
      <c r="Q33">
        <v>5</v>
      </c>
      <c r="R33" s="7" t="str">
        <f t="shared" si="1"/>
        <v>⭐⭐⭐⭐⭐ (5/5)</v>
      </c>
      <c r="S33" t="str">
        <f t="shared" si="2"/>
        <v>Butter is a item to cetegry Dairy price of 279.13</v>
      </c>
    </row>
    <row r="34" spans="1:19" x14ac:dyDescent="0.3">
      <c r="A34" t="s">
        <v>78</v>
      </c>
      <c r="B34" s="3">
        <v>45052</v>
      </c>
      <c r="C34" t="s">
        <v>62</v>
      </c>
      <c r="D34" t="s">
        <v>79</v>
      </c>
      <c r="E34" t="s">
        <v>28</v>
      </c>
      <c r="F34" t="s">
        <v>10</v>
      </c>
      <c r="G34">
        <v>2</v>
      </c>
      <c r="H34" t="str">
        <f t="shared" ref="H34:H65" si="3">IF(G34&lt;0,"Return","Normal")</f>
        <v>Normal</v>
      </c>
      <c r="I34">
        <v>356.12</v>
      </c>
      <c r="J34">
        <v>273.44</v>
      </c>
      <c r="K34">
        <v>5</v>
      </c>
      <c r="L34">
        <v>54</v>
      </c>
      <c r="M34" t="s">
        <v>36</v>
      </c>
      <c r="N34">
        <v>712.24</v>
      </c>
      <c r="O34">
        <v>546.88</v>
      </c>
      <c r="P34">
        <v>165.36</v>
      </c>
      <c r="Q34">
        <v>3</v>
      </c>
      <c r="R34" s="7" t="str">
        <f t="shared" si="1"/>
        <v>⭐⭐⭐ (3/5)</v>
      </c>
      <c r="S34" t="str">
        <f t="shared" si="2"/>
        <v>Potato is a item to cetegry Fruits &amp; Vegetables price of 356.12</v>
      </c>
    </row>
    <row r="35" spans="1:19" x14ac:dyDescent="0.3">
      <c r="A35" t="s">
        <v>80</v>
      </c>
      <c r="B35" s="3">
        <v>44931</v>
      </c>
      <c r="C35" t="s">
        <v>18</v>
      </c>
      <c r="D35" t="s">
        <v>19</v>
      </c>
      <c r="E35" t="s">
        <v>40</v>
      </c>
      <c r="F35" t="s">
        <v>41</v>
      </c>
      <c r="G35">
        <v>8</v>
      </c>
      <c r="H35" t="str">
        <f t="shared" si="3"/>
        <v>Normal</v>
      </c>
      <c r="I35">
        <v>578.17999999999995</v>
      </c>
      <c r="J35">
        <v>418.54</v>
      </c>
      <c r="K35">
        <v>20</v>
      </c>
      <c r="L35">
        <v>113</v>
      </c>
      <c r="M35" t="s">
        <v>4</v>
      </c>
      <c r="N35">
        <v>4625.4399999999996</v>
      </c>
      <c r="O35">
        <v>3348.32</v>
      </c>
      <c r="P35">
        <v>1277.1199999999994</v>
      </c>
      <c r="Q35">
        <v>1</v>
      </c>
      <c r="R35" s="7" t="str">
        <f t="shared" si="1"/>
        <v>⭐ (1/5)</v>
      </c>
      <c r="S35" t="str">
        <f t="shared" si="2"/>
        <v>Noodles is a item to cetegry Snacks price of 578.18</v>
      </c>
    </row>
    <row r="36" spans="1:19" x14ac:dyDescent="0.3">
      <c r="A36" t="s">
        <v>81</v>
      </c>
      <c r="B36" s="3">
        <v>45006</v>
      </c>
      <c r="C36" t="s">
        <v>1</v>
      </c>
      <c r="D36" t="s">
        <v>8</v>
      </c>
      <c r="E36" t="s">
        <v>15</v>
      </c>
      <c r="F36" t="s">
        <v>16</v>
      </c>
      <c r="G36">
        <v>2</v>
      </c>
      <c r="H36" t="str">
        <f t="shared" si="3"/>
        <v>Normal</v>
      </c>
      <c r="I36">
        <v>542.34</v>
      </c>
      <c r="J36">
        <v>470.08</v>
      </c>
      <c r="K36">
        <v>0</v>
      </c>
      <c r="L36">
        <v>23</v>
      </c>
      <c r="M36" t="s">
        <v>4</v>
      </c>
      <c r="N36">
        <v>1084.68</v>
      </c>
      <c r="O36">
        <v>940.16</v>
      </c>
      <c r="P36">
        <v>144.5200000000001</v>
      </c>
      <c r="Q36">
        <v>4</v>
      </c>
      <c r="R36" s="7" t="str">
        <f t="shared" si="1"/>
        <v>⭐⭐⭐⭐ (4/5)</v>
      </c>
      <c r="S36" t="str">
        <f t="shared" si="2"/>
        <v>Face Wash is a item to cetegry Personal Care price of 542.34</v>
      </c>
    </row>
    <row r="37" spans="1:19" x14ac:dyDescent="0.3">
      <c r="A37" t="s">
        <v>82</v>
      </c>
      <c r="B37" s="3">
        <v>45055</v>
      </c>
      <c r="C37" t="s">
        <v>18</v>
      </c>
      <c r="D37" t="s">
        <v>19</v>
      </c>
      <c r="E37" t="s">
        <v>34</v>
      </c>
      <c r="F37" t="s">
        <v>35</v>
      </c>
      <c r="G37">
        <v>6</v>
      </c>
      <c r="H37" t="str">
        <f t="shared" si="3"/>
        <v>Normal</v>
      </c>
      <c r="I37">
        <v>148.58000000000001</v>
      </c>
      <c r="J37">
        <v>109.76</v>
      </c>
      <c r="K37">
        <v>10</v>
      </c>
      <c r="L37">
        <v>74</v>
      </c>
      <c r="M37" t="s">
        <v>17</v>
      </c>
      <c r="N37">
        <v>891.48</v>
      </c>
      <c r="O37">
        <v>658.56000000000006</v>
      </c>
      <c r="P37">
        <v>232.91999999999996</v>
      </c>
      <c r="Q37">
        <v>2</v>
      </c>
      <c r="R37" s="7" t="str">
        <f t="shared" si="1"/>
        <v>⭐⭐ (2/5)</v>
      </c>
      <c r="S37" t="str">
        <f t="shared" si="2"/>
        <v>Noodles is a item to cetegry Snacks price of 148.58</v>
      </c>
    </row>
    <row r="38" spans="1:19" x14ac:dyDescent="0.3">
      <c r="A38" t="s">
        <v>83</v>
      </c>
      <c r="B38" s="3">
        <v>45253</v>
      </c>
      <c r="C38" t="s">
        <v>21</v>
      </c>
      <c r="D38" t="s">
        <v>46</v>
      </c>
      <c r="E38" t="s">
        <v>28</v>
      </c>
      <c r="F38" t="s">
        <v>10</v>
      </c>
      <c r="G38">
        <v>7</v>
      </c>
      <c r="H38" t="str">
        <f t="shared" si="3"/>
        <v>Normal</v>
      </c>
      <c r="I38">
        <v>465.36</v>
      </c>
      <c r="J38">
        <v>416.38</v>
      </c>
      <c r="K38">
        <v>10</v>
      </c>
      <c r="L38">
        <v>108</v>
      </c>
      <c r="M38" t="s">
        <v>11</v>
      </c>
      <c r="N38">
        <v>3257.52</v>
      </c>
      <c r="O38">
        <v>2914.66</v>
      </c>
      <c r="P38">
        <v>342.86000000000013</v>
      </c>
      <c r="Q38">
        <v>5</v>
      </c>
      <c r="R38" s="7" t="str">
        <f t="shared" si="1"/>
        <v>⭐⭐⭐⭐⭐ (5/5)</v>
      </c>
      <c r="S38" t="str">
        <f t="shared" si="2"/>
        <v>Detergent is a item to cetegry Household price of 465.36</v>
      </c>
    </row>
    <row r="39" spans="1:19" x14ac:dyDescent="0.3">
      <c r="A39" t="s">
        <v>84</v>
      </c>
      <c r="B39" s="3">
        <v>45206</v>
      </c>
      <c r="C39" t="s">
        <v>18</v>
      </c>
      <c r="D39" t="s">
        <v>85</v>
      </c>
      <c r="E39" t="s">
        <v>57</v>
      </c>
      <c r="F39" t="s">
        <v>58</v>
      </c>
      <c r="G39">
        <v>9</v>
      </c>
      <c r="H39" t="str">
        <f t="shared" si="3"/>
        <v>Normal</v>
      </c>
      <c r="I39">
        <v>471.18</v>
      </c>
      <c r="J39">
        <v>355.78</v>
      </c>
      <c r="K39">
        <v>0</v>
      </c>
      <c r="L39">
        <v>19</v>
      </c>
      <c r="M39" t="s">
        <v>11</v>
      </c>
      <c r="N39">
        <v>4240.62</v>
      </c>
      <c r="O39">
        <v>3202.0199999999995</v>
      </c>
      <c r="P39">
        <v>1038.6000000000004</v>
      </c>
      <c r="Q39">
        <v>3</v>
      </c>
      <c r="R39" s="7" t="str">
        <f t="shared" si="1"/>
        <v>⭐⭐⭐ (3/5)</v>
      </c>
      <c r="S39" t="str">
        <f t="shared" si="2"/>
        <v>Biscuits is a item to cetegry Snacks price of 471.18</v>
      </c>
    </row>
    <row r="40" spans="1:19" x14ac:dyDescent="0.3">
      <c r="A40" t="s">
        <v>86</v>
      </c>
      <c r="B40" s="3">
        <v>45276</v>
      </c>
      <c r="C40" t="s">
        <v>62</v>
      </c>
      <c r="D40" t="s">
        <v>87</v>
      </c>
      <c r="E40" t="s">
        <v>40</v>
      </c>
      <c r="F40" t="s">
        <v>41</v>
      </c>
      <c r="G40">
        <v>7</v>
      </c>
      <c r="H40" t="str">
        <f t="shared" si="3"/>
        <v>Normal</v>
      </c>
      <c r="I40">
        <v>88.63</v>
      </c>
      <c r="J40">
        <v>72.45</v>
      </c>
      <c r="K40">
        <v>0</v>
      </c>
      <c r="L40">
        <v>55</v>
      </c>
      <c r="M40" t="s">
        <v>11</v>
      </c>
      <c r="N40">
        <v>620.41</v>
      </c>
      <c r="O40">
        <v>507.15000000000003</v>
      </c>
      <c r="P40">
        <v>113.25999999999993</v>
      </c>
      <c r="Q40">
        <v>4</v>
      </c>
      <c r="R40" s="7" t="str">
        <f t="shared" si="1"/>
        <v>⭐⭐⭐⭐ (4/5)</v>
      </c>
      <c r="S40" t="str">
        <f t="shared" si="2"/>
        <v>Tomato is a item to cetegry Fruits &amp; Vegetables price of 88.63</v>
      </c>
    </row>
    <row r="41" spans="1:19" x14ac:dyDescent="0.3">
      <c r="A41" t="s">
        <v>88</v>
      </c>
      <c r="B41" s="3">
        <v>45048</v>
      </c>
      <c r="C41" t="s">
        <v>30</v>
      </c>
      <c r="D41" t="s">
        <v>89</v>
      </c>
      <c r="E41" t="s">
        <v>23</v>
      </c>
      <c r="F41" t="s">
        <v>24</v>
      </c>
      <c r="G41">
        <v>9</v>
      </c>
      <c r="H41" t="str">
        <f t="shared" si="3"/>
        <v>Normal</v>
      </c>
      <c r="I41">
        <v>559.6</v>
      </c>
      <c r="J41">
        <v>443.23</v>
      </c>
      <c r="K41">
        <v>20</v>
      </c>
      <c r="L41">
        <v>105</v>
      </c>
      <c r="M41" t="s">
        <v>11</v>
      </c>
      <c r="N41">
        <v>5036.4000000000005</v>
      </c>
      <c r="O41">
        <v>3989.07</v>
      </c>
      <c r="P41">
        <v>1047.3300000000004</v>
      </c>
      <c r="Q41">
        <v>1</v>
      </c>
      <c r="R41" s="7" t="str">
        <f t="shared" si="1"/>
        <v>⭐ (1/5)</v>
      </c>
      <c r="S41" t="str">
        <f t="shared" si="2"/>
        <v>Milk is a item to cetegry Dairy price of 559.6</v>
      </c>
    </row>
    <row r="42" spans="1:19" x14ac:dyDescent="0.3">
      <c r="A42" t="s">
        <v>90</v>
      </c>
      <c r="B42" s="3">
        <v>45269</v>
      </c>
      <c r="C42" t="s">
        <v>21</v>
      </c>
      <c r="D42" t="s">
        <v>27</v>
      </c>
      <c r="E42" t="s">
        <v>40</v>
      </c>
      <c r="F42" t="s">
        <v>41</v>
      </c>
      <c r="G42">
        <v>7</v>
      </c>
      <c r="H42" t="str">
        <f t="shared" si="3"/>
        <v>Normal</v>
      </c>
      <c r="I42">
        <v>30.89</v>
      </c>
      <c r="J42">
        <v>22.15</v>
      </c>
      <c r="K42">
        <v>10</v>
      </c>
      <c r="L42">
        <v>110</v>
      </c>
      <c r="M42" t="s">
        <v>17</v>
      </c>
      <c r="N42">
        <v>216.23000000000002</v>
      </c>
      <c r="O42">
        <v>155.04999999999998</v>
      </c>
      <c r="P42">
        <v>61.180000000000035</v>
      </c>
      <c r="Q42">
        <v>2</v>
      </c>
      <c r="R42" s="7" t="str">
        <f t="shared" si="1"/>
        <v>⭐⭐ (2/5)</v>
      </c>
      <c r="S42" t="str">
        <f t="shared" si="2"/>
        <v>Cleaner is a item to cetegry Household price of 30.89</v>
      </c>
    </row>
    <row r="43" spans="1:19" x14ac:dyDescent="0.3">
      <c r="A43" t="s">
        <v>91</v>
      </c>
      <c r="B43" s="3">
        <v>45040</v>
      </c>
      <c r="C43" t="s">
        <v>21</v>
      </c>
      <c r="D43" t="s">
        <v>27</v>
      </c>
      <c r="E43" t="s">
        <v>15</v>
      </c>
      <c r="F43" t="s">
        <v>16</v>
      </c>
      <c r="G43">
        <v>3</v>
      </c>
      <c r="H43" t="str">
        <f t="shared" si="3"/>
        <v>Normal</v>
      </c>
      <c r="I43">
        <v>452.51</v>
      </c>
      <c r="J43">
        <v>395.81</v>
      </c>
      <c r="K43">
        <v>0</v>
      </c>
      <c r="L43">
        <v>119</v>
      </c>
      <c r="M43" t="s">
        <v>17</v>
      </c>
      <c r="N43">
        <v>1357.53</v>
      </c>
      <c r="O43">
        <v>1187.43</v>
      </c>
      <c r="P43">
        <v>170.09999999999991</v>
      </c>
      <c r="Q43">
        <v>3</v>
      </c>
      <c r="R43" s="7" t="str">
        <f t="shared" si="1"/>
        <v>⭐⭐⭐ (3/5)</v>
      </c>
      <c r="S43" t="str">
        <f t="shared" si="2"/>
        <v>Cleaner is a item to cetegry Household price of 452.51</v>
      </c>
    </row>
    <row r="44" spans="1:19" x14ac:dyDescent="0.3">
      <c r="A44" t="s">
        <v>92</v>
      </c>
      <c r="B44" s="3">
        <v>45131</v>
      </c>
      <c r="C44" t="s">
        <v>30</v>
      </c>
      <c r="D44" t="s">
        <v>48</v>
      </c>
      <c r="E44" t="s">
        <v>23</v>
      </c>
      <c r="F44" t="s">
        <v>24</v>
      </c>
      <c r="G44">
        <v>5</v>
      </c>
      <c r="H44" t="str">
        <f t="shared" si="3"/>
        <v>Normal</v>
      </c>
      <c r="I44">
        <v>596.88</v>
      </c>
      <c r="J44">
        <v>412.06</v>
      </c>
      <c r="K44">
        <v>5</v>
      </c>
      <c r="L44">
        <v>13</v>
      </c>
      <c r="M44" t="s">
        <v>11</v>
      </c>
      <c r="N44">
        <v>2984.4</v>
      </c>
      <c r="O44">
        <v>2060.3000000000002</v>
      </c>
      <c r="P44">
        <v>924.09999999999991</v>
      </c>
      <c r="Q44">
        <v>5</v>
      </c>
      <c r="R44" s="7" t="str">
        <f t="shared" si="1"/>
        <v>⭐⭐⭐⭐⭐ (5/5)</v>
      </c>
      <c r="S44" t="str">
        <f t="shared" si="2"/>
        <v>Curd is a item to cetegry Dairy price of 596.88</v>
      </c>
    </row>
    <row r="45" spans="1:19" x14ac:dyDescent="0.3">
      <c r="A45" t="s">
        <v>93</v>
      </c>
      <c r="B45" s="3">
        <v>44986</v>
      </c>
      <c r="C45" t="s">
        <v>18</v>
      </c>
      <c r="D45" t="s">
        <v>19</v>
      </c>
      <c r="E45" t="s">
        <v>28</v>
      </c>
      <c r="F45" t="s">
        <v>10</v>
      </c>
      <c r="G45">
        <v>5</v>
      </c>
      <c r="H45" t="str">
        <f t="shared" si="3"/>
        <v>Normal</v>
      </c>
      <c r="I45">
        <v>237.36</v>
      </c>
      <c r="J45">
        <v>182.06</v>
      </c>
      <c r="K45">
        <v>20</v>
      </c>
      <c r="L45">
        <v>52</v>
      </c>
      <c r="M45" t="s">
        <v>36</v>
      </c>
      <c r="N45">
        <v>1186.8000000000002</v>
      </c>
      <c r="O45">
        <v>910.3</v>
      </c>
      <c r="P45">
        <v>276.50000000000023</v>
      </c>
      <c r="Q45">
        <v>4</v>
      </c>
      <c r="R45" s="7" t="str">
        <f t="shared" si="1"/>
        <v>⭐⭐⭐⭐ (4/5)</v>
      </c>
      <c r="S45" t="str">
        <f t="shared" si="2"/>
        <v>Noodles is a item to cetegry Snacks price of 237.36</v>
      </c>
    </row>
    <row r="46" spans="1:19" x14ac:dyDescent="0.3">
      <c r="A46" t="s">
        <v>94</v>
      </c>
      <c r="B46" s="3">
        <v>45188</v>
      </c>
      <c r="C46" t="s">
        <v>18</v>
      </c>
      <c r="D46" t="s">
        <v>85</v>
      </c>
      <c r="E46" t="s">
        <v>15</v>
      </c>
      <c r="F46" t="s">
        <v>16</v>
      </c>
      <c r="G46">
        <v>1</v>
      </c>
      <c r="H46" t="str">
        <f t="shared" si="3"/>
        <v>Normal</v>
      </c>
      <c r="I46">
        <v>80.400000000000006</v>
      </c>
      <c r="J46">
        <v>63.12</v>
      </c>
      <c r="K46">
        <v>10</v>
      </c>
      <c r="L46">
        <v>65</v>
      </c>
      <c r="M46" t="s">
        <v>4</v>
      </c>
      <c r="N46">
        <v>80.400000000000006</v>
      </c>
      <c r="O46">
        <v>63.12</v>
      </c>
      <c r="P46">
        <v>17.280000000000008</v>
      </c>
      <c r="Q46">
        <v>1</v>
      </c>
      <c r="R46" s="7" t="str">
        <f t="shared" si="1"/>
        <v>⭐ (1/5)</v>
      </c>
      <c r="S46" t="str">
        <f t="shared" si="2"/>
        <v>Biscuits is a item to cetegry Snacks price of 80.4</v>
      </c>
    </row>
    <row r="47" spans="1:19" x14ac:dyDescent="0.3">
      <c r="A47" t="s">
        <v>95</v>
      </c>
      <c r="B47" s="3">
        <v>45278</v>
      </c>
      <c r="C47" t="s">
        <v>62</v>
      </c>
      <c r="D47" t="s">
        <v>79</v>
      </c>
      <c r="E47" t="s">
        <v>34</v>
      </c>
      <c r="F47" t="s">
        <v>35</v>
      </c>
      <c r="G47">
        <v>5</v>
      </c>
      <c r="H47" t="str">
        <f t="shared" si="3"/>
        <v>Normal</v>
      </c>
      <c r="I47">
        <v>40.46</v>
      </c>
      <c r="J47">
        <v>31.75</v>
      </c>
      <c r="K47">
        <v>20</v>
      </c>
      <c r="L47">
        <v>113</v>
      </c>
      <c r="M47" t="s">
        <v>4</v>
      </c>
      <c r="N47">
        <v>202.3</v>
      </c>
      <c r="O47">
        <v>158.75</v>
      </c>
      <c r="P47">
        <v>43.550000000000011</v>
      </c>
      <c r="Q47">
        <v>2</v>
      </c>
      <c r="R47" s="7" t="str">
        <f t="shared" si="1"/>
        <v>⭐⭐ (2/5)</v>
      </c>
      <c r="S47" t="str">
        <f t="shared" si="2"/>
        <v>Potato is a item to cetegry Fruits &amp; Vegetables price of 40.46</v>
      </c>
    </row>
    <row r="48" spans="1:19" x14ac:dyDescent="0.3">
      <c r="A48" t="s">
        <v>96</v>
      </c>
      <c r="B48" s="3">
        <v>45266</v>
      </c>
      <c r="C48" t="s">
        <v>1</v>
      </c>
      <c r="D48" t="s">
        <v>97</v>
      </c>
      <c r="E48" t="s">
        <v>23</v>
      </c>
      <c r="F48" t="s">
        <v>24</v>
      </c>
      <c r="G48">
        <v>7</v>
      </c>
      <c r="H48" t="str">
        <f t="shared" si="3"/>
        <v>Normal</v>
      </c>
      <c r="I48">
        <v>60.49</v>
      </c>
      <c r="J48">
        <v>44.29</v>
      </c>
      <c r="K48">
        <v>10</v>
      </c>
      <c r="L48">
        <v>89</v>
      </c>
      <c r="M48" t="s">
        <v>25</v>
      </c>
      <c r="N48">
        <v>423.43</v>
      </c>
      <c r="O48">
        <v>310.02999999999997</v>
      </c>
      <c r="P48">
        <v>113.40000000000003</v>
      </c>
      <c r="Q48">
        <v>5</v>
      </c>
      <c r="R48" s="7" t="str">
        <f t="shared" si="1"/>
        <v>⭐⭐⭐⭐⭐ (5/5)</v>
      </c>
      <c r="S48" t="str">
        <f t="shared" si="2"/>
        <v>Soap is a item to cetegry Personal Care price of 60.49</v>
      </c>
    </row>
    <row r="49" spans="1:19" x14ac:dyDescent="0.3">
      <c r="A49" t="s">
        <v>98</v>
      </c>
      <c r="B49" s="3">
        <v>45210</v>
      </c>
      <c r="C49" t="s">
        <v>21</v>
      </c>
      <c r="D49" t="s">
        <v>46</v>
      </c>
      <c r="E49" t="s">
        <v>15</v>
      </c>
      <c r="F49" t="s">
        <v>16</v>
      </c>
      <c r="G49">
        <v>9</v>
      </c>
      <c r="H49" t="str">
        <f t="shared" si="3"/>
        <v>Normal</v>
      </c>
      <c r="I49">
        <v>204.1</v>
      </c>
      <c r="J49">
        <v>161.55000000000001</v>
      </c>
      <c r="K49">
        <v>15</v>
      </c>
      <c r="L49">
        <v>99</v>
      </c>
      <c r="M49" t="s">
        <v>25</v>
      </c>
      <c r="N49">
        <v>1836.8999999999999</v>
      </c>
      <c r="O49">
        <v>1453.95</v>
      </c>
      <c r="P49">
        <v>382.94999999999982</v>
      </c>
      <c r="Q49">
        <v>3</v>
      </c>
      <c r="R49" s="7" t="str">
        <f t="shared" si="1"/>
        <v>⭐⭐⭐ (3/5)</v>
      </c>
      <c r="S49" t="str">
        <f t="shared" si="2"/>
        <v>Detergent is a item to cetegry Household price of 204.1</v>
      </c>
    </row>
    <row r="50" spans="1:19" x14ac:dyDescent="0.3">
      <c r="A50" t="s">
        <v>99</v>
      </c>
      <c r="B50" s="3">
        <v>45134</v>
      </c>
      <c r="C50" t="s">
        <v>30</v>
      </c>
      <c r="D50" t="s">
        <v>44</v>
      </c>
      <c r="E50" t="s">
        <v>9</v>
      </c>
      <c r="F50" t="s">
        <v>10</v>
      </c>
      <c r="G50">
        <v>7</v>
      </c>
      <c r="H50" t="str">
        <f t="shared" si="3"/>
        <v>Normal</v>
      </c>
      <c r="I50">
        <v>499.54</v>
      </c>
      <c r="J50">
        <v>341.89</v>
      </c>
      <c r="K50">
        <v>20</v>
      </c>
      <c r="L50">
        <v>82</v>
      </c>
      <c r="M50" t="s">
        <v>25</v>
      </c>
      <c r="N50">
        <v>3496.78</v>
      </c>
      <c r="O50">
        <v>2393.23</v>
      </c>
      <c r="P50">
        <v>1103.5500000000002</v>
      </c>
      <c r="Q50">
        <v>4</v>
      </c>
      <c r="R50" s="7" t="str">
        <f t="shared" si="1"/>
        <v>⭐⭐⭐⭐ (4/5)</v>
      </c>
      <c r="S50" t="str">
        <f t="shared" si="2"/>
        <v>Cheese is a item to cetegry Dairy price of 499.54</v>
      </c>
    </row>
    <row r="51" spans="1:19" x14ac:dyDescent="0.3">
      <c r="A51" t="s">
        <v>100</v>
      </c>
      <c r="B51" s="3">
        <v>45165</v>
      </c>
      <c r="C51" t="s">
        <v>5</v>
      </c>
      <c r="D51" t="s">
        <v>54</v>
      </c>
      <c r="E51" t="s">
        <v>15</v>
      </c>
      <c r="F51" t="s">
        <v>16</v>
      </c>
      <c r="G51">
        <v>5</v>
      </c>
      <c r="H51" t="str">
        <f t="shared" si="3"/>
        <v>Normal</v>
      </c>
      <c r="I51">
        <v>159.80000000000001</v>
      </c>
      <c r="J51">
        <v>112.99</v>
      </c>
      <c r="K51">
        <v>20</v>
      </c>
      <c r="L51">
        <v>93</v>
      </c>
      <c r="M51" t="s">
        <v>25</v>
      </c>
      <c r="N51">
        <v>799</v>
      </c>
      <c r="O51">
        <v>564.94999999999993</v>
      </c>
      <c r="P51">
        <v>234.05000000000007</v>
      </c>
      <c r="Q51">
        <v>1</v>
      </c>
      <c r="R51" s="7" t="str">
        <f t="shared" si="1"/>
        <v>⭐ (1/5)</v>
      </c>
      <c r="S51" t="str">
        <f t="shared" si="2"/>
        <v>Bread is a item to cetegry Bakery price of 159.8</v>
      </c>
    </row>
    <row r="52" spans="1:19" x14ac:dyDescent="0.3">
      <c r="A52" t="s">
        <v>101</v>
      </c>
      <c r="B52" s="3">
        <v>45072</v>
      </c>
      <c r="C52" t="s">
        <v>13</v>
      </c>
      <c r="D52" t="s">
        <v>102</v>
      </c>
      <c r="E52" t="s">
        <v>34</v>
      </c>
      <c r="F52" t="s">
        <v>35</v>
      </c>
      <c r="G52">
        <v>9</v>
      </c>
      <c r="H52" t="str">
        <f t="shared" si="3"/>
        <v>Normal</v>
      </c>
      <c r="I52">
        <v>353.23</v>
      </c>
      <c r="J52">
        <v>241.86</v>
      </c>
      <c r="K52">
        <v>5</v>
      </c>
      <c r="L52">
        <v>94</v>
      </c>
      <c r="M52" t="s">
        <v>36</v>
      </c>
      <c r="N52">
        <v>3179.07</v>
      </c>
      <c r="O52">
        <v>2176.7400000000002</v>
      </c>
      <c r="P52">
        <v>1002.3299999999999</v>
      </c>
      <c r="Q52">
        <v>2</v>
      </c>
      <c r="R52" s="7" t="str">
        <f t="shared" si="1"/>
        <v>⭐⭐ (2/5)</v>
      </c>
      <c r="S52" t="str">
        <f t="shared" si="2"/>
        <v>Soda is a item to cetegry Beverages price of 353.23</v>
      </c>
    </row>
    <row r="53" spans="1:19" x14ac:dyDescent="0.3">
      <c r="A53" t="s">
        <v>103</v>
      </c>
      <c r="B53" s="3">
        <v>45002</v>
      </c>
      <c r="C53" t="s">
        <v>5</v>
      </c>
      <c r="D53" t="s">
        <v>50</v>
      </c>
      <c r="E53" t="s">
        <v>23</v>
      </c>
      <c r="F53" t="s">
        <v>24</v>
      </c>
      <c r="G53">
        <v>2</v>
      </c>
      <c r="H53" t="str">
        <f t="shared" si="3"/>
        <v>Normal</v>
      </c>
      <c r="I53">
        <v>575.63</v>
      </c>
      <c r="J53">
        <v>411.03</v>
      </c>
      <c r="K53">
        <v>10</v>
      </c>
      <c r="L53">
        <v>38</v>
      </c>
      <c r="M53" t="s">
        <v>11</v>
      </c>
      <c r="N53">
        <v>1151.26</v>
      </c>
      <c r="O53">
        <v>822.06</v>
      </c>
      <c r="P53">
        <v>329.20000000000005</v>
      </c>
      <c r="Q53">
        <v>5</v>
      </c>
      <c r="R53" s="7" t="str">
        <f t="shared" si="1"/>
        <v>⭐⭐⭐⭐⭐ (5/5)</v>
      </c>
      <c r="S53" t="str">
        <f t="shared" si="2"/>
        <v>Muffin is a item to cetegry Bakery price of 575.63</v>
      </c>
    </row>
    <row r="54" spans="1:19" x14ac:dyDescent="0.3">
      <c r="A54" t="s">
        <v>104</v>
      </c>
      <c r="B54" s="3">
        <v>45026</v>
      </c>
      <c r="C54" t="s">
        <v>62</v>
      </c>
      <c r="D54" t="s">
        <v>105</v>
      </c>
      <c r="E54" t="s">
        <v>34</v>
      </c>
      <c r="F54" t="s">
        <v>35</v>
      </c>
      <c r="G54">
        <v>8</v>
      </c>
      <c r="H54" t="str">
        <f t="shared" si="3"/>
        <v>Normal</v>
      </c>
      <c r="I54">
        <v>435.62</v>
      </c>
      <c r="J54">
        <v>309.52</v>
      </c>
      <c r="K54">
        <v>15</v>
      </c>
      <c r="L54">
        <v>63</v>
      </c>
      <c r="M54" t="s">
        <v>4</v>
      </c>
      <c r="N54">
        <v>3484.96</v>
      </c>
      <c r="O54">
        <v>2476.16</v>
      </c>
      <c r="P54">
        <v>1008.8000000000002</v>
      </c>
      <c r="Q54">
        <v>3</v>
      </c>
      <c r="R54" s="7" t="str">
        <f t="shared" si="1"/>
        <v>⭐⭐⭐ (3/5)</v>
      </c>
      <c r="S54" t="str">
        <f t="shared" si="2"/>
        <v>Apple is a item to cetegry Fruits &amp; Vegetables price of 435.62</v>
      </c>
    </row>
    <row r="55" spans="1:19" x14ac:dyDescent="0.3">
      <c r="A55" t="s">
        <v>106</v>
      </c>
      <c r="B55" s="3">
        <v>45144</v>
      </c>
      <c r="C55" t="s">
        <v>1</v>
      </c>
      <c r="D55" t="s">
        <v>39</v>
      </c>
      <c r="E55" t="s">
        <v>57</v>
      </c>
      <c r="F55" t="s">
        <v>58</v>
      </c>
      <c r="G55">
        <v>7</v>
      </c>
      <c r="H55" t="str">
        <f t="shared" si="3"/>
        <v>Normal</v>
      </c>
      <c r="I55">
        <v>176.5</v>
      </c>
      <c r="J55">
        <v>129.55000000000001</v>
      </c>
      <c r="K55">
        <v>0</v>
      </c>
      <c r="L55">
        <v>106</v>
      </c>
      <c r="M55" t="s">
        <v>36</v>
      </c>
      <c r="N55">
        <v>1235.5</v>
      </c>
      <c r="O55">
        <v>906.85000000000014</v>
      </c>
      <c r="P55">
        <v>328.64999999999986</v>
      </c>
      <c r="Q55">
        <v>1</v>
      </c>
      <c r="R55" s="7" t="str">
        <f t="shared" si="1"/>
        <v>⭐ (1/5)</v>
      </c>
      <c r="S55" t="str">
        <f t="shared" si="2"/>
        <v>Lotion is a item to cetegry Personal Care price of 176.5</v>
      </c>
    </row>
    <row r="56" spans="1:19" x14ac:dyDescent="0.3">
      <c r="A56" t="s">
        <v>107</v>
      </c>
      <c r="B56" s="3">
        <v>45164</v>
      </c>
      <c r="C56" t="s">
        <v>30</v>
      </c>
      <c r="D56" t="s">
        <v>44</v>
      </c>
      <c r="E56" t="s">
        <v>57</v>
      </c>
      <c r="F56" t="s">
        <v>58</v>
      </c>
      <c r="G56">
        <v>1</v>
      </c>
      <c r="H56" t="str">
        <f t="shared" si="3"/>
        <v>Normal</v>
      </c>
      <c r="I56">
        <v>415.35</v>
      </c>
      <c r="J56">
        <v>283.13</v>
      </c>
      <c r="K56">
        <v>0</v>
      </c>
      <c r="L56">
        <v>68</v>
      </c>
      <c r="M56" t="s">
        <v>11</v>
      </c>
      <c r="N56">
        <v>415.35</v>
      </c>
      <c r="O56">
        <v>283.13</v>
      </c>
      <c r="P56">
        <v>132.22000000000003</v>
      </c>
      <c r="Q56">
        <v>4</v>
      </c>
      <c r="R56" s="7" t="str">
        <f t="shared" si="1"/>
        <v>⭐⭐⭐⭐ (4/5)</v>
      </c>
      <c r="S56" t="str">
        <f t="shared" si="2"/>
        <v>Cheese is a item to cetegry Dairy price of 415.35</v>
      </c>
    </row>
    <row r="57" spans="1:19" x14ac:dyDescent="0.3">
      <c r="A57" t="s">
        <v>108</v>
      </c>
      <c r="B57" s="3">
        <v>45155</v>
      </c>
      <c r="C57" t="s">
        <v>1</v>
      </c>
      <c r="D57" t="s">
        <v>8</v>
      </c>
      <c r="E57" t="s">
        <v>23</v>
      </c>
      <c r="F57" t="s">
        <v>24</v>
      </c>
      <c r="G57">
        <v>8</v>
      </c>
      <c r="H57" t="str">
        <f t="shared" si="3"/>
        <v>Normal</v>
      </c>
      <c r="I57">
        <v>430.47</v>
      </c>
      <c r="J57">
        <v>310.2</v>
      </c>
      <c r="K57">
        <v>20</v>
      </c>
      <c r="L57">
        <v>64</v>
      </c>
      <c r="M57" t="s">
        <v>4</v>
      </c>
      <c r="N57">
        <v>3443.76</v>
      </c>
      <c r="O57">
        <v>2481.6</v>
      </c>
      <c r="P57">
        <v>962.16000000000031</v>
      </c>
      <c r="Q57">
        <v>2</v>
      </c>
      <c r="R57" s="7" t="str">
        <f t="shared" si="1"/>
        <v>⭐⭐ (2/5)</v>
      </c>
      <c r="S57" t="str">
        <f t="shared" si="2"/>
        <v>Face Wash is a item to cetegry Personal Care price of 430.47</v>
      </c>
    </row>
    <row r="58" spans="1:19" x14ac:dyDescent="0.3">
      <c r="A58" t="s">
        <v>109</v>
      </c>
      <c r="B58" s="3">
        <v>45175</v>
      </c>
      <c r="C58" t="s">
        <v>30</v>
      </c>
      <c r="D58" t="s">
        <v>48</v>
      </c>
      <c r="E58" t="s">
        <v>57</v>
      </c>
      <c r="F58" t="s">
        <v>58</v>
      </c>
      <c r="G58">
        <v>5</v>
      </c>
      <c r="H58" t="str">
        <f t="shared" si="3"/>
        <v>Normal</v>
      </c>
      <c r="I58">
        <v>543.32000000000005</v>
      </c>
      <c r="J58">
        <v>378.37</v>
      </c>
      <c r="K58">
        <v>10</v>
      </c>
      <c r="L58">
        <v>108</v>
      </c>
      <c r="M58" t="s">
        <v>4</v>
      </c>
      <c r="N58">
        <v>2716.6000000000004</v>
      </c>
      <c r="O58">
        <v>1891.85</v>
      </c>
      <c r="P58">
        <v>824.75000000000045</v>
      </c>
      <c r="Q58">
        <v>5</v>
      </c>
      <c r="R58" s="7" t="str">
        <f t="shared" si="1"/>
        <v>⭐⭐⭐⭐⭐ (5/5)</v>
      </c>
      <c r="S58" t="str">
        <f t="shared" si="2"/>
        <v>Curd is a item to cetegry Dairy price of 543.32</v>
      </c>
    </row>
    <row r="59" spans="1:19" x14ac:dyDescent="0.3">
      <c r="A59" t="s">
        <v>110</v>
      </c>
      <c r="B59" s="3">
        <v>45203</v>
      </c>
      <c r="C59" t="s">
        <v>1</v>
      </c>
      <c r="D59" t="s">
        <v>97</v>
      </c>
      <c r="E59" t="s">
        <v>15</v>
      </c>
      <c r="F59" t="s">
        <v>16</v>
      </c>
      <c r="G59">
        <v>8</v>
      </c>
      <c r="H59" t="str">
        <f t="shared" si="3"/>
        <v>Normal</v>
      </c>
      <c r="I59">
        <v>58.25</v>
      </c>
      <c r="J59">
        <v>47.97</v>
      </c>
      <c r="K59">
        <v>10</v>
      </c>
      <c r="L59">
        <v>52</v>
      </c>
      <c r="M59" t="s">
        <v>25</v>
      </c>
      <c r="N59">
        <v>466</v>
      </c>
      <c r="O59">
        <v>383.76</v>
      </c>
      <c r="P59">
        <v>82.240000000000009</v>
      </c>
      <c r="Q59">
        <v>3</v>
      </c>
      <c r="R59" s="7" t="str">
        <f t="shared" si="1"/>
        <v>⭐⭐⭐ (3/5)</v>
      </c>
      <c r="S59" t="str">
        <f t="shared" si="2"/>
        <v>Soap is a item to cetegry Personal Care price of 58.25</v>
      </c>
    </row>
    <row r="60" spans="1:19" x14ac:dyDescent="0.3">
      <c r="A60" t="s">
        <v>111</v>
      </c>
      <c r="B60" s="3">
        <v>45135</v>
      </c>
      <c r="C60" t="s">
        <v>62</v>
      </c>
      <c r="D60" t="s">
        <v>75</v>
      </c>
      <c r="E60" t="s">
        <v>40</v>
      </c>
      <c r="F60" t="s">
        <v>41</v>
      </c>
      <c r="G60">
        <v>4</v>
      </c>
      <c r="H60" t="str">
        <f t="shared" si="3"/>
        <v>Normal</v>
      </c>
      <c r="I60">
        <v>229.54</v>
      </c>
      <c r="J60">
        <v>197.69</v>
      </c>
      <c r="K60">
        <v>5</v>
      </c>
      <c r="L60">
        <v>18</v>
      </c>
      <c r="M60" t="s">
        <v>17</v>
      </c>
      <c r="N60">
        <v>918.16</v>
      </c>
      <c r="O60">
        <v>790.76</v>
      </c>
      <c r="P60">
        <v>127.39999999999998</v>
      </c>
      <c r="Q60">
        <v>4</v>
      </c>
      <c r="R60" s="7" t="str">
        <f t="shared" si="1"/>
        <v>⭐⭐⭐⭐ (4/5)</v>
      </c>
      <c r="S60" t="str">
        <f t="shared" si="2"/>
        <v>Banana is a item to cetegry Fruits &amp; Vegetables price of 229.54</v>
      </c>
    </row>
    <row r="61" spans="1:19" x14ac:dyDescent="0.3">
      <c r="A61" t="s">
        <v>112</v>
      </c>
      <c r="B61" s="3">
        <v>45283</v>
      </c>
      <c r="C61" t="s">
        <v>18</v>
      </c>
      <c r="D61" t="s">
        <v>33</v>
      </c>
      <c r="E61" t="s">
        <v>57</v>
      </c>
      <c r="F61" t="s">
        <v>58</v>
      </c>
      <c r="G61">
        <v>7</v>
      </c>
      <c r="H61" t="str">
        <f t="shared" si="3"/>
        <v>Normal</v>
      </c>
      <c r="I61">
        <v>58.06</v>
      </c>
      <c r="J61">
        <v>40.51</v>
      </c>
      <c r="K61">
        <v>15</v>
      </c>
      <c r="L61">
        <v>108</v>
      </c>
      <c r="M61" t="s">
        <v>4</v>
      </c>
      <c r="N61">
        <v>406.42</v>
      </c>
      <c r="O61">
        <v>283.57</v>
      </c>
      <c r="P61">
        <v>122.85000000000002</v>
      </c>
      <c r="Q61">
        <v>1</v>
      </c>
      <c r="R61" s="7" t="str">
        <f t="shared" si="1"/>
        <v>⭐ (1/5)</v>
      </c>
      <c r="S61" t="str">
        <f t="shared" si="2"/>
        <v>Chocolate is a item to cetegry Snacks price of 58.06</v>
      </c>
    </row>
    <row r="62" spans="1:19" x14ac:dyDescent="0.3">
      <c r="A62" t="s">
        <v>113</v>
      </c>
      <c r="B62" s="3">
        <v>45202</v>
      </c>
      <c r="C62" t="s">
        <v>62</v>
      </c>
      <c r="D62" t="s">
        <v>63</v>
      </c>
      <c r="E62" t="s">
        <v>9</v>
      </c>
      <c r="F62" t="s">
        <v>10</v>
      </c>
      <c r="G62">
        <v>8</v>
      </c>
      <c r="H62" t="str">
        <f t="shared" si="3"/>
        <v>Normal</v>
      </c>
      <c r="I62">
        <v>15.99</v>
      </c>
      <c r="J62">
        <v>12.89</v>
      </c>
      <c r="K62">
        <v>15</v>
      </c>
      <c r="L62">
        <v>119</v>
      </c>
      <c r="M62" t="s">
        <v>17</v>
      </c>
      <c r="N62">
        <v>127.92</v>
      </c>
      <c r="O62">
        <v>103.12</v>
      </c>
      <c r="P62">
        <v>24.799999999999997</v>
      </c>
      <c r="Q62">
        <v>2</v>
      </c>
      <c r="R62" s="7" t="str">
        <f t="shared" si="1"/>
        <v>⭐⭐ (2/5)</v>
      </c>
      <c r="S62" t="str">
        <f t="shared" si="2"/>
        <v>Onion is a item to cetegry Fruits &amp; Vegetables price of 15.99</v>
      </c>
    </row>
    <row r="63" spans="1:19" x14ac:dyDescent="0.3">
      <c r="A63" t="s">
        <v>114</v>
      </c>
      <c r="B63" s="3">
        <v>45269</v>
      </c>
      <c r="C63" t="s">
        <v>1</v>
      </c>
      <c r="D63" t="s">
        <v>8</v>
      </c>
      <c r="E63" t="s">
        <v>34</v>
      </c>
      <c r="F63" t="s">
        <v>35</v>
      </c>
      <c r="G63">
        <v>8</v>
      </c>
      <c r="H63" t="str">
        <f t="shared" si="3"/>
        <v>Normal</v>
      </c>
      <c r="I63">
        <v>149.76</v>
      </c>
      <c r="J63">
        <v>117.52</v>
      </c>
      <c r="K63">
        <v>0</v>
      </c>
      <c r="L63">
        <v>59</v>
      </c>
      <c r="M63" t="s">
        <v>25</v>
      </c>
      <c r="N63">
        <v>1198.08</v>
      </c>
      <c r="O63">
        <v>940.16</v>
      </c>
      <c r="P63">
        <v>257.91999999999996</v>
      </c>
      <c r="Q63">
        <v>5</v>
      </c>
      <c r="R63" s="7" t="str">
        <f t="shared" si="1"/>
        <v>⭐⭐⭐⭐⭐ (5/5)</v>
      </c>
      <c r="S63" t="str">
        <f t="shared" si="2"/>
        <v>Face Wash is a item to cetegry Personal Care price of 149.76</v>
      </c>
    </row>
    <row r="64" spans="1:19" x14ac:dyDescent="0.3">
      <c r="A64" t="s">
        <v>115</v>
      </c>
      <c r="B64" s="3">
        <v>45230</v>
      </c>
      <c r="C64" t="s">
        <v>1</v>
      </c>
      <c r="D64" t="s">
        <v>39</v>
      </c>
      <c r="E64" t="s">
        <v>40</v>
      </c>
      <c r="F64" t="s">
        <v>41</v>
      </c>
      <c r="G64">
        <v>8</v>
      </c>
      <c r="H64" t="str">
        <f t="shared" si="3"/>
        <v>Normal</v>
      </c>
      <c r="I64">
        <v>687.32</v>
      </c>
      <c r="J64">
        <v>460.58</v>
      </c>
      <c r="K64">
        <v>20</v>
      </c>
      <c r="L64">
        <v>13</v>
      </c>
      <c r="M64" t="s">
        <v>17</v>
      </c>
      <c r="N64">
        <v>5498.56</v>
      </c>
      <c r="O64">
        <v>3684.64</v>
      </c>
      <c r="P64">
        <v>1813.9200000000005</v>
      </c>
      <c r="Q64">
        <v>3</v>
      </c>
      <c r="R64" s="7" t="str">
        <f t="shared" si="1"/>
        <v>⭐⭐⭐ (3/5)</v>
      </c>
      <c r="S64" t="str">
        <f t="shared" si="2"/>
        <v>Lotion is a item to cetegry Personal Care price of 687.32</v>
      </c>
    </row>
    <row r="65" spans="1:19" x14ac:dyDescent="0.3">
      <c r="A65" t="s">
        <v>116</v>
      </c>
      <c r="B65" s="3">
        <v>45094</v>
      </c>
      <c r="C65" t="s">
        <v>5</v>
      </c>
      <c r="D65" t="s">
        <v>54</v>
      </c>
      <c r="E65" t="s">
        <v>28</v>
      </c>
      <c r="F65" t="s">
        <v>10</v>
      </c>
      <c r="G65">
        <v>7</v>
      </c>
      <c r="H65" t="str">
        <f t="shared" si="3"/>
        <v>Normal</v>
      </c>
      <c r="I65">
        <v>98.27</v>
      </c>
      <c r="J65">
        <v>76.489999999999995</v>
      </c>
      <c r="K65">
        <v>0</v>
      </c>
      <c r="L65">
        <v>43</v>
      </c>
      <c r="M65" t="s">
        <v>17</v>
      </c>
      <c r="N65">
        <v>687.89</v>
      </c>
      <c r="O65">
        <v>535.42999999999995</v>
      </c>
      <c r="P65">
        <v>152.46000000000004</v>
      </c>
      <c r="Q65">
        <v>4</v>
      </c>
      <c r="R65" s="7" t="str">
        <f t="shared" si="1"/>
        <v>⭐⭐⭐⭐ (4/5)</v>
      </c>
      <c r="S65" t="str">
        <f t="shared" si="2"/>
        <v>Bread is a item to cetegry Bakery price of 98.27</v>
      </c>
    </row>
    <row r="66" spans="1:19" x14ac:dyDescent="0.3">
      <c r="A66" t="s">
        <v>117</v>
      </c>
      <c r="B66" s="3">
        <v>45167</v>
      </c>
      <c r="C66" t="s">
        <v>30</v>
      </c>
      <c r="D66" t="s">
        <v>48</v>
      </c>
      <c r="E66" t="s">
        <v>23</v>
      </c>
      <c r="F66" t="s">
        <v>24</v>
      </c>
      <c r="G66">
        <v>6</v>
      </c>
      <c r="H66" t="str">
        <f t="shared" ref="H66:H97" si="4">IF(G66&lt;0,"Return","Normal")</f>
        <v>Normal</v>
      </c>
      <c r="I66">
        <v>479.38</v>
      </c>
      <c r="J66">
        <v>383</v>
      </c>
      <c r="K66">
        <v>15</v>
      </c>
      <c r="L66">
        <v>42</v>
      </c>
      <c r="M66" t="s">
        <v>36</v>
      </c>
      <c r="N66">
        <v>2876.2799999999997</v>
      </c>
      <c r="O66">
        <v>2298</v>
      </c>
      <c r="P66">
        <v>578.27999999999975</v>
      </c>
      <c r="Q66">
        <v>1</v>
      </c>
      <c r="R66" s="7" t="str">
        <f t="shared" ref="R66:R129" si="5">REPT("⭐",Q66) &amp; " (" &amp; Q66 &amp; "/5)"</f>
        <v>⭐ (1/5)</v>
      </c>
      <c r="S66" t="str">
        <f t="shared" si="2"/>
        <v>Curd is a item to cetegry Dairy price of 479.38</v>
      </c>
    </row>
    <row r="67" spans="1:19" x14ac:dyDescent="0.3">
      <c r="A67" t="s">
        <v>118</v>
      </c>
      <c r="B67" s="3">
        <v>45053</v>
      </c>
      <c r="C67" t="s">
        <v>62</v>
      </c>
      <c r="D67" t="s">
        <v>63</v>
      </c>
      <c r="E67" t="s">
        <v>3</v>
      </c>
      <c r="F67" t="s">
        <v>3</v>
      </c>
      <c r="G67">
        <v>6</v>
      </c>
      <c r="H67" t="str">
        <f t="shared" si="4"/>
        <v>Normal</v>
      </c>
      <c r="I67">
        <v>135.15</v>
      </c>
      <c r="J67">
        <v>119.87</v>
      </c>
      <c r="K67">
        <v>0</v>
      </c>
      <c r="L67">
        <v>106</v>
      </c>
      <c r="M67" t="s">
        <v>36</v>
      </c>
      <c r="N67">
        <v>810.90000000000009</v>
      </c>
      <c r="O67">
        <v>719.22</v>
      </c>
      <c r="P67">
        <v>91.680000000000064</v>
      </c>
      <c r="Q67">
        <v>2</v>
      </c>
      <c r="R67" s="7" t="str">
        <f t="shared" si="5"/>
        <v>⭐⭐ (2/5)</v>
      </c>
      <c r="S67" t="str">
        <f t="shared" ref="S67:S130" si="6">D67 &amp; " is a item to cetegry " &amp; C67 &amp; " price of " &amp; I67</f>
        <v>Onion is a item to cetegry Fruits &amp; Vegetables price of 135.15</v>
      </c>
    </row>
    <row r="68" spans="1:19" x14ac:dyDescent="0.3">
      <c r="A68" t="s">
        <v>119</v>
      </c>
      <c r="B68" s="3">
        <v>45285</v>
      </c>
      <c r="C68" t="s">
        <v>30</v>
      </c>
      <c r="D68" t="s">
        <v>89</v>
      </c>
      <c r="E68" t="s">
        <v>40</v>
      </c>
      <c r="F68" t="s">
        <v>41</v>
      </c>
      <c r="G68">
        <v>4</v>
      </c>
      <c r="H68" t="str">
        <f t="shared" si="4"/>
        <v>Normal</v>
      </c>
      <c r="I68">
        <v>98.28</v>
      </c>
      <c r="J68">
        <v>71.849999999999994</v>
      </c>
      <c r="K68">
        <v>20</v>
      </c>
      <c r="L68">
        <v>37</v>
      </c>
      <c r="M68" t="s">
        <v>17</v>
      </c>
      <c r="N68">
        <v>393.12</v>
      </c>
      <c r="O68">
        <v>287.39999999999998</v>
      </c>
      <c r="P68">
        <v>105.72000000000003</v>
      </c>
      <c r="Q68">
        <v>5</v>
      </c>
      <c r="R68" s="7" t="str">
        <f t="shared" si="5"/>
        <v>⭐⭐⭐⭐⭐ (5/5)</v>
      </c>
      <c r="S68" t="str">
        <f t="shared" si="6"/>
        <v>Milk is a item to cetegry Dairy price of 98.28</v>
      </c>
    </row>
    <row r="69" spans="1:19" x14ac:dyDescent="0.3">
      <c r="A69" t="s">
        <v>120</v>
      </c>
      <c r="B69" s="3">
        <v>45086</v>
      </c>
      <c r="C69" t="s">
        <v>18</v>
      </c>
      <c r="D69" t="s">
        <v>19</v>
      </c>
      <c r="E69" t="s">
        <v>40</v>
      </c>
      <c r="F69" t="s">
        <v>41</v>
      </c>
      <c r="G69">
        <v>10</v>
      </c>
      <c r="H69" t="str">
        <f t="shared" si="4"/>
        <v>Normal</v>
      </c>
      <c r="I69">
        <v>430.31</v>
      </c>
      <c r="J69">
        <v>307.55</v>
      </c>
      <c r="K69">
        <v>0</v>
      </c>
      <c r="L69">
        <v>109</v>
      </c>
      <c r="M69" t="s">
        <v>11</v>
      </c>
      <c r="N69">
        <v>4303.1000000000004</v>
      </c>
      <c r="O69">
        <v>3075.5</v>
      </c>
      <c r="P69">
        <v>1227.6000000000004</v>
      </c>
      <c r="Q69">
        <v>3</v>
      </c>
      <c r="R69" s="7" t="str">
        <f t="shared" si="5"/>
        <v>⭐⭐⭐ (3/5)</v>
      </c>
      <c r="S69" t="str">
        <f t="shared" si="6"/>
        <v>Noodles is a item to cetegry Snacks price of 430.31</v>
      </c>
    </row>
    <row r="70" spans="1:19" x14ac:dyDescent="0.3">
      <c r="A70" t="s">
        <v>121</v>
      </c>
      <c r="B70" s="3">
        <v>44965</v>
      </c>
      <c r="C70" t="s">
        <v>62</v>
      </c>
      <c r="D70" t="s">
        <v>63</v>
      </c>
      <c r="E70" t="s">
        <v>3</v>
      </c>
      <c r="F70" t="s">
        <v>3</v>
      </c>
      <c r="G70">
        <v>5</v>
      </c>
      <c r="H70" t="str">
        <f t="shared" si="4"/>
        <v>Normal</v>
      </c>
      <c r="I70">
        <v>427.46</v>
      </c>
      <c r="J70">
        <v>292.14</v>
      </c>
      <c r="K70">
        <v>15</v>
      </c>
      <c r="L70">
        <v>60</v>
      </c>
      <c r="M70" t="s">
        <v>11</v>
      </c>
      <c r="N70">
        <v>2137.2999999999997</v>
      </c>
      <c r="O70">
        <v>1460.6999999999998</v>
      </c>
      <c r="P70">
        <v>676.59999999999991</v>
      </c>
      <c r="Q70">
        <v>1</v>
      </c>
      <c r="R70" s="7" t="str">
        <f t="shared" si="5"/>
        <v>⭐ (1/5)</v>
      </c>
      <c r="S70" t="str">
        <f t="shared" si="6"/>
        <v>Onion is a item to cetegry Fruits &amp; Vegetables price of 427.46</v>
      </c>
    </row>
    <row r="71" spans="1:19" x14ac:dyDescent="0.3">
      <c r="A71" t="s">
        <v>122</v>
      </c>
      <c r="B71" s="3">
        <v>44948</v>
      </c>
      <c r="C71" t="s">
        <v>5</v>
      </c>
      <c r="D71" t="s">
        <v>60</v>
      </c>
      <c r="E71" t="s">
        <v>28</v>
      </c>
      <c r="F71" t="s">
        <v>10</v>
      </c>
      <c r="G71">
        <v>5</v>
      </c>
      <c r="H71" t="str">
        <f t="shared" si="4"/>
        <v>Normal</v>
      </c>
      <c r="I71">
        <v>571.77</v>
      </c>
      <c r="J71">
        <v>426.64</v>
      </c>
      <c r="K71">
        <v>0</v>
      </c>
      <c r="L71">
        <v>111</v>
      </c>
      <c r="M71" t="s">
        <v>4</v>
      </c>
      <c r="N71">
        <v>2858.85</v>
      </c>
      <c r="O71">
        <v>2133.1999999999998</v>
      </c>
      <c r="P71">
        <v>725.65000000000009</v>
      </c>
      <c r="Q71">
        <v>4</v>
      </c>
      <c r="R71" s="7" t="str">
        <f t="shared" si="5"/>
        <v>⭐⭐⭐⭐ (4/5)</v>
      </c>
      <c r="S71" t="str">
        <f t="shared" si="6"/>
        <v>Cake is a item to cetegry Bakery price of 571.77</v>
      </c>
    </row>
    <row r="72" spans="1:19" x14ac:dyDescent="0.3">
      <c r="A72" t="s">
        <v>123</v>
      </c>
      <c r="B72" s="3">
        <v>45177</v>
      </c>
      <c r="C72" t="s">
        <v>18</v>
      </c>
      <c r="D72" t="s">
        <v>33</v>
      </c>
      <c r="E72" t="s">
        <v>9</v>
      </c>
      <c r="F72" t="s">
        <v>10</v>
      </c>
      <c r="G72">
        <v>6</v>
      </c>
      <c r="H72" t="str">
        <f t="shared" si="4"/>
        <v>Normal</v>
      </c>
      <c r="I72">
        <v>59.51</v>
      </c>
      <c r="J72">
        <v>43.79</v>
      </c>
      <c r="K72">
        <v>0</v>
      </c>
      <c r="L72">
        <v>118</v>
      </c>
      <c r="M72" t="s">
        <v>17</v>
      </c>
      <c r="N72">
        <v>357.06</v>
      </c>
      <c r="O72">
        <v>262.74</v>
      </c>
      <c r="P72">
        <v>94.32</v>
      </c>
      <c r="Q72">
        <v>2</v>
      </c>
      <c r="R72" s="7" t="str">
        <f t="shared" si="5"/>
        <v>⭐⭐ (2/5)</v>
      </c>
      <c r="S72" t="str">
        <f t="shared" si="6"/>
        <v>Chocolate is a item to cetegry Snacks price of 59.51</v>
      </c>
    </row>
    <row r="73" spans="1:19" x14ac:dyDescent="0.3">
      <c r="A73" t="s">
        <v>124</v>
      </c>
      <c r="B73" s="3">
        <v>45242</v>
      </c>
      <c r="C73" t="s">
        <v>62</v>
      </c>
      <c r="D73" t="s">
        <v>79</v>
      </c>
      <c r="E73" t="s">
        <v>23</v>
      </c>
      <c r="F73" t="s">
        <v>24</v>
      </c>
      <c r="G73">
        <v>8</v>
      </c>
      <c r="H73" t="str">
        <f t="shared" si="4"/>
        <v>Normal</v>
      </c>
      <c r="I73">
        <v>454.35</v>
      </c>
      <c r="J73">
        <v>356.58</v>
      </c>
      <c r="K73">
        <v>20</v>
      </c>
      <c r="L73">
        <v>93</v>
      </c>
      <c r="M73" t="s">
        <v>25</v>
      </c>
      <c r="N73">
        <v>3634.8</v>
      </c>
      <c r="O73">
        <v>2852.64</v>
      </c>
      <c r="P73">
        <v>782.16000000000031</v>
      </c>
      <c r="Q73">
        <v>5</v>
      </c>
      <c r="R73" s="7" t="str">
        <f t="shared" si="5"/>
        <v>⭐⭐⭐⭐⭐ (5/5)</v>
      </c>
      <c r="S73" t="str">
        <f t="shared" si="6"/>
        <v>Potato is a item to cetegry Fruits &amp; Vegetables price of 454.35</v>
      </c>
    </row>
    <row r="74" spans="1:19" x14ac:dyDescent="0.3">
      <c r="A74" t="s">
        <v>125</v>
      </c>
      <c r="B74" s="3">
        <v>44971</v>
      </c>
      <c r="C74" t="s">
        <v>21</v>
      </c>
      <c r="D74" t="s">
        <v>22</v>
      </c>
      <c r="E74" t="s">
        <v>57</v>
      </c>
      <c r="F74" t="s">
        <v>58</v>
      </c>
      <c r="G74">
        <v>8</v>
      </c>
      <c r="H74" t="str">
        <f t="shared" si="4"/>
        <v>Normal</v>
      </c>
      <c r="I74">
        <v>311.11</v>
      </c>
      <c r="J74">
        <v>223.43</v>
      </c>
      <c r="K74">
        <v>10</v>
      </c>
      <c r="L74">
        <v>51</v>
      </c>
      <c r="M74" t="s">
        <v>11</v>
      </c>
      <c r="N74">
        <v>2488.88</v>
      </c>
      <c r="O74">
        <v>1787.44</v>
      </c>
      <c r="P74">
        <v>701.44</v>
      </c>
      <c r="Q74">
        <v>3</v>
      </c>
      <c r="R74" s="7" t="str">
        <f t="shared" si="5"/>
        <v>⭐⭐⭐ (3/5)</v>
      </c>
      <c r="S74" t="str">
        <f t="shared" si="6"/>
        <v>Mop is a item to cetegry Household price of 311.11</v>
      </c>
    </row>
    <row r="75" spans="1:19" x14ac:dyDescent="0.3">
      <c r="A75" t="s">
        <v>126</v>
      </c>
      <c r="B75" s="3">
        <v>45093</v>
      </c>
      <c r="C75" t="s">
        <v>18</v>
      </c>
      <c r="D75" t="s">
        <v>127</v>
      </c>
      <c r="E75" t="s">
        <v>34</v>
      </c>
      <c r="F75" t="s">
        <v>35</v>
      </c>
      <c r="G75">
        <v>8</v>
      </c>
      <c r="H75" t="str">
        <f t="shared" si="4"/>
        <v>Normal</v>
      </c>
      <c r="I75">
        <v>395.46</v>
      </c>
      <c r="J75">
        <v>289.23</v>
      </c>
      <c r="K75">
        <v>10</v>
      </c>
      <c r="L75">
        <v>13</v>
      </c>
      <c r="M75" t="s">
        <v>17</v>
      </c>
      <c r="N75">
        <v>3163.68</v>
      </c>
      <c r="O75">
        <v>2313.84</v>
      </c>
      <c r="P75">
        <v>849.83999999999969</v>
      </c>
      <c r="Q75">
        <v>4</v>
      </c>
      <c r="R75" s="7" t="str">
        <f t="shared" si="5"/>
        <v>⭐⭐⭐⭐ (4/5)</v>
      </c>
      <c r="S75" t="str">
        <f t="shared" si="6"/>
        <v>Popcorn is a item to cetegry Snacks price of 395.46</v>
      </c>
    </row>
    <row r="76" spans="1:19" x14ac:dyDescent="0.3">
      <c r="A76" t="s">
        <v>128</v>
      </c>
      <c r="B76" s="3">
        <v>45211</v>
      </c>
      <c r="C76" t="s">
        <v>30</v>
      </c>
      <c r="D76" t="s">
        <v>48</v>
      </c>
      <c r="E76" t="s">
        <v>34</v>
      </c>
      <c r="F76" t="s">
        <v>35</v>
      </c>
      <c r="G76">
        <v>6</v>
      </c>
      <c r="H76" t="str">
        <f t="shared" si="4"/>
        <v>Normal</v>
      </c>
      <c r="I76">
        <v>495.62</v>
      </c>
      <c r="J76">
        <v>400.94</v>
      </c>
      <c r="K76">
        <v>20</v>
      </c>
      <c r="L76">
        <v>99</v>
      </c>
      <c r="M76" t="s">
        <v>25</v>
      </c>
      <c r="N76">
        <v>2973.7200000000003</v>
      </c>
      <c r="O76">
        <v>2405.64</v>
      </c>
      <c r="P76">
        <v>568.08000000000038</v>
      </c>
      <c r="Q76">
        <v>1</v>
      </c>
      <c r="R76" s="7" t="str">
        <f t="shared" si="5"/>
        <v>⭐ (1/5)</v>
      </c>
      <c r="S76" t="str">
        <f t="shared" si="6"/>
        <v>Curd is a item to cetegry Dairy price of 495.62</v>
      </c>
    </row>
    <row r="77" spans="1:19" x14ac:dyDescent="0.3">
      <c r="A77" t="s">
        <v>129</v>
      </c>
      <c r="B77" s="3">
        <v>45280</v>
      </c>
      <c r="C77" t="s">
        <v>62</v>
      </c>
      <c r="D77" t="s">
        <v>63</v>
      </c>
      <c r="E77" t="s">
        <v>34</v>
      </c>
      <c r="F77" t="s">
        <v>35</v>
      </c>
      <c r="G77">
        <v>2</v>
      </c>
      <c r="H77" t="str">
        <f t="shared" si="4"/>
        <v>Normal</v>
      </c>
      <c r="I77">
        <v>161.94</v>
      </c>
      <c r="J77">
        <v>128.26</v>
      </c>
      <c r="K77">
        <v>20</v>
      </c>
      <c r="L77">
        <v>107</v>
      </c>
      <c r="M77" t="s">
        <v>11</v>
      </c>
      <c r="N77">
        <v>323.88</v>
      </c>
      <c r="O77">
        <v>256.52</v>
      </c>
      <c r="P77">
        <v>67.360000000000014</v>
      </c>
      <c r="Q77">
        <v>2</v>
      </c>
      <c r="R77" s="7" t="str">
        <f t="shared" si="5"/>
        <v>⭐⭐ (2/5)</v>
      </c>
      <c r="S77" t="str">
        <f t="shared" si="6"/>
        <v>Onion is a item to cetegry Fruits &amp; Vegetables price of 161.94</v>
      </c>
    </row>
    <row r="78" spans="1:19" x14ac:dyDescent="0.3">
      <c r="A78" t="s">
        <v>130</v>
      </c>
      <c r="B78" s="3">
        <v>45115</v>
      </c>
      <c r="C78" t="s">
        <v>13</v>
      </c>
      <c r="D78" t="s">
        <v>102</v>
      </c>
      <c r="E78" t="s">
        <v>57</v>
      </c>
      <c r="F78" t="s">
        <v>58</v>
      </c>
      <c r="G78">
        <v>1</v>
      </c>
      <c r="H78" t="str">
        <f t="shared" si="4"/>
        <v>Normal</v>
      </c>
      <c r="I78">
        <v>66.09</v>
      </c>
      <c r="J78">
        <v>55.6</v>
      </c>
      <c r="K78">
        <v>5</v>
      </c>
      <c r="L78">
        <v>49</v>
      </c>
      <c r="M78" t="s">
        <v>4</v>
      </c>
      <c r="N78">
        <v>66.09</v>
      </c>
      <c r="O78">
        <v>55.6</v>
      </c>
      <c r="P78">
        <v>10.490000000000002</v>
      </c>
      <c r="Q78">
        <v>5</v>
      </c>
      <c r="R78" s="7" t="str">
        <f t="shared" si="5"/>
        <v>⭐⭐⭐⭐⭐ (5/5)</v>
      </c>
      <c r="S78" t="str">
        <f t="shared" si="6"/>
        <v>Soda is a item to cetegry Beverages price of 66.09</v>
      </c>
    </row>
    <row r="79" spans="1:19" x14ac:dyDescent="0.3">
      <c r="A79" t="s">
        <v>131</v>
      </c>
      <c r="B79" s="3">
        <v>45065</v>
      </c>
      <c r="C79" t="s">
        <v>13</v>
      </c>
      <c r="D79" t="s">
        <v>71</v>
      </c>
      <c r="E79" t="s">
        <v>23</v>
      </c>
      <c r="F79" t="s">
        <v>24</v>
      </c>
      <c r="G79">
        <v>7</v>
      </c>
      <c r="H79" t="str">
        <f t="shared" si="4"/>
        <v>Normal</v>
      </c>
      <c r="I79">
        <v>657.9</v>
      </c>
      <c r="J79">
        <v>498.35</v>
      </c>
      <c r="K79">
        <v>10</v>
      </c>
      <c r="L79">
        <v>99</v>
      </c>
      <c r="M79" t="s">
        <v>17</v>
      </c>
      <c r="N79">
        <v>4605.3</v>
      </c>
      <c r="O79">
        <v>3488.4500000000003</v>
      </c>
      <c r="P79">
        <v>1116.8499999999999</v>
      </c>
      <c r="Q79">
        <v>3</v>
      </c>
      <c r="R79" s="7" t="str">
        <f t="shared" si="5"/>
        <v>⭐⭐⭐ (3/5)</v>
      </c>
      <c r="S79" t="str">
        <f t="shared" si="6"/>
        <v>Energy Drink is a item to cetegry Beverages price of 657.9</v>
      </c>
    </row>
    <row r="80" spans="1:19" x14ac:dyDescent="0.3">
      <c r="A80" t="s">
        <v>132</v>
      </c>
      <c r="B80" s="3">
        <v>45025</v>
      </c>
      <c r="C80" t="s">
        <v>18</v>
      </c>
      <c r="D80" t="s">
        <v>19</v>
      </c>
      <c r="E80" t="s">
        <v>34</v>
      </c>
      <c r="F80" t="s">
        <v>35</v>
      </c>
      <c r="G80">
        <v>2</v>
      </c>
      <c r="H80" t="str">
        <f t="shared" si="4"/>
        <v>Normal</v>
      </c>
      <c r="I80">
        <v>445.64</v>
      </c>
      <c r="J80">
        <v>363.43</v>
      </c>
      <c r="K80">
        <v>20</v>
      </c>
      <c r="L80">
        <v>107</v>
      </c>
      <c r="M80" t="s">
        <v>11</v>
      </c>
      <c r="N80">
        <v>891.28</v>
      </c>
      <c r="O80">
        <v>726.86</v>
      </c>
      <c r="P80">
        <v>164.41999999999996</v>
      </c>
      <c r="Q80">
        <v>4</v>
      </c>
      <c r="R80" s="7" t="str">
        <f t="shared" si="5"/>
        <v>⭐⭐⭐⭐ (4/5)</v>
      </c>
      <c r="S80" t="str">
        <f t="shared" si="6"/>
        <v>Noodles is a item to cetegry Snacks price of 445.64</v>
      </c>
    </row>
    <row r="81" spans="1:19" x14ac:dyDescent="0.3">
      <c r="A81" t="s">
        <v>133</v>
      </c>
      <c r="B81" s="3">
        <v>45078</v>
      </c>
      <c r="C81" t="s">
        <v>30</v>
      </c>
      <c r="D81" t="s">
        <v>48</v>
      </c>
      <c r="E81" t="s">
        <v>15</v>
      </c>
      <c r="F81" t="s">
        <v>16</v>
      </c>
      <c r="G81">
        <v>10</v>
      </c>
      <c r="H81" t="str">
        <f t="shared" si="4"/>
        <v>Normal</v>
      </c>
      <c r="I81">
        <v>639.91999999999996</v>
      </c>
      <c r="J81">
        <v>488.54</v>
      </c>
      <c r="K81">
        <v>10</v>
      </c>
      <c r="L81">
        <v>22</v>
      </c>
      <c r="M81" t="s">
        <v>11</v>
      </c>
      <c r="N81">
        <v>6399.2</v>
      </c>
      <c r="O81">
        <v>4885.4000000000005</v>
      </c>
      <c r="P81">
        <v>1513.7999999999993</v>
      </c>
      <c r="Q81">
        <v>1</v>
      </c>
      <c r="R81" s="7" t="str">
        <f t="shared" si="5"/>
        <v>⭐ (1/5)</v>
      </c>
      <c r="S81" t="str">
        <f t="shared" si="6"/>
        <v>Curd is a item to cetegry Dairy price of 639.92</v>
      </c>
    </row>
    <row r="82" spans="1:19" x14ac:dyDescent="0.3">
      <c r="A82" t="s">
        <v>134</v>
      </c>
      <c r="B82" s="3">
        <v>45210</v>
      </c>
      <c r="C82" t="s">
        <v>30</v>
      </c>
      <c r="D82" t="s">
        <v>31</v>
      </c>
      <c r="E82" t="s">
        <v>40</v>
      </c>
      <c r="F82" t="s">
        <v>41</v>
      </c>
      <c r="G82">
        <v>5</v>
      </c>
      <c r="H82" t="str">
        <f t="shared" si="4"/>
        <v>Normal</v>
      </c>
      <c r="I82">
        <v>22.24</v>
      </c>
      <c r="J82">
        <v>16.93</v>
      </c>
      <c r="K82">
        <v>10</v>
      </c>
      <c r="L82">
        <v>15</v>
      </c>
      <c r="M82" t="s">
        <v>36</v>
      </c>
      <c r="N82">
        <v>111.19999999999999</v>
      </c>
      <c r="O82">
        <v>84.65</v>
      </c>
      <c r="P82">
        <v>26.549999999999983</v>
      </c>
      <c r="Q82">
        <v>2</v>
      </c>
      <c r="R82" s="7" t="str">
        <f t="shared" si="5"/>
        <v>⭐⭐ (2/5)</v>
      </c>
      <c r="S82" t="str">
        <f t="shared" si="6"/>
        <v>Butter is a item to cetegry Dairy price of 22.24</v>
      </c>
    </row>
    <row r="83" spans="1:19" x14ac:dyDescent="0.3">
      <c r="A83" t="s">
        <v>135</v>
      </c>
      <c r="B83" s="3">
        <v>45101</v>
      </c>
      <c r="C83" t="s">
        <v>18</v>
      </c>
      <c r="D83" t="s">
        <v>85</v>
      </c>
      <c r="E83" t="s">
        <v>57</v>
      </c>
      <c r="F83" t="s">
        <v>58</v>
      </c>
      <c r="G83">
        <v>2</v>
      </c>
      <c r="H83" t="str">
        <f t="shared" si="4"/>
        <v>Normal</v>
      </c>
      <c r="I83">
        <v>581.88</v>
      </c>
      <c r="J83">
        <v>437.63</v>
      </c>
      <c r="K83">
        <v>15</v>
      </c>
      <c r="L83">
        <v>71</v>
      </c>
      <c r="M83" t="s">
        <v>17</v>
      </c>
      <c r="N83">
        <v>1163.76</v>
      </c>
      <c r="O83">
        <v>875.26</v>
      </c>
      <c r="P83">
        <v>288.5</v>
      </c>
      <c r="Q83">
        <v>5</v>
      </c>
      <c r="R83" s="7" t="str">
        <f t="shared" si="5"/>
        <v>⭐⭐⭐⭐⭐ (5/5)</v>
      </c>
      <c r="S83" t="str">
        <f t="shared" si="6"/>
        <v>Biscuits is a item to cetegry Snacks price of 581.88</v>
      </c>
    </row>
    <row r="84" spans="1:19" x14ac:dyDescent="0.3">
      <c r="A84" t="s">
        <v>136</v>
      </c>
      <c r="B84" s="3">
        <v>45249</v>
      </c>
      <c r="C84" t="s">
        <v>30</v>
      </c>
      <c r="D84" t="s">
        <v>89</v>
      </c>
      <c r="E84" t="s">
        <v>15</v>
      </c>
      <c r="F84" t="s">
        <v>16</v>
      </c>
      <c r="G84">
        <v>8</v>
      </c>
      <c r="H84" t="str">
        <f t="shared" si="4"/>
        <v>Normal</v>
      </c>
      <c r="I84">
        <v>74.209999999999994</v>
      </c>
      <c r="J84">
        <v>65.900000000000006</v>
      </c>
      <c r="K84">
        <v>15</v>
      </c>
      <c r="L84">
        <v>19</v>
      </c>
      <c r="M84" t="s">
        <v>4</v>
      </c>
      <c r="N84">
        <v>593.67999999999995</v>
      </c>
      <c r="O84">
        <v>527.20000000000005</v>
      </c>
      <c r="P84">
        <v>66.479999999999905</v>
      </c>
      <c r="Q84">
        <v>3</v>
      </c>
      <c r="R84" s="7" t="str">
        <f t="shared" si="5"/>
        <v>⭐⭐⭐ (3/5)</v>
      </c>
      <c r="S84" t="str">
        <f t="shared" si="6"/>
        <v>Milk is a item to cetegry Dairy price of 74.21</v>
      </c>
    </row>
    <row r="85" spans="1:19" x14ac:dyDescent="0.3">
      <c r="A85" t="s">
        <v>137</v>
      </c>
      <c r="B85" s="3">
        <v>45212</v>
      </c>
      <c r="C85" t="s">
        <v>1</v>
      </c>
      <c r="D85" t="s">
        <v>2</v>
      </c>
      <c r="E85" t="s">
        <v>40</v>
      </c>
      <c r="F85" t="s">
        <v>41</v>
      </c>
      <c r="G85">
        <v>3</v>
      </c>
      <c r="H85" t="str">
        <f t="shared" si="4"/>
        <v>Normal</v>
      </c>
      <c r="I85">
        <v>602.9</v>
      </c>
      <c r="J85">
        <v>407.46</v>
      </c>
      <c r="K85">
        <v>0</v>
      </c>
      <c r="L85">
        <v>41</v>
      </c>
      <c r="M85" t="s">
        <v>36</v>
      </c>
      <c r="N85">
        <v>1808.6999999999998</v>
      </c>
      <c r="O85">
        <v>1222.3799999999999</v>
      </c>
      <c r="P85">
        <v>586.31999999999994</v>
      </c>
      <c r="Q85">
        <v>1</v>
      </c>
      <c r="R85" s="7" t="str">
        <f t="shared" si="5"/>
        <v>⭐ (1/5)</v>
      </c>
      <c r="S85" t="str">
        <f t="shared" si="6"/>
        <v>Shampoo is a item to cetegry Personal Care price of 602.9</v>
      </c>
    </row>
    <row r="86" spans="1:19" x14ac:dyDescent="0.3">
      <c r="A86" t="s">
        <v>138</v>
      </c>
      <c r="B86" s="3">
        <v>45146</v>
      </c>
      <c r="C86" t="s">
        <v>21</v>
      </c>
      <c r="D86" t="s">
        <v>139</v>
      </c>
      <c r="E86" t="s">
        <v>34</v>
      </c>
      <c r="F86" t="s">
        <v>35</v>
      </c>
      <c r="G86">
        <v>9</v>
      </c>
      <c r="H86" t="str">
        <f t="shared" si="4"/>
        <v>Normal</v>
      </c>
      <c r="I86">
        <v>287.39999999999998</v>
      </c>
      <c r="J86">
        <v>196.39</v>
      </c>
      <c r="K86">
        <v>10</v>
      </c>
      <c r="L86">
        <v>120</v>
      </c>
      <c r="M86" t="s">
        <v>4</v>
      </c>
      <c r="N86">
        <v>2586.6</v>
      </c>
      <c r="O86">
        <v>1767.5099999999998</v>
      </c>
      <c r="P86">
        <v>819.09000000000015</v>
      </c>
      <c r="Q86">
        <v>4</v>
      </c>
      <c r="R86" s="7" t="str">
        <f t="shared" si="5"/>
        <v>⭐⭐⭐⭐ (4/5)</v>
      </c>
      <c r="S86" t="str">
        <f t="shared" si="6"/>
        <v>Dish Soap is a item to cetegry Household price of 287.4</v>
      </c>
    </row>
    <row r="87" spans="1:19" x14ac:dyDescent="0.3">
      <c r="A87" t="s">
        <v>140</v>
      </c>
      <c r="B87" s="3">
        <v>45062</v>
      </c>
      <c r="C87" t="s">
        <v>18</v>
      </c>
      <c r="D87" t="s">
        <v>33</v>
      </c>
      <c r="E87" t="s">
        <v>3</v>
      </c>
      <c r="F87" t="s">
        <v>3</v>
      </c>
      <c r="G87">
        <v>10</v>
      </c>
      <c r="H87" t="str">
        <f t="shared" si="4"/>
        <v>Normal</v>
      </c>
      <c r="I87">
        <v>547.57000000000005</v>
      </c>
      <c r="J87">
        <v>480.45</v>
      </c>
      <c r="K87">
        <v>5</v>
      </c>
      <c r="L87">
        <v>90</v>
      </c>
      <c r="M87" t="s">
        <v>11</v>
      </c>
      <c r="N87">
        <v>5475.7000000000007</v>
      </c>
      <c r="O87">
        <v>4804.5</v>
      </c>
      <c r="P87">
        <v>671.20000000000073</v>
      </c>
      <c r="Q87">
        <v>2</v>
      </c>
      <c r="R87" s="7" t="str">
        <f t="shared" si="5"/>
        <v>⭐⭐ (2/5)</v>
      </c>
      <c r="S87" t="str">
        <f t="shared" si="6"/>
        <v>Chocolate is a item to cetegry Snacks price of 547.57</v>
      </c>
    </row>
    <row r="88" spans="1:19" x14ac:dyDescent="0.3">
      <c r="A88" t="s">
        <v>141</v>
      </c>
      <c r="B88" s="3">
        <v>45279</v>
      </c>
      <c r="C88" t="s">
        <v>1</v>
      </c>
      <c r="D88" t="s">
        <v>2</v>
      </c>
      <c r="E88" t="s">
        <v>40</v>
      </c>
      <c r="F88" t="s">
        <v>41</v>
      </c>
      <c r="G88">
        <v>4</v>
      </c>
      <c r="H88" t="str">
        <f t="shared" si="4"/>
        <v>Normal</v>
      </c>
      <c r="I88">
        <v>107.54</v>
      </c>
      <c r="J88">
        <v>95.17</v>
      </c>
      <c r="K88">
        <v>0</v>
      </c>
      <c r="L88">
        <v>62</v>
      </c>
      <c r="M88" t="s">
        <v>17</v>
      </c>
      <c r="N88">
        <v>430.16</v>
      </c>
      <c r="O88">
        <v>380.68</v>
      </c>
      <c r="P88">
        <v>49.480000000000018</v>
      </c>
      <c r="Q88">
        <v>5</v>
      </c>
      <c r="R88" s="7" t="str">
        <f t="shared" si="5"/>
        <v>⭐⭐⭐⭐⭐ (5/5)</v>
      </c>
      <c r="S88" t="str">
        <f t="shared" si="6"/>
        <v>Shampoo is a item to cetegry Personal Care price of 107.54</v>
      </c>
    </row>
    <row r="89" spans="1:19" x14ac:dyDescent="0.3">
      <c r="A89" t="s">
        <v>142</v>
      </c>
      <c r="B89" s="3">
        <v>45062</v>
      </c>
      <c r="C89" t="s">
        <v>5</v>
      </c>
      <c r="D89" t="s">
        <v>6</v>
      </c>
      <c r="E89" t="s">
        <v>15</v>
      </c>
      <c r="F89" t="s">
        <v>16</v>
      </c>
      <c r="G89">
        <v>1</v>
      </c>
      <c r="H89" t="str">
        <f t="shared" si="4"/>
        <v>Normal</v>
      </c>
      <c r="I89">
        <v>170.66</v>
      </c>
      <c r="J89">
        <v>123.42</v>
      </c>
      <c r="K89">
        <v>15</v>
      </c>
      <c r="L89">
        <v>19</v>
      </c>
      <c r="M89" t="s">
        <v>11</v>
      </c>
      <c r="N89">
        <v>170.66</v>
      </c>
      <c r="O89">
        <v>123.42</v>
      </c>
      <c r="P89">
        <v>47.239999999999995</v>
      </c>
      <c r="Q89">
        <v>3</v>
      </c>
      <c r="R89" s="7" t="str">
        <f t="shared" si="5"/>
        <v>⭐⭐⭐ (3/5)</v>
      </c>
      <c r="S89" t="str">
        <f t="shared" si="6"/>
        <v>Donut is a item to cetegry Bakery price of 170.66</v>
      </c>
    </row>
    <row r="90" spans="1:19" x14ac:dyDescent="0.3">
      <c r="A90" t="s">
        <v>143</v>
      </c>
      <c r="B90" s="3">
        <v>44963</v>
      </c>
      <c r="C90" t="s">
        <v>21</v>
      </c>
      <c r="D90" t="s">
        <v>22</v>
      </c>
      <c r="E90" t="s">
        <v>34</v>
      </c>
      <c r="F90" t="s">
        <v>35</v>
      </c>
      <c r="G90">
        <v>7</v>
      </c>
      <c r="H90" t="str">
        <f t="shared" si="4"/>
        <v>Normal</v>
      </c>
      <c r="I90">
        <v>78.819999999999993</v>
      </c>
      <c r="J90">
        <v>66.239999999999995</v>
      </c>
      <c r="K90">
        <v>5</v>
      </c>
      <c r="L90">
        <v>44</v>
      </c>
      <c r="M90" t="s">
        <v>11</v>
      </c>
      <c r="N90">
        <v>551.74</v>
      </c>
      <c r="O90">
        <v>463.67999999999995</v>
      </c>
      <c r="P90">
        <v>88.060000000000059</v>
      </c>
      <c r="Q90">
        <v>4</v>
      </c>
      <c r="R90" s="7" t="str">
        <f t="shared" si="5"/>
        <v>⭐⭐⭐⭐ (4/5)</v>
      </c>
      <c r="S90" t="str">
        <f t="shared" si="6"/>
        <v>Mop is a item to cetegry Household price of 78.82</v>
      </c>
    </row>
    <row r="91" spans="1:19" x14ac:dyDescent="0.3">
      <c r="A91" t="s">
        <v>144</v>
      </c>
      <c r="B91" s="3">
        <v>45166</v>
      </c>
      <c r="C91" t="s">
        <v>62</v>
      </c>
      <c r="D91" t="s">
        <v>75</v>
      </c>
      <c r="E91" t="s">
        <v>15</v>
      </c>
      <c r="F91" t="s">
        <v>16</v>
      </c>
      <c r="G91">
        <v>10</v>
      </c>
      <c r="H91" t="str">
        <f t="shared" si="4"/>
        <v>Normal</v>
      </c>
      <c r="I91">
        <v>500.52</v>
      </c>
      <c r="J91">
        <v>376.99</v>
      </c>
      <c r="K91">
        <v>10</v>
      </c>
      <c r="L91">
        <v>66</v>
      </c>
      <c r="M91" t="s">
        <v>36</v>
      </c>
      <c r="N91">
        <v>5005.2</v>
      </c>
      <c r="O91">
        <v>3769.9</v>
      </c>
      <c r="P91">
        <v>1235.2999999999997</v>
      </c>
      <c r="Q91">
        <v>1</v>
      </c>
      <c r="R91" s="7" t="str">
        <f t="shared" si="5"/>
        <v>⭐ (1/5)</v>
      </c>
      <c r="S91" t="str">
        <f t="shared" si="6"/>
        <v>Banana is a item to cetegry Fruits &amp; Vegetables price of 500.52</v>
      </c>
    </row>
    <row r="92" spans="1:19" x14ac:dyDescent="0.3">
      <c r="A92" t="s">
        <v>145</v>
      </c>
      <c r="B92" s="3">
        <v>45148</v>
      </c>
      <c r="C92" t="s">
        <v>1</v>
      </c>
      <c r="D92" t="s">
        <v>73</v>
      </c>
      <c r="E92" t="s">
        <v>9</v>
      </c>
      <c r="F92" t="s">
        <v>10</v>
      </c>
      <c r="G92">
        <v>5</v>
      </c>
      <c r="H92" t="str">
        <f t="shared" si="4"/>
        <v>Normal</v>
      </c>
      <c r="I92">
        <v>331.17</v>
      </c>
      <c r="J92">
        <v>255.23</v>
      </c>
      <c r="K92">
        <v>0</v>
      </c>
      <c r="L92">
        <v>86</v>
      </c>
      <c r="M92" t="s">
        <v>36</v>
      </c>
      <c r="N92">
        <v>1655.8500000000001</v>
      </c>
      <c r="O92">
        <v>1276.1499999999999</v>
      </c>
      <c r="P92">
        <v>379.70000000000027</v>
      </c>
      <c r="Q92">
        <v>2</v>
      </c>
      <c r="R92" s="7" t="str">
        <f t="shared" si="5"/>
        <v>⭐⭐ (2/5)</v>
      </c>
      <c r="S92" t="str">
        <f t="shared" si="6"/>
        <v>Toothpaste is a item to cetegry Personal Care price of 331.17</v>
      </c>
    </row>
    <row r="93" spans="1:19" x14ac:dyDescent="0.3">
      <c r="A93" t="s">
        <v>146</v>
      </c>
      <c r="B93" s="3">
        <v>45271</v>
      </c>
      <c r="C93" t="s">
        <v>1</v>
      </c>
      <c r="D93" t="s">
        <v>73</v>
      </c>
      <c r="E93" t="s">
        <v>15</v>
      </c>
      <c r="F93" t="s">
        <v>16</v>
      </c>
      <c r="G93">
        <v>1</v>
      </c>
      <c r="H93" t="str">
        <f t="shared" si="4"/>
        <v>Normal</v>
      </c>
      <c r="I93">
        <v>81.290000000000006</v>
      </c>
      <c r="J93">
        <v>54.75</v>
      </c>
      <c r="K93">
        <v>20</v>
      </c>
      <c r="L93">
        <v>85</v>
      </c>
      <c r="M93" t="s">
        <v>36</v>
      </c>
      <c r="N93">
        <v>81.290000000000006</v>
      </c>
      <c r="O93">
        <v>54.75</v>
      </c>
      <c r="P93">
        <v>26.540000000000006</v>
      </c>
      <c r="Q93">
        <v>5</v>
      </c>
      <c r="R93" s="7" t="str">
        <f t="shared" si="5"/>
        <v>⭐⭐⭐⭐⭐ (5/5)</v>
      </c>
      <c r="S93" t="str">
        <f t="shared" si="6"/>
        <v>Toothpaste is a item to cetegry Personal Care price of 81.29</v>
      </c>
    </row>
    <row r="94" spans="1:19" x14ac:dyDescent="0.3">
      <c r="A94" t="s">
        <v>147</v>
      </c>
      <c r="B94" s="3">
        <v>45150</v>
      </c>
      <c r="C94" t="s">
        <v>21</v>
      </c>
      <c r="D94" t="s">
        <v>148</v>
      </c>
      <c r="E94" t="s">
        <v>3</v>
      </c>
      <c r="F94" t="s">
        <v>3</v>
      </c>
      <c r="G94">
        <v>3</v>
      </c>
      <c r="H94" t="str">
        <f t="shared" si="4"/>
        <v>Normal</v>
      </c>
      <c r="I94">
        <v>327.29000000000002</v>
      </c>
      <c r="J94">
        <v>240.55</v>
      </c>
      <c r="K94">
        <v>10</v>
      </c>
      <c r="L94">
        <v>33</v>
      </c>
      <c r="M94" t="s">
        <v>4</v>
      </c>
      <c r="N94">
        <v>981.87000000000012</v>
      </c>
      <c r="O94">
        <v>721.65000000000009</v>
      </c>
      <c r="P94">
        <v>260.22000000000003</v>
      </c>
      <c r="Q94">
        <v>3</v>
      </c>
      <c r="R94" s="7" t="str">
        <f t="shared" si="5"/>
        <v>⭐⭐⭐ (3/5)</v>
      </c>
      <c r="S94" t="str">
        <f t="shared" si="6"/>
        <v>Tissue is a item to cetegry Household price of 327.29</v>
      </c>
    </row>
    <row r="95" spans="1:19" x14ac:dyDescent="0.3">
      <c r="A95" t="s">
        <v>149</v>
      </c>
      <c r="B95" s="3">
        <v>45095</v>
      </c>
      <c r="C95" t="s">
        <v>1</v>
      </c>
      <c r="D95" t="s">
        <v>39</v>
      </c>
      <c r="E95" t="s">
        <v>28</v>
      </c>
      <c r="F95" t="s">
        <v>10</v>
      </c>
      <c r="G95">
        <v>8</v>
      </c>
      <c r="H95" t="str">
        <f t="shared" si="4"/>
        <v>Normal</v>
      </c>
      <c r="I95">
        <v>222.61</v>
      </c>
      <c r="J95">
        <v>180.5</v>
      </c>
      <c r="K95">
        <v>0</v>
      </c>
      <c r="L95">
        <v>119</v>
      </c>
      <c r="M95" t="s">
        <v>11</v>
      </c>
      <c r="N95">
        <v>1780.88</v>
      </c>
      <c r="O95">
        <v>1444</v>
      </c>
      <c r="P95">
        <v>336.88000000000011</v>
      </c>
      <c r="Q95">
        <v>4</v>
      </c>
      <c r="R95" s="7" t="str">
        <f t="shared" si="5"/>
        <v>⭐⭐⭐⭐ (4/5)</v>
      </c>
      <c r="S95" t="str">
        <f t="shared" si="6"/>
        <v>Lotion is a item to cetegry Personal Care price of 222.61</v>
      </c>
    </row>
    <row r="96" spans="1:19" x14ac:dyDescent="0.3">
      <c r="A96" t="s">
        <v>150</v>
      </c>
      <c r="B96" s="3">
        <v>45056</v>
      </c>
      <c r="C96" t="s">
        <v>13</v>
      </c>
      <c r="D96" t="s">
        <v>102</v>
      </c>
      <c r="E96" t="s">
        <v>15</v>
      </c>
      <c r="F96" t="s">
        <v>16</v>
      </c>
      <c r="G96">
        <v>7</v>
      </c>
      <c r="H96" t="str">
        <f t="shared" si="4"/>
        <v>Normal</v>
      </c>
      <c r="I96">
        <v>539.42999999999995</v>
      </c>
      <c r="J96">
        <v>408.65</v>
      </c>
      <c r="K96">
        <v>15</v>
      </c>
      <c r="L96">
        <v>21</v>
      </c>
      <c r="M96" t="s">
        <v>25</v>
      </c>
      <c r="N96">
        <v>3776.0099999999998</v>
      </c>
      <c r="O96">
        <v>2860.5499999999997</v>
      </c>
      <c r="P96">
        <v>915.46</v>
      </c>
      <c r="Q96">
        <v>1</v>
      </c>
      <c r="R96" s="7" t="str">
        <f t="shared" si="5"/>
        <v>⭐ (1/5)</v>
      </c>
      <c r="S96" t="str">
        <f t="shared" si="6"/>
        <v>Soda is a item to cetegry Beverages price of 539.43</v>
      </c>
    </row>
    <row r="97" spans="1:19" x14ac:dyDescent="0.3">
      <c r="A97" t="s">
        <v>151</v>
      </c>
      <c r="B97" s="3">
        <v>44954</v>
      </c>
      <c r="C97" t="s">
        <v>18</v>
      </c>
      <c r="D97" t="s">
        <v>152</v>
      </c>
      <c r="E97" t="s">
        <v>9</v>
      </c>
      <c r="F97" t="s">
        <v>10</v>
      </c>
      <c r="G97">
        <v>9</v>
      </c>
      <c r="H97" t="str">
        <f t="shared" si="4"/>
        <v>Normal</v>
      </c>
      <c r="I97">
        <v>455.82</v>
      </c>
      <c r="J97">
        <v>414.21</v>
      </c>
      <c r="K97">
        <v>20</v>
      </c>
      <c r="L97">
        <v>69</v>
      </c>
      <c r="M97" t="s">
        <v>17</v>
      </c>
      <c r="N97">
        <v>4102.38</v>
      </c>
      <c r="O97">
        <v>3727.89</v>
      </c>
      <c r="P97">
        <v>374.49000000000024</v>
      </c>
      <c r="Q97">
        <v>2</v>
      </c>
      <c r="R97" s="7" t="str">
        <f t="shared" si="5"/>
        <v>⭐⭐ (2/5)</v>
      </c>
      <c r="S97" t="str">
        <f t="shared" si="6"/>
        <v>Chips is a item to cetegry Snacks price of 455.82</v>
      </c>
    </row>
    <row r="98" spans="1:19" x14ac:dyDescent="0.3">
      <c r="A98" t="s">
        <v>153</v>
      </c>
      <c r="B98" s="3">
        <v>45208</v>
      </c>
      <c r="C98" t="s">
        <v>30</v>
      </c>
      <c r="D98" t="s">
        <v>154</v>
      </c>
      <c r="E98" t="s">
        <v>23</v>
      </c>
      <c r="F98" t="s">
        <v>24</v>
      </c>
      <c r="G98">
        <v>10</v>
      </c>
      <c r="H98" t="str">
        <f t="shared" ref="H98:H129" si="7">IF(G98&lt;0,"Return","Normal")</f>
        <v>Normal</v>
      </c>
      <c r="I98">
        <v>513.95000000000005</v>
      </c>
      <c r="J98">
        <v>380.66</v>
      </c>
      <c r="K98">
        <v>0</v>
      </c>
      <c r="L98">
        <v>36</v>
      </c>
      <c r="M98" t="s">
        <v>25</v>
      </c>
      <c r="N98">
        <v>5139.5</v>
      </c>
      <c r="O98">
        <v>3806.6000000000004</v>
      </c>
      <c r="P98">
        <v>1332.8999999999996</v>
      </c>
      <c r="Q98">
        <v>5</v>
      </c>
      <c r="R98" s="7" t="str">
        <f t="shared" si="5"/>
        <v>⭐⭐⭐⭐⭐ (5/5)</v>
      </c>
      <c r="S98" t="str">
        <f t="shared" si="6"/>
        <v>Paneer is a item to cetegry Dairy price of 513.95</v>
      </c>
    </row>
    <row r="99" spans="1:19" x14ac:dyDescent="0.3">
      <c r="A99" t="s">
        <v>155</v>
      </c>
      <c r="B99" s="3">
        <v>45290</v>
      </c>
      <c r="C99" t="s">
        <v>30</v>
      </c>
      <c r="D99" t="s">
        <v>31</v>
      </c>
      <c r="E99" t="s">
        <v>57</v>
      </c>
      <c r="F99" t="s">
        <v>58</v>
      </c>
      <c r="G99">
        <v>8</v>
      </c>
      <c r="H99" t="str">
        <f t="shared" si="7"/>
        <v>Normal</v>
      </c>
      <c r="I99">
        <v>103.5</v>
      </c>
      <c r="J99">
        <v>69.5</v>
      </c>
      <c r="K99">
        <v>20</v>
      </c>
      <c r="L99">
        <v>112</v>
      </c>
      <c r="M99" t="s">
        <v>11</v>
      </c>
      <c r="N99">
        <v>828</v>
      </c>
      <c r="O99">
        <v>556</v>
      </c>
      <c r="P99">
        <v>272</v>
      </c>
      <c r="Q99">
        <v>3</v>
      </c>
      <c r="R99" s="7" t="str">
        <f t="shared" si="5"/>
        <v>⭐⭐⭐ (3/5)</v>
      </c>
      <c r="S99" t="str">
        <f t="shared" si="6"/>
        <v>Butter is a item to cetegry Dairy price of 103.5</v>
      </c>
    </row>
    <row r="100" spans="1:19" x14ac:dyDescent="0.3">
      <c r="A100" t="s">
        <v>156</v>
      </c>
      <c r="B100" s="3">
        <v>45258</v>
      </c>
      <c r="C100" t="s">
        <v>30</v>
      </c>
      <c r="D100" t="s">
        <v>31</v>
      </c>
      <c r="E100" t="s">
        <v>3</v>
      </c>
      <c r="F100" t="s">
        <v>3</v>
      </c>
      <c r="G100">
        <v>9</v>
      </c>
      <c r="H100" t="str">
        <f t="shared" si="7"/>
        <v>Normal</v>
      </c>
      <c r="I100">
        <v>249.78</v>
      </c>
      <c r="J100">
        <v>209.92</v>
      </c>
      <c r="K100">
        <v>0</v>
      </c>
      <c r="L100">
        <v>69</v>
      </c>
      <c r="M100" t="s">
        <v>36</v>
      </c>
      <c r="N100">
        <v>2248.02</v>
      </c>
      <c r="O100">
        <v>1889.28</v>
      </c>
      <c r="P100">
        <v>358.74</v>
      </c>
      <c r="Q100">
        <v>1</v>
      </c>
      <c r="R100" s="7" t="str">
        <f t="shared" si="5"/>
        <v>⭐ (1/5)</v>
      </c>
      <c r="S100" t="str">
        <f t="shared" si="6"/>
        <v>Butter is a item to cetegry Dairy price of 249.78</v>
      </c>
    </row>
    <row r="101" spans="1:19" x14ac:dyDescent="0.3">
      <c r="A101" t="s">
        <v>157</v>
      </c>
      <c r="B101" s="3">
        <v>45160</v>
      </c>
      <c r="C101" t="s">
        <v>21</v>
      </c>
      <c r="D101" t="s">
        <v>27</v>
      </c>
      <c r="E101" t="s">
        <v>57</v>
      </c>
      <c r="F101" t="s">
        <v>58</v>
      </c>
      <c r="G101">
        <v>5</v>
      </c>
      <c r="H101" t="str">
        <f t="shared" si="7"/>
        <v>Normal</v>
      </c>
      <c r="I101">
        <v>313.64999999999998</v>
      </c>
      <c r="J101">
        <v>259.35000000000002</v>
      </c>
      <c r="K101">
        <v>15</v>
      </c>
      <c r="L101">
        <v>70</v>
      </c>
      <c r="M101" t="s">
        <v>11</v>
      </c>
      <c r="N101">
        <v>1568.25</v>
      </c>
      <c r="O101">
        <v>1296.75</v>
      </c>
      <c r="P101">
        <v>271.5</v>
      </c>
      <c r="Q101">
        <v>4</v>
      </c>
      <c r="R101" s="7" t="str">
        <f t="shared" si="5"/>
        <v>⭐⭐⭐⭐ (4/5)</v>
      </c>
      <c r="S101" t="str">
        <f t="shared" si="6"/>
        <v>Cleaner is a item to cetegry Household price of 313.65</v>
      </c>
    </row>
    <row r="102" spans="1:19" x14ac:dyDescent="0.3">
      <c r="A102" t="s">
        <v>158</v>
      </c>
      <c r="B102" s="3">
        <v>45068</v>
      </c>
      <c r="C102" t="s">
        <v>5</v>
      </c>
      <c r="D102" t="s">
        <v>60</v>
      </c>
      <c r="E102" t="s">
        <v>9</v>
      </c>
      <c r="F102" t="s">
        <v>10</v>
      </c>
      <c r="G102">
        <v>4</v>
      </c>
      <c r="H102" t="str">
        <f t="shared" si="7"/>
        <v>Normal</v>
      </c>
      <c r="I102">
        <v>601.76</v>
      </c>
      <c r="J102">
        <v>461.72</v>
      </c>
      <c r="K102">
        <v>5</v>
      </c>
      <c r="L102">
        <v>120</v>
      </c>
      <c r="M102" t="s">
        <v>36</v>
      </c>
      <c r="N102">
        <v>2407.04</v>
      </c>
      <c r="O102">
        <v>1846.88</v>
      </c>
      <c r="P102">
        <v>560.15999999999985</v>
      </c>
      <c r="Q102">
        <v>2</v>
      </c>
      <c r="R102" s="7" t="str">
        <f t="shared" si="5"/>
        <v>⭐⭐ (2/5)</v>
      </c>
      <c r="S102" t="str">
        <f t="shared" si="6"/>
        <v>Cake is a item to cetegry Bakery price of 601.76</v>
      </c>
    </row>
    <row r="103" spans="1:19" x14ac:dyDescent="0.3">
      <c r="A103" t="s">
        <v>159</v>
      </c>
      <c r="B103" s="3">
        <v>45223</v>
      </c>
      <c r="C103" t="s">
        <v>21</v>
      </c>
      <c r="D103" t="s">
        <v>139</v>
      </c>
      <c r="E103" t="s">
        <v>23</v>
      </c>
      <c r="F103" t="s">
        <v>24</v>
      </c>
      <c r="G103">
        <v>9</v>
      </c>
      <c r="H103" t="str">
        <f t="shared" si="7"/>
        <v>Normal</v>
      </c>
      <c r="I103">
        <v>155.15</v>
      </c>
      <c r="J103">
        <v>140.91</v>
      </c>
      <c r="K103">
        <v>10</v>
      </c>
      <c r="L103">
        <v>117</v>
      </c>
      <c r="M103" t="s">
        <v>4</v>
      </c>
      <c r="N103">
        <v>1396.3500000000001</v>
      </c>
      <c r="O103">
        <v>1268.19</v>
      </c>
      <c r="P103">
        <v>128.16000000000008</v>
      </c>
      <c r="Q103">
        <v>5</v>
      </c>
      <c r="R103" s="7" t="str">
        <f t="shared" si="5"/>
        <v>⭐⭐⭐⭐⭐ (5/5)</v>
      </c>
      <c r="S103" t="str">
        <f t="shared" si="6"/>
        <v>Dish Soap is a item to cetegry Household price of 155.15</v>
      </c>
    </row>
    <row r="104" spans="1:19" x14ac:dyDescent="0.3">
      <c r="A104" t="s">
        <v>160</v>
      </c>
      <c r="B104" s="3">
        <v>45120</v>
      </c>
      <c r="C104" t="s">
        <v>1</v>
      </c>
      <c r="D104" t="s">
        <v>39</v>
      </c>
      <c r="E104" t="s">
        <v>40</v>
      </c>
      <c r="F104" t="s">
        <v>41</v>
      </c>
      <c r="G104">
        <v>8</v>
      </c>
      <c r="H104" t="str">
        <f t="shared" si="7"/>
        <v>Normal</v>
      </c>
      <c r="I104">
        <v>339.1</v>
      </c>
      <c r="J104">
        <v>273.89999999999998</v>
      </c>
      <c r="K104">
        <v>20</v>
      </c>
      <c r="L104">
        <v>107</v>
      </c>
      <c r="M104" t="s">
        <v>4</v>
      </c>
      <c r="N104">
        <v>2712.8</v>
      </c>
      <c r="O104">
        <v>2191.1999999999998</v>
      </c>
      <c r="P104">
        <v>521.60000000000036</v>
      </c>
      <c r="Q104">
        <v>3</v>
      </c>
      <c r="R104" s="7" t="str">
        <f t="shared" si="5"/>
        <v>⭐⭐⭐ (3/5)</v>
      </c>
      <c r="S104" t="str">
        <f t="shared" si="6"/>
        <v>Lotion is a item to cetegry Personal Care price of 339.1</v>
      </c>
    </row>
    <row r="105" spans="1:19" x14ac:dyDescent="0.3">
      <c r="A105" t="s">
        <v>161</v>
      </c>
      <c r="B105" s="3">
        <v>45169</v>
      </c>
      <c r="C105" t="s">
        <v>13</v>
      </c>
      <c r="D105" t="s">
        <v>14</v>
      </c>
      <c r="E105" t="s">
        <v>34</v>
      </c>
      <c r="F105" t="s">
        <v>35</v>
      </c>
      <c r="G105">
        <v>4</v>
      </c>
      <c r="H105" t="str">
        <f t="shared" si="7"/>
        <v>Normal</v>
      </c>
      <c r="I105">
        <v>346.31</v>
      </c>
      <c r="J105">
        <v>290.18</v>
      </c>
      <c r="K105">
        <v>15</v>
      </c>
      <c r="L105">
        <v>15</v>
      </c>
      <c r="M105" t="s">
        <v>25</v>
      </c>
      <c r="N105">
        <v>1385.24</v>
      </c>
      <c r="O105">
        <v>1160.72</v>
      </c>
      <c r="P105">
        <v>224.51999999999998</v>
      </c>
      <c r="Q105">
        <v>4</v>
      </c>
      <c r="R105" s="7" t="str">
        <f t="shared" si="5"/>
        <v>⭐⭐⭐⭐ (4/5)</v>
      </c>
      <c r="S105" t="str">
        <f t="shared" si="6"/>
        <v>Juice is a item to cetegry Beverages price of 346.31</v>
      </c>
    </row>
    <row r="106" spans="1:19" x14ac:dyDescent="0.3">
      <c r="A106" t="s">
        <v>162</v>
      </c>
      <c r="B106" s="3">
        <v>44978</v>
      </c>
      <c r="C106" t="s">
        <v>1</v>
      </c>
      <c r="D106" t="s">
        <v>39</v>
      </c>
      <c r="E106" t="s">
        <v>9</v>
      </c>
      <c r="F106" t="s">
        <v>10</v>
      </c>
      <c r="G106">
        <v>3</v>
      </c>
      <c r="H106" t="str">
        <f t="shared" si="7"/>
        <v>Normal</v>
      </c>
      <c r="I106">
        <v>281.72000000000003</v>
      </c>
      <c r="J106">
        <v>252.71</v>
      </c>
      <c r="K106">
        <v>20</v>
      </c>
      <c r="L106">
        <v>85</v>
      </c>
      <c r="M106" t="s">
        <v>25</v>
      </c>
      <c r="N106">
        <v>845.16000000000008</v>
      </c>
      <c r="O106">
        <v>758.13</v>
      </c>
      <c r="P106">
        <v>87.030000000000086</v>
      </c>
      <c r="Q106">
        <v>1</v>
      </c>
      <c r="R106" s="7" t="str">
        <f t="shared" si="5"/>
        <v>⭐ (1/5)</v>
      </c>
      <c r="S106" t="str">
        <f t="shared" si="6"/>
        <v>Lotion is a item to cetegry Personal Care price of 281.72</v>
      </c>
    </row>
    <row r="107" spans="1:19" x14ac:dyDescent="0.3">
      <c r="A107" t="s">
        <v>163</v>
      </c>
      <c r="B107" s="3">
        <v>44965</v>
      </c>
      <c r="C107" t="s">
        <v>21</v>
      </c>
      <c r="D107" t="s">
        <v>139</v>
      </c>
      <c r="E107" t="s">
        <v>28</v>
      </c>
      <c r="F107" t="s">
        <v>10</v>
      </c>
      <c r="G107">
        <v>9</v>
      </c>
      <c r="H107" t="str">
        <f t="shared" si="7"/>
        <v>Normal</v>
      </c>
      <c r="I107">
        <v>504.53</v>
      </c>
      <c r="J107">
        <v>456.12</v>
      </c>
      <c r="K107">
        <v>5</v>
      </c>
      <c r="L107">
        <v>62</v>
      </c>
      <c r="M107" t="s">
        <v>11</v>
      </c>
      <c r="N107">
        <v>4540.7699999999995</v>
      </c>
      <c r="O107">
        <v>4105.08</v>
      </c>
      <c r="P107">
        <v>435.6899999999996</v>
      </c>
      <c r="Q107">
        <v>2</v>
      </c>
      <c r="R107" s="7" t="str">
        <f t="shared" si="5"/>
        <v>⭐⭐ (2/5)</v>
      </c>
      <c r="S107" t="str">
        <f t="shared" si="6"/>
        <v>Dish Soap is a item to cetegry Household price of 504.53</v>
      </c>
    </row>
    <row r="108" spans="1:19" x14ac:dyDescent="0.3">
      <c r="A108" t="s">
        <v>164</v>
      </c>
      <c r="B108" s="3">
        <v>45121</v>
      </c>
      <c r="C108" t="s">
        <v>13</v>
      </c>
      <c r="D108" t="s">
        <v>14</v>
      </c>
      <c r="E108" t="s">
        <v>23</v>
      </c>
      <c r="F108" t="s">
        <v>24</v>
      </c>
      <c r="G108">
        <v>10</v>
      </c>
      <c r="H108" t="str">
        <f t="shared" si="7"/>
        <v>Normal</v>
      </c>
      <c r="I108">
        <v>475.2</v>
      </c>
      <c r="J108">
        <v>349.43</v>
      </c>
      <c r="K108">
        <v>10</v>
      </c>
      <c r="L108">
        <v>119</v>
      </c>
      <c r="M108" t="s">
        <v>4</v>
      </c>
      <c r="N108">
        <v>4752</v>
      </c>
      <c r="O108">
        <v>3494.3</v>
      </c>
      <c r="P108">
        <v>1257.6999999999998</v>
      </c>
      <c r="Q108">
        <v>5</v>
      </c>
      <c r="R108" s="7" t="str">
        <f t="shared" si="5"/>
        <v>⭐⭐⭐⭐⭐ (5/5)</v>
      </c>
      <c r="S108" t="str">
        <f t="shared" si="6"/>
        <v>Juice is a item to cetegry Beverages price of 475.2</v>
      </c>
    </row>
    <row r="109" spans="1:19" x14ac:dyDescent="0.3">
      <c r="A109" t="s">
        <v>165</v>
      </c>
      <c r="B109" s="3">
        <v>45149</v>
      </c>
      <c r="C109" t="s">
        <v>18</v>
      </c>
      <c r="D109" t="s">
        <v>127</v>
      </c>
      <c r="E109" t="s">
        <v>3</v>
      </c>
      <c r="F109" t="s">
        <v>3</v>
      </c>
      <c r="G109">
        <v>10</v>
      </c>
      <c r="H109" t="str">
        <f t="shared" si="7"/>
        <v>Normal</v>
      </c>
      <c r="I109">
        <v>58.87</v>
      </c>
      <c r="J109">
        <v>43.53</v>
      </c>
      <c r="K109">
        <v>10</v>
      </c>
      <c r="L109">
        <v>39</v>
      </c>
      <c r="M109" t="s">
        <v>36</v>
      </c>
      <c r="N109">
        <v>588.69999999999993</v>
      </c>
      <c r="O109">
        <v>435.3</v>
      </c>
      <c r="P109">
        <v>153.39999999999992</v>
      </c>
      <c r="Q109">
        <v>3</v>
      </c>
      <c r="R109" s="7" t="str">
        <f t="shared" si="5"/>
        <v>⭐⭐⭐ (3/5)</v>
      </c>
      <c r="S109" t="str">
        <f t="shared" si="6"/>
        <v>Popcorn is a item to cetegry Snacks price of 58.87</v>
      </c>
    </row>
    <row r="110" spans="1:19" x14ac:dyDescent="0.3">
      <c r="A110" t="s">
        <v>166</v>
      </c>
      <c r="B110" s="3">
        <v>45077</v>
      </c>
      <c r="C110" t="s">
        <v>62</v>
      </c>
      <c r="D110" t="s">
        <v>105</v>
      </c>
      <c r="E110" t="s">
        <v>57</v>
      </c>
      <c r="F110" t="s">
        <v>58</v>
      </c>
      <c r="G110">
        <v>3</v>
      </c>
      <c r="H110" t="str">
        <f t="shared" si="7"/>
        <v>Normal</v>
      </c>
      <c r="I110">
        <v>511.57</v>
      </c>
      <c r="J110">
        <v>350.06</v>
      </c>
      <c r="K110">
        <v>0</v>
      </c>
      <c r="L110">
        <v>51</v>
      </c>
      <c r="M110" t="s">
        <v>36</v>
      </c>
      <c r="N110">
        <v>1534.71</v>
      </c>
      <c r="O110">
        <v>1050.18</v>
      </c>
      <c r="P110">
        <v>484.53</v>
      </c>
      <c r="Q110">
        <v>4</v>
      </c>
      <c r="R110" s="7" t="str">
        <f t="shared" si="5"/>
        <v>⭐⭐⭐⭐ (4/5)</v>
      </c>
      <c r="S110" t="str">
        <f t="shared" si="6"/>
        <v>Apple is a item to cetegry Fruits &amp; Vegetables price of 511.57</v>
      </c>
    </row>
    <row r="111" spans="1:19" x14ac:dyDescent="0.3">
      <c r="A111" t="s">
        <v>167</v>
      </c>
      <c r="B111" s="3">
        <v>44967</v>
      </c>
      <c r="C111" t="s">
        <v>18</v>
      </c>
      <c r="D111" t="s">
        <v>19</v>
      </c>
      <c r="E111" t="s">
        <v>9</v>
      </c>
      <c r="F111" t="s">
        <v>10</v>
      </c>
      <c r="G111">
        <v>3</v>
      </c>
      <c r="H111" t="str">
        <f t="shared" si="7"/>
        <v>Normal</v>
      </c>
      <c r="I111">
        <v>164</v>
      </c>
      <c r="J111">
        <v>129.66</v>
      </c>
      <c r="K111">
        <v>5</v>
      </c>
      <c r="L111">
        <v>31</v>
      </c>
      <c r="M111" t="s">
        <v>11</v>
      </c>
      <c r="N111">
        <v>492</v>
      </c>
      <c r="O111">
        <v>388.98</v>
      </c>
      <c r="P111">
        <v>103.01999999999998</v>
      </c>
      <c r="Q111">
        <v>1</v>
      </c>
      <c r="R111" s="7" t="str">
        <f t="shared" si="5"/>
        <v>⭐ (1/5)</v>
      </c>
      <c r="S111" t="str">
        <f t="shared" si="6"/>
        <v>Noodles is a item to cetegry Snacks price of 164</v>
      </c>
    </row>
    <row r="112" spans="1:19" x14ac:dyDescent="0.3">
      <c r="A112" t="s">
        <v>168</v>
      </c>
      <c r="B112" s="3">
        <v>45162</v>
      </c>
      <c r="C112" t="s">
        <v>5</v>
      </c>
      <c r="D112" t="s">
        <v>6</v>
      </c>
      <c r="E112" t="s">
        <v>34</v>
      </c>
      <c r="F112" t="s">
        <v>35</v>
      </c>
      <c r="G112">
        <v>8</v>
      </c>
      <c r="H112" t="str">
        <f t="shared" si="7"/>
        <v>Normal</v>
      </c>
      <c r="I112">
        <v>529.20000000000005</v>
      </c>
      <c r="J112">
        <v>457.29</v>
      </c>
      <c r="K112">
        <v>15</v>
      </c>
      <c r="L112">
        <v>91</v>
      </c>
      <c r="M112" t="s">
        <v>25</v>
      </c>
      <c r="N112">
        <v>4233.6000000000004</v>
      </c>
      <c r="O112">
        <v>3658.32</v>
      </c>
      <c r="P112">
        <v>575.2800000000002</v>
      </c>
      <c r="Q112">
        <v>2</v>
      </c>
      <c r="R112" s="7" t="str">
        <f t="shared" si="5"/>
        <v>⭐⭐ (2/5)</v>
      </c>
      <c r="S112" t="str">
        <f t="shared" si="6"/>
        <v>Donut is a item to cetegry Bakery price of 529.2</v>
      </c>
    </row>
    <row r="113" spans="1:19" x14ac:dyDescent="0.3">
      <c r="A113" t="s">
        <v>169</v>
      </c>
      <c r="B113" s="3">
        <v>45080</v>
      </c>
      <c r="C113" t="s">
        <v>18</v>
      </c>
      <c r="D113" t="s">
        <v>152</v>
      </c>
      <c r="E113" t="s">
        <v>57</v>
      </c>
      <c r="F113" t="s">
        <v>58</v>
      </c>
      <c r="G113">
        <v>5</v>
      </c>
      <c r="H113" t="str">
        <f t="shared" si="7"/>
        <v>Normal</v>
      </c>
      <c r="I113">
        <v>397.85</v>
      </c>
      <c r="J113">
        <v>342.03</v>
      </c>
      <c r="K113">
        <v>15</v>
      </c>
      <c r="L113">
        <v>54</v>
      </c>
      <c r="M113" t="s">
        <v>4</v>
      </c>
      <c r="N113">
        <v>1989.25</v>
      </c>
      <c r="O113">
        <v>1710.1499999999999</v>
      </c>
      <c r="P113">
        <v>279.10000000000014</v>
      </c>
      <c r="Q113">
        <v>5</v>
      </c>
      <c r="R113" s="7" t="str">
        <f t="shared" si="5"/>
        <v>⭐⭐⭐⭐⭐ (5/5)</v>
      </c>
      <c r="S113" t="str">
        <f t="shared" si="6"/>
        <v>Chips is a item to cetegry Snacks price of 397.85</v>
      </c>
    </row>
    <row r="114" spans="1:19" x14ac:dyDescent="0.3">
      <c r="A114" t="s">
        <v>170</v>
      </c>
      <c r="B114" s="3">
        <v>44981</v>
      </c>
      <c r="C114" t="s">
        <v>1</v>
      </c>
      <c r="D114" t="s">
        <v>39</v>
      </c>
      <c r="E114" t="s">
        <v>15</v>
      </c>
      <c r="F114" t="s">
        <v>16</v>
      </c>
      <c r="G114">
        <v>8</v>
      </c>
      <c r="H114" t="str">
        <f t="shared" si="7"/>
        <v>Normal</v>
      </c>
      <c r="I114">
        <v>500.42</v>
      </c>
      <c r="J114">
        <v>424.2</v>
      </c>
      <c r="K114">
        <v>15</v>
      </c>
      <c r="L114">
        <v>119</v>
      </c>
      <c r="M114" t="s">
        <v>17</v>
      </c>
      <c r="N114">
        <v>4003.36</v>
      </c>
      <c r="O114">
        <v>3393.6</v>
      </c>
      <c r="P114">
        <v>609.76000000000022</v>
      </c>
      <c r="Q114">
        <v>3</v>
      </c>
      <c r="R114" s="7" t="str">
        <f t="shared" si="5"/>
        <v>⭐⭐⭐ (3/5)</v>
      </c>
      <c r="S114" t="str">
        <f t="shared" si="6"/>
        <v>Lotion is a item to cetegry Personal Care price of 500.42</v>
      </c>
    </row>
    <row r="115" spans="1:19" x14ac:dyDescent="0.3">
      <c r="A115" t="s">
        <v>171</v>
      </c>
      <c r="B115" s="3">
        <v>45067</v>
      </c>
      <c r="C115" t="s">
        <v>30</v>
      </c>
      <c r="D115" t="s">
        <v>48</v>
      </c>
      <c r="E115" t="s">
        <v>23</v>
      </c>
      <c r="F115" t="s">
        <v>24</v>
      </c>
      <c r="G115">
        <v>10</v>
      </c>
      <c r="H115" t="str">
        <f t="shared" si="7"/>
        <v>Normal</v>
      </c>
      <c r="I115">
        <v>213.83</v>
      </c>
      <c r="J115">
        <v>154.97999999999999</v>
      </c>
      <c r="K115">
        <v>0</v>
      </c>
      <c r="L115">
        <v>116</v>
      </c>
      <c r="M115" t="s">
        <v>17</v>
      </c>
      <c r="N115">
        <v>2138.3000000000002</v>
      </c>
      <c r="O115">
        <v>1549.8</v>
      </c>
      <c r="P115">
        <v>588.50000000000023</v>
      </c>
      <c r="Q115">
        <v>1</v>
      </c>
      <c r="R115" s="7" t="str">
        <f t="shared" si="5"/>
        <v>⭐ (1/5)</v>
      </c>
      <c r="S115" t="str">
        <f t="shared" si="6"/>
        <v>Curd is a item to cetegry Dairy price of 213.83</v>
      </c>
    </row>
    <row r="116" spans="1:19" x14ac:dyDescent="0.3">
      <c r="A116" t="s">
        <v>172</v>
      </c>
      <c r="B116" s="3">
        <v>45237</v>
      </c>
      <c r="C116" t="s">
        <v>62</v>
      </c>
      <c r="D116" t="s">
        <v>63</v>
      </c>
      <c r="E116" t="s">
        <v>3</v>
      </c>
      <c r="F116" t="s">
        <v>3</v>
      </c>
      <c r="G116">
        <v>10</v>
      </c>
      <c r="H116" t="str">
        <f t="shared" si="7"/>
        <v>Normal</v>
      </c>
      <c r="I116">
        <v>537.61</v>
      </c>
      <c r="J116">
        <v>375.13</v>
      </c>
      <c r="K116">
        <v>10</v>
      </c>
      <c r="L116">
        <v>109</v>
      </c>
      <c r="M116" t="s">
        <v>11</v>
      </c>
      <c r="N116">
        <v>5376.1</v>
      </c>
      <c r="O116">
        <v>3751.3</v>
      </c>
      <c r="P116">
        <v>1624.8000000000002</v>
      </c>
      <c r="Q116">
        <v>4</v>
      </c>
      <c r="R116" s="7" t="str">
        <f t="shared" si="5"/>
        <v>⭐⭐⭐⭐ (4/5)</v>
      </c>
      <c r="S116" t="str">
        <f t="shared" si="6"/>
        <v>Onion is a item to cetegry Fruits &amp; Vegetables price of 537.61</v>
      </c>
    </row>
    <row r="117" spans="1:19" x14ac:dyDescent="0.3">
      <c r="A117" t="s">
        <v>173</v>
      </c>
      <c r="B117" s="3">
        <v>45248</v>
      </c>
      <c r="C117" t="s">
        <v>21</v>
      </c>
      <c r="D117" t="s">
        <v>148</v>
      </c>
      <c r="E117" t="s">
        <v>34</v>
      </c>
      <c r="F117" t="s">
        <v>35</v>
      </c>
      <c r="G117">
        <v>4</v>
      </c>
      <c r="H117" t="str">
        <f t="shared" si="7"/>
        <v>Normal</v>
      </c>
      <c r="I117">
        <v>430.86</v>
      </c>
      <c r="J117">
        <v>314.24</v>
      </c>
      <c r="K117">
        <v>5</v>
      </c>
      <c r="L117">
        <v>90</v>
      </c>
      <c r="M117" t="s">
        <v>36</v>
      </c>
      <c r="N117">
        <v>1723.44</v>
      </c>
      <c r="O117">
        <v>1256.96</v>
      </c>
      <c r="P117">
        <v>466.48</v>
      </c>
      <c r="Q117">
        <v>2</v>
      </c>
      <c r="R117" s="7" t="str">
        <f t="shared" si="5"/>
        <v>⭐⭐ (2/5)</v>
      </c>
      <c r="S117" t="str">
        <f t="shared" si="6"/>
        <v>Tissue is a item to cetegry Household price of 430.86</v>
      </c>
    </row>
    <row r="118" spans="1:19" x14ac:dyDescent="0.3">
      <c r="A118" t="s">
        <v>174</v>
      </c>
      <c r="B118" s="3">
        <v>45094</v>
      </c>
      <c r="C118" t="s">
        <v>1</v>
      </c>
      <c r="D118" t="s">
        <v>2</v>
      </c>
      <c r="E118" t="s">
        <v>15</v>
      </c>
      <c r="F118" t="s">
        <v>16</v>
      </c>
      <c r="G118">
        <v>8</v>
      </c>
      <c r="H118" t="str">
        <f t="shared" si="7"/>
        <v>Normal</v>
      </c>
      <c r="I118">
        <v>32.83</v>
      </c>
      <c r="J118">
        <v>26.35</v>
      </c>
      <c r="K118">
        <v>5</v>
      </c>
      <c r="L118">
        <v>21</v>
      </c>
      <c r="M118" t="s">
        <v>25</v>
      </c>
      <c r="N118">
        <v>262.64</v>
      </c>
      <c r="O118">
        <v>210.8</v>
      </c>
      <c r="P118">
        <v>51.839999999999975</v>
      </c>
      <c r="Q118">
        <v>5</v>
      </c>
      <c r="R118" s="7" t="str">
        <f t="shared" si="5"/>
        <v>⭐⭐⭐⭐⭐ (5/5)</v>
      </c>
      <c r="S118" t="str">
        <f t="shared" si="6"/>
        <v>Shampoo is a item to cetegry Personal Care price of 32.83</v>
      </c>
    </row>
    <row r="119" spans="1:19" x14ac:dyDescent="0.3">
      <c r="A119" t="s">
        <v>175</v>
      </c>
      <c r="B119" s="3">
        <v>45066</v>
      </c>
      <c r="C119" t="s">
        <v>1</v>
      </c>
      <c r="D119" t="s">
        <v>39</v>
      </c>
      <c r="E119" t="s">
        <v>40</v>
      </c>
      <c r="F119" t="s">
        <v>41</v>
      </c>
      <c r="G119">
        <v>4</v>
      </c>
      <c r="H119" t="str">
        <f t="shared" si="7"/>
        <v>Normal</v>
      </c>
      <c r="I119">
        <v>98.37</v>
      </c>
      <c r="J119">
        <v>74.760000000000005</v>
      </c>
      <c r="K119">
        <v>10</v>
      </c>
      <c r="L119">
        <v>77</v>
      </c>
      <c r="M119" t="s">
        <v>4</v>
      </c>
      <c r="N119">
        <v>393.48</v>
      </c>
      <c r="O119">
        <v>299.04000000000002</v>
      </c>
      <c r="P119">
        <v>94.44</v>
      </c>
      <c r="Q119">
        <v>3</v>
      </c>
      <c r="R119" s="7" t="str">
        <f t="shared" si="5"/>
        <v>⭐⭐⭐ (3/5)</v>
      </c>
      <c r="S119" t="str">
        <f t="shared" si="6"/>
        <v>Lotion is a item to cetegry Personal Care price of 98.37</v>
      </c>
    </row>
    <row r="120" spans="1:19" x14ac:dyDescent="0.3">
      <c r="A120" t="s">
        <v>176</v>
      </c>
      <c r="B120" s="3">
        <v>45166</v>
      </c>
      <c r="C120" t="s">
        <v>21</v>
      </c>
      <c r="D120" t="s">
        <v>27</v>
      </c>
      <c r="E120" t="s">
        <v>15</v>
      </c>
      <c r="F120" t="s">
        <v>16</v>
      </c>
      <c r="G120">
        <v>8</v>
      </c>
      <c r="H120" t="str">
        <f t="shared" si="7"/>
        <v>Normal</v>
      </c>
      <c r="I120">
        <v>589.55999999999995</v>
      </c>
      <c r="J120">
        <v>484.02</v>
      </c>
      <c r="K120">
        <v>10</v>
      </c>
      <c r="L120">
        <v>112</v>
      </c>
      <c r="M120" t="s">
        <v>36</v>
      </c>
      <c r="N120">
        <v>4716.4799999999996</v>
      </c>
      <c r="O120">
        <v>3872.16</v>
      </c>
      <c r="P120">
        <v>844.31999999999971</v>
      </c>
      <c r="Q120">
        <v>4</v>
      </c>
      <c r="R120" s="7" t="str">
        <f t="shared" si="5"/>
        <v>⭐⭐⭐⭐ (4/5)</v>
      </c>
      <c r="S120" t="str">
        <f t="shared" si="6"/>
        <v>Cleaner is a item to cetegry Household price of 589.56</v>
      </c>
    </row>
    <row r="121" spans="1:19" x14ac:dyDescent="0.3">
      <c r="A121" t="s">
        <v>177</v>
      </c>
      <c r="B121" s="3">
        <v>44934</v>
      </c>
      <c r="C121" t="s">
        <v>62</v>
      </c>
      <c r="D121" t="s">
        <v>75</v>
      </c>
      <c r="E121" t="s">
        <v>34</v>
      </c>
      <c r="F121" t="s">
        <v>35</v>
      </c>
      <c r="G121">
        <v>7</v>
      </c>
      <c r="H121" t="str">
        <f t="shared" si="7"/>
        <v>Normal</v>
      </c>
      <c r="I121">
        <v>688.11</v>
      </c>
      <c r="J121">
        <v>483.96</v>
      </c>
      <c r="K121">
        <v>10</v>
      </c>
      <c r="L121">
        <v>21</v>
      </c>
      <c r="M121" t="s">
        <v>17</v>
      </c>
      <c r="N121">
        <v>4816.7700000000004</v>
      </c>
      <c r="O121">
        <v>3387.72</v>
      </c>
      <c r="P121">
        <v>1429.0500000000006</v>
      </c>
      <c r="Q121">
        <v>1</v>
      </c>
      <c r="R121" s="7" t="str">
        <f t="shared" si="5"/>
        <v>⭐ (1/5)</v>
      </c>
      <c r="S121" t="str">
        <f t="shared" si="6"/>
        <v>Banana is a item to cetegry Fruits &amp; Vegetables price of 688.11</v>
      </c>
    </row>
    <row r="122" spans="1:19" x14ac:dyDescent="0.3">
      <c r="A122" t="s">
        <v>178</v>
      </c>
      <c r="B122" s="3">
        <v>45253</v>
      </c>
      <c r="C122" t="s">
        <v>18</v>
      </c>
      <c r="D122" t="s">
        <v>33</v>
      </c>
      <c r="E122" t="s">
        <v>28</v>
      </c>
      <c r="F122" t="s">
        <v>10</v>
      </c>
      <c r="G122">
        <v>8</v>
      </c>
      <c r="H122" t="str">
        <f t="shared" si="7"/>
        <v>Normal</v>
      </c>
      <c r="I122">
        <v>266.77999999999997</v>
      </c>
      <c r="J122">
        <v>190.61</v>
      </c>
      <c r="K122">
        <v>10</v>
      </c>
      <c r="L122">
        <v>84</v>
      </c>
      <c r="M122" t="s">
        <v>17</v>
      </c>
      <c r="N122">
        <v>2134.2399999999998</v>
      </c>
      <c r="O122">
        <v>1524.88</v>
      </c>
      <c r="P122">
        <v>609.35999999999967</v>
      </c>
      <c r="Q122">
        <v>2</v>
      </c>
      <c r="R122" s="7" t="str">
        <f t="shared" si="5"/>
        <v>⭐⭐ (2/5)</v>
      </c>
      <c r="S122" t="str">
        <f t="shared" si="6"/>
        <v>Chocolate is a item to cetegry Snacks price of 266.78</v>
      </c>
    </row>
    <row r="123" spans="1:19" x14ac:dyDescent="0.3">
      <c r="A123" t="s">
        <v>179</v>
      </c>
      <c r="B123" s="3">
        <v>45040</v>
      </c>
      <c r="C123" t="s">
        <v>18</v>
      </c>
      <c r="D123" t="s">
        <v>152</v>
      </c>
      <c r="E123" t="s">
        <v>34</v>
      </c>
      <c r="F123" t="s">
        <v>35</v>
      </c>
      <c r="G123">
        <v>8</v>
      </c>
      <c r="H123" t="str">
        <f t="shared" si="7"/>
        <v>Normal</v>
      </c>
      <c r="I123">
        <v>32.36</v>
      </c>
      <c r="J123">
        <v>22.26</v>
      </c>
      <c r="K123">
        <v>20</v>
      </c>
      <c r="L123">
        <v>51</v>
      </c>
      <c r="M123" t="s">
        <v>4</v>
      </c>
      <c r="N123">
        <v>258.88</v>
      </c>
      <c r="O123">
        <v>178.08</v>
      </c>
      <c r="P123">
        <v>80.799999999999983</v>
      </c>
      <c r="Q123">
        <v>5</v>
      </c>
      <c r="R123" s="7" t="str">
        <f t="shared" si="5"/>
        <v>⭐⭐⭐⭐⭐ (5/5)</v>
      </c>
      <c r="S123" t="str">
        <f t="shared" si="6"/>
        <v>Chips is a item to cetegry Snacks price of 32.36</v>
      </c>
    </row>
    <row r="124" spans="1:19" x14ac:dyDescent="0.3">
      <c r="A124" t="s">
        <v>180</v>
      </c>
      <c r="B124" s="3">
        <v>45179</v>
      </c>
      <c r="C124" t="s">
        <v>1</v>
      </c>
      <c r="D124" t="s">
        <v>2</v>
      </c>
      <c r="E124" t="s">
        <v>57</v>
      </c>
      <c r="F124" t="s">
        <v>58</v>
      </c>
      <c r="G124">
        <v>5</v>
      </c>
      <c r="H124" t="str">
        <f t="shared" si="7"/>
        <v>Normal</v>
      </c>
      <c r="I124">
        <v>376.26</v>
      </c>
      <c r="J124">
        <v>328.13</v>
      </c>
      <c r="K124">
        <v>0</v>
      </c>
      <c r="L124">
        <v>14</v>
      </c>
      <c r="M124" t="s">
        <v>25</v>
      </c>
      <c r="N124">
        <v>1881.3</v>
      </c>
      <c r="O124">
        <v>1640.65</v>
      </c>
      <c r="P124">
        <v>240.64999999999986</v>
      </c>
      <c r="Q124">
        <v>3</v>
      </c>
      <c r="R124" s="7" t="str">
        <f t="shared" si="5"/>
        <v>⭐⭐⭐ (3/5)</v>
      </c>
      <c r="S124" t="str">
        <f t="shared" si="6"/>
        <v>Shampoo is a item to cetegry Personal Care price of 376.26</v>
      </c>
    </row>
    <row r="125" spans="1:19" x14ac:dyDescent="0.3">
      <c r="A125" t="s">
        <v>181</v>
      </c>
      <c r="B125" s="3">
        <v>45006</v>
      </c>
      <c r="C125" t="s">
        <v>62</v>
      </c>
      <c r="D125" t="s">
        <v>105</v>
      </c>
      <c r="E125" t="s">
        <v>34</v>
      </c>
      <c r="F125" t="s">
        <v>35</v>
      </c>
      <c r="G125">
        <v>9</v>
      </c>
      <c r="H125" t="str">
        <f t="shared" si="7"/>
        <v>Normal</v>
      </c>
      <c r="I125">
        <v>98.01</v>
      </c>
      <c r="J125">
        <v>76.48</v>
      </c>
      <c r="K125">
        <v>20</v>
      </c>
      <c r="L125">
        <v>63</v>
      </c>
      <c r="M125" t="s">
        <v>4</v>
      </c>
      <c r="N125">
        <v>882.09</v>
      </c>
      <c r="O125">
        <v>688.32</v>
      </c>
      <c r="P125">
        <v>193.76999999999998</v>
      </c>
      <c r="Q125">
        <v>4</v>
      </c>
      <c r="R125" s="7" t="str">
        <f t="shared" si="5"/>
        <v>⭐⭐⭐⭐ (4/5)</v>
      </c>
      <c r="S125" t="str">
        <f t="shared" si="6"/>
        <v>Apple is a item to cetegry Fruits &amp; Vegetables price of 98.01</v>
      </c>
    </row>
    <row r="126" spans="1:19" x14ac:dyDescent="0.3">
      <c r="A126" t="s">
        <v>182</v>
      </c>
      <c r="B126" s="3">
        <v>45038</v>
      </c>
      <c r="C126" t="s">
        <v>13</v>
      </c>
      <c r="D126" t="s">
        <v>52</v>
      </c>
      <c r="E126" t="s">
        <v>57</v>
      </c>
      <c r="F126" t="s">
        <v>58</v>
      </c>
      <c r="G126">
        <v>10</v>
      </c>
      <c r="H126" t="str">
        <f t="shared" si="7"/>
        <v>Normal</v>
      </c>
      <c r="I126">
        <v>310.89999999999998</v>
      </c>
      <c r="J126">
        <v>209.98</v>
      </c>
      <c r="K126">
        <v>0</v>
      </c>
      <c r="L126">
        <v>98</v>
      </c>
      <c r="M126" t="s">
        <v>25</v>
      </c>
      <c r="N126">
        <v>3109</v>
      </c>
      <c r="O126">
        <v>2099.7999999999997</v>
      </c>
      <c r="P126">
        <v>1009.2000000000003</v>
      </c>
      <c r="Q126">
        <v>1</v>
      </c>
      <c r="R126" s="7" t="str">
        <f t="shared" si="5"/>
        <v>⭐ (1/5)</v>
      </c>
      <c r="S126" t="str">
        <f t="shared" si="6"/>
        <v>Tea is a item to cetegry Beverages price of 310.9</v>
      </c>
    </row>
    <row r="127" spans="1:19" x14ac:dyDescent="0.3">
      <c r="A127" t="s">
        <v>183</v>
      </c>
      <c r="B127" s="3">
        <v>44958</v>
      </c>
      <c r="C127" t="s">
        <v>13</v>
      </c>
      <c r="D127" t="s">
        <v>102</v>
      </c>
      <c r="E127" t="s">
        <v>34</v>
      </c>
      <c r="F127" t="s">
        <v>35</v>
      </c>
      <c r="G127">
        <v>6</v>
      </c>
      <c r="H127" t="str">
        <f t="shared" si="7"/>
        <v>Normal</v>
      </c>
      <c r="I127">
        <v>80.64</v>
      </c>
      <c r="J127">
        <v>58.68</v>
      </c>
      <c r="K127">
        <v>20</v>
      </c>
      <c r="L127">
        <v>92</v>
      </c>
      <c r="M127" t="s">
        <v>25</v>
      </c>
      <c r="N127">
        <v>483.84000000000003</v>
      </c>
      <c r="O127">
        <v>352.08</v>
      </c>
      <c r="P127">
        <v>131.76000000000005</v>
      </c>
      <c r="Q127">
        <v>2</v>
      </c>
      <c r="R127" s="7" t="str">
        <f t="shared" si="5"/>
        <v>⭐⭐ (2/5)</v>
      </c>
      <c r="S127" t="str">
        <f t="shared" si="6"/>
        <v>Soda is a item to cetegry Beverages price of 80.64</v>
      </c>
    </row>
    <row r="128" spans="1:19" x14ac:dyDescent="0.3">
      <c r="A128" t="s">
        <v>184</v>
      </c>
      <c r="B128" s="3">
        <v>45255</v>
      </c>
      <c r="C128" t="s">
        <v>13</v>
      </c>
      <c r="D128" t="s">
        <v>14</v>
      </c>
      <c r="E128" t="s">
        <v>34</v>
      </c>
      <c r="F128" t="s">
        <v>35</v>
      </c>
      <c r="G128">
        <v>2</v>
      </c>
      <c r="H128" t="str">
        <f t="shared" si="7"/>
        <v>Normal</v>
      </c>
      <c r="I128">
        <v>679.12</v>
      </c>
      <c r="J128">
        <v>475.02</v>
      </c>
      <c r="K128">
        <v>0</v>
      </c>
      <c r="L128">
        <v>94</v>
      </c>
      <c r="M128" t="s">
        <v>11</v>
      </c>
      <c r="N128">
        <v>1358.24</v>
      </c>
      <c r="O128">
        <v>950.04</v>
      </c>
      <c r="P128">
        <v>408.20000000000005</v>
      </c>
      <c r="Q128">
        <v>5</v>
      </c>
      <c r="R128" s="7" t="str">
        <f t="shared" si="5"/>
        <v>⭐⭐⭐⭐⭐ (5/5)</v>
      </c>
      <c r="S128" t="str">
        <f t="shared" si="6"/>
        <v>Juice is a item to cetegry Beverages price of 679.12</v>
      </c>
    </row>
    <row r="129" spans="1:19" x14ac:dyDescent="0.3">
      <c r="A129" t="s">
        <v>185</v>
      </c>
      <c r="B129" s="3">
        <v>45032</v>
      </c>
      <c r="C129" t="s">
        <v>1</v>
      </c>
      <c r="D129" t="s">
        <v>8</v>
      </c>
      <c r="E129" t="s">
        <v>3</v>
      </c>
      <c r="F129" t="s">
        <v>3</v>
      </c>
      <c r="G129">
        <v>1</v>
      </c>
      <c r="H129" t="str">
        <f t="shared" si="7"/>
        <v>Normal</v>
      </c>
      <c r="I129">
        <v>473.62</v>
      </c>
      <c r="J129">
        <v>395.53</v>
      </c>
      <c r="K129">
        <v>5</v>
      </c>
      <c r="L129">
        <v>110</v>
      </c>
      <c r="M129" t="s">
        <v>4</v>
      </c>
      <c r="N129">
        <v>473.62</v>
      </c>
      <c r="O129">
        <v>395.53</v>
      </c>
      <c r="P129">
        <v>78.090000000000032</v>
      </c>
      <c r="Q129">
        <v>3</v>
      </c>
      <c r="R129" s="7" t="str">
        <f t="shared" si="5"/>
        <v>⭐⭐⭐ (3/5)</v>
      </c>
      <c r="S129" t="str">
        <f t="shared" si="6"/>
        <v>Face Wash is a item to cetegry Personal Care price of 473.62</v>
      </c>
    </row>
    <row r="130" spans="1:19" x14ac:dyDescent="0.3">
      <c r="A130" t="s">
        <v>186</v>
      </c>
      <c r="B130" s="3">
        <v>45232</v>
      </c>
      <c r="C130" t="s">
        <v>62</v>
      </c>
      <c r="D130" t="s">
        <v>63</v>
      </c>
      <c r="E130" t="s">
        <v>34</v>
      </c>
      <c r="F130" t="s">
        <v>35</v>
      </c>
      <c r="G130">
        <v>10</v>
      </c>
      <c r="H130" t="str">
        <f t="shared" ref="H130:H161" si="8">IF(G130&lt;0,"Return","Normal")</f>
        <v>Normal</v>
      </c>
      <c r="I130">
        <v>167.69</v>
      </c>
      <c r="J130">
        <v>115.82</v>
      </c>
      <c r="K130">
        <v>10</v>
      </c>
      <c r="L130">
        <v>109</v>
      </c>
      <c r="M130" t="s">
        <v>11</v>
      </c>
      <c r="N130">
        <v>1676.9</v>
      </c>
      <c r="O130">
        <v>1158.1999999999998</v>
      </c>
      <c r="P130">
        <v>518.70000000000027</v>
      </c>
      <c r="Q130">
        <v>1</v>
      </c>
      <c r="R130" s="7" t="str">
        <f t="shared" ref="R130:R193" si="9">REPT("⭐",Q130) &amp; " (" &amp; Q130 &amp; "/5)"</f>
        <v>⭐ (1/5)</v>
      </c>
      <c r="S130" t="str">
        <f t="shared" si="6"/>
        <v>Onion is a item to cetegry Fruits &amp; Vegetables price of 167.69</v>
      </c>
    </row>
    <row r="131" spans="1:19" x14ac:dyDescent="0.3">
      <c r="A131" t="s">
        <v>187</v>
      </c>
      <c r="B131" s="3">
        <v>44994</v>
      </c>
      <c r="C131" t="s">
        <v>62</v>
      </c>
      <c r="D131" t="s">
        <v>87</v>
      </c>
      <c r="E131" t="s">
        <v>40</v>
      </c>
      <c r="F131" t="s">
        <v>41</v>
      </c>
      <c r="G131">
        <v>3</v>
      </c>
      <c r="H131" t="str">
        <f t="shared" si="8"/>
        <v>Normal</v>
      </c>
      <c r="I131">
        <v>389.92</v>
      </c>
      <c r="J131">
        <v>274.70999999999998</v>
      </c>
      <c r="K131">
        <v>0</v>
      </c>
      <c r="L131">
        <v>94</v>
      </c>
      <c r="M131" t="s">
        <v>36</v>
      </c>
      <c r="N131">
        <v>1169.76</v>
      </c>
      <c r="O131">
        <v>824.12999999999988</v>
      </c>
      <c r="P131">
        <v>345.63000000000011</v>
      </c>
      <c r="Q131">
        <v>4</v>
      </c>
      <c r="R131" s="7" t="str">
        <f t="shared" si="9"/>
        <v>⭐⭐⭐⭐ (4/5)</v>
      </c>
      <c r="S131" t="str">
        <f t="shared" ref="S131:S194" si="10">D131 &amp; " is a item to cetegry " &amp; C131 &amp; " price of " &amp; I131</f>
        <v>Tomato is a item to cetegry Fruits &amp; Vegetables price of 389.92</v>
      </c>
    </row>
    <row r="132" spans="1:19" x14ac:dyDescent="0.3">
      <c r="A132" t="s">
        <v>188</v>
      </c>
      <c r="B132" s="3">
        <v>45196</v>
      </c>
      <c r="C132" t="s">
        <v>62</v>
      </c>
      <c r="D132" t="s">
        <v>87</v>
      </c>
      <c r="E132" t="s">
        <v>34</v>
      </c>
      <c r="F132" t="s">
        <v>35</v>
      </c>
      <c r="G132">
        <v>10</v>
      </c>
      <c r="H132" t="str">
        <f t="shared" si="8"/>
        <v>Normal</v>
      </c>
      <c r="I132">
        <v>197.27</v>
      </c>
      <c r="J132">
        <v>168.65</v>
      </c>
      <c r="K132">
        <v>0</v>
      </c>
      <c r="L132">
        <v>26</v>
      </c>
      <c r="M132" t="s">
        <v>17</v>
      </c>
      <c r="N132">
        <v>1972.7</v>
      </c>
      <c r="O132">
        <v>1686.5</v>
      </c>
      <c r="P132">
        <v>286.20000000000005</v>
      </c>
      <c r="Q132">
        <v>2</v>
      </c>
      <c r="R132" s="7" t="str">
        <f t="shared" si="9"/>
        <v>⭐⭐ (2/5)</v>
      </c>
      <c r="S132" t="str">
        <f t="shared" si="10"/>
        <v>Tomato is a item to cetegry Fruits &amp; Vegetables price of 197.27</v>
      </c>
    </row>
    <row r="133" spans="1:19" x14ac:dyDescent="0.3">
      <c r="A133" t="s">
        <v>189</v>
      </c>
      <c r="B133" s="3">
        <v>45040</v>
      </c>
      <c r="C133" t="s">
        <v>62</v>
      </c>
      <c r="D133" t="s">
        <v>105</v>
      </c>
      <c r="E133" t="s">
        <v>57</v>
      </c>
      <c r="F133" t="s">
        <v>58</v>
      </c>
      <c r="G133">
        <v>8</v>
      </c>
      <c r="H133" t="str">
        <f t="shared" si="8"/>
        <v>Normal</v>
      </c>
      <c r="I133">
        <v>510.67</v>
      </c>
      <c r="J133">
        <v>391.23</v>
      </c>
      <c r="K133">
        <v>0</v>
      </c>
      <c r="L133">
        <v>67</v>
      </c>
      <c r="M133" t="s">
        <v>4</v>
      </c>
      <c r="N133">
        <v>4085.36</v>
      </c>
      <c r="O133">
        <v>3129.84</v>
      </c>
      <c r="P133">
        <v>955.52</v>
      </c>
      <c r="Q133">
        <v>5</v>
      </c>
      <c r="R133" s="7" t="str">
        <f t="shared" si="9"/>
        <v>⭐⭐⭐⭐⭐ (5/5)</v>
      </c>
      <c r="S133" t="str">
        <f t="shared" si="10"/>
        <v>Apple is a item to cetegry Fruits &amp; Vegetables price of 510.67</v>
      </c>
    </row>
    <row r="134" spans="1:19" x14ac:dyDescent="0.3">
      <c r="A134" t="s">
        <v>190</v>
      </c>
      <c r="B134" s="3">
        <v>45145</v>
      </c>
      <c r="C134" t="s">
        <v>5</v>
      </c>
      <c r="D134" t="s">
        <v>54</v>
      </c>
      <c r="E134" t="s">
        <v>15</v>
      </c>
      <c r="F134" t="s">
        <v>16</v>
      </c>
      <c r="G134">
        <v>8</v>
      </c>
      <c r="H134" t="str">
        <f t="shared" si="8"/>
        <v>Normal</v>
      </c>
      <c r="I134">
        <v>361.82</v>
      </c>
      <c r="J134">
        <v>325.24</v>
      </c>
      <c r="K134">
        <v>15</v>
      </c>
      <c r="L134">
        <v>118</v>
      </c>
      <c r="M134" t="s">
        <v>17</v>
      </c>
      <c r="N134">
        <v>2894.56</v>
      </c>
      <c r="O134">
        <v>2601.92</v>
      </c>
      <c r="P134">
        <v>292.63999999999987</v>
      </c>
      <c r="Q134">
        <v>3</v>
      </c>
      <c r="R134" s="7" t="str">
        <f t="shared" si="9"/>
        <v>⭐⭐⭐ (3/5)</v>
      </c>
      <c r="S134" t="str">
        <f t="shared" si="10"/>
        <v>Bread is a item to cetegry Bakery price of 361.82</v>
      </c>
    </row>
    <row r="135" spans="1:19" x14ac:dyDescent="0.3">
      <c r="A135" t="s">
        <v>191</v>
      </c>
      <c r="B135" s="3">
        <v>44991</v>
      </c>
      <c r="C135" t="s">
        <v>1</v>
      </c>
      <c r="D135" t="s">
        <v>2</v>
      </c>
      <c r="E135" t="s">
        <v>57</v>
      </c>
      <c r="F135" t="s">
        <v>58</v>
      </c>
      <c r="G135">
        <v>8</v>
      </c>
      <c r="H135" t="str">
        <f t="shared" si="8"/>
        <v>Normal</v>
      </c>
      <c r="I135">
        <v>52.1</v>
      </c>
      <c r="J135">
        <v>46.01</v>
      </c>
      <c r="K135">
        <v>20</v>
      </c>
      <c r="L135">
        <v>28</v>
      </c>
      <c r="M135" t="s">
        <v>36</v>
      </c>
      <c r="N135">
        <v>416.8</v>
      </c>
      <c r="O135">
        <v>368.08</v>
      </c>
      <c r="P135">
        <v>48.720000000000027</v>
      </c>
      <c r="Q135">
        <v>4</v>
      </c>
      <c r="R135" s="7" t="str">
        <f t="shared" si="9"/>
        <v>⭐⭐⭐⭐ (4/5)</v>
      </c>
      <c r="S135" t="str">
        <f t="shared" si="10"/>
        <v>Shampoo is a item to cetegry Personal Care price of 52.1</v>
      </c>
    </row>
    <row r="136" spans="1:19" x14ac:dyDescent="0.3">
      <c r="A136" t="s">
        <v>192</v>
      </c>
      <c r="B136" s="3">
        <v>45147</v>
      </c>
      <c r="C136" t="s">
        <v>18</v>
      </c>
      <c r="D136" t="s">
        <v>33</v>
      </c>
      <c r="E136" t="s">
        <v>23</v>
      </c>
      <c r="F136" t="s">
        <v>24</v>
      </c>
      <c r="G136">
        <v>7</v>
      </c>
      <c r="H136" t="str">
        <f t="shared" si="8"/>
        <v>Normal</v>
      </c>
      <c r="I136">
        <v>652.66</v>
      </c>
      <c r="J136">
        <v>497.37</v>
      </c>
      <c r="K136">
        <v>15</v>
      </c>
      <c r="L136">
        <v>74</v>
      </c>
      <c r="M136" t="s">
        <v>4</v>
      </c>
      <c r="N136">
        <v>4568.62</v>
      </c>
      <c r="O136">
        <v>3481.59</v>
      </c>
      <c r="P136">
        <v>1087.0299999999997</v>
      </c>
      <c r="Q136">
        <v>1</v>
      </c>
      <c r="R136" s="7" t="str">
        <f t="shared" si="9"/>
        <v>⭐ (1/5)</v>
      </c>
      <c r="S136" t="str">
        <f t="shared" si="10"/>
        <v>Chocolate is a item to cetegry Snacks price of 652.66</v>
      </c>
    </row>
    <row r="137" spans="1:19" x14ac:dyDescent="0.3">
      <c r="A137" t="s">
        <v>193</v>
      </c>
      <c r="B137" s="3">
        <v>45131</v>
      </c>
      <c r="C137" t="s">
        <v>62</v>
      </c>
      <c r="D137" t="s">
        <v>105</v>
      </c>
      <c r="E137" t="s">
        <v>34</v>
      </c>
      <c r="F137" t="s">
        <v>35</v>
      </c>
      <c r="G137">
        <v>7</v>
      </c>
      <c r="H137" t="str">
        <f t="shared" si="8"/>
        <v>Normal</v>
      </c>
      <c r="I137">
        <v>275.52</v>
      </c>
      <c r="J137">
        <v>231.26</v>
      </c>
      <c r="K137">
        <v>10</v>
      </c>
      <c r="L137">
        <v>115</v>
      </c>
      <c r="M137" t="s">
        <v>17</v>
      </c>
      <c r="N137">
        <v>1928.6399999999999</v>
      </c>
      <c r="O137">
        <v>1618.82</v>
      </c>
      <c r="P137">
        <v>309.81999999999994</v>
      </c>
      <c r="Q137">
        <v>2</v>
      </c>
      <c r="R137" s="7" t="str">
        <f t="shared" si="9"/>
        <v>⭐⭐ (2/5)</v>
      </c>
      <c r="S137" t="str">
        <f t="shared" si="10"/>
        <v>Apple is a item to cetegry Fruits &amp; Vegetables price of 275.52</v>
      </c>
    </row>
    <row r="138" spans="1:19" x14ac:dyDescent="0.3">
      <c r="A138" t="s">
        <v>194</v>
      </c>
      <c r="B138" s="3">
        <v>44961</v>
      </c>
      <c r="C138" t="s">
        <v>13</v>
      </c>
      <c r="D138" t="s">
        <v>52</v>
      </c>
      <c r="E138" t="s">
        <v>23</v>
      </c>
      <c r="F138" t="s">
        <v>24</v>
      </c>
      <c r="G138">
        <v>7</v>
      </c>
      <c r="H138" t="str">
        <f t="shared" si="8"/>
        <v>Normal</v>
      </c>
      <c r="I138">
        <v>196.09</v>
      </c>
      <c r="J138">
        <v>163.13999999999999</v>
      </c>
      <c r="K138">
        <v>5</v>
      </c>
      <c r="L138">
        <v>97</v>
      </c>
      <c r="M138" t="s">
        <v>17</v>
      </c>
      <c r="N138">
        <v>1372.63</v>
      </c>
      <c r="O138">
        <v>1141.98</v>
      </c>
      <c r="P138">
        <v>230.65000000000009</v>
      </c>
      <c r="Q138">
        <v>5</v>
      </c>
      <c r="R138" s="7" t="str">
        <f t="shared" si="9"/>
        <v>⭐⭐⭐⭐⭐ (5/5)</v>
      </c>
      <c r="S138" t="str">
        <f t="shared" si="10"/>
        <v>Tea is a item to cetegry Beverages price of 196.09</v>
      </c>
    </row>
    <row r="139" spans="1:19" x14ac:dyDescent="0.3">
      <c r="A139" t="s">
        <v>195</v>
      </c>
      <c r="B139" s="3">
        <v>45227</v>
      </c>
      <c r="C139" t="s">
        <v>62</v>
      </c>
      <c r="D139" t="s">
        <v>105</v>
      </c>
      <c r="E139" t="s">
        <v>28</v>
      </c>
      <c r="F139" t="s">
        <v>10</v>
      </c>
      <c r="G139">
        <v>7</v>
      </c>
      <c r="H139" t="str">
        <f t="shared" si="8"/>
        <v>Normal</v>
      </c>
      <c r="I139">
        <v>79.989999999999995</v>
      </c>
      <c r="J139">
        <v>57.32</v>
      </c>
      <c r="K139">
        <v>5</v>
      </c>
      <c r="L139">
        <v>81</v>
      </c>
      <c r="M139" t="s">
        <v>36</v>
      </c>
      <c r="N139">
        <v>559.92999999999995</v>
      </c>
      <c r="O139">
        <v>401.24</v>
      </c>
      <c r="P139">
        <v>158.68999999999994</v>
      </c>
      <c r="Q139">
        <v>3</v>
      </c>
      <c r="R139" s="7" t="str">
        <f t="shared" si="9"/>
        <v>⭐⭐⭐ (3/5)</v>
      </c>
      <c r="S139" t="str">
        <f t="shared" si="10"/>
        <v>Apple is a item to cetegry Fruits &amp; Vegetables price of 79.99</v>
      </c>
    </row>
    <row r="140" spans="1:19" x14ac:dyDescent="0.3">
      <c r="A140" t="s">
        <v>196</v>
      </c>
      <c r="B140" s="3">
        <v>45074</v>
      </c>
      <c r="C140" t="s">
        <v>5</v>
      </c>
      <c r="D140" t="s">
        <v>50</v>
      </c>
      <c r="E140" t="s">
        <v>23</v>
      </c>
      <c r="F140" t="s">
        <v>24</v>
      </c>
      <c r="G140">
        <v>2</v>
      </c>
      <c r="H140" t="str">
        <f t="shared" si="8"/>
        <v>Normal</v>
      </c>
      <c r="I140">
        <v>306.27</v>
      </c>
      <c r="J140">
        <v>211.3</v>
      </c>
      <c r="K140">
        <v>15</v>
      </c>
      <c r="L140">
        <v>102</v>
      </c>
      <c r="M140" t="s">
        <v>36</v>
      </c>
      <c r="N140">
        <v>612.54</v>
      </c>
      <c r="O140">
        <v>422.6</v>
      </c>
      <c r="P140">
        <v>189.93999999999994</v>
      </c>
      <c r="Q140">
        <v>4</v>
      </c>
      <c r="R140" s="7" t="str">
        <f t="shared" si="9"/>
        <v>⭐⭐⭐⭐ (4/5)</v>
      </c>
      <c r="S140" t="str">
        <f t="shared" si="10"/>
        <v>Muffin is a item to cetegry Bakery price of 306.27</v>
      </c>
    </row>
    <row r="141" spans="1:19" x14ac:dyDescent="0.3">
      <c r="A141" t="s">
        <v>197</v>
      </c>
      <c r="B141" s="3">
        <v>45106</v>
      </c>
      <c r="C141" t="s">
        <v>5</v>
      </c>
      <c r="D141" t="s">
        <v>198</v>
      </c>
      <c r="E141" t="s">
        <v>23</v>
      </c>
      <c r="F141" t="s">
        <v>24</v>
      </c>
      <c r="G141">
        <v>2</v>
      </c>
      <c r="H141" t="str">
        <f t="shared" si="8"/>
        <v>Normal</v>
      </c>
      <c r="I141">
        <v>347.45</v>
      </c>
      <c r="J141">
        <v>293.18</v>
      </c>
      <c r="K141">
        <v>15</v>
      </c>
      <c r="L141">
        <v>38</v>
      </c>
      <c r="M141" t="s">
        <v>36</v>
      </c>
      <c r="N141">
        <v>694.9</v>
      </c>
      <c r="O141">
        <v>586.36</v>
      </c>
      <c r="P141">
        <v>108.53999999999996</v>
      </c>
      <c r="Q141">
        <v>1</v>
      </c>
      <c r="R141" s="7" t="str">
        <f t="shared" si="9"/>
        <v>⭐ (1/5)</v>
      </c>
      <c r="S141" t="str">
        <f t="shared" si="10"/>
        <v>Croissant is a item to cetegry Bakery price of 347.45</v>
      </c>
    </row>
    <row r="142" spans="1:19" x14ac:dyDescent="0.3">
      <c r="A142" t="s">
        <v>199</v>
      </c>
      <c r="B142" s="3">
        <v>45245</v>
      </c>
      <c r="C142" t="s">
        <v>21</v>
      </c>
      <c r="D142" t="s">
        <v>22</v>
      </c>
      <c r="E142" t="s">
        <v>23</v>
      </c>
      <c r="F142" t="s">
        <v>24</v>
      </c>
      <c r="G142">
        <v>2</v>
      </c>
      <c r="H142" t="str">
        <f t="shared" si="8"/>
        <v>Normal</v>
      </c>
      <c r="I142">
        <v>510.16</v>
      </c>
      <c r="J142">
        <v>383.68</v>
      </c>
      <c r="K142">
        <v>15</v>
      </c>
      <c r="L142">
        <v>118</v>
      </c>
      <c r="M142" t="s">
        <v>4</v>
      </c>
      <c r="N142">
        <v>1020.32</v>
      </c>
      <c r="O142">
        <v>767.36</v>
      </c>
      <c r="P142">
        <v>252.96000000000004</v>
      </c>
      <c r="Q142">
        <v>2</v>
      </c>
      <c r="R142" s="7" t="str">
        <f t="shared" si="9"/>
        <v>⭐⭐ (2/5)</v>
      </c>
      <c r="S142" t="str">
        <f t="shared" si="10"/>
        <v>Mop is a item to cetegry Household price of 510.16</v>
      </c>
    </row>
    <row r="143" spans="1:19" x14ac:dyDescent="0.3">
      <c r="A143" t="s">
        <v>200</v>
      </c>
      <c r="B143" s="3">
        <v>45066</v>
      </c>
      <c r="C143" t="s">
        <v>5</v>
      </c>
      <c r="D143" t="s">
        <v>50</v>
      </c>
      <c r="E143" t="s">
        <v>3</v>
      </c>
      <c r="F143" t="s">
        <v>3</v>
      </c>
      <c r="G143">
        <v>10</v>
      </c>
      <c r="H143" t="str">
        <f t="shared" si="8"/>
        <v>Normal</v>
      </c>
      <c r="I143">
        <v>666.14</v>
      </c>
      <c r="J143">
        <v>465.25</v>
      </c>
      <c r="K143">
        <v>10</v>
      </c>
      <c r="L143">
        <v>13</v>
      </c>
      <c r="M143" t="s">
        <v>11</v>
      </c>
      <c r="N143">
        <v>6661.4</v>
      </c>
      <c r="O143">
        <v>4652.5</v>
      </c>
      <c r="P143">
        <v>2008.8999999999996</v>
      </c>
      <c r="Q143">
        <v>5</v>
      </c>
      <c r="R143" s="7" t="str">
        <f t="shared" si="9"/>
        <v>⭐⭐⭐⭐⭐ (5/5)</v>
      </c>
      <c r="S143" t="str">
        <f t="shared" si="10"/>
        <v>Muffin is a item to cetegry Bakery price of 666.14</v>
      </c>
    </row>
    <row r="144" spans="1:19" x14ac:dyDescent="0.3">
      <c r="A144" t="s">
        <v>201</v>
      </c>
      <c r="B144" s="3">
        <v>44962</v>
      </c>
      <c r="C144" t="s">
        <v>1</v>
      </c>
      <c r="D144" t="s">
        <v>73</v>
      </c>
      <c r="E144" t="s">
        <v>23</v>
      </c>
      <c r="F144" t="s">
        <v>24</v>
      </c>
      <c r="G144">
        <v>6</v>
      </c>
      <c r="H144" t="str">
        <f t="shared" si="8"/>
        <v>Normal</v>
      </c>
      <c r="I144">
        <v>18.809999999999999</v>
      </c>
      <c r="J144">
        <v>12.99</v>
      </c>
      <c r="K144">
        <v>20</v>
      </c>
      <c r="L144">
        <v>94</v>
      </c>
      <c r="M144" t="s">
        <v>17</v>
      </c>
      <c r="N144">
        <v>112.85999999999999</v>
      </c>
      <c r="O144">
        <v>77.94</v>
      </c>
      <c r="P144">
        <v>34.919999999999987</v>
      </c>
      <c r="Q144">
        <v>3</v>
      </c>
      <c r="R144" s="7" t="str">
        <f t="shared" si="9"/>
        <v>⭐⭐⭐ (3/5)</v>
      </c>
      <c r="S144" t="str">
        <f t="shared" si="10"/>
        <v>Toothpaste is a item to cetegry Personal Care price of 18.81</v>
      </c>
    </row>
    <row r="145" spans="1:19" x14ac:dyDescent="0.3">
      <c r="A145" t="s">
        <v>202</v>
      </c>
      <c r="B145" s="3">
        <v>45086</v>
      </c>
      <c r="C145" t="s">
        <v>30</v>
      </c>
      <c r="D145" t="s">
        <v>89</v>
      </c>
      <c r="E145" t="s">
        <v>28</v>
      </c>
      <c r="F145" t="s">
        <v>10</v>
      </c>
      <c r="G145">
        <v>9</v>
      </c>
      <c r="H145" t="str">
        <f t="shared" si="8"/>
        <v>Normal</v>
      </c>
      <c r="I145">
        <v>146.34</v>
      </c>
      <c r="J145">
        <v>115.42</v>
      </c>
      <c r="K145">
        <v>10</v>
      </c>
      <c r="L145">
        <v>30</v>
      </c>
      <c r="M145" t="s">
        <v>25</v>
      </c>
      <c r="N145">
        <v>1317.06</v>
      </c>
      <c r="O145">
        <v>1038.78</v>
      </c>
      <c r="P145">
        <v>278.27999999999997</v>
      </c>
      <c r="Q145">
        <v>1</v>
      </c>
      <c r="R145" s="7" t="str">
        <f t="shared" si="9"/>
        <v>⭐ (1/5)</v>
      </c>
      <c r="S145" t="str">
        <f t="shared" si="10"/>
        <v>Milk is a item to cetegry Dairy price of 146.34</v>
      </c>
    </row>
    <row r="146" spans="1:19" x14ac:dyDescent="0.3">
      <c r="A146" t="s">
        <v>203</v>
      </c>
      <c r="B146" s="3">
        <v>45066</v>
      </c>
      <c r="C146" t="s">
        <v>1</v>
      </c>
      <c r="D146" t="s">
        <v>73</v>
      </c>
      <c r="E146" t="s">
        <v>28</v>
      </c>
      <c r="F146" t="s">
        <v>10</v>
      </c>
      <c r="G146">
        <v>1</v>
      </c>
      <c r="H146" t="str">
        <f t="shared" si="8"/>
        <v>Normal</v>
      </c>
      <c r="I146">
        <v>120.88</v>
      </c>
      <c r="J146">
        <v>86.23</v>
      </c>
      <c r="K146">
        <v>0</v>
      </c>
      <c r="L146">
        <v>96</v>
      </c>
      <c r="M146" t="s">
        <v>36</v>
      </c>
      <c r="N146">
        <v>120.88</v>
      </c>
      <c r="O146">
        <v>86.23</v>
      </c>
      <c r="P146">
        <v>34.649999999999991</v>
      </c>
      <c r="Q146">
        <v>4</v>
      </c>
      <c r="R146" s="7" t="str">
        <f t="shared" si="9"/>
        <v>⭐⭐⭐⭐ (4/5)</v>
      </c>
      <c r="S146" t="str">
        <f t="shared" si="10"/>
        <v>Toothpaste is a item to cetegry Personal Care price of 120.88</v>
      </c>
    </row>
    <row r="147" spans="1:19" x14ac:dyDescent="0.3">
      <c r="A147" t="s">
        <v>204</v>
      </c>
      <c r="B147" s="3">
        <v>45147</v>
      </c>
      <c r="C147" t="s">
        <v>13</v>
      </c>
      <c r="D147" t="s">
        <v>102</v>
      </c>
      <c r="E147" t="s">
        <v>57</v>
      </c>
      <c r="F147" t="s">
        <v>58</v>
      </c>
      <c r="G147">
        <v>10</v>
      </c>
      <c r="H147" t="str">
        <f t="shared" si="8"/>
        <v>Normal</v>
      </c>
      <c r="I147">
        <v>274.02</v>
      </c>
      <c r="J147">
        <v>226.6</v>
      </c>
      <c r="K147">
        <v>20</v>
      </c>
      <c r="L147">
        <v>24</v>
      </c>
      <c r="M147" t="s">
        <v>25</v>
      </c>
      <c r="N147">
        <v>2740.2</v>
      </c>
      <c r="O147">
        <v>2266</v>
      </c>
      <c r="P147">
        <v>474.19999999999982</v>
      </c>
      <c r="Q147">
        <v>2</v>
      </c>
      <c r="R147" s="7" t="str">
        <f t="shared" si="9"/>
        <v>⭐⭐ (2/5)</v>
      </c>
      <c r="S147" t="str">
        <f t="shared" si="10"/>
        <v>Soda is a item to cetegry Beverages price of 274.02</v>
      </c>
    </row>
    <row r="148" spans="1:19" x14ac:dyDescent="0.3">
      <c r="A148" t="s">
        <v>205</v>
      </c>
      <c r="B148" s="3">
        <v>44930</v>
      </c>
      <c r="C148" t="s">
        <v>62</v>
      </c>
      <c r="D148" t="s">
        <v>87</v>
      </c>
      <c r="E148" t="s">
        <v>57</v>
      </c>
      <c r="F148" t="s">
        <v>58</v>
      </c>
      <c r="G148">
        <v>9</v>
      </c>
      <c r="H148" t="str">
        <f t="shared" si="8"/>
        <v>Normal</v>
      </c>
      <c r="I148">
        <v>376.7</v>
      </c>
      <c r="J148">
        <v>336.89</v>
      </c>
      <c r="K148">
        <v>15</v>
      </c>
      <c r="L148">
        <v>86</v>
      </c>
      <c r="M148" t="s">
        <v>36</v>
      </c>
      <c r="N148">
        <v>3390.2999999999997</v>
      </c>
      <c r="O148">
        <v>3032.0099999999998</v>
      </c>
      <c r="P148">
        <v>358.28999999999996</v>
      </c>
      <c r="Q148">
        <v>5</v>
      </c>
      <c r="R148" s="7" t="str">
        <f t="shared" si="9"/>
        <v>⭐⭐⭐⭐⭐ (5/5)</v>
      </c>
      <c r="S148" t="str">
        <f t="shared" si="10"/>
        <v>Tomato is a item to cetegry Fruits &amp; Vegetables price of 376.7</v>
      </c>
    </row>
    <row r="149" spans="1:19" x14ac:dyDescent="0.3">
      <c r="A149" t="s">
        <v>206</v>
      </c>
      <c r="B149" s="3">
        <v>45147</v>
      </c>
      <c r="C149" t="s">
        <v>30</v>
      </c>
      <c r="D149" t="s">
        <v>31</v>
      </c>
      <c r="E149" t="s">
        <v>34</v>
      </c>
      <c r="F149" t="s">
        <v>35</v>
      </c>
      <c r="G149">
        <v>3</v>
      </c>
      <c r="H149" t="str">
        <f t="shared" si="8"/>
        <v>Normal</v>
      </c>
      <c r="I149">
        <v>467.39</v>
      </c>
      <c r="J149">
        <v>384.44</v>
      </c>
      <c r="K149">
        <v>0</v>
      </c>
      <c r="L149">
        <v>10</v>
      </c>
      <c r="M149" t="s">
        <v>17</v>
      </c>
      <c r="N149">
        <v>1402.17</v>
      </c>
      <c r="O149">
        <v>1153.32</v>
      </c>
      <c r="P149">
        <v>248.85000000000014</v>
      </c>
      <c r="Q149">
        <v>3</v>
      </c>
      <c r="R149" s="7" t="str">
        <f t="shared" si="9"/>
        <v>⭐⭐⭐ (3/5)</v>
      </c>
      <c r="S149" t="str">
        <f t="shared" si="10"/>
        <v>Butter is a item to cetegry Dairy price of 467.39</v>
      </c>
    </row>
    <row r="150" spans="1:19" x14ac:dyDescent="0.3">
      <c r="A150" t="s">
        <v>207</v>
      </c>
      <c r="B150" s="3">
        <v>44948</v>
      </c>
      <c r="C150" t="s">
        <v>30</v>
      </c>
      <c r="D150" t="s">
        <v>44</v>
      </c>
      <c r="E150" t="s">
        <v>9</v>
      </c>
      <c r="F150" t="s">
        <v>10</v>
      </c>
      <c r="G150">
        <v>9</v>
      </c>
      <c r="H150" t="str">
        <f t="shared" si="8"/>
        <v>Normal</v>
      </c>
      <c r="I150">
        <v>461.28</v>
      </c>
      <c r="J150">
        <v>354.8</v>
      </c>
      <c r="K150">
        <v>10</v>
      </c>
      <c r="L150">
        <v>19</v>
      </c>
      <c r="M150" t="s">
        <v>17</v>
      </c>
      <c r="N150">
        <v>4151.5199999999995</v>
      </c>
      <c r="O150">
        <v>3193.2000000000003</v>
      </c>
      <c r="P150">
        <v>958.31999999999925</v>
      </c>
      <c r="Q150">
        <v>4</v>
      </c>
      <c r="R150" s="7" t="str">
        <f t="shared" si="9"/>
        <v>⭐⭐⭐⭐ (4/5)</v>
      </c>
      <c r="S150" t="str">
        <f t="shared" si="10"/>
        <v>Cheese is a item to cetegry Dairy price of 461.28</v>
      </c>
    </row>
    <row r="151" spans="1:19" x14ac:dyDescent="0.3">
      <c r="A151" t="s">
        <v>208</v>
      </c>
      <c r="B151" s="3">
        <v>45075</v>
      </c>
      <c r="C151" t="s">
        <v>13</v>
      </c>
      <c r="D151" t="s">
        <v>52</v>
      </c>
      <c r="E151" t="s">
        <v>57</v>
      </c>
      <c r="F151" t="s">
        <v>58</v>
      </c>
      <c r="G151">
        <v>2</v>
      </c>
      <c r="H151" t="str">
        <f t="shared" si="8"/>
        <v>Normal</v>
      </c>
      <c r="I151">
        <v>575.26</v>
      </c>
      <c r="J151">
        <v>432.43</v>
      </c>
      <c r="K151">
        <v>20</v>
      </c>
      <c r="L151">
        <v>61</v>
      </c>
      <c r="M151" t="s">
        <v>17</v>
      </c>
      <c r="N151">
        <v>1150.52</v>
      </c>
      <c r="O151">
        <v>864.86</v>
      </c>
      <c r="P151">
        <v>285.65999999999997</v>
      </c>
      <c r="Q151">
        <v>1</v>
      </c>
      <c r="R151" s="7" t="str">
        <f t="shared" si="9"/>
        <v>⭐ (1/5)</v>
      </c>
      <c r="S151" t="str">
        <f t="shared" si="10"/>
        <v>Tea is a item to cetegry Beverages price of 575.26</v>
      </c>
    </row>
    <row r="152" spans="1:19" x14ac:dyDescent="0.3">
      <c r="A152" t="s">
        <v>209</v>
      </c>
      <c r="B152" s="3">
        <v>44972</v>
      </c>
      <c r="C152" t="s">
        <v>62</v>
      </c>
      <c r="D152" t="s">
        <v>79</v>
      </c>
      <c r="E152" t="s">
        <v>3</v>
      </c>
      <c r="F152" t="s">
        <v>3</v>
      </c>
      <c r="G152">
        <v>6</v>
      </c>
      <c r="H152" t="str">
        <f t="shared" si="8"/>
        <v>Normal</v>
      </c>
      <c r="I152">
        <v>139.36000000000001</v>
      </c>
      <c r="J152">
        <v>94.22</v>
      </c>
      <c r="K152">
        <v>15</v>
      </c>
      <c r="L152">
        <v>116</v>
      </c>
      <c r="M152" t="s">
        <v>25</v>
      </c>
      <c r="N152">
        <v>836.16000000000008</v>
      </c>
      <c r="O152">
        <v>565.31999999999994</v>
      </c>
      <c r="P152">
        <v>270.84000000000015</v>
      </c>
      <c r="Q152">
        <v>2</v>
      </c>
      <c r="R152" s="7" t="str">
        <f t="shared" si="9"/>
        <v>⭐⭐ (2/5)</v>
      </c>
      <c r="S152" t="str">
        <f t="shared" si="10"/>
        <v>Potato is a item to cetegry Fruits &amp; Vegetables price of 139.36</v>
      </c>
    </row>
    <row r="153" spans="1:19" x14ac:dyDescent="0.3">
      <c r="A153" t="s">
        <v>210</v>
      </c>
      <c r="B153" s="3">
        <v>45040</v>
      </c>
      <c r="C153" t="s">
        <v>13</v>
      </c>
      <c r="D153" t="s">
        <v>52</v>
      </c>
      <c r="E153" t="s">
        <v>34</v>
      </c>
      <c r="F153" t="s">
        <v>35</v>
      </c>
      <c r="G153">
        <v>7</v>
      </c>
      <c r="H153" t="str">
        <f t="shared" si="8"/>
        <v>Normal</v>
      </c>
      <c r="I153">
        <v>390.98</v>
      </c>
      <c r="J153">
        <v>298.55</v>
      </c>
      <c r="K153">
        <v>15</v>
      </c>
      <c r="L153">
        <v>49</v>
      </c>
      <c r="M153" t="s">
        <v>25</v>
      </c>
      <c r="N153">
        <v>2736.86</v>
      </c>
      <c r="O153">
        <v>2089.85</v>
      </c>
      <c r="P153">
        <v>647.01000000000022</v>
      </c>
      <c r="Q153">
        <v>5</v>
      </c>
      <c r="R153" s="7" t="str">
        <f t="shared" si="9"/>
        <v>⭐⭐⭐⭐⭐ (5/5)</v>
      </c>
      <c r="S153" t="str">
        <f t="shared" si="10"/>
        <v>Tea is a item to cetegry Beverages price of 390.98</v>
      </c>
    </row>
    <row r="154" spans="1:19" x14ac:dyDescent="0.3">
      <c r="A154" t="s">
        <v>211</v>
      </c>
      <c r="B154" s="3">
        <v>45106</v>
      </c>
      <c r="C154" t="s">
        <v>18</v>
      </c>
      <c r="D154" t="s">
        <v>85</v>
      </c>
      <c r="E154" t="s">
        <v>28</v>
      </c>
      <c r="F154" t="s">
        <v>10</v>
      </c>
      <c r="G154">
        <v>9</v>
      </c>
      <c r="H154" t="str">
        <f t="shared" si="8"/>
        <v>Normal</v>
      </c>
      <c r="I154">
        <v>420.28</v>
      </c>
      <c r="J154">
        <v>320.27999999999997</v>
      </c>
      <c r="K154">
        <v>5</v>
      </c>
      <c r="L154">
        <v>109</v>
      </c>
      <c r="M154" t="s">
        <v>25</v>
      </c>
      <c r="N154">
        <v>3782.5199999999995</v>
      </c>
      <c r="O154">
        <v>2882.5199999999995</v>
      </c>
      <c r="P154">
        <v>900</v>
      </c>
      <c r="Q154">
        <v>3</v>
      </c>
      <c r="R154" s="7" t="str">
        <f t="shared" si="9"/>
        <v>⭐⭐⭐ (3/5)</v>
      </c>
      <c r="S154" t="str">
        <f t="shared" si="10"/>
        <v>Biscuits is a item to cetegry Snacks price of 420.28</v>
      </c>
    </row>
    <row r="155" spans="1:19" x14ac:dyDescent="0.3">
      <c r="A155" t="s">
        <v>212</v>
      </c>
      <c r="B155" s="3">
        <v>45017</v>
      </c>
      <c r="C155" t="s">
        <v>1</v>
      </c>
      <c r="D155" t="s">
        <v>97</v>
      </c>
      <c r="E155" t="s">
        <v>34</v>
      </c>
      <c r="F155" t="s">
        <v>35</v>
      </c>
      <c r="G155">
        <v>2</v>
      </c>
      <c r="H155" t="str">
        <f t="shared" si="8"/>
        <v>Normal</v>
      </c>
      <c r="I155">
        <v>96.39</v>
      </c>
      <c r="J155">
        <v>81.760000000000005</v>
      </c>
      <c r="K155">
        <v>20</v>
      </c>
      <c r="L155">
        <v>29</v>
      </c>
      <c r="M155" t="s">
        <v>36</v>
      </c>
      <c r="N155">
        <v>192.78</v>
      </c>
      <c r="O155">
        <v>163.52000000000001</v>
      </c>
      <c r="P155">
        <v>29.259999999999991</v>
      </c>
      <c r="Q155">
        <v>4</v>
      </c>
      <c r="R155" s="7" t="str">
        <f t="shared" si="9"/>
        <v>⭐⭐⭐⭐ (4/5)</v>
      </c>
      <c r="S155" t="str">
        <f t="shared" si="10"/>
        <v>Soap is a item to cetegry Personal Care price of 96.39</v>
      </c>
    </row>
    <row r="156" spans="1:19" x14ac:dyDescent="0.3">
      <c r="A156" t="s">
        <v>213</v>
      </c>
      <c r="B156" s="3">
        <v>45092</v>
      </c>
      <c r="C156" t="s">
        <v>21</v>
      </c>
      <c r="D156" t="s">
        <v>139</v>
      </c>
      <c r="E156" t="s">
        <v>57</v>
      </c>
      <c r="F156" t="s">
        <v>58</v>
      </c>
      <c r="G156">
        <v>10</v>
      </c>
      <c r="H156" t="str">
        <f t="shared" si="8"/>
        <v>Normal</v>
      </c>
      <c r="I156">
        <v>489.23</v>
      </c>
      <c r="J156">
        <v>382.34</v>
      </c>
      <c r="K156">
        <v>20</v>
      </c>
      <c r="L156">
        <v>92</v>
      </c>
      <c r="M156" t="s">
        <v>4</v>
      </c>
      <c r="N156">
        <v>4892.3</v>
      </c>
      <c r="O156">
        <v>3823.3999999999996</v>
      </c>
      <c r="P156">
        <v>1068.9000000000005</v>
      </c>
      <c r="Q156">
        <v>1</v>
      </c>
      <c r="R156" s="7" t="str">
        <f t="shared" si="9"/>
        <v>⭐ (1/5)</v>
      </c>
      <c r="S156" t="str">
        <f t="shared" si="10"/>
        <v>Dish Soap is a item to cetegry Household price of 489.23</v>
      </c>
    </row>
    <row r="157" spans="1:19" x14ac:dyDescent="0.3">
      <c r="A157" t="s">
        <v>214</v>
      </c>
      <c r="B157" s="3">
        <v>45229</v>
      </c>
      <c r="C157" t="s">
        <v>21</v>
      </c>
      <c r="D157" t="s">
        <v>148</v>
      </c>
      <c r="E157" t="s">
        <v>40</v>
      </c>
      <c r="F157" t="s">
        <v>41</v>
      </c>
      <c r="G157">
        <v>8</v>
      </c>
      <c r="H157" t="str">
        <f t="shared" si="8"/>
        <v>Normal</v>
      </c>
      <c r="I157">
        <v>55.49</v>
      </c>
      <c r="J157">
        <v>43.46</v>
      </c>
      <c r="K157">
        <v>10</v>
      </c>
      <c r="L157">
        <v>111</v>
      </c>
      <c r="M157" t="s">
        <v>25</v>
      </c>
      <c r="N157">
        <v>443.92</v>
      </c>
      <c r="O157">
        <v>347.68</v>
      </c>
      <c r="P157">
        <v>96.240000000000009</v>
      </c>
      <c r="Q157">
        <v>2</v>
      </c>
      <c r="R157" s="7" t="str">
        <f t="shared" si="9"/>
        <v>⭐⭐ (2/5)</v>
      </c>
      <c r="S157" t="str">
        <f t="shared" si="10"/>
        <v>Tissue is a item to cetegry Household price of 55.49</v>
      </c>
    </row>
    <row r="158" spans="1:19" x14ac:dyDescent="0.3">
      <c r="A158" t="s">
        <v>215</v>
      </c>
      <c r="B158" s="3">
        <v>44966</v>
      </c>
      <c r="C158" t="s">
        <v>62</v>
      </c>
      <c r="D158" t="s">
        <v>87</v>
      </c>
      <c r="E158" t="s">
        <v>28</v>
      </c>
      <c r="F158" t="s">
        <v>10</v>
      </c>
      <c r="G158">
        <v>5</v>
      </c>
      <c r="H158" t="str">
        <f t="shared" si="8"/>
        <v>Normal</v>
      </c>
      <c r="I158">
        <v>263.43</v>
      </c>
      <c r="J158">
        <v>236.25</v>
      </c>
      <c r="K158">
        <v>10</v>
      </c>
      <c r="L158">
        <v>116</v>
      </c>
      <c r="M158" t="s">
        <v>25</v>
      </c>
      <c r="N158">
        <v>1317.15</v>
      </c>
      <c r="O158">
        <v>1181.25</v>
      </c>
      <c r="P158">
        <v>135.90000000000009</v>
      </c>
      <c r="Q158">
        <v>5</v>
      </c>
      <c r="R158" s="7" t="str">
        <f t="shared" si="9"/>
        <v>⭐⭐⭐⭐⭐ (5/5)</v>
      </c>
      <c r="S158" t="str">
        <f t="shared" si="10"/>
        <v>Tomato is a item to cetegry Fruits &amp; Vegetables price of 263.43</v>
      </c>
    </row>
    <row r="159" spans="1:19" x14ac:dyDescent="0.3">
      <c r="A159" t="s">
        <v>216</v>
      </c>
      <c r="B159" s="3">
        <v>45260</v>
      </c>
      <c r="C159" t="s">
        <v>1</v>
      </c>
      <c r="D159" t="s">
        <v>2</v>
      </c>
      <c r="E159" t="s">
        <v>9</v>
      </c>
      <c r="F159" t="s">
        <v>10</v>
      </c>
      <c r="G159">
        <v>8</v>
      </c>
      <c r="H159" t="str">
        <f t="shared" si="8"/>
        <v>Normal</v>
      </c>
      <c r="I159">
        <v>436.15</v>
      </c>
      <c r="J159">
        <v>294.36</v>
      </c>
      <c r="K159">
        <v>0</v>
      </c>
      <c r="L159">
        <v>67</v>
      </c>
      <c r="M159" t="s">
        <v>4</v>
      </c>
      <c r="N159">
        <v>3489.2</v>
      </c>
      <c r="O159">
        <v>2354.88</v>
      </c>
      <c r="P159">
        <v>1134.3199999999997</v>
      </c>
      <c r="Q159">
        <v>3</v>
      </c>
      <c r="R159" s="7" t="str">
        <f t="shared" si="9"/>
        <v>⭐⭐⭐ (3/5)</v>
      </c>
      <c r="S159" t="str">
        <f t="shared" si="10"/>
        <v>Shampoo is a item to cetegry Personal Care price of 436.15</v>
      </c>
    </row>
    <row r="160" spans="1:19" x14ac:dyDescent="0.3">
      <c r="A160" t="s">
        <v>217</v>
      </c>
      <c r="B160" s="3">
        <v>44970</v>
      </c>
      <c r="C160" t="s">
        <v>30</v>
      </c>
      <c r="D160" t="s">
        <v>31</v>
      </c>
      <c r="E160" t="s">
        <v>57</v>
      </c>
      <c r="F160" t="s">
        <v>58</v>
      </c>
      <c r="G160">
        <v>9</v>
      </c>
      <c r="H160" t="str">
        <f t="shared" si="8"/>
        <v>Normal</v>
      </c>
      <c r="I160">
        <v>94.39</v>
      </c>
      <c r="J160">
        <v>83.92</v>
      </c>
      <c r="K160">
        <v>0</v>
      </c>
      <c r="L160">
        <v>113</v>
      </c>
      <c r="M160" t="s">
        <v>25</v>
      </c>
      <c r="N160">
        <v>849.51</v>
      </c>
      <c r="O160">
        <v>755.28</v>
      </c>
      <c r="P160">
        <v>94.230000000000018</v>
      </c>
      <c r="Q160">
        <v>1</v>
      </c>
      <c r="R160" s="7" t="str">
        <f t="shared" si="9"/>
        <v>⭐ (1/5)</v>
      </c>
      <c r="S160" t="str">
        <f t="shared" si="10"/>
        <v>Butter is a item to cetegry Dairy price of 94.39</v>
      </c>
    </row>
    <row r="161" spans="1:19" x14ac:dyDescent="0.3">
      <c r="A161" t="s">
        <v>218</v>
      </c>
      <c r="B161" s="3">
        <v>45008</v>
      </c>
      <c r="C161" t="s">
        <v>5</v>
      </c>
      <c r="D161" t="s">
        <v>60</v>
      </c>
      <c r="E161" t="s">
        <v>3</v>
      </c>
      <c r="F161" t="s">
        <v>3</v>
      </c>
      <c r="G161">
        <v>4</v>
      </c>
      <c r="H161" t="str">
        <f t="shared" si="8"/>
        <v>Normal</v>
      </c>
      <c r="I161">
        <v>533.80999999999995</v>
      </c>
      <c r="J161">
        <v>356.73</v>
      </c>
      <c r="K161">
        <v>20</v>
      </c>
      <c r="L161">
        <v>76</v>
      </c>
      <c r="M161" t="s">
        <v>4</v>
      </c>
      <c r="N161">
        <v>2135.2399999999998</v>
      </c>
      <c r="O161">
        <v>1426.92</v>
      </c>
      <c r="P161">
        <v>708.31999999999971</v>
      </c>
      <c r="Q161">
        <v>4</v>
      </c>
      <c r="R161" s="7" t="str">
        <f t="shared" si="9"/>
        <v>⭐⭐⭐⭐ (4/5)</v>
      </c>
      <c r="S161" t="str">
        <f t="shared" si="10"/>
        <v>Cake is a item to cetegry Bakery price of 533.81</v>
      </c>
    </row>
    <row r="162" spans="1:19" x14ac:dyDescent="0.3">
      <c r="A162" t="s">
        <v>219</v>
      </c>
      <c r="B162" s="3">
        <v>44960</v>
      </c>
      <c r="C162" t="s">
        <v>18</v>
      </c>
      <c r="D162" t="s">
        <v>19</v>
      </c>
      <c r="E162" t="s">
        <v>15</v>
      </c>
      <c r="F162" t="s">
        <v>16</v>
      </c>
      <c r="G162">
        <v>7</v>
      </c>
      <c r="H162" t="str">
        <f t="shared" ref="H162:H193" si="11">IF(G162&lt;0,"Return","Normal")</f>
        <v>Normal</v>
      </c>
      <c r="I162">
        <v>259.79000000000002</v>
      </c>
      <c r="J162">
        <v>210.3</v>
      </c>
      <c r="K162">
        <v>20</v>
      </c>
      <c r="L162">
        <v>16</v>
      </c>
      <c r="M162" t="s">
        <v>25</v>
      </c>
      <c r="N162">
        <v>1818.5300000000002</v>
      </c>
      <c r="O162">
        <v>1472.1000000000001</v>
      </c>
      <c r="P162">
        <v>346.43000000000006</v>
      </c>
      <c r="Q162">
        <v>2</v>
      </c>
      <c r="R162" s="7" t="str">
        <f t="shared" si="9"/>
        <v>⭐⭐ (2/5)</v>
      </c>
      <c r="S162" t="str">
        <f t="shared" si="10"/>
        <v>Noodles is a item to cetegry Snacks price of 259.79</v>
      </c>
    </row>
    <row r="163" spans="1:19" x14ac:dyDescent="0.3">
      <c r="A163" t="s">
        <v>220</v>
      </c>
      <c r="B163" s="3">
        <v>44968</v>
      </c>
      <c r="C163" t="s">
        <v>18</v>
      </c>
      <c r="D163" t="s">
        <v>152</v>
      </c>
      <c r="E163" t="s">
        <v>9</v>
      </c>
      <c r="F163" t="s">
        <v>10</v>
      </c>
      <c r="G163">
        <v>5</v>
      </c>
      <c r="H163" t="str">
        <f t="shared" si="11"/>
        <v>Normal</v>
      </c>
      <c r="I163">
        <v>192.29</v>
      </c>
      <c r="J163">
        <v>133.47999999999999</v>
      </c>
      <c r="K163">
        <v>20</v>
      </c>
      <c r="L163">
        <v>29</v>
      </c>
      <c r="M163" t="s">
        <v>25</v>
      </c>
      <c r="N163">
        <v>961.44999999999993</v>
      </c>
      <c r="O163">
        <v>667.4</v>
      </c>
      <c r="P163">
        <v>294.04999999999995</v>
      </c>
      <c r="Q163">
        <v>5</v>
      </c>
      <c r="R163" s="7" t="str">
        <f t="shared" si="9"/>
        <v>⭐⭐⭐⭐⭐ (5/5)</v>
      </c>
      <c r="S163" t="str">
        <f t="shared" si="10"/>
        <v>Chips is a item to cetegry Snacks price of 192.29</v>
      </c>
    </row>
    <row r="164" spans="1:19" x14ac:dyDescent="0.3">
      <c r="A164" t="s">
        <v>221</v>
      </c>
      <c r="B164" s="3">
        <v>45289</v>
      </c>
      <c r="C164" t="s">
        <v>5</v>
      </c>
      <c r="D164" t="s">
        <v>60</v>
      </c>
      <c r="E164" t="s">
        <v>23</v>
      </c>
      <c r="F164" t="s">
        <v>24</v>
      </c>
      <c r="G164">
        <v>5</v>
      </c>
      <c r="H164" t="str">
        <f t="shared" si="11"/>
        <v>Normal</v>
      </c>
      <c r="I164">
        <v>667.86</v>
      </c>
      <c r="J164">
        <v>484.17</v>
      </c>
      <c r="K164">
        <v>15</v>
      </c>
      <c r="L164">
        <v>26</v>
      </c>
      <c r="M164" t="s">
        <v>4</v>
      </c>
      <c r="N164">
        <v>3339.3</v>
      </c>
      <c r="O164">
        <v>2420.85</v>
      </c>
      <c r="P164">
        <v>918.45000000000027</v>
      </c>
      <c r="Q164">
        <v>3</v>
      </c>
      <c r="R164" s="7" t="str">
        <f t="shared" si="9"/>
        <v>⭐⭐⭐ (3/5)</v>
      </c>
      <c r="S164" t="str">
        <f t="shared" si="10"/>
        <v>Cake is a item to cetegry Bakery price of 667.86</v>
      </c>
    </row>
    <row r="165" spans="1:19" x14ac:dyDescent="0.3">
      <c r="A165" t="s">
        <v>222</v>
      </c>
      <c r="B165" s="3">
        <v>45187</v>
      </c>
      <c r="C165" t="s">
        <v>62</v>
      </c>
      <c r="D165" t="s">
        <v>87</v>
      </c>
      <c r="E165" t="s">
        <v>9</v>
      </c>
      <c r="F165" t="s">
        <v>10</v>
      </c>
      <c r="G165">
        <v>6</v>
      </c>
      <c r="H165" t="str">
        <f t="shared" si="11"/>
        <v>Normal</v>
      </c>
      <c r="I165">
        <v>558.79</v>
      </c>
      <c r="J165">
        <v>408.46</v>
      </c>
      <c r="K165">
        <v>20</v>
      </c>
      <c r="L165">
        <v>21</v>
      </c>
      <c r="M165" t="s">
        <v>17</v>
      </c>
      <c r="N165">
        <v>3352.74</v>
      </c>
      <c r="O165">
        <v>2450.7599999999998</v>
      </c>
      <c r="P165">
        <v>901.98</v>
      </c>
      <c r="Q165">
        <v>4</v>
      </c>
      <c r="R165" s="7" t="str">
        <f t="shared" si="9"/>
        <v>⭐⭐⭐⭐ (4/5)</v>
      </c>
      <c r="S165" t="str">
        <f t="shared" si="10"/>
        <v>Tomato is a item to cetegry Fruits &amp; Vegetables price of 558.79</v>
      </c>
    </row>
    <row r="166" spans="1:19" x14ac:dyDescent="0.3">
      <c r="A166" t="s">
        <v>223</v>
      </c>
      <c r="B166" s="3">
        <v>44997</v>
      </c>
      <c r="C166" t="s">
        <v>18</v>
      </c>
      <c r="D166" t="s">
        <v>152</v>
      </c>
      <c r="E166" t="s">
        <v>23</v>
      </c>
      <c r="F166" t="s">
        <v>24</v>
      </c>
      <c r="G166">
        <v>5</v>
      </c>
      <c r="H166" t="str">
        <f t="shared" si="11"/>
        <v>Normal</v>
      </c>
      <c r="I166">
        <v>116.59</v>
      </c>
      <c r="J166">
        <v>98.33</v>
      </c>
      <c r="K166">
        <v>15</v>
      </c>
      <c r="L166">
        <v>34</v>
      </c>
      <c r="M166" t="s">
        <v>11</v>
      </c>
      <c r="N166">
        <v>582.95000000000005</v>
      </c>
      <c r="O166">
        <v>491.65</v>
      </c>
      <c r="P166">
        <v>91.300000000000068</v>
      </c>
      <c r="Q166">
        <v>1</v>
      </c>
      <c r="R166" s="7" t="str">
        <f t="shared" si="9"/>
        <v>⭐ (1/5)</v>
      </c>
      <c r="S166" t="str">
        <f t="shared" si="10"/>
        <v>Chips is a item to cetegry Snacks price of 116.59</v>
      </c>
    </row>
    <row r="167" spans="1:19" x14ac:dyDescent="0.3">
      <c r="A167" t="s">
        <v>224</v>
      </c>
      <c r="B167" s="3">
        <v>45243</v>
      </c>
      <c r="C167" t="s">
        <v>30</v>
      </c>
      <c r="D167" t="s">
        <v>89</v>
      </c>
      <c r="E167" t="s">
        <v>15</v>
      </c>
      <c r="F167" t="s">
        <v>16</v>
      </c>
      <c r="G167">
        <v>2</v>
      </c>
      <c r="H167" t="str">
        <f t="shared" si="11"/>
        <v>Normal</v>
      </c>
      <c r="I167">
        <v>340.52</v>
      </c>
      <c r="J167">
        <v>258.77</v>
      </c>
      <c r="K167">
        <v>20</v>
      </c>
      <c r="L167">
        <v>14</v>
      </c>
      <c r="M167" t="s">
        <v>25</v>
      </c>
      <c r="N167">
        <v>681.04</v>
      </c>
      <c r="O167">
        <v>517.54</v>
      </c>
      <c r="P167">
        <v>163.5</v>
      </c>
      <c r="Q167">
        <v>2</v>
      </c>
      <c r="R167" s="7" t="str">
        <f t="shared" si="9"/>
        <v>⭐⭐ (2/5)</v>
      </c>
      <c r="S167" t="str">
        <f t="shared" si="10"/>
        <v>Milk is a item to cetegry Dairy price of 340.52</v>
      </c>
    </row>
    <row r="168" spans="1:19" x14ac:dyDescent="0.3">
      <c r="A168" t="s">
        <v>225</v>
      </c>
      <c r="B168" s="3">
        <v>45151</v>
      </c>
      <c r="C168" t="s">
        <v>30</v>
      </c>
      <c r="D168" t="s">
        <v>154</v>
      </c>
      <c r="E168" t="s">
        <v>9</v>
      </c>
      <c r="F168" t="s">
        <v>10</v>
      </c>
      <c r="G168">
        <v>3</v>
      </c>
      <c r="H168" t="str">
        <f t="shared" si="11"/>
        <v>Normal</v>
      </c>
      <c r="I168">
        <v>128.21</v>
      </c>
      <c r="J168">
        <v>89.5</v>
      </c>
      <c r="K168">
        <v>20</v>
      </c>
      <c r="L168">
        <v>113</v>
      </c>
      <c r="M168" t="s">
        <v>11</v>
      </c>
      <c r="N168">
        <v>384.63</v>
      </c>
      <c r="O168">
        <v>268.5</v>
      </c>
      <c r="P168">
        <v>116.13</v>
      </c>
      <c r="Q168">
        <v>5</v>
      </c>
      <c r="R168" s="7" t="str">
        <f t="shared" si="9"/>
        <v>⭐⭐⭐⭐⭐ (5/5)</v>
      </c>
      <c r="S168" t="str">
        <f t="shared" si="10"/>
        <v>Paneer is a item to cetegry Dairy price of 128.21</v>
      </c>
    </row>
    <row r="169" spans="1:19" x14ac:dyDescent="0.3">
      <c r="A169" t="s">
        <v>226</v>
      </c>
      <c r="B169" s="3">
        <v>45049</v>
      </c>
      <c r="C169" t="s">
        <v>62</v>
      </c>
      <c r="D169" t="s">
        <v>79</v>
      </c>
      <c r="E169" t="s">
        <v>23</v>
      </c>
      <c r="F169" t="s">
        <v>24</v>
      </c>
      <c r="G169">
        <v>4</v>
      </c>
      <c r="H169" t="str">
        <f t="shared" si="11"/>
        <v>Normal</v>
      </c>
      <c r="I169">
        <v>652.09</v>
      </c>
      <c r="J169">
        <v>485.1</v>
      </c>
      <c r="K169">
        <v>15</v>
      </c>
      <c r="L169">
        <v>39</v>
      </c>
      <c r="M169" t="s">
        <v>4</v>
      </c>
      <c r="N169">
        <v>2608.36</v>
      </c>
      <c r="O169">
        <v>1940.4</v>
      </c>
      <c r="P169">
        <v>667.96</v>
      </c>
      <c r="Q169">
        <v>3</v>
      </c>
      <c r="R169" s="7" t="str">
        <f t="shared" si="9"/>
        <v>⭐⭐⭐ (3/5)</v>
      </c>
      <c r="S169" t="str">
        <f t="shared" si="10"/>
        <v>Potato is a item to cetegry Fruits &amp; Vegetables price of 652.09</v>
      </c>
    </row>
    <row r="170" spans="1:19" x14ac:dyDescent="0.3">
      <c r="A170" t="s">
        <v>227</v>
      </c>
      <c r="B170" s="3">
        <v>45122</v>
      </c>
      <c r="C170" t="s">
        <v>18</v>
      </c>
      <c r="D170" t="s">
        <v>127</v>
      </c>
      <c r="E170" t="s">
        <v>34</v>
      </c>
      <c r="F170" t="s">
        <v>35</v>
      </c>
      <c r="G170">
        <v>6</v>
      </c>
      <c r="H170" t="str">
        <f t="shared" si="11"/>
        <v>Normal</v>
      </c>
      <c r="I170">
        <v>454.72</v>
      </c>
      <c r="J170">
        <v>342.37</v>
      </c>
      <c r="K170">
        <v>15</v>
      </c>
      <c r="L170">
        <v>69</v>
      </c>
      <c r="M170" t="s">
        <v>25</v>
      </c>
      <c r="N170">
        <v>2728.32</v>
      </c>
      <c r="O170">
        <v>2054.2200000000003</v>
      </c>
      <c r="P170">
        <v>674.09999999999991</v>
      </c>
      <c r="Q170">
        <v>4</v>
      </c>
      <c r="R170" s="7" t="str">
        <f t="shared" si="9"/>
        <v>⭐⭐⭐⭐ (4/5)</v>
      </c>
      <c r="S170" t="str">
        <f t="shared" si="10"/>
        <v>Popcorn is a item to cetegry Snacks price of 454.72</v>
      </c>
    </row>
    <row r="171" spans="1:19" x14ac:dyDescent="0.3">
      <c r="A171" t="s">
        <v>228</v>
      </c>
      <c r="B171" s="3">
        <v>45255</v>
      </c>
      <c r="C171" t="s">
        <v>5</v>
      </c>
      <c r="D171" t="s">
        <v>50</v>
      </c>
      <c r="E171" t="s">
        <v>9</v>
      </c>
      <c r="F171" t="s">
        <v>10</v>
      </c>
      <c r="G171">
        <v>3</v>
      </c>
      <c r="H171" t="str">
        <f t="shared" si="11"/>
        <v>Normal</v>
      </c>
      <c r="I171">
        <v>582.79999999999995</v>
      </c>
      <c r="J171">
        <v>410.28</v>
      </c>
      <c r="K171">
        <v>5</v>
      </c>
      <c r="L171">
        <v>42</v>
      </c>
      <c r="M171" t="s">
        <v>36</v>
      </c>
      <c r="N171">
        <v>1748.3999999999999</v>
      </c>
      <c r="O171">
        <v>1230.8399999999999</v>
      </c>
      <c r="P171">
        <v>517.55999999999995</v>
      </c>
      <c r="Q171">
        <v>1</v>
      </c>
      <c r="R171" s="7" t="str">
        <f t="shared" si="9"/>
        <v>⭐ (1/5)</v>
      </c>
      <c r="S171" t="str">
        <f t="shared" si="10"/>
        <v>Muffin is a item to cetegry Bakery price of 582.8</v>
      </c>
    </row>
    <row r="172" spans="1:19" x14ac:dyDescent="0.3">
      <c r="A172" t="s">
        <v>229</v>
      </c>
      <c r="B172" s="3">
        <v>45189</v>
      </c>
      <c r="C172" t="s">
        <v>13</v>
      </c>
      <c r="D172" t="s">
        <v>14</v>
      </c>
      <c r="E172" t="s">
        <v>28</v>
      </c>
      <c r="F172" t="s">
        <v>10</v>
      </c>
      <c r="G172">
        <v>9</v>
      </c>
      <c r="H172" t="str">
        <f t="shared" si="11"/>
        <v>Normal</v>
      </c>
      <c r="I172">
        <v>518.47</v>
      </c>
      <c r="J172">
        <v>427.07</v>
      </c>
      <c r="K172">
        <v>5</v>
      </c>
      <c r="L172">
        <v>44</v>
      </c>
      <c r="M172" t="s">
        <v>17</v>
      </c>
      <c r="N172">
        <v>4666.2300000000005</v>
      </c>
      <c r="O172">
        <v>3843.63</v>
      </c>
      <c r="P172">
        <v>822.60000000000036</v>
      </c>
      <c r="Q172">
        <v>2</v>
      </c>
      <c r="R172" s="7" t="str">
        <f t="shared" si="9"/>
        <v>⭐⭐ (2/5)</v>
      </c>
      <c r="S172" t="str">
        <f t="shared" si="10"/>
        <v>Juice is a item to cetegry Beverages price of 518.47</v>
      </c>
    </row>
    <row r="173" spans="1:19" x14ac:dyDescent="0.3">
      <c r="A173" t="s">
        <v>230</v>
      </c>
      <c r="B173" s="3">
        <v>45129</v>
      </c>
      <c r="C173" t="s">
        <v>30</v>
      </c>
      <c r="D173" t="s">
        <v>48</v>
      </c>
      <c r="E173" t="s">
        <v>28</v>
      </c>
      <c r="F173" t="s">
        <v>10</v>
      </c>
      <c r="G173">
        <v>4</v>
      </c>
      <c r="H173" t="str">
        <f t="shared" si="11"/>
        <v>Normal</v>
      </c>
      <c r="I173">
        <v>596.34</v>
      </c>
      <c r="J173">
        <v>410.18</v>
      </c>
      <c r="K173">
        <v>0</v>
      </c>
      <c r="L173">
        <v>63</v>
      </c>
      <c r="M173" t="s">
        <v>36</v>
      </c>
      <c r="N173">
        <v>2385.36</v>
      </c>
      <c r="O173">
        <v>1640.72</v>
      </c>
      <c r="P173">
        <v>744.6400000000001</v>
      </c>
      <c r="Q173">
        <v>5</v>
      </c>
      <c r="R173" s="7" t="str">
        <f t="shared" si="9"/>
        <v>⭐⭐⭐⭐⭐ (5/5)</v>
      </c>
      <c r="S173" t="str">
        <f t="shared" si="10"/>
        <v>Curd is a item to cetegry Dairy price of 596.34</v>
      </c>
    </row>
    <row r="174" spans="1:19" x14ac:dyDescent="0.3">
      <c r="A174" t="s">
        <v>231</v>
      </c>
      <c r="B174" s="3">
        <v>45259</v>
      </c>
      <c r="C174" t="s">
        <v>5</v>
      </c>
      <c r="D174" t="s">
        <v>198</v>
      </c>
      <c r="E174" t="s">
        <v>34</v>
      </c>
      <c r="F174" t="s">
        <v>35</v>
      </c>
      <c r="G174">
        <v>7</v>
      </c>
      <c r="H174" t="str">
        <f t="shared" si="11"/>
        <v>Normal</v>
      </c>
      <c r="I174">
        <v>621.63</v>
      </c>
      <c r="J174">
        <v>497.32</v>
      </c>
      <c r="K174">
        <v>0</v>
      </c>
      <c r="L174">
        <v>50</v>
      </c>
      <c r="M174" t="s">
        <v>36</v>
      </c>
      <c r="N174">
        <v>4351.41</v>
      </c>
      <c r="O174">
        <v>3481.24</v>
      </c>
      <c r="P174">
        <v>870.17000000000007</v>
      </c>
      <c r="Q174">
        <v>3</v>
      </c>
      <c r="R174" s="7" t="str">
        <f t="shared" si="9"/>
        <v>⭐⭐⭐ (3/5)</v>
      </c>
      <c r="S174" t="str">
        <f t="shared" si="10"/>
        <v>Croissant is a item to cetegry Bakery price of 621.63</v>
      </c>
    </row>
    <row r="175" spans="1:19" x14ac:dyDescent="0.3">
      <c r="A175" t="s">
        <v>232</v>
      </c>
      <c r="B175" s="3">
        <v>45156</v>
      </c>
      <c r="C175" t="s">
        <v>18</v>
      </c>
      <c r="D175" t="s">
        <v>85</v>
      </c>
      <c r="E175" t="s">
        <v>40</v>
      </c>
      <c r="F175" t="s">
        <v>41</v>
      </c>
      <c r="G175">
        <v>1</v>
      </c>
      <c r="H175" t="str">
        <f t="shared" si="11"/>
        <v>Normal</v>
      </c>
      <c r="I175">
        <v>215.6</v>
      </c>
      <c r="J175">
        <v>150.57</v>
      </c>
      <c r="K175">
        <v>5</v>
      </c>
      <c r="L175">
        <v>107</v>
      </c>
      <c r="M175" t="s">
        <v>17</v>
      </c>
      <c r="N175">
        <v>215.6</v>
      </c>
      <c r="O175">
        <v>150.57</v>
      </c>
      <c r="P175">
        <v>65.03</v>
      </c>
      <c r="Q175">
        <v>1</v>
      </c>
      <c r="R175" s="7" t="str">
        <f t="shared" si="9"/>
        <v>⭐ (1/5)</v>
      </c>
      <c r="S175" t="str">
        <f t="shared" si="10"/>
        <v>Biscuits is a item to cetegry Snacks price of 215.6</v>
      </c>
    </row>
    <row r="176" spans="1:19" x14ac:dyDescent="0.3">
      <c r="A176" t="s">
        <v>233</v>
      </c>
      <c r="B176" s="3">
        <v>45197</v>
      </c>
      <c r="C176" t="s">
        <v>5</v>
      </c>
      <c r="D176" t="s">
        <v>54</v>
      </c>
      <c r="E176" t="s">
        <v>28</v>
      </c>
      <c r="F176" t="s">
        <v>10</v>
      </c>
      <c r="G176">
        <v>1</v>
      </c>
      <c r="H176" t="str">
        <f t="shared" si="11"/>
        <v>Normal</v>
      </c>
      <c r="I176">
        <v>194.16</v>
      </c>
      <c r="J176">
        <v>135.4</v>
      </c>
      <c r="K176">
        <v>20</v>
      </c>
      <c r="L176">
        <v>103</v>
      </c>
      <c r="M176" t="s">
        <v>4</v>
      </c>
      <c r="N176">
        <v>194.16</v>
      </c>
      <c r="O176">
        <v>135.4</v>
      </c>
      <c r="P176">
        <v>58.759999999999991</v>
      </c>
      <c r="Q176">
        <v>4</v>
      </c>
      <c r="R176" s="7" t="str">
        <f t="shared" si="9"/>
        <v>⭐⭐⭐⭐ (4/5)</v>
      </c>
      <c r="S176" t="str">
        <f t="shared" si="10"/>
        <v>Bread is a item to cetegry Bakery price of 194.16</v>
      </c>
    </row>
    <row r="177" spans="1:19" x14ac:dyDescent="0.3">
      <c r="A177" t="s">
        <v>234</v>
      </c>
      <c r="B177" s="3">
        <v>45161</v>
      </c>
      <c r="C177" t="s">
        <v>13</v>
      </c>
      <c r="D177" t="s">
        <v>52</v>
      </c>
      <c r="E177" t="s">
        <v>15</v>
      </c>
      <c r="F177" t="s">
        <v>16</v>
      </c>
      <c r="G177">
        <v>4</v>
      </c>
      <c r="H177" t="str">
        <f t="shared" si="11"/>
        <v>Normal</v>
      </c>
      <c r="I177">
        <v>176.33</v>
      </c>
      <c r="J177">
        <v>157.56</v>
      </c>
      <c r="K177">
        <v>15</v>
      </c>
      <c r="L177">
        <v>91</v>
      </c>
      <c r="M177" t="s">
        <v>4</v>
      </c>
      <c r="N177">
        <v>705.32</v>
      </c>
      <c r="O177">
        <v>630.24</v>
      </c>
      <c r="P177">
        <v>75.080000000000041</v>
      </c>
      <c r="Q177">
        <v>2</v>
      </c>
      <c r="R177" s="7" t="str">
        <f t="shared" si="9"/>
        <v>⭐⭐ (2/5)</v>
      </c>
      <c r="S177" t="str">
        <f t="shared" si="10"/>
        <v>Tea is a item to cetegry Beverages price of 176.33</v>
      </c>
    </row>
    <row r="178" spans="1:19" x14ac:dyDescent="0.3">
      <c r="A178" t="s">
        <v>235</v>
      </c>
      <c r="B178" s="3">
        <v>45076</v>
      </c>
      <c r="C178" t="s">
        <v>62</v>
      </c>
      <c r="D178" t="s">
        <v>105</v>
      </c>
      <c r="E178" t="s">
        <v>57</v>
      </c>
      <c r="F178" t="s">
        <v>58</v>
      </c>
      <c r="G178">
        <v>10</v>
      </c>
      <c r="H178" t="str">
        <f t="shared" si="11"/>
        <v>Normal</v>
      </c>
      <c r="I178">
        <v>368.86</v>
      </c>
      <c r="J178">
        <v>272.67</v>
      </c>
      <c r="K178">
        <v>20</v>
      </c>
      <c r="L178">
        <v>40</v>
      </c>
      <c r="M178" t="s">
        <v>11</v>
      </c>
      <c r="N178">
        <v>3688.6000000000004</v>
      </c>
      <c r="O178">
        <v>2726.7000000000003</v>
      </c>
      <c r="P178">
        <v>961.90000000000009</v>
      </c>
      <c r="Q178">
        <v>5</v>
      </c>
      <c r="R178" s="7" t="str">
        <f t="shared" si="9"/>
        <v>⭐⭐⭐⭐⭐ (5/5)</v>
      </c>
      <c r="S178" t="str">
        <f t="shared" si="10"/>
        <v>Apple is a item to cetegry Fruits &amp; Vegetables price of 368.86</v>
      </c>
    </row>
    <row r="179" spans="1:19" x14ac:dyDescent="0.3">
      <c r="A179" t="s">
        <v>236</v>
      </c>
      <c r="B179" s="3">
        <v>44961</v>
      </c>
      <c r="C179" t="s">
        <v>13</v>
      </c>
      <c r="D179" t="s">
        <v>52</v>
      </c>
      <c r="E179" t="s">
        <v>23</v>
      </c>
      <c r="F179" t="s">
        <v>24</v>
      </c>
      <c r="G179">
        <v>4</v>
      </c>
      <c r="H179" t="str">
        <f t="shared" si="11"/>
        <v>Normal</v>
      </c>
      <c r="I179">
        <v>340.29</v>
      </c>
      <c r="J179">
        <v>289.63</v>
      </c>
      <c r="K179">
        <v>0</v>
      </c>
      <c r="L179">
        <v>77</v>
      </c>
      <c r="M179" t="s">
        <v>25</v>
      </c>
      <c r="N179">
        <v>1361.16</v>
      </c>
      <c r="O179">
        <v>1158.52</v>
      </c>
      <c r="P179">
        <v>202.6400000000001</v>
      </c>
      <c r="Q179">
        <v>3</v>
      </c>
      <c r="R179" s="7" t="str">
        <f t="shared" si="9"/>
        <v>⭐⭐⭐ (3/5)</v>
      </c>
      <c r="S179" t="str">
        <f t="shared" si="10"/>
        <v>Tea is a item to cetegry Beverages price of 340.29</v>
      </c>
    </row>
    <row r="180" spans="1:19" x14ac:dyDescent="0.3">
      <c r="A180" t="s">
        <v>237</v>
      </c>
      <c r="B180" s="3">
        <v>44935</v>
      </c>
      <c r="C180" t="s">
        <v>5</v>
      </c>
      <c r="D180" t="s">
        <v>50</v>
      </c>
      <c r="E180" t="s">
        <v>3</v>
      </c>
      <c r="F180" t="s">
        <v>3</v>
      </c>
      <c r="G180">
        <v>7</v>
      </c>
      <c r="H180" t="str">
        <f t="shared" si="11"/>
        <v>Normal</v>
      </c>
      <c r="I180">
        <v>489.35</v>
      </c>
      <c r="J180">
        <v>437.93</v>
      </c>
      <c r="K180">
        <v>15</v>
      </c>
      <c r="L180">
        <v>57</v>
      </c>
      <c r="M180" t="s">
        <v>25</v>
      </c>
      <c r="N180">
        <v>3425.4500000000003</v>
      </c>
      <c r="O180">
        <v>3065.51</v>
      </c>
      <c r="P180">
        <v>359.94000000000005</v>
      </c>
      <c r="Q180">
        <v>4</v>
      </c>
      <c r="R180" s="7" t="str">
        <f t="shared" si="9"/>
        <v>⭐⭐⭐⭐ (4/5)</v>
      </c>
      <c r="S180" t="str">
        <f t="shared" si="10"/>
        <v>Muffin is a item to cetegry Bakery price of 489.35</v>
      </c>
    </row>
    <row r="181" spans="1:19" x14ac:dyDescent="0.3">
      <c r="A181" t="s">
        <v>238</v>
      </c>
      <c r="B181" s="3">
        <v>44995</v>
      </c>
      <c r="C181" t="s">
        <v>18</v>
      </c>
      <c r="D181" t="s">
        <v>152</v>
      </c>
      <c r="E181" t="s">
        <v>23</v>
      </c>
      <c r="F181" t="s">
        <v>24</v>
      </c>
      <c r="G181">
        <v>4</v>
      </c>
      <c r="H181" t="str">
        <f t="shared" si="11"/>
        <v>Normal</v>
      </c>
      <c r="I181">
        <v>498.82</v>
      </c>
      <c r="J181">
        <v>369.14</v>
      </c>
      <c r="K181">
        <v>20</v>
      </c>
      <c r="L181">
        <v>104</v>
      </c>
      <c r="M181" t="s">
        <v>25</v>
      </c>
      <c r="N181">
        <v>1995.28</v>
      </c>
      <c r="O181">
        <v>1476.56</v>
      </c>
      <c r="P181">
        <v>518.72</v>
      </c>
      <c r="Q181">
        <v>1</v>
      </c>
      <c r="R181" s="7" t="str">
        <f t="shared" si="9"/>
        <v>⭐ (1/5)</v>
      </c>
      <c r="S181" t="str">
        <f t="shared" si="10"/>
        <v>Chips is a item to cetegry Snacks price of 498.82</v>
      </c>
    </row>
    <row r="182" spans="1:19" x14ac:dyDescent="0.3">
      <c r="A182" t="s">
        <v>239</v>
      </c>
      <c r="B182" s="3">
        <v>44996</v>
      </c>
      <c r="C182" t="s">
        <v>62</v>
      </c>
      <c r="D182" t="s">
        <v>87</v>
      </c>
      <c r="E182" t="s">
        <v>23</v>
      </c>
      <c r="F182" t="s">
        <v>24</v>
      </c>
      <c r="G182">
        <v>3</v>
      </c>
      <c r="H182" t="str">
        <f t="shared" si="11"/>
        <v>Normal</v>
      </c>
      <c r="I182">
        <v>572.75</v>
      </c>
      <c r="J182">
        <v>416.89</v>
      </c>
      <c r="K182">
        <v>15</v>
      </c>
      <c r="L182">
        <v>90</v>
      </c>
      <c r="M182" t="s">
        <v>11</v>
      </c>
      <c r="N182">
        <v>1718.25</v>
      </c>
      <c r="O182">
        <v>1250.67</v>
      </c>
      <c r="P182">
        <v>467.57999999999993</v>
      </c>
      <c r="Q182">
        <v>2</v>
      </c>
      <c r="R182" s="7" t="str">
        <f t="shared" si="9"/>
        <v>⭐⭐ (2/5)</v>
      </c>
      <c r="S182" t="str">
        <f t="shared" si="10"/>
        <v>Tomato is a item to cetegry Fruits &amp; Vegetables price of 572.75</v>
      </c>
    </row>
    <row r="183" spans="1:19" x14ac:dyDescent="0.3">
      <c r="A183" t="s">
        <v>240</v>
      </c>
      <c r="B183" s="3">
        <v>45190</v>
      </c>
      <c r="C183" t="s">
        <v>62</v>
      </c>
      <c r="D183" t="s">
        <v>79</v>
      </c>
      <c r="E183" t="s">
        <v>3</v>
      </c>
      <c r="F183" t="s">
        <v>3</v>
      </c>
      <c r="G183">
        <v>5</v>
      </c>
      <c r="H183" t="str">
        <f t="shared" si="11"/>
        <v>Normal</v>
      </c>
      <c r="I183">
        <v>154.08000000000001</v>
      </c>
      <c r="J183">
        <v>108.78</v>
      </c>
      <c r="K183">
        <v>0</v>
      </c>
      <c r="L183">
        <v>50</v>
      </c>
      <c r="M183" t="s">
        <v>25</v>
      </c>
      <c r="N183">
        <v>770.40000000000009</v>
      </c>
      <c r="O183">
        <v>543.9</v>
      </c>
      <c r="P183">
        <v>226.50000000000011</v>
      </c>
      <c r="Q183">
        <v>5</v>
      </c>
      <c r="R183" s="7" t="str">
        <f t="shared" si="9"/>
        <v>⭐⭐⭐⭐⭐ (5/5)</v>
      </c>
      <c r="S183" t="str">
        <f t="shared" si="10"/>
        <v>Potato is a item to cetegry Fruits &amp; Vegetables price of 154.08</v>
      </c>
    </row>
    <row r="184" spans="1:19" x14ac:dyDescent="0.3">
      <c r="A184" t="s">
        <v>241</v>
      </c>
      <c r="B184" s="3">
        <v>45262</v>
      </c>
      <c r="C184" t="s">
        <v>13</v>
      </c>
      <c r="D184" t="s">
        <v>71</v>
      </c>
      <c r="E184" t="s">
        <v>57</v>
      </c>
      <c r="F184" t="s">
        <v>58</v>
      </c>
      <c r="G184">
        <v>5</v>
      </c>
      <c r="H184" t="str">
        <f t="shared" si="11"/>
        <v>Normal</v>
      </c>
      <c r="I184">
        <v>37.96</v>
      </c>
      <c r="J184">
        <v>27.94</v>
      </c>
      <c r="K184">
        <v>10</v>
      </c>
      <c r="L184">
        <v>55</v>
      </c>
      <c r="M184" t="s">
        <v>36</v>
      </c>
      <c r="N184">
        <v>189.8</v>
      </c>
      <c r="O184">
        <v>139.70000000000002</v>
      </c>
      <c r="P184">
        <v>50.099999999999994</v>
      </c>
      <c r="Q184">
        <v>3</v>
      </c>
      <c r="R184" s="7" t="str">
        <f t="shared" si="9"/>
        <v>⭐⭐⭐ (3/5)</v>
      </c>
      <c r="S184" t="str">
        <f t="shared" si="10"/>
        <v>Energy Drink is a item to cetegry Beverages price of 37.96</v>
      </c>
    </row>
    <row r="185" spans="1:19" x14ac:dyDescent="0.3">
      <c r="A185" t="s">
        <v>242</v>
      </c>
      <c r="B185" s="3">
        <v>45022</v>
      </c>
      <c r="C185" t="s">
        <v>18</v>
      </c>
      <c r="D185" t="s">
        <v>19</v>
      </c>
      <c r="E185" t="s">
        <v>28</v>
      </c>
      <c r="F185" t="s">
        <v>10</v>
      </c>
      <c r="G185">
        <v>6</v>
      </c>
      <c r="H185" t="str">
        <f t="shared" si="11"/>
        <v>Normal</v>
      </c>
      <c r="I185">
        <v>282.38</v>
      </c>
      <c r="J185">
        <v>224.11</v>
      </c>
      <c r="K185">
        <v>15</v>
      </c>
      <c r="L185">
        <v>59</v>
      </c>
      <c r="M185" t="s">
        <v>25</v>
      </c>
      <c r="N185">
        <v>1694.28</v>
      </c>
      <c r="O185">
        <v>1344.66</v>
      </c>
      <c r="P185">
        <v>349.61999999999989</v>
      </c>
      <c r="Q185">
        <v>4</v>
      </c>
      <c r="R185" s="7" t="str">
        <f t="shared" si="9"/>
        <v>⭐⭐⭐⭐ (4/5)</v>
      </c>
      <c r="S185" t="str">
        <f t="shared" si="10"/>
        <v>Noodles is a item to cetegry Snacks price of 282.38</v>
      </c>
    </row>
    <row r="186" spans="1:19" x14ac:dyDescent="0.3">
      <c r="A186" t="s">
        <v>243</v>
      </c>
      <c r="B186" s="3">
        <v>45235</v>
      </c>
      <c r="C186" t="s">
        <v>13</v>
      </c>
      <c r="D186" t="s">
        <v>102</v>
      </c>
      <c r="E186" t="s">
        <v>23</v>
      </c>
      <c r="F186" t="s">
        <v>24</v>
      </c>
      <c r="G186">
        <v>9</v>
      </c>
      <c r="H186" t="str">
        <f t="shared" si="11"/>
        <v>Normal</v>
      </c>
      <c r="I186">
        <v>159.41</v>
      </c>
      <c r="J186">
        <v>140.69</v>
      </c>
      <c r="K186">
        <v>15</v>
      </c>
      <c r="L186">
        <v>20</v>
      </c>
      <c r="M186" t="s">
        <v>17</v>
      </c>
      <c r="N186">
        <v>1434.69</v>
      </c>
      <c r="O186">
        <v>1266.21</v>
      </c>
      <c r="P186">
        <v>168.48000000000002</v>
      </c>
      <c r="Q186">
        <v>1</v>
      </c>
      <c r="R186" s="7" t="str">
        <f t="shared" si="9"/>
        <v>⭐ (1/5)</v>
      </c>
      <c r="S186" t="str">
        <f t="shared" si="10"/>
        <v>Soda is a item to cetegry Beverages price of 159.41</v>
      </c>
    </row>
    <row r="187" spans="1:19" x14ac:dyDescent="0.3">
      <c r="A187" t="s">
        <v>244</v>
      </c>
      <c r="B187" s="3">
        <v>45235</v>
      </c>
      <c r="C187" t="s">
        <v>21</v>
      </c>
      <c r="D187" t="s">
        <v>27</v>
      </c>
      <c r="E187" t="s">
        <v>15</v>
      </c>
      <c r="F187" t="s">
        <v>16</v>
      </c>
      <c r="G187">
        <v>6</v>
      </c>
      <c r="H187" t="str">
        <f t="shared" si="11"/>
        <v>Normal</v>
      </c>
      <c r="I187">
        <v>74.2</v>
      </c>
      <c r="J187">
        <v>60.27</v>
      </c>
      <c r="K187">
        <v>10</v>
      </c>
      <c r="L187">
        <v>49</v>
      </c>
      <c r="M187" t="s">
        <v>17</v>
      </c>
      <c r="N187">
        <v>445.20000000000005</v>
      </c>
      <c r="O187">
        <v>361.62</v>
      </c>
      <c r="P187">
        <v>83.580000000000041</v>
      </c>
      <c r="Q187">
        <v>2</v>
      </c>
      <c r="R187" s="7" t="str">
        <f t="shared" si="9"/>
        <v>⭐⭐ (2/5)</v>
      </c>
      <c r="S187" t="str">
        <f t="shared" si="10"/>
        <v>Cleaner is a item to cetegry Household price of 74.2</v>
      </c>
    </row>
    <row r="188" spans="1:19" x14ac:dyDescent="0.3">
      <c r="A188" t="s">
        <v>245</v>
      </c>
      <c r="B188" s="3">
        <v>45067</v>
      </c>
      <c r="C188" t="s">
        <v>1</v>
      </c>
      <c r="D188" t="s">
        <v>39</v>
      </c>
      <c r="E188" t="s">
        <v>40</v>
      </c>
      <c r="F188" t="s">
        <v>41</v>
      </c>
      <c r="G188">
        <v>8</v>
      </c>
      <c r="H188" t="str">
        <f t="shared" si="11"/>
        <v>Normal</v>
      </c>
      <c r="I188">
        <v>203.57</v>
      </c>
      <c r="J188">
        <v>182.26</v>
      </c>
      <c r="K188">
        <v>10</v>
      </c>
      <c r="L188">
        <v>88</v>
      </c>
      <c r="M188" t="s">
        <v>17</v>
      </c>
      <c r="N188">
        <v>1628.56</v>
      </c>
      <c r="O188">
        <v>1458.08</v>
      </c>
      <c r="P188">
        <v>170.48000000000002</v>
      </c>
      <c r="Q188">
        <v>5</v>
      </c>
      <c r="R188" s="7" t="str">
        <f t="shared" si="9"/>
        <v>⭐⭐⭐⭐⭐ (5/5)</v>
      </c>
      <c r="S188" t="str">
        <f t="shared" si="10"/>
        <v>Lotion is a item to cetegry Personal Care price of 203.57</v>
      </c>
    </row>
    <row r="189" spans="1:19" x14ac:dyDescent="0.3">
      <c r="A189" t="s">
        <v>246</v>
      </c>
      <c r="B189" s="3">
        <v>45238</v>
      </c>
      <c r="C189" t="s">
        <v>1</v>
      </c>
      <c r="D189" t="s">
        <v>2</v>
      </c>
      <c r="E189" t="s">
        <v>28</v>
      </c>
      <c r="F189" t="s">
        <v>10</v>
      </c>
      <c r="G189">
        <v>7</v>
      </c>
      <c r="H189" t="str">
        <f t="shared" si="11"/>
        <v>Normal</v>
      </c>
      <c r="I189">
        <v>267.07</v>
      </c>
      <c r="J189">
        <v>188.02</v>
      </c>
      <c r="K189">
        <v>5</v>
      </c>
      <c r="L189">
        <v>13</v>
      </c>
      <c r="M189" t="s">
        <v>11</v>
      </c>
      <c r="N189">
        <v>1869.49</v>
      </c>
      <c r="O189">
        <v>1316.14</v>
      </c>
      <c r="P189">
        <v>553.34999999999991</v>
      </c>
      <c r="Q189">
        <v>3</v>
      </c>
      <c r="R189" s="7" t="str">
        <f t="shared" si="9"/>
        <v>⭐⭐⭐ (3/5)</v>
      </c>
      <c r="S189" t="str">
        <f t="shared" si="10"/>
        <v>Shampoo is a item to cetegry Personal Care price of 267.07</v>
      </c>
    </row>
    <row r="190" spans="1:19" x14ac:dyDescent="0.3">
      <c r="A190" t="s">
        <v>247</v>
      </c>
      <c r="B190" s="3">
        <v>45217</v>
      </c>
      <c r="C190" t="s">
        <v>1</v>
      </c>
      <c r="D190" t="s">
        <v>39</v>
      </c>
      <c r="E190" t="s">
        <v>3</v>
      </c>
      <c r="F190" t="s">
        <v>3</v>
      </c>
      <c r="G190">
        <v>3</v>
      </c>
      <c r="H190" t="str">
        <f t="shared" si="11"/>
        <v>Normal</v>
      </c>
      <c r="I190">
        <v>60.61</v>
      </c>
      <c r="J190">
        <v>42.94</v>
      </c>
      <c r="K190">
        <v>10</v>
      </c>
      <c r="L190">
        <v>56</v>
      </c>
      <c r="M190" t="s">
        <v>17</v>
      </c>
      <c r="N190">
        <v>181.82999999999998</v>
      </c>
      <c r="O190">
        <v>128.82</v>
      </c>
      <c r="P190">
        <v>53.009999999999991</v>
      </c>
      <c r="Q190">
        <v>1</v>
      </c>
      <c r="R190" s="7" t="str">
        <f t="shared" si="9"/>
        <v>⭐ (1/5)</v>
      </c>
      <c r="S190" t="str">
        <f t="shared" si="10"/>
        <v>Lotion is a item to cetegry Personal Care price of 60.61</v>
      </c>
    </row>
    <row r="191" spans="1:19" x14ac:dyDescent="0.3">
      <c r="A191" t="s">
        <v>248</v>
      </c>
      <c r="B191" s="3">
        <v>45198</v>
      </c>
      <c r="C191" t="s">
        <v>62</v>
      </c>
      <c r="D191" t="s">
        <v>63</v>
      </c>
      <c r="E191" t="s">
        <v>40</v>
      </c>
      <c r="F191" t="s">
        <v>41</v>
      </c>
      <c r="G191">
        <v>8</v>
      </c>
      <c r="H191" t="str">
        <f t="shared" si="11"/>
        <v>Normal</v>
      </c>
      <c r="I191">
        <v>593.08000000000004</v>
      </c>
      <c r="J191">
        <v>474.92</v>
      </c>
      <c r="K191">
        <v>0</v>
      </c>
      <c r="L191">
        <v>83</v>
      </c>
      <c r="M191" t="s">
        <v>11</v>
      </c>
      <c r="N191">
        <v>4744.6400000000003</v>
      </c>
      <c r="O191">
        <v>3799.36</v>
      </c>
      <c r="P191">
        <v>945.2800000000002</v>
      </c>
      <c r="Q191">
        <v>4</v>
      </c>
      <c r="R191" s="7" t="str">
        <f t="shared" si="9"/>
        <v>⭐⭐⭐⭐ (4/5)</v>
      </c>
      <c r="S191" t="str">
        <f t="shared" si="10"/>
        <v>Onion is a item to cetegry Fruits &amp; Vegetables price of 593.08</v>
      </c>
    </row>
    <row r="192" spans="1:19" x14ac:dyDescent="0.3">
      <c r="A192" t="s">
        <v>249</v>
      </c>
      <c r="B192" s="3">
        <v>45125</v>
      </c>
      <c r="C192" t="s">
        <v>18</v>
      </c>
      <c r="D192" t="s">
        <v>127</v>
      </c>
      <c r="E192" t="s">
        <v>23</v>
      </c>
      <c r="F192" t="s">
        <v>24</v>
      </c>
      <c r="G192">
        <v>5</v>
      </c>
      <c r="H192" t="str">
        <f t="shared" si="11"/>
        <v>Normal</v>
      </c>
      <c r="I192">
        <v>151.55000000000001</v>
      </c>
      <c r="J192">
        <v>132.31</v>
      </c>
      <c r="K192">
        <v>5</v>
      </c>
      <c r="L192">
        <v>73</v>
      </c>
      <c r="M192" t="s">
        <v>4</v>
      </c>
      <c r="N192">
        <v>757.75</v>
      </c>
      <c r="O192">
        <v>661.55</v>
      </c>
      <c r="P192">
        <v>96.200000000000045</v>
      </c>
      <c r="Q192">
        <v>2</v>
      </c>
      <c r="R192" s="7" t="str">
        <f t="shared" si="9"/>
        <v>⭐⭐ (2/5)</v>
      </c>
      <c r="S192" t="str">
        <f t="shared" si="10"/>
        <v>Popcorn is a item to cetegry Snacks price of 151.55</v>
      </c>
    </row>
    <row r="193" spans="1:19" x14ac:dyDescent="0.3">
      <c r="A193" t="s">
        <v>250</v>
      </c>
      <c r="B193" s="3">
        <v>45029</v>
      </c>
      <c r="C193" t="s">
        <v>5</v>
      </c>
      <c r="D193" t="s">
        <v>54</v>
      </c>
      <c r="E193" t="s">
        <v>15</v>
      </c>
      <c r="F193" t="s">
        <v>16</v>
      </c>
      <c r="G193">
        <v>5</v>
      </c>
      <c r="H193" t="str">
        <f t="shared" si="11"/>
        <v>Normal</v>
      </c>
      <c r="I193">
        <v>420.95</v>
      </c>
      <c r="J193">
        <v>354.98</v>
      </c>
      <c r="K193">
        <v>20</v>
      </c>
      <c r="L193">
        <v>46</v>
      </c>
      <c r="M193" t="s">
        <v>17</v>
      </c>
      <c r="N193">
        <v>2104.75</v>
      </c>
      <c r="O193">
        <v>1774.9</v>
      </c>
      <c r="P193">
        <v>329.84999999999991</v>
      </c>
      <c r="Q193">
        <v>5</v>
      </c>
      <c r="R193" s="7" t="str">
        <f t="shared" si="9"/>
        <v>⭐⭐⭐⭐⭐ (5/5)</v>
      </c>
      <c r="S193" t="str">
        <f t="shared" si="10"/>
        <v>Bread is a item to cetegry Bakery price of 420.95</v>
      </c>
    </row>
    <row r="194" spans="1:19" x14ac:dyDescent="0.3">
      <c r="A194" t="s">
        <v>251</v>
      </c>
      <c r="B194" s="3">
        <v>45268</v>
      </c>
      <c r="C194" t="s">
        <v>62</v>
      </c>
      <c r="D194" t="s">
        <v>75</v>
      </c>
      <c r="E194" t="s">
        <v>28</v>
      </c>
      <c r="F194" t="s">
        <v>10</v>
      </c>
      <c r="G194">
        <v>8</v>
      </c>
      <c r="H194" t="str">
        <f t="shared" ref="H194:H201" si="12">IF(G194&lt;0,"Return","Normal")</f>
        <v>Normal</v>
      </c>
      <c r="I194">
        <v>131.05000000000001</v>
      </c>
      <c r="J194">
        <v>94.6</v>
      </c>
      <c r="K194">
        <v>0</v>
      </c>
      <c r="L194">
        <v>113</v>
      </c>
      <c r="M194" t="s">
        <v>25</v>
      </c>
      <c r="N194">
        <v>1048.4000000000001</v>
      </c>
      <c r="O194">
        <v>756.8</v>
      </c>
      <c r="P194">
        <v>291.60000000000014</v>
      </c>
      <c r="Q194">
        <v>3</v>
      </c>
      <c r="R194" s="7" t="str">
        <f t="shared" ref="R194:R257" si="13">REPT("⭐",Q194) &amp; " (" &amp; Q194 &amp; "/5)"</f>
        <v>⭐⭐⭐ (3/5)</v>
      </c>
      <c r="S194" t="str">
        <f t="shared" si="10"/>
        <v>Banana is a item to cetegry Fruits &amp; Vegetables price of 131.05</v>
      </c>
    </row>
    <row r="195" spans="1:19" x14ac:dyDescent="0.3">
      <c r="A195" t="s">
        <v>252</v>
      </c>
      <c r="B195" s="3">
        <v>45187</v>
      </c>
      <c r="C195" t="s">
        <v>18</v>
      </c>
      <c r="D195" t="s">
        <v>152</v>
      </c>
      <c r="E195" t="s">
        <v>15</v>
      </c>
      <c r="F195" t="s">
        <v>16</v>
      </c>
      <c r="G195">
        <v>5</v>
      </c>
      <c r="H195" t="str">
        <f t="shared" si="12"/>
        <v>Normal</v>
      </c>
      <c r="I195">
        <v>591.51</v>
      </c>
      <c r="J195">
        <v>427.17</v>
      </c>
      <c r="K195">
        <v>5</v>
      </c>
      <c r="L195">
        <v>111</v>
      </c>
      <c r="M195" t="s">
        <v>25</v>
      </c>
      <c r="N195">
        <v>2957.55</v>
      </c>
      <c r="O195">
        <v>2135.85</v>
      </c>
      <c r="P195">
        <v>821.70000000000027</v>
      </c>
      <c r="Q195">
        <v>4</v>
      </c>
      <c r="R195" s="7" t="str">
        <f t="shared" si="13"/>
        <v>⭐⭐⭐⭐ (4/5)</v>
      </c>
      <c r="S195" t="str">
        <f t="shared" ref="S195:S200" si="14">D195 &amp; " is a item to cetegry " &amp; C195 &amp; " price of " &amp; I195</f>
        <v>Chips is a item to cetegry Snacks price of 591.51</v>
      </c>
    </row>
    <row r="196" spans="1:19" x14ac:dyDescent="0.3">
      <c r="A196" t="s">
        <v>253</v>
      </c>
      <c r="B196" s="3">
        <v>45115</v>
      </c>
      <c r="C196" t="s">
        <v>30</v>
      </c>
      <c r="D196" t="s">
        <v>89</v>
      </c>
      <c r="E196" t="s">
        <v>34</v>
      </c>
      <c r="F196" t="s">
        <v>35</v>
      </c>
      <c r="G196">
        <v>3</v>
      </c>
      <c r="H196" t="str">
        <f t="shared" si="12"/>
        <v>Normal</v>
      </c>
      <c r="I196">
        <v>163.5</v>
      </c>
      <c r="J196">
        <v>126</v>
      </c>
      <c r="K196">
        <v>10</v>
      </c>
      <c r="L196">
        <v>80</v>
      </c>
      <c r="M196" t="s">
        <v>4</v>
      </c>
      <c r="N196">
        <v>490.5</v>
      </c>
      <c r="O196">
        <v>378</v>
      </c>
      <c r="P196">
        <v>112.5</v>
      </c>
      <c r="Q196">
        <v>1</v>
      </c>
      <c r="R196" s="7" t="str">
        <f t="shared" si="13"/>
        <v>⭐ (1/5)</v>
      </c>
      <c r="S196" t="str">
        <f t="shared" si="14"/>
        <v>Milk is a item to cetegry Dairy price of 163.5</v>
      </c>
    </row>
    <row r="197" spans="1:19" x14ac:dyDescent="0.3">
      <c r="A197" t="s">
        <v>254</v>
      </c>
      <c r="B197" s="3">
        <v>45196</v>
      </c>
      <c r="C197" t="s">
        <v>13</v>
      </c>
      <c r="D197" t="s">
        <v>71</v>
      </c>
      <c r="E197" t="s">
        <v>40</v>
      </c>
      <c r="F197" t="s">
        <v>41</v>
      </c>
      <c r="G197">
        <v>10</v>
      </c>
      <c r="H197" t="str">
        <f t="shared" si="12"/>
        <v>Normal</v>
      </c>
      <c r="I197">
        <v>499.27</v>
      </c>
      <c r="J197">
        <v>443.28</v>
      </c>
      <c r="K197">
        <v>15</v>
      </c>
      <c r="L197">
        <v>101</v>
      </c>
      <c r="M197" t="s">
        <v>17</v>
      </c>
      <c r="N197">
        <v>4992.7</v>
      </c>
      <c r="O197">
        <v>4432.7999999999993</v>
      </c>
      <c r="P197">
        <v>559.90000000000055</v>
      </c>
      <c r="Q197">
        <v>2</v>
      </c>
      <c r="R197" s="7" t="str">
        <f t="shared" si="13"/>
        <v>⭐⭐ (2/5)</v>
      </c>
      <c r="S197" t="str">
        <f t="shared" si="14"/>
        <v>Energy Drink is a item to cetegry Beverages price of 499.27</v>
      </c>
    </row>
    <row r="198" spans="1:19" x14ac:dyDescent="0.3">
      <c r="A198" t="s">
        <v>255</v>
      </c>
      <c r="B198" s="3">
        <v>45103</v>
      </c>
      <c r="C198" t="s">
        <v>13</v>
      </c>
      <c r="D198" t="s">
        <v>102</v>
      </c>
      <c r="E198" t="s">
        <v>28</v>
      </c>
      <c r="F198" t="s">
        <v>10</v>
      </c>
      <c r="G198">
        <v>3</v>
      </c>
      <c r="H198" t="str">
        <f t="shared" si="12"/>
        <v>Normal</v>
      </c>
      <c r="I198">
        <v>660.11</v>
      </c>
      <c r="J198">
        <v>486.47</v>
      </c>
      <c r="K198">
        <v>15</v>
      </c>
      <c r="L198">
        <v>69</v>
      </c>
      <c r="M198" t="s">
        <v>4</v>
      </c>
      <c r="N198">
        <v>1980.33</v>
      </c>
      <c r="O198">
        <v>1459.41</v>
      </c>
      <c r="P198">
        <v>520.91999999999985</v>
      </c>
      <c r="Q198">
        <v>5</v>
      </c>
      <c r="R198" s="7" t="str">
        <f t="shared" si="13"/>
        <v>⭐⭐⭐⭐⭐ (5/5)</v>
      </c>
      <c r="S198" t="str">
        <f t="shared" si="14"/>
        <v>Soda is a item to cetegry Beverages price of 660.11</v>
      </c>
    </row>
    <row r="199" spans="1:19" x14ac:dyDescent="0.3">
      <c r="A199" t="s">
        <v>256</v>
      </c>
      <c r="B199" s="3">
        <v>45192</v>
      </c>
      <c r="C199" t="s">
        <v>30</v>
      </c>
      <c r="D199" t="s">
        <v>154</v>
      </c>
      <c r="E199" t="s">
        <v>40</v>
      </c>
      <c r="F199" t="s">
        <v>41</v>
      </c>
      <c r="G199">
        <v>3</v>
      </c>
      <c r="H199" t="str">
        <f t="shared" si="12"/>
        <v>Normal</v>
      </c>
      <c r="I199">
        <v>325.04000000000002</v>
      </c>
      <c r="J199">
        <v>221.98</v>
      </c>
      <c r="K199">
        <v>0</v>
      </c>
      <c r="L199">
        <v>116</v>
      </c>
      <c r="M199" t="s">
        <v>36</v>
      </c>
      <c r="N199">
        <v>975.12000000000012</v>
      </c>
      <c r="O199">
        <v>665.93999999999994</v>
      </c>
      <c r="P199">
        <v>309.18000000000018</v>
      </c>
      <c r="Q199">
        <v>3</v>
      </c>
      <c r="R199" s="7" t="str">
        <f t="shared" si="13"/>
        <v>⭐⭐⭐ (3/5)</v>
      </c>
      <c r="S199" t="str">
        <f t="shared" si="14"/>
        <v>Paneer is a item to cetegry Dairy price of 325.04</v>
      </c>
    </row>
    <row r="200" spans="1:19" x14ac:dyDescent="0.3">
      <c r="A200" t="s">
        <v>257</v>
      </c>
      <c r="B200" s="3">
        <v>44967</v>
      </c>
      <c r="C200" t="s">
        <v>30</v>
      </c>
      <c r="D200" t="s">
        <v>31</v>
      </c>
      <c r="E200" t="s">
        <v>40</v>
      </c>
      <c r="F200" t="s">
        <v>41</v>
      </c>
      <c r="G200">
        <v>3</v>
      </c>
      <c r="H200" t="str">
        <f t="shared" si="12"/>
        <v>Normal</v>
      </c>
      <c r="I200">
        <v>232.61</v>
      </c>
      <c r="J200">
        <v>168.1</v>
      </c>
      <c r="K200">
        <v>10</v>
      </c>
      <c r="L200">
        <v>76</v>
      </c>
      <c r="M200" t="s">
        <v>25</v>
      </c>
      <c r="N200">
        <v>697.83</v>
      </c>
      <c r="O200">
        <v>504.29999999999995</v>
      </c>
      <c r="P200">
        <v>193.53000000000009</v>
      </c>
      <c r="Q200">
        <v>4</v>
      </c>
      <c r="R200" s="7" t="str">
        <f t="shared" si="13"/>
        <v>⭐⭐⭐⭐ (4/5)</v>
      </c>
      <c r="S200" t="str">
        <f t="shared" si="14"/>
        <v>Butter is a item to cetegry Dairy price of 232.61</v>
      </c>
    </row>
    <row r="201" spans="1:19" x14ac:dyDescent="0.3">
      <c r="A201" t="s">
        <v>258</v>
      </c>
      <c r="B201" s="3">
        <v>45230</v>
      </c>
      <c r="C201" t="s">
        <v>18</v>
      </c>
      <c r="D201" t="s">
        <v>85</v>
      </c>
      <c r="E201" t="s">
        <v>15</v>
      </c>
      <c r="F201" t="s">
        <v>16</v>
      </c>
      <c r="G201">
        <v>3</v>
      </c>
      <c r="H201" t="str">
        <f t="shared" si="12"/>
        <v>Normal</v>
      </c>
      <c r="I201">
        <v>425.61</v>
      </c>
      <c r="J201">
        <v>316.26</v>
      </c>
      <c r="K201">
        <v>0</v>
      </c>
      <c r="L201">
        <v>74</v>
      </c>
      <c r="M201" t="s">
        <v>11</v>
      </c>
      <c r="N201">
        <v>1276.83</v>
      </c>
      <c r="O201">
        <v>948.78</v>
      </c>
      <c r="P201">
        <v>328.04999999999995</v>
      </c>
      <c r="Q201">
        <v>1</v>
      </c>
      <c r="R201" s="7" t="str">
        <f t="shared" si="13"/>
        <v>⭐ (1/5)</v>
      </c>
      <c r="S201" t="str">
        <f>D201 &amp; " is a item to cetegry " &amp; C201 &amp; " price of " &amp; I201</f>
        <v>Biscuits is a item to cetegry Snacks price of 425.61</v>
      </c>
    </row>
    <row r="202" spans="1:19" x14ac:dyDescent="0.3">
      <c r="H202" s="7" t="str">
        <f t="shared" ref="H202:H233" si="15">IF(G202&lt;0,"Return","Normal")</f>
        <v>Normal</v>
      </c>
      <c r="N202" s="7"/>
      <c r="O202" s="7"/>
      <c r="P202" s="7"/>
      <c r="Q202" s="7">
        <v>2</v>
      </c>
      <c r="R202" s="7" t="str">
        <f t="shared" si="13"/>
        <v>⭐⭐ (2/5)</v>
      </c>
    </row>
    <row r="203" spans="1:19" x14ac:dyDescent="0.3">
      <c r="H203" s="7" t="str">
        <f t="shared" si="15"/>
        <v>Normal</v>
      </c>
      <c r="N203" s="7"/>
      <c r="O203" s="7"/>
      <c r="P203" s="7"/>
      <c r="Q203" s="7">
        <v>5</v>
      </c>
      <c r="R203" s="7" t="str">
        <f t="shared" si="13"/>
        <v>⭐⭐⭐⭐⭐ (5/5)</v>
      </c>
    </row>
    <row r="204" spans="1:19" x14ac:dyDescent="0.3">
      <c r="H204" s="7" t="str">
        <f t="shared" si="15"/>
        <v>Normal</v>
      </c>
      <c r="N204" s="7"/>
      <c r="O204" s="7"/>
      <c r="P204" s="7"/>
      <c r="Q204" s="7">
        <v>3</v>
      </c>
      <c r="R204" s="7" t="str">
        <f t="shared" si="13"/>
        <v>⭐⭐⭐ (3/5)</v>
      </c>
    </row>
    <row r="205" spans="1:19" x14ac:dyDescent="0.3">
      <c r="H205" s="7" t="str">
        <f t="shared" si="15"/>
        <v>Normal</v>
      </c>
      <c r="N205" s="7"/>
      <c r="O205" s="7"/>
      <c r="P205" s="7"/>
      <c r="Q205" s="7">
        <v>1</v>
      </c>
      <c r="R205" s="7" t="str">
        <f t="shared" si="13"/>
        <v>⭐ (1/5)</v>
      </c>
    </row>
    <row r="206" spans="1:19" x14ac:dyDescent="0.3">
      <c r="H206" s="7" t="str">
        <f t="shared" si="15"/>
        <v>Normal</v>
      </c>
      <c r="N206" s="7"/>
      <c r="O206" s="7"/>
      <c r="P206" s="7"/>
      <c r="Q206" s="7">
        <v>4</v>
      </c>
      <c r="R206" s="7" t="str">
        <f t="shared" si="13"/>
        <v>⭐⭐⭐⭐ (4/5)</v>
      </c>
    </row>
    <row r="207" spans="1:19" x14ac:dyDescent="0.3">
      <c r="H207" s="7" t="str">
        <f t="shared" si="15"/>
        <v>Normal</v>
      </c>
      <c r="N207" s="7"/>
      <c r="O207" s="7"/>
      <c r="P207" s="7"/>
      <c r="Q207" s="7">
        <v>2</v>
      </c>
      <c r="R207" s="7" t="str">
        <f t="shared" si="13"/>
        <v>⭐⭐ (2/5)</v>
      </c>
    </row>
    <row r="208" spans="1:19" x14ac:dyDescent="0.3">
      <c r="H208" s="7" t="str">
        <f t="shared" si="15"/>
        <v>Normal</v>
      </c>
      <c r="N208" s="7"/>
      <c r="O208" s="7"/>
      <c r="P208" s="7"/>
      <c r="Q208" s="7">
        <v>5</v>
      </c>
      <c r="R208" s="7" t="str">
        <f t="shared" si="13"/>
        <v>⭐⭐⭐⭐⭐ (5/5)</v>
      </c>
    </row>
    <row r="209" spans="8:18" x14ac:dyDescent="0.3">
      <c r="H209" s="7" t="str">
        <f t="shared" si="15"/>
        <v>Normal</v>
      </c>
      <c r="N209" s="7"/>
      <c r="O209" s="7"/>
      <c r="P209" s="7"/>
      <c r="Q209" s="7">
        <v>3</v>
      </c>
      <c r="R209" s="7" t="str">
        <f t="shared" si="13"/>
        <v>⭐⭐⭐ (3/5)</v>
      </c>
    </row>
    <row r="210" spans="8:18" x14ac:dyDescent="0.3">
      <c r="H210" s="7" t="str">
        <f t="shared" si="15"/>
        <v>Normal</v>
      </c>
      <c r="N210" s="7"/>
      <c r="O210" s="7"/>
      <c r="P210" s="7"/>
      <c r="Q210" s="7">
        <v>4</v>
      </c>
      <c r="R210" s="7" t="str">
        <f t="shared" si="13"/>
        <v>⭐⭐⭐⭐ (4/5)</v>
      </c>
    </row>
    <row r="211" spans="8:18" x14ac:dyDescent="0.3">
      <c r="H211" s="7" t="str">
        <f t="shared" si="15"/>
        <v>Normal</v>
      </c>
      <c r="N211" s="7"/>
      <c r="O211" s="7"/>
      <c r="P211" s="7"/>
      <c r="Q211" s="7">
        <v>1</v>
      </c>
      <c r="R211" s="7" t="str">
        <f t="shared" si="13"/>
        <v>⭐ (1/5)</v>
      </c>
    </row>
    <row r="212" spans="8:18" x14ac:dyDescent="0.3">
      <c r="H212" s="7" t="str">
        <f t="shared" si="15"/>
        <v>Normal</v>
      </c>
      <c r="N212" s="7"/>
      <c r="O212" s="7"/>
      <c r="P212" s="7"/>
      <c r="Q212" s="7">
        <v>2</v>
      </c>
      <c r="R212" s="7" t="str">
        <f t="shared" si="13"/>
        <v>⭐⭐ (2/5)</v>
      </c>
    </row>
    <row r="213" spans="8:18" x14ac:dyDescent="0.3">
      <c r="H213" s="7" t="str">
        <f t="shared" si="15"/>
        <v>Normal</v>
      </c>
      <c r="N213" s="7"/>
      <c r="O213" s="7"/>
      <c r="P213" s="7"/>
      <c r="Q213" s="7">
        <v>5</v>
      </c>
      <c r="R213" s="7" t="str">
        <f t="shared" si="13"/>
        <v>⭐⭐⭐⭐⭐ (5/5)</v>
      </c>
    </row>
    <row r="214" spans="8:18" x14ac:dyDescent="0.3">
      <c r="H214" s="7" t="str">
        <f t="shared" si="15"/>
        <v>Normal</v>
      </c>
      <c r="N214" s="7"/>
      <c r="O214" s="7"/>
      <c r="P214" s="7"/>
      <c r="Q214" s="7">
        <v>3</v>
      </c>
      <c r="R214" s="7" t="str">
        <f t="shared" si="13"/>
        <v>⭐⭐⭐ (3/5)</v>
      </c>
    </row>
    <row r="215" spans="8:18" x14ac:dyDescent="0.3">
      <c r="H215" s="7" t="str">
        <f t="shared" si="15"/>
        <v>Normal</v>
      </c>
      <c r="N215" s="7"/>
      <c r="O215" s="7"/>
      <c r="P215" s="7"/>
      <c r="Q215" s="7">
        <v>4</v>
      </c>
      <c r="R215" s="7" t="str">
        <f t="shared" si="13"/>
        <v>⭐⭐⭐⭐ (4/5)</v>
      </c>
    </row>
    <row r="216" spans="8:18" x14ac:dyDescent="0.3">
      <c r="H216" s="7" t="str">
        <f t="shared" si="15"/>
        <v>Normal</v>
      </c>
      <c r="N216" s="7"/>
      <c r="O216" s="7"/>
      <c r="P216" s="7"/>
      <c r="Q216" s="7">
        <v>1</v>
      </c>
      <c r="R216" s="7" t="str">
        <f t="shared" si="13"/>
        <v>⭐ (1/5)</v>
      </c>
    </row>
    <row r="217" spans="8:18" x14ac:dyDescent="0.3">
      <c r="H217" s="7" t="str">
        <f t="shared" si="15"/>
        <v>Normal</v>
      </c>
      <c r="N217" s="7"/>
      <c r="O217" s="7"/>
      <c r="P217" s="7"/>
      <c r="Q217" s="7">
        <v>2</v>
      </c>
      <c r="R217" s="7" t="str">
        <f t="shared" si="13"/>
        <v>⭐⭐ (2/5)</v>
      </c>
    </row>
    <row r="218" spans="8:18" x14ac:dyDescent="0.3">
      <c r="H218" s="7" t="str">
        <f t="shared" si="15"/>
        <v>Normal</v>
      </c>
      <c r="N218" s="7"/>
      <c r="O218" s="7"/>
      <c r="P218" s="7"/>
      <c r="Q218" s="7">
        <v>5</v>
      </c>
      <c r="R218" s="7" t="str">
        <f t="shared" si="13"/>
        <v>⭐⭐⭐⭐⭐ (5/5)</v>
      </c>
    </row>
    <row r="219" spans="8:18" x14ac:dyDescent="0.3">
      <c r="H219" s="7" t="str">
        <f t="shared" si="15"/>
        <v>Normal</v>
      </c>
      <c r="N219" s="7"/>
      <c r="O219" s="7"/>
      <c r="P219" s="7"/>
      <c r="Q219" s="7">
        <v>3</v>
      </c>
      <c r="R219" s="7" t="str">
        <f t="shared" si="13"/>
        <v>⭐⭐⭐ (3/5)</v>
      </c>
    </row>
    <row r="220" spans="8:18" x14ac:dyDescent="0.3">
      <c r="H220" s="7" t="str">
        <f t="shared" si="15"/>
        <v>Normal</v>
      </c>
      <c r="N220" s="7"/>
      <c r="O220" s="7"/>
      <c r="P220" s="7"/>
      <c r="Q220" s="7">
        <v>1</v>
      </c>
      <c r="R220" s="7" t="str">
        <f t="shared" si="13"/>
        <v>⭐ (1/5)</v>
      </c>
    </row>
    <row r="221" spans="8:18" x14ac:dyDescent="0.3">
      <c r="H221" s="7" t="str">
        <f t="shared" si="15"/>
        <v>Normal</v>
      </c>
      <c r="N221" s="7"/>
      <c r="O221" s="7"/>
      <c r="P221" s="7"/>
      <c r="Q221" s="7">
        <v>4</v>
      </c>
      <c r="R221" s="7" t="str">
        <f t="shared" si="13"/>
        <v>⭐⭐⭐⭐ (4/5)</v>
      </c>
    </row>
    <row r="222" spans="8:18" x14ac:dyDescent="0.3">
      <c r="H222" s="7" t="str">
        <f t="shared" si="15"/>
        <v>Normal</v>
      </c>
      <c r="N222" s="7"/>
      <c r="O222" s="7"/>
      <c r="P222" s="7"/>
      <c r="Q222" s="7">
        <v>2</v>
      </c>
      <c r="R222" s="7" t="str">
        <f t="shared" si="13"/>
        <v>⭐⭐ (2/5)</v>
      </c>
    </row>
    <row r="223" spans="8:18" x14ac:dyDescent="0.3">
      <c r="H223" s="7" t="str">
        <f t="shared" si="15"/>
        <v>Normal</v>
      </c>
      <c r="N223" s="7"/>
      <c r="O223" s="7"/>
      <c r="P223" s="7"/>
      <c r="Q223" s="7">
        <v>5</v>
      </c>
      <c r="R223" s="7" t="str">
        <f t="shared" si="13"/>
        <v>⭐⭐⭐⭐⭐ (5/5)</v>
      </c>
    </row>
    <row r="224" spans="8:18" x14ac:dyDescent="0.3">
      <c r="H224" s="7" t="str">
        <f t="shared" si="15"/>
        <v>Normal</v>
      </c>
      <c r="N224" s="7"/>
      <c r="O224" s="7"/>
      <c r="P224" s="7"/>
      <c r="Q224" s="7">
        <v>3</v>
      </c>
      <c r="R224" s="7" t="str">
        <f t="shared" si="13"/>
        <v>⭐⭐⭐ (3/5)</v>
      </c>
    </row>
    <row r="225" spans="8:18" x14ac:dyDescent="0.3">
      <c r="H225" s="7" t="str">
        <f t="shared" si="15"/>
        <v>Normal</v>
      </c>
      <c r="N225" s="7"/>
      <c r="O225" s="7"/>
      <c r="P225" s="7"/>
      <c r="Q225" s="7">
        <v>4</v>
      </c>
      <c r="R225" s="7" t="str">
        <f t="shared" si="13"/>
        <v>⭐⭐⭐⭐ (4/5)</v>
      </c>
    </row>
    <row r="226" spans="8:18" x14ac:dyDescent="0.3">
      <c r="H226" s="7" t="str">
        <f t="shared" si="15"/>
        <v>Normal</v>
      </c>
      <c r="N226" s="7"/>
      <c r="O226" s="7"/>
      <c r="P226" s="7"/>
      <c r="Q226" s="7">
        <v>1</v>
      </c>
      <c r="R226" s="7" t="str">
        <f t="shared" si="13"/>
        <v>⭐ (1/5)</v>
      </c>
    </row>
    <row r="227" spans="8:18" x14ac:dyDescent="0.3">
      <c r="H227" s="7" t="str">
        <f t="shared" si="15"/>
        <v>Normal</v>
      </c>
      <c r="N227" s="7"/>
      <c r="O227" s="7"/>
      <c r="P227" s="7"/>
      <c r="Q227" s="7">
        <v>2</v>
      </c>
      <c r="R227" s="7" t="str">
        <f t="shared" si="13"/>
        <v>⭐⭐ (2/5)</v>
      </c>
    </row>
    <row r="228" spans="8:18" x14ac:dyDescent="0.3">
      <c r="H228" s="7" t="str">
        <f t="shared" si="15"/>
        <v>Normal</v>
      </c>
      <c r="N228" s="7"/>
      <c r="O228" s="7"/>
      <c r="P228" s="7"/>
      <c r="Q228" s="7">
        <v>5</v>
      </c>
      <c r="R228" s="7" t="str">
        <f t="shared" si="13"/>
        <v>⭐⭐⭐⭐⭐ (5/5)</v>
      </c>
    </row>
    <row r="229" spans="8:18" x14ac:dyDescent="0.3">
      <c r="H229" s="7" t="str">
        <f t="shared" si="15"/>
        <v>Normal</v>
      </c>
      <c r="N229" s="7"/>
      <c r="O229" s="7"/>
      <c r="P229" s="7"/>
      <c r="Q229" s="7">
        <v>3</v>
      </c>
      <c r="R229" s="7" t="str">
        <f t="shared" si="13"/>
        <v>⭐⭐⭐ (3/5)</v>
      </c>
    </row>
    <row r="230" spans="8:18" x14ac:dyDescent="0.3">
      <c r="H230" s="7" t="str">
        <f t="shared" si="15"/>
        <v>Normal</v>
      </c>
      <c r="N230" s="7"/>
      <c r="O230" s="7"/>
      <c r="P230" s="7"/>
      <c r="Q230" s="7">
        <v>4</v>
      </c>
      <c r="R230" s="7" t="str">
        <f t="shared" si="13"/>
        <v>⭐⭐⭐⭐ (4/5)</v>
      </c>
    </row>
    <row r="231" spans="8:18" x14ac:dyDescent="0.3">
      <c r="H231" s="7" t="str">
        <f t="shared" si="15"/>
        <v>Normal</v>
      </c>
      <c r="N231" s="7"/>
      <c r="O231" s="7"/>
      <c r="P231" s="7"/>
      <c r="Q231" s="7">
        <v>1</v>
      </c>
      <c r="R231" s="7" t="str">
        <f t="shared" si="13"/>
        <v>⭐ (1/5)</v>
      </c>
    </row>
    <row r="232" spans="8:18" x14ac:dyDescent="0.3">
      <c r="H232" s="7" t="str">
        <f t="shared" si="15"/>
        <v>Normal</v>
      </c>
      <c r="N232" s="7"/>
      <c r="O232" s="7"/>
      <c r="P232" s="7"/>
      <c r="Q232" s="7">
        <v>2</v>
      </c>
      <c r="R232" s="7" t="str">
        <f t="shared" si="13"/>
        <v>⭐⭐ (2/5)</v>
      </c>
    </row>
    <row r="233" spans="8:18" x14ac:dyDescent="0.3">
      <c r="H233" s="7" t="str">
        <f t="shared" si="15"/>
        <v>Normal</v>
      </c>
      <c r="N233" s="7"/>
      <c r="O233" s="7"/>
      <c r="P233" s="7"/>
      <c r="Q233" s="7">
        <v>5</v>
      </c>
      <c r="R233" s="7" t="str">
        <f t="shared" si="13"/>
        <v>⭐⭐⭐⭐⭐ (5/5)</v>
      </c>
    </row>
    <row r="234" spans="8:18" x14ac:dyDescent="0.3">
      <c r="H234" s="7" t="str">
        <f t="shared" ref="H234:H265" si="16">IF(G234&lt;0,"Return","Normal")</f>
        <v>Normal</v>
      </c>
      <c r="N234" s="7"/>
      <c r="O234" s="7"/>
      <c r="P234" s="7"/>
      <c r="Q234" s="7">
        <v>3</v>
      </c>
      <c r="R234" s="7" t="str">
        <f t="shared" si="13"/>
        <v>⭐⭐⭐ (3/5)</v>
      </c>
    </row>
    <row r="235" spans="8:18" x14ac:dyDescent="0.3">
      <c r="H235" s="7" t="str">
        <f t="shared" si="16"/>
        <v>Normal</v>
      </c>
      <c r="N235" s="7"/>
      <c r="O235" s="7"/>
      <c r="P235" s="7"/>
      <c r="Q235" s="7">
        <v>1</v>
      </c>
      <c r="R235" s="7" t="str">
        <f t="shared" si="13"/>
        <v>⭐ (1/5)</v>
      </c>
    </row>
    <row r="236" spans="8:18" x14ac:dyDescent="0.3">
      <c r="H236" s="7" t="str">
        <f t="shared" si="16"/>
        <v>Normal</v>
      </c>
      <c r="N236" s="7"/>
      <c r="O236" s="7"/>
      <c r="P236" s="7"/>
      <c r="Q236" s="7">
        <v>4</v>
      </c>
      <c r="R236" s="7" t="str">
        <f t="shared" si="13"/>
        <v>⭐⭐⭐⭐ (4/5)</v>
      </c>
    </row>
    <row r="237" spans="8:18" x14ac:dyDescent="0.3">
      <c r="H237" s="7" t="str">
        <f t="shared" si="16"/>
        <v>Normal</v>
      </c>
      <c r="N237" s="7"/>
      <c r="O237" s="7"/>
      <c r="P237" s="7"/>
      <c r="Q237" s="7">
        <v>2</v>
      </c>
      <c r="R237" s="7" t="str">
        <f t="shared" si="13"/>
        <v>⭐⭐ (2/5)</v>
      </c>
    </row>
    <row r="238" spans="8:18" x14ac:dyDescent="0.3">
      <c r="H238" s="7" t="str">
        <f t="shared" si="16"/>
        <v>Normal</v>
      </c>
      <c r="N238" s="7"/>
      <c r="O238" s="7"/>
      <c r="P238" s="7"/>
      <c r="Q238" s="7">
        <v>5</v>
      </c>
      <c r="R238" s="7" t="str">
        <f t="shared" si="13"/>
        <v>⭐⭐⭐⭐⭐ (5/5)</v>
      </c>
    </row>
    <row r="239" spans="8:18" x14ac:dyDescent="0.3">
      <c r="H239" s="7" t="str">
        <f t="shared" si="16"/>
        <v>Normal</v>
      </c>
      <c r="N239" s="7"/>
      <c r="O239" s="7"/>
      <c r="P239" s="7"/>
      <c r="Q239" s="7">
        <v>3</v>
      </c>
      <c r="R239" s="7" t="str">
        <f t="shared" si="13"/>
        <v>⭐⭐⭐ (3/5)</v>
      </c>
    </row>
    <row r="240" spans="8:18" x14ac:dyDescent="0.3">
      <c r="H240" s="7" t="str">
        <f t="shared" si="16"/>
        <v>Normal</v>
      </c>
      <c r="N240" s="7"/>
      <c r="O240" s="7"/>
      <c r="P240" s="7"/>
      <c r="Q240" s="7">
        <v>4</v>
      </c>
      <c r="R240" s="7" t="str">
        <f t="shared" si="13"/>
        <v>⭐⭐⭐⭐ (4/5)</v>
      </c>
    </row>
    <row r="241" spans="8:18" x14ac:dyDescent="0.3">
      <c r="H241" s="7" t="str">
        <f t="shared" si="16"/>
        <v>Normal</v>
      </c>
      <c r="N241" s="7"/>
      <c r="O241" s="7"/>
      <c r="P241" s="7"/>
      <c r="Q241" s="7">
        <v>1</v>
      </c>
      <c r="R241" s="7" t="str">
        <f t="shared" si="13"/>
        <v>⭐ (1/5)</v>
      </c>
    </row>
    <row r="242" spans="8:18" x14ac:dyDescent="0.3">
      <c r="H242" s="7" t="str">
        <f t="shared" si="16"/>
        <v>Normal</v>
      </c>
      <c r="N242" s="7"/>
      <c r="O242" s="7"/>
      <c r="P242" s="7"/>
      <c r="Q242" s="7">
        <v>2</v>
      </c>
      <c r="R242" s="7" t="str">
        <f t="shared" si="13"/>
        <v>⭐⭐ (2/5)</v>
      </c>
    </row>
    <row r="243" spans="8:18" x14ac:dyDescent="0.3">
      <c r="H243" s="7" t="str">
        <f t="shared" si="16"/>
        <v>Normal</v>
      </c>
      <c r="N243" s="7"/>
      <c r="O243" s="7"/>
      <c r="P243" s="7"/>
      <c r="Q243" s="7">
        <v>5</v>
      </c>
      <c r="R243" s="7" t="str">
        <f t="shared" si="13"/>
        <v>⭐⭐⭐⭐⭐ (5/5)</v>
      </c>
    </row>
    <row r="244" spans="8:18" x14ac:dyDescent="0.3">
      <c r="H244" s="7" t="str">
        <f t="shared" si="16"/>
        <v>Normal</v>
      </c>
      <c r="N244" s="7"/>
      <c r="O244" s="7"/>
      <c r="P244" s="7"/>
      <c r="Q244" s="7">
        <v>3</v>
      </c>
      <c r="R244" s="7" t="str">
        <f t="shared" si="13"/>
        <v>⭐⭐⭐ (3/5)</v>
      </c>
    </row>
    <row r="245" spans="8:18" x14ac:dyDescent="0.3">
      <c r="H245" s="7" t="str">
        <f t="shared" si="16"/>
        <v>Normal</v>
      </c>
      <c r="N245" s="7"/>
      <c r="O245" s="7"/>
      <c r="P245" s="7"/>
      <c r="Q245" s="7">
        <v>4</v>
      </c>
      <c r="R245" s="7" t="str">
        <f t="shared" si="13"/>
        <v>⭐⭐⭐⭐ (4/5)</v>
      </c>
    </row>
    <row r="246" spans="8:18" x14ac:dyDescent="0.3">
      <c r="H246" s="7" t="str">
        <f t="shared" si="16"/>
        <v>Normal</v>
      </c>
      <c r="N246" s="7"/>
      <c r="O246" s="7"/>
      <c r="P246" s="7"/>
      <c r="Q246" s="7">
        <v>1</v>
      </c>
      <c r="R246" s="7" t="str">
        <f t="shared" si="13"/>
        <v>⭐ (1/5)</v>
      </c>
    </row>
    <row r="247" spans="8:18" x14ac:dyDescent="0.3">
      <c r="H247" s="7" t="str">
        <f t="shared" si="16"/>
        <v>Normal</v>
      </c>
      <c r="N247" s="7"/>
      <c r="O247" s="7"/>
      <c r="P247" s="7"/>
      <c r="Q247" s="7">
        <v>2</v>
      </c>
      <c r="R247" s="7" t="str">
        <f t="shared" si="13"/>
        <v>⭐⭐ (2/5)</v>
      </c>
    </row>
    <row r="248" spans="8:18" x14ac:dyDescent="0.3">
      <c r="H248" s="7" t="str">
        <f t="shared" si="16"/>
        <v>Normal</v>
      </c>
      <c r="N248" s="7"/>
      <c r="O248" s="7"/>
      <c r="P248" s="7"/>
      <c r="Q248" s="7">
        <v>5</v>
      </c>
      <c r="R248" s="7" t="str">
        <f t="shared" si="13"/>
        <v>⭐⭐⭐⭐⭐ (5/5)</v>
      </c>
    </row>
    <row r="249" spans="8:18" x14ac:dyDescent="0.3">
      <c r="H249" s="7" t="str">
        <f t="shared" si="16"/>
        <v>Normal</v>
      </c>
      <c r="N249" s="7"/>
      <c r="O249" s="7"/>
      <c r="P249" s="7"/>
      <c r="Q249" s="7">
        <v>3</v>
      </c>
      <c r="R249" s="7" t="str">
        <f t="shared" si="13"/>
        <v>⭐⭐⭐ (3/5)</v>
      </c>
    </row>
    <row r="250" spans="8:18" x14ac:dyDescent="0.3">
      <c r="H250" s="7" t="str">
        <f t="shared" si="16"/>
        <v>Normal</v>
      </c>
      <c r="N250" s="7"/>
      <c r="O250" s="7"/>
      <c r="P250" s="7"/>
      <c r="Q250" s="7">
        <v>1</v>
      </c>
      <c r="R250" s="7" t="str">
        <f t="shared" si="13"/>
        <v>⭐ (1/5)</v>
      </c>
    </row>
    <row r="251" spans="8:18" x14ac:dyDescent="0.3">
      <c r="H251" s="7" t="str">
        <f t="shared" si="16"/>
        <v>Normal</v>
      </c>
      <c r="N251" s="7"/>
      <c r="O251" s="7"/>
      <c r="P251" s="7"/>
      <c r="Q251" s="7">
        <v>4</v>
      </c>
      <c r="R251" s="7" t="str">
        <f t="shared" si="13"/>
        <v>⭐⭐⭐⭐ (4/5)</v>
      </c>
    </row>
    <row r="252" spans="8:18" x14ac:dyDescent="0.3">
      <c r="H252" s="7" t="str">
        <f t="shared" si="16"/>
        <v>Normal</v>
      </c>
      <c r="N252" s="7"/>
      <c r="O252" s="7"/>
      <c r="P252" s="7"/>
      <c r="Q252" s="7">
        <v>2</v>
      </c>
      <c r="R252" s="7" t="str">
        <f t="shared" si="13"/>
        <v>⭐⭐ (2/5)</v>
      </c>
    </row>
    <row r="253" spans="8:18" x14ac:dyDescent="0.3">
      <c r="H253" s="7" t="str">
        <f t="shared" si="16"/>
        <v>Normal</v>
      </c>
      <c r="N253" s="7"/>
      <c r="O253" s="7"/>
      <c r="P253" s="7"/>
      <c r="Q253" s="7">
        <v>5</v>
      </c>
      <c r="R253" s="7" t="str">
        <f t="shared" si="13"/>
        <v>⭐⭐⭐⭐⭐ (5/5)</v>
      </c>
    </row>
    <row r="254" spans="8:18" x14ac:dyDescent="0.3">
      <c r="H254" s="7" t="str">
        <f t="shared" si="16"/>
        <v>Normal</v>
      </c>
      <c r="N254" s="7"/>
      <c r="O254" s="7"/>
      <c r="P254" s="7"/>
      <c r="Q254" s="7">
        <v>3</v>
      </c>
      <c r="R254" s="7" t="str">
        <f t="shared" si="13"/>
        <v>⭐⭐⭐ (3/5)</v>
      </c>
    </row>
    <row r="255" spans="8:18" x14ac:dyDescent="0.3">
      <c r="H255" s="7" t="str">
        <f t="shared" si="16"/>
        <v>Normal</v>
      </c>
      <c r="N255" s="7"/>
      <c r="O255" s="7"/>
      <c r="P255" s="7"/>
      <c r="Q255" s="7">
        <v>4</v>
      </c>
      <c r="R255" s="7" t="str">
        <f t="shared" si="13"/>
        <v>⭐⭐⭐⭐ (4/5)</v>
      </c>
    </row>
    <row r="256" spans="8:18" x14ac:dyDescent="0.3">
      <c r="H256" s="7" t="str">
        <f t="shared" si="16"/>
        <v>Normal</v>
      </c>
      <c r="N256" s="7"/>
      <c r="O256" s="7"/>
      <c r="P256" s="7"/>
      <c r="Q256" s="7">
        <v>1</v>
      </c>
      <c r="R256" s="7" t="str">
        <f t="shared" si="13"/>
        <v>⭐ (1/5)</v>
      </c>
    </row>
    <row r="257" spans="8:18" x14ac:dyDescent="0.3">
      <c r="H257" s="7" t="str">
        <f t="shared" si="16"/>
        <v>Normal</v>
      </c>
      <c r="N257" s="7"/>
      <c r="O257" s="7"/>
      <c r="P257" s="7"/>
      <c r="Q257" s="7">
        <v>2</v>
      </c>
      <c r="R257" s="7" t="str">
        <f t="shared" si="13"/>
        <v>⭐⭐ (2/5)</v>
      </c>
    </row>
    <row r="258" spans="8:18" x14ac:dyDescent="0.3">
      <c r="H258" s="7" t="str">
        <f t="shared" si="16"/>
        <v>Normal</v>
      </c>
      <c r="N258" s="7"/>
      <c r="O258" s="7"/>
      <c r="P258" s="7"/>
      <c r="Q258" s="7">
        <v>5</v>
      </c>
      <c r="R258" s="7" t="str">
        <f t="shared" ref="R258:R321" si="17">REPT("⭐",Q258) &amp; " (" &amp; Q258 &amp; "/5)"</f>
        <v>⭐⭐⭐⭐⭐ (5/5)</v>
      </c>
    </row>
    <row r="259" spans="8:18" x14ac:dyDescent="0.3">
      <c r="H259" s="7" t="str">
        <f t="shared" si="16"/>
        <v>Normal</v>
      </c>
      <c r="N259" s="7"/>
      <c r="O259" s="7"/>
      <c r="P259" s="7"/>
      <c r="Q259" s="7">
        <v>3</v>
      </c>
      <c r="R259" s="7" t="str">
        <f t="shared" si="17"/>
        <v>⭐⭐⭐ (3/5)</v>
      </c>
    </row>
    <row r="260" spans="8:18" x14ac:dyDescent="0.3">
      <c r="H260" s="7" t="str">
        <f t="shared" si="16"/>
        <v>Normal</v>
      </c>
      <c r="N260" s="7"/>
      <c r="O260" s="7"/>
      <c r="P260" s="7"/>
      <c r="Q260" s="7">
        <v>4</v>
      </c>
      <c r="R260" s="7" t="str">
        <f t="shared" si="17"/>
        <v>⭐⭐⭐⭐ (4/5)</v>
      </c>
    </row>
    <row r="261" spans="8:18" x14ac:dyDescent="0.3">
      <c r="H261" s="7" t="str">
        <f t="shared" si="16"/>
        <v>Normal</v>
      </c>
      <c r="N261" s="7"/>
      <c r="O261" s="7"/>
      <c r="P261" s="7"/>
      <c r="Q261" s="7">
        <v>1</v>
      </c>
      <c r="R261" s="7" t="str">
        <f t="shared" si="17"/>
        <v>⭐ (1/5)</v>
      </c>
    </row>
    <row r="262" spans="8:18" x14ac:dyDescent="0.3">
      <c r="H262" s="7" t="str">
        <f t="shared" si="16"/>
        <v>Normal</v>
      </c>
      <c r="N262" s="7"/>
      <c r="O262" s="7"/>
      <c r="P262" s="7"/>
      <c r="Q262" s="7">
        <v>2</v>
      </c>
      <c r="R262" s="7" t="str">
        <f t="shared" si="17"/>
        <v>⭐⭐ (2/5)</v>
      </c>
    </row>
    <row r="263" spans="8:18" x14ac:dyDescent="0.3">
      <c r="H263" s="7" t="str">
        <f t="shared" si="16"/>
        <v>Normal</v>
      </c>
      <c r="N263" s="7"/>
      <c r="O263" s="7"/>
      <c r="P263" s="7"/>
      <c r="Q263" s="7">
        <v>5</v>
      </c>
      <c r="R263" s="7" t="str">
        <f t="shared" si="17"/>
        <v>⭐⭐⭐⭐⭐ (5/5)</v>
      </c>
    </row>
    <row r="264" spans="8:18" x14ac:dyDescent="0.3">
      <c r="H264" s="7" t="str">
        <f t="shared" si="16"/>
        <v>Normal</v>
      </c>
      <c r="N264" s="7"/>
      <c r="O264" s="7"/>
      <c r="P264" s="7"/>
      <c r="Q264" s="7">
        <v>3</v>
      </c>
      <c r="R264" s="7" t="str">
        <f t="shared" si="17"/>
        <v>⭐⭐⭐ (3/5)</v>
      </c>
    </row>
    <row r="265" spans="8:18" x14ac:dyDescent="0.3">
      <c r="H265" s="7" t="str">
        <f t="shared" si="16"/>
        <v>Normal</v>
      </c>
      <c r="N265" s="7"/>
      <c r="O265" s="7"/>
      <c r="P265" s="7"/>
      <c r="Q265" s="7">
        <v>1</v>
      </c>
      <c r="R265" s="7" t="str">
        <f t="shared" si="17"/>
        <v>⭐ (1/5)</v>
      </c>
    </row>
    <row r="266" spans="8:18" x14ac:dyDescent="0.3">
      <c r="H266" s="7" t="str">
        <f t="shared" ref="H266:H297" si="18">IF(G266&lt;0,"Return","Normal")</f>
        <v>Normal</v>
      </c>
      <c r="N266" s="7"/>
      <c r="O266" s="7"/>
      <c r="P266" s="7"/>
      <c r="Q266" s="7">
        <v>4</v>
      </c>
      <c r="R266" s="7" t="str">
        <f t="shared" si="17"/>
        <v>⭐⭐⭐⭐ (4/5)</v>
      </c>
    </row>
    <row r="267" spans="8:18" x14ac:dyDescent="0.3">
      <c r="H267" s="7" t="str">
        <f t="shared" si="18"/>
        <v>Normal</v>
      </c>
      <c r="N267" s="7"/>
      <c r="O267" s="7"/>
      <c r="P267" s="7"/>
      <c r="Q267" s="7">
        <v>2</v>
      </c>
      <c r="R267" s="7" t="str">
        <f t="shared" si="17"/>
        <v>⭐⭐ (2/5)</v>
      </c>
    </row>
    <row r="268" spans="8:18" x14ac:dyDescent="0.3">
      <c r="H268" s="7" t="str">
        <f t="shared" si="18"/>
        <v>Normal</v>
      </c>
      <c r="N268" s="7"/>
      <c r="O268" s="7"/>
      <c r="P268" s="7"/>
      <c r="Q268" s="7">
        <v>5</v>
      </c>
      <c r="R268" s="7" t="str">
        <f t="shared" si="17"/>
        <v>⭐⭐⭐⭐⭐ (5/5)</v>
      </c>
    </row>
    <row r="269" spans="8:18" x14ac:dyDescent="0.3">
      <c r="H269" s="7" t="str">
        <f t="shared" si="18"/>
        <v>Normal</v>
      </c>
      <c r="N269" s="7"/>
      <c r="O269" s="7"/>
      <c r="P269" s="7"/>
      <c r="Q269" s="7">
        <v>3</v>
      </c>
      <c r="R269" s="7" t="str">
        <f t="shared" si="17"/>
        <v>⭐⭐⭐ (3/5)</v>
      </c>
    </row>
    <row r="270" spans="8:18" x14ac:dyDescent="0.3">
      <c r="H270" s="7" t="str">
        <f t="shared" si="18"/>
        <v>Normal</v>
      </c>
      <c r="N270" s="7"/>
      <c r="O270" s="7"/>
      <c r="P270" s="7"/>
      <c r="Q270" s="7">
        <v>4</v>
      </c>
      <c r="R270" s="7" t="str">
        <f t="shared" si="17"/>
        <v>⭐⭐⭐⭐ (4/5)</v>
      </c>
    </row>
    <row r="271" spans="8:18" x14ac:dyDescent="0.3">
      <c r="H271" s="7" t="str">
        <f t="shared" si="18"/>
        <v>Normal</v>
      </c>
      <c r="N271" s="7"/>
      <c r="O271" s="7"/>
      <c r="P271" s="7"/>
      <c r="Q271" s="7">
        <v>1</v>
      </c>
      <c r="R271" s="7" t="str">
        <f t="shared" si="17"/>
        <v>⭐ (1/5)</v>
      </c>
    </row>
    <row r="272" spans="8:18" x14ac:dyDescent="0.3">
      <c r="H272" s="7" t="str">
        <f t="shared" si="18"/>
        <v>Normal</v>
      </c>
      <c r="N272" s="7"/>
      <c r="O272" s="7"/>
      <c r="P272" s="7"/>
      <c r="Q272" s="7">
        <v>2</v>
      </c>
      <c r="R272" s="7" t="str">
        <f t="shared" si="17"/>
        <v>⭐⭐ (2/5)</v>
      </c>
    </row>
    <row r="273" spans="8:18" x14ac:dyDescent="0.3">
      <c r="H273" s="7" t="str">
        <f t="shared" si="18"/>
        <v>Normal</v>
      </c>
      <c r="N273" s="7"/>
      <c r="O273" s="7"/>
      <c r="P273" s="7"/>
      <c r="Q273" s="7">
        <v>5</v>
      </c>
      <c r="R273" s="7" t="str">
        <f t="shared" si="17"/>
        <v>⭐⭐⭐⭐⭐ (5/5)</v>
      </c>
    </row>
    <row r="274" spans="8:18" x14ac:dyDescent="0.3">
      <c r="H274" s="7" t="str">
        <f t="shared" si="18"/>
        <v>Normal</v>
      </c>
      <c r="N274" s="7"/>
      <c r="O274" s="7"/>
      <c r="P274" s="7"/>
      <c r="Q274" s="7">
        <v>3</v>
      </c>
      <c r="R274" s="7" t="str">
        <f t="shared" si="17"/>
        <v>⭐⭐⭐ (3/5)</v>
      </c>
    </row>
    <row r="275" spans="8:18" x14ac:dyDescent="0.3">
      <c r="H275" s="7" t="str">
        <f t="shared" si="18"/>
        <v>Normal</v>
      </c>
      <c r="N275" s="7"/>
      <c r="O275" s="7"/>
      <c r="P275" s="7"/>
      <c r="Q275" s="7">
        <v>4</v>
      </c>
      <c r="R275" s="7" t="str">
        <f t="shared" si="17"/>
        <v>⭐⭐⭐⭐ (4/5)</v>
      </c>
    </row>
    <row r="276" spans="8:18" x14ac:dyDescent="0.3">
      <c r="H276" s="7" t="str">
        <f t="shared" si="18"/>
        <v>Normal</v>
      </c>
      <c r="N276" s="7"/>
      <c r="O276" s="7"/>
      <c r="P276" s="7"/>
      <c r="Q276" s="7">
        <v>1</v>
      </c>
      <c r="R276" s="7" t="str">
        <f t="shared" si="17"/>
        <v>⭐ (1/5)</v>
      </c>
    </row>
    <row r="277" spans="8:18" x14ac:dyDescent="0.3">
      <c r="H277" s="7" t="str">
        <f t="shared" si="18"/>
        <v>Normal</v>
      </c>
      <c r="N277" s="7"/>
      <c r="O277" s="7"/>
      <c r="P277" s="7"/>
      <c r="Q277" s="7">
        <v>2</v>
      </c>
      <c r="R277" s="7" t="str">
        <f t="shared" si="17"/>
        <v>⭐⭐ (2/5)</v>
      </c>
    </row>
    <row r="278" spans="8:18" x14ac:dyDescent="0.3">
      <c r="H278" s="7" t="str">
        <f t="shared" si="18"/>
        <v>Normal</v>
      </c>
      <c r="N278" s="7"/>
      <c r="O278" s="7"/>
      <c r="P278" s="7"/>
      <c r="Q278" s="7">
        <v>5</v>
      </c>
      <c r="R278" s="7" t="str">
        <f t="shared" si="17"/>
        <v>⭐⭐⭐⭐⭐ (5/5)</v>
      </c>
    </row>
    <row r="279" spans="8:18" x14ac:dyDescent="0.3">
      <c r="H279" s="7" t="str">
        <f t="shared" si="18"/>
        <v>Normal</v>
      </c>
      <c r="N279" s="7"/>
      <c r="O279" s="7"/>
      <c r="P279" s="7"/>
      <c r="Q279" s="7">
        <v>3</v>
      </c>
      <c r="R279" s="7" t="str">
        <f t="shared" si="17"/>
        <v>⭐⭐⭐ (3/5)</v>
      </c>
    </row>
    <row r="280" spans="8:18" x14ac:dyDescent="0.3">
      <c r="H280" s="7" t="str">
        <f t="shared" si="18"/>
        <v>Normal</v>
      </c>
      <c r="N280" s="7"/>
      <c r="O280" s="7"/>
      <c r="P280" s="7"/>
      <c r="Q280" s="7">
        <v>1</v>
      </c>
      <c r="R280" s="7" t="str">
        <f t="shared" si="17"/>
        <v>⭐ (1/5)</v>
      </c>
    </row>
    <row r="281" spans="8:18" x14ac:dyDescent="0.3">
      <c r="H281" s="7" t="str">
        <f t="shared" si="18"/>
        <v>Normal</v>
      </c>
      <c r="N281" s="7"/>
      <c r="O281" s="7"/>
      <c r="P281" s="7"/>
      <c r="Q281" s="7">
        <v>4</v>
      </c>
      <c r="R281" s="7" t="str">
        <f t="shared" si="17"/>
        <v>⭐⭐⭐⭐ (4/5)</v>
      </c>
    </row>
    <row r="282" spans="8:18" x14ac:dyDescent="0.3">
      <c r="H282" s="7" t="str">
        <f t="shared" si="18"/>
        <v>Normal</v>
      </c>
      <c r="N282" s="7"/>
      <c r="O282" s="7"/>
      <c r="P282" s="7"/>
      <c r="Q282" s="7">
        <v>2</v>
      </c>
      <c r="R282" s="7" t="str">
        <f t="shared" si="17"/>
        <v>⭐⭐ (2/5)</v>
      </c>
    </row>
    <row r="283" spans="8:18" x14ac:dyDescent="0.3">
      <c r="H283" s="7" t="str">
        <f t="shared" si="18"/>
        <v>Normal</v>
      </c>
      <c r="N283" s="7"/>
      <c r="O283" s="7"/>
      <c r="P283" s="7"/>
      <c r="Q283" s="7">
        <v>5</v>
      </c>
      <c r="R283" s="7" t="str">
        <f t="shared" si="17"/>
        <v>⭐⭐⭐⭐⭐ (5/5)</v>
      </c>
    </row>
    <row r="284" spans="8:18" x14ac:dyDescent="0.3">
      <c r="H284" s="7" t="str">
        <f t="shared" si="18"/>
        <v>Normal</v>
      </c>
      <c r="N284" s="7"/>
      <c r="O284" s="7"/>
      <c r="P284" s="7"/>
      <c r="Q284" s="7">
        <v>3</v>
      </c>
      <c r="R284" s="7" t="str">
        <f t="shared" si="17"/>
        <v>⭐⭐⭐ (3/5)</v>
      </c>
    </row>
    <row r="285" spans="8:18" x14ac:dyDescent="0.3">
      <c r="H285" s="7" t="str">
        <f t="shared" si="18"/>
        <v>Normal</v>
      </c>
      <c r="N285" s="7"/>
      <c r="O285" s="7"/>
      <c r="P285" s="7"/>
      <c r="Q285" s="7">
        <v>4</v>
      </c>
      <c r="R285" s="7" t="str">
        <f t="shared" si="17"/>
        <v>⭐⭐⭐⭐ (4/5)</v>
      </c>
    </row>
    <row r="286" spans="8:18" x14ac:dyDescent="0.3">
      <c r="H286" s="7" t="str">
        <f t="shared" si="18"/>
        <v>Normal</v>
      </c>
      <c r="N286" s="7"/>
      <c r="O286" s="7"/>
      <c r="P286" s="7"/>
      <c r="Q286" s="7">
        <v>1</v>
      </c>
      <c r="R286" s="7" t="str">
        <f t="shared" si="17"/>
        <v>⭐ (1/5)</v>
      </c>
    </row>
    <row r="287" spans="8:18" x14ac:dyDescent="0.3">
      <c r="H287" s="7" t="str">
        <f t="shared" si="18"/>
        <v>Normal</v>
      </c>
      <c r="N287" s="7"/>
      <c r="O287" s="7"/>
      <c r="P287" s="7"/>
      <c r="Q287" s="7">
        <v>2</v>
      </c>
      <c r="R287" s="7" t="str">
        <f t="shared" si="17"/>
        <v>⭐⭐ (2/5)</v>
      </c>
    </row>
    <row r="288" spans="8:18" x14ac:dyDescent="0.3">
      <c r="H288" s="7" t="str">
        <f t="shared" si="18"/>
        <v>Normal</v>
      </c>
      <c r="N288" s="7"/>
      <c r="O288" s="7"/>
      <c r="P288" s="7"/>
      <c r="Q288" s="7">
        <v>5</v>
      </c>
      <c r="R288" s="7" t="str">
        <f t="shared" si="17"/>
        <v>⭐⭐⭐⭐⭐ (5/5)</v>
      </c>
    </row>
    <row r="289" spans="8:18" x14ac:dyDescent="0.3">
      <c r="H289" s="7" t="str">
        <f t="shared" si="18"/>
        <v>Normal</v>
      </c>
      <c r="N289" s="7"/>
      <c r="O289" s="7"/>
      <c r="P289" s="7"/>
      <c r="Q289" s="7">
        <v>3</v>
      </c>
      <c r="R289" s="7" t="str">
        <f t="shared" si="17"/>
        <v>⭐⭐⭐ (3/5)</v>
      </c>
    </row>
    <row r="290" spans="8:18" x14ac:dyDescent="0.3">
      <c r="H290" s="7" t="str">
        <f t="shared" si="18"/>
        <v>Normal</v>
      </c>
      <c r="N290" s="7"/>
      <c r="O290" s="7"/>
      <c r="P290" s="7"/>
      <c r="Q290" s="7">
        <v>4</v>
      </c>
      <c r="R290" s="7" t="str">
        <f t="shared" si="17"/>
        <v>⭐⭐⭐⭐ (4/5)</v>
      </c>
    </row>
    <row r="291" spans="8:18" x14ac:dyDescent="0.3">
      <c r="H291" s="7" t="str">
        <f t="shared" si="18"/>
        <v>Normal</v>
      </c>
      <c r="N291" s="7"/>
      <c r="O291" s="7"/>
      <c r="P291" s="7"/>
      <c r="Q291" s="7">
        <v>1</v>
      </c>
      <c r="R291" s="7" t="str">
        <f t="shared" si="17"/>
        <v>⭐ (1/5)</v>
      </c>
    </row>
    <row r="292" spans="8:18" x14ac:dyDescent="0.3">
      <c r="H292" s="7" t="str">
        <f t="shared" si="18"/>
        <v>Normal</v>
      </c>
      <c r="N292" s="7"/>
      <c r="O292" s="7"/>
      <c r="P292" s="7"/>
      <c r="Q292" s="7">
        <v>2</v>
      </c>
      <c r="R292" s="7" t="str">
        <f t="shared" si="17"/>
        <v>⭐⭐ (2/5)</v>
      </c>
    </row>
    <row r="293" spans="8:18" x14ac:dyDescent="0.3">
      <c r="H293" s="7" t="str">
        <f t="shared" si="18"/>
        <v>Normal</v>
      </c>
      <c r="N293" s="7"/>
      <c r="O293" s="7"/>
      <c r="P293" s="7"/>
      <c r="Q293" s="7">
        <v>5</v>
      </c>
      <c r="R293" s="7" t="str">
        <f t="shared" si="17"/>
        <v>⭐⭐⭐⭐⭐ (5/5)</v>
      </c>
    </row>
    <row r="294" spans="8:18" x14ac:dyDescent="0.3">
      <c r="H294" s="7" t="str">
        <f t="shared" si="18"/>
        <v>Normal</v>
      </c>
      <c r="N294" s="7"/>
      <c r="O294" s="7"/>
      <c r="P294" s="7"/>
      <c r="Q294" s="7">
        <v>3</v>
      </c>
      <c r="R294" s="7" t="str">
        <f t="shared" si="17"/>
        <v>⭐⭐⭐ (3/5)</v>
      </c>
    </row>
    <row r="295" spans="8:18" x14ac:dyDescent="0.3">
      <c r="H295" s="7" t="str">
        <f t="shared" si="18"/>
        <v>Normal</v>
      </c>
      <c r="N295" s="7"/>
      <c r="O295" s="7"/>
      <c r="P295" s="7"/>
      <c r="Q295" s="7">
        <v>1</v>
      </c>
      <c r="R295" s="7" t="str">
        <f t="shared" si="17"/>
        <v>⭐ (1/5)</v>
      </c>
    </row>
    <row r="296" spans="8:18" x14ac:dyDescent="0.3">
      <c r="H296" s="7" t="str">
        <f t="shared" si="18"/>
        <v>Normal</v>
      </c>
      <c r="N296" s="7"/>
      <c r="O296" s="7"/>
      <c r="P296" s="7"/>
      <c r="Q296" s="7">
        <v>4</v>
      </c>
      <c r="R296" s="7" t="str">
        <f t="shared" si="17"/>
        <v>⭐⭐⭐⭐ (4/5)</v>
      </c>
    </row>
    <row r="297" spans="8:18" x14ac:dyDescent="0.3">
      <c r="H297" s="7" t="str">
        <f t="shared" si="18"/>
        <v>Normal</v>
      </c>
      <c r="N297" s="7"/>
      <c r="O297" s="7"/>
      <c r="P297" s="7"/>
      <c r="Q297" s="7">
        <v>2</v>
      </c>
      <c r="R297" s="7" t="str">
        <f t="shared" si="17"/>
        <v>⭐⭐ (2/5)</v>
      </c>
    </row>
    <row r="298" spans="8:18" x14ac:dyDescent="0.3">
      <c r="H298" s="7" t="str">
        <f t="shared" ref="H298:H329" si="19">IF(G298&lt;0,"Return","Normal")</f>
        <v>Normal</v>
      </c>
      <c r="N298" s="7"/>
      <c r="O298" s="7"/>
      <c r="P298" s="7"/>
      <c r="Q298" s="7">
        <v>5</v>
      </c>
      <c r="R298" s="7" t="str">
        <f t="shared" si="17"/>
        <v>⭐⭐⭐⭐⭐ (5/5)</v>
      </c>
    </row>
    <row r="299" spans="8:18" x14ac:dyDescent="0.3">
      <c r="H299" s="7" t="str">
        <f t="shared" si="19"/>
        <v>Normal</v>
      </c>
      <c r="N299" s="7"/>
      <c r="O299" s="7"/>
      <c r="P299" s="7"/>
      <c r="Q299" s="7">
        <v>3</v>
      </c>
      <c r="R299" s="7" t="str">
        <f t="shared" si="17"/>
        <v>⭐⭐⭐ (3/5)</v>
      </c>
    </row>
    <row r="300" spans="8:18" x14ac:dyDescent="0.3">
      <c r="H300" s="7" t="str">
        <f t="shared" si="19"/>
        <v>Normal</v>
      </c>
      <c r="N300" s="7"/>
      <c r="O300" s="7"/>
      <c r="P300" s="7"/>
      <c r="Q300" s="7">
        <v>4</v>
      </c>
      <c r="R300" s="7" t="str">
        <f t="shared" si="17"/>
        <v>⭐⭐⭐⭐ (4/5)</v>
      </c>
    </row>
    <row r="301" spans="8:18" x14ac:dyDescent="0.3">
      <c r="H301" s="7" t="str">
        <f t="shared" si="19"/>
        <v>Normal</v>
      </c>
      <c r="N301" s="7"/>
      <c r="O301" s="7"/>
      <c r="P301" s="7"/>
      <c r="Q301" s="7">
        <v>1</v>
      </c>
      <c r="R301" s="7" t="str">
        <f t="shared" si="17"/>
        <v>⭐ (1/5)</v>
      </c>
    </row>
    <row r="302" spans="8:18" x14ac:dyDescent="0.3">
      <c r="H302" s="7" t="str">
        <f t="shared" si="19"/>
        <v>Normal</v>
      </c>
      <c r="N302" s="7"/>
      <c r="O302" s="7"/>
      <c r="P302" s="7"/>
      <c r="Q302" s="7">
        <v>2</v>
      </c>
      <c r="R302" s="7" t="str">
        <f t="shared" si="17"/>
        <v>⭐⭐ (2/5)</v>
      </c>
    </row>
    <row r="303" spans="8:18" x14ac:dyDescent="0.3">
      <c r="H303" s="7" t="str">
        <f t="shared" si="19"/>
        <v>Normal</v>
      </c>
      <c r="N303" s="7"/>
      <c r="O303" s="7"/>
      <c r="P303" s="7"/>
      <c r="Q303" s="7">
        <v>5</v>
      </c>
      <c r="R303" s="7" t="str">
        <f t="shared" si="17"/>
        <v>⭐⭐⭐⭐⭐ (5/5)</v>
      </c>
    </row>
    <row r="304" spans="8:18" x14ac:dyDescent="0.3">
      <c r="H304" s="7" t="str">
        <f t="shared" si="19"/>
        <v>Normal</v>
      </c>
      <c r="N304" s="7"/>
      <c r="O304" s="7"/>
      <c r="P304" s="7"/>
      <c r="Q304" s="7">
        <v>3</v>
      </c>
      <c r="R304" s="7" t="str">
        <f t="shared" si="17"/>
        <v>⭐⭐⭐ (3/5)</v>
      </c>
    </row>
    <row r="305" spans="8:18" x14ac:dyDescent="0.3">
      <c r="H305" s="7" t="str">
        <f t="shared" si="19"/>
        <v>Normal</v>
      </c>
      <c r="N305" s="7"/>
      <c r="O305" s="7"/>
      <c r="P305" s="7"/>
      <c r="Q305" s="7">
        <v>4</v>
      </c>
      <c r="R305" s="7" t="str">
        <f t="shared" si="17"/>
        <v>⭐⭐⭐⭐ (4/5)</v>
      </c>
    </row>
    <row r="306" spans="8:18" x14ac:dyDescent="0.3">
      <c r="H306" s="7" t="str">
        <f t="shared" si="19"/>
        <v>Normal</v>
      </c>
      <c r="N306" s="7"/>
      <c r="O306" s="7"/>
      <c r="P306" s="7"/>
      <c r="Q306" s="7">
        <v>1</v>
      </c>
      <c r="R306" s="7" t="str">
        <f t="shared" si="17"/>
        <v>⭐ (1/5)</v>
      </c>
    </row>
    <row r="307" spans="8:18" x14ac:dyDescent="0.3">
      <c r="H307" s="7" t="str">
        <f t="shared" si="19"/>
        <v>Normal</v>
      </c>
      <c r="N307" s="7"/>
      <c r="O307" s="7"/>
      <c r="P307" s="7"/>
      <c r="Q307" s="7">
        <v>2</v>
      </c>
      <c r="R307" s="7" t="str">
        <f t="shared" si="17"/>
        <v>⭐⭐ (2/5)</v>
      </c>
    </row>
    <row r="308" spans="8:18" x14ac:dyDescent="0.3">
      <c r="H308" s="7" t="str">
        <f t="shared" si="19"/>
        <v>Normal</v>
      </c>
      <c r="N308" s="7"/>
      <c r="O308" s="7"/>
      <c r="P308" s="7"/>
      <c r="Q308" s="7">
        <v>5</v>
      </c>
      <c r="R308" s="7" t="str">
        <f t="shared" si="17"/>
        <v>⭐⭐⭐⭐⭐ (5/5)</v>
      </c>
    </row>
    <row r="309" spans="8:18" x14ac:dyDescent="0.3">
      <c r="H309" s="7" t="str">
        <f t="shared" si="19"/>
        <v>Normal</v>
      </c>
      <c r="N309" s="7"/>
      <c r="O309" s="7"/>
      <c r="P309" s="7"/>
      <c r="Q309" s="7">
        <v>3</v>
      </c>
      <c r="R309" s="7" t="str">
        <f t="shared" si="17"/>
        <v>⭐⭐⭐ (3/5)</v>
      </c>
    </row>
    <row r="310" spans="8:18" x14ac:dyDescent="0.3">
      <c r="H310" s="7" t="str">
        <f t="shared" si="19"/>
        <v>Normal</v>
      </c>
      <c r="N310" s="7"/>
      <c r="O310" s="7"/>
      <c r="P310" s="7"/>
      <c r="Q310" s="7">
        <v>1</v>
      </c>
      <c r="R310" s="7" t="str">
        <f t="shared" si="17"/>
        <v>⭐ (1/5)</v>
      </c>
    </row>
    <row r="311" spans="8:18" x14ac:dyDescent="0.3">
      <c r="H311" s="7" t="str">
        <f t="shared" si="19"/>
        <v>Normal</v>
      </c>
      <c r="N311" s="7"/>
      <c r="O311" s="7"/>
      <c r="P311" s="7"/>
      <c r="Q311" s="7">
        <v>4</v>
      </c>
      <c r="R311" s="7" t="str">
        <f t="shared" si="17"/>
        <v>⭐⭐⭐⭐ (4/5)</v>
      </c>
    </row>
    <row r="312" spans="8:18" x14ac:dyDescent="0.3">
      <c r="H312" s="7" t="str">
        <f t="shared" si="19"/>
        <v>Normal</v>
      </c>
      <c r="N312" s="7"/>
      <c r="O312" s="7"/>
      <c r="P312" s="7"/>
      <c r="Q312" s="7">
        <v>2</v>
      </c>
      <c r="R312" s="7" t="str">
        <f t="shared" si="17"/>
        <v>⭐⭐ (2/5)</v>
      </c>
    </row>
    <row r="313" spans="8:18" x14ac:dyDescent="0.3">
      <c r="H313" s="7" t="str">
        <f t="shared" si="19"/>
        <v>Normal</v>
      </c>
      <c r="N313" s="7"/>
      <c r="O313" s="7"/>
      <c r="P313" s="7"/>
      <c r="Q313" s="7">
        <v>5</v>
      </c>
      <c r="R313" s="7" t="str">
        <f t="shared" si="17"/>
        <v>⭐⭐⭐⭐⭐ (5/5)</v>
      </c>
    </row>
    <row r="314" spans="8:18" x14ac:dyDescent="0.3">
      <c r="H314" s="7" t="str">
        <f t="shared" si="19"/>
        <v>Normal</v>
      </c>
      <c r="N314" s="7"/>
      <c r="O314" s="7"/>
      <c r="P314" s="7"/>
      <c r="Q314" s="7">
        <v>3</v>
      </c>
      <c r="R314" s="7" t="str">
        <f t="shared" si="17"/>
        <v>⭐⭐⭐ (3/5)</v>
      </c>
    </row>
    <row r="315" spans="8:18" x14ac:dyDescent="0.3">
      <c r="H315" s="7" t="str">
        <f t="shared" si="19"/>
        <v>Normal</v>
      </c>
      <c r="N315" s="7"/>
      <c r="O315" s="7"/>
      <c r="P315" s="7"/>
      <c r="Q315" s="7">
        <v>4</v>
      </c>
      <c r="R315" s="7" t="str">
        <f t="shared" si="17"/>
        <v>⭐⭐⭐⭐ (4/5)</v>
      </c>
    </row>
    <row r="316" spans="8:18" x14ac:dyDescent="0.3">
      <c r="H316" s="7" t="str">
        <f t="shared" si="19"/>
        <v>Normal</v>
      </c>
      <c r="N316" s="7"/>
      <c r="O316" s="7"/>
      <c r="P316" s="7"/>
      <c r="Q316" s="7">
        <v>1</v>
      </c>
      <c r="R316" s="7" t="str">
        <f t="shared" si="17"/>
        <v>⭐ (1/5)</v>
      </c>
    </row>
    <row r="317" spans="8:18" x14ac:dyDescent="0.3">
      <c r="H317" s="7" t="str">
        <f t="shared" si="19"/>
        <v>Normal</v>
      </c>
      <c r="N317" s="7"/>
      <c r="O317" s="7"/>
      <c r="P317" s="7"/>
      <c r="Q317" s="7">
        <v>2</v>
      </c>
      <c r="R317" s="7" t="str">
        <f t="shared" si="17"/>
        <v>⭐⭐ (2/5)</v>
      </c>
    </row>
    <row r="318" spans="8:18" x14ac:dyDescent="0.3">
      <c r="H318" s="7" t="str">
        <f t="shared" si="19"/>
        <v>Normal</v>
      </c>
      <c r="N318" s="7"/>
      <c r="O318" s="7"/>
      <c r="P318" s="7"/>
      <c r="Q318" s="7">
        <v>5</v>
      </c>
      <c r="R318" s="7" t="str">
        <f t="shared" si="17"/>
        <v>⭐⭐⭐⭐⭐ (5/5)</v>
      </c>
    </row>
    <row r="319" spans="8:18" x14ac:dyDescent="0.3">
      <c r="H319" s="7" t="str">
        <f t="shared" si="19"/>
        <v>Normal</v>
      </c>
      <c r="N319" s="7"/>
      <c r="O319" s="7"/>
      <c r="P319" s="7"/>
      <c r="Q319" s="7">
        <v>3</v>
      </c>
      <c r="R319" s="7" t="str">
        <f t="shared" si="17"/>
        <v>⭐⭐⭐ (3/5)</v>
      </c>
    </row>
    <row r="320" spans="8:18" x14ac:dyDescent="0.3">
      <c r="H320" s="7" t="str">
        <f t="shared" si="19"/>
        <v>Normal</v>
      </c>
      <c r="N320" s="7"/>
      <c r="O320" s="7"/>
      <c r="P320" s="7"/>
      <c r="Q320" s="7">
        <v>4</v>
      </c>
      <c r="R320" s="7" t="str">
        <f t="shared" si="17"/>
        <v>⭐⭐⭐⭐ (4/5)</v>
      </c>
    </row>
    <row r="321" spans="8:18" x14ac:dyDescent="0.3">
      <c r="H321" s="7" t="str">
        <f t="shared" si="19"/>
        <v>Normal</v>
      </c>
      <c r="N321" s="7"/>
      <c r="O321" s="7"/>
      <c r="P321" s="7"/>
      <c r="Q321" s="7">
        <v>1</v>
      </c>
      <c r="R321" s="7" t="str">
        <f t="shared" si="17"/>
        <v>⭐ (1/5)</v>
      </c>
    </row>
    <row r="322" spans="8:18" x14ac:dyDescent="0.3">
      <c r="H322" s="7" t="str">
        <f t="shared" si="19"/>
        <v>Normal</v>
      </c>
      <c r="N322" s="7"/>
      <c r="O322" s="7"/>
      <c r="P322" s="7"/>
      <c r="Q322" s="7">
        <v>2</v>
      </c>
      <c r="R322" s="7" t="str">
        <f t="shared" ref="R322:R385" si="20">REPT("⭐",Q322) &amp; " (" &amp; Q322 &amp; "/5)"</f>
        <v>⭐⭐ (2/5)</v>
      </c>
    </row>
    <row r="323" spans="8:18" x14ac:dyDescent="0.3">
      <c r="H323" s="7" t="str">
        <f t="shared" si="19"/>
        <v>Normal</v>
      </c>
      <c r="N323" s="7"/>
      <c r="O323" s="7"/>
      <c r="P323" s="7"/>
      <c r="Q323" s="7">
        <v>5</v>
      </c>
      <c r="R323" s="7" t="str">
        <f t="shared" si="20"/>
        <v>⭐⭐⭐⭐⭐ (5/5)</v>
      </c>
    </row>
    <row r="324" spans="8:18" x14ac:dyDescent="0.3">
      <c r="H324" s="7" t="str">
        <f t="shared" si="19"/>
        <v>Normal</v>
      </c>
      <c r="N324" s="7"/>
      <c r="O324" s="7"/>
      <c r="P324" s="7"/>
      <c r="Q324" s="7">
        <v>3</v>
      </c>
      <c r="R324" s="7" t="str">
        <f t="shared" si="20"/>
        <v>⭐⭐⭐ (3/5)</v>
      </c>
    </row>
    <row r="325" spans="8:18" x14ac:dyDescent="0.3">
      <c r="H325" s="7" t="str">
        <f t="shared" si="19"/>
        <v>Normal</v>
      </c>
      <c r="N325" s="7"/>
      <c r="O325" s="7"/>
      <c r="P325" s="7"/>
      <c r="Q325" s="7">
        <v>1</v>
      </c>
      <c r="R325" s="7" t="str">
        <f t="shared" si="20"/>
        <v>⭐ (1/5)</v>
      </c>
    </row>
    <row r="326" spans="8:18" x14ac:dyDescent="0.3">
      <c r="H326" s="7" t="str">
        <f t="shared" si="19"/>
        <v>Normal</v>
      </c>
      <c r="N326" s="7"/>
      <c r="O326" s="7"/>
      <c r="P326" s="7"/>
      <c r="Q326" s="7">
        <v>4</v>
      </c>
      <c r="R326" s="7" t="str">
        <f t="shared" si="20"/>
        <v>⭐⭐⭐⭐ (4/5)</v>
      </c>
    </row>
    <row r="327" spans="8:18" x14ac:dyDescent="0.3">
      <c r="H327" s="7" t="str">
        <f t="shared" si="19"/>
        <v>Normal</v>
      </c>
      <c r="N327" s="7"/>
      <c r="O327" s="7"/>
      <c r="P327" s="7"/>
      <c r="Q327" s="7">
        <v>2</v>
      </c>
      <c r="R327" s="7" t="str">
        <f t="shared" si="20"/>
        <v>⭐⭐ (2/5)</v>
      </c>
    </row>
    <row r="328" spans="8:18" x14ac:dyDescent="0.3">
      <c r="H328" s="7" t="str">
        <f t="shared" si="19"/>
        <v>Normal</v>
      </c>
      <c r="N328" s="7"/>
      <c r="O328" s="7"/>
      <c r="P328" s="7"/>
      <c r="Q328" s="7">
        <v>5</v>
      </c>
      <c r="R328" s="7" t="str">
        <f t="shared" si="20"/>
        <v>⭐⭐⭐⭐⭐ (5/5)</v>
      </c>
    </row>
    <row r="329" spans="8:18" x14ac:dyDescent="0.3">
      <c r="H329" s="7" t="str">
        <f t="shared" si="19"/>
        <v>Normal</v>
      </c>
      <c r="N329" s="7"/>
      <c r="O329" s="7"/>
      <c r="P329" s="7"/>
      <c r="Q329" s="7">
        <v>3</v>
      </c>
      <c r="R329" s="7" t="str">
        <f t="shared" si="20"/>
        <v>⭐⭐⭐ (3/5)</v>
      </c>
    </row>
    <row r="330" spans="8:18" x14ac:dyDescent="0.3">
      <c r="H330" s="7" t="str">
        <f t="shared" ref="H330:H361" si="21">IF(G330&lt;0,"Return","Normal")</f>
        <v>Normal</v>
      </c>
      <c r="N330" s="7"/>
      <c r="O330" s="7"/>
      <c r="P330" s="7"/>
      <c r="Q330" s="7">
        <v>4</v>
      </c>
      <c r="R330" s="7" t="str">
        <f t="shared" si="20"/>
        <v>⭐⭐⭐⭐ (4/5)</v>
      </c>
    </row>
    <row r="331" spans="8:18" x14ac:dyDescent="0.3">
      <c r="H331" s="7" t="str">
        <f t="shared" si="21"/>
        <v>Normal</v>
      </c>
      <c r="N331" s="7"/>
      <c r="O331" s="7"/>
      <c r="P331" s="7"/>
      <c r="Q331" s="7">
        <v>1</v>
      </c>
      <c r="R331" s="7" t="str">
        <f t="shared" si="20"/>
        <v>⭐ (1/5)</v>
      </c>
    </row>
    <row r="332" spans="8:18" x14ac:dyDescent="0.3">
      <c r="H332" s="7" t="str">
        <f t="shared" si="21"/>
        <v>Normal</v>
      </c>
      <c r="N332" s="7"/>
      <c r="O332" s="7"/>
      <c r="P332" s="7"/>
      <c r="Q332" s="7">
        <v>2</v>
      </c>
      <c r="R332" s="7" t="str">
        <f t="shared" si="20"/>
        <v>⭐⭐ (2/5)</v>
      </c>
    </row>
    <row r="333" spans="8:18" x14ac:dyDescent="0.3">
      <c r="H333" s="7" t="str">
        <f t="shared" si="21"/>
        <v>Normal</v>
      </c>
      <c r="N333" s="7"/>
      <c r="O333" s="7"/>
      <c r="P333" s="7"/>
      <c r="Q333" s="7">
        <v>5</v>
      </c>
      <c r="R333" s="7" t="str">
        <f t="shared" si="20"/>
        <v>⭐⭐⭐⭐⭐ (5/5)</v>
      </c>
    </row>
    <row r="334" spans="8:18" x14ac:dyDescent="0.3">
      <c r="H334" s="7" t="str">
        <f t="shared" si="21"/>
        <v>Normal</v>
      </c>
      <c r="N334" s="7"/>
      <c r="O334" s="7"/>
      <c r="P334" s="7"/>
      <c r="Q334" s="7">
        <v>3</v>
      </c>
      <c r="R334" s="7" t="str">
        <f t="shared" si="20"/>
        <v>⭐⭐⭐ (3/5)</v>
      </c>
    </row>
    <row r="335" spans="8:18" x14ac:dyDescent="0.3">
      <c r="H335" s="7" t="str">
        <f t="shared" si="21"/>
        <v>Normal</v>
      </c>
      <c r="N335" s="7"/>
      <c r="O335" s="7"/>
      <c r="P335" s="7"/>
      <c r="Q335" s="7">
        <v>4</v>
      </c>
      <c r="R335" s="7" t="str">
        <f t="shared" si="20"/>
        <v>⭐⭐⭐⭐ (4/5)</v>
      </c>
    </row>
    <row r="336" spans="8:18" x14ac:dyDescent="0.3">
      <c r="H336" s="7" t="str">
        <f t="shared" si="21"/>
        <v>Normal</v>
      </c>
      <c r="N336" s="7"/>
      <c r="O336" s="7"/>
      <c r="P336" s="7"/>
      <c r="Q336" s="7">
        <v>1</v>
      </c>
      <c r="R336" s="7" t="str">
        <f t="shared" si="20"/>
        <v>⭐ (1/5)</v>
      </c>
    </row>
    <row r="337" spans="8:18" x14ac:dyDescent="0.3">
      <c r="H337" s="7" t="str">
        <f t="shared" si="21"/>
        <v>Normal</v>
      </c>
      <c r="N337" s="7"/>
      <c r="O337" s="7"/>
      <c r="P337" s="7"/>
      <c r="Q337" s="7">
        <v>2</v>
      </c>
      <c r="R337" s="7" t="str">
        <f t="shared" si="20"/>
        <v>⭐⭐ (2/5)</v>
      </c>
    </row>
    <row r="338" spans="8:18" x14ac:dyDescent="0.3">
      <c r="H338" s="7" t="str">
        <f t="shared" si="21"/>
        <v>Normal</v>
      </c>
      <c r="N338" s="7"/>
      <c r="O338" s="7"/>
      <c r="P338" s="7"/>
      <c r="Q338" s="7">
        <v>5</v>
      </c>
      <c r="R338" s="7" t="str">
        <f t="shared" si="20"/>
        <v>⭐⭐⭐⭐⭐ (5/5)</v>
      </c>
    </row>
    <row r="339" spans="8:18" x14ac:dyDescent="0.3">
      <c r="H339" s="7" t="str">
        <f t="shared" si="21"/>
        <v>Normal</v>
      </c>
      <c r="N339" s="7"/>
      <c r="O339" s="7"/>
      <c r="P339" s="7"/>
      <c r="Q339" s="7">
        <v>3</v>
      </c>
      <c r="R339" s="7" t="str">
        <f t="shared" si="20"/>
        <v>⭐⭐⭐ (3/5)</v>
      </c>
    </row>
    <row r="340" spans="8:18" x14ac:dyDescent="0.3">
      <c r="H340" s="7" t="str">
        <f t="shared" si="21"/>
        <v>Normal</v>
      </c>
      <c r="N340" s="7"/>
      <c r="O340" s="7"/>
      <c r="P340" s="7"/>
      <c r="Q340" s="7">
        <v>1</v>
      </c>
      <c r="R340" s="7" t="str">
        <f t="shared" si="20"/>
        <v>⭐ (1/5)</v>
      </c>
    </row>
    <row r="341" spans="8:18" x14ac:dyDescent="0.3">
      <c r="H341" s="7" t="str">
        <f t="shared" si="21"/>
        <v>Normal</v>
      </c>
      <c r="N341" s="7"/>
      <c r="O341" s="7"/>
      <c r="P341" s="7"/>
      <c r="Q341" s="7">
        <v>4</v>
      </c>
      <c r="R341" s="7" t="str">
        <f t="shared" si="20"/>
        <v>⭐⭐⭐⭐ (4/5)</v>
      </c>
    </row>
    <row r="342" spans="8:18" x14ac:dyDescent="0.3">
      <c r="H342" s="7" t="str">
        <f t="shared" si="21"/>
        <v>Normal</v>
      </c>
      <c r="N342" s="7"/>
      <c r="O342" s="7"/>
      <c r="P342" s="7"/>
      <c r="Q342" s="7">
        <v>2</v>
      </c>
      <c r="R342" s="7" t="str">
        <f t="shared" si="20"/>
        <v>⭐⭐ (2/5)</v>
      </c>
    </row>
    <row r="343" spans="8:18" x14ac:dyDescent="0.3">
      <c r="H343" s="7" t="str">
        <f t="shared" si="21"/>
        <v>Normal</v>
      </c>
      <c r="N343" s="7"/>
      <c r="O343" s="7"/>
      <c r="P343" s="7"/>
      <c r="Q343" s="7">
        <v>5</v>
      </c>
      <c r="R343" s="7" t="str">
        <f t="shared" si="20"/>
        <v>⭐⭐⭐⭐⭐ (5/5)</v>
      </c>
    </row>
    <row r="344" spans="8:18" x14ac:dyDescent="0.3">
      <c r="H344" s="7" t="str">
        <f t="shared" si="21"/>
        <v>Normal</v>
      </c>
      <c r="N344" s="7"/>
      <c r="O344" s="7"/>
      <c r="P344" s="7"/>
      <c r="Q344" s="7">
        <v>3</v>
      </c>
      <c r="R344" s="7" t="str">
        <f t="shared" si="20"/>
        <v>⭐⭐⭐ (3/5)</v>
      </c>
    </row>
    <row r="345" spans="8:18" x14ac:dyDescent="0.3">
      <c r="H345" s="7" t="str">
        <f t="shared" si="21"/>
        <v>Normal</v>
      </c>
      <c r="N345" s="7"/>
      <c r="O345" s="7"/>
      <c r="P345" s="7"/>
      <c r="Q345" s="7">
        <v>4</v>
      </c>
      <c r="R345" s="7" t="str">
        <f t="shared" si="20"/>
        <v>⭐⭐⭐⭐ (4/5)</v>
      </c>
    </row>
    <row r="346" spans="8:18" x14ac:dyDescent="0.3">
      <c r="H346" s="7" t="str">
        <f t="shared" si="21"/>
        <v>Normal</v>
      </c>
      <c r="N346" s="7"/>
      <c r="O346" s="7"/>
      <c r="P346" s="7"/>
      <c r="Q346" s="7">
        <v>1</v>
      </c>
      <c r="R346" s="7" t="str">
        <f t="shared" si="20"/>
        <v>⭐ (1/5)</v>
      </c>
    </row>
    <row r="347" spans="8:18" x14ac:dyDescent="0.3">
      <c r="H347" s="7" t="str">
        <f t="shared" si="21"/>
        <v>Normal</v>
      </c>
      <c r="N347" s="7"/>
      <c r="O347" s="7"/>
      <c r="P347" s="7"/>
      <c r="Q347" s="7">
        <v>2</v>
      </c>
      <c r="R347" s="7" t="str">
        <f t="shared" si="20"/>
        <v>⭐⭐ (2/5)</v>
      </c>
    </row>
    <row r="348" spans="8:18" x14ac:dyDescent="0.3">
      <c r="H348" s="7" t="str">
        <f t="shared" si="21"/>
        <v>Normal</v>
      </c>
      <c r="N348" s="7"/>
      <c r="O348" s="7"/>
      <c r="P348" s="7"/>
      <c r="Q348" s="7">
        <v>5</v>
      </c>
      <c r="R348" s="7" t="str">
        <f t="shared" si="20"/>
        <v>⭐⭐⭐⭐⭐ (5/5)</v>
      </c>
    </row>
    <row r="349" spans="8:18" x14ac:dyDescent="0.3">
      <c r="H349" s="7" t="str">
        <f t="shared" si="21"/>
        <v>Normal</v>
      </c>
      <c r="N349" s="7"/>
      <c r="O349" s="7"/>
      <c r="P349" s="7"/>
      <c r="Q349" s="7">
        <v>3</v>
      </c>
      <c r="R349" s="7" t="str">
        <f t="shared" si="20"/>
        <v>⭐⭐⭐ (3/5)</v>
      </c>
    </row>
    <row r="350" spans="8:18" x14ac:dyDescent="0.3">
      <c r="H350" s="7" t="str">
        <f t="shared" si="21"/>
        <v>Normal</v>
      </c>
      <c r="N350" s="7"/>
      <c r="O350" s="7"/>
      <c r="P350" s="7"/>
      <c r="Q350" s="7">
        <v>4</v>
      </c>
      <c r="R350" s="7" t="str">
        <f t="shared" si="20"/>
        <v>⭐⭐⭐⭐ (4/5)</v>
      </c>
    </row>
    <row r="351" spans="8:18" x14ac:dyDescent="0.3">
      <c r="H351" s="7" t="str">
        <f t="shared" si="21"/>
        <v>Normal</v>
      </c>
      <c r="N351" s="7"/>
      <c r="O351" s="7"/>
      <c r="P351" s="7"/>
      <c r="Q351" s="7">
        <v>1</v>
      </c>
      <c r="R351" s="7" t="str">
        <f t="shared" si="20"/>
        <v>⭐ (1/5)</v>
      </c>
    </row>
    <row r="352" spans="8:18" x14ac:dyDescent="0.3">
      <c r="H352" s="7" t="str">
        <f t="shared" si="21"/>
        <v>Normal</v>
      </c>
      <c r="N352" s="7"/>
      <c r="O352" s="7"/>
      <c r="P352" s="7"/>
      <c r="Q352" s="7">
        <v>2</v>
      </c>
      <c r="R352" s="7" t="str">
        <f t="shared" si="20"/>
        <v>⭐⭐ (2/5)</v>
      </c>
    </row>
    <row r="353" spans="8:18" x14ac:dyDescent="0.3">
      <c r="H353" s="7" t="str">
        <f t="shared" si="21"/>
        <v>Normal</v>
      </c>
      <c r="N353" s="7"/>
      <c r="O353" s="7"/>
      <c r="P353" s="7"/>
      <c r="Q353" s="7">
        <v>5</v>
      </c>
      <c r="R353" s="7" t="str">
        <f t="shared" si="20"/>
        <v>⭐⭐⭐⭐⭐ (5/5)</v>
      </c>
    </row>
    <row r="354" spans="8:18" x14ac:dyDescent="0.3">
      <c r="H354" s="7" t="str">
        <f t="shared" si="21"/>
        <v>Normal</v>
      </c>
      <c r="N354" s="7"/>
      <c r="O354" s="7"/>
      <c r="P354" s="7"/>
      <c r="Q354" s="7">
        <v>3</v>
      </c>
      <c r="R354" s="7" t="str">
        <f t="shared" si="20"/>
        <v>⭐⭐⭐ (3/5)</v>
      </c>
    </row>
    <row r="355" spans="8:18" x14ac:dyDescent="0.3">
      <c r="H355" s="7" t="str">
        <f t="shared" si="21"/>
        <v>Normal</v>
      </c>
      <c r="N355" s="7"/>
      <c r="O355" s="7"/>
      <c r="P355" s="7"/>
      <c r="Q355" s="7">
        <v>1</v>
      </c>
      <c r="R355" s="7" t="str">
        <f t="shared" si="20"/>
        <v>⭐ (1/5)</v>
      </c>
    </row>
    <row r="356" spans="8:18" x14ac:dyDescent="0.3">
      <c r="H356" s="7" t="str">
        <f t="shared" si="21"/>
        <v>Normal</v>
      </c>
      <c r="N356" s="7"/>
      <c r="O356" s="7"/>
      <c r="P356" s="7"/>
      <c r="Q356" s="7">
        <v>4</v>
      </c>
      <c r="R356" s="7" t="str">
        <f t="shared" si="20"/>
        <v>⭐⭐⭐⭐ (4/5)</v>
      </c>
    </row>
    <row r="357" spans="8:18" x14ac:dyDescent="0.3">
      <c r="H357" s="7" t="str">
        <f t="shared" si="21"/>
        <v>Normal</v>
      </c>
      <c r="N357" s="7"/>
      <c r="O357" s="7"/>
      <c r="P357" s="7"/>
      <c r="Q357" s="7">
        <v>2</v>
      </c>
      <c r="R357" s="7" t="str">
        <f t="shared" si="20"/>
        <v>⭐⭐ (2/5)</v>
      </c>
    </row>
    <row r="358" spans="8:18" x14ac:dyDescent="0.3">
      <c r="H358" s="7" t="str">
        <f t="shared" si="21"/>
        <v>Normal</v>
      </c>
      <c r="N358" s="7"/>
      <c r="O358" s="7"/>
      <c r="P358" s="7"/>
      <c r="Q358" s="7">
        <v>5</v>
      </c>
      <c r="R358" s="7" t="str">
        <f t="shared" si="20"/>
        <v>⭐⭐⭐⭐⭐ (5/5)</v>
      </c>
    </row>
    <row r="359" spans="8:18" x14ac:dyDescent="0.3">
      <c r="H359" s="7" t="str">
        <f t="shared" si="21"/>
        <v>Normal</v>
      </c>
      <c r="N359" s="7"/>
      <c r="O359" s="7"/>
      <c r="P359" s="7"/>
      <c r="Q359" s="7">
        <v>3</v>
      </c>
      <c r="R359" s="7" t="str">
        <f t="shared" si="20"/>
        <v>⭐⭐⭐ (3/5)</v>
      </c>
    </row>
    <row r="360" spans="8:18" x14ac:dyDescent="0.3">
      <c r="H360" s="7" t="str">
        <f t="shared" si="21"/>
        <v>Normal</v>
      </c>
      <c r="N360" s="7"/>
      <c r="O360" s="7"/>
      <c r="P360" s="7"/>
      <c r="Q360" s="7">
        <v>4</v>
      </c>
      <c r="R360" s="7" t="str">
        <f t="shared" si="20"/>
        <v>⭐⭐⭐⭐ (4/5)</v>
      </c>
    </row>
    <row r="361" spans="8:18" x14ac:dyDescent="0.3">
      <c r="H361" s="7" t="str">
        <f t="shared" si="21"/>
        <v>Normal</v>
      </c>
      <c r="N361" s="7"/>
      <c r="O361" s="7"/>
      <c r="P361" s="7"/>
      <c r="Q361" s="7">
        <v>1</v>
      </c>
      <c r="R361" s="7" t="str">
        <f t="shared" si="20"/>
        <v>⭐ (1/5)</v>
      </c>
    </row>
    <row r="362" spans="8:18" x14ac:dyDescent="0.3">
      <c r="H362" s="7" t="str">
        <f t="shared" ref="H362:H393" si="22">IF(G362&lt;0,"Return","Normal")</f>
        <v>Normal</v>
      </c>
      <c r="N362" s="7"/>
      <c r="O362" s="7"/>
      <c r="P362" s="7"/>
      <c r="Q362" s="7">
        <v>2</v>
      </c>
      <c r="R362" s="7" t="str">
        <f t="shared" si="20"/>
        <v>⭐⭐ (2/5)</v>
      </c>
    </row>
    <row r="363" spans="8:18" x14ac:dyDescent="0.3">
      <c r="H363" s="7" t="str">
        <f t="shared" si="22"/>
        <v>Normal</v>
      </c>
      <c r="N363" s="7"/>
      <c r="O363" s="7"/>
      <c r="P363" s="7"/>
      <c r="Q363" s="7">
        <v>5</v>
      </c>
      <c r="R363" s="7" t="str">
        <f t="shared" si="20"/>
        <v>⭐⭐⭐⭐⭐ (5/5)</v>
      </c>
    </row>
    <row r="364" spans="8:18" x14ac:dyDescent="0.3">
      <c r="H364" s="7" t="str">
        <f t="shared" si="22"/>
        <v>Normal</v>
      </c>
      <c r="N364" s="7"/>
      <c r="O364" s="7"/>
      <c r="P364" s="7"/>
      <c r="Q364" s="7">
        <v>3</v>
      </c>
      <c r="R364" s="7" t="str">
        <f t="shared" si="20"/>
        <v>⭐⭐⭐ (3/5)</v>
      </c>
    </row>
    <row r="365" spans="8:18" x14ac:dyDescent="0.3">
      <c r="H365" s="7" t="str">
        <f t="shared" si="22"/>
        <v>Normal</v>
      </c>
      <c r="N365" s="7"/>
      <c r="O365" s="7"/>
      <c r="P365" s="7"/>
      <c r="Q365" s="7">
        <v>4</v>
      </c>
      <c r="R365" s="7" t="str">
        <f t="shared" si="20"/>
        <v>⭐⭐⭐⭐ (4/5)</v>
      </c>
    </row>
    <row r="366" spans="8:18" x14ac:dyDescent="0.3">
      <c r="H366" s="7" t="str">
        <f t="shared" si="22"/>
        <v>Normal</v>
      </c>
      <c r="N366" s="7"/>
      <c r="O366" s="7"/>
      <c r="P366" s="7"/>
      <c r="Q366" s="7">
        <v>1</v>
      </c>
      <c r="R366" s="7" t="str">
        <f t="shared" si="20"/>
        <v>⭐ (1/5)</v>
      </c>
    </row>
    <row r="367" spans="8:18" x14ac:dyDescent="0.3">
      <c r="H367" s="7" t="str">
        <f t="shared" si="22"/>
        <v>Normal</v>
      </c>
      <c r="N367" s="7"/>
      <c r="O367" s="7"/>
      <c r="P367" s="7"/>
      <c r="Q367" s="7">
        <v>2</v>
      </c>
      <c r="R367" s="7" t="str">
        <f t="shared" si="20"/>
        <v>⭐⭐ (2/5)</v>
      </c>
    </row>
    <row r="368" spans="8:18" x14ac:dyDescent="0.3">
      <c r="H368" s="7" t="str">
        <f t="shared" si="22"/>
        <v>Normal</v>
      </c>
      <c r="N368" s="7"/>
      <c r="O368" s="7"/>
      <c r="P368" s="7"/>
      <c r="Q368" s="7">
        <v>5</v>
      </c>
      <c r="R368" s="7" t="str">
        <f t="shared" si="20"/>
        <v>⭐⭐⭐⭐⭐ (5/5)</v>
      </c>
    </row>
    <row r="369" spans="8:18" x14ac:dyDescent="0.3">
      <c r="H369" s="7" t="str">
        <f t="shared" si="22"/>
        <v>Normal</v>
      </c>
      <c r="N369" s="7"/>
      <c r="O369" s="7"/>
      <c r="P369" s="7"/>
      <c r="Q369" s="7">
        <v>3</v>
      </c>
      <c r="R369" s="7" t="str">
        <f t="shared" si="20"/>
        <v>⭐⭐⭐ (3/5)</v>
      </c>
    </row>
    <row r="370" spans="8:18" x14ac:dyDescent="0.3">
      <c r="H370" s="7" t="str">
        <f t="shared" si="22"/>
        <v>Normal</v>
      </c>
      <c r="N370" s="7"/>
      <c r="O370" s="7"/>
      <c r="P370" s="7"/>
      <c r="Q370" s="7">
        <v>1</v>
      </c>
      <c r="R370" s="7" t="str">
        <f t="shared" si="20"/>
        <v>⭐ (1/5)</v>
      </c>
    </row>
    <row r="371" spans="8:18" x14ac:dyDescent="0.3">
      <c r="H371" s="7" t="str">
        <f t="shared" si="22"/>
        <v>Normal</v>
      </c>
      <c r="N371" s="7"/>
      <c r="O371" s="7"/>
      <c r="P371" s="7"/>
      <c r="Q371" s="7">
        <v>4</v>
      </c>
      <c r="R371" s="7" t="str">
        <f t="shared" si="20"/>
        <v>⭐⭐⭐⭐ (4/5)</v>
      </c>
    </row>
    <row r="372" spans="8:18" x14ac:dyDescent="0.3">
      <c r="H372" s="7" t="str">
        <f t="shared" si="22"/>
        <v>Normal</v>
      </c>
      <c r="N372" s="7"/>
      <c r="O372" s="7"/>
      <c r="P372" s="7"/>
      <c r="Q372" s="7">
        <v>2</v>
      </c>
      <c r="R372" s="7" t="str">
        <f t="shared" si="20"/>
        <v>⭐⭐ (2/5)</v>
      </c>
    </row>
    <row r="373" spans="8:18" x14ac:dyDescent="0.3">
      <c r="H373" s="7" t="str">
        <f t="shared" si="22"/>
        <v>Normal</v>
      </c>
      <c r="N373" s="7"/>
      <c r="O373" s="7"/>
      <c r="P373" s="7"/>
      <c r="Q373" s="7">
        <v>5</v>
      </c>
      <c r="R373" s="7" t="str">
        <f t="shared" si="20"/>
        <v>⭐⭐⭐⭐⭐ (5/5)</v>
      </c>
    </row>
    <row r="374" spans="8:18" x14ac:dyDescent="0.3">
      <c r="H374" s="7" t="str">
        <f t="shared" si="22"/>
        <v>Normal</v>
      </c>
      <c r="N374" s="7"/>
      <c r="O374" s="7"/>
      <c r="P374" s="7"/>
      <c r="Q374" s="7">
        <v>3</v>
      </c>
      <c r="R374" s="7" t="str">
        <f t="shared" si="20"/>
        <v>⭐⭐⭐ (3/5)</v>
      </c>
    </row>
    <row r="375" spans="8:18" x14ac:dyDescent="0.3">
      <c r="H375" s="7" t="str">
        <f t="shared" si="22"/>
        <v>Normal</v>
      </c>
      <c r="N375" s="7"/>
      <c r="O375" s="7"/>
      <c r="P375" s="7"/>
      <c r="Q375" s="7">
        <v>4</v>
      </c>
      <c r="R375" s="7" t="str">
        <f t="shared" si="20"/>
        <v>⭐⭐⭐⭐ (4/5)</v>
      </c>
    </row>
    <row r="376" spans="8:18" x14ac:dyDescent="0.3">
      <c r="H376" s="7" t="str">
        <f t="shared" si="22"/>
        <v>Normal</v>
      </c>
      <c r="N376" s="7"/>
      <c r="O376" s="7"/>
      <c r="P376" s="7"/>
      <c r="Q376" s="7">
        <v>1</v>
      </c>
      <c r="R376" s="7" t="str">
        <f t="shared" si="20"/>
        <v>⭐ (1/5)</v>
      </c>
    </row>
    <row r="377" spans="8:18" x14ac:dyDescent="0.3">
      <c r="H377" s="7" t="str">
        <f t="shared" si="22"/>
        <v>Normal</v>
      </c>
      <c r="N377" s="7"/>
      <c r="O377" s="7"/>
      <c r="P377" s="7"/>
      <c r="Q377" s="7">
        <v>2</v>
      </c>
      <c r="R377" s="7" t="str">
        <f t="shared" si="20"/>
        <v>⭐⭐ (2/5)</v>
      </c>
    </row>
    <row r="378" spans="8:18" x14ac:dyDescent="0.3">
      <c r="H378" s="7" t="str">
        <f t="shared" si="22"/>
        <v>Normal</v>
      </c>
      <c r="N378" s="7"/>
      <c r="O378" s="7"/>
      <c r="P378" s="7"/>
      <c r="Q378" s="7">
        <v>5</v>
      </c>
      <c r="R378" s="7" t="str">
        <f t="shared" si="20"/>
        <v>⭐⭐⭐⭐⭐ (5/5)</v>
      </c>
    </row>
    <row r="379" spans="8:18" x14ac:dyDescent="0.3">
      <c r="H379" s="7" t="str">
        <f t="shared" si="22"/>
        <v>Normal</v>
      </c>
      <c r="N379" s="7"/>
      <c r="O379" s="7"/>
      <c r="P379" s="7"/>
      <c r="Q379" s="7">
        <v>3</v>
      </c>
      <c r="R379" s="7" t="str">
        <f t="shared" si="20"/>
        <v>⭐⭐⭐ (3/5)</v>
      </c>
    </row>
    <row r="380" spans="8:18" x14ac:dyDescent="0.3">
      <c r="H380" s="7" t="str">
        <f t="shared" si="22"/>
        <v>Normal</v>
      </c>
      <c r="N380" s="7"/>
      <c r="O380" s="7"/>
      <c r="P380" s="7"/>
      <c r="Q380" s="7">
        <v>4</v>
      </c>
      <c r="R380" s="7" t="str">
        <f t="shared" si="20"/>
        <v>⭐⭐⭐⭐ (4/5)</v>
      </c>
    </row>
    <row r="381" spans="8:18" x14ac:dyDescent="0.3">
      <c r="H381" s="7" t="str">
        <f t="shared" si="22"/>
        <v>Normal</v>
      </c>
      <c r="N381" s="7"/>
      <c r="O381" s="7"/>
      <c r="P381" s="7"/>
      <c r="Q381" s="7">
        <v>1</v>
      </c>
      <c r="R381" s="7" t="str">
        <f t="shared" si="20"/>
        <v>⭐ (1/5)</v>
      </c>
    </row>
  </sheetData>
  <conditionalFormatting sqref="T13">
    <cfRule type="top10" dxfId="1" priority="2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</dc:creator>
  <cp:lastModifiedBy>jaydeep b</cp:lastModifiedBy>
  <dcterms:created xsi:type="dcterms:W3CDTF">2025-10-09T12:36:05Z</dcterms:created>
  <dcterms:modified xsi:type="dcterms:W3CDTF">2026-05-04T09:50:03Z</dcterms:modified>
</cp:coreProperties>
</file>