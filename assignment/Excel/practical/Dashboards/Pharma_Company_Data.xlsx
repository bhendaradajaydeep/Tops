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 LATITUDE\Desktop\Dashboards\"/>
    </mc:Choice>
  </mc:AlternateContent>
  <xr:revisionPtr revIDLastSave="0" documentId="8_{5A04F87C-B9C4-4C25-B7DF-7DA9733CCD2D}" xr6:coauthVersionLast="47" xr6:coauthVersionMax="47" xr10:uidLastSave="{00000000-0000-0000-0000-000000000000}"/>
  <bookViews>
    <workbookView xWindow="-108" yWindow="-108" windowWidth="23256" windowHeight="12576" activeTab="6" xr2:uid="{00000000-000D-0000-FFFF-FFFF00000000}"/>
  </bookViews>
  <sheets>
    <sheet name="Production Data" sheetId="1" r:id="rId1"/>
    <sheet name="Sales Data" sheetId="2" r:id="rId2"/>
    <sheet name="Prodution Table" sheetId="4" r:id="rId3"/>
    <sheet name="Sales Table" sheetId="5" r:id="rId4"/>
    <sheet name="Overview" sheetId="6" r:id="rId5"/>
    <sheet name="Stocks " sheetId="7" r:id="rId6"/>
    <sheet name="Profits" sheetId="3" r:id="rId7"/>
  </sheets>
  <definedNames>
    <definedName name="Slicer_City">#N/A</definedName>
    <definedName name="Slicer_City1">#N/A</definedName>
    <definedName name="Slicer_Months__Sales_Date">#N/A</definedName>
    <definedName name="Slicer_Warehouse">#N/A</definedName>
  </definedNames>
  <calcPr calcId="191029"/>
  <pivotCaches>
    <pivotCache cacheId="62" r:id="rId8"/>
    <pivotCache cacheId="55" r:id="rId9"/>
    <pivotCache cacheId="60"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4"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2" i="1"/>
  <c r="C176" i="5"/>
  <c r="C158" i="5"/>
  <c r="C141" i="5"/>
  <c r="C120" i="5"/>
  <c r="I35" i="5"/>
  <c r="C35" i="5"/>
  <c r="I18" i="5"/>
  <c r="C17" i="5"/>
</calcChain>
</file>

<file path=xl/sharedStrings.xml><?xml version="1.0" encoding="utf-8"?>
<sst xmlns="http://schemas.openxmlformats.org/spreadsheetml/2006/main" count="14655" uniqueCount="3585">
  <si>
    <t>Medicine Name</t>
  </si>
  <si>
    <t>Type</t>
  </si>
  <si>
    <t>Stock</t>
  </si>
  <si>
    <t>Monthly Production</t>
  </si>
  <si>
    <t>Manufacturing Cost</t>
  </si>
  <si>
    <t>Selling Price</t>
  </si>
  <si>
    <t>MFD Date</t>
  </si>
  <si>
    <t>Expiry Date</t>
  </si>
  <si>
    <t>Batch Number</t>
  </si>
  <si>
    <t>Warehouse</t>
  </si>
  <si>
    <t>Raw Material Cost</t>
  </si>
  <si>
    <t>Metformin</t>
  </si>
  <si>
    <t>Tablet</t>
  </si>
  <si>
    <t>2025-11-23</t>
  </si>
  <si>
    <t>2028-06-03</t>
  </si>
  <si>
    <t>BT21395</t>
  </si>
  <si>
    <t>Bangalore WH</t>
  </si>
  <si>
    <t>Paracetamol</t>
  </si>
  <si>
    <t>2024-07-22</t>
  </si>
  <si>
    <t>2027-05-18</t>
  </si>
  <si>
    <t>BT81426</t>
  </si>
  <si>
    <t>Pune WH</t>
  </si>
  <si>
    <t>Antacid Gel</t>
  </si>
  <si>
    <t>Syrup</t>
  </si>
  <si>
    <t>2024-06-08</t>
  </si>
  <si>
    <t>2026-01-14</t>
  </si>
  <si>
    <t>BT54118</t>
  </si>
  <si>
    <t>Ahmedabad WH</t>
  </si>
  <si>
    <t>2025-04-15</t>
  </si>
  <si>
    <t>2027-10-16</t>
  </si>
  <si>
    <t>BT26361</t>
  </si>
  <si>
    <t>Omeprazole</t>
  </si>
  <si>
    <t>Ointment</t>
  </si>
  <si>
    <t>2025-11-08</t>
  </si>
  <si>
    <t>2027-06-29</t>
  </si>
  <si>
    <t>BT47930</t>
  </si>
  <si>
    <t>Injection</t>
  </si>
  <si>
    <t>2025-01-14</t>
  </si>
  <si>
    <t>2027-01-12</t>
  </si>
  <si>
    <t>BT37460</t>
  </si>
  <si>
    <t>Delhi WH</t>
  </si>
  <si>
    <t>Azithromycin</t>
  </si>
  <si>
    <t>2025-01-23</t>
  </si>
  <si>
    <t>2026-10-26</t>
  </si>
  <si>
    <t>BT93886</t>
  </si>
  <si>
    <t>Dolo 650</t>
  </si>
  <si>
    <t>2024-03-08</t>
  </si>
  <si>
    <t>2025-10-10</t>
  </si>
  <si>
    <t>BT84341</t>
  </si>
  <si>
    <t>Insulin</t>
  </si>
  <si>
    <t>2025-07-28</t>
  </si>
  <si>
    <t>2028-01-30</t>
  </si>
  <si>
    <t>BT44438</t>
  </si>
  <si>
    <t>2025-05-20</t>
  </si>
  <si>
    <t>2026-08-21</t>
  </si>
  <si>
    <t>BT16175</t>
  </si>
  <si>
    <t>Cefixime</t>
  </si>
  <si>
    <t>2025-06-25</t>
  </si>
  <si>
    <t>2027-03-09</t>
  </si>
  <si>
    <t>BT82512</t>
  </si>
  <si>
    <t>2024-06-10</t>
  </si>
  <si>
    <t>2026-09-17</t>
  </si>
  <si>
    <t>BT10425</t>
  </si>
  <si>
    <t>2025-09-15</t>
  </si>
  <si>
    <t>2027-04-06</t>
  </si>
  <si>
    <t>BT30032</t>
  </si>
  <si>
    <t>Multivitamin</t>
  </si>
  <si>
    <t>2025-01-06</t>
  </si>
  <si>
    <t>2026-11-16</t>
  </si>
  <si>
    <t>BT41385</t>
  </si>
  <si>
    <t>2025-06-29</t>
  </si>
  <si>
    <t>2026-11-04</t>
  </si>
  <si>
    <t>BT26828</t>
  </si>
  <si>
    <t>2025-07-06</t>
  </si>
  <si>
    <t>2028-06-11</t>
  </si>
  <si>
    <t>BT36365</t>
  </si>
  <si>
    <t>Aspirin</t>
  </si>
  <si>
    <t>2024-12-12</t>
  </si>
  <si>
    <t>2026-01-02</t>
  </si>
  <si>
    <t>BT87110</t>
  </si>
  <si>
    <t>Vitamin D3</t>
  </si>
  <si>
    <t>2024-02-02</t>
  </si>
  <si>
    <t>2026-01-05</t>
  </si>
  <si>
    <t>BT19287</t>
  </si>
  <si>
    <t>Capsule</t>
  </si>
  <si>
    <t>2025-08-13</t>
  </si>
  <si>
    <t>2027-12-10</t>
  </si>
  <si>
    <t>BT41850</t>
  </si>
  <si>
    <t>Pantoprazole</t>
  </si>
  <si>
    <t>2025-04-23</t>
  </si>
  <si>
    <t>2026-06-17</t>
  </si>
  <si>
    <t>BT98259</t>
  </si>
  <si>
    <t>2025-03-08</t>
  </si>
  <si>
    <t>2026-09-11</t>
  </si>
  <si>
    <t>BT46509</t>
  </si>
  <si>
    <t>2024-01-16</t>
  </si>
  <si>
    <t>2025-04-20</t>
  </si>
  <si>
    <t>BT40982</t>
  </si>
  <si>
    <t>Mumbai WH</t>
  </si>
  <si>
    <t>2025-02-03</t>
  </si>
  <si>
    <t>2026-11-01</t>
  </si>
  <si>
    <t>BT69638</t>
  </si>
  <si>
    <t>2025-08-16</t>
  </si>
  <si>
    <t>2028-02-22</t>
  </si>
  <si>
    <t>BT17989</t>
  </si>
  <si>
    <t>2024-03-23</t>
  </si>
  <si>
    <t>2025-09-29</t>
  </si>
  <si>
    <t>BT18981</t>
  </si>
  <si>
    <t>2025-09-26</t>
  </si>
  <si>
    <t>2026-12-18</t>
  </si>
  <si>
    <t>BT64948</t>
  </si>
  <si>
    <t>2025-02-09</t>
  </si>
  <si>
    <t>2026-06-23</t>
  </si>
  <si>
    <t>BT98039</t>
  </si>
  <si>
    <t>2024-03-16</t>
  </si>
  <si>
    <t>BT37938</t>
  </si>
  <si>
    <t>2025-07-10</t>
  </si>
  <si>
    <t>2028-06-29</t>
  </si>
  <si>
    <t>BT49651</t>
  </si>
  <si>
    <t>Calcium Tablets</t>
  </si>
  <si>
    <t>2024-05-17</t>
  </si>
  <si>
    <t>2026-02-11</t>
  </si>
  <si>
    <t>BT25129</t>
  </si>
  <si>
    <t>Ibuprofen</t>
  </si>
  <si>
    <t>2025-10-11</t>
  </si>
  <si>
    <t>2027-07-08</t>
  </si>
  <si>
    <t>BT76244</t>
  </si>
  <si>
    <t>Amoxicillin</t>
  </si>
  <si>
    <t>2024-05-13</t>
  </si>
  <si>
    <t>2027-02-24</t>
  </si>
  <si>
    <t>BT44335</t>
  </si>
  <si>
    <t>2024-06-01</t>
  </si>
  <si>
    <t>2026-12-11</t>
  </si>
  <si>
    <t>BT14722</t>
  </si>
  <si>
    <t>2024-02-10</t>
  </si>
  <si>
    <t>2026-02-10</t>
  </si>
  <si>
    <t>BT37535</t>
  </si>
  <si>
    <t>2024-08-30</t>
  </si>
  <si>
    <t>2026-02-12</t>
  </si>
  <si>
    <t>BT33206</t>
  </si>
  <si>
    <t>2025-01-26</t>
  </si>
  <si>
    <t>2026-03-06</t>
  </si>
  <si>
    <t>BT71694</t>
  </si>
  <si>
    <t>Cough Syrup</t>
  </si>
  <si>
    <t>2025-02-12</t>
  </si>
  <si>
    <t>2027-01-14</t>
  </si>
  <si>
    <t>BT46517</t>
  </si>
  <si>
    <t>Atorvastatin</t>
  </si>
  <si>
    <t>2024-12-05</t>
  </si>
  <si>
    <t>BT25118</t>
  </si>
  <si>
    <t>2024-11-17</t>
  </si>
  <si>
    <t>2027-02-06</t>
  </si>
  <si>
    <t>BT89457</t>
  </si>
  <si>
    <t>2025-07-05</t>
  </si>
  <si>
    <t>2028-06-07</t>
  </si>
  <si>
    <t>BT97900</t>
  </si>
  <si>
    <t>2024-11-03</t>
  </si>
  <si>
    <t>BT50538</t>
  </si>
  <si>
    <t>2025-11-24</t>
  </si>
  <si>
    <t>2027-05-21</t>
  </si>
  <si>
    <t>BT90676</t>
  </si>
  <si>
    <t>2025-09-13</t>
  </si>
  <si>
    <t>2028-07-14</t>
  </si>
  <si>
    <t>BT52237</t>
  </si>
  <si>
    <t>2025-11-10</t>
  </si>
  <si>
    <t>2028-08-19</t>
  </si>
  <si>
    <t>BT91167</t>
  </si>
  <si>
    <t>2025-05-01</t>
  </si>
  <si>
    <t>2028-01-16</t>
  </si>
  <si>
    <t>BT19545</t>
  </si>
  <si>
    <t>2024-01-06</t>
  </si>
  <si>
    <t>2025-04-24</t>
  </si>
  <si>
    <t>BT65724</t>
  </si>
  <si>
    <t>2025-04-12</t>
  </si>
  <si>
    <t>2026-08-26</t>
  </si>
  <si>
    <t>BT70901</t>
  </si>
  <si>
    <t>Diclofenac</t>
  </si>
  <si>
    <t>2025-03-12</t>
  </si>
  <si>
    <t>2027-09-24</t>
  </si>
  <si>
    <t>BT68446</t>
  </si>
  <si>
    <t>2025-06-17</t>
  </si>
  <si>
    <t>2027-10-26</t>
  </si>
  <si>
    <t>BT92149</t>
  </si>
  <si>
    <t>2025-08-11</t>
  </si>
  <si>
    <t>BT29769</t>
  </si>
  <si>
    <t>2025-03-01</t>
  </si>
  <si>
    <t>2026-05-03</t>
  </si>
  <si>
    <t>BT37110</t>
  </si>
  <si>
    <t>2024-11-01</t>
  </si>
  <si>
    <t>2026-12-05</t>
  </si>
  <si>
    <t>BT64921</t>
  </si>
  <si>
    <t>2024-01-30</t>
  </si>
  <si>
    <t>2026-03-03</t>
  </si>
  <si>
    <t>BT54057</t>
  </si>
  <si>
    <t>2025-11-09</t>
  </si>
  <si>
    <t>2026-12-06</t>
  </si>
  <si>
    <t>BT21003</t>
  </si>
  <si>
    <t>2024-11-30</t>
  </si>
  <si>
    <t>2026-11-10</t>
  </si>
  <si>
    <t>BT59692</t>
  </si>
  <si>
    <t>Levocetirizine</t>
  </si>
  <si>
    <t>2024-12-24</t>
  </si>
  <si>
    <t>2026-08-10</t>
  </si>
  <si>
    <t>BT95215</t>
  </si>
  <si>
    <t>2024-09-01</t>
  </si>
  <si>
    <t>2026-01-08</t>
  </si>
  <si>
    <t>BT72070</t>
  </si>
  <si>
    <t>2024-04-27</t>
  </si>
  <si>
    <t>BT50768</t>
  </si>
  <si>
    <t>2025-08-29</t>
  </si>
  <si>
    <t>2028-08-05</t>
  </si>
  <si>
    <t>BT92213</t>
  </si>
  <si>
    <t>2025-03-14</t>
  </si>
  <si>
    <t>2028-01-20</t>
  </si>
  <si>
    <t>BT58571</t>
  </si>
  <si>
    <t>2025-10-12</t>
  </si>
  <si>
    <t>2028-01-25</t>
  </si>
  <si>
    <t>BT30052</t>
  </si>
  <si>
    <t>2027-05-30</t>
  </si>
  <si>
    <t>BT52245</t>
  </si>
  <si>
    <t>2025-11-15</t>
  </si>
  <si>
    <t>2027-12-08</t>
  </si>
  <si>
    <t>BT54092</t>
  </si>
  <si>
    <t>2024-10-13</t>
  </si>
  <si>
    <t>2027-06-15</t>
  </si>
  <si>
    <t>BT46211</t>
  </si>
  <si>
    <t>2024-09-03</t>
  </si>
  <si>
    <t>2027-08-11</t>
  </si>
  <si>
    <t>BT72402</t>
  </si>
  <si>
    <t>2028-06-27</t>
  </si>
  <si>
    <t>BT58368</t>
  </si>
  <si>
    <t>2024-11-09</t>
  </si>
  <si>
    <t>2026-07-24</t>
  </si>
  <si>
    <t>BT40217</t>
  </si>
  <si>
    <t>2025-05-10</t>
  </si>
  <si>
    <t>2027-02-17</t>
  </si>
  <si>
    <t>BT87278</t>
  </si>
  <si>
    <t>2025-06-30</t>
  </si>
  <si>
    <t>2026-11-06</t>
  </si>
  <si>
    <t>BT45954</t>
  </si>
  <si>
    <t>2024-01-13</t>
  </si>
  <si>
    <t>2026-08-22</t>
  </si>
  <si>
    <t>BT47268</t>
  </si>
  <si>
    <t>2024-03-07</t>
  </si>
  <si>
    <t>2026-04-21</t>
  </si>
  <si>
    <t>BT74454</t>
  </si>
  <si>
    <t>2024-09-11</t>
  </si>
  <si>
    <t>2026-01-10</t>
  </si>
  <si>
    <t>BT83147</t>
  </si>
  <si>
    <t>2025-08-25</t>
  </si>
  <si>
    <t>2027-11-07</t>
  </si>
  <si>
    <t>BT50026</t>
  </si>
  <si>
    <t>2024-06-09</t>
  </si>
  <si>
    <t>2026-02-09</t>
  </si>
  <si>
    <t>BT32782</t>
  </si>
  <si>
    <t>2024-08-25</t>
  </si>
  <si>
    <t>2026-06-16</t>
  </si>
  <si>
    <t>BT47056</t>
  </si>
  <si>
    <t>2026-02-28</t>
  </si>
  <si>
    <t>BT28643</t>
  </si>
  <si>
    <t>2024-11-07</t>
  </si>
  <si>
    <t>2027-10-24</t>
  </si>
  <si>
    <t>BT62757</t>
  </si>
  <si>
    <t>2024-11-26</t>
  </si>
  <si>
    <t>2027-08-06</t>
  </si>
  <si>
    <t>BT42816</t>
  </si>
  <si>
    <t>2024-06-28</t>
  </si>
  <si>
    <t>2026-10-22</t>
  </si>
  <si>
    <t>BT78021</t>
  </si>
  <si>
    <t>2025-04-26</t>
  </si>
  <si>
    <t>2027-04-17</t>
  </si>
  <si>
    <t>BT63523</t>
  </si>
  <si>
    <t>2025-02-14</t>
  </si>
  <si>
    <t>2027-08-31</t>
  </si>
  <si>
    <t>BT14809</t>
  </si>
  <si>
    <t>2024-01-02</t>
  </si>
  <si>
    <t>2026-11-05</t>
  </si>
  <si>
    <t>BT81118</t>
  </si>
  <si>
    <t>2024-02-22</t>
  </si>
  <si>
    <t>2025-09-17</t>
  </si>
  <si>
    <t>BT45003</t>
  </si>
  <si>
    <t>2024-09-02</t>
  </si>
  <si>
    <t>2027-08-29</t>
  </si>
  <si>
    <t>BT30758</t>
  </si>
  <si>
    <t>2025-04-17</t>
  </si>
  <si>
    <t>2026-08-15</t>
  </si>
  <si>
    <t>BT94896</t>
  </si>
  <si>
    <t>2024-09-06</t>
  </si>
  <si>
    <t>2026-12-17</t>
  </si>
  <si>
    <t>BT82255</t>
  </si>
  <si>
    <t>2025-02-28</t>
  </si>
  <si>
    <t>2027-02-11</t>
  </si>
  <si>
    <t>BT76550</t>
  </si>
  <si>
    <t>2024-12-06</t>
  </si>
  <si>
    <t>2027-06-24</t>
  </si>
  <si>
    <t>BT81228</t>
  </si>
  <si>
    <t>2025-02-24</t>
  </si>
  <si>
    <t>2026-04-09</t>
  </si>
  <si>
    <t>BT51704</t>
  </si>
  <si>
    <t>Cetirizine</t>
  </si>
  <si>
    <t>2025-08-27</t>
  </si>
  <si>
    <t>2027-08-01</t>
  </si>
  <si>
    <t>BT23154</t>
  </si>
  <si>
    <t>2024-03-17</t>
  </si>
  <si>
    <t>2026-07-10</t>
  </si>
  <si>
    <t>BT44737</t>
  </si>
  <si>
    <t>2024-11-20</t>
  </si>
  <si>
    <t>2027-08-23</t>
  </si>
  <si>
    <t>BT73956</t>
  </si>
  <si>
    <t>2024-04-10</t>
  </si>
  <si>
    <t>2027-01-18</t>
  </si>
  <si>
    <t>BT23173</t>
  </si>
  <si>
    <t>2025-01-18</t>
  </si>
  <si>
    <t>2027-04-04</t>
  </si>
  <si>
    <t>BT29080</t>
  </si>
  <si>
    <t>2028-08-25</t>
  </si>
  <si>
    <t>BT41566</t>
  </si>
  <si>
    <t>2024-01-10</t>
  </si>
  <si>
    <t>2026-04-30</t>
  </si>
  <si>
    <t>BT47700</t>
  </si>
  <si>
    <t>2027-02-15</t>
  </si>
  <si>
    <t>BT36111</t>
  </si>
  <si>
    <t>2024-10-29</t>
  </si>
  <si>
    <t>2025-11-20</t>
  </si>
  <si>
    <t>BT96275</t>
  </si>
  <si>
    <t>2024-12-26</t>
  </si>
  <si>
    <t>2026-08-07</t>
  </si>
  <si>
    <t>BT93442</t>
  </si>
  <si>
    <t>2025-01-08</t>
  </si>
  <si>
    <t>2026-05-22</t>
  </si>
  <si>
    <t>BT21813</t>
  </si>
  <si>
    <t>2025-01-09</t>
  </si>
  <si>
    <t>2027-07-06</t>
  </si>
  <si>
    <t>BT75771</t>
  </si>
  <si>
    <t>2024-03-18</t>
  </si>
  <si>
    <t>2025-08-09</t>
  </si>
  <si>
    <t>BT39571</t>
  </si>
  <si>
    <t>2025-04-10</t>
  </si>
  <si>
    <t>2027-04-22</t>
  </si>
  <si>
    <t>BT98188</t>
  </si>
  <si>
    <t>2027-06-28</t>
  </si>
  <si>
    <t>BT89964</t>
  </si>
  <si>
    <t>2027-03-26</t>
  </si>
  <si>
    <t>BT25220</t>
  </si>
  <si>
    <t>2025-07-07</t>
  </si>
  <si>
    <t>2027-09-09</t>
  </si>
  <si>
    <t>BT86983</t>
  </si>
  <si>
    <t>2025-03-30</t>
  </si>
  <si>
    <t>BT40947</t>
  </si>
  <si>
    <t>2024-05-05</t>
  </si>
  <si>
    <t>2026-08-13</t>
  </si>
  <si>
    <t>BT22015</t>
  </si>
  <si>
    <t>2025-08-01</t>
  </si>
  <si>
    <t>2027-02-27</t>
  </si>
  <si>
    <t>BT18992</t>
  </si>
  <si>
    <t>2024-10-10</t>
  </si>
  <si>
    <t>2026-03-07</t>
  </si>
  <si>
    <t>BT27038</t>
  </si>
  <si>
    <t>2024-08-31</t>
  </si>
  <si>
    <t>2027-04-25</t>
  </si>
  <si>
    <t>BT52437</t>
  </si>
  <si>
    <t>2025-04-04</t>
  </si>
  <si>
    <t>2027-04-09</t>
  </si>
  <si>
    <t>BT77271</t>
  </si>
  <si>
    <t>2027-04-21</t>
  </si>
  <si>
    <t>BT70036</t>
  </si>
  <si>
    <t>2026-06-13</t>
  </si>
  <si>
    <t>BT20589</t>
  </si>
  <si>
    <t>2024-11-28</t>
  </si>
  <si>
    <t>2026-12-23</t>
  </si>
  <si>
    <t>BT88301</t>
  </si>
  <si>
    <t>2025-11-01</t>
  </si>
  <si>
    <t>2028-08-28</t>
  </si>
  <si>
    <t>BT82264</t>
  </si>
  <si>
    <t>2024-11-16</t>
  </si>
  <si>
    <t>2027-01-27</t>
  </si>
  <si>
    <t>BT50963</t>
  </si>
  <si>
    <t>2024-04-08</t>
  </si>
  <si>
    <t>2026-04-24</t>
  </si>
  <si>
    <t>BT27054</t>
  </si>
  <si>
    <t>2025-11-12</t>
  </si>
  <si>
    <t>2028-01-19</t>
  </si>
  <si>
    <t>BT16743</t>
  </si>
  <si>
    <t>2024-08-17</t>
  </si>
  <si>
    <t>2025-12-05</t>
  </si>
  <si>
    <t>BT55890</t>
  </si>
  <si>
    <t>2025-09-28</t>
  </si>
  <si>
    <t>2028-06-17</t>
  </si>
  <si>
    <t>BT98470</t>
  </si>
  <si>
    <t>2024-12-13</t>
  </si>
  <si>
    <t>2026-12-07</t>
  </si>
  <si>
    <t>BT10800</t>
  </si>
  <si>
    <t>2024-04-03</t>
  </si>
  <si>
    <t>2026-09-28</t>
  </si>
  <si>
    <t>BT38197</t>
  </si>
  <si>
    <t>2025-08-04</t>
  </si>
  <si>
    <t>2028-04-05</t>
  </si>
  <si>
    <t>BT21135</t>
  </si>
  <si>
    <t>2027-12-09</t>
  </si>
  <si>
    <t>BT64287</t>
  </si>
  <si>
    <t>2025-08-30</t>
  </si>
  <si>
    <t>2028-01-10</t>
  </si>
  <si>
    <t>BT79066</t>
  </si>
  <si>
    <t>2024-05-20</t>
  </si>
  <si>
    <t>2026-02-05</t>
  </si>
  <si>
    <t>BT47938</t>
  </si>
  <si>
    <t>2025-05-27</t>
  </si>
  <si>
    <t>2027-12-20</t>
  </si>
  <si>
    <t>BT97562</t>
  </si>
  <si>
    <t>2025-08-12</t>
  </si>
  <si>
    <t>2027-10-25</t>
  </si>
  <si>
    <t>BT85156</t>
  </si>
  <si>
    <t>2025-09-24</t>
  </si>
  <si>
    <t>2028-01-08</t>
  </si>
  <si>
    <t>BT57428</t>
  </si>
  <si>
    <t>2024-11-13</t>
  </si>
  <si>
    <t>BT39041</t>
  </si>
  <si>
    <t>2024-12-23</t>
  </si>
  <si>
    <t>BT94599</t>
  </si>
  <si>
    <t>2025-11-02</t>
  </si>
  <si>
    <t>BT33218</t>
  </si>
  <si>
    <t>2028-07-12</t>
  </si>
  <si>
    <t>BT52363</t>
  </si>
  <si>
    <t>2024-02-27</t>
  </si>
  <si>
    <t>2026-02-21</t>
  </si>
  <si>
    <t>BT76497</t>
  </si>
  <si>
    <t>2024-04-02</t>
  </si>
  <si>
    <t>2026-12-22</t>
  </si>
  <si>
    <t>BT87867</t>
  </si>
  <si>
    <t>2024-07-11</t>
  </si>
  <si>
    <t>2026-06-05</t>
  </si>
  <si>
    <t>BT89299</t>
  </si>
  <si>
    <t>2025-10-23</t>
  </si>
  <si>
    <t>BT15130</t>
  </si>
  <si>
    <t>2024-10-16</t>
  </si>
  <si>
    <t>BT63578</t>
  </si>
  <si>
    <t>2024-10-17</t>
  </si>
  <si>
    <t>2026-07-02</t>
  </si>
  <si>
    <t>BT96057</t>
  </si>
  <si>
    <t>2027-12-15</t>
  </si>
  <si>
    <t>BT26901</t>
  </si>
  <si>
    <t>2024-05-10</t>
  </si>
  <si>
    <t>2027-03-27</t>
  </si>
  <si>
    <t>BT99838</t>
  </si>
  <si>
    <t>2024-08-07</t>
  </si>
  <si>
    <t>2026-07-22</t>
  </si>
  <si>
    <t>BT73736</t>
  </si>
  <si>
    <t>2027-12-27</t>
  </si>
  <si>
    <t>BT14947</t>
  </si>
  <si>
    <t>2025-10-01</t>
  </si>
  <si>
    <t>2027-03-19</t>
  </si>
  <si>
    <t>BT67366</t>
  </si>
  <si>
    <t>2025-04-25</t>
  </si>
  <si>
    <t>2026-11-09</t>
  </si>
  <si>
    <t>BT58213</t>
  </si>
  <si>
    <t>2024-07-23</t>
  </si>
  <si>
    <t>2027-04-03</t>
  </si>
  <si>
    <t>BT28140</t>
  </si>
  <si>
    <t>2024-05-07</t>
  </si>
  <si>
    <t>2026-02-22</t>
  </si>
  <si>
    <t>BT20993</t>
  </si>
  <si>
    <t>2025-04-06</t>
  </si>
  <si>
    <t>2027-03-29</t>
  </si>
  <si>
    <t>BT13495</t>
  </si>
  <si>
    <t>2024-01-29</t>
  </si>
  <si>
    <t>2025-12-20</t>
  </si>
  <si>
    <t>BT22987</t>
  </si>
  <si>
    <t>2027-07-28</t>
  </si>
  <si>
    <t>BT90654</t>
  </si>
  <si>
    <t>2025-06-24</t>
  </si>
  <si>
    <t>BT24573</t>
  </si>
  <si>
    <t>2024-03-05</t>
  </si>
  <si>
    <t>2025-06-26</t>
  </si>
  <si>
    <t>BT75513</t>
  </si>
  <si>
    <t>2025-09-21</t>
  </si>
  <si>
    <t>2027-09-17</t>
  </si>
  <si>
    <t>BT41531</t>
  </si>
  <si>
    <t>2025-06-03</t>
  </si>
  <si>
    <t>2027-12-22</t>
  </si>
  <si>
    <t>BT12665</t>
  </si>
  <si>
    <t>2024-03-10</t>
  </si>
  <si>
    <t>2026-02-26</t>
  </si>
  <si>
    <t>BT41604</t>
  </si>
  <si>
    <t>BT70899</t>
  </si>
  <si>
    <t>2025-09-03</t>
  </si>
  <si>
    <t>BT51365</t>
  </si>
  <si>
    <t>2024-12-31</t>
  </si>
  <si>
    <t>2026-02-17</t>
  </si>
  <si>
    <t>BT95948</t>
  </si>
  <si>
    <t>2024-07-10</t>
  </si>
  <si>
    <t>2026-11-30</t>
  </si>
  <si>
    <t>BT75211</t>
  </si>
  <si>
    <t>2024-07-03</t>
  </si>
  <si>
    <t>BT48504</t>
  </si>
  <si>
    <t>2027-03-24</t>
  </si>
  <si>
    <t>BT68606</t>
  </si>
  <si>
    <t>2024-02-28</t>
  </si>
  <si>
    <t>2025-05-14</t>
  </si>
  <si>
    <t>BT97973</t>
  </si>
  <si>
    <t>2024-05-09</t>
  </si>
  <si>
    <t>2025-07-16</t>
  </si>
  <si>
    <t>BT40932</t>
  </si>
  <si>
    <t>BT85225</t>
  </si>
  <si>
    <t>2024-07-09</t>
  </si>
  <si>
    <t>2026-12-02</t>
  </si>
  <si>
    <t>BT77861</t>
  </si>
  <si>
    <t>2024-10-19</t>
  </si>
  <si>
    <t>2027-09-29</t>
  </si>
  <si>
    <t>BT74382</t>
  </si>
  <si>
    <t>2025-11-29</t>
  </si>
  <si>
    <t>2027-10-22</t>
  </si>
  <si>
    <t>BT97535</t>
  </si>
  <si>
    <t>2025-10-15</t>
  </si>
  <si>
    <t>2027-04-11</t>
  </si>
  <si>
    <t>BT57381</t>
  </si>
  <si>
    <t>2025-01-12</t>
  </si>
  <si>
    <t>2027-05-05</t>
  </si>
  <si>
    <t>BT82305</t>
  </si>
  <si>
    <t>2025-06-22</t>
  </si>
  <si>
    <t>2027-08-16</t>
  </si>
  <si>
    <t>BT63665</t>
  </si>
  <si>
    <t>2025-07-18</t>
  </si>
  <si>
    <t>2028-05-03</t>
  </si>
  <si>
    <t>BT87042</t>
  </si>
  <si>
    <t>BT31229</t>
  </si>
  <si>
    <t>2028-04-28</t>
  </si>
  <si>
    <t>BT45972</t>
  </si>
  <si>
    <t>2025-08-17</t>
  </si>
  <si>
    <t>2027-01-21</t>
  </si>
  <si>
    <t>BT32439</t>
  </si>
  <si>
    <t>2024-02-16</t>
  </si>
  <si>
    <t>2026-12-03</t>
  </si>
  <si>
    <t>BT85598</t>
  </si>
  <si>
    <t>2025-10-19</t>
  </si>
  <si>
    <t>2027-08-24</t>
  </si>
  <si>
    <t>BT73300</t>
  </si>
  <si>
    <t>2027-07-09</t>
  </si>
  <si>
    <t>BT70875</t>
  </si>
  <si>
    <t>2027-06-25</t>
  </si>
  <si>
    <t>BT83616</t>
  </si>
  <si>
    <t>2024-10-24</t>
  </si>
  <si>
    <t>2026-11-21</t>
  </si>
  <si>
    <t>BT90658</t>
  </si>
  <si>
    <t>2025-05-25</t>
  </si>
  <si>
    <t>2027-11-03</t>
  </si>
  <si>
    <t>BT71186</t>
  </si>
  <si>
    <t>2024-08-08</t>
  </si>
  <si>
    <t>2027-03-28</t>
  </si>
  <si>
    <t>BT56254</t>
  </si>
  <si>
    <t>2025-03-17</t>
  </si>
  <si>
    <t>2026-08-01</t>
  </si>
  <si>
    <t>BT44664</t>
  </si>
  <si>
    <t>2025-07-20</t>
  </si>
  <si>
    <t>2027-05-11</t>
  </si>
  <si>
    <t>BT19637</t>
  </si>
  <si>
    <t>2027-07-07</t>
  </si>
  <si>
    <t>BT57920</t>
  </si>
  <si>
    <t>2024-12-07</t>
  </si>
  <si>
    <t>BT78069</t>
  </si>
  <si>
    <t>2025-09-23</t>
  </si>
  <si>
    <t>2027-07-26</t>
  </si>
  <si>
    <t>BT87820</t>
  </si>
  <si>
    <t>2024-01-18</t>
  </si>
  <si>
    <t>2026-01-29</t>
  </si>
  <si>
    <t>BT53416</t>
  </si>
  <si>
    <t>2025-08-15</t>
  </si>
  <si>
    <t>2028-03-28</t>
  </si>
  <si>
    <t>BT39824</t>
  </si>
  <si>
    <t>2028-07-26</t>
  </si>
  <si>
    <t>BT24404</t>
  </si>
  <si>
    <t>2025-09-18</t>
  </si>
  <si>
    <t>2028-01-13</t>
  </si>
  <si>
    <t>BT18163</t>
  </si>
  <si>
    <t>2027-10-12</t>
  </si>
  <si>
    <t>BT54869</t>
  </si>
  <si>
    <t>2026-06-19</t>
  </si>
  <si>
    <t>BT49008</t>
  </si>
  <si>
    <t>2024-10-07</t>
  </si>
  <si>
    <t>2026-07-28</t>
  </si>
  <si>
    <t>BT25974</t>
  </si>
  <si>
    <t>2024-03-21</t>
  </si>
  <si>
    <t>2026-03-10</t>
  </si>
  <si>
    <t>BT67983</t>
  </si>
  <si>
    <t>2025-09-08</t>
  </si>
  <si>
    <t>BT90698</t>
  </si>
  <si>
    <t>2024-12-04</t>
  </si>
  <si>
    <t>2027-04-01</t>
  </si>
  <si>
    <t>BT23178</t>
  </si>
  <si>
    <t>2025-05-03</t>
  </si>
  <si>
    <t>2028-02-28</t>
  </si>
  <si>
    <t>BT36143</t>
  </si>
  <si>
    <t>2024-02-08</t>
  </si>
  <si>
    <t>2025-08-05</t>
  </si>
  <si>
    <t>BT64773</t>
  </si>
  <si>
    <t>2024-10-23</t>
  </si>
  <si>
    <t>2025-11-30</t>
  </si>
  <si>
    <t>BT11214</t>
  </si>
  <si>
    <t>2026-10-04</t>
  </si>
  <si>
    <t>BT76088</t>
  </si>
  <si>
    <t>2025-07-23</t>
  </si>
  <si>
    <t>BT54185</t>
  </si>
  <si>
    <t>2025-11-16</t>
  </si>
  <si>
    <t>2027-02-21</t>
  </si>
  <si>
    <t>BT34219</t>
  </si>
  <si>
    <t>2024-12-03</t>
  </si>
  <si>
    <t>2026-10-08</t>
  </si>
  <si>
    <t>BT86344</t>
  </si>
  <si>
    <t>2025-02-19</t>
  </si>
  <si>
    <t>2028-01-22</t>
  </si>
  <si>
    <t>BT75866</t>
  </si>
  <si>
    <t>2027-12-21</t>
  </si>
  <si>
    <t>BT58971</t>
  </si>
  <si>
    <t>2024-03-24</t>
  </si>
  <si>
    <t>2026-09-13</t>
  </si>
  <si>
    <t>BT68556</t>
  </si>
  <si>
    <t>2024-07-26</t>
  </si>
  <si>
    <t>2027-03-04</t>
  </si>
  <si>
    <t>BT80341</t>
  </si>
  <si>
    <t>2026-09-07</t>
  </si>
  <si>
    <t>BT68390</t>
  </si>
  <si>
    <t>2024-11-11</t>
  </si>
  <si>
    <t>2025-12-03</t>
  </si>
  <si>
    <t>BT61897</t>
  </si>
  <si>
    <t>2025-07-08</t>
  </si>
  <si>
    <t>BT19046</t>
  </si>
  <si>
    <t>2025-03-06</t>
  </si>
  <si>
    <t>BT60132</t>
  </si>
  <si>
    <t>2024-05-16</t>
  </si>
  <si>
    <t>2027-03-16</t>
  </si>
  <si>
    <t>BT55582</t>
  </si>
  <si>
    <t>2024-01-04</t>
  </si>
  <si>
    <t>BT49107</t>
  </si>
  <si>
    <t>2024-12-20</t>
  </si>
  <si>
    <t>2026-05-27</t>
  </si>
  <si>
    <t>BT46129</t>
  </si>
  <si>
    <t>2024-01-17</t>
  </si>
  <si>
    <t>2025-09-19</t>
  </si>
  <si>
    <t>BT37011</t>
  </si>
  <si>
    <t>2024-08-27</t>
  </si>
  <si>
    <t>2027-03-02</t>
  </si>
  <si>
    <t>BT38477</t>
  </si>
  <si>
    <t>2024-11-24</t>
  </si>
  <si>
    <t>BT49552</t>
  </si>
  <si>
    <t>2025-08-28</t>
  </si>
  <si>
    <t>2027-02-23</t>
  </si>
  <si>
    <t>BT92050</t>
  </si>
  <si>
    <t>2026-04-04</t>
  </si>
  <si>
    <t>BT59343</t>
  </si>
  <si>
    <t>2025-04-19</t>
  </si>
  <si>
    <t>BT83713</t>
  </si>
  <si>
    <t>2025-10-24</t>
  </si>
  <si>
    <t>BT68954</t>
  </si>
  <si>
    <t>2024-03-15</t>
  </si>
  <si>
    <t>BT87015</t>
  </si>
  <si>
    <t>2024-04-30</t>
  </si>
  <si>
    <t>2026-09-02</t>
  </si>
  <si>
    <t>BT41797</t>
  </si>
  <si>
    <t>2028-04-24</t>
  </si>
  <si>
    <t>BT57088</t>
  </si>
  <si>
    <t>2024-11-23</t>
  </si>
  <si>
    <t>BT58589</t>
  </si>
  <si>
    <t>2027-10-17</t>
  </si>
  <si>
    <t>BT48691</t>
  </si>
  <si>
    <t>2024-12-11</t>
  </si>
  <si>
    <t>2026-08-31</t>
  </si>
  <si>
    <t>BT74044</t>
  </si>
  <si>
    <t>2025-07-09</t>
  </si>
  <si>
    <t>2028-04-26</t>
  </si>
  <si>
    <t>BT17698</t>
  </si>
  <si>
    <t>BT29795</t>
  </si>
  <si>
    <t>2025-05-09</t>
  </si>
  <si>
    <t>2028-03-14</t>
  </si>
  <si>
    <t>BT73944</t>
  </si>
  <si>
    <t>2024-10-20</t>
  </si>
  <si>
    <t>2025-11-06</t>
  </si>
  <si>
    <t>BT75826</t>
  </si>
  <si>
    <t>2025-06-23</t>
  </si>
  <si>
    <t>2027-03-08</t>
  </si>
  <si>
    <t>BT56457</t>
  </si>
  <si>
    <t>2024-08-19</t>
  </si>
  <si>
    <t>2026-06-22</t>
  </si>
  <si>
    <t>BT99658</t>
  </si>
  <si>
    <t>2025-10-14</t>
  </si>
  <si>
    <t>2026-10-23</t>
  </si>
  <si>
    <t>BT32463</t>
  </si>
  <si>
    <t>2024-08-23</t>
  </si>
  <si>
    <t>2026-03-27</t>
  </si>
  <si>
    <t>BT84289</t>
  </si>
  <si>
    <t>2024-11-18</t>
  </si>
  <si>
    <t>2025-12-04</t>
  </si>
  <si>
    <t>BT37152</t>
  </si>
  <si>
    <t>2025-02-02</t>
  </si>
  <si>
    <t>BT80852</t>
  </si>
  <si>
    <t>2026-03-01</t>
  </si>
  <si>
    <t>BT89320</t>
  </si>
  <si>
    <t>2025-05-17</t>
  </si>
  <si>
    <t>2027-01-05</t>
  </si>
  <si>
    <t>BT56636</t>
  </si>
  <si>
    <t>2024-09-09</t>
  </si>
  <si>
    <t>BT19634</t>
  </si>
  <si>
    <t>2027-02-09</t>
  </si>
  <si>
    <t>BT57175</t>
  </si>
  <si>
    <t>2024-04-15</t>
  </si>
  <si>
    <t>2025-05-11</t>
  </si>
  <si>
    <t>BT21746</t>
  </si>
  <si>
    <t>2024-03-27</t>
  </si>
  <si>
    <t>2026-10-20</t>
  </si>
  <si>
    <t>BT41816</t>
  </si>
  <si>
    <t>2025-08-23</t>
  </si>
  <si>
    <t>BT66973</t>
  </si>
  <si>
    <t>2025-05-22</t>
  </si>
  <si>
    <t>BT90828</t>
  </si>
  <si>
    <t>2027-02-26</t>
  </si>
  <si>
    <t>BT53874</t>
  </si>
  <si>
    <t>2025-05-05</t>
  </si>
  <si>
    <t>2027-03-22</t>
  </si>
  <si>
    <t>BT33283</t>
  </si>
  <si>
    <t>2025-02-06</t>
  </si>
  <si>
    <t>2027-02-14</t>
  </si>
  <si>
    <t>BT24927</t>
  </si>
  <si>
    <t>2024-08-02</t>
  </si>
  <si>
    <t>2026-10-24</t>
  </si>
  <si>
    <t>BT48185</t>
  </si>
  <si>
    <t>2024-06-06</t>
  </si>
  <si>
    <t>BT59412</t>
  </si>
  <si>
    <t>2025-03-04</t>
  </si>
  <si>
    <t>2027-09-11</t>
  </si>
  <si>
    <t>BT14818</t>
  </si>
  <si>
    <t>2024-12-29</t>
  </si>
  <si>
    <t>BT94803</t>
  </si>
  <si>
    <t>2025-06-06</t>
  </si>
  <si>
    <t>2027-11-19</t>
  </si>
  <si>
    <t>BT83137</t>
  </si>
  <si>
    <t>2026-10-28</t>
  </si>
  <si>
    <t>BT55215</t>
  </si>
  <si>
    <t>2024-12-22</t>
  </si>
  <si>
    <t>BT54966</t>
  </si>
  <si>
    <t>2025-04-08</t>
  </si>
  <si>
    <t>2027-02-28</t>
  </si>
  <si>
    <t>BT18804</t>
  </si>
  <si>
    <t>2027-02-16</t>
  </si>
  <si>
    <t>BT32865</t>
  </si>
  <si>
    <t>BT96154</t>
  </si>
  <si>
    <t>2026-03-05</t>
  </si>
  <si>
    <t>BT46483</t>
  </si>
  <si>
    <t>2025-11-17</t>
  </si>
  <si>
    <t>2028-04-01</t>
  </si>
  <si>
    <t>BT79168</t>
  </si>
  <si>
    <t>2024-06-25</t>
  </si>
  <si>
    <t>2027-05-15</t>
  </si>
  <si>
    <t>BT48986</t>
  </si>
  <si>
    <t>2024-05-24</t>
  </si>
  <si>
    <t>2026-10-29</t>
  </si>
  <si>
    <t>BT60916</t>
  </si>
  <si>
    <t>2025-10-22</t>
  </si>
  <si>
    <t>BT82733</t>
  </si>
  <si>
    <t>2026-05-20</t>
  </si>
  <si>
    <t>BT27895</t>
  </si>
  <si>
    <t>2027-08-12</t>
  </si>
  <si>
    <t>BT31922</t>
  </si>
  <si>
    <t>2025-04-13</t>
  </si>
  <si>
    <t>2027-11-13</t>
  </si>
  <si>
    <t>BT74921</t>
  </si>
  <si>
    <t>2024-02-12</t>
  </si>
  <si>
    <t>2026-05-08</t>
  </si>
  <si>
    <t>BT81611</t>
  </si>
  <si>
    <t>2024-03-30</t>
  </si>
  <si>
    <t>BT25386</t>
  </si>
  <si>
    <t>2024-07-30</t>
  </si>
  <si>
    <t>BT84720</t>
  </si>
  <si>
    <t>2027-05-09</t>
  </si>
  <si>
    <t>BT77425</t>
  </si>
  <si>
    <t>2024-09-12</t>
  </si>
  <si>
    <t>2026-02-08</t>
  </si>
  <si>
    <t>BT52217</t>
  </si>
  <si>
    <t>2025-01-19</t>
  </si>
  <si>
    <t>2027-04-26</t>
  </si>
  <si>
    <t>BT19898</t>
  </si>
  <si>
    <t>2024-04-05</t>
  </si>
  <si>
    <t>2026-07-18</t>
  </si>
  <si>
    <t>BT93209</t>
  </si>
  <si>
    <t>2026-09-12</t>
  </si>
  <si>
    <t>BT54270</t>
  </si>
  <si>
    <t>2025-10-03</t>
  </si>
  <si>
    <t>BT12134</t>
  </si>
  <si>
    <t>2024-05-15</t>
  </si>
  <si>
    <t>2027-03-11</t>
  </si>
  <si>
    <t>BT49566</t>
  </si>
  <si>
    <t>2025-10-26</t>
  </si>
  <si>
    <t>2027-04-13</t>
  </si>
  <si>
    <t>BT16787</t>
  </si>
  <si>
    <t>2024-03-20</t>
  </si>
  <si>
    <t>2025-08-02</t>
  </si>
  <si>
    <t>BT87814</t>
  </si>
  <si>
    <t>2028-02-16</t>
  </si>
  <si>
    <t>BT27324</t>
  </si>
  <si>
    <t>2026-06-15</t>
  </si>
  <si>
    <t>BT27451</t>
  </si>
  <si>
    <t>2024-06-04</t>
  </si>
  <si>
    <t>2026-07-30</t>
  </si>
  <si>
    <t>BT90750</t>
  </si>
  <si>
    <t>2025-03-15</t>
  </si>
  <si>
    <t>2027-01-31</t>
  </si>
  <si>
    <t>BT28327</t>
  </si>
  <si>
    <t>2024-01-28</t>
  </si>
  <si>
    <t>BT49537</t>
  </si>
  <si>
    <t>BT60578</t>
  </si>
  <si>
    <t>BT84498</t>
  </si>
  <si>
    <t>BT17925</t>
  </si>
  <si>
    <t>2025-07-04</t>
  </si>
  <si>
    <t>2028-03-25</t>
  </si>
  <si>
    <t>BT30012</t>
  </si>
  <si>
    <t>2028-08-06</t>
  </si>
  <si>
    <t>BT99267</t>
  </si>
  <si>
    <t>2025-04-09</t>
  </si>
  <si>
    <t>2027-12-26</t>
  </si>
  <si>
    <t>BT89800</t>
  </si>
  <si>
    <t>2025-05-23</t>
  </si>
  <si>
    <t>2027-05-13</t>
  </si>
  <si>
    <t>BT78551</t>
  </si>
  <si>
    <t>2025-05-30</t>
  </si>
  <si>
    <t>BT53910</t>
  </si>
  <si>
    <t>2025-01-03</t>
  </si>
  <si>
    <t>BT75484</t>
  </si>
  <si>
    <t>2025-06-05</t>
  </si>
  <si>
    <t>2026-06-07</t>
  </si>
  <si>
    <t>BT15772</t>
  </si>
  <si>
    <t>2024-02-06</t>
  </si>
  <si>
    <t>2026-08-25</t>
  </si>
  <si>
    <t>BT95944</t>
  </si>
  <si>
    <t>2024-05-02</t>
  </si>
  <si>
    <t>BT98254</t>
  </si>
  <si>
    <t>2024-11-14</t>
  </si>
  <si>
    <t>2026-10-15</t>
  </si>
  <si>
    <t>BT21322</t>
  </si>
  <si>
    <t>2024-09-05</t>
  </si>
  <si>
    <t>2026-12-24</t>
  </si>
  <si>
    <t>BT58270</t>
  </si>
  <si>
    <t>2024-08-26</t>
  </si>
  <si>
    <t>2027-03-03</t>
  </si>
  <si>
    <t>BT55406</t>
  </si>
  <si>
    <t>2025-03-05</t>
  </si>
  <si>
    <t>2027-07-21</t>
  </si>
  <si>
    <t>BT17850</t>
  </si>
  <si>
    <t>2025-04-14</t>
  </si>
  <si>
    <t>2026-07-09</t>
  </si>
  <si>
    <t>BT86122</t>
  </si>
  <si>
    <t>2026-06-24</t>
  </si>
  <si>
    <t>BT44208</t>
  </si>
  <si>
    <t>2025-12-12</t>
  </si>
  <si>
    <t>BT86638</t>
  </si>
  <si>
    <t>2024-07-31</t>
  </si>
  <si>
    <t>BT50410</t>
  </si>
  <si>
    <t>2025-09-09</t>
  </si>
  <si>
    <t>BT38183</t>
  </si>
  <si>
    <t>2024-06-27</t>
  </si>
  <si>
    <t>BT63004</t>
  </si>
  <si>
    <t>2024-05-04</t>
  </si>
  <si>
    <t>2025-05-16</t>
  </si>
  <si>
    <t>BT18083</t>
  </si>
  <si>
    <t>BT18450</t>
  </si>
  <si>
    <t>2024-02-21</t>
  </si>
  <si>
    <t>BT85220</t>
  </si>
  <si>
    <t>2026-02-14</t>
  </si>
  <si>
    <t>BT46042</t>
  </si>
  <si>
    <t>2025-07-17</t>
  </si>
  <si>
    <t>BT17992</t>
  </si>
  <si>
    <t>2025-10-07</t>
  </si>
  <si>
    <t>2028-04-15</t>
  </si>
  <si>
    <t>BT12559</t>
  </si>
  <si>
    <t>2024-11-25</t>
  </si>
  <si>
    <t>2026-12-27</t>
  </si>
  <si>
    <t>BT45446</t>
  </si>
  <si>
    <t>2027-06-27</t>
  </si>
  <si>
    <t>BT86544</t>
  </si>
  <si>
    <t>2025-10-08</t>
  </si>
  <si>
    <t>BT85457</t>
  </si>
  <si>
    <t>2025-01-02</t>
  </si>
  <si>
    <t>2027-08-30</t>
  </si>
  <si>
    <t>BT13697</t>
  </si>
  <si>
    <t>2025-05-19</t>
  </si>
  <si>
    <t>2027-11-25</t>
  </si>
  <si>
    <t>BT50508</t>
  </si>
  <si>
    <t>2024-01-01</t>
  </si>
  <si>
    <t>BT90495</t>
  </si>
  <si>
    <t>2024-05-25</t>
  </si>
  <si>
    <t>BT78982</t>
  </si>
  <si>
    <t>BT93789</t>
  </si>
  <si>
    <t>2025-01-22</t>
  </si>
  <si>
    <t>BT48602</t>
  </si>
  <si>
    <t>2027-05-02</t>
  </si>
  <si>
    <t>BT93839</t>
  </si>
  <si>
    <t>2024-06-20</t>
  </si>
  <si>
    <t>2027-04-02</t>
  </si>
  <si>
    <t>BT21629</t>
  </si>
  <si>
    <t>2024-04-20</t>
  </si>
  <si>
    <t>2025-04-21</t>
  </si>
  <si>
    <t>BT16310</t>
  </si>
  <si>
    <t>2026-05-02</t>
  </si>
  <si>
    <t>BT72847</t>
  </si>
  <si>
    <t>2024-01-21</t>
  </si>
  <si>
    <t>BT44226</t>
  </si>
  <si>
    <t>2026-03-17</t>
  </si>
  <si>
    <t>BT87860</t>
  </si>
  <si>
    <t>2024-04-13</t>
  </si>
  <si>
    <t>2026-03-18</t>
  </si>
  <si>
    <t>BT36941</t>
  </si>
  <si>
    <t>2024-02-20</t>
  </si>
  <si>
    <t>2026-03-28</t>
  </si>
  <si>
    <t>BT84943</t>
  </si>
  <si>
    <t>2028-08-09</t>
  </si>
  <si>
    <t>BT88671</t>
  </si>
  <si>
    <t>2024-04-28</t>
  </si>
  <si>
    <t>2026-03-09</t>
  </si>
  <si>
    <t>BT62096</t>
  </si>
  <si>
    <t>2025-01-13</t>
  </si>
  <si>
    <t>2026-07-23</t>
  </si>
  <si>
    <t>BT68428</t>
  </si>
  <si>
    <t>2025-11-14</t>
  </si>
  <si>
    <t>BT21233</t>
  </si>
  <si>
    <t>2025-06-19</t>
  </si>
  <si>
    <t>2027-08-21</t>
  </si>
  <si>
    <t>BT80190</t>
  </si>
  <si>
    <t>2024-02-05</t>
  </si>
  <si>
    <t>2026-07-03</t>
  </si>
  <si>
    <t>BT84870</t>
  </si>
  <si>
    <t>2024-08-04</t>
  </si>
  <si>
    <t>BT26539</t>
  </si>
  <si>
    <t>2024-03-09</t>
  </si>
  <si>
    <t>BT60868</t>
  </si>
  <si>
    <t>2025-09-30</t>
  </si>
  <si>
    <t>2028-05-23</t>
  </si>
  <si>
    <t>BT78493</t>
  </si>
  <si>
    <t>2024-04-12</t>
  </si>
  <si>
    <t>2025-07-29</t>
  </si>
  <si>
    <t>BT83752</t>
  </si>
  <si>
    <t>2028-01-12</t>
  </si>
  <si>
    <t>BT14910</t>
  </si>
  <si>
    <t>2025-10-20</t>
  </si>
  <si>
    <t>BT72287</t>
  </si>
  <si>
    <t>BT27614</t>
  </si>
  <si>
    <t>2026-10-06</t>
  </si>
  <si>
    <t>BT37707</t>
  </si>
  <si>
    <t>2025-06-02</t>
  </si>
  <si>
    <t>2027-07-20</t>
  </si>
  <si>
    <t>BT27779</t>
  </si>
  <si>
    <t>2026-06-02</t>
  </si>
  <si>
    <t>BT57235</t>
  </si>
  <si>
    <t>2024-09-04</t>
  </si>
  <si>
    <t>2026-09-20</t>
  </si>
  <si>
    <t>BT74066</t>
  </si>
  <si>
    <t>2024-09-21</t>
  </si>
  <si>
    <t>2027-08-27</t>
  </si>
  <si>
    <t>BT21847</t>
  </si>
  <si>
    <t>2027-06-23</t>
  </si>
  <si>
    <t>BT45269</t>
  </si>
  <si>
    <t>BT89736</t>
  </si>
  <si>
    <t>2024-11-05</t>
  </si>
  <si>
    <t>BT78241</t>
  </si>
  <si>
    <t>2028-05-20</t>
  </si>
  <si>
    <t>BT87826</t>
  </si>
  <si>
    <t>2026-07-04</t>
  </si>
  <si>
    <t>BT95998</t>
  </si>
  <si>
    <t>2024-05-23</t>
  </si>
  <si>
    <t>2025-06-18</t>
  </si>
  <si>
    <t>BT95904</t>
  </si>
  <si>
    <t>2025-08-08</t>
  </si>
  <si>
    <t>2027-02-18</t>
  </si>
  <si>
    <t>BT54979</t>
  </si>
  <si>
    <t>2025-07-25</t>
  </si>
  <si>
    <t>2027-01-26</t>
  </si>
  <si>
    <t>BT48506</t>
  </si>
  <si>
    <t>2024-08-15</t>
  </si>
  <si>
    <t>BT39272</t>
  </si>
  <si>
    <t>BT93151</t>
  </si>
  <si>
    <t>2025-01-25</t>
  </si>
  <si>
    <t>BT49106</t>
  </si>
  <si>
    <t>2026-09-06</t>
  </si>
  <si>
    <t>BT51469</t>
  </si>
  <si>
    <t>2026-05-09</t>
  </si>
  <si>
    <t>BT32099</t>
  </si>
  <si>
    <t>2027-07-16</t>
  </si>
  <si>
    <t>BT60242</t>
  </si>
  <si>
    <t>2024-01-19</t>
  </si>
  <si>
    <t>BT10540</t>
  </si>
  <si>
    <t>BT15992</t>
  </si>
  <si>
    <t>BT74248</t>
  </si>
  <si>
    <t>2025-08-26</t>
  </si>
  <si>
    <t>BT87292</t>
  </si>
  <si>
    <t>2024-02-19</t>
  </si>
  <si>
    <t>2026-10-19</t>
  </si>
  <si>
    <t>BT16286</t>
  </si>
  <si>
    <t>2024-09-15</t>
  </si>
  <si>
    <t>2027-01-13</t>
  </si>
  <si>
    <t>BT30070</t>
  </si>
  <si>
    <t>2028-06-10</t>
  </si>
  <si>
    <t>BT27978</t>
  </si>
  <si>
    <t>BT36181</t>
  </si>
  <si>
    <t>2027-07-05</t>
  </si>
  <si>
    <t>BT73001</t>
  </si>
  <si>
    <t>BT19836</t>
  </si>
  <si>
    <t>2025-08-06</t>
  </si>
  <si>
    <t>BT48085</t>
  </si>
  <si>
    <t>BT96947</t>
  </si>
  <si>
    <t>2024-04-26</t>
  </si>
  <si>
    <t>2026-06-10</t>
  </si>
  <si>
    <t>BT62461</t>
  </si>
  <si>
    <t>2027-04-27</t>
  </si>
  <si>
    <t>BT17686</t>
  </si>
  <si>
    <t>2027-09-20</t>
  </si>
  <si>
    <t>BT13777</t>
  </si>
  <si>
    <t>BT98857</t>
  </si>
  <si>
    <t>2025-09-25</t>
  </si>
  <si>
    <t>2026-12-31</t>
  </si>
  <si>
    <t>BT66734</t>
  </si>
  <si>
    <t>2026-11-08</t>
  </si>
  <si>
    <t>BT71510</t>
  </si>
  <si>
    <t>2027-01-17</t>
  </si>
  <si>
    <t>BT82154</t>
  </si>
  <si>
    <t>2027-08-25</t>
  </si>
  <si>
    <t>BT51426</t>
  </si>
  <si>
    <t>2026-12-12</t>
  </si>
  <si>
    <t>BT91142</t>
  </si>
  <si>
    <t>2024-08-16</t>
  </si>
  <si>
    <t>2026-11-24</t>
  </si>
  <si>
    <t>BT53512</t>
  </si>
  <si>
    <t>2025-11-05</t>
  </si>
  <si>
    <t>2027-06-20</t>
  </si>
  <si>
    <t>BT10287</t>
  </si>
  <si>
    <t>2024-06-17</t>
  </si>
  <si>
    <t>2026-11-03</t>
  </si>
  <si>
    <t>BT28408</t>
  </si>
  <si>
    <t>2026-10-25</t>
  </si>
  <si>
    <t>BT54293</t>
  </si>
  <si>
    <t>2025-05-31</t>
  </si>
  <si>
    <t>BT75382</t>
  </si>
  <si>
    <t>2024-06-30</t>
  </si>
  <si>
    <t>2027-06-08</t>
  </si>
  <si>
    <t>BT85832</t>
  </si>
  <si>
    <t>BT64875</t>
  </si>
  <si>
    <t>2025-10-04</t>
  </si>
  <si>
    <t>BT64099</t>
  </si>
  <si>
    <t>2025-10-09</t>
  </si>
  <si>
    <t>2027-05-19</t>
  </si>
  <si>
    <t>BT36330</t>
  </si>
  <si>
    <t>2027-12-06</t>
  </si>
  <si>
    <t>BT93476</t>
  </si>
  <si>
    <t>2025-03-03</t>
  </si>
  <si>
    <t>BT79979</t>
  </si>
  <si>
    <t>BT36201</t>
  </si>
  <si>
    <t>2026-05-25</t>
  </si>
  <si>
    <t>BT80932</t>
  </si>
  <si>
    <t>2027-02-05</t>
  </si>
  <si>
    <t>BT47701</t>
  </si>
  <si>
    <t>BT68073</t>
  </si>
  <si>
    <t>2024-07-17</t>
  </si>
  <si>
    <t>2026-05-14</t>
  </si>
  <si>
    <t>BT68827</t>
  </si>
  <si>
    <t>2024-10-12</t>
  </si>
  <si>
    <t>2027-05-04</t>
  </si>
  <si>
    <t>BT44634</t>
  </si>
  <si>
    <t>BT88234</t>
  </si>
  <si>
    <t>2024-11-21</t>
  </si>
  <si>
    <t>BT38830</t>
  </si>
  <si>
    <t>2024-08-14</t>
  </si>
  <si>
    <t>2026-03-20</t>
  </si>
  <si>
    <t>BT96944</t>
  </si>
  <si>
    <t>BT25036</t>
  </si>
  <si>
    <t>2026-05-26</t>
  </si>
  <si>
    <t>BT43631</t>
  </si>
  <si>
    <t>2024-02-14</t>
  </si>
  <si>
    <t>2025-12-13</t>
  </si>
  <si>
    <t>BT95397</t>
  </si>
  <si>
    <t>2024-08-03</t>
  </si>
  <si>
    <t>BT92511</t>
  </si>
  <si>
    <t>2025-03-21</t>
  </si>
  <si>
    <t>BT19452</t>
  </si>
  <si>
    <t>2026-10-05</t>
  </si>
  <si>
    <t>BT85361</t>
  </si>
  <si>
    <t>2027-12-23</t>
  </si>
  <si>
    <t>BT25506</t>
  </si>
  <si>
    <t>2025-05-29</t>
  </si>
  <si>
    <t>2026-09-14</t>
  </si>
  <si>
    <t>BT47989</t>
  </si>
  <si>
    <t>BT38818</t>
  </si>
  <si>
    <t>2025-10-25</t>
  </si>
  <si>
    <t>2027-11-11</t>
  </si>
  <si>
    <t>BT11461</t>
  </si>
  <si>
    <t>2025-07-14</t>
  </si>
  <si>
    <t>2026-10-09</t>
  </si>
  <si>
    <t>BT49936</t>
  </si>
  <si>
    <t>2024-07-07</t>
  </si>
  <si>
    <t>2026-02-18</t>
  </si>
  <si>
    <t>BT90856</t>
  </si>
  <si>
    <t>BT18829</t>
  </si>
  <si>
    <t>2026-01-28</t>
  </si>
  <si>
    <t>BT91201</t>
  </si>
  <si>
    <t>2025-08-21</t>
  </si>
  <si>
    <t>2027-01-24</t>
  </si>
  <si>
    <t>BT84128</t>
  </si>
  <si>
    <t>2025-10-18</t>
  </si>
  <si>
    <t>2028-01-07</t>
  </si>
  <si>
    <t>BT46264</t>
  </si>
  <si>
    <t>BT33038</t>
  </si>
  <si>
    <t>2024-03-19</t>
  </si>
  <si>
    <t>2025-06-04</t>
  </si>
  <si>
    <t>BT12441</t>
  </si>
  <si>
    <t>2024-09-23</t>
  </si>
  <si>
    <t>BT80736</t>
  </si>
  <si>
    <t>BT70909</t>
  </si>
  <si>
    <t>2025-09-20</t>
  </si>
  <si>
    <t>2028-08-20</t>
  </si>
  <si>
    <t>BT31737</t>
  </si>
  <si>
    <t>2027-05-12</t>
  </si>
  <si>
    <t>BT15297</t>
  </si>
  <si>
    <t>2025-06-14</t>
  </si>
  <si>
    <t>2027-06-18</t>
  </si>
  <si>
    <t>BT85842</t>
  </si>
  <si>
    <t>2025-06-13</t>
  </si>
  <si>
    <t>2027-02-25</t>
  </si>
  <si>
    <t>BT59326</t>
  </si>
  <si>
    <t>2024-05-22</t>
  </si>
  <si>
    <t>BT31706</t>
  </si>
  <si>
    <t>2024-05-01</t>
  </si>
  <si>
    <t>BT40191</t>
  </si>
  <si>
    <t>BT41938</t>
  </si>
  <si>
    <t>2024-05-30</t>
  </si>
  <si>
    <t>2025-07-26</t>
  </si>
  <si>
    <t>BT31802</t>
  </si>
  <si>
    <t>BT21239</t>
  </si>
  <si>
    <t>2025-08-19</t>
  </si>
  <si>
    <t>BT91685</t>
  </si>
  <si>
    <t>BT78512</t>
  </si>
  <si>
    <t>2024-02-09</t>
  </si>
  <si>
    <t>2026-08-06</t>
  </si>
  <si>
    <t>BT75972</t>
  </si>
  <si>
    <t>BT78425</t>
  </si>
  <si>
    <t>BT87207</t>
  </si>
  <si>
    <t>2025-09-04</t>
  </si>
  <si>
    <t>2028-03-13</t>
  </si>
  <si>
    <t>BT63562</t>
  </si>
  <si>
    <t>2024-07-29</t>
  </si>
  <si>
    <t>2027-07-03</t>
  </si>
  <si>
    <t>BT51405</t>
  </si>
  <si>
    <t>2027-09-27</t>
  </si>
  <si>
    <t>BT46118</t>
  </si>
  <si>
    <t>BT50193</t>
  </si>
  <si>
    <t>2024-06-14</t>
  </si>
  <si>
    <t>BT38109</t>
  </si>
  <si>
    <t>BT71822</t>
  </si>
  <si>
    <t>2025-01-28</t>
  </si>
  <si>
    <t>2027-03-14</t>
  </si>
  <si>
    <t>BT90473</t>
  </si>
  <si>
    <t>2025-11-03</t>
  </si>
  <si>
    <t>2028-04-16</t>
  </si>
  <si>
    <t>BT47487</t>
  </si>
  <si>
    <t>BT41359</t>
  </si>
  <si>
    <t>2024-07-24</t>
  </si>
  <si>
    <t>BT12014</t>
  </si>
  <si>
    <t>2026-05-29</t>
  </si>
  <si>
    <t>BT89477</t>
  </si>
  <si>
    <t>BT75951</t>
  </si>
  <si>
    <t>2025-03-29</t>
  </si>
  <si>
    <t>2027-04-19</t>
  </si>
  <si>
    <t>BT83815</t>
  </si>
  <si>
    <t>BT60157</t>
  </si>
  <si>
    <t>2024-09-26</t>
  </si>
  <si>
    <t>BT47655</t>
  </si>
  <si>
    <t>2025-08-10</t>
  </si>
  <si>
    <t>BT33957</t>
  </si>
  <si>
    <t>2027-06-07</t>
  </si>
  <si>
    <t>BT56665</t>
  </si>
  <si>
    <t>2024-02-13</t>
  </si>
  <si>
    <t>2026-06-20</t>
  </si>
  <si>
    <t>BT58653</t>
  </si>
  <si>
    <t>BT39110</t>
  </si>
  <si>
    <t>BT25776</t>
  </si>
  <si>
    <t>2027-06-11</t>
  </si>
  <si>
    <t>BT34530</t>
  </si>
  <si>
    <t>2028-02-20</t>
  </si>
  <si>
    <t>BT58799</t>
  </si>
  <si>
    <t>2024-08-22</t>
  </si>
  <si>
    <t>2025-12-02</t>
  </si>
  <si>
    <t>BT45382</t>
  </si>
  <si>
    <t>2025-03-07</t>
  </si>
  <si>
    <t>2027-07-31</t>
  </si>
  <si>
    <t>BT27625</t>
  </si>
  <si>
    <t>2025-02-11</t>
  </si>
  <si>
    <t>2026-05-23</t>
  </si>
  <si>
    <t>BT31409</t>
  </si>
  <si>
    <t>2027-07-30</t>
  </si>
  <si>
    <t>BT83071</t>
  </si>
  <si>
    <t>BT95082</t>
  </si>
  <si>
    <t>2025-04-02</t>
  </si>
  <si>
    <t>2026-06-21</t>
  </si>
  <si>
    <t>BT59947</t>
  </si>
  <si>
    <t>2024-03-14</t>
  </si>
  <si>
    <t>BT31233</t>
  </si>
  <si>
    <t>2025-03-31</t>
  </si>
  <si>
    <t>BT86928</t>
  </si>
  <si>
    <t>2024-09-14</t>
  </si>
  <si>
    <t>2027-09-01</t>
  </si>
  <si>
    <t>BT20494</t>
  </si>
  <si>
    <t>2025-02-10</t>
  </si>
  <si>
    <t>BT20911</t>
  </si>
  <si>
    <t>2027-12-30</t>
  </si>
  <si>
    <t>BT26569</t>
  </si>
  <si>
    <t>2025-05-02</t>
  </si>
  <si>
    <t>BT80855</t>
  </si>
  <si>
    <t>2025-10-13</t>
  </si>
  <si>
    <t>2028-05-12</t>
  </si>
  <si>
    <t>BT67013</t>
  </si>
  <si>
    <t>2025-03-28</t>
  </si>
  <si>
    <t>BT57943</t>
  </si>
  <si>
    <t>2024-12-18</t>
  </si>
  <si>
    <t>2026-10-07</t>
  </si>
  <si>
    <t>BT71498</t>
  </si>
  <si>
    <t>BT10946</t>
  </si>
  <si>
    <t>2027-11-26</t>
  </si>
  <si>
    <t>BT59592</t>
  </si>
  <si>
    <t>2024-10-18</t>
  </si>
  <si>
    <t>2027-08-13</t>
  </si>
  <si>
    <t>BT79722</t>
  </si>
  <si>
    <t>2027-01-11</t>
  </si>
  <si>
    <t>BT91625</t>
  </si>
  <si>
    <t>2024-10-15</t>
  </si>
  <si>
    <t>2026-07-17</t>
  </si>
  <si>
    <t>BT26389</t>
  </si>
  <si>
    <t>2024-11-15</t>
  </si>
  <si>
    <t>BT58679</t>
  </si>
  <si>
    <t>2026-09-21</t>
  </si>
  <si>
    <t>BT71623</t>
  </si>
  <si>
    <t>2025-01-29</t>
  </si>
  <si>
    <t>BT42396</t>
  </si>
  <si>
    <t>2026-05-07</t>
  </si>
  <si>
    <t>BT92465</t>
  </si>
  <si>
    <t>2025-01-04</t>
  </si>
  <si>
    <t>BT97385</t>
  </si>
  <si>
    <t>2026-06-11</t>
  </si>
  <si>
    <t>BT41862</t>
  </si>
  <si>
    <t>2025-05-26</t>
  </si>
  <si>
    <t>2026-08-27</t>
  </si>
  <si>
    <t>BT99908</t>
  </si>
  <si>
    <t>2024-04-19</t>
  </si>
  <si>
    <t>BT73942</t>
  </si>
  <si>
    <t>BT15175</t>
  </si>
  <si>
    <t>2027-07-01</t>
  </si>
  <si>
    <t>BT52425</t>
  </si>
  <si>
    <t>BT58118</t>
  </si>
  <si>
    <t>2025-09-27</t>
  </si>
  <si>
    <t>2027-05-29</t>
  </si>
  <si>
    <t>BT52034</t>
  </si>
  <si>
    <t>BT47110</t>
  </si>
  <si>
    <t>2024-05-12</t>
  </si>
  <si>
    <t>BT14099</t>
  </si>
  <si>
    <t>2027-11-05</t>
  </si>
  <si>
    <t>BT91785</t>
  </si>
  <si>
    <t>2025-05-18</t>
  </si>
  <si>
    <t>BT71349</t>
  </si>
  <si>
    <t>2024-03-13</t>
  </si>
  <si>
    <t>2026-01-18</t>
  </si>
  <si>
    <t>BT20215</t>
  </si>
  <si>
    <t>2027-07-15</t>
  </si>
  <si>
    <t>BT84714</t>
  </si>
  <si>
    <t>2028-01-23</t>
  </si>
  <si>
    <t>BT23644</t>
  </si>
  <si>
    <t>2025-09-06</t>
  </si>
  <si>
    <t>2027-12-03</t>
  </si>
  <si>
    <t>BT56179</t>
  </si>
  <si>
    <t>BT83812</t>
  </si>
  <si>
    <t>2025-11-22</t>
  </si>
  <si>
    <t>BT88087</t>
  </si>
  <si>
    <t>2024-10-09</t>
  </si>
  <si>
    <t>2027-04-28</t>
  </si>
  <si>
    <t>BT77013</t>
  </si>
  <si>
    <t>2024-09-28</t>
  </si>
  <si>
    <t>BT86304</t>
  </si>
  <si>
    <t>2026-02-15</t>
  </si>
  <si>
    <t>BT73246</t>
  </si>
  <si>
    <t>BT53829</t>
  </si>
  <si>
    <t>2024-01-12</t>
  </si>
  <si>
    <t>BT92862</t>
  </si>
  <si>
    <t>2026-01-17</t>
  </si>
  <si>
    <t>BT16621</t>
  </si>
  <si>
    <t>2025-02-07</t>
  </si>
  <si>
    <t>2026-07-08</t>
  </si>
  <si>
    <t>BT27326</t>
  </si>
  <si>
    <t>2025-03-20</t>
  </si>
  <si>
    <t>2028-03-03</t>
  </si>
  <si>
    <t>BT27088</t>
  </si>
  <si>
    <t>2025-06-20</t>
  </si>
  <si>
    <t>BT41760</t>
  </si>
  <si>
    <t>BT34967</t>
  </si>
  <si>
    <t>BT29112</t>
  </si>
  <si>
    <t>2024-04-25</t>
  </si>
  <si>
    <t>BT41856</t>
  </si>
  <si>
    <t>2025-04-27</t>
  </si>
  <si>
    <t>BT53499</t>
  </si>
  <si>
    <t>2027-02-20</t>
  </si>
  <si>
    <t>BT97590</t>
  </si>
  <si>
    <t>BT16957</t>
  </si>
  <si>
    <t>2027-11-09</t>
  </si>
  <si>
    <t>BT24141</t>
  </si>
  <si>
    <t>2024-11-19</t>
  </si>
  <si>
    <t>2027-03-30</t>
  </si>
  <si>
    <t>BT88263</t>
  </si>
  <si>
    <t>2024-09-10</t>
  </si>
  <si>
    <t>2027-03-06</t>
  </si>
  <si>
    <t>BT49967</t>
  </si>
  <si>
    <t>2024-08-29</t>
  </si>
  <si>
    <t>BT46159</t>
  </si>
  <si>
    <t>BT27991</t>
  </si>
  <si>
    <t>2027-07-27</t>
  </si>
  <si>
    <t>BT53160</t>
  </si>
  <si>
    <t>2024-11-12</t>
  </si>
  <si>
    <t>2027-10-18</t>
  </si>
  <si>
    <t>BT78656</t>
  </si>
  <si>
    <t>BT51628</t>
  </si>
  <si>
    <t>BT29917</t>
  </si>
  <si>
    <t>2026-04-18</t>
  </si>
  <si>
    <t>BT13418</t>
  </si>
  <si>
    <t>BT74414</t>
  </si>
  <si>
    <t>2024-10-03</t>
  </si>
  <si>
    <t>2026-11-29</t>
  </si>
  <si>
    <t>BT39170</t>
  </si>
  <si>
    <t>2026-12-21</t>
  </si>
  <si>
    <t>BT66040</t>
  </si>
  <si>
    <t>2025-08-31</t>
  </si>
  <si>
    <t>2028-03-02</t>
  </si>
  <si>
    <t>BT78843</t>
  </si>
  <si>
    <t>2026-09-03</t>
  </si>
  <si>
    <t>BT60777</t>
  </si>
  <si>
    <t>2027-02-03</t>
  </si>
  <si>
    <t>BT31821</t>
  </si>
  <si>
    <t>2026-09-19</t>
  </si>
  <si>
    <t>BT33562</t>
  </si>
  <si>
    <t>2027-12-04</t>
  </si>
  <si>
    <t>BT36467</t>
  </si>
  <si>
    <t>2026-04-03</t>
  </si>
  <si>
    <t>BT78657</t>
  </si>
  <si>
    <t>2024-06-23</t>
  </si>
  <si>
    <t>2026-06-01</t>
  </si>
  <si>
    <t>BT84120</t>
  </si>
  <si>
    <t>2025-04-01</t>
  </si>
  <si>
    <t>BT92110</t>
  </si>
  <si>
    <t>2025-05-24</t>
  </si>
  <si>
    <t>BT81237</t>
  </si>
  <si>
    <t>BT88802</t>
  </si>
  <si>
    <t>2025-10-30</t>
  </si>
  <si>
    <t>BT14813</t>
  </si>
  <si>
    <t>2025-03-02</t>
  </si>
  <si>
    <t>BT31146</t>
  </si>
  <si>
    <t>BT22206</t>
  </si>
  <si>
    <t>2027-04-15</t>
  </si>
  <si>
    <t>BT45968</t>
  </si>
  <si>
    <t>2025-10-06</t>
  </si>
  <si>
    <t>2028-03-30</t>
  </si>
  <si>
    <t>BT21491</t>
  </si>
  <si>
    <t>2028-05-10</t>
  </si>
  <si>
    <t>BT56380</t>
  </si>
  <si>
    <t>BT48074</t>
  </si>
  <si>
    <t>2025-02-27</t>
  </si>
  <si>
    <t>2026-04-14</t>
  </si>
  <si>
    <t>BT53750</t>
  </si>
  <si>
    <t>BT76412</t>
  </si>
  <si>
    <t>2025-07-27</t>
  </si>
  <si>
    <t>BT35430</t>
  </si>
  <si>
    <t>2025-04-16</t>
  </si>
  <si>
    <t>BT53923</t>
  </si>
  <si>
    <t>2025-07-22</t>
  </si>
  <si>
    <t>2028-01-21</t>
  </si>
  <si>
    <t>BT12453</t>
  </si>
  <si>
    <t>BT80028</t>
  </si>
  <si>
    <t>BT64246</t>
  </si>
  <si>
    <t>2024-04-24</t>
  </si>
  <si>
    <t>2026-05-12</t>
  </si>
  <si>
    <t>BT14901</t>
  </si>
  <si>
    <t>2024-12-14</t>
  </si>
  <si>
    <t>2027-04-23</t>
  </si>
  <si>
    <t>BT78632</t>
  </si>
  <si>
    <t>2024-02-07</t>
  </si>
  <si>
    <t>BT60801</t>
  </si>
  <si>
    <t>2028-04-21</t>
  </si>
  <si>
    <t>BT50957</t>
  </si>
  <si>
    <t>2024-11-22</t>
  </si>
  <si>
    <t>BT97965</t>
  </si>
  <si>
    <t>2024-04-14</t>
  </si>
  <si>
    <t>2025-11-11</t>
  </si>
  <si>
    <t>BT81110</t>
  </si>
  <si>
    <t>BT80854</t>
  </si>
  <si>
    <t>2025-02-05</t>
  </si>
  <si>
    <t>BT88134</t>
  </si>
  <si>
    <t>2028-05-16</t>
  </si>
  <si>
    <t>BT20295</t>
  </si>
  <si>
    <t>2027-08-15</t>
  </si>
  <si>
    <t>BT40368</t>
  </si>
  <si>
    <t>BT69412</t>
  </si>
  <si>
    <t>BT85324</t>
  </si>
  <si>
    <t>2027-10-14</t>
  </si>
  <si>
    <t>BT62535</t>
  </si>
  <si>
    <t>2026-07-15</t>
  </si>
  <si>
    <t>BT87459</t>
  </si>
  <si>
    <t>BT85260</t>
  </si>
  <si>
    <t>BT19123</t>
  </si>
  <si>
    <t>2024-08-10</t>
  </si>
  <si>
    <t>2025-12-30</t>
  </si>
  <si>
    <t>2024-07-19</t>
  </si>
  <si>
    <t>BT99327</t>
  </si>
  <si>
    <t>2027-07-24</t>
  </si>
  <si>
    <t>BT26718</t>
  </si>
  <si>
    <t>2024-04-22</t>
  </si>
  <si>
    <t>2026-02-04</t>
  </si>
  <si>
    <t>BT14087</t>
  </si>
  <si>
    <t>2025-07-12</t>
  </si>
  <si>
    <t>2027-02-13</t>
  </si>
  <si>
    <t>BT96833</t>
  </si>
  <si>
    <t>2027-03-25</t>
  </si>
  <si>
    <t>BT27600</t>
  </si>
  <si>
    <t>2025-08-14</t>
  </si>
  <si>
    <t>BT94180</t>
  </si>
  <si>
    <t>2025-04-05</t>
  </si>
  <si>
    <t>2027-05-03</t>
  </si>
  <si>
    <t>BT56570</t>
  </si>
  <si>
    <t>2025-05-28</t>
  </si>
  <si>
    <t>BT63849</t>
  </si>
  <si>
    <t>2025-05-08</t>
  </si>
  <si>
    <t>2028-04-14</t>
  </si>
  <si>
    <t>2024-03-31</t>
  </si>
  <si>
    <t>2025-12-07</t>
  </si>
  <si>
    <t>BT71925</t>
  </si>
  <si>
    <t>2026-05-06</t>
  </si>
  <si>
    <t>BT69511</t>
  </si>
  <si>
    <t>2026-04-12</t>
  </si>
  <si>
    <t>BT14630</t>
  </si>
  <si>
    <t>2026-12-25</t>
  </si>
  <si>
    <t>BT48240</t>
  </si>
  <si>
    <t>BT90713</t>
  </si>
  <si>
    <t>2024-06-03</t>
  </si>
  <si>
    <t>2027-04-08</t>
  </si>
  <si>
    <t>BT68543</t>
  </si>
  <si>
    <t>2024-12-17</t>
  </si>
  <si>
    <t>2026-03-13</t>
  </si>
  <si>
    <t>BT29014</t>
  </si>
  <si>
    <t>BT37637</t>
  </si>
  <si>
    <t>BT72425</t>
  </si>
  <si>
    <t>2024-10-22</t>
  </si>
  <si>
    <t>BT60070</t>
  </si>
  <si>
    <t>2028-07-15</t>
  </si>
  <si>
    <t>BT45728</t>
  </si>
  <si>
    <t>2025-11-19</t>
  </si>
  <si>
    <t>2028-07-13</t>
  </si>
  <si>
    <t>BT35549</t>
  </si>
  <si>
    <t>BT22805</t>
  </si>
  <si>
    <t>2024-01-25</t>
  </si>
  <si>
    <t>BT22050</t>
  </si>
  <si>
    <t>2025-09-11</t>
  </si>
  <si>
    <t>2027-01-22</t>
  </si>
  <si>
    <t>BT59277</t>
  </si>
  <si>
    <t>2027-01-01</t>
  </si>
  <si>
    <t>BT69433</t>
  </si>
  <si>
    <t>2025-02-01</t>
  </si>
  <si>
    <t>2027-01-07</t>
  </si>
  <si>
    <t>BT17872</t>
  </si>
  <si>
    <t>2025-09-16</t>
  </si>
  <si>
    <t>2027-10-23</t>
  </si>
  <si>
    <t>BT33388</t>
  </si>
  <si>
    <t>2024-09-22</t>
  </si>
  <si>
    <t>BT14569</t>
  </si>
  <si>
    <t>2026-12-19</t>
  </si>
  <si>
    <t>BT61181</t>
  </si>
  <si>
    <t>2027-09-18</t>
  </si>
  <si>
    <t>BT67154</t>
  </si>
  <si>
    <t>2026-09-09</t>
  </si>
  <si>
    <t>BT84349</t>
  </si>
  <si>
    <t>BT57887</t>
  </si>
  <si>
    <t>BT96603</t>
  </si>
  <si>
    <t>2024-07-13</t>
  </si>
  <si>
    <t>BT14679</t>
  </si>
  <si>
    <t>BT79984</t>
  </si>
  <si>
    <t>BT37745</t>
  </si>
  <si>
    <t>BT95699</t>
  </si>
  <si>
    <t>BT50283</t>
  </si>
  <si>
    <t>2025-09-22</t>
  </si>
  <si>
    <t>BT18271</t>
  </si>
  <si>
    <t>2024-08-06</t>
  </si>
  <si>
    <t>BT87736</t>
  </si>
  <si>
    <t>BT41934</t>
  </si>
  <si>
    <t>2024-01-07</t>
  </si>
  <si>
    <t>BT33516</t>
  </si>
  <si>
    <t>2025-12-06</t>
  </si>
  <si>
    <t>BT28754</t>
  </si>
  <si>
    <t>2028-02-11</t>
  </si>
  <si>
    <t>BT21537</t>
  </si>
  <si>
    <t>2024-04-07</t>
  </si>
  <si>
    <t>BT57435</t>
  </si>
  <si>
    <t>2025-04-30</t>
  </si>
  <si>
    <t>2027-09-21</t>
  </si>
  <si>
    <t>BT33111</t>
  </si>
  <si>
    <t>2027-12-31</t>
  </si>
  <si>
    <t>BT15677</t>
  </si>
  <si>
    <t>2024-08-28</t>
  </si>
  <si>
    <t>2026-11-26</t>
  </si>
  <si>
    <t>BT87687</t>
  </si>
  <si>
    <t>2025-02-26</t>
  </si>
  <si>
    <t>2026-09-18</t>
  </si>
  <si>
    <t>BT59221</t>
  </si>
  <si>
    <t>BT60768</t>
  </si>
  <si>
    <t>BT46779</t>
  </si>
  <si>
    <t>BT30550</t>
  </si>
  <si>
    <t>2024-08-09</t>
  </si>
  <si>
    <t>BT72061</t>
  </si>
  <si>
    <t>BT85196</t>
  </si>
  <si>
    <t>2028-04-17</t>
  </si>
  <si>
    <t>BT22844</t>
  </si>
  <si>
    <t>2026-05-17</t>
  </si>
  <si>
    <t>BT48769</t>
  </si>
  <si>
    <t>2025-08-07</t>
  </si>
  <si>
    <t>2028-03-26</t>
  </si>
  <si>
    <t>BT13199</t>
  </si>
  <si>
    <t>BT19266</t>
  </si>
  <si>
    <t>2028-03-27</t>
  </si>
  <si>
    <t>BT85396</t>
  </si>
  <si>
    <t>2025-01-07</t>
  </si>
  <si>
    <t>BT24544</t>
  </si>
  <si>
    <t>BT36832</t>
  </si>
  <si>
    <t>BT37498</t>
  </si>
  <si>
    <t>2027-08-18</t>
  </si>
  <si>
    <t>BT75726</t>
  </si>
  <si>
    <t>2028-10-29</t>
  </si>
  <si>
    <t>BT18601</t>
  </si>
  <si>
    <t>BT31596</t>
  </si>
  <si>
    <t>2024-10-27</t>
  </si>
  <si>
    <t>BT99443</t>
  </si>
  <si>
    <t>2024-07-12</t>
  </si>
  <si>
    <t>2025-09-14</t>
  </si>
  <si>
    <t>BT12888</t>
  </si>
  <si>
    <t>BT87772</t>
  </si>
  <si>
    <t>2024-06-24</t>
  </si>
  <si>
    <t>BT39724</t>
  </si>
  <si>
    <t>BT80165</t>
  </si>
  <si>
    <t>BT67788</t>
  </si>
  <si>
    <t>2025-01-16</t>
  </si>
  <si>
    <t>2027-04-20</t>
  </si>
  <si>
    <t>BT80761</t>
  </si>
  <si>
    <t>2026-05-01</t>
  </si>
  <si>
    <t>BT10562</t>
  </si>
  <si>
    <t>2028-06-22</t>
  </si>
  <si>
    <t>BT29278</t>
  </si>
  <si>
    <t>2025-11-25</t>
  </si>
  <si>
    <t>BT25319</t>
  </si>
  <si>
    <t>BT86471</t>
  </si>
  <si>
    <t>2025-11-18</t>
  </si>
  <si>
    <t>BT77081</t>
  </si>
  <si>
    <t>2024-05-31</t>
  </si>
  <si>
    <t>2026-08-11</t>
  </si>
  <si>
    <t>BT58448</t>
  </si>
  <si>
    <t>BT68224</t>
  </si>
  <si>
    <t>2025-08-24</t>
  </si>
  <si>
    <t>2028-04-27</t>
  </si>
  <si>
    <t>BT21282</t>
  </si>
  <si>
    <t>2026-04-19</t>
  </si>
  <si>
    <t>BT10867</t>
  </si>
  <si>
    <t>2025-12-10</t>
  </si>
  <si>
    <t>BT34380</t>
  </si>
  <si>
    <t>2026-12-04</t>
  </si>
  <si>
    <t>BT13517</t>
  </si>
  <si>
    <t>2024-07-02</t>
  </si>
  <si>
    <t>2026-11-17</t>
  </si>
  <si>
    <t>BT94513</t>
  </si>
  <si>
    <t>BT43804</t>
  </si>
  <si>
    <t>2025-08-18</t>
  </si>
  <si>
    <t>2026-10-16</t>
  </si>
  <si>
    <t>BT29154</t>
  </si>
  <si>
    <t>2024-12-30</t>
  </si>
  <si>
    <t>BT47992</t>
  </si>
  <si>
    <t>2026-12-28</t>
  </si>
  <si>
    <t>BT52284</t>
  </si>
  <si>
    <t>2024-05-27</t>
  </si>
  <si>
    <t>2025-06-09</t>
  </si>
  <si>
    <t>BT27950</t>
  </si>
  <si>
    <t>BT83224</t>
  </si>
  <si>
    <t>BT25278</t>
  </si>
  <si>
    <t>BT54832</t>
  </si>
  <si>
    <t>2024-08-20</t>
  </si>
  <si>
    <t>2026-06-30</t>
  </si>
  <si>
    <t>BT26429</t>
  </si>
  <si>
    <t>2026-04-29</t>
  </si>
  <si>
    <t>BT35736</t>
  </si>
  <si>
    <t>BT97501</t>
  </si>
  <si>
    <t>2024-12-25</t>
  </si>
  <si>
    <t>2026-01-23</t>
  </si>
  <si>
    <t>BT21898</t>
  </si>
  <si>
    <t>2027-05-24</t>
  </si>
  <si>
    <t>BT76179</t>
  </si>
  <si>
    <t>2026-12-26</t>
  </si>
  <si>
    <t>BT10567</t>
  </si>
  <si>
    <t>2025-10-21</t>
  </si>
  <si>
    <t>BT56507</t>
  </si>
  <si>
    <t>2025-04-22</t>
  </si>
  <si>
    <t>2026-08-12</t>
  </si>
  <si>
    <t>BT78121</t>
  </si>
  <si>
    <t>BT47173</t>
  </si>
  <si>
    <t>2026-09-23</t>
  </si>
  <si>
    <t>2025-03-24</t>
  </si>
  <si>
    <t>2027-09-10</t>
  </si>
  <si>
    <t>BT96317</t>
  </si>
  <si>
    <t>2026-07-05</t>
  </si>
  <si>
    <t>BT87982</t>
  </si>
  <si>
    <t>BT56674</t>
  </si>
  <si>
    <t>2026-01-16</t>
  </si>
  <si>
    <t>BT74138</t>
  </si>
  <si>
    <t>BT60152</t>
  </si>
  <si>
    <t>2027-09-08</t>
  </si>
  <si>
    <t>2025-07-13</t>
  </si>
  <si>
    <t>2026-07-31</t>
  </si>
  <si>
    <t>BT14141</t>
  </si>
  <si>
    <t>2025-03-10</t>
  </si>
  <si>
    <t>BT33182</t>
  </si>
  <si>
    <t>BT84560</t>
  </si>
  <si>
    <t>2026-04-02</t>
  </si>
  <si>
    <t>BT44523</t>
  </si>
  <si>
    <t>BT58026</t>
  </si>
  <si>
    <t>BT56041</t>
  </si>
  <si>
    <t>2024-11-08</t>
  </si>
  <si>
    <t>BT54249</t>
  </si>
  <si>
    <t>BT12674</t>
  </si>
  <si>
    <t>2025-05-15</t>
  </si>
  <si>
    <t>BT98488</t>
  </si>
  <si>
    <t>2024-07-25</t>
  </si>
  <si>
    <t>2026-12-15</t>
  </si>
  <si>
    <t>BT93288</t>
  </si>
  <si>
    <t>2025-02-15</t>
  </si>
  <si>
    <t>BT91863</t>
  </si>
  <si>
    <t>2027-07-12</t>
  </si>
  <si>
    <t>BT37490</t>
  </si>
  <si>
    <t>BT42933</t>
  </si>
  <si>
    <t>2028-01-06</t>
  </si>
  <si>
    <t>BT37912</t>
  </si>
  <si>
    <t>BT70619</t>
  </si>
  <si>
    <t>2027-05-07</t>
  </si>
  <si>
    <t>BT64059</t>
  </si>
  <si>
    <t>BT50703</t>
  </si>
  <si>
    <t>BT96333</t>
  </si>
  <si>
    <t>2027-07-10</t>
  </si>
  <si>
    <t>BT18333</t>
  </si>
  <si>
    <t>2024-05-03</t>
  </si>
  <si>
    <t>BT97060</t>
  </si>
  <si>
    <t>BT86588</t>
  </si>
  <si>
    <t>2024-10-08</t>
  </si>
  <si>
    <t>BT63526</t>
  </si>
  <si>
    <t>BT72240</t>
  </si>
  <si>
    <t>2028-07-03</t>
  </si>
  <si>
    <t>BT14562</t>
  </si>
  <si>
    <t>BT25997</t>
  </si>
  <si>
    <t>2024-11-04</t>
  </si>
  <si>
    <t>BT40862</t>
  </si>
  <si>
    <t>2026-08-08</t>
  </si>
  <si>
    <t>BT71746</t>
  </si>
  <si>
    <t>2027-03-01</t>
  </si>
  <si>
    <t>BT88920</t>
  </si>
  <si>
    <t>BT10403</t>
  </si>
  <si>
    <t>BT87858</t>
  </si>
  <si>
    <t>2024-12-01</t>
  </si>
  <si>
    <t>2026-09-15</t>
  </si>
  <si>
    <t>BT36039</t>
  </si>
  <si>
    <t>2028-05-17</t>
  </si>
  <si>
    <t>BT90216</t>
  </si>
  <si>
    <t>2027-12-07</t>
  </si>
  <si>
    <t>BT88694</t>
  </si>
  <si>
    <t>2028-02-27</t>
  </si>
  <si>
    <t>BT74769</t>
  </si>
  <si>
    <t>2026-10-14</t>
  </si>
  <si>
    <t>BT88654</t>
  </si>
  <si>
    <t>2026-07-19</t>
  </si>
  <si>
    <t>BT40865</t>
  </si>
  <si>
    <t>2024-11-27</t>
  </si>
  <si>
    <t>2027-11-06</t>
  </si>
  <si>
    <t>BT62108</t>
  </si>
  <si>
    <t>2026-08-03</t>
  </si>
  <si>
    <t>BT71726</t>
  </si>
  <si>
    <t>2025-02-08</t>
  </si>
  <si>
    <t>BT58614</t>
  </si>
  <si>
    <t>BT27290</t>
  </si>
  <si>
    <t>2026-10-03</t>
  </si>
  <si>
    <t>BT46831</t>
  </si>
  <si>
    <t>BT29826</t>
  </si>
  <si>
    <t>BT31437</t>
  </si>
  <si>
    <t>BT24744</t>
  </si>
  <si>
    <t>2024-10-06</t>
  </si>
  <si>
    <t>BT96918</t>
  </si>
  <si>
    <t>BT22360</t>
  </si>
  <si>
    <t>BT13784</t>
  </si>
  <si>
    <t>2026-12-16</t>
  </si>
  <si>
    <t>BT91574</t>
  </si>
  <si>
    <t>2024-02-26</t>
  </si>
  <si>
    <t>BT81716</t>
  </si>
  <si>
    <t>2024-04-01</t>
  </si>
  <si>
    <t>BT37292</t>
  </si>
  <si>
    <t>2027-10-15</t>
  </si>
  <si>
    <t>BT89103</t>
  </si>
  <si>
    <t>BT83801</t>
  </si>
  <si>
    <t>BT70755</t>
  </si>
  <si>
    <t>BT20378</t>
  </si>
  <si>
    <t>BT15910</t>
  </si>
  <si>
    <t>2024-09-16</t>
  </si>
  <si>
    <t>BT43405</t>
  </si>
  <si>
    <t>2026-03-24</t>
  </si>
  <si>
    <t>BT20917</t>
  </si>
  <si>
    <t>2024-12-15</t>
  </si>
  <si>
    <t>BT37665</t>
  </si>
  <si>
    <t>2024-04-29</t>
  </si>
  <si>
    <t>2025-05-12</t>
  </si>
  <si>
    <t>BT32509</t>
  </si>
  <si>
    <t>2027-12-12</t>
  </si>
  <si>
    <t>BT98316</t>
  </si>
  <si>
    <t>BT37424</t>
  </si>
  <si>
    <t>BT65296</t>
  </si>
  <si>
    <t>2026-03-30</t>
  </si>
  <si>
    <t>BT48644</t>
  </si>
  <si>
    <t>2025-03-18</t>
  </si>
  <si>
    <t>2027-05-17</t>
  </si>
  <si>
    <t>BT74972</t>
  </si>
  <si>
    <t>2028-08-12</t>
  </si>
  <si>
    <t>BT73950</t>
  </si>
  <si>
    <t>BT72041</t>
  </si>
  <si>
    <t>2027-04-12</t>
  </si>
  <si>
    <t>BT67424</t>
  </si>
  <si>
    <t>2027-04-05</t>
  </si>
  <si>
    <t>BT98225</t>
  </si>
  <si>
    <t>BT32713</t>
  </si>
  <si>
    <t>2024-02-18</t>
  </si>
  <si>
    <t>BT57026</t>
  </si>
  <si>
    <t>BT39712</t>
  </si>
  <si>
    <t>2025-07-24</t>
  </si>
  <si>
    <t>BT29815</t>
  </si>
  <si>
    <t>2024-04-18</t>
  </si>
  <si>
    <t>2027-01-03</t>
  </si>
  <si>
    <t>BT89908</t>
  </si>
  <si>
    <t>2025-01-05</t>
  </si>
  <si>
    <t>2026-06-14</t>
  </si>
  <si>
    <t>BT48289</t>
  </si>
  <si>
    <t>2025-11-27</t>
  </si>
  <si>
    <t>BT67554</t>
  </si>
  <si>
    <t>2024-09-29</t>
  </si>
  <si>
    <t>BT64396</t>
  </si>
  <si>
    <t>BT63648</t>
  </si>
  <si>
    <t>2026-08-23</t>
  </si>
  <si>
    <t>BT21112</t>
  </si>
  <si>
    <t>2027-03-21</t>
  </si>
  <si>
    <t>BT85308</t>
  </si>
  <si>
    <t>2026-09-24</t>
  </si>
  <si>
    <t>BT55109</t>
  </si>
  <si>
    <t>2025-07-11</t>
  </si>
  <si>
    <t>2028-04-10</t>
  </si>
  <si>
    <t>BT91027</t>
  </si>
  <si>
    <t>BT80882</t>
  </si>
  <si>
    <t>2024-01-24</t>
  </si>
  <si>
    <t>2025-02-20</t>
  </si>
  <si>
    <t>BT80770</t>
  </si>
  <si>
    <t>2027-06-26</t>
  </si>
  <si>
    <t>BT76518</t>
  </si>
  <si>
    <t>2027-04-16</t>
  </si>
  <si>
    <t>BT84133</t>
  </si>
  <si>
    <t>BT28346</t>
  </si>
  <si>
    <t>2027-04-14</t>
  </si>
  <si>
    <t>BT22843</t>
  </si>
  <si>
    <t>BT20233</t>
  </si>
  <si>
    <t>BT93422</t>
  </si>
  <si>
    <t>BT77264</t>
  </si>
  <si>
    <t>BT88852</t>
  </si>
  <si>
    <t>BT49748</t>
  </si>
  <si>
    <t>BT33996</t>
  </si>
  <si>
    <t>2027-11-08</t>
  </si>
  <si>
    <t>BT54279</t>
  </si>
  <si>
    <t>BT29527</t>
  </si>
  <si>
    <t>BT97876</t>
  </si>
  <si>
    <t>2027-06-09</t>
  </si>
  <si>
    <t>BT94562</t>
  </si>
  <si>
    <t>BT72368</t>
  </si>
  <si>
    <t>BT21094</t>
  </si>
  <si>
    <t>2025-03-23</t>
  </si>
  <si>
    <t>BT64386</t>
  </si>
  <si>
    <t>2024-06-21</t>
  </si>
  <si>
    <t>BT28878</t>
  </si>
  <si>
    <t>2024-11-29</t>
  </si>
  <si>
    <t>BT13561</t>
  </si>
  <si>
    <t>BT36549</t>
  </si>
  <si>
    <t>2026-01-27</t>
  </si>
  <si>
    <t>BT17947</t>
  </si>
  <si>
    <t>2024-01-20</t>
  </si>
  <si>
    <t>BT82623</t>
  </si>
  <si>
    <t>2028-03-08</t>
  </si>
  <si>
    <t>BT36667</t>
  </si>
  <si>
    <t>BT70902</t>
  </si>
  <si>
    <t>BT56061</t>
  </si>
  <si>
    <t>2026-02-02</t>
  </si>
  <si>
    <t>BT61813</t>
  </si>
  <si>
    <t>2027-10-20</t>
  </si>
  <si>
    <t>BT54909</t>
  </si>
  <si>
    <t>2027-12-19</t>
  </si>
  <si>
    <t>BT53051</t>
  </si>
  <si>
    <t>2027-09-19</t>
  </si>
  <si>
    <t>BT74091</t>
  </si>
  <si>
    <t>2025-01-20</t>
  </si>
  <si>
    <t>BT56919</t>
  </si>
  <si>
    <t>BT46848</t>
  </si>
  <si>
    <t>BT74597</t>
  </si>
  <si>
    <t>2025-07-19</t>
  </si>
  <si>
    <t>2027-02-02</t>
  </si>
  <si>
    <t>BT96486</t>
  </si>
  <si>
    <t>2026-01-30</t>
  </si>
  <si>
    <t>BT84698</t>
  </si>
  <si>
    <t>2025-11-28</t>
  </si>
  <si>
    <t>2028-06-23</t>
  </si>
  <si>
    <t>BT69497</t>
  </si>
  <si>
    <t>BT57378</t>
  </si>
  <si>
    <t>BT53870</t>
  </si>
  <si>
    <t>2026-10-17</t>
  </si>
  <si>
    <t>BT18237</t>
  </si>
  <si>
    <t>2026-02-07</t>
  </si>
  <si>
    <t>BT53724</t>
  </si>
  <si>
    <t>2024-03-28</t>
  </si>
  <si>
    <t>BT14370</t>
  </si>
  <si>
    <t>2026-05-24</t>
  </si>
  <si>
    <t>BT23346</t>
  </si>
  <si>
    <t>2025-09-05</t>
  </si>
  <si>
    <t>2028-07-11</t>
  </si>
  <si>
    <t>BT91789</t>
  </si>
  <si>
    <t>2024-01-27</t>
  </si>
  <si>
    <t>2026-05-05</t>
  </si>
  <si>
    <t>BT77792</t>
  </si>
  <si>
    <t>BT26512</t>
  </si>
  <si>
    <t>2024-03-02</t>
  </si>
  <si>
    <t>BT50850</t>
  </si>
  <si>
    <t>2026-10-11</t>
  </si>
  <si>
    <t>BT58343</t>
  </si>
  <si>
    <t>2024-02-25</t>
  </si>
  <si>
    <t>BT55064</t>
  </si>
  <si>
    <t>2027-12-28</t>
  </si>
  <si>
    <t>BT53403</t>
  </si>
  <si>
    <t>BT38757</t>
  </si>
  <si>
    <t>BT36911</t>
  </si>
  <si>
    <t>BT67725</t>
  </si>
  <si>
    <t>2024-09-25</t>
  </si>
  <si>
    <t>2026-03-22</t>
  </si>
  <si>
    <t>BT54540</t>
  </si>
  <si>
    <t>BT59666</t>
  </si>
  <si>
    <t>BT91684</t>
  </si>
  <si>
    <t>2028-01-03</t>
  </si>
  <si>
    <t>BT59054</t>
  </si>
  <si>
    <t>BT92504</t>
  </si>
  <si>
    <t>2028-07-31</t>
  </si>
  <si>
    <t>BT18503</t>
  </si>
  <si>
    <t>2025-01-17</t>
  </si>
  <si>
    <t>BT73346</t>
  </si>
  <si>
    <t>BT38651</t>
  </si>
  <si>
    <t>BT68262</t>
  </si>
  <si>
    <t>BT63602</t>
  </si>
  <si>
    <t>BT57067</t>
  </si>
  <si>
    <t>2024-08-21</t>
  </si>
  <si>
    <t>BT25543</t>
  </si>
  <si>
    <t>2027-09-07</t>
  </si>
  <si>
    <t>BT34987</t>
  </si>
  <si>
    <t>2025-02-17</t>
  </si>
  <si>
    <t>BT86015</t>
  </si>
  <si>
    <t>BT77610</t>
  </si>
  <si>
    <t>BT67498</t>
  </si>
  <si>
    <t>2026-06-04</t>
  </si>
  <si>
    <t>BT96356</t>
  </si>
  <si>
    <t>BT14221</t>
  </si>
  <si>
    <t>2025-02-04</t>
  </si>
  <si>
    <t>2026-04-10</t>
  </si>
  <si>
    <t>BT80056</t>
  </si>
  <si>
    <t>BT98458</t>
  </si>
  <si>
    <t>2025-01-30</t>
  </si>
  <si>
    <t>BT36986</t>
  </si>
  <si>
    <t>BT61262</t>
  </si>
  <si>
    <t>BT36958</t>
  </si>
  <si>
    <t>BT36437</t>
  </si>
  <si>
    <t>BT70319</t>
  </si>
  <si>
    <t>2024-10-31</t>
  </si>
  <si>
    <t>BT90350</t>
  </si>
  <si>
    <t>BT61583</t>
  </si>
  <si>
    <t>BT63907</t>
  </si>
  <si>
    <t>BT43130</t>
  </si>
  <si>
    <t>BT62342</t>
  </si>
  <si>
    <t>BT70470</t>
  </si>
  <si>
    <t>BT89559</t>
  </si>
  <si>
    <t>BT30119</t>
  </si>
  <si>
    <t>BT94018</t>
  </si>
  <si>
    <t>2026-04-06</t>
  </si>
  <si>
    <t>BT59105</t>
  </si>
  <si>
    <t>2027-01-19</t>
  </si>
  <si>
    <t>BT38910</t>
  </si>
  <si>
    <t>BT92154</t>
  </si>
  <si>
    <t>BT11965</t>
  </si>
  <si>
    <t>2027-08-08</t>
  </si>
  <si>
    <t>BT91777</t>
  </si>
  <si>
    <t>2025-07-03</t>
  </si>
  <si>
    <t>2028-02-05</t>
  </si>
  <si>
    <t>BT32473</t>
  </si>
  <si>
    <t>BT32980</t>
  </si>
  <si>
    <t>BT93963</t>
  </si>
  <si>
    <t>2026-11-11</t>
  </si>
  <si>
    <t>BT41922</t>
  </si>
  <si>
    <t>BT41203</t>
  </si>
  <si>
    <t>2026-07-27</t>
  </si>
  <si>
    <t>BT64380</t>
  </si>
  <si>
    <t>2027-07-23</t>
  </si>
  <si>
    <t>BT39156</t>
  </si>
  <si>
    <t>BT35226</t>
  </si>
  <si>
    <t>2024-07-28</t>
  </si>
  <si>
    <t>2026-03-26</t>
  </si>
  <si>
    <t>BT76509</t>
  </si>
  <si>
    <t>2025-09-12</t>
  </si>
  <si>
    <t>BT49728</t>
  </si>
  <si>
    <t>2025-01-21</t>
  </si>
  <si>
    <t>2026-07-11</t>
  </si>
  <si>
    <t>BT71697</t>
  </si>
  <si>
    <t>2024-03-26</t>
  </si>
  <si>
    <t>BT88011</t>
  </si>
  <si>
    <t>2028-04-09</t>
  </si>
  <si>
    <t>BT73025</t>
  </si>
  <si>
    <t>2027-06-05</t>
  </si>
  <si>
    <t>BT63025</t>
  </si>
  <si>
    <t>2025-02-22</t>
  </si>
  <si>
    <t>BT26315</t>
  </si>
  <si>
    <t>2027-05-27</t>
  </si>
  <si>
    <t>2027-10-13</t>
  </si>
  <si>
    <t>BT98660</t>
  </si>
  <si>
    <t>BT31158</t>
  </si>
  <si>
    <t>BT65436</t>
  </si>
  <si>
    <t>2027-01-06</t>
  </si>
  <si>
    <t>BT21648</t>
  </si>
  <si>
    <t>BT32072</t>
  </si>
  <si>
    <t>BT59106</t>
  </si>
  <si>
    <t>2024-08-05</t>
  </si>
  <si>
    <t>BT36337</t>
  </si>
  <si>
    <t>BT20460</t>
  </si>
  <si>
    <t>2028-03-29</t>
  </si>
  <si>
    <t>BT23213</t>
  </si>
  <si>
    <t>2027-09-28</t>
  </si>
  <si>
    <t>BT78167</t>
  </si>
  <si>
    <t>2026-07-21</t>
  </si>
  <si>
    <t>BT57344</t>
  </si>
  <si>
    <t>2026-07-07</t>
  </si>
  <si>
    <t>BT13365</t>
  </si>
  <si>
    <t>2027-10-10</t>
  </si>
  <si>
    <t>BT64149</t>
  </si>
  <si>
    <t>BT40612</t>
  </si>
  <si>
    <t>2028-03-06</t>
  </si>
  <si>
    <t>BT23166</t>
  </si>
  <si>
    <t>2025-06-11</t>
  </si>
  <si>
    <t>BT75264</t>
  </si>
  <si>
    <t>2027-03-10</t>
  </si>
  <si>
    <t>BT41897</t>
  </si>
  <si>
    <t>BT46747</t>
  </si>
  <si>
    <t>BT85493</t>
  </si>
  <si>
    <t>BT39301</t>
  </si>
  <si>
    <t>BT58200</t>
  </si>
  <si>
    <t>2027-04-10</t>
  </si>
  <si>
    <t>BT51896</t>
  </si>
  <si>
    <t>2027-03-05</t>
  </si>
  <si>
    <t>BT28966</t>
  </si>
  <si>
    <t>2026-10-10</t>
  </si>
  <si>
    <t>BT51961</t>
  </si>
  <si>
    <t>2024-10-25</t>
  </si>
  <si>
    <t>BT59375</t>
  </si>
  <si>
    <t>2026-11-13</t>
  </si>
  <si>
    <t>BT61355</t>
  </si>
  <si>
    <t>BT61257</t>
  </si>
  <si>
    <t>2024-05-14</t>
  </si>
  <si>
    <t>BT86072</t>
  </si>
  <si>
    <t>BT37494</t>
  </si>
  <si>
    <t>BT65982</t>
  </si>
  <si>
    <t>2028-04-06</t>
  </si>
  <si>
    <t>BT54366</t>
  </si>
  <si>
    <t>BT88139</t>
  </si>
  <si>
    <t>BT11520</t>
  </si>
  <si>
    <t>2027-12-13</t>
  </si>
  <si>
    <t>BT45877</t>
  </si>
  <si>
    <t>2024-05-08</t>
  </si>
  <si>
    <t>BT52628</t>
  </si>
  <si>
    <t>BT74036</t>
  </si>
  <si>
    <t>2024-07-04</t>
  </si>
  <si>
    <t>BT33584</t>
  </si>
  <si>
    <t>BT43654</t>
  </si>
  <si>
    <t>2025-11-04</t>
  </si>
  <si>
    <t>BT42550</t>
  </si>
  <si>
    <t>BT56152</t>
  </si>
  <si>
    <t>2025-12-23</t>
  </si>
  <si>
    <t>BT88924</t>
  </si>
  <si>
    <t>2024-09-18</t>
  </si>
  <si>
    <t>BT60040</t>
  </si>
  <si>
    <t>BT92984</t>
  </si>
  <si>
    <t>BT13396</t>
  </si>
  <si>
    <t>BT21662</t>
  </si>
  <si>
    <t>BT23762</t>
  </si>
  <si>
    <t>BT45527</t>
  </si>
  <si>
    <t>2028-05-22</t>
  </si>
  <si>
    <t>BT82308</t>
  </si>
  <si>
    <t>BT26563</t>
  </si>
  <si>
    <t>2028-02-25</t>
  </si>
  <si>
    <t>BT70003</t>
  </si>
  <si>
    <t>BT93313</t>
  </si>
  <si>
    <t>BT85407</t>
  </si>
  <si>
    <t>2026-10-21</t>
  </si>
  <si>
    <t>BT72869</t>
  </si>
  <si>
    <t>2024-01-08</t>
  </si>
  <si>
    <t>BT80035</t>
  </si>
  <si>
    <t>BT32913</t>
  </si>
  <si>
    <t>BT54296</t>
  </si>
  <si>
    <t>BT61592</t>
  </si>
  <si>
    <t>BT70339</t>
  </si>
  <si>
    <t>2026-06-28</t>
  </si>
  <si>
    <t>BT74493</t>
  </si>
  <si>
    <t>2027-07-17</t>
  </si>
  <si>
    <t>BT39634</t>
  </si>
  <si>
    <t>2025-03-25</t>
  </si>
  <si>
    <t>2028-01-26</t>
  </si>
  <si>
    <t>BT67587</t>
  </si>
  <si>
    <t>2024-02-11</t>
  </si>
  <si>
    <t>BT61713</t>
  </si>
  <si>
    <t>2026-07-06</t>
  </si>
  <si>
    <t>BT74103</t>
  </si>
  <si>
    <t>BT24382</t>
  </si>
  <si>
    <t>2024-02-23</t>
  </si>
  <si>
    <t>BT54845</t>
  </si>
  <si>
    <t>2026-11-23</t>
  </si>
  <si>
    <t>BT90951</t>
  </si>
  <si>
    <t>BT66250</t>
  </si>
  <si>
    <t>2027-03-12</t>
  </si>
  <si>
    <t>BT40065</t>
  </si>
  <si>
    <t>BT59853</t>
  </si>
  <si>
    <t>BT49883</t>
  </si>
  <si>
    <t>BT16832</t>
  </si>
  <si>
    <t>BT49892</t>
  </si>
  <si>
    <t>2028-02-18</t>
  </si>
  <si>
    <t>BT89261</t>
  </si>
  <si>
    <t>2027-01-09</t>
  </si>
  <si>
    <t>BT15379</t>
  </si>
  <si>
    <t>BT72154</t>
  </si>
  <si>
    <t>BT57973</t>
  </si>
  <si>
    <t>BT31880</t>
  </si>
  <si>
    <t>2026-08-24</t>
  </si>
  <si>
    <t>BT74884</t>
  </si>
  <si>
    <t>2027-10-28</t>
  </si>
  <si>
    <t>BT45585</t>
  </si>
  <si>
    <t>BT76036</t>
  </si>
  <si>
    <t>BT48252</t>
  </si>
  <si>
    <t>2027-02-01</t>
  </si>
  <si>
    <t>BT25228</t>
  </si>
  <si>
    <t>2024-09-27</t>
  </si>
  <si>
    <t>BT63522</t>
  </si>
  <si>
    <t>2024-09-19</t>
  </si>
  <si>
    <t>2025-10-05</t>
  </si>
  <si>
    <t>BT80436</t>
  </si>
  <si>
    <t>2024-10-02</t>
  </si>
  <si>
    <t>2026-04-28</t>
  </si>
  <si>
    <t>BT86239</t>
  </si>
  <si>
    <t>BT34251</t>
  </si>
  <si>
    <t>2028-01-11</t>
  </si>
  <si>
    <t>BT89668</t>
  </si>
  <si>
    <t>BT27995</t>
  </si>
  <si>
    <t>BT21136</t>
  </si>
  <si>
    <t>2026-09-05</t>
  </si>
  <si>
    <t>BT45056</t>
  </si>
  <si>
    <t>BT10158</t>
  </si>
  <si>
    <t>2025-12-01</t>
  </si>
  <si>
    <t>2027-12-29</t>
  </si>
  <si>
    <t>BT24733</t>
  </si>
  <si>
    <t>BT21115</t>
  </si>
  <si>
    <t>2024-06-02</t>
  </si>
  <si>
    <t>BT49526</t>
  </si>
  <si>
    <t>BT29482</t>
  </si>
  <si>
    <t>BT21855</t>
  </si>
  <si>
    <t>BT93440</t>
  </si>
  <si>
    <t>BT40161</t>
  </si>
  <si>
    <t>BT57409</t>
  </si>
  <si>
    <t>BT57298</t>
  </si>
  <si>
    <t>2024-05-21</t>
  </si>
  <si>
    <t>BT28753</t>
  </si>
  <si>
    <t>2028-01-01</t>
  </si>
  <si>
    <t>BT30732</t>
  </si>
  <si>
    <t>2026-08-02</t>
  </si>
  <si>
    <t>BT33910</t>
  </si>
  <si>
    <t>2028-10-02</t>
  </si>
  <si>
    <t>BT11731</t>
  </si>
  <si>
    <t>2025-03-09</t>
  </si>
  <si>
    <t>2028-02-03</t>
  </si>
  <si>
    <t>BT69545</t>
  </si>
  <si>
    <t>2026-03-14</t>
  </si>
  <si>
    <t>BT20119</t>
  </si>
  <si>
    <t>2024-07-18</t>
  </si>
  <si>
    <t>2026-04-20</t>
  </si>
  <si>
    <t>BT24208</t>
  </si>
  <si>
    <t>BT88264</t>
  </si>
  <si>
    <t>2025-12-28</t>
  </si>
  <si>
    <t>BT84727</t>
  </si>
  <si>
    <t>BT62184</t>
  </si>
  <si>
    <t>2026-09-10</t>
  </si>
  <si>
    <t>BT75821</t>
  </si>
  <si>
    <t>BT22227</t>
  </si>
  <si>
    <t>2027-06-03</t>
  </si>
  <si>
    <t>BT68652</t>
  </si>
  <si>
    <t>2025-01-31</t>
  </si>
  <si>
    <t>2026-10-02</t>
  </si>
  <si>
    <t>BT37370</t>
  </si>
  <si>
    <t>2027-05-26</t>
  </si>
  <si>
    <t>BT21425</t>
  </si>
  <si>
    <t>2024-12-27</t>
  </si>
  <si>
    <t>BT19323</t>
  </si>
  <si>
    <t>BT84545</t>
  </si>
  <si>
    <t>2025-01-10</t>
  </si>
  <si>
    <t>BT91871</t>
  </si>
  <si>
    <t>BT94392</t>
  </si>
  <si>
    <t>2024-06-11</t>
  </si>
  <si>
    <t>2027-01-15</t>
  </si>
  <si>
    <t>BT62334</t>
  </si>
  <si>
    <t>BT21248</t>
  </si>
  <si>
    <t>2025-09-10</t>
  </si>
  <si>
    <t>BT37870</t>
  </si>
  <si>
    <t>2026-06-29</t>
  </si>
  <si>
    <t>BT84475</t>
  </si>
  <si>
    <t>BT99610</t>
  </si>
  <si>
    <t>2025-04-07</t>
  </si>
  <si>
    <t>2027-06-10</t>
  </si>
  <si>
    <t>BT78783</t>
  </si>
  <si>
    <t>2026-04-17</t>
  </si>
  <si>
    <t>BT36031</t>
  </si>
  <si>
    <t>BT84752</t>
  </si>
  <si>
    <t>2024-05-28</t>
  </si>
  <si>
    <t>BT97040</t>
  </si>
  <si>
    <t>BT78248</t>
  </si>
  <si>
    <t>BT81576</t>
  </si>
  <si>
    <t>2024-01-15</t>
  </si>
  <si>
    <t>BT57683</t>
  </si>
  <si>
    <t>BT56101</t>
  </si>
  <si>
    <t>BT82450</t>
  </si>
  <si>
    <t>2027-10-05</t>
  </si>
  <si>
    <t>BT91313</t>
  </si>
  <si>
    <t>BT23068</t>
  </si>
  <si>
    <t>BT35632</t>
  </si>
  <si>
    <t>2026-01-25</t>
  </si>
  <si>
    <t>BT39351</t>
  </si>
  <si>
    <t>BT12035</t>
  </si>
  <si>
    <t>2025-03-16</t>
  </si>
  <si>
    <t>2026-11-18</t>
  </si>
  <si>
    <t>BT82841</t>
  </si>
  <si>
    <t>2024-06-26</t>
  </si>
  <si>
    <t>BT51697</t>
  </si>
  <si>
    <t>BT44108</t>
  </si>
  <si>
    <t>BT13646</t>
  </si>
  <si>
    <t>2028-01-18</t>
  </si>
  <si>
    <t>BT92772</t>
  </si>
  <si>
    <t>BT96410</t>
  </si>
  <si>
    <t>2025-08-22</t>
  </si>
  <si>
    <t>BT28590</t>
  </si>
  <si>
    <t>2026-09-04</t>
  </si>
  <si>
    <t>BT23195</t>
  </si>
  <si>
    <t>BT93040</t>
  </si>
  <si>
    <t>2025-06-01</t>
  </si>
  <si>
    <t>BT54932</t>
  </si>
  <si>
    <t>BT89444</t>
  </si>
  <si>
    <t>BT52931</t>
  </si>
  <si>
    <t>2028-05-15</t>
  </si>
  <si>
    <t>BT48577</t>
  </si>
  <si>
    <t>2024-07-21</t>
  </si>
  <si>
    <t>BT46842</t>
  </si>
  <si>
    <t>BT88162</t>
  </si>
  <si>
    <t>2026-12-13</t>
  </si>
  <si>
    <t>BT68904</t>
  </si>
  <si>
    <t>2025-06-27</t>
  </si>
  <si>
    <t>2027-06-22</t>
  </si>
  <si>
    <t>BT62206</t>
  </si>
  <si>
    <t>2025-01-15</t>
  </si>
  <si>
    <t>2027-01-30</t>
  </si>
  <si>
    <t>BT29010</t>
  </si>
  <si>
    <t>BT18681</t>
  </si>
  <si>
    <t>BT85228</t>
  </si>
  <si>
    <t>BT94366</t>
  </si>
  <si>
    <t>BT54222</t>
  </si>
  <si>
    <t>2024-03-22</t>
  </si>
  <si>
    <t>2026-10-12</t>
  </si>
  <si>
    <t>BT51048</t>
  </si>
  <si>
    <t>2026-05-21</t>
  </si>
  <si>
    <t>BT90999</t>
  </si>
  <si>
    <t>2025-03-22</t>
  </si>
  <si>
    <t>BT32307</t>
  </si>
  <si>
    <t>BT16291</t>
  </si>
  <si>
    <t>2025-08-20</t>
  </si>
  <si>
    <t>BT25715</t>
  </si>
  <si>
    <t>BT85744</t>
  </si>
  <si>
    <t>2024-03-25</t>
  </si>
  <si>
    <t>2026-03-21</t>
  </si>
  <si>
    <t>BT83205</t>
  </si>
  <si>
    <t>2026-12-01</t>
  </si>
  <si>
    <t>BT60470</t>
  </si>
  <si>
    <t>2027-11-10</t>
  </si>
  <si>
    <t>BT69509</t>
  </si>
  <si>
    <t>2028-03-05</t>
  </si>
  <si>
    <t>BT36610</t>
  </si>
  <si>
    <t>BT29305</t>
  </si>
  <si>
    <t>2028-05-04</t>
  </si>
  <si>
    <t>BT69328</t>
  </si>
  <si>
    <t>2027-08-19</t>
  </si>
  <si>
    <t>BT53743</t>
  </si>
  <si>
    <t>BT34831</t>
  </si>
  <si>
    <t>2027-07-04</t>
  </si>
  <si>
    <t>BT24559</t>
  </si>
  <si>
    <t>2027-05-16</t>
  </si>
  <si>
    <t>BT63026</t>
  </si>
  <si>
    <t>2027-08-04</t>
  </si>
  <si>
    <t>BT88159</t>
  </si>
  <si>
    <t>BT51302</t>
  </si>
  <si>
    <t>2024-01-22</t>
  </si>
  <si>
    <t>2025-07-21</t>
  </si>
  <si>
    <t>BT44581</t>
  </si>
  <si>
    <t>BT24337</t>
  </si>
  <si>
    <t>2024-04-06</t>
  </si>
  <si>
    <t>BT49924</t>
  </si>
  <si>
    <t>2024-01-14</t>
  </si>
  <si>
    <t>2026-01-09</t>
  </si>
  <si>
    <t>BT49470</t>
  </si>
  <si>
    <t>2025-06-21</t>
  </si>
  <si>
    <t>BT63781</t>
  </si>
  <si>
    <t>2027-03-20</t>
  </si>
  <si>
    <t>BT37041</t>
  </si>
  <si>
    <t>2027-09-26</t>
  </si>
  <si>
    <t>BT32931</t>
  </si>
  <si>
    <t>BT15387</t>
  </si>
  <si>
    <t>2024-12-21</t>
  </si>
  <si>
    <t>BT24442</t>
  </si>
  <si>
    <t>BT49799</t>
  </si>
  <si>
    <t>2024-05-06</t>
  </si>
  <si>
    <t>BT74011</t>
  </si>
  <si>
    <t>BT83498</t>
  </si>
  <si>
    <t>2024-08-12</t>
  </si>
  <si>
    <t>BT72020</t>
  </si>
  <si>
    <t>2027-07-18</t>
  </si>
  <si>
    <t>BT32715</t>
  </si>
  <si>
    <t>BT36151</t>
  </si>
  <si>
    <t>BT28167</t>
  </si>
  <si>
    <t>BT13627</t>
  </si>
  <si>
    <t>BT58904</t>
  </si>
  <si>
    <t>2025-04-18</t>
  </si>
  <si>
    <t>2027-09-30</t>
  </si>
  <si>
    <t>BT70322</t>
  </si>
  <si>
    <t>BT53425</t>
  </si>
  <si>
    <t>BT39300</t>
  </si>
  <si>
    <t>BT89140</t>
  </si>
  <si>
    <t>2026-04-01</t>
  </si>
  <si>
    <t>BT25966</t>
  </si>
  <si>
    <t>2028-07-27</t>
  </si>
  <si>
    <t>BT26147</t>
  </si>
  <si>
    <t>BT72411</t>
  </si>
  <si>
    <t>BT64643</t>
  </si>
  <si>
    <t>2024-02-04</t>
  </si>
  <si>
    <t>2026-11-25</t>
  </si>
  <si>
    <t>BT95252</t>
  </si>
  <si>
    <t>2026-06-12</t>
  </si>
  <si>
    <t>BT75619</t>
  </si>
  <si>
    <t>2028-05-31</t>
  </si>
  <si>
    <t>BT54471</t>
  </si>
  <si>
    <t>BT71833</t>
  </si>
  <si>
    <t>BT86610</t>
  </si>
  <si>
    <t>2028-04-20</t>
  </si>
  <si>
    <t>BT72444</t>
  </si>
  <si>
    <t>2026-05-10</t>
  </si>
  <si>
    <t>BT18116</t>
  </si>
  <si>
    <t>BT24111</t>
  </si>
  <si>
    <t>2026-06-06</t>
  </si>
  <si>
    <t>BT36370</t>
  </si>
  <si>
    <t>BT14356</t>
  </si>
  <si>
    <t>2028-09-16</t>
  </si>
  <si>
    <t>BT79226</t>
  </si>
  <si>
    <t>2026-12-14</t>
  </si>
  <si>
    <t>BT18802</t>
  </si>
  <si>
    <t>BT75367</t>
  </si>
  <si>
    <t>2026-10-18</t>
  </si>
  <si>
    <t>BT56911</t>
  </si>
  <si>
    <t>BT50925</t>
  </si>
  <si>
    <t>BT36281</t>
  </si>
  <si>
    <t>BT40882</t>
  </si>
  <si>
    <t>BT20563</t>
  </si>
  <si>
    <t>2025-10-27</t>
  </si>
  <si>
    <t>BT66559</t>
  </si>
  <si>
    <t>2025-07-01</t>
  </si>
  <si>
    <t>BT59727</t>
  </si>
  <si>
    <t>BT25149</t>
  </si>
  <si>
    <t>2026-04-25</t>
  </si>
  <si>
    <t>BT22057</t>
  </si>
  <si>
    <t>BT20041</t>
  </si>
  <si>
    <t>2024-09-07</t>
  </si>
  <si>
    <t>BT27002</t>
  </si>
  <si>
    <t>BT68135</t>
  </si>
  <si>
    <t>2027-12-05</t>
  </si>
  <si>
    <t>BT23681</t>
  </si>
  <si>
    <t>2027-02-08</t>
  </si>
  <si>
    <t>BT49968</t>
  </si>
  <si>
    <t>BT12790</t>
  </si>
  <si>
    <t>BT60323</t>
  </si>
  <si>
    <t>BT79794</t>
  </si>
  <si>
    <t>2024-12-10</t>
  </si>
  <si>
    <t>BT87458</t>
  </si>
  <si>
    <t>BT82521</t>
  </si>
  <si>
    <t>2025-06-15</t>
  </si>
  <si>
    <t>BT31305</t>
  </si>
  <si>
    <t>2025-12-08</t>
  </si>
  <si>
    <t>BT81146</t>
  </si>
  <si>
    <t>BT11617</t>
  </si>
  <si>
    <t>BT57018</t>
  </si>
  <si>
    <t>2028-04-02</t>
  </si>
  <si>
    <t>BT51160</t>
  </si>
  <si>
    <t>BT95980</t>
  </si>
  <si>
    <t>BT43954</t>
  </si>
  <si>
    <t>BT24835</t>
  </si>
  <si>
    <t>BT65898</t>
  </si>
  <si>
    <t>2027-05-14</t>
  </si>
  <si>
    <t>BT48543</t>
  </si>
  <si>
    <t>BT51039</t>
  </si>
  <si>
    <t>BT59950</t>
  </si>
  <si>
    <t>BT79174</t>
  </si>
  <si>
    <t>BT53081</t>
  </si>
  <si>
    <t>BT63729</t>
  </si>
  <si>
    <t>2027-06-06</t>
  </si>
  <si>
    <t>BT40115</t>
  </si>
  <si>
    <t>BT47602</t>
  </si>
  <si>
    <t>2027-04-29</t>
  </si>
  <si>
    <t>BT33581</t>
  </si>
  <si>
    <t>BT14466</t>
  </si>
  <si>
    <t>BT26705</t>
  </si>
  <si>
    <t>BT90822</t>
  </si>
  <si>
    <t>BT72535</t>
  </si>
  <si>
    <t>BT95118</t>
  </si>
  <si>
    <t>2024-04-09</t>
  </si>
  <si>
    <t>BT48974</t>
  </si>
  <si>
    <t>BT60340</t>
  </si>
  <si>
    <t>2027-08-09</t>
  </si>
  <si>
    <t>BT23037</t>
  </si>
  <si>
    <t>2026-07-14</t>
  </si>
  <si>
    <t>BT89451</t>
  </si>
  <si>
    <t>BT88432</t>
  </si>
  <si>
    <t>2026-08-09</t>
  </si>
  <si>
    <t>BT46941</t>
  </si>
  <si>
    <t>BT66657</t>
  </si>
  <si>
    <t>BT52875</t>
  </si>
  <si>
    <t>2025-12-27</t>
  </si>
  <si>
    <t>BT66803</t>
  </si>
  <si>
    <t>BT92219</t>
  </si>
  <si>
    <t>BT75106</t>
  </si>
  <si>
    <t>2027-04-18</t>
  </si>
  <si>
    <t>BT33345</t>
  </si>
  <si>
    <t>2027-11-04</t>
  </si>
  <si>
    <t>BT96106</t>
  </si>
  <si>
    <t>BT73040</t>
  </si>
  <si>
    <t>BT70913</t>
  </si>
  <si>
    <t>2025-09-07</t>
  </si>
  <si>
    <t>2027-11-02</t>
  </si>
  <si>
    <t>BT40783</t>
  </si>
  <si>
    <t>BT63900</t>
  </si>
  <si>
    <t>2027-09-25</t>
  </si>
  <si>
    <t>BT15980</t>
  </si>
  <si>
    <t>2028-06-06</t>
  </si>
  <si>
    <t>BT53212</t>
  </si>
  <si>
    <t>BT18318</t>
  </si>
  <si>
    <t>BT31155</t>
  </si>
  <si>
    <t>BT75732</t>
  </si>
  <si>
    <t>BT45711</t>
  </si>
  <si>
    <t>BT64444</t>
  </si>
  <si>
    <t>BT50919</t>
  </si>
  <si>
    <t>2028-06-14</t>
  </si>
  <si>
    <t>BT71787</t>
  </si>
  <si>
    <t>2027-11-30</t>
  </si>
  <si>
    <t>BT42062</t>
  </si>
  <si>
    <t>2026-09-08</t>
  </si>
  <si>
    <t>BT62081</t>
  </si>
  <si>
    <t>BT22502</t>
  </si>
  <si>
    <t>2025-04-29</t>
  </si>
  <si>
    <t>BT84270</t>
  </si>
  <si>
    <t>2026-01-01</t>
  </si>
  <si>
    <t>BT84096</t>
  </si>
  <si>
    <t>2027-09-14</t>
  </si>
  <si>
    <t>BT40898</t>
  </si>
  <si>
    <t>2026-04-08</t>
  </si>
  <si>
    <t>BT26683</t>
  </si>
  <si>
    <t>BT32376</t>
  </si>
  <si>
    <t>2024-10-28</t>
  </si>
  <si>
    <t>BT45534</t>
  </si>
  <si>
    <t>BT78076</t>
  </si>
  <si>
    <t>BT72111</t>
  </si>
  <si>
    <t>2026-01-31</t>
  </si>
  <si>
    <t>BT22300</t>
  </si>
  <si>
    <t>BT55214</t>
  </si>
  <si>
    <t>2025-02-16</t>
  </si>
  <si>
    <t>BT83546</t>
  </si>
  <si>
    <t>BT23411</t>
  </si>
  <si>
    <t>2027-07-02</t>
  </si>
  <si>
    <t>BT97621</t>
  </si>
  <si>
    <t>2024-05-26</t>
  </si>
  <si>
    <t>BT72320</t>
  </si>
  <si>
    <t>BT25374</t>
  </si>
  <si>
    <t>BT89348</t>
  </si>
  <si>
    <t>2024-09-13</t>
  </si>
  <si>
    <t>BT25760</t>
  </si>
  <si>
    <t>BT38020</t>
  </si>
  <si>
    <t>BT57315</t>
  </si>
  <si>
    <t>BT89531</t>
  </si>
  <si>
    <t>BT17500</t>
  </si>
  <si>
    <t>2028-05-05</t>
  </si>
  <si>
    <t>BT23616</t>
  </si>
  <si>
    <t>2025-06-28</t>
  </si>
  <si>
    <t>BT68114</t>
  </si>
  <si>
    <t>2027-10-09</t>
  </si>
  <si>
    <t>BT32179</t>
  </si>
  <si>
    <t>BT18513</t>
  </si>
  <si>
    <t>BT76252</t>
  </si>
  <si>
    <t>2028-07-17</t>
  </si>
  <si>
    <t>BT21284</t>
  </si>
  <si>
    <t>2028-05-30</t>
  </si>
  <si>
    <t>BT12635</t>
  </si>
  <si>
    <t>BT94189</t>
  </si>
  <si>
    <t>BT51358</t>
  </si>
  <si>
    <t>2025-03-26</t>
  </si>
  <si>
    <t>BT22112</t>
  </si>
  <si>
    <t>2025-07-30</t>
  </si>
  <si>
    <t>BT86706</t>
  </si>
  <si>
    <t>BT54850</t>
  </si>
  <si>
    <t>BT77768</t>
  </si>
  <si>
    <t>BT23711</t>
  </si>
  <si>
    <t>BT56924</t>
  </si>
  <si>
    <t>2028-07-23</t>
  </si>
  <si>
    <t>BT67012</t>
  </si>
  <si>
    <t>2025-12-14</t>
  </si>
  <si>
    <t>BT40710</t>
  </si>
  <si>
    <t>2024-06-19</t>
  </si>
  <si>
    <t>2026-04-22</t>
  </si>
  <si>
    <t>BT88230</t>
  </si>
  <si>
    <t>BT28541</t>
  </si>
  <si>
    <t>BT20534</t>
  </si>
  <si>
    <t>BT72566</t>
  </si>
  <si>
    <t>Customer Name</t>
  </si>
  <si>
    <t>Customer ID</t>
  </si>
  <si>
    <t>Sales Date</t>
  </si>
  <si>
    <t>Quantity</t>
  </si>
  <si>
    <t>Price</t>
  </si>
  <si>
    <t>Profit</t>
  </si>
  <si>
    <t>Expense</t>
  </si>
  <si>
    <t>Dealer Name</t>
  </si>
  <si>
    <t>City</t>
  </si>
  <si>
    <t>Payment Type</t>
  </si>
  <si>
    <t>Delivery Status</t>
  </si>
  <si>
    <t>Sneha Gupta</t>
  </si>
  <si>
    <t>CUST1000</t>
  </si>
  <si>
    <t>LifeLine Pharma</t>
  </si>
  <si>
    <t>Pune</t>
  </si>
  <si>
    <t>Cash</t>
  </si>
  <si>
    <t>Cancelled</t>
  </si>
  <si>
    <t>Neha Mehta</t>
  </si>
  <si>
    <t>CUST1001</t>
  </si>
  <si>
    <t>HealthPlus</t>
  </si>
  <si>
    <t>Hyderabad</t>
  </si>
  <si>
    <t>Bank Transfer</t>
  </si>
  <si>
    <t>Delivered</t>
  </si>
  <si>
    <t>Anjali Yadav</t>
  </si>
  <si>
    <t>CUST1002</t>
  </si>
  <si>
    <t>CareMed</t>
  </si>
  <si>
    <t>Delhi</t>
  </si>
  <si>
    <t>UPI</t>
  </si>
  <si>
    <t>In Transit</t>
  </si>
  <si>
    <t>Anjali Mehta</t>
  </si>
  <si>
    <t>CUST1003</t>
  </si>
  <si>
    <t>Apollo Pharma</t>
  </si>
  <si>
    <t>Priya Sharma</t>
  </si>
  <si>
    <t>CUST1004</t>
  </si>
  <si>
    <t>MediCare Distributors</t>
  </si>
  <si>
    <t>Vikas Gupta</t>
  </si>
  <si>
    <t>CUST1005</t>
  </si>
  <si>
    <t>Karan Patel</t>
  </si>
  <si>
    <t>CUST1006</t>
  </si>
  <si>
    <t>Ahmedabad</t>
  </si>
  <si>
    <t>Neha Gupta</t>
  </si>
  <si>
    <t>CUST1007</t>
  </si>
  <si>
    <t>Rohan Joshi</t>
  </si>
  <si>
    <t>CUST1008</t>
  </si>
  <si>
    <t>Chennai</t>
  </si>
  <si>
    <t>Karan Mehta</t>
  </si>
  <si>
    <t>CUST1009</t>
  </si>
  <si>
    <t>Mumbai</t>
  </si>
  <si>
    <t>Anjali Joshi</t>
  </si>
  <si>
    <t>CUST1010</t>
  </si>
  <si>
    <t>Vikas Sharma</t>
  </si>
  <si>
    <t>CUST1011</t>
  </si>
  <si>
    <t>Card</t>
  </si>
  <si>
    <t>CUST1012</t>
  </si>
  <si>
    <t>CUST1013</t>
  </si>
  <si>
    <t>Pending</t>
  </si>
  <si>
    <t>Amit Patel</t>
  </si>
  <si>
    <t>CUST1014</t>
  </si>
  <si>
    <t>Karan Yadav</t>
  </si>
  <si>
    <t>CUST1015</t>
  </si>
  <si>
    <t>CUST1016</t>
  </si>
  <si>
    <t>Priya Joshi</t>
  </si>
  <si>
    <t>CUST1017</t>
  </si>
  <si>
    <t>Priya Gupta</t>
  </si>
  <si>
    <t>CUST1018</t>
  </si>
  <si>
    <t>Vikas Joshi</t>
  </si>
  <si>
    <t>CUST1019</t>
  </si>
  <si>
    <t>Bangalore</t>
  </si>
  <si>
    <t>Pooja Mehta</t>
  </si>
  <si>
    <t>CUST1020</t>
  </si>
  <si>
    <t>Pooja Gupta</t>
  </si>
  <si>
    <t>CUST1021</t>
  </si>
  <si>
    <t>CUST1022</t>
  </si>
  <si>
    <t>CUST1023</t>
  </si>
  <si>
    <t>CUST1024</t>
  </si>
  <si>
    <t>CUST1025</t>
  </si>
  <si>
    <t>Surat</t>
  </si>
  <si>
    <t>Karan Verma</t>
  </si>
  <si>
    <t>CUST1026</t>
  </si>
  <si>
    <t>Pooja Joshi</t>
  </si>
  <si>
    <t>CUST1027</t>
  </si>
  <si>
    <t>CUST1028</t>
  </si>
  <si>
    <t>Sneha Yadav</t>
  </si>
  <si>
    <t>CUST1029</t>
  </si>
  <si>
    <t>Sneha Verma</t>
  </si>
  <si>
    <t>CUST1030</t>
  </si>
  <si>
    <t>Pooja Singh</t>
  </si>
  <si>
    <t>CUST1031</t>
  </si>
  <si>
    <t>CUST1032</t>
  </si>
  <si>
    <t>Neha Yadav</t>
  </si>
  <si>
    <t>CUST1033</t>
  </si>
  <si>
    <t>Amit Sharma</t>
  </si>
  <si>
    <t>CUST1034</t>
  </si>
  <si>
    <t>Sneha Patel</t>
  </si>
  <si>
    <t>CUST1035</t>
  </si>
  <si>
    <t>Rahul Sharma</t>
  </si>
  <si>
    <t>CUST1036</t>
  </si>
  <si>
    <t>Vikas Patel</t>
  </si>
  <si>
    <t>CUST1037</t>
  </si>
  <si>
    <t>CUST1038</t>
  </si>
  <si>
    <t>Amit Verma</t>
  </si>
  <si>
    <t>CUST1039</t>
  </si>
  <si>
    <t>Anjali Verma</t>
  </si>
  <si>
    <t>CUST1040</t>
  </si>
  <si>
    <t>Vikas Mehta</t>
  </si>
  <si>
    <t>CUST1041</t>
  </si>
  <si>
    <t>Neha Joshi</t>
  </si>
  <si>
    <t>CUST1042</t>
  </si>
  <si>
    <t>CUST1043</t>
  </si>
  <si>
    <t>Vikas Singh</t>
  </si>
  <si>
    <t>CUST1044</t>
  </si>
  <si>
    <t>CUST1045</t>
  </si>
  <si>
    <t>CUST1046</t>
  </si>
  <si>
    <t>Priya Singh</t>
  </si>
  <si>
    <t>CUST1047</t>
  </si>
  <si>
    <t>Sneha Sharma</t>
  </si>
  <si>
    <t>CUST1048</t>
  </si>
  <si>
    <t>Anjali Patel</t>
  </si>
  <si>
    <t>CUST1049</t>
  </si>
  <si>
    <t>CUST1050</t>
  </si>
  <si>
    <t>Rahul Joshi</t>
  </si>
  <si>
    <t>CUST1051</t>
  </si>
  <si>
    <t>CUST1052</t>
  </si>
  <si>
    <t>Priya Yadav</t>
  </si>
  <si>
    <t>CUST1053</t>
  </si>
  <si>
    <t>Pooja Sharma</t>
  </si>
  <si>
    <t>CUST1054</t>
  </si>
  <si>
    <t>CUST1055</t>
  </si>
  <si>
    <t>CUST1056</t>
  </si>
  <si>
    <t>Rahul Mehta</t>
  </si>
  <si>
    <t>CUST1057</t>
  </si>
  <si>
    <t>CUST1058</t>
  </si>
  <si>
    <t>Amit Joshi</t>
  </si>
  <si>
    <t>CUST1059</t>
  </si>
  <si>
    <t>Neha Verma</t>
  </si>
  <si>
    <t>CUST1060</t>
  </si>
  <si>
    <t>Sneha Joshi</t>
  </si>
  <si>
    <t>CUST1061</t>
  </si>
  <si>
    <t>CUST1062</t>
  </si>
  <si>
    <t>CUST1063</t>
  </si>
  <si>
    <t>Anjali Gupta</t>
  </si>
  <si>
    <t>CUST1064</t>
  </si>
  <si>
    <t>CUST1065</t>
  </si>
  <si>
    <t>Sneha Singh</t>
  </si>
  <si>
    <t>CUST1066</t>
  </si>
  <si>
    <t>CUST1067</t>
  </si>
  <si>
    <t>CUST1068</t>
  </si>
  <si>
    <t>Neha Patel</t>
  </si>
  <si>
    <t>CUST1069</t>
  </si>
  <si>
    <t>CUST1070</t>
  </si>
  <si>
    <t>Amit Gupta</t>
  </si>
  <si>
    <t>CUST1071</t>
  </si>
  <si>
    <t>CUST1072</t>
  </si>
  <si>
    <t>CUST1073</t>
  </si>
  <si>
    <t>CUST1074</t>
  </si>
  <si>
    <t>CUST1075</t>
  </si>
  <si>
    <t>Rahul Gupta</t>
  </si>
  <si>
    <t>CUST1076</t>
  </si>
  <si>
    <t>Priya Mehta</t>
  </si>
  <si>
    <t>CUST1077</t>
  </si>
  <si>
    <t>CUST1078</t>
  </si>
  <si>
    <t>CUST1079</t>
  </si>
  <si>
    <t>CUST1080</t>
  </si>
  <si>
    <t>CUST1081</t>
  </si>
  <si>
    <t>Neha Singh</t>
  </si>
  <si>
    <t>CUST1082</t>
  </si>
  <si>
    <t>Amit Mehta</t>
  </si>
  <si>
    <t>CUST1083</t>
  </si>
  <si>
    <t>Rohan Patel</t>
  </si>
  <si>
    <t>CUST1084</t>
  </si>
  <si>
    <t>Rohan Yadav</t>
  </si>
  <si>
    <t>CUST1085</t>
  </si>
  <si>
    <t>CUST1086</t>
  </si>
  <si>
    <t>CUST1087</t>
  </si>
  <si>
    <t>CUST1088</t>
  </si>
  <si>
    <t>CUST1089</t>
  </si>
  <si>
    <t>CUST1090</t>
  </si>
  <si>
    <t>CUST1091</t>
  </si>
  <si>
    <t>CUST1092</t>
  </si>
  <si>
    <t>CUST1093</t>
  </si>
  <si>
    <t>CUST1094</t>
  </si>
  <si>
    <t>Rohan Mehta</t>
  </si>
  <si>
    <t>CUST1095</t>
  </si>
  <si>
    <t>Neha Sharma</t>
  </si>
  <si>
    <t>CUST1096</t>
  </si>
  <si>
    <t>Pooja Yadav</t>
  </si>
  <si>
    <t>CUST1097</t>
  </si>
  <si>
    <t>CUST1098</t>
  </si>
  <si>
    <t>CUST1099</t>
  </si>
  <si>
    <t>CUST1100</t>
  </si>
  <si>
    <t>Karan Joshi</t>
  </si>
  <si>
    <t>CUST1101</t>
  </si>
  <si>
    <t>CUST1102</t>
  </si>
  <si>
    <t>Karan Singh</t>
  </si>
  <si>
    <t>CUST1103</t>
  </si>
  <si>
    <t>CUST1104</t>
  </si>
  <si>
    <t>CUST1105</t>
  </si>
  <si>
    <t>Rohan Verma</t>
  </si>
  <si>
    <t>CUST1106</t>
  </si>
  <si>
    <t>Rohan Singh</t>
  </si>
  <si>
    <t>CUST1107</t>
  </si>
  <si>
    <t>Pooja Verma</t>
  </si>
  <si>
    <t>CUST1108</t>
  </si>
  <si>
    <t>CUST1109</t>
  </si>
  <si>
    <t>CUST1110</t>
  </si>
  <si>
    <t>CUST1111</t>
  </si>
  <si>
    <t>CUST1112</t>
  </si>
  <si>
    <t>CUST1113</t>
  </si>
  <si>
    <t>Amit Yadav</t>
  </si>
  <si>
    <t>CUST1114</t>
  </si>
  <si>
    <t>CUST1115</t>
  </si>
  <si>
    <t>CUST1116</t>
  </si>
  <si>
    <t>Rohan Sharma</t>
  </si>
  <si>
    <t>CUST1117</t>
  </si>
  <si>
    <t>Rahul Yadav</t>
  </si>
  <si>
    <t>CUST1118</t>
  </si>
  <si>
    <t>CUST1119</t>
  </si>
  <si>
    <t>CUST1120</t>
  </si>
  <si>
    <t>CUST1121</t>
  </si>
  <si>
    <t>CUST1122</t>
  </si>
  <si>
    <t>CUST1123</t>
  </si>
  <si>
    <t>Priya Patel</t>
  </si>
  <si>
    <t>CUST1124</t>
  </si>
  <si>
    <t>CUST1125</t>
  </si>
  <si>
    <t>CUST1126</t>
  </si>
  <si>
    <t>CUST1127</t>
  </si>
  <si>
    <t>CUST1128</t>
  </si>
  <si>
    <t>CUST1129</t>
  </si>
  <si>
    <t>CUST1130</t>
  </si>
  <si>
    <t>Amit Singh</t>
  </si>
  <si>
    <t>CUST1131</t>
  </si>
  <si>
    <t>CUST1132</t>
  </si>
  <si>
    <t>Karan Sharma</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</si>
  <si>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</si>
  <si>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</si>
  <si>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</si>
  <si>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</si>
  <si>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</si>
  <si>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</si>
  <si>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</si>
  <si>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</si>
  <si>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</si>
  <si>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</si>
  <si>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</si>
  <si>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</si>
  <si>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</si>
  <si>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</si>
  <si>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</si>
  <si>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</si>
  <si>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</si>
  <si>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</si>
  <si>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</si>
  <si>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</si>
  <si>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</si>
  <si>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</si>
  <si>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</si>
  <si>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</si>
  <si>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</si>
  <si>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</si>
  <si>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</si>
  <si>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</si>
  <si>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Priya Verma</t>
  </si>
  <si>
    <t>CUST1161</t>
  </si>
  <si>
    <t>CUST1162</t>
  </si>
  <si>
    <t>CUST1163</t>
  </si>
  <si>
    <t>CUST1164</t>
  </si>
  <si>
    <t>CUST1165</t>
  </si>
  <si>
    <t>CUST1166</t>
  </si>
  <si>
    <t>Anjali Sharma</t>
  </si>
  <si>
    <t>CUST1167</t>
  </si>
  <si>
    <t>CUST1168</t>
  </si>
  <si>
    <t>CUST1169</t>
  </si>
  <si>
    <t>CUST1170</t>
  </si>
  <si>
    <t>CUST1171</t>
  </si>
  <si>
    <t>Anjali Singh</t>
  </si>
  <si>
    <t>CUST1172</t>
  </si>
  <si>
    <t>CUST1173</t>
  </si>
  <si>
    <t>CUST1174</t>
  </si>
  <si>
    <t>CUST1175</t>
  </si>
  <si>
    <t>CUST1176</t>
  </si>
  <si>
    <t>CUST1177</t>
  </si>
  <si>
    <t>CUST1178</t>
  </si>
  <si>
    <t>CUST1179</t>
  </si>
  <si>
    <t>CUST1180</t>
  </si>
  <si>
    <t>CUST1181</t>
  </si>
  <si>
    <t>Karan Gupta</t>
  </si>
  <si>
    <t>CUST1182</t>
  </si>
  <si>
    <t>CUST1183</t>
  </si>
  <si>
    <t>CUST1184</t>
  </si>
  <si>
    <t>CUST1185</t>
  </si>
  <si>
    <t>CUST1186</t>
  </si>
  <si>
    <t>CUST1187</t>
  </si>
  <si>
    <t>Rahul Singh</t>
  </si>
  <si>
    <t>CUST1188</t>
  </si>
  <si>
    <t>CUST1189</t>
  </si>
  <si>
    <t>CUST1190</t>
  </si>
  <si>
    <t>CUST1191</t>
  </si>
  <si>
    <t>CUST1192</t>
  </si>
  <si>
    <t>CUST1193</t>
  </si>
  <si>
    <t>CUST1194</t>
  </si>
  <si>
    <t>Rahul Verma</t>
  </si>
  <si>
    <t>CUST1195</t>
  </si>
  <si>
    <t>CUST1196</t>
  </si>
  <si>
    <t>CUST1197</t>
  </si>
  <si>
    <t>CUST1198</t>
  </si>
  <si>
    <t>CUST1199</t>
  </si>
  <si>
    <t>CUST1200</t>
  </si>
  <si>
    <t>Rahul Patel</t>
  </si>
  <si>
    <t>CUST1201</t>
  </si>
  <si>
    <t>CUST1202</t>
  </si>
  <si>
    <t>Sneha Mehta</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</si>
  <si>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</si>
  <si>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</si>
  <si>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</si>
  <si>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</si>
  <si>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</si>
  <si>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</si>
  <si>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</si>
  <si>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</si>
  <si>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</si>
  <si>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</si>
  <si>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</si>
  <si>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</si>
  <si>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</si>
  <si>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</si>
  <si>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</si>
  <si>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</si>
  <si>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</si>
  <si>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</si>
  <si>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</si>
  <si>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</si>
  <si>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</si>
  <si>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</si>
  <si>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</si>
  <si>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</si>
  <si>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</si>
  <si>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</si>
  <si>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</si>
  <si>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</si>
  <si>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</si>
  <si>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</si>
  <si>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</si>
  <si>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</si>
  <si>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</si>
  <si>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</si>
  <si>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</si>
  <si>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</si>
  <si>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</si>
  <si>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</si>
  <si>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</si>
  <si>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</si>
  <si>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</si>
  <si>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Vikas Yadav</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</si>
  <si>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</si>
  <si>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</si>
  <si>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</si>
  <si>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</si>
  <si>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</si>
  <si>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</si>
  <si>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</si>
  <si>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</si>
  <si>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</si>
  <si>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</si>
  <si>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</si>
  <si>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</si>
  <si>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</si>
  <si>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</si>
  <si>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</si>
  <si>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</si>
  <si>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</si>
  <si>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</si>
  <si>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Pooja Patel</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</si>
  <si>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</si>
  <si>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</si>
  <si>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</si>
  <si>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</si>
  <si>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</si>
  <si>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</si>
  <si>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</si>
  <si>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</si>
  <si>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</si>
  <si>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</si>
  <si>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</si>
  <si>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</si>
  <si>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</si>
  <si>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</si>
  <si>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</si>
  <si>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</si>
  <si>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</si>
  <si>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</si>
  <si>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</si>
  <si>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</si>
  <si>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</si>
  <si>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</si>
  <si>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</si>
  <si>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</si>
  <si>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</si>
  <si>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</si>
  <si>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</si>
  <si>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</si>
  <si>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</si>
  <si>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</si>
  <si>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</si>
  <si>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</si>
  <si>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</si>
  <si>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</si>
  <si>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</si>
  <si>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</si>
  <si>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</si>
  <si>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</si>
  <si>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</si>
  <si>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</si>
  <si>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</si>
  <si>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Vikas Verma</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</si>
  <si>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</si>
  <si>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</si>
  <si>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</si>
  <si>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</si>
  <si>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</si>
  <si>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</si>
  <si>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</si>
  <si>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</si>
  <si>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</si>
  <si>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</si>
  <si>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</si>
  <si>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</si>
  <si>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</si>
  <si>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</si>
  <si>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</si>
  <si>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</si>
  <si>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</si>
  <si>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</si>
  <si>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</si>
  <si>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</si>
  <si>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</si>
  <si>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</si>
  <si>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</si>
  <si>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</si>
  <si>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</si>
  <si>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Rohan Gupta</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</si>
  <si>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</si>
  <si>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</si>
  <si>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</si>
  <si>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</si>
  <si>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</si>
  <si>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</si>
  <si>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</si>
  <si>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</si>
  <si>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</si>
  <si>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</si>
  <si>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</si>
  <si>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</si>
  <si>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</si>
  <si>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</si>
  <si>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</si>
  <si>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</si>
  <si>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</si>
  <si>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</si>
  <si>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</si>
  <si>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</si>
  <si>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</si>
  <si>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</si>
  <si>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</si>
  <si>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</si>
  <si>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</si>
  <si>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</si>
  <si>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</si>
  <si>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</si>
  <si>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</si>
  <si>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</si>
  <si>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</si>
  <si>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</si>
  <si>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</si>
  <si>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</si>
  <si>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</si>
  <si>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</si>
  <si>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</si>
  <si>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</si>
  <si>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</si>
  <si>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</si>
  <si>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</si>
  <si>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</si>
  <si>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</si>
  <si>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</si>
  <si>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</si>
  <si>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</si>
  <si>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</si>
  <si>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</si>
  <si>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</si>
  <si>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</si>
  <si>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</si>
  <si>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</si>
  <si>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</si>
  <si>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</si>
  <si>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</si>
  <si>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</si>
  <si>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</si>
  <si>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</si>
  <si>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</si>
  <si>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</si>
  <si>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</si>
  <si>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</si>
  <si>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</si>
  <si>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</si>
  <si>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</si>
  <si>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</si>
  <si>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</si>
  <si>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</si>
  <si>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</si>
  <si>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</si>
  <si>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</si>
  <si>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</si>
  <si>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</si>
  <si>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</si>
  <si>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</si>
  <si>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</si>
  <si>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</si>
  <si>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</si>
  <si>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</si>
  <si>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</si>
  <si>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</si>
  <si>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</si>
  <si>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</si>
  <si>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</si>
  <si>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</si>
  <si>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</si>
  <si>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</si>
  <si>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</si>
  <si>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</si>
  <si>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</si>
  <si>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</si>
  <si>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</si>
  <si>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</si>
  <si>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</si>
  <si>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</si>
  <si>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</si>
  <si>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</si>
  <si>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</si>
  <si>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</si>
  <si>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</si>
  <si>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</si>
  <si>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</si>
  <si>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</si>
  <si>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</si>
  <si>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</si>
  <si>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</si>
  <si>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</si>
  <si>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</si>
  <si>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</si>
  <si>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</si>
  <si>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</si>
  <si>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</si>
  <si>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</si>
  <si>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</si>
  <si>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</si>
  <si>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</si>
  <si>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</si>
  <si>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</si>
  <si>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</si>
  <si>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</si>
  <si>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</si>
  <si>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</si>
  <si>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</si>
  <si>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</si>
  <si>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</si>
  <si>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</si>
  <si>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</si>
  <si>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</si>
  <si>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</si>
  <si>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</si>
  <si>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</si>
  <si>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</si>
  <si>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</si>
  <si>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</si>
  <si>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</si>
  <si>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</si>
  <si>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</si>
  <si>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</si>
  <si>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</si>
  <si>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</si>
  <si>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</si>
  <si>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</si>
  <si>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</si>
  <si>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</si>
  <si>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</si>
  <si>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</si>
  <si>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</si>
  <si>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</si>
  <si>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</si>
  <si>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</si>
  <si>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</si>
  <si>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</si>
  <si>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</si>
  <si>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</si>
  <si>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</si>
  <si>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</si>
  <si>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</si>
  <si>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</si>
  <si>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</si>
  <si>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</si>
  <si>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</si>
  <si>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</si>
  <si>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</si>
  <si>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</si>
  <si>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</si>
  <si>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</si>
  <si>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</si>
  <si>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</si>
  <si>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</si>
  <si>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</si>
  <si>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</si>
  <si>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</si>
  <si>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</si>
  <si>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</si>
  <si>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</si>
  <si>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</si>
  <si>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</si>
  <si>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</si>
  <si>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</si>
  <si>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</si>
  <si>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</si>
  <si>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</si>
  <si>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</si>
  <si>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</si>
  <si>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</si>
  <si>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</si>
  <si>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</si>
  <si>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</si>
  <si>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</si>
  <si>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</si>
  <si>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</si>
  <si>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</si>
  <si>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</si>
  <si>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</si>
  <si>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</si>
  <si>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</si>
  <si>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</si>
  <si>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</si>
  <si>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</si>
  <si>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</si>
  <si>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</si>
  <si>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</si>
  <si>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</si>
  <si>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</si>
  <si>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</si>
  <si>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</si>
  <si>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</si>
  <si>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</si>
  <si>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</si>
  <si>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</si>
  <si>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</si>
  <si>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</si>
  <si>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</si>
  <si>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</si>
  <si>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</si>
  <si>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</si>
  <si>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</si>
  <si>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</si>
  <si>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</si>
  <si>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</si>
  <si>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</si>
  <si>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</si>
  <si>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</si>
  <si>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</si>
  <si>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</si>
  <si>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</si>
  <si>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</si>
  <si>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</si>
  <si>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</si>
  <si>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</si>
  <si>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</si>
  <si>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</si>
  <si>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</si>
  <si>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</si>
  <si>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</si>
  <si>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</si>
  <si>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</si>
  <si>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</si>
  <si>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</si>
  <si>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</si>
  <si>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</si>
  <si>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</si>
  <si>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</si>
  <si>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</si>
  <si>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</si>
  <si>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</si>
  <si>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</si>
  <si>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</si>
  <si>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</si>
  <si>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</si>
  <si>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</si>
  <si>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</si>
  <si>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</si>
  <si>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</si>
  <si>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</si>
  <si>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</si>
  <si>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</si>
  <si>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</si>
  <si>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</si>
  <si>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</si>
  <si>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</si>
  <si>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</si>
  <si>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</si>
  <si>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</si>
  <si>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</si>
  <si>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</si>
  <si>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</si>
  <si>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</si>
  <si>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</si>
  <si>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</si>
  <si>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</si>
  <si>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</si>
  <si>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</si>
  <si>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</si>
  <si>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</si>
  <si>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</si>
  <si>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</si>
  <si>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</si>
  <si>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</si>
  <si>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</si>
  <si>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</si>
  <si>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</si>
  <si>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</si>
  <si>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</si>
  <si>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</si>
  <si>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</si>
  <si>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</si>
  <si>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</si>
  <si>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</si>
  <si>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</si>
  <si>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</si>
  <si>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</si>
  <si>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</si>
  <si>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</si>
  <si>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</si>
  <si>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</si>
  <si>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</si>
  <si>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</si>
  <si>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</si>
  <si>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</si>
  <si>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</si>
  <si>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</si>
  <si>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</si>
  <si>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</si>
  <si>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</si>
  <si>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</si>
  <si>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</si>
  <si>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</si>
  <si>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</si>
  <si>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</si>
  <si>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</si>
  <si>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</si>
  <si>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</si>
  <si>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</si>
  <si>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</si>
  <si>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</si>
  <si>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</si>
  <si>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</si>
  <si>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</si>
  <si>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</si>
  <si>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</si>
  <si>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</si>
  <si>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</si>
  <si>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</si>
  <si>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</si>
  <si>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</si>
  <si>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</si>
  <si>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</si>
  <si>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</si>
  <si>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</si>
  <si>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</si>
  <si>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</si>
  <si>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</si>
  <si>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</si>
  <si>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</si>
  <si>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</si>
  <si>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</si>
  <si>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</si>
  <si>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</si>
  <si>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</si>
  <si>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</si>
  <si>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</si>
  <si>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</si>
  <si>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</si>
  <si>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</si>
  <si>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</si>
  <si>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</si>
  <si>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</si>
  <si>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</si>
  <si>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</si>
  <si>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</si>
  <si>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</si>
  <si>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</si>
  <si>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</si>
  <si>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</si>
  <si>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</si>
  <si>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</si>
  <si>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</si>
  <si>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</si>
  <si>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</si>
  <si>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</si>
  <si>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</si>
  <si>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</si>
  <si>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</si>
  <si>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</si>
  <si>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</si>
  <si>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</si>
  <si>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</si>
  <si>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</si>
  <si>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</si>
  <si>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</si>
  <si>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</si>
  <si>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</si>
  <si>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</si>
  <si>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</si>
  <si>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</si>
  <si>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</si>
  <si>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</si>
  <si>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</si>
  <si>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</si>
  <si>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</si>
  <si>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</si>
  <si>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</si>
  <si>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</si>
  <si>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</si>
  <si>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</si>
  <si>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</si>
  <si>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</si>
  <si>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</si>
  <si>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</si>
  <si>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</si>
  <si>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</si>
  <si>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</si>
  <si>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</si>
  <si>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</si>
  <si>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</si>
  <si>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</si>
  <si>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</si>
  <si>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</si>
  <si>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</si>
  <si>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</si>
  <si>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</si>
  <si>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</si>
  <si>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</si>
  <si>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</si>
  <si>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</si>
  <si>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</si>
  <si>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</si>
  <si>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</si>
  <si>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</si>
  <si>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</si>
  <si>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</si>
  <si>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</si>
  <si>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</si>
  <si>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</si>
  <si>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</si>
  <si>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</si>
  <si>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</si>
  <si>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</si>
  <si>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</si>
  <si>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</si>
  <si>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</si>
  <si>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</si>
  <si>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</si>
  <si>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</si>
  <si>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</si>
  <si>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</si>
  <si>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</si>
  <si>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</si>
  <si>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</si>
  <si>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</si>
  <si>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</si>
  <si>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</si>
  <si>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</si>
  <si>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</si>
  <si>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</si>
  <si>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</si>
  <si>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</si>
  <si>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</si>
  <si>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</si>
  <si>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</si>
  <si>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</si>
  <si>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</si>
  <si>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</si>
  <si>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</si>
  <si>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</si>
  <si>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</si>
  <si>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</si>
  <si>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</si>
  <si>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</si>
  <si>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</si>
  <si>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</si>
  <si>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</si>
  <si>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</si>
  <si>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</si>
  <si>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</si>
  <si>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</si>
  <si>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</si>
  <si>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</si>
  <si>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</si>
  <si>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</si>
  <si>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</si>
  <si>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</si>
  <si>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</si>
  <si>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</si>
  <si>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</si>
  <si>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</si>
  <si>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</si>
  <si>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</si>
  <si>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</si>
  <si>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</si>
  <si>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</si>
  <si>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</si>
  <si>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</si>
  <si>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</si>
  <si>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</si>
  <si>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</si>
  <si>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</si>
  <si>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</si>
  <si>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</si>
  <si>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</si>
  <si>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</si>
  <si>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</si>
  <si>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</si>
  <si>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</si>
  <si>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</si>
  <si>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</si>
  <si>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</si>
  <si>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</si>
  <si>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</si>
  <si>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</si>
  <si>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</si>
  <si>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</si>
  <si>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</si>
  <si>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</si>
  <si>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</si>
  <si>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</si>
  <si>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</si>
  <si>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</si>
  <si>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</si>
  <si>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</si>
  <si>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</si>
  <si>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</si>
  <si>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</si>
  <si>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</si>
  <si>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</si>
  <si>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</si>
  <si>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</si>
  <si>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</si>
  <si>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</si>
  <si>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</si>
  <si>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</si>
  <si>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</si>
  <si>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</si>
  <si>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</si>
  <si>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</si>
  <si>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</si>
  <si>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</si>
  <si>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</si>
  <si>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</si>
  <si>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</si>
  <si>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</si>
  <si>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</si>
  <si>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</si>
  <si>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</si>
  <si>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</si>
  <si>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</si>
  <si>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</si>
  <si>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</si>
  <si>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</si>
  <si>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</si>
  <si>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</si>
  <si>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</si>
  <si>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</si>
  <si>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</si>
  <si>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</si>
  <si>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</si>
  <si>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</si>
  <si>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</si>
  <si>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</si>
  <si>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</si>
  <si>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</si>
  <si>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</si>
  <si>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</si>
  <si>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</si>
  <si>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</si>
  <si>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</si>
  <si>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</si>
  <si>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</si>
  <si>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</si>
  <si>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</si>
  <si>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</si>
  <si>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</si>
  <si>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</si>
  <si>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</si>
  <si>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</si>
  <si>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</si>
  <si>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</si>
  <si>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</si>
  <si>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</si>
  <si>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</si>
  <si>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</si>
  <si>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</si>
  <si>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</si>
  <si>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</si>
  <si>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</si>
  <si>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</si>
  <si>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</si>
  <si>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</si>
  <si>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</si>
  <si>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</si>
  <si>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</si>
  <si>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</si>
  <si>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</si>
  <si>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</si>
  <si>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</si>
  <si>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</si>
  <si>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</si>
  <si>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</si>
  <si>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</si>
  <si>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</si>
  <si>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</si>
  <si>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</si>
  <si>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</si>
  <si>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</si>
  <si>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</si>
  <si>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</si>
  <si>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</si>
  <si>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</si>
  <si>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</si>
  <si>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</si>
  <si>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</si>
  <si>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</si>
  <si>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</si>
  <si>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</si>
  <si>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</si>
  <si>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</si>
  <si>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</si>
  <si>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</si>
  <si>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</si>
  <si>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</si>
  <si>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</si>
  <si>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</si>
  <si>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</si>
  <si>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</si>
  <si>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</si>
  <si>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</si>
  <si>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</si>
  <si>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</si>
  <si>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</si>
  <si>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</si>
  <si>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</si>
  <si>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</si>
  <si>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</si>
  <si>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</si>
  <si>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</si>
  <si>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</si>
  <si>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</si>
  <si>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</si>
  <si>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</si>
  <si>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</si>
  <si>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</si>
  <si>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</si>
  <si>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</si>
  <si>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</si>
  <si>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</si>
  <si>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</si>
  <si>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</si>
  <si>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</si>
  <si>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</si>
  <si>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</si>
  <si>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</si>
  <si>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</si>
  <si>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</si>
  <si>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</si>
  <si>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</si>
  <si>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</si>
  <si>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</si>
  <si>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</si>
  <si>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</si>
  <si>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</si>
  <si>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</si>
  <si>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</si>
  <si>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</si>
  <si>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</si>
  <si>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</si>
  <si>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</si>
  <si>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</si>
  <si>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</si>
  <si>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</si>
  <si>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</si>
  <si>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</si>
  <si>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</si>
  <si>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</si>
  <si>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</si>
  <si>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</si>
  <si>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</si>
  <si>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</si>
  <si>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</si>
  <si>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</si>
  <si>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</si>
  <si>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</si>
  <si>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</si>
  <si>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</si>
  <si>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</si>
  <si>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</si>
  <si>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</si>
  <si>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</si>
  <si>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</si>
  <si>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</si>
  <si>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 xml:space="preserve"> </t>
  </si>
  <si>
    <t>Row Labels</t>
  </si>
  <si>
    <t>Grand Total</t>
  </si>
  <si>
    <t>Jan</t>
  </si>
  <si>
    <t>Feb</t>
  </si>
  <si>
    <t>Mar</t>
  </si>
  <si>
    <t>Apr</t>
  </si>
  <si>
    <t>May</t>
  </si>
  <si>
    <t>Jun</t>
  </si>
  <si>
    <t>Jul</t>
  </si>
  <si>
    <t>Aug</t>
  </si>
  <si>
    <t>Sep</t>
  </si>
  <si>
    <t>Oct</t>
  </si>
  <si>
    <t>Nov</t>
  </si>
  <si>
    <t>Dec</t>
  </si>
  <si>
    <t>Sum of Profit</t>
  </si>
  <si>
    <t>Sum of Price</t>
  </si>
  <si>
    <t>Max of Profit</t>
  </si>
  <si>
    <t>Min of Profit</t>
  </si>
  <si>
    <t>Sum of Expense</t>
  </si>
  <si>
    <t>type</t>
  </si>
  <si>
    <t>Sum of Quantity</t>
  </si>
  <si>
    <t>Count of Customer Name</t>
  </si>
  <si>
    <t>&lt;01-01-2025</t>
  </si>
  <si>
    <t>(blank)</t>
  </si>
  <si>
    <t>Count of Price</t>
  </si>
  <si>
    <t>Average of Price</t>
  </si>
  <si>
    <t>Sum of Stock</t>
  </si>
  <si>
    <t>stock type</t>
  </si>
  <si>
    <t>Low</t>
  </si>
  <si>
    <t>Medium</t>
  </si>
  <si>
    <t>Full</t>
  </si>
  <si>
    <t>Count of Medicine Name</t>
  </si>
  <si>
    <t>Average of Monthly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</si>
</sst>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0" fontId="0" fillId="0" borderId="0" xfId="0" applyNumberFormat="1"/>
    <xf numFmtId="1" fontId="0" fillId="0" borderId="0" xfId="0" applyNumberFormat="1"/>
    <xf numFmtId="0" fontId="0" fillId="0" borderId="0" xfId="0" applyNumberFormat="1"/>
    <xf numFmtId="3" fontId="0" fillId="0" borderId="0" xfId="0" applyNumberFormat="1"/>
    <xf numFmtId="14" fontId="1" fillId="0" borderId="0" xfId="0" applyNumberFormat="1" applyFont="1"/>
    <xf numFmtId="0" fontId="3" fillId="0" borderId="0" xfId="0" applyFont="1"/>
    <xf numFmtId="0" fontId="2" fillId="0" borderId="0" xfId="0" applyFont="1"/>
    <xf numFmtId="1" fontId="2" fillId="0" borderId="0" xfId="0" applyNumberFormat="1" applyFont="1"/>
  </cellXfs>
  <cellStyles count="1">
    <cellStyle name="Normal" xfId="0" builtinId="0"/>
  </cellStyles>
  <dxfs count="19">
    <dxf>
      <font>
        <b/>
      </font>
    </dxf>
    <dxf>
      <font>
        <b/>
      </font>
    </dxf>
    <dxf>
      <numFmt numFmtId="1" formatCode="0"/>
    </dxf>
    <dxf>
      <numFmt numFmtId="1" formatCode="0"/>
    </dxf>
    <dxf>
      <font>
        <b/>
      </font>
    </dxf>
    <dxf>
      <font>
        <b/>
      </font>
    </dxf>
    <dxf>
      <font>
        <b/>
      </font>
    </dxf>
    <dxf>
      <font>
        <b/>
      </font>
    </dxf>
    <dxf>
      <font>
        <b/>
      </font>
    </dxf>
    <dxf>
      <numFmt numFmtId="164" formatCode="&quot;₹&quot;\ #,##0"/>
    </dxf>
    <dxf>
      <numFmt numFmtId="1" formatCode="0"/>
    </dxf>
    <dxf>
      <numFmt numFmtId="1" formatCode="0"/>
    </dxf>
    <dxf>
      <numFmt numFmtId="1" formatCode="0"/>
    </dxf>
    <dxf>
      <numFmt numFmtId="1" formatCode="0"/>
    </dxf>
    <dxf>
      <numFmt numFmtId="164" formatCode="&quot;₹&quot;\ #,##0"/>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sz val="14"/>
        <color theme="0"/>
      </font>
      <border>
        <bottom style="thin">
          <color theme="9"/>
        </bottom>
        <vertical/>
        <horizontal/>
      </border>
    </dxf>
    <dxf>
      <font>
        <color theme="0"/>
      </font>
      <fill>
        <patternFill>
          <bgColor rgb="FFEBE09D"/>
        </patternFill>
      </fill>
      <border diagonalUp="0" diagonalDown="0">
        <left/>
        <right/>
        <top/>
        <bottom/>
        <vertical/>
        <horizontal/>
      </border>
    </dxf>
  </dxfs>
  <tableStyles count="2" defaultTableStyle="TableStyleMedium2" defaultPivotStyle="PivotStyleLight16">
    <tableStyle name="SlicerStyleDark6 2" pivot="0" table="0" count="10" xr9:uid="{25405A8F-28A9-4E29-B260-2A7850D46AE7}">
      <tableStyleElement type="wholeTable" dxfId="18"/>
      <tableStyleElement type="headerRow" dxfId="17"/>
    </tableStyle>
    <tableStyle name="SlicerStyleLight6 2" pivot="0" table="0" count="10" xr9:uid="{2E0880A9-834D-4AA9-AFE6-ABB1DA9969E6}">
      <tableStyleElement type="wholeTable" dxfId="16"/>
      <tableStyleElement type="headerRow" dxfId="15"/>
    </tableStyle>
  </tableStyles>
  <colors>
    <mruColors>
      <color rgb="FFD7C039"/>
      <color rgb="FFFFD85D"/>
      <color rgb="FFDFCD63"/>
      <color rgb="FFEBE09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D7C039"/>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fgColor rgb="FFFFD85D"/>
              <bgColor rgb="FFD7C039"/>
            </patternFill>
          </fill>
          <border>
            <left style="thin">
              <color theme="9"/>
            </left>
            <right style="thin">
              <color theme="9"/>
            </right>
            <top style="thin">
              <color theme="9"/>
            </top>
            <bottom style="thin">
              <color theme="9"/>
            </bottom>
            <vertical/>
            <horizontal/>
          </border>
        </dxf>
        <dxf>
          <font>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7C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Table'!$B$181</c:f>
              <c:strCache>
                <c:ptCount val="1"/>
                <c:pt idx="0">
                  <c:v>Total</c:v>
                </c:pt>
              </c:strCache>
            </c:strRef>
          </c:tx>
          <c:spPr>
            <a:solidFill>
              <a:srgbClr val="D7C039"/>
            </a:solidFill>
            <a:ln>
              <a:noFill/>
            </a:ln>
            <a:effectLst/>
          </c:spPr>
          <c:invertIfNegative val="0"/>
          <c:cat>
            <c:strRef>
              <c:f>'Sales Table'!$A$182:$A$195</c:f>
              <c:strCache>
                <c:ptCount val="13"/>
                <c:pt idx="0">
                  <c:v>&lt;01-01-2025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'Sales Table'!$B$182:$B$195</c:f>
              <c:numCache>
                <c:formatCode>General</c:formatCode>
                <c:ptCount val="13"/>
                <c:pt idx="1">
                  <c:v>10347</c:v>
                </c:pt>
                <c:pt idx="2">
                  <c:v>6763</c:v>
                </c:pt>
                <c:pt idx="3">
                  <c:v>8445</c:v>
                </c:pt>
                <c:pt idx="4">
                  <c:v>8155</c:v>
                </c:pt>
                <c:pt idx="5">
                  <c:v>8929</c:v>
                </c:pt>
                <c:pt idx="6">
                  <c:v>6724</c:v>
                </c:pt>
                <c:pt idx="7">
                  <c:v>9092</c:v>
                </c:pt>
                <c:pt idx="8">
                  <c:v>8124</c:v>
                </c:pt>
                <c:pt idx="9">
                  <c:v>7128</c:v>
                </c:pt>
                <c:pt idx="10">
                  <c:v>8959</c:v>
                </c:pt>
                <c:pt idx="11">
                  <c:v>8938</c:v>
                </c:pt>
                <c:pt idx="12">
                  <c:v>8238</c:v>
                </c:pt>
              </c:numCache>
            </c:numRef>
          </c:val>
          <c:extLst>
            <c:ext xmlns:c16="http://schemas.microsoft.com/office/drawing/2014/chart" uri="{C3380CC4-5D6E-409C-BE32-E72D297353CC}">
              <c16:uniqueId val="{00000000-08CF-402B-8D8C-9DF2DAB94BBE}"/>
            </c:ext>
          </c:extLst>
        </c:ser>
        <c:dLbls>
          <c:showLegendKey val="0"/>
          <c:showVal val="0"/>
          <c:showCatName val="0"/>
          <c:showSerName val="0"/>
          <c:showPercent val="0"/>
          <c:showBubbleSize val="0"/>
        </c:dLbls>
        <c:gapWidth val="219"/>
        <c:overlap val="-27"/>
        <c:axId val="651883312"/>
        <c:axId val="651907792"/>
      </c:barChart>
      <c:catAx>
        <c:axId val="65188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51907792"/>
        <c:crosses val="autoZero"/>
        <c:auto val="1"/>
        <c:lblAlgn val="ctr"/>
        <c:lblOffset val="100"/>
        <c:noMultiLvlLbl val="0"/>
      </c:catAx>
      <c:valAx>
        <c:axId val="65190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5188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Table!PivotTable16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7C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Table'!$B$198</c:f>
              <c:strCache>
                <c:ptCount val="1"/>
                <c:pt idx="0">
                  <c:v>Total</c:v>
                </c:pt>
              </c:strCache>
            </c:strRef>
          </c:tx>
          <c:spPr>
            <a:solidFill>
              <a:srgbClr val="D7C0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Table'!$A$199:$A$205</c:f>
              <c:strCache>
                <c:ptCount val="6"/>
                <c:pt idx="0">
                  <c:v>Apollo Pharma</c:v>
                </c:pt>
                <c:pt idx="1">
                  <c:v>CareMed</c:v>
                </c:pt>
                <c:pt idx="2">
                  <c:v>HealthPlus</c:v>
                </c:pt>
                <c:pt idx="3">
                  <c:v>LifeLine Pharma</c:v>
                </c:pt>
                <c:pt idx="4">
                  <c:v>MediCare Distributors</c:v>
                </c:pt>
                <c:pt idx="5">
                  <c:v>(blank)</c:v>
                </c:pt>
              </c:strCache>
            </c:strRef>
          </c:cat>
          <c:val>
            <c:numRef>
              <c:f>'Sales Table'!$B$199:$B$205</c:f>
              <c:numCache>
                <c:formatCode>General</c:formatCode>
                <c:ptCount val="6"/>
                <c:pt idx="0">
                  <c:v>19205</c:v>
                </c:pt>
                <c:pt idx="1">
                  <c:v>19159</c:v>
                </c:pt>
                <c:pt idx="2">
                  <c:v>20635</c:v>
                </c:pt>
                <c:pt idx="3">
                  <c:v>21230</c:v>
                </c:pt>
                <c:pt idx="4">
                  <c:v>19613</c:v>
                </c:pt>
              </c:numCache>
            </c:numRef>
          </c:val>
          <c:extLst>
            <c:ext xmlns:c16="http://schemas.microsoft.com/office/drawing/2014/chart" uri="{C3380CC4-5D6E-409C-BE32-E72D297353CC}">
              <c16:uniqueId val="{00000000-7CF9-41D5-805A-1F7AF34BBA09}"/>
            </c:ext>
          </c:extLst>
        </c:ser>
        <c:dLbls>
          <c:showLegendKey val="0"/>
          <c:showVal val="0"/>
          <c:showCatName val="0"/>
          <c:showSerName val="0"/>
          <c:showPercent val="0"/>
          <c:showBubbleSize val="0"/>
        </c:dLbls>
        <c:gapWidth val="182"/>
        <c:axId val="838433760"/>
        <c:axId val="838432800"/>
      </c:barChart>
      <c:catAx>
        <c:axId val="838433760"/>
        <c:scaling>
          <c:orientation val="minMax"/>
        </c:scaling>
        <c:delete val="0"/>
        <c:axPos val="l"/>
        <c:numFmt formatCode="General" sourceLinked="1"/>
        <c:majorTickMark val="none"/>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38432800"/>
        <c:crosses val="autoZero"/>
        <c:auto val="1"/>
        <c:lblAlgn val="ctr"/>
        <c:lblOffset val="100"/>
        <c:noMultiLvlLbl val="0"/>
      </c:catAx>
      <c:valAx>
        <c:axId val="838432800"/>
        <c:scaling>
          <c:orientation val="minMax"/>
        </c:scaling>
        <c:delete val="1"/>
        <c:axPos val="b"/>
        <c:numFmt formatCode="General" sourceLinked="1"/>
        <c:majorTickMark val="none"/>
        <c:minorTickMark val="none"/>
        <c:tickLblPos val="nextTo"/>
        <c:crossAx val="8384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Table!PivotTable17</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7C03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ndard"/>
        <c:varyColors val="0"/>
        <c:ser>
          <c:idx val="0"/>
          <c:order val="0"/>
          <c:tx>
            <c:strRef>
              <c:f>'Sales Table'!$B$208</c:f>
              <c:strCache>
                <c:ptCount val="1"/>
                <c:pt idx="0">
                  <c:v>Total</c:v>
                </c:pt>
              </c:strCache>
            </c:strRef>
          </c:tx>
          <c:spPr>
            <a:solidFill>
              <a:srgbClr val="D7C039"/>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Table'!$A$209:$A$214</c:f>
              <c:strCache>
                <c:ptCount val="5"/>
                <c:pt idx="0">
                  <c:v>Cancelled</c:v>
                </c:pt>
                <c:pt idx="1">
                  <c:v>Delivered</c:v>
                </c:pt>
                <c:pt idx="2">
                  <c:v>In Transit</c:v>
                </c:pt>
                <c:pt idx="3">
                  <c:v>Pending</c:v>
                </c:pt>
                <c:pt idx="4">
                  <c:v>(blank)</c:v>
                </c:pt>
              </c:strCache>
            </c:strRef>
          </c:cat>
          <c:val>
            <c:numRef>
              <c:f>'Sales Table'!$B$209:$B$214</c:f>
              <c:numCache>
                <c:formatCode>General</c:formatCode>
                <c:ptCount val="5"/>
                <c:pt idx="0">
                  <c:v>227</c:v>
                </c:pt>
                <c:pt idx="1">
                  <c:v>271</c:v>
                </c:pt>
                <c:pt idx="2">
                  <c:v>241</c:v>
                </c:pt>
                <c:pt idx="3">
                  <c:v>259</c:v>
                </c:pt>
              </c:numCache>
            </c:numRef>
          </c:val>
          <c:extLst>
            <c:ext xmlns:c16="http://schemas.microsoft.com/office/drawing/2014/chart" uri="{C3380CC4-5D6E-409C-BE32-E72D297353CC}">
              <c16:uniqueId val="{00000000-30C6-400A-8B1F-97A7E4108F0E}"/>
            </c:ext>
          </c:extLst>
        </c:ser>
        <c:dLbls>
          <c:showLegendKey val="0"/>
          <c:showVal val="0"/>
          <c:showCatName val="0"/>
          <c:showSerName val="0"/>
          <c:showPercent val="0"/>
          <c:showBubbleSize val="0"/>
        </c:dLbls>
        <c:gapWidth val="150"/>
        <c:shape val="box"/>
        <c:axId val="706873936"/>
        <c:axId val="706867216"/>
        <c:axId val="702029184"/>
      </c:bar3DChart>
      <c:catAx>
        <c:axId val="70687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6867216"/>
        <c:crosses val="autoZero"/>
        <c:auto val="1"/>
        <c:lblAlgn val="ctr"/>
        <c:lblOffset val="100"/>
        <c:noMultiLvlLbl val="0"/>
      </c:catAx>
      <c:valAx>
        <c:axId val="7068672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6873936"/>
        <c:crosses val="autoZero"/>
        <c:crossBetween val="between"/>
      </c:valAx>
      <c:serAx>
        <c:axId val="702029184"/>
        <c:scaling>
          <c:orientation val="minMax"/>
        </c:scaling>
        <c:delete val="1"/>
        <c:axPos val="b"/>
        <c:majorTickMark val="none"/>
        <c:minorTickMark val="none"/>
        <c:tickLblPos val="nextTo"/>
        <c:crossAx val="7068672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[Pharma_Company_Data.xlsx]Prodution Table!PivotTable18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7C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'Prodution Table'!$B$1</c:f>
              <c:strCache>
                <c:ptCount val="1"/>
                <c:pt idx="0">
                  <c:v>Total</c:v>
                </c:pt>
              </c:strCache>
            </c:strRef>
          </c:tx>
          <c:spPr>
            <a:solidFill>
              <a:srgbClr val="D7C0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'Prodution Table'!$A$2:$A$7</c:f>
              <c:strCache>
                <c:ptCount val="5"/>
                <c:pt idx="0">
                  <c:v>Capsule</c:v>
                </c:pt>
                <c:pt idx="1">
                  <c:v>Injection</c:v>
                </c:pt>
                <c:pt idx="2">
                  <c:v>Ointment</c:v>
                </c:pt>
                <c:pt idx="3">
                  <c:v>Syrup</c:v>
                </c:pt>
                <c:pt idx="4">
                  <c:v>Tablet</c:v>
                </c:pt>
              </c:strCache>
            </c:strRef>
          </c:cat>
          <c:val>
            <c:numRef>
              <c:f>'Prodution Table'!$B$2:$B$7</c:f>
              <c:numCache>
                <c:formatCode>General</c:formatCode>
                <c:ptCount val="5"/>
                <c:pt idx="0">
                  <c:v>1222587</c:v>
                </c:pt>
                <c:pt idx="1">
                  <c:v>1314001</c:v>
                </c:pt>
                <c:pt idx="2">
                  <c:v>1162560</c:v>
                </c:pt>
                <c:pt idx="3">
                  <c:v>1433039</c:v>
                </c:pt>
                <c:pt idx="4">
                  <c:v>1282142</c:v>
                </c:pt>
              </c:numCache>
            </c:numRef>
          </c:val>
          <c:extLst>
            <c:ext xmlns:c16="http://schemas.microsoft.com/office/drawing/2014/chart" uri="{C3380CC4-5D6E-409C-BE32-E72D297353CC}">
              <c16:uniqueId val="{00000000-ACE3-490D-85D3-2AD4BCA101E0}"/>
            </c:ext>
          </c:extLst>
        </c:ser>
        <c:dLbls>
          <c:showLegendKey val="0"/>
          <c:showVal val="0"/>
          <c:showCatName val="0"/>
          <c:showSerName val="0"/>
          <c:showPercent val="0"/>
          <c:showBubbleSize val="0"/>
        </c:dLbls>
        <c:gapWidth val="182"/>
        <c:axId val="705265072"/>
        <c:axId val="705263152"/>
      </c:barChart>
      <c:catAx>
        <c:axId val="70526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5263152"/>
        <c:crosses val="autoZero"/>
        <c:auto val="1"/>
        <c:lblAlgn val="ctr"/>
        <c:lblOffset val="100"/>
        <c:noMultiLvlLbl val="0"/>
      </c:catAx>
      <c:valAx>
        <c:axId val="70526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526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[Pharma_Company_Data.xlsx]Prodution Table!PivotTable23</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pivotFmt>
      <c:pivotFmt>
        <c:idx val="2"/>
        <c:spPr>
          <a:solidFill>
            <a:srgbClr val="C00000"/>
          </a:solidFill>
          <a:ln>
            <a:noFill/>
          </a:ln>
          <a:effectLst/>
          <a:sp3d/>
        </c:spPr>
      </c:pivotFmt>
      <c:pivotFmt>
        <c:idx val="3"/>
        <c:spPr>
          <a:solidFill>
            <a:srgbClr val="92D050"/>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sp3d/>
        </c:spPr>
      </c:pivotFmt>
      <c:pivotFmt>
        <c:idx val="6"/>
        <c:spPr>
          <a:solidFill>
            <a:srgbClr val="C00000"/>
          </a:solidFill>
          <a:ln>
            <a:noFill/>
          </a:ln>
          <a:effectLst/>
          <a:sp3d/>
        </c:spPr>
      </c:pivotFmt>
      <c:pivotFmt>
        <c:idx val="7"/>
        <c:spPr>
          <a:solidFill>
            <a:srgbClr val="92D050"/>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sp3d/>
        </c:spPr>
      </c:pivotFmt>
      <c:pivotFmt>
        <c:idx val="10"/>
        <c:spPr>
          <a:solidFill>
            <a:srgbClr val="C00000"/>
          </a:solidFill>
          <a:ln>
            <a:noFill/>
          </a:ln>
          <a:effectLst/>
          <a:sp3d/>
        </c:spPr>
      </c:pivotFmt>
      <c:pivotFmt>
        <c:idx val="11"/>
        <c:spPr>
          <a:solidFill>
            <a:srgbClr val="92D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'Prodution Table'!$B$27</c:f>
              <c:strCache>
                <c:ptCount val="1"/>
                <c:pt idx="0">
                  <c:v>Total</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BA78-4C57-9475-333D8D8B393F}"/>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3-BA78-4C57-9475-333D8D8B393F}"/>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5-BA78-4C57-9475-333D8D8B393F}"/>
              </c:ext>
            </c:extLst>
          </c:dPt>
          <c:cat>
            <c:strRef>
              <c:f>'Prodution Table'!$A$28:$A$31</c:f>
              <c:strCache>
                <c:ptCount val="3"/>
                <c:pt idx="0">
                  <c:v>Full</c:v>
                </c:pt>
                <c:pt idx="1">
                  <c:v>Low</c:v>
                </c:pt>
                <c:pt idx="2">
                  <c:v>Medium</c:v>
                </c:pt>
              </c:strCache>
            </c:strRef>
          </c:cat>
          <c:val>
            <c:numRef>
              <c:f>'Prodution Table'!$B$28:$B$31</c:f>
              <c:numCache>
                <c:formatCode>General</c:formatCode>
                <c:ptCount val="3"/>
                <c:pt idx="0">
                  <c:v>883</c:v>
                </c:pt>
                <c:pt idx="1">
                  <c:v>57</c:v>
                </c:pt>
                <c:pt idx="2">
                  <c:v>260</c:v>
                </c:pt>
              </c:numCache>
            </c:numRef>
          </c:val>
          <c:extLst>
            <c:ext xmlns:c16="http://schemas.microsoft.com/office/drawing/2014/chart" uri="{C3380CC4-5D6E-409C-BE32-E72D297353CC}">
              <c16:uniqueId val="{00000006-BA78-4C57-9475-333D8D8B393F}"/>
            </c:ext>
          </c:extLst>
        </c:ser>
        <c:dLbls>
          <c:showLegendKey val="0"/>
          <c:showVal val="0"/>
          <c:showCatName val="0"/>
          <c:showSerName val="0"/>
          <c:showPercent val="0"/>
          <c:showBubbleSize val="0"/>
        </c:dLbls>
        <c:gapWidth val="150"/>
        <c:shape val="box"/>
        <c:axId val="781526960"/>
        <c:axId val="781525520"/>
        <c:axId val="276443104"/>
      </c:bar3DChart>
      <c:catAx>
        <c:axId val="781526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25520"/>
        <c:crosses val="autoZero"/>
        <c:auto val="1"/>
        <c:lblAlgn val="ctr"/>
        <c:lblOffset val="100"/>
        <c:noMultiLvlLbl val="0"/>
      </c:catAx>
      <c:valAx>
        <c:axId val="7815255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26960"/>
        <c:crosses val="autoZero"/>
        <c:crossBetween val="between"/>
      </c:valAx>
      <c:serAx>
        <c:axId val="276443104"/>
        <c:scaling>
          <c:orientation val="minMax"/>
        </c:scaling>
        <c:delete val="1"/>
        <c:axPos val="b"/>
        <c:majorTickMark val="none"/>
        <c:minorTickMark val="none"/>
        <c:tickLblPos val="nextTo"/>
        <c:crossAx val="7815255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[Pharma_Company_Data.xlsx]Prodution Table!PivotTable24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7C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0327316727955"/>
          <c:y val="0.11202895274405457"/>
          <c:w val="0.88119694877513333"/>
          <c:h val="0.73428790220913343"/>
        </c:manualLayout>
      </c:layout>
      <c:barChart>
        <c:barDir val="col"/>
        <c:grouping val="clustered"/>
        <c:varyColors val="0"/>
        <c:ser>
          <c:idx val="0"/>
          <c:order val="0"/>
          <c:tx>
            <c:strRef>
              <c:f>'Prodution Table'!$B$35</c:f>
              <c:strCache>
                <c:ptCount val="1"/>
                <c:pt idx="0">
                  <c:v>Total</c:v>
                </c:pt>
              </c:strCache>
            </c:strRef>
          </c:tx>
          <c:spPr>
            <a:solidFill>
              <a:srgbClr val="D7C039"/>
            </a:solidFill>
            <a:ln>
              <a:noFill/>
            </a:ln>
            <a:effectLst/>
          </c:spPr>
          <c:invertIfNegative val="0"/>
          <c:cat>
            <c:strRef>
              <c:f>'Prodution Table'!$A$36:$A$41</c:f>
              <c:strCache>
                <c:ptCount val="5"/>
                <c:pt idx="0">
                  <c:v>Capsule</c:v>
                </c:pt>
                <c:pt idx="1">
                  <c:v>Injection</c:v>
                </c:pt>
                <c:pt idx="2">
                  <c:v>Ointment</c:v>
                </c:pt>
                <c:pt idx="3">
                  <c:v>Syrup</c:v>
                </c:pt>
                <c:pt idx="4">
                  <c:v>Tablet</c:v>
                </c:pt>
              </c:strCache>
            </c:strRef>
          </c:cat>
          <c:val>
            <c:numRef>
              <c:f>'Prodution Table'!$B$36:$B$41</c:f>
              <c:numCache>
                <c:formatCode>0</c:formatCode>
                <c:ptCount val="5"/>
                <c:pt idx="0">
                  <c:v>12704.191964285714</c:v>
                </c:pt>
                <c:pt idx="1">
                  <c:v>12923.641732283464</c:v>
                </c:pt>
                <c:pt idx="2">
                  <c:v>12718.853881278539</c:v>
                </c:pt>
                <c:pt idx="3">
                  <c:v>13679.758754863813</c:v>
                </c:pt>
                <c:pt idx="4">
                  <c:v>13987.617886178861</c:v>
                </c:pt>
              </c:numCache>
            </c:numRef>
          </c:val>
          <c:extLst>
            <c:ext xmlns:c16="http://schemas.microsoft.com/office/drawing/2014/chart" uri="{C3380CC4-5D6E-409C-BE32-E72D297353CC}">
              <c16:uniqueId val="{00000000-C418-43EB-981D-448806677383}"/>
            </c:ext>
          </c:extLst>
        </c:ser>
        <c:dLbls>
          <c:showLegendKey val="0"/>
          <c:showVal val="0"/>
          <c:showCatName val="0"/>
          <c:showSerName val="0"/>
          <c:showPercent val="0"/>
          <c:showBubbleSize val="0"/>
        </c:dLbls>
        <c:gapWidth val="219"/>
        <c:overlap val="-27"/>
        <c:axId val="698209296"/>
        <c:axId val="698212176"/>
      </c:barChart>
      <c:catAx>
        <c:axId val="69820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98212176"/>
        <c:crosses val="autoZero"/>
        <c:auto val="1"/>
        <c:lblAlgn val="ctr"/>
        <c:lblOffset val="100"/>
        <c:noMultiLvlLbl val="0"/>
      </c:catAx>
      <c:valAx>
        <c:axId val="6982121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9820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Table!PivotTable7</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D7C0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5740740740740741"/>
          <c:w val="0.83716841644794404"/>
          <c:h val="0.73519320501603957"/>
        </c:manualLayout>
      </c:layout>
      <c:lineChart>
        <c:grouping val="stacked"/>
        <c:varyColors val="0"/>
        <c:ser>
          <c:idx val="0"/>
          <c:order val="0"/>
          <c:tx>
            <c:strRef>
              <c:f>'Sales Table'!$B$63</c:f>
              <c:strCache>
                <c:ptCount val="1"/>
                <c:pt idx="0">
                  <c:v>Sum of Profit</c:v>
                </c:pt>
              </c:strCache>
            </c:strRef>
          </c:tx>
          <c:spPr>
            <a:ln w="28575" cap="rnd">
              <a:solidFill>
                <a:srgbClr val="D7C039"/>
              </a:solidFill>
              <a:round/>
            </a:ln>
            <a:effectLst/>
          </c:spPr>
          <c:marker>
            <c:symbol val="none"/>
          </c:marker>
          <c:cat>
            <c:strRef>
              <c:f>'Sales Table'!$A$64:$A$69</c:f>
              <c:strCache>
                <c:ptCount val="5"/>
                <c:pt idx="0">
                  <c:v>Capsule</c:v>
                </c:pt>
                <c:pt idx="1">
                  <c:v>Injection</c:v>
                </c:pt>
                <c:pt idx="2">
                  <c:v>Ointment</c:v>
                </c:pt>
                <c:pt idx="3">
                  <c:v>Syrup</c:v>
                </c:pt>
                <c:pt idx="4">
                  <c:v>Tablet</c:v>
                </c:pt>
              </c:strCache>
            </c:strRef>
          </c:cat>
          <c:val>
            <c:numRef>
              <c:f>'Sales Table'!$B$64:$B$69</c:f>
              <c:numCache>
                <c:formatCode>General</c:formatCode>
                <c:ptCount val="5"/>
                <c:pt idx="0">
                  <c:v>585415.58999999985</c:v>
                </c:pt>
                <c:pt idx="1">
                  <c:v>649238.31999999983</c:v>
                </c:pt>
                <c:pt idx="2">
                  <c:v>479057.80999999988</c:v>
                </c:pt>
                <c:pt idx="3">
                  <c:v>609596.89</c:v>
                </c:pt>
                <c:pt idx="4">
                  <c:v>600823.48999999976</c:v>
                </c:pt>
              </c:numCache>
            </c:numRef>
          </c:val>
          <c:smooth val="0"/>
          <c:extLst>
            <c:ext xmlns:c16="http://schemas.microsoft.com/office/drawing/2014/chart" uri="{C3380CC4-5D6E-409C-BE32-E72D297353CC}">
              <c16:uniqueId val="{00000000-3EC2-451D-8E58-D71671ECF641}"/>
            </c:ext>
          </c:extLst>
        </c:ser>
        <c:ser>
          <c:idx val="1"/>
          <c:order val="1"/>
          <c:tx>
            <c:strRef>
              <c:f>'Sales Table'!$C$63</c:f>
              <c:strCache>
                <c:ptCount val="1"/>
                <c:pt idx="0">
                  <c:v>Sum of Expense</c:v>
                </c:pt>
              </c:strCache>
            </c:strRef>
          </c:tx>
          <c:spPr>
            <a:ln w="28575" cap="rnd">
              <a:solidFill>
                <a:schemeClr val="accent2"/>
              </a:solidFill>
              <a:round/>
            </a:ln>
            <a:effectLst/>
          </c:spPr>
          <c:marker>
            <c:symbol val="none"/>
          </c:marker>
          <c:cat>
            <c:strRef>
              <c:f>'Sales Table'!$A$64:$A$69</c:f>
              <c:strCache>
                <c:ptCount val="5"/>
                <c:pt idx="0">
                  <c:v>Capsule</c:v>
                </c:pt>
                <c:pt idx="1">
                  <c:v>Injection</c:v>
                </c:pt>
                <c:pt idx="2">
                  <c:v>Ointment</c:v>
                </c:pt>
                <c:pt idx="3">
                  <c:v>Syrup</c:v>
                </c:pt>
                <c:pt idx="4">
                  <c:v>Tablet</c:v>
                </c:pt>
              </c:strCache>
            </c:strRef>
          </c:cat>
          <c:val>
            <c:numRef>
              <c:f>'Sales Table'!$C$64:$C$69</c:f>
              <c:numCache>
                <c:formatCode>General</c:formatCode>
                <c:ptCount val="5"/>
                <c:pt idx="0">
                  <c:v>1384654.0900000012</c:v>
                </c:pt>
                <c:pt idx="1">
                  <c:v>1559506.2000000002</c:v>
                </c:pt>
                <c:pt idx="2">
                  <c:v>1066798.0299999996</c:v>
                </c:pt>
                <c:pt idx="3">
                  <c:v>1422365.1399999997</c:v>
                </c:pt>
                <c:pt idx="4">
                  <c:v>1420237.3399999994</c:v>
                </c:pt>
              </c:numCache>
            </c:numRef>
          </c:val>
          <c:smooth val="0"/>
          <c:extLst>
            <c:ext xmlns:c16="http://schemas.microsoft.com/office/drawing/2014/chart" uri="{C3380CC4-5D6E-409C-BE32-E72D297353CC}">
              <c16:uniqueId val="{00000001-3EC2-451D-8E58-D71671ECF641}"/>
            </c:ext>
          </c:extLst>
        </c:ser>
        <c:dLbls>
          <c:showLegendKey val="0"/>
          <c:showVal val="0"/>
          <c:showCatName val="0"/>
          <c:showSerName val="0"/>
          <c:showPercent val="0"/>
          <c:showBubbleSize val="0"/>
        </c:dLbls>
        <c:smooth val="0"/>
        <c:axId val="423362463"/>
        <c:axId val="423377823"/>
      </c:lineChart>
      <c:catAx>
        <c:axId val="42336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423377823"/>
        <c:crosses val="autoZero"/>
        <c:auto val="1"/>
        <c:lblAlgn val="ctr"/>
        <c:lblOffset val="100"/>
        <c:noMultiLvlLbl val="0"/>
      </c:catAx>
      <c:valAx>
        <c:axId val="42337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423362463"/>
        <c:crosses val="autoZero"/>
        <c:crossBetween val="between"/>
      </c:valAx>
      <c:spPr>
        <a:noFill/>
        <a:ln>
          <a:noFill/>
        </a:ln>
        <a:effectLst/>
      </c:spPr>
    </c:plotArea>
    <c:legend>
      <c:legendPos val="r"/>
      <c:layout>
        <c:manualLayout>
          <c:xMode val="edge"/>
          <c:yMode val="edge"/>
          <c:x val="0.51152712160979885"/>
          <c:y val="5.7815689705455859E-4"/>
          <c:w val="0.47458398950131231"/>
          <c:h val="0.15625109361329836"/>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s>
    <c:plotArea>
      <c:layout/>
      <c:pieChart>
        <c:varyColors val="1"/>
        <c:ser>
          <c:idx val="0"/>
          <c:order val="0"/>
          <c:tx>
            <c:strRef>
              <c:f>'Sales Table'!$M$7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8E-4E04-903F-E4199C84FD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8E-4E04-903F-E4199C84FD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8E-4E04-903F-E4199C84FD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8E-4E04-903F-E4199C84FD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8E-4E04-903F-E4199C84FD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8E-4E04-903F-E4199C84FD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68E-4E04-903F-E4199C84FDE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68E-4E04-903F-E4199C84FDE5}"/>
              </c:ext>
            </c:extLst>
          </c:dPt>
          <c:dPt>
            <c:idx val="8"/>
            <c:bubble3D val="0"/>
            <c:spPr>
              <a:solidFill>
                <a:schemeClr val="accent3">
                  <a:lumMod val="60000"/>
                </a:schemeClr>
              </a:solidFill>
              <a:ln w="19050">
                <a:solidFill>
                  <a:schemeClr val="lt1"/>
                </a:solidFill>
              </a:ln>
              <a:effectLst/>
            </c:spPr>
          </c:dPt>
          <c:dLbls>
            <c:dLbl>
              <c:idx val="8"/>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Table'!$L$8:$L$17</c:f>
              <c:strCache>
                <c:ptCount val="9"/>
                <c:pt idx="0">
                  <c:v>Ahmedabad</c:v>
                </c:pt>
                <c:pt idx="1">
                  <c:v>Bangalore</c:v>
                </c:pt>
                <c:pt idx="2">
                  <c:v>Chennai</c:v>
                </c:pt>
                <c:pt idx="3">
                  <c:v>Delhi</c:v>
                </c:pt>
                <c:pt idx="4">
                  <c:v>Hyderabad</c:v>
                </c:pt>
                <c:pt idx="5">
                  <c:v>Mumbai</c:v>
                </c:pt>
                <c:pt idx="6">
                  <c:v>Pune</c:v>
                </c:pt>
                <c:pt idx="7">
                  <c:v>Surat</c:v>
                </c:pt>
                <c:pt idx="8">
                  <c:v>(blank)</c:v>
                </c:pt>
              </c:strCache>
            </c:strRef>
          </c:cat>
          <c:val>
            <c:numRef>
              <c:f>'Sales Table'!$M$8:$M$17</c:f>
              <c:numCache>
                <c:formatCode>0.00%</c:formatCode>
                <c:ptCount val="9"/>
                <c:pt idx="0">
                  <c:v>0.12255390924370343</c:v>
                </c:pt>
                <c:pt idx="1">
                  <c:v>0.1185514908851075</c:v>
                </c:pt>
                <c:pt idx="2">
                  <c:v>0.11725524301723586</c:v>
                </c:pt>
                <c:pt idx="3">
                  <c:v>0.12586527811106762</c:v>
                </c:pt>
                <c:pt idx="4">
                  <c:v>0.1307203289482031</c:v>
                </c:pt>
                <c:pt idx="5">
                  <c:v>0.1342931873700233</c:v>
                </c:pt>
                <c:pt idx="6">
                  <c:v>0.13256154193581071</c:v>
                </c:pt>
                <c:pt idx="7">
                  <c:v>0.11819902048884863</c:v>
                </c:pt>
                <c:pt idx="8">
                  <c:v>0</c:v>
                </c:pt>
              </c:numCache>
            </c:numRef>
          </c:val>
          <c:extLst>
            <c:ext xmlns:c16="http://schemas.microsoft.com/office/drawing/2014/chart" uri="{C3380CC4-5D6E-409C-BE32-E72D297353CC}">
              <c16:uniqueId val="{00000010-568E-4E04-903F-E4199C84FDE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7C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Table'!$B$87</c:f>
              <c:strCache>
                <c:ptCount val="1"/>
                <c:pt idx="0">
                  <c:v>Total</c:v>
                </c:pt>
              </c:strCache>
            </c:strRef>
          </c:tx>
          <c:spPr>
            <a:solidFill>
              <a:srgbClr val="D7C039"/>
            </a:solidFill>
            <a:ln>
              <a:noFill/>
            </a:ln>
            <a:effectLst/>
          </c:spPr>
          <c:invertIfNegative val="0"/>
          <c:cat>
            <c:strRef>
              <c:f>'Sales Table'!$A$88:$A$94</c:f>
              <c:strCache>
                <c:ptCount val="6"/>
                <c:pt idx="0">
                  <c:v>Apollo Pharma</c:v>
                </c:pt>
                <c:pt idx="1">
                  <c:v>CareMed</c:v>
                </c:pt>
                <c:pt idx="2">
                  <c:v>HealthPlus</c:v>
                </c:pt>
                <c:pt idx="3">
                  <c:v>LifeLine Pharma</c:v>
                </c:pt>
                <c:pt idx="4">
                  <c:v>MediCare Distributors</c:v>
                </c:pt>
                <c:pt idx="5">
                  <c:v>(blank)</c:v>
                </c:pt>
              </c:strCache>
            </c:strRef>
          </c:cat>
          <c:val>
            <c:numRef>
              <c:f>'Sales Table'!$B$88:$B$94</c:f>
              <c:numCache>
                <c:formatCode>"₹"\ #,##0</c:formatCode>
                <c:ptCount val="6"/>
                <c:pt idx="0">
                  <c:v>555249.28</c:v>
                </c:pt>
                <c:pt idx="1">
                  <c:v>514382.74000000005</c:v>
                </c:pt>
                <c:pt idx="2">
                  <c:v>579713.69000000006</c:v>
                </c:pt>
                <c:pt idx="3">
                  <c:v>678774.32999999949</c:v>
                </c:pt>
                <c:pt idx="4">
                  <c:v>596012.05999999982</c:v>
                </c:pt>
              </c:numCache>
            </c:numRef>
          </c:val>
          <c:extLst>
            <c:ext xmlns:c16="http://schemas.microsoft.com/office/drawing/2014/chart" uri="{C3380CC4-5D6E-409C-BE32-E72D297353CC}">
              <c16:uniqueId val="{00000000-348C-4F4F-818D-2A822F95BF0E}"/>
            </c:ext>
          </c:extLst>
        </c:ser>
        <c:dLbls>
          <c:showLegendKey val="0"/>
          <c:showVal val="0"/>
          <c:showCatName val="0"/>
          <c:showSerName val="0"/>
          <c:showPercent val="0"/>
          <c:showBubbleSize val="0"/>
        </c:dLbls>
        <c:gapWidth val="219"/>
        <c:overlap val="-27"/>
        <c:axId val="361563967"/>
        <c:axId val="361564447"/>
      </c:barChart>
      <c:catAx>
        <c:axId val="36156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64447"/>
        <c:crosses val="autoZero"/>
        <c:auto val="1"/>
        <c:lblAlgn val="ctr"/>
        <c:lblOffset val="100"/>
        <c:noMultiLvlLbl val="0"/>
      </c:catAx>
      <c:valAx>
        <c:axId val="361564447"/>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6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[Pharma_Company_Data.xlsx]Sales Table!PivotTable11</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9750288645382613"/>
              <c:y val="9.197585796835497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528657952598706"/>
                  <c:h val="0.16521546530303488"/>
                </c:manualLayout>
              </c15:layout>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Table'!$B$96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4DA-4164-B1C5-7F57F91E15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4DA-4164-B1C5-7F57F91E15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4DA-4164-B1C5-7F57F91E15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4DA-4164-B1C5-7F57F91E15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4DA-4164-B1C5-7F57F91E1570}"/>
              </c:ext>
            </c:extLst>
          </c:dPt>
          <c:dLbls>
            <c:dLbl>
              <c:idx val="0"/>
              <c:layout>
                <c:manualLayout>
                  <c:x val="-0.19750288645382613"/>
                  <c:y val="9.197585796835497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528657952598706"/>
                      <c:h val="0.16521546530303488"/>
                    </c:manualLayout>
                  </c15:layout>
                </c:ext>
                <c:ext xmlns:c16="http://schemas.microsoft.com/office/drawing/2014/chart" uri="{C3380CC4-5D6E-409C-BE32-E72D297353CC}">
                  <c16:uniqueId val="{00000001-14DA-4164-B1C5-7F57F91E157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Table'!$A$97:$A$102</c:f>
              <c:strCache>
                <c:ptCount val="5"/>
                <c:pt idx="0">
                  <c:v>Bank Transfer</c:v>
                </c:pt>
                <c:pt idx="1">
                  <c:v>Card</c:v>
                </c:pt>
                <c:pt idx="2">
                  <c:v>Cash</c:v>
                </c:pt>
                <c:pt idx="3">
                  <c:v>UPI</c:v>
                </c:pt>
                <c:pt idx="4">
                  <c:v>(blank)</c:v>
                </c:pt>
              </c:strCache>
            </c:strRef>
          </c:cat>
          <c:val>
            <c:numRef>
              <c:f>'Sales Table'!$B$97:$B$102</c:f>
              <c:numCache>
                <c:formatCode>0</c:formatCode>
                <c:ptCount val="5"/>
                <c:pt idx="0">
                  <c:v>253</c:v>
                </c:pt>
                <c:pt idx="1">
                  <c:v>260</c:v>
                </c:pt>
                <c:pt idx="2">
                  <c:v>237</c:v>
                </c:pt>
                <c:pt idx="3">
                  <c:v>248</c:v>
                </c:pt>
              </c:numCache>
            </c:numRef>
          </c:val>
          <c:extLst>
            <c:ext xmlns:c16="http://schemas.microsoft.com/office/drawing/2014/chart" uri="{C3380CC4-5D6E-409C-BE32-E72D297353CC}">
              <c16:uniqueId val="{0000000A-14DA-4164-B1C5-7F57F91E1570}"/>
            </c:ext>
          </c:extLst>
        </c:ser>
        <c:dLbls>
          <c:showLegendKey val="0"/>
          <c:showVal val="0"/>
          <c:showCatName val="0"/>
          <c:showSerName val="0"/>
          <c:showPercent val="0"/>
          <c:showBubbleSize val="0"/>
          <c:showLeaderLines val="1"/>
        </c:dLbls>
      </c:pie3D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Profits!A1"/><Relationship Id="rId7" Type="http://schemas.openxmlformats.org/officeDocument/2006/relationships/chart" Target="../charts/chart1.xml"/><Relationship Id="rId2" Type="http://schemas.openxmlformats.org/officeDocument/2006/relationships/hyperlink" Target="#'Stocks '!A1"/><Relationship Id="rId1" Type="http://schemas.openxmlformats.org/officeDocument/2006/relationships/hyperlink" Target="#Overview!A1"/><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Profits!A1"/><Relationship Id="rId7" Type="http://schemas.openxmlformats.org/officeDocument/2006/relationships/chart" Target="../charts/chart4.xml"/><Relationship Id="rId2" Type="http://schemas.openxmlformats.org/officeDocument/2006/relationships/hyperlink" Target="#'Stocks '!A1"/><Relationship Id="rId1" Type="http://schemas.openxmlformats.org/officeDocument/2006/relationships/hyperlink" Target="#Overview!A1"/><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Profits!A1"/><Relationship Id="rId7" Type="http://schemas.openxmlformats.org/officeDocument/2006/relationships/chart" Target="../charts/chart7.xml"/><Relationship Id="rId2" Type="http://schemas.openxmlformats.org/officeDocument/2006/relationships/hyperlink" Target="#'Stocks '!A1"/><Relationship Id="rId1" Type="http://schemas.openxmlformats.org/officeDocument/2006/relationships/hyperlink" Target="#Overview!A1"/><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10.xml"/><Relationship Id="rId4" Type="http://schemas.openxmlformats.org/officeDocument/2006/relationships/image" Target="../media/image1.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74</xdr:row>
      <xdr:rowOff>83820</xdr:rowOff>
    </xdr:from>
    <xdr:to>
      <xdr:col>8</xdr:col>
      <xdr:colOff>281940</xdr:colOff>
      <xdr:row>87</xdr:row>
      <xdr:rowOff>173355</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929574E1-B3C9-83DE-D2B0-3228A046509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379720" y="13616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459154</xdr:colOff>
      <xdr:row>34</xdr:row>
      <xdr:rowOff>156308</xdr:rowOff>
    </xdr:to>
    <xdr:sp macro="" textlink="">
      <xdr:nvSpPr>
        <xdr:cNvPr id="2" name="Rectangle 1">
          <a:extLst>
            <a:ext uri="{FF2B5EF4-FFF2-40B4-BE49-F238E27FC236}">
              <a16:creationId xmlns:a16="http://schemas.microsoft.com/office/drawing/2014/main" id="{224759F2-D097-432A-8953-9F8BF0C94293}"/>
            </a:ext>
          </a:extLst>
        </xdr:cNvPr>
        <xdr:cNvSpPr/>
      </xdr:nvSpPr>
      <xdr:spPr>
        <a:xfrm>
          <a:off x="0" y="0"/>
          <a:ext cx="12041554" cy="6374228"/>
        </a:xfrm>
        <a:prstGeom prst="rect">
          <a:avLst/>
        </a:prstGeom>
        <a:solidFill>
          <a:srgbClr val="EBE0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332154</xdr:colOff>
      <xdr:row>0</xdr:row>
      <xdr:rowOff>87922</xdr:rowOff>
    </xdr:from>
    <xdr:to>
      <xdr:col>11</xdr:col>
      <xdr:colOff>449385</xdr:colOff>
      <xdr:row>3</xdr:row>
      <xdr:rowOff>166075</xdr:rowOff>
    </xdr:to>
    <xdr:sp macro="" textlink="">
      <xdr:nvSpPr>
        <xdr:cNvPr id="3" name="Rectangle: Diagonal Corners Rounded 2">
          <a:extLst>
            <a:ext uri="{FF2B5EF4-FFF2-40B4-BE49-F238E27FC236}">
              <a16:creationId xmlns:a16="http://schemas.microsoft.com/office/drawing/2014/main" id="{2E416636-00E0-4157-AA34-D6425C0C793C}"/>
            </a:ext>
          </a:extLst>
        </xdr:cNvPr>
        <xdr:cNvSpPr/>
      </xdr:nvSpPr>
      <xdr:spPr>
        <a:xfrm>
          <a:off x="4599354" y="87922"/>
          <a:ext cx="2555631" cy="626793"/>
        </a:xfrm>
        <a:prstGeom prst="round2DiagRect">
          <a:avLst/>
        </a:prstGeom>
        <a:solidFill>
          <a:srgbClr val="D7C03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Overview </a:t>
          </a:r>
          <a:endParaRPr lang="en-IN" sz="3600" b="1"/>
        </a:p>
      </xdr:txBody>
    </xdr:sp>
    <xdr:clientData/>
  </xdr:twoCellAnchor>
  <xdr:twoCellAnchor>
    <xdr:from>
      <xdr:col>0</xdr:col>
      <xdr:colOff>380999</xdr:colOff>
      <xdr:row>0</xdr:row>
      <xdr:rowOff>136768</xdr:rowOff>
    </xdr:from>
    <xdr:to>
      <xdr:col>2</xdr:col>
      <xdr:colOff>107461</xdr:colOff>
      <xdr:row>3</xdr:row>
      <xdr:rowOff>146537</xdr:rowOff>
    </xdr:to>
    <xdr:sp macro="" textlink="">
      <xdr:nvSpPr>
        <xdr:cNvPr id="4" name="Oval 3">
          <a:hlinkClick xmlns:r="http://schemas.openxmlformats.org/officeDocument/2006/relationships" r:id="rId1"/>
          <a:extLst>
            <a:ext uri="{FF2B5EF4-FFF2-40B4-BE49-F238E27FC236}">
              <a16:creationId xmlns:a16="http://schemas.microsoft.com/office/drawing/2014/main" id="{A97100DD-FDBA-4FA9-8C72-6AFE4C788B95}"/>
            </a:ext>
          </a:extLst>
        </xdr:cNvPr>
        <xdr:cNvSpPr/>
      </xdr:nvSpPr>
      <xdr:spPr>
        <a:xfrm>
          <a:off x="380999" y="136768"/>
          <a:ext cx="945662" cy="558409"/>
        </a:xfrm>
        <a:prstGeom prst="ellipse">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322384</xdr:colOff>
      <xdr:row>0</xdr:row>
      <xdr:rowOff>127000</xdr:rowOff>
    </xdr:from>
    <xdr:to>
      <xdr:col>4</xdr:col>
      <xdr:colOff>48847</xdr:colOff>
      <xdr:row>3</xdr:row>
      <xdr:rowOff>136769</xdr:rowOff>
    </xdr:to>
    <xdr:sp macro="" textlink="">
      <xdr:nvSpPr>
        <xdr:cNvPr id="5" name="Oval 4">
          <a:hlinkClick xmlns:r="http://schemas.openxmlformats.org/officeDocument/2006/relationships" r:id="rId2"/>
          <a:extLst>
            <a:ext uri="{FF2B5EF4-FFF2-40B4-BE49-F238E27FC236}">
              <a16:creationId xmlns:a16="http://schemas.microsoft.com/office/drawing/2014/main" id="{93A27B47-7C7E-41A7-8AB5-B14A5EF1B808}"/>
            </a:ext>
          </a:extLst>
        </xdr:cNvPr>
        <xdr:cNvSpPr/>
      </xdr:nvSpPr>
      <xdr:spPr>
        <a:xfrm>
          <a:off x="1541584" y="127000"/>
          <a:ext cx="945663" cy="558409"/>
        </a:xfrm>
        <a:prstGeom prst="ellipse">
          <a:avLst/>
        </a:prstGeom>
        <a:solidFill>
          <a:srgbClr val="D7C0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322385</xdr:colOff>
      <xdr:row>0</xdr:row>
      <xdr:rowOff>146538</xdr:rowOff>
    </xdr:from>
    <xdr:to>
      <xdr:col>6</xdr:col>
      <xdr:colOff>48847</xdr:colOff>
      <xdr:row>3</xdr:row>
      <xdr:rowOff>156307</xdr:rowOff>
    </xdr:to>
    <xdr:sp macro="" textlink="">
      <xdr:nvSpPr>
        <xdr:cNvPr id="6" name="Oval 5">
          <a:hlinkClick xmlns:r="http://schemas.openxmlformats.org/officeDocument/2006/relationships" r:id="rId3"/>
          <a:extLst>
            <a:ext uri="{FF2B5EF4-FFF2-40B4-BE49-F238E27FC236}">
              <a16:creationId xmlns:a16="http://schemas.microsoft.com/office/drawing/2014/main" id="{59DA0463-6C9C-40B9-A14E-0E4CE73EAAB8}"/>
            </a:ext>
          </a:extLst>
        </xdr:cNvPr>
        <xdr:cNvSpPr/>
      </xdr:nvSpPr>
      <xdr:spPr>
        <a:xfrm>
          <a:off x="2760785" y="146538"/>
          <a:ext cx="945662" cy="558409"/>
        </a:xfrm>
        <a:prstGeom prst="ellipse">
          <a:avLst/>
        </a:prstGeom>
        <a:solidFill>
          <a:srgbClr val="D7C0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D7C039"/>
            </a:solidFill>
          </a:endParaRPr>
        </a:p>
      </xdr:txBody>
    </xdr:sp>
    <xdr:clientData/>
  </xdr:twoCellAnchor>
  <xdr:twoCellAnchor editAs="oneCell">
    <xdr:from>
      <xdr:col>2</xdr:col>
      <xdr:colOff>576382</xdr:colOff>
      <xdr:row>0</xdr:row>
      <xdr:rowOff>175845</xdr:rowOff>
    </xdr:from>
    <xdr:to>
      <xdr:col>3</xdr:col>
      <xdr:colOff>371230</xdr:colOff>
      <xdr:row>3</xdr:row>
      <xdr:rowOff>19539</xdr:rowOff>
    </xdr:to>
    <xdr:pic>
      <xdr:nvPicPr>
        <xdr:cNvPr id="7" name="Picture 6">
          <a:hlinkClick xmlns:r="http://schemas.openxmlformats.org/officeDocument/2006/relationships" r:id="rId2"/>
          <a:extLst>
            <a:ext uri="{FF2B5EF4-FFF2-40B4-BE49-F238E27FC236}">
              <a16:creationId xmlns:a16="http://schemas.microsoft.com/office/drawing/2014/main" id="{38BFB1D4-39B0-4059-B503-13FBF3A6F9CB}"/>
            </a:ext>
          </a:extLst>
        </xdr:cNvPr>
        <xdr:cNvPicPr>
          <a:picLocks noChangeAspect="1"/>
        </xdr:cNvPicPr>
      </xdr:nvPicPr>
      <xdr:blipFill>
        <a:blip xmlns:r="http://schemas.openxmlformats.org/officeDocument/2006/relationships" r:embed="rId4"/>
        <a:stretch>
          <a:fillRect/>
        </a:stretch>
      </xdr:blipFill>
      <xdr:spPr>
        <a:xfrm flipH="1">
          <a:off x="1795582" y="175845"/>
          <a:ext cx="404448" cy="392334"/>
        </a:xfrm>
        <a:prstGeom prst="rect">
          <a:avLst/>
        </a:prstGeom>
      </xdr:spPr>
    </xdr:pic>
    <xdr:clientData/>
  </xdr:twoCellAnchor>
  <xdr:twoCellAnchor editAs="oneCell">
    <xdr:from>
      <xdr:col>5</xdr:col>
      <xdr:colOff>9768</xdr:colOff>
      <xdr:row>1</xdr:row>
      <xdr:rowOff>48847</xdr:rowOff>
    </xdr:from>
    <xdr:to>
      <xdr:col>5</xdr:col>
      <xdr:colOff>371230</xdr:colOff>
      <xdr:row>3</xdr:row>
      <xdr:rowOff>39078</xdr:rowOff>
    </xdr:to>
    <xdr:pic>
      <xdr:nvPicPr>
        <xdr:cNvPr id="8" name="Picture 7">
          <a:hlinkClick xmlns:r="http://schemas.openxmlformats.org/officeDocument/2006/relationships" r:id="rId3"/>
          <a:extLst>
            <a:ext uri="{FF2B5EF4-FFF2-40B4-BE49-F238E27FC236}">
              <a16:creationId xmlns:a16="http://schemas.microsoft.com/office/drawing/2014/main" id="{B878062A-4355-4D4E-B58F-AB448F437E50}"/>
            </a:ext>
          </a:extLst>
        </xdr:cNvPr>
        <xdr:cNvPicPr>
          <a:picLocks noChangeAspect="1"/>
        </xdr:cNvPicPr>
      </xdr:nvPicPr>
      <xdr:blipFill>
        <a:blip xmlns:r="http://schemas.openxmlformats.org/officeDocument/2006/relationships" r:embed="rId5"/>
        <a:stretch>
          <a:fillRect/>
        </a:stretch>
      </xdr:blipFill>
      <xdr:spPr>
        <a:xfrm>
          <a:off x="3057768" y="231727"/>
          <a:ext cx="361462" cy="355991"/>
        </a:xfrm>
        <a:prstGeom prst="rect">
          <a:avLst/>
        </a:prstGeom>
      </xdr:spPr>
    </xdr:pic>
    <xdr:clientData/>
  </xdr:twoCellAnchor>
  <xdr:twoCellAnchor editAs="oneCell">
    <xdr:from>
      <xdr:col>1</xdr:col>
      <xdr:colOff>107462</xdr:colOff>
      <xdr:row>1</xdr:row>
      <xdr:rowOff>29308</xdr:rowOff>
    </xdr:from>
    <xdr:to>
      <xdr:col>1</xdr:col>
      <xdr:colOff>449385</xdr:colOff>
      <xdr:row>3</xdr:row>
      <xdr:rowOff>0</xdr:rowOff>
    </xdr:to>
    <xdr:pic>
      <xdr:nvPicPr>
        <xdr:cNvPr id="9" name="Picture 8">
          <a:hlinkClick xmlns:r="http://schemas.openxmlformats.org/officeDocument/2006/relationships" r:id="rId1"/>
          <a:extLst>
            <a:ext uri="{FF2B5EF4-FFF2-40B4-BE49-F238E27FC236}">
              <a16:creationId xmlns:a16="http://schemas.microsoft.com/office/drawing/2014/main" id="{5CE93057-AE4B-4A71-ADC3-965F5591F501}"/>
            </a:ext>
          </a:extLst>
        </xdr:cNvPr>
        <xdr:cNvPicPr>
          <a:picLocks noChangeAspect="1"/>
        </xdr:cNvPicPr>
      </xdr:nvPicPr>
      <xdr:blipFill>
        <a:blip xmlns:r="http://schemas.openxmlformats.org/officeDocument/2006/relationships" r:embed="rId6"/>
        <a:stretch>
          <a:fillRect/>
        </a:stretch>
      </xdr:blipFill>
      <xdr:spPr>
        <a:xfrm>
          <a:off x="717062" y="212188"/>
          <a:ext cx="341923" cy="336452"/>
        </a:xfrm>
        <a:prstGeom prst="rect">
          <a:avLst/>
        </a:prstGeom>
      </xdr:spPr>
    </xdr:pic>
    <xdr:clientData/>
  </xdr:twoCellAnchor>
  <xdr:twoCellAnchor>
    <xdr:from>
      <xdr:col>0</xdr:col>
      <xdr:colOff>244232</xdr:colOff>
      <xdr:row>5</xdr:row>
      <xdr:rowOff>78153</xdr:rowOff>
    </xdr:from>
    <xdr:to>
      <xdr:col>3</xdr:col>
      <xdr:colOff>244230</xdr:colOff>
      <xdr:row>9</xdr:row>
      <xdr:rowOff>87923</xdr:rowOff>
    </xdr:to>
    <xdr:sp macro="" textlink="'Sales Table'!C120">
      <xdr:nvSpPr>
        <xdr:cNvPr id="10" name="Rectangle: Rounded Corners 9">
          <a:extLst>
            <a:ext uri="{FF2B5EF4-FFF2-40B4-BE49-F238E27FC236}">
              <a16:creationId xmlns:a16="http://schemas.microsoft.com/office/drawing/2014/main" id="{73B4FDD3-9045-45F2-84FE-DD9C302C2F3A}"/>
            </a:ext>
          </a:extLst>
        </xdr:cNvPr>
        <xdr:cNvSpPr/>
      </xdr:nvSpPr>
      <xdr:spPr>
        <a:xfrm>
          <a:off x="244232" y="992553"/>
          <a:ext cx="1828798" cy="7412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E5296B4-7F3D-46F5-B3F9-D27044FE4A34}" type="TxLink">
            <a:rPr lang="en-US" sz="2400" b="1" i="0" u="none" strike="noStrike">
              <a:solidFill>
                <a:srgbClr val="D7C039"/>
              </a:solidFill>
              <a:latin typeface="Calibri"/>
              <a:cs typeface="Calibri"/>
            </a:rPr>
            <a:t>₹ 97,77,693</a:t>
          </a:fld>
          <a:endParaRPr lang="en-US" sz="2400" b="1">
            <a:solidFill>
              <a:srgbClr val="D7C039"/>
            </a:solidFill>
          </a:endParaRPr>
        </a:p>
      </xdr:txBody>
    </xdr:sp>
    <xdr:clientData/>
  </xdr:twoCellAnchor>
  <xdr:twoCellAnchor>
    <xdr:from>
      <xdr:col>0</xdr:col>
      <xdr:colOff>420079</xdr:colOff>
      <xdr:row>8</xdr:row>
      <xdr:rowOff>19539</xdr:rowOff>
    </xdr:from>
    <xdr:to>
      <xdr:col>3</xdr:col>
      <xdr:colOff>58616</xdr:colOff>
      <xdr:row>8</xdr:row>
      <xdr:rowOff>175847</xdr:rowOff>
    </xdr:to>
    <xdr:sp macro="" textlink="">
      <xdr:nvSpPr>
        <xdr:cNvPr id="11" name="TextBox 10">
          <a:extLst>
            <a:ext uri="{FF2B5EF4-FFF2-40B4-BE49-F238E27FC236}">
              <a16:creationId xmlns:a16="http://schemas.microsoft.com/office/drawing/2014/main" id="{6FA91A3F-886F-4FAB-A99B-3EEB9B3D8EC9}"/>
            </a:ext>
          </a:extLst>
        </xdr:cNvPr>
        <xdr:cNvSpPr txBox="1"/>
      </xdr:nvSpPr>
      <xdr:spPr>
        <a:xfrm>
          <a:off x="420079" y="1482579"/>
          <a:ext cx="1467337" cy="156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Total</a:t>
          </a:r>
          <a:r>
            <a:rPr lang="en-IN" sz="1600" b="1" baseline="0">
              <a:solidFill>
                <a:srgbClr val="D7C039"/>
              </a:solidFill>
            </a:rPr>
            <a:t> </a:t>
          </a:r>
          <a:r>
            <a:rPr lang="en-US" sz="1600" b="1" baseline="0">
              <a:solidFill>
                <a:srgbClr val="D7C039"/>
              </a:solidFill>
            </a:rPr>
            <a:t>Sales </a:t>
          </a:r>
          <a:endParaRPr lang="en-IN" sz="1600" b="1">
            <a:solidFill>
              <a:srgbClr val="D7C039"/>
            </a:solidFill>
          </a:endParaRPr>
        </a:p>
      </xdr:txBody>
    </xdr:sp>
    <xdr:clientData/>
  </xdr:twoCellAnchor>
  <xdr:twoCellAnchor editAs="oneCell">
    <xdr:from>
      <xdr:col>12</xdr:col>
      <xdr:colOff>302846</xdr:colOff>
      <xdr:row>0</xdr:row>
      <xdr:rowOff>127000</xdr:rowOff>
    </xdr:from>
    <xdr:to>
      <xdr:col>19</xdr:col>
      <xdr:colOff>498231</xdr:colOff>
      <xdr:row>5</xdr:row>
      <xdr:rowOff>126999</xdr:rowOff>
    </xdr:to>
    <mc:AlternateContent xmlns:mc="http://schemas.openxmlformats.org/markup-compatibility/2006" xmlns:a14="http://schemas.microsoft.com/office/drawing/2010/main">
      <mc:Choice Requires="a14">
        <xdr:graphicFrame macro="">
          <xdr:nvGraphicFramePr>
            <xdr:cNvPr id="12" name="Months (Sales Date) 1">
              <a:extLst>
                <a:ext uri="{FF2B5EF4-FFF2-40B4-BE49-F238E27FC236}">
                  <a16:creationId xmlns:a16="http://schemas.microsoft.com/office/drawing/2014/main" id="{1A6F06F1-F73C-402B-9692-AA5B9F27ABA7}"/>
                </a:ext>
              </a:extLst>
            </xdr:cNvPr>
            <xdr:cNvGraphicFramePr/>
          </xdr:nvGraphicFramePr>
          <xdr:xfrm>
            <a:off x="0" y="0"/>
            <a:ext cx="0" cy="0"/>
          </xdr:xfrm>
          <a:graphic>
            <a:graphicData uri="http://schemas.microsoft.com/office/drawing/2010/slicer">
              <sle:slicer xmlns:sle="http://schemas.microsoft.com/office/drawing/2010/slicer" name="Months (Sales Date) 1"/>
            </a:graphicData>
          </a:graphic>
        </xdr:graphicFrame>
      </mc:Choice>
      <mc:Fallback xmlns="">
        <xdr:sp macro="" textlink="">
          <xdr:nvSpPr>
            <xdr:cNvPr id="0" name=""/>
            <xdr:cNvSpPr>
              <a:spLocks noTextEdit="1"/>
            </xdr:cNvSpPr>
          </xdr:nvSpPr>
          <xdr:spPr>
            <a:xfrm>
              <a:off x="7643804" y="127000"/>
              <a:ext cx="4477610" cy="912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537306</xdr:colOff>
      <xdr:row>5</xdr:row>
      <xdr:rowOff>58615</xdr:rowOff>
    </xdr:from>
    <xdr:to>
      <xdr:col>6</xdr:col>
      <xdr:colOff>537304</xdr:colOff>
      <xdr:row>9</xdr:row>
      <xdr:rowOff>68385</xdr:rowOff>
    </xdr:to>
    <xdr:sp macro="" textlink="'Sales Table'!C141">
      <xdr:nvSpPr>
        <xdr:cNvPr id="13" name="Rectangle: Rounded Corners 12">
          <a:extLst>
            <a:ext uri="{FF2B5EF4-FFF2-40B4-BE49-F238E27FC236}">
              <a16:creationId xmlns:a16="http://schemas.microsoft.com/office/drawing/2014/main" id="{FDCA1BC5-4932-4BCE-BC4E-A9A8395241AC}"/>
            </a:ext>
          </a:extLst>
        </xdr:cNvPr>
        <xdr:cNvSpPr/>
      </xdr:nvSpPr>
      <xdr:spPr>
        <a:xfrm>
          <a:off x="2366106" y="973015"/>
          <a:ext cx="1828798" cy="7412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1D4367-5139-42C4-9D7C-ACF4B23F52FD}" type="TxLink">
            <a:rPr lang="en-US" sz="2400" b="1" i="0" u="none" strike="noStrike">
              <a:solidFill>
                <a:srgbClr val="D7C039"/>
              </a:solidFill>
              <a:latin typeface="Calibri"/>
              <a:cs typeface="Calibri"/>
            </a:rPr>
            <a:t>998</a:t>
          </a:fld>
          <a:endParaRPr lang="en-US" sz="2400" b="1" i="0" u="none" strike="noStrike">
            <a:solidFill>
              <a:srgbClr val="D7C039"/>
            </a:solidFill>
            <a:latin typeface="Calibri"/>
            <a:cs typeface="Calibri"/>
          </a:endParaRPr>
        </a:p>
      </xdr:txBody>
    </xdr:sp>
    <xdr:clientData/>
  </xdr:twoCellAnchor>
  <xdr:twoCellAnchor>
    <xdr:from>
      <xdr:col>7</xdr:col>
      <xdr:colOff>293077</xdr:colOff>
      <xdr:row>5</xdr:row>
      <xdr:rowOff>48846</xdr:rowOff>
    </xdr:from>
    <xdr:to>
      <xdr:col>10</xdr:col>
      <xdr:colOff>293075</xdr:colOff>
      <xdr:row>9</xdr:row>
      <xdr:rowOff>58616</xdr:rowOff>
    </xdr:to>
    <xdr:sp macro="" textlink="'Sales Table'!C158">
      <xdr:nvSpPr>
        <xdr:cNvPr id="14" name="Rectangle: Rounded Corners 13">
          <a:extLst>
            <a:ext uri="{FF2B5EF4-FFF2-40B4-BE49-F238E27FC236}">
              <a16:creationId xmlns:a16="http://schemas.microsoft.com/office/drawing/2014/main" id="{6A5A76B9-C114-4A9E-8B1F-A83BAF4ED170}"/>
            </a:ext>
          </a:extLst>
        </xdr:cNvPr>
        <xdr:cNvSpPr/>
      </xdr:nvSpPr>
      <xdr:spPr>
        <a:xfrm>
          <a:off x="4575302" y="961100"/>
          <a:ext cx="1835238" cy="73957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2113FC-70F6-471C-89AF-74C5C8862D83}" type="TxLink">
            <a:rPr lang="en-US" sz="2400" b="1" i="0" u="none" strike="noStrike">
              <a:solidFill>
                <a:srgbClr val="D7C039"/>
              </a:solidFill>
              <a:latin typeface="Calibri"/>
              <a:cs typeface="Calibri"/>
            </a:rPr>
            <a:t>₹ 68,53,561</a:t>
          </a:fld>
          <a:endParaRPr lang="en-US" sz="2400" b="1">
            <a:solidFill>
              <a:srgbClr val="D7C039"/>
            </a:solidFill>
          </a:endParaRPr>
        </a:p>
      </xdr:txBody>
    </xdr:sp>
    <xdr:clientData/>
  </xdr:twoCellAnchor>
  <xdr:twoCellAnchor>
    <xdr:from>
      <xdr:col>10</xdr:col>
      <xdr:colOff>508000</xdr:colOff>
      <xdr:row>5</xdr:row>
      <xdr:rowOff>29308</xdr:rowOff>
    </xdr:from>
    <xdr:to>
      <xdr:col>13</xdr:col>
      <xdr:colOff>507998</xdr:colOff>
      <xdr:row>9</xdr:row>
      <xdr:rowOff>39078</xdr:rowOff>
    </xdr:to>
    <xdr:sp macro="" textlink="'Sales Table'!C176">
      <xdr:nvSpPr>
        <xdr:cNvPr id="15" name="Rectangle: Rounded Corners 14">
          <a:extLst>
            <a:ext uri="{FF2B5EF4-FFF2-40B4-BE49-F238E27FC236}">
              <a16:creationId xmlns:a16="http://schemas.microsoft.com/office/drawing/2014/main" id="{75F8F454-6330-45FE-84A4-D8452C6EEAB9}"/>
            </a:ext>
          </a:extLst>
        </xdr:cNvPr>
        <xdr:cNvSpPr/>
      </xdr:nvSpPr>
      <xdr:spPr>
        <a:xfrm>
          <a:off x="6604000" y="943708"/>
          <a:ext cx="1828798" cy="7412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5F0734-4D97-46FE-BDC6-DC3A0695C61D}" type="TxLink">
            <a:rPr lang="en-US" sz="2400" b="1" i="0" u="none" strike="noStrike">
              <a:solidFill>
                <a:srgbClr val="D7C039"/>
              </a:solidFill>
              <a:latin typeface="Calibri"/>
              <a:cs typeface="Calibri"/>
            </a:rPr>
            <a:t>₹ 9,797</a:t>
          </a:fld>
          <a:endParaRPr lang="en-US" sz="2400" b="1">
            <a:solidFill>
              <a:srgbClr val="D7C039"/>
            </a:solidFill>
          </a:endParaRPr>
        </a:p>
      </xdr:txBody>
    </xdr:sp>
    <xdr:clientData/>
  </xdr:twoCellAnchor>
  <xdr:twoCellAnchor>
    <xdr:from>
      <xdr:col>3</xdr:col>
      <xdr:colOff>493690</xdr:colOff>
      <xdr:row>7</xdr:row>
      <xdr:rowOff>171718</xdr:rowOff>
    </xdr:from>
    <xdr:to>
      <xdr:col>6</xdr:col>
      <xdr:colOff>504422</xdr:colOff>
      <xdr:row>9</xdr:row>
      <xdr:rowOff>42929</xdr:rowOff>
    </xdr:to>
    <xdr:sp macro="" textlink="">
      <xdr:nvSpPr>
        <xdr:cNvPr id="16" name="TextBox 15">
          <a:extLst>
            <a:ext uri="{FF2B5EF4-FFF2-40B4-BE49-F238E27FC236}">
              <a16:creationId xmlns:a16="http://schemas.microsoft.com/office/drawing/2014/main" id="{36374FE1-CC00-4F85-85FF-8C6420719F63}"/>
            </a:ext>
          </a:extLst>
        </xdr:cNvPr>
        <xdr:cNvSpPr txBox="1"/>
      </xdr:nvSpPr>
      <xdr:spPr>
        <a:xfrm>
          <a:off x="2328929" y="1448873"/>
          <a:ext cx="1845972" cy="236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Total</a:t>
          </a:r>
          <a:r>
            <a:rPr lang="en-IN" sz="1600" b="1" baseline="0">
              <a:solidFill>
                <a:srgbClr val="D7C039"/>
              </a:solidFill>
            </a:rPr>
            <a:t> </a:t>
          </a:r>
          <a:r>
            <a:rPr lang="en-US" sz="1600" b="1" baseline="0">
              <a:solidFill>
                <a:srgbClr val="D7C039"/>
              </a:solidFill>
            </a:rPr>
            <a:t>Sales Count</a:t>
          </a:r>
          <a:endParaRPr lang="en-IN" sz="1600" b="1">
            <a:solidFill>
              <a:srgbClr val="D7C039"/>
            </a:solidFill>
          </a:endParaRPr>
        </a:p>
      </xdr:txBody>
    </xdr:sp>
    <xdr:clientData/>
  </xdr:twoCellAnchor>
  <xdr:twoCellAnchor>
    <xdr:from>
      <xdr:col>7</xdr:col>
      <xdr:colOff>425167</xdr:colOff>
      <xdr:row>7</xdr:row>
      <xdr:rowOff>160023</xdr:rowOff>
    </xdr:from>
    <xdr:to>
      <xdr:col>10</xdr:col>
      <xdr:colOff>85858</xdr:colOff>
      <xdr:row>8</xdr:row>
      <xdr:rowOff>150253</xdr:rowOff>
    </xdr:to>
    <xdr:sp macro="" textlink="">
      <xdr:nvSpPr>
        <xdr:cNvPr id="17" name="TextBox 16">
          <a:extLst>
            <a:ext uri="{FF2B5EF4-FFF2-40B4-BE49-F238E27FC236}">
              <a16:creationId xmlns:a16="http://schemas.microsoft.com/office/drawing/2014/main" id="{828E5970-C513-47CA-B46F-3BFF67A6EABA}"/>
            </a:ext>
          </a:extLst>
        </xdr:cNvPr>
        <xdr:cNvSpPr txBox="1"/>
      </xdr:nvSpPr>
      <xdr:spPr>
        <a:xfrm>
          <a:off x="4707392" y="1437178"/>
          <a:ext cx="1495931" cy="172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D7C039"/>
              </a:solidFill>
            </a:rPr>
            <a:t>Total Expenses </a:t>
          </a:r>
          <a:endParaRPr lang="en-IN" sz="1600" b="1">
            <a:solidFill>
              <a:srgbClr val="D7C039"/>
            </a:solidFill>
          </a:endParaRPr>
        </a:p>
      </xdr:txBody>
    </xdr:sp>
    <xdr:clientData/>
  </xdr:twoCellAnchor>
  <xdr:twoCellAnchor>
    <xdr:from>
      <xdr:col>11</xdr:col>
      <xdr:colOff>78291</xdr:colOff>
      <xdr:row>7</xdr:row>
      <xdr:rowOff>139522</xdr:rowOff>
    </xdr:from>
    <xdr:to>
      <xdr:col>13</xdr:col>
      <xdr:colOff>279041</xdr:colOff>
      <xdr:row>9</xdr:row>
      <xdr:rowOff>10733</xdr:rowOff>
    </xdr:to>
    <xdr:sp macro="" textlink="">
      <xdr:nvSpPr>
        <xdr:cNvPr id="18" name="TextBox 17">
          <a:extLst>
            <a:ext uri="{FF2B5EF4-FFF2-40B4-BE49-F238E27FC236}">
              <a16:creationId xmlns:a16="http://schemas.microsoft.com/office/drawing/2014/main" id="{D0471024-606F-4F1B-9523-8F1D2D4F9C97}"/>
            </a:ext>
          </a:extLst>
        </xdr:cNvPr>
        <xdr:cNvSpPr txBox="1"/>
      </xdr:nvSpPr>
      <xdr:spPr>
        <a:xfrm>
          <a:off x="6807502" y="1416677"/>
          <a:ext cx="1424243" cy="236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Avreage</a:t>
          </a:r>
          <a:r>
            <a:rPr lang="en-IN" sz="1600" b="1" baseline="0">
              <a:solidFill>
                <a:srgbClr val="D7C039"/>
              </a:solidFill>
            </a:rPr>
            <a:t> </a:t>
          </a:r>
          <a:r>
            <a:rPr lang="en-US" sz="1600" b="1" baseline="0">
              <a:solidFill>
                <a:srgbClr val="D7C039"/>
              </a:solidFill>
            </a:rPr>
            <a:t>Sales </a:t>
          </a:r>
          <a:endParaRPr lang="en-IN" sz="1600" b="1">
            <a:solidFill>
              <a:srgbClr val="D7C039"/>
            </a:solidFill>
          </a:endParaRPr>
        </a:p>
      </xdr:txBody>
    </xdr:sp>
    <xdr:clientData/>
  </xdr:twoCellAnchor>
  <xdr:twoCellAnchor editAs="oneCell">
    <xdr:from>
      <xdr:col>16</xdr:col>
      <xdr:colOff>445532</xdr:colOff>
      <xdr:row>5</xdr:row>
      <xdr:rowOff>107323</xdr:rowOff>
    </xdr:from>
    <xdr:to>
      <xdr:col>19</xdr:col>
      <xdr:colOff>457255</xdr:colOff>
      <xdr:row>20</xdr:row>
      <xdr:rowOff>133743</xdr:rowOff>
    </xdr:to>
    <mc:AlternateContent xmlns:mc="http://schemas.openxmlformats.org/markup-compatibility/2006" xmlns:a14="http://schemas.microsoft.com/office/drawing/2010/main">
      <mc:Choice Requires="a14">
        <xdr:graphicFrame macro="">
          <xdr:nvGraphicFramePr>
            <xdr:cNvPr id="19" name="City 2">
              <a:extLst>
                <a:ext uri="{FF2B5EF4-FFF2-40B4-BE49-F238E27FC236}">
                  <a16:creationId xmlns:a16="http://schemas.microsoft.com/office/drawing/2014/main" id="{C16C057C-C903-47D7-B42A-8390D7E09E38}"/>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0233476" y="1019577"/>
              <a:ext cx="1846962" cy="276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429296</xdr:colOff>
      <xdr:row>20</xdr:row>
      <xdr:rowOff>58615</xdr:rowOff>
    </xdr:from>
    <xdr:to>
      <xdr:col>19</xdr:col>
      <xdr:colOff>246844</xdr:colOff>
      <xdr:row>34</xdr:row>
      <xdr:rowOff>0</xdr:rowOff>
    </xdr:to>
    <xdr:sp macro="" textlink="">
      <xdr:nvSpPr>
        <xdr:cNvPr id="20" name="Rectangle: Rounded Corners 19">
          <a:extLst>
            <a:ext uri="{FF2B5EF4-FFF2-40B4-BE49-F238E27FC236}">
              <a16:creationId xmlns:a16="http://schemas.microsoft.com/office/drawing/2014/main" id="{E9873950-3204-4623-8A32-4D9AB382F36A}"/>
            </a:ext>
          </a:extLst>
        </xdr:cNvPr>
        <xdr:cNvSpPr/>
      </xdr:nvSpPr>
      <xdr:spPr>
        <a:xfrm>
          <a:off x="5306096" y="3716215"/>
          <a:ext cx="6523148" cy="25017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9</xdr:col>
      <xdr:colOff>10733</xdr:colOff>
      <xdr:row>9</xdr:row>
      <xdr:rowOff>118058</xdr:rowOff>
    </xdr:from>
    <xdr:to>
      <xdr:col>16</xdr:col>
      <xdr:colOff>407828</xdr:colOff>
      <xdr:row>19</xdr:row>
      <xdr:rowOff>113105</xdr:rowOff>
    </xdr:to>
    <xdr:sp macro="" textlink="">
      <xdr:nvSpPr>
        <xdr:cNvPr id="21" name="Rectangle: Rounded Corners 20">
          <a:extLst>
            <a:ext uri="{FF2B5EF4-FFF2-40B4-BE49-F238E27FC236}">
              <a16:creationId xmlns:a16="http://schemas.microsoft.com/office/drawing/2014/main" id="{F41C7F1A-CE5F-4E39-9EE3-329C0DB419F4}"/>
            </a:ext>
          </a:extLst>
        </xdr:cNvPr>
        <xdr:cNvSpPr/>
      </xdr:nvSpPr>
      <xdr:spPr>
        <a:xfrm>
          <a:off x="5497133" y="1763978"/>
          <a:ext cx="4664295" cy="182384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0</xdr:col>
      <xdr:colOff>150255</xdr:colOff>
      <xdr:row>10</xdr:row>
      <xdr:rowOff>21466</xdr:rowOff>
    </xdr:from>
    <xdr:to>
      <xdr:col>8</xdr:col>
      <xdr:colOff>268310</xdr:colOff>
      <xdr:row>34</xdr:row>
      <xdr:rowOff>10733</xdr:rowOff>
    </xdr:to>
    <xdr:sp macro="" textlink="">
      <xdr:nvSpPr>
        <xdr:cNvPr id="22" name="Rectangle: Rounded Corners 21">
          <a:extLst>
            <a:ext uri="{FF2B5EF4-FFF2-40B4-BE49-F238E27FC236}">
              <a16:creationId xmlns:a16="http://schemas.microsoft.com/office/drawing/2014/main" id="{7FC661E0-6376-4E04-A9B7-D0AA9474BDC8}"/>
            </a:ext>
          </a:extLst>
        </xdr:cNvPr>
        <xdr:cNvSpPr/>
      </xdr:nvSpPr>
      <xdr:spPr>
        <a:xfrm>
          <a:off x="150255" y="1845973"/>
          <a:ext cx="5012027" cy="43680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8</xdr:col>
      <xdr:colOff>568817</xdr:colOff>
      <xdr:row>20</xdr:row>
      <xdr:rowOff>131596</xdr:rowOff>
    </xdr:from>
    <xdr:to>
      <xdr:col>19</xdr:col>
      <xdr:colOff>107323</xdr:colOff>
      <xdr:row>33</xdr:row>
      <xdr:rowOff>139521</xdr:rowOff>
    </xdr:to>
    <xdr:graphicFrame macro="">
      <xdr:nvGraphicFramePr>
        <xdr:cNvPr id="27" name="Chart 26">
          <a:extLst>
            <a:ext uri="{FF2B5EF4-FFF2-40B4-BE49-F238E27FC236}">
              <a16:creationId xmlns:a16="http://schemas.microsoft.com/office/drawing/2014/main" id="{1E66886C-D5C1-470C-B361-E55979AA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150255</xdr:colOff>
      <xdr:row>10</xdr:row>
      <xdr:rowOff>21465</xdr:rowOff>
    </xdr:from>
    <xdr:to>
      <xdr:col>8</xdr:col>
      <xdr:colOff>193183</xdr:colOff>
      <xdr:row>33</xdr:row>
      <xdr:rowOff>128788</xdr:rowOff>
    </xdr:to>
    <xdr:graphicFrame macro="">
      <xdr:nvGraphicFramePr>
        <xdr:cNvPr id="29" name="Chart 28">
          <a:extLst>
            <a:ext uri="{FF2B5EF4-FFF2-40B4-BE49-F238E27FC236}">
              <a16:creationId xmlns:a16="http://schemas.microsoft.com/office/drawing/2014/main" id="{9F2618C6-B3A5-4C86-9D57-9E3A21F42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603160</xdr:colOff>
      <xdr:row>10</xdr:row>
      <xdr:rowOff>21465</xdr:rowOff>
    </xdr:from>
    <xdr:to>
      <xdr:col>16</xdr:col>
      <xdr:colOff>386365</xdr:colOff>
      <xdr:row>19</xdr:row>
      <xdr:rowOff>32198</xdr:rowOff>
    </xdr:to>
    <xdr:graphicFrame macro="">
      <xdr:nvGraphicFramePr>
        <xdr:cNvPr id="30" name="Chart 29">
          <a:extLst>
            <a:ext uri="{FF2B5EF4-FFF2-40B4-BE49-F238E27FC236}">
              <a16:creationId xmlns:a16="http://schemas.microsoft.com/office/drawing/2014/main" id="{6F1ADCCF-A959-4F02-BD50-794D03800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459154</xdr:colOff>
      <xdr:row>34</xdr:row>
      <xdr:rowOff>156308</xdr:rowOff>
    </xdr:to>
    <xdr:sp macro="" textlink="">
      <xdr:nvSpPr>
        <xdr:cNvPr id="2" name="Rectangle 1">
          <a:extLst>
            <a:ext uri="{FF2B5EF4-FFF2-40B4-BE49-F238E27FC236}">
              <a16:creationId xmlns:a16="http://schemas.microsoft.com/office/drawing/2014/main" id="{08DCF4BE-603A-4BA1-9214-5709E86A9B0B}"/>
            </a:ext>
          </a:extLst>
        </xdr:cNvPr>
        <xdr:cNvSpPr/>
      </xdr:nvSpPr>
      <xdr:spPr>
        <a:xfrm>
          <a:off x="0" y="0"/>
          <a:ext cx="12041554" cy="6374228"/>
        </a:xfrm>
        <a:prstGeom prst="rect">
          <a:avLst/>
        </a:prstGeom>
        <a:solidFill>
          <a:srgbClr val="EBE0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332154</xdr:colOff>
      <xdr:row>0</xdr:row>
      <xdr:rowOff>87922</xdr:rowOff>
    </xdr:from>
    <xdr:to>
      <xdr:col>11</xdr:col>
      <xdr:colOff>449385</xdr:colOff>
      <xdr:row>3</xdr:row>
      <xdr:rowOff>166075</xdr:rowOff>
    </xdr:to>
    <xdr:sp macro="" textlink="">
      <xdr:nvSpPr>
        <xdr:cNvPr id="3" name="Rectangle: Diagonal Corners Rounded 2">
          <a:extLst>
            <a:ext uri="{FF2B5EF4-FFF2-40B4-BE49-F238E27FC236}">
              <a16:creationId xmlns:a16="http://schemas.microsoft.com/office/drawing/2014/main" id="{92D5C3DE-5198-4A69-8019-E2E4FCA59753}"/>
            </a:ext>
          </a:extLst>
        </xdr:cNvPr>
        <xdr:cNvSpPr/>
      </xdr:nvSpPr>
      <xdr:spPr>
        <a:xfrm>
          <a:off x="4599354" y="87922"/>
          <a:ext cx="2555631" cy="626793"/>
        </a:xfrm>
        <a:prstGeom prst="round2DiagRect">
          <a:avLst/>
        </a:prstGeom>
        <a:solidFill>
          <a:srgbClr val="D7C03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Stocks </a:t>
          </a:r>
          <a:endParaRPr lang="en-IN" sz="3600" b="1"/>
        </a:p>
      </xdr:txBody>
    </xdr:sp>
    <xdr:clientData/>
  </xdr:twoCellAnchor>
  <xdr:twoCellAnchor>
    <xdr:from>
      <xdr:col>0</xdr:col>
      <xdr:colOff>380999</xdr:colOff>
      <xdr:row>0</xdr:row>
      <xdr:rowOff>136768</xdr:rowOff>
    </xdr:from>
    <xdr:to>
      <xdr:col>2</xdr:col>
      <xdr:colOff>107461</xdr:colOff>
      <xdr:row>3</xdr:row>
      <xdr:rowOff>146537</xdr:rowOff>
    </xdr:to>
    <xdr:sp macro="" textlink="">
      <xdr:nvSpPr>
        <xdr:cNvPr id="4" name="Oval 3">
          <a:hlinkClick xmlns:r="http://schemas.openxmlformats.org/officeDocument/2006/relationships" r:id="rId1"/>
          <a:extLst>
            <a:ext uri="{FF2B5EF4-FFF2-40B4-BE49-F238E27FC236}">
              <a16:creationId xmlns:a16="http://schemas.microsoft.com/office/drawing/2014/main" id="{013AAE3D-B9A8-4E9B-9919-C5AF584845B9}"/>
            </a:ext>
          </a:extLst>
        </xdr:cNvPr>
        <xdr:cNvSpPr/>
      </xdr:nvSpPr>
      <xdr:spPr>
        <a:xfrm>
          <a:off x="380999" y="136768"/>
          <a:ext cx="945662" cy="558409"/>
        </a:xfrm>
        <a:prstGeom prst="ellipse">
          <a:avLst/>
        </a:prstGeom>
        <a:solidFill>
          <a:srgbClr val="D7C0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322384</xdr:colOff>
      <xdr:row>0</xdr:row>
      <xdr:rowOff>127000</xdr:rowOff>
    </xdr:from>
    <xdr:to>
      <xdr:col>4</xdr:col>
      <xdr:colOff>48847</xdr:colOff>
      <xdr:row>3</xdr:row>
      <xdr:rowOff>136769</xdr:rowOff>
    </xdr:to>
    <xdr:sp macro="" textlink="">
      <xdr:nvSpPr>
        <xdr:cNvPr id="5" name="Oval 4">
          <a:hlinkClick xmlns:r="http://schemas.openxmlformats.org/officeDocument/2006/relationships" r:id="rId2"/>
          <a:extLst>
            <a:ext uri="{FF2B5EF4-FFF2-40B4-BE49-F238E27FC236}">
              <a16:creationId xmlns:a16="http://schemas.microsoft.com/office/drawing/2014/main" id="{0EEAEEE2-6483-49E0-9009-1BCB21D7602F}"/>
            </a:ext>
          </a:extLst>
        </xdr:cNvPr>
        <xdr:cNvSpPr/>
      </xdr:nvSpPr>
      <xdr:spPr>
        <a:xfrm>
          <a:off x="1541584" y="127000"/>
          <a:ext cx="945663" cy="558409"/>
        </a:xfrm>
        <a:prstGeom prst="ellipse">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322385</xdr:colOff>
      <xdr:row>0</xdr:row>
      <xdr:rowOff>146538</xdr:rowOff>
    </xdr:from>
    <xdr:to>
      <xdr:col>6</xdr:col>
      <xdr:colOff>48847</xdr:colOff>
      <xdr:row>3</xdr:row>
      <xdr:rowOff>156307</xdr:rowOff>
    </xdr:to>
    <xdr:sp macro="" textlink="">
      <xdr:nvSpPr>
        <xdr:cNvPr id="6" name="Oval 5">
          <a:hlinkClick xmlns:r="http://schemas.openxmlformats.org/officeDocument/2006/relationships" r:id="rId3"/>
          <a:extLst>
            <a:ext uri="{FF2B5EF4-FFF2-40B4-BE49-F238E27FC236}">
              <a16:creationId xmlns:a16="http://schemas.microsoft.com/office/drawing/2014/main" id="{8D362E42-A065-4151-B31E-D425F5DA53D7}"/>
            </a:ext>
          </a:extLst>
        </xdr:cNvPr>
        <xdr:cNvSpPr/>
      </xdr:nvSpPr>
      <xdr:spPr>
        <a:xfrm>
          <a:off x="2760785" y="146538"/>
          <a:ext cx="945662" cy="558409"/>
        </a:xfrm>
        <a:prstGeom prst="ellipse">
          <a:avLst/>
        </a:prstGeom>
        <a:solidFill>
          <a:srgbClr val="D7C0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D7C039"/>
            </a:solidFill>
          </a:endParaRPr>
        </a:p>
      </xdr:txBody>
    </xdr:sp>
    <xdr:clientData/>
  </xdr:twoCellAnchor>
  <xdr:twoCellAnchor editAs="oneCell">
    <xdr:from>
      <xdr:col>2</xdr:col>
      <xdr:colOff>576382</xdr:colOff>
      <xdr:row>0</xdr:row>
      <xdr:rowOff>175845</xdr:rowOff>
    </xdr:from>
    <xdr:to>
      <xdr:col>3</xdr:col>
      <xdr:colOff>371230</xdr:colOff>
      <xdr:row>3</xdr:row>
      <xdr:rowOff>19539</xdr:rowOff>
    </xdr:to>
    <xdr:pic>
      <xdr:nvPicPr>
        <xdr:cNvPr id="7" name="Picture 6">
          <a:hlinkClick xmlns:r="http://schemas.openxmlformats.org/officeDocument/2006/relationships" r:id="rId2"/>
          <a:extLst>
            <a:ext uri="{FF2B5EF4-FFF2-40B4-BE49-F238E27FC236}">
              <a16:creationId xmlns:a16="http://schemas.microsoft.com/office/drawing/2014/main" id="{45313905-6D40-4200-BA42-3A30EE390763}"/>
            </a:ext>
          </a:extLst>
        </xdr:cNvPr>
        <xdr:cNvPicPr>
          <a:picLocks noChangeAspect="1"/>
        </xdr:cNvPicPr>
      </xdr:nvPicPr>
      <xdr:blipFill>
        <a:blip xmlns:r="http://schemas.openxmlformats.org/officeDocument/2006/relationships" r:embed="rId4"/>
        <a:stretch>
          <a:fillRect/>
        </a:stretch>
      </xdr:blipFill>
      <xdr:spPr>
        <a:xfrm flipH="1">
          <a:off x="1795582" y="175845"/>
          <a:ext cx="404448" cy="392334"/>
        </a:xfrm>
        <a:prstGeom prst="rect">
          <a:avLst/>
        </a:prstGeom>
      </xdr:spPr>
    </xdr:pic>
    <xdr:clientData/>
  </xdr:twoCellAnchor>
  <xdr:twoCellAnchor editAs="oneCell">
    <xdr:from>
      <xdr:col>5</xdr:col>
      <xdr:colOff>9768</xdr:colOff>
      <xdr:row>1</xdr:row>
      <xdr:rowOff>48847</xdr:rowOff>
    </xdr:from>
    <xdr:to>
      <xdr:col>5</xdr:col>
      <xdr:colOff>371230</xdr:colOff>
      <xdr:row>3</xdr:row>
      <xdr:rowOff>39078</xdr:rowOff>
    </xdr:to>
    <xdr:pic>
      <xdr:nvPicPr>
        <xdr:cNvPr id="8" name="Picture 7">
          <a:hlinkClick xmlns:r="http://schemas.openxmlformats.org/officeDocument/2006/relationships" r:id="rId3"/>
          <a:extLst>
            <a:ext uri="{FF2B5EF4-FFF2-40B4-BE49-F238E27FC236}">
              <a16:creationId xmlns:a16="http://schemas.microsoft.com/office/drawing/2014/main" id="{2ADC2F13-9284-49CB-9446-9A1493AE72C5}"/>
            </a:ext>
          </a:extLst>
        </xdr:cNvPr>
        <xdr:cNvPicPr>
          <a:picLocks noChangeAspect="1"/>
        </xdr:cNvPicPr>
      </xdr:nvPicPr>
      <xdr:blipFill>
        <a:blip xmlns:r="http://schemas.openxmlformats.org/officeDocument/2006/relationships" r:embed="rId5"/>
        <a:stretch>
          <a:fillRect/>
        </a:stretch>
      </xdr:blipFill>
      <xdr:spPr>
        <a:xfrm>
          <a:off x="3057768" y="231727"/>
          <a:ext cx="361462" cy="355991"/>
        </a:xfrm>
        <a:prstGeom prst="rect">
          <a:avLst/>
        </a:prstGeom>
      </xdr:spPr>
    </xdr:pic>
    <xdr:clientData/>
  </xdr:twoCellAnchor>
  <xdr:twoCellAnchor editAs="oneCell">
    <xdr:from>
      <xdr:col>1</xdr:col>
      <xdr:colOff>107462</xdr:colOff>
      <xdr:row>1</xdr:row>
      <xdr:rowOff>29308</xdr:rowOff>
    </xdr:from>
    <xdr:to>
      <xdr:col>1</xdr:col>
      <xdr:colOff>449385</xdr:colOff>
      <xdr:row>3</xdr:row>
      <xdr:rowOff>0</xdr:rowOff>
    </xdr:to>
    <xdr:pic>
      <xdr:nvPicPr>
        <xdr:cNvPr id="9" name="Picture 8">
          <a:hlinkClick xmlns:r="http://schemas.openxmlformats.org/officeDocument/2006/relationships" r:id="rId1"/>
          <a:extLst>
            <a:ext uri="{FF2B5EF4-FFF2-40B4-BE49-F238E27FC236}">
              <a16:creationId xmlns:a16="http://schemas.microsoft.com/office/drawing/2014/main" id="{036E75C1-4C41-4A91-B1EF-C9D041DDF1C5}"/>
            </a:ext>
          </a:extLst>
        </xdr:cNvPr>
        <xdr:cNvPicPr>
          <a:picLocks noChangeAspect="1"/>
        </xdr:cNvPicPr>
      </xdr:nvPicPr>
      <xdr:blipFill>
        <a:blip xmlns:r="http://schemas.openxmlformats.org/officeDocument/2006/relationships" r:embed="rId6"/>
        <a:stretch>
          <a:fillRect/>
        </a:stretch>
      </xdr:blipFill>
      <xdr:spPr>
        <a:xfrm>
          <a:off x="717062" y="212188"/>
          <a:ext cx="341923" cy="336452"/>
        </a:xfrm>
        <a:prstGeom prst="rect">
          <a:avLst/>
        </a:prstGeom>
      </xdr:spPr>
    </xdr:pic>
    <xdr:clientData/>
  </xdr:twoCellAnchor>
  <xdr:twoCellAnchor>
    <xdr:from>
      <xdr:col>0</xdr:col>
      <xdr:colOff>244232</xdr:colOff>
      <xdr:row>5</xdr:row>
      <xdr:rowOff>78153</xdr:rowOff>
    </xdr:from>
    <xdr:to>
      <xdr:col>3</xdr:col>
      <xdr:colOff>244230</xdr:colOff>
      <xdr:row>9</xdr:row>
      <xdr:rowOff>87923</xdr:rowOff>
    </xdr:to>
    <xdr:sp macro="" textlink="'Prodution Table'!C22">
      <xdr:nvSpPr>
        <xdr:cNvPr id="10" name="Rectangle: Rounded Corners 9">
          <a:extLst>
            <a:ext uri="{FF2B5EF4-FFF2-40B4-BE49-F238E27FC236}">
              <a16:creationId xmlns:a16="http://schemas.microsoft.com/office/drawing/2014/main" id="{747C3418-0656-48E8-B3EB-8CD00F808520}"/>
            </a:ext>
          </a:extLst>
        </xdr:cNvPr>
        <xdr:cNvSpPr/>
      </xdr:nvSpPr>
      <xdr:spPr>
        <a:xfrm>
          <a:off x="244232" y="992553"/>
          <a:ext cx="1828798" cy="7412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AECE1C-07CC-40F9-92B7-33551C2AABA8}" type="TxLink">
            <a:rPr lang="en-US" sz="2400" b="1" i="0" u="none" strike="noStrike">
              <a:solidFill>
                <a:srgbClr val="D7C039"/>
              </a:solidFill>
              <a:latin typeface="Calibri"/>
              <a:cs typeface="Calibri"/>
            </a:rPr>
            <a:t>64,14,329</a:t>
          </a:fld>
          <a:endParaRPr lang="en-US" sz="2400" b="1" i="0" u="none" strike="noStrike">
            <a:solidFill>
              <a:srgbClr val="D7C039"/>
            </a:solidFill>
            <a:latin typeface="Calibri"/>
            <a:cs typeface="Calibri"/>
          </a:endParaRPr>
        </a:p>
      </xdr:txBody>
    </xdr:sp>
    <xdr:clientData/>
  </xdr:twoCellAnchor>
  <xdr:twoCellAnchor>
    <xdr:from>
      <xdr:col>0</xdr:col>
      <xdr:colOff>420079</xdr:colOff>
      <xdr:row>8</xdr:row>
      <xdr:rowOff>19539</xdr:rowOff>
    </xdr:from>
    <xdr:to>
      <xdr:col>3</xdr:col>
      <xdr:colOff>58616</xdr:colOff>
      <xdr:row>8</xdr:row>
      <xdr:rowOff>175847</xdr:rowOff>
    </xdr:to>
    <xdr:sp macro="" textlink="">
      <xdr:nvSpPr>
        <xdr:cNvPr id="11" name="TextBox 10">
          <a:extLst>
            <a:ext uri="{FF2B5EF4-FFF2-40B4-BE49-F238E27FC236}">
              <a16:creationId xmlns:a16="http://schemas.microsoft.com/office/drawing/2014/main" id="{8B5C0E9B-C635-40C0-8456-E7905C14CCCD}"/>
            </a:ext>
          </a:extLst>
        </xdr:cNvPr>
        <xdr:cNvSpPr txBox="1"/>
      </xdr:nvSpPr>
      <xdr:spPr>
        <a:xfrm>
          <a:off x="420079" y="1482579"/>
          <a:ext cx="1467337" cy="156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Total</a:t>
          </a:r>
          <a:r>
            <a:rPr lang="en-IN" sz="1600" b="1" baseline="0">
              <a:solidFill>
                <a:srgbClr val="D7C039"/>
              </a:solidFill>
            </a:rPr>
            <a:t> Stock</a:t>
          </a:r>
          <a:endParaRPr lang="en-IN" sz="1600" b="1">
            <a:solidFill>
              <a:srgbClr val="D7C039"/>
            </a:solidFill>
          </a:endParaRPr>
        </a:p>
      </xdr:txBody>
    </xdr:sp>
    <xdr:clientData/>
  </xdr:twoCellAnchor>
  <xdr:twoCellAnchor>
    <xdr:from>
      <xdr:col>3</xdr:col>
      <xdr:colOff>537306</xdr:colOff>
      <xdr:row>5</xdr:row>
      <xdr:rowOff>58615</xdr:rowOff>
    </xdr:from>
    <xdr:to>
      <xdr:col>6</xdr:col>
      <xdr:colOff>537304</xdr:colOff>
      <xdr:row>9</xdr:row>
      <xdr:rowOff>68385</xdr:rowOff>
    </xdr:to>
    <xdr:sp macro="" textlink="">
      <xdr:nvSpPr>
        <xdr:cNvPr id="13" name="Rectangle: Rounded Corners 12">
          <a:extLst>
            <a:ext uri="{FF2B5EF4-FFF2-40B4-BE49-F238E27FC236}">
              <a16:creationId xmlns:a16="http://schemas.microsoft.com/office/drawing/2014/main" id="{077EE37F-023E-42F7-816F-407987F79B94}"/>
            </a:ext>
          </a:extLst>
        </xdr:cNvPr>
        <xdr:cNvSpPr/>
      </xdr:nvSpPr>
      <xdr:spPr>
        <a:xfrm>
          <a:off x="2366106" y="973015"/>
          <a:ext cx="1828798" cy="7412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rgbClr val="D7C039"/>
              </a:solidFill>
              <a:latin typeface="Calibri"/>
              <a:cs typeface="Calibri"/>
            </a:rPr>
            <a:t>5</a:t>
          </a:r>
        </a:p>
      </xdr:txBody>
    </xdr:sp>
    <xdr:clientData/>
  </xdr:twoCellAnchor>
  <xdr:twoCellAnchor>
    <xdr:from>
      <xdr:col>3</xdr:col>
      <xdr:colOff>418563</xdr:colOff>
      <xdr:row>7</xdr:row>
      <xdr:rowOff>160987</xdr:rowOff>
    </xdr:from>
    <xdr:to>
      <xdr:col>7</xdr:col>
      <xdr:colOff>10732</xdr:colOff>
      <xdr:row>9</xdr:row>
      <xdr:rowOff>53662</xdr:rowOff>
    </xdr:to>
    <xdr:sp macro="" textlink="">
      <xdr:nvSpPr>
        <xdr:cNvPr id="16" name="TextBox 15">
          <a:extLst>
            <a:ext uri="{FF2B5EF4-FFF2-40B4-BE49-F238E27FC236}">
              <a16:creationId xmlns:a16="http://schemas.microsoft.com/office/drawing/2014/main" id="{47C91940-9A7C-4ECC-A403-4E481FC44AF8}"/>
            </a:ext>
          </a:extLst>
        </xdr:cNvPr>
        <xdr:cNvSpPr txBox="1"/>
      </xdr:nvSpPr>
      <xdr:spPr>
        <a:xfrm>
          <a:off x="2253802" y="1438142"/>
          <a:ext cx="2039155" cy="257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Total</a:t>
          </a:r>
          <a:r>
            <a:rPr lang="en-IN" sz="1600" b="1" baseline="0">
              <a:solidFill>
                <a:srgbClr val="D7C039"/>
              </a:solidFill>
            </a:rPr>
            <a:t> </a:t>
          </a:r>
          <a:r>
            <a:rPr lang="en-US" sz="1600" b="1" baseline="0">
              <a:solidFill>
                <a:srgbClr val="D7C039"/>
              </a:solidFill>
            </a:rPr>
            <a:t>Weare Houses </a:t>
          </a:r>
          <a:endParaRPr lang="en-IN" sz="1600" b="1">
            <a:solidFill>
              <a:srgbClr val="D7C039"/>
            </a:solidFill>
          </a:endParaRPr>
        </a:p>
      </xdr:txBody>
    </xdr:sp>
    <xdr:clientData/>
  </xdr:twoCellAnchor>
  <xdr:twoCellAnchor>
    <xdr:from>
      <xdr:col>7</xdr:col>
      <xdr:colOff>586154</xdr:colOff>
      <xdr:row>8</xdr:row>
      <xdr:rowOff>9769</xdr:rowOff>
    </xdr:from>
    <xdr:to>
      <xdr:col>9</xdr:col>
      <xdr:colOff>595923</xdr:colOff>
      <xdr:row>9</xdr:row>
      <xdr:rowOff>0</xdr:rowOff>
    </xdr:to>
    <xdr:sp macro="" textlink="">
      <xdr:nvSpPr>
        <xdr:cNvPr id="17" name="TextBox 16">
          <a:extLst>
            <a:ext uri="{FF2B5EF4-FFF2-40B4-BE49-F238E27FC236}">
              <a16:creationId xmlns:a16="http://schemas.microsoft.com/office/drawing/2014/main" id="{71B89014-21E2-46AD-85FD-48D09B50A2C8}"/>
            </a:ext>
          </a:extLst>
        </xdr:cNvPr>
        <xdr:cNvSpPr txBox="1"/>
      </xdr:nvSpPr>
      <xdr:spPr>
        <a:xfrm>
          <a:off x="4853354" y="1472809"/>
          <a:ext cx="1228969" cy="17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solidFill>
              <a:srgbClr val="D7C039"/>
            </a:solidFill>
          </a:endParaRPr>
        </a:p>
      </xdr:txBody>
    </xdr:sp>
    <xdr:clientData/>
  </xdr:twoCellAnchor>
  <xdr:twoCellAnchor>
    <xdr:from>
      <xdr:col>11</xdr:col>
      <xdr:colOff>185616</xdr:colOff>
      <xdr:row>8</xdr:row>
      <xdr:rowOff>0</xdr:rowOff>
    </xdr:from>
    <xdr:to>
      <xdr:col>13</xdr:col>
      <xdr:colOff>195385</xdr:colOff>
      <xdr:row>8</xdr:row>
      <xdr:rowOff>175846</xdr:rowOff>
    </xdr:to>
    <xdr:sp macro="" textlink="">
      <xdr:nvSpPr>
        <xdr:cNvPr id="18" name="TextBox 17">
          <a:extLst>
            <a:ext uri="{FF2B5EF4-FFF2-40B4-BE49-F238E27FC236}">
              <a16:creationId xmlns:a16="http://schemas.microsoft.com/office/drawing/2014/main" id="{7FDE468F-A83B-4CC5-B7D7-A6799E79CF95}"/>
            </a:ext>
          </a:extLst>
        </xdr:cNvPr>
        <xdr:cNvSpPr txBox="1"/>
      </xdr:nvSpPr>
      <xdr:spPr>
        <a:xfrm>
          <a:off x="6891216" y="1463040"/>
          <a:ext cx="1228969" cy="175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solidFill>
              <a:srgbClr val="D7C039"/>
            </a:solidFill>
          </a:endParaRPr>
        </a:p>
      </xdr:txBody>
    </xdr:sp>
    <xdr:clientData/>
  </xdr:twoCellAnchor>
  <xdr:twoCellAnchor>
    <xdr:from>
      <xdr:col>8</xdr:col>
      <xdr:colOff>429296</xdr:colOff>
      <xdr:row>20</xdr:row>
      <xdr:rowOff>58615</xdr:rowOff>
    </xdr:from>
    <xdr:to>
      <xdr:col>19</xdr:col>
      <xdr:colOff>246844</xdr:colOff>
      <xdr:row>34</xdr:row>
      <xdr:rowOff>0</xdr:rowOff>
    </xdr:to>
    <xdr:sp macro="" textlink="">
      <xdr:nvSpPr>
        <xdr:cNvPr id="20" name="Rectangle: Rounded Corners 19">
          <a:extLst>
            <a:ext uri="{FF2B5EF4-FFF2-40B4-BE49-F238E27FC236}">
              <a16:creationId xmlns:a16="http://schemas.microsoft.com/office/drawing/2014/main" id="{40A49EFB-05FC-406A-8A51-92EB4A97FF14}"/>
            </a:ext>
          </a:extLst>
        </xdr:cNvPr>
        <xdr:cNvSpPr/>
      </xdr:nvSpPr>
      <xdr:spPr>
        <a:xfrm>
          <a:off x="5306096" y="3716215"/>
          <a:ext cx="6523148" cy="25017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8</xdr:col>
      <xdr:colOff>536621</xdr:colOff>
      <xdr:row>7</xdr:row>
      <xdr:rowOff>107324</xdr:rowOff>
    </xdr:from>
    <xdr:to>
      <xdr:col>19</xdr:col>
      <xdr:colOff>225380</xdr:colOff>
      <xdr:row>19</xdr:row>
      <xdr:rowOff>91641</xdr:rowOff>
    </xdr:to>
    <xdr:sp macro="" textlink="">
      <xdr:nvSpPr>
        <xdr:cNvPr id="21" name="Rectangle: Rounded Corners 20">
          <a:extLst>
            <a:ext uri="{FF2B5EF4-FFF2-40B4-BE49-F238E27FC236}">
              <a16:creationId xmlns:a16="http://schemas.microsoft.com/office/drawing/2014/main" id="{AB4C1481-EA75-4FE7-A643-7AF1DFD5294D}"/>
            </a:ext>
          </a:extLst>
        </xdr:cNvPr>
        <xdr:cNvSpPr/>
      </xdr:nvSpPr>
      <xdr:spPr>
        <a:xfrm>
          <a:off x="5430593" y="1384479"/>
          <a:ext cx="6417970" cy="21737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0</xdr:col>
      <xdr:colOff>150255</xdr:colOff>
      <xdr:row>10</xdr:row>
      <xdr:rowOff>21466</xdr:rowOff>
    </xdr:from>
    <xdr:to>
      <xdr:col>8</xdr:col>
      <xdr:colOff>268310</xdr:colOff>
      <xdr:row>34</xdr:row>
      <xdr:rowOff>10733</xdr:rowOff>
    </xdr:to>
    <xdr:sp macro="" textlink="">
      <xdr:nvSpPr>
        <xdr:cNvPr id="22" name="Rectangle: Rounded Corners 21">
          <a:extLst>
            <a:ext uri="{FF2B5EF4-FFF2-40B4-BE49-F238E27FC236}">
              <a16:creationId xmlns:a16="http://schemas.microsoft.com/office/drawing/2014/main" id="{F7643ACF-E124-4AED-A52E-531F41057B31}"/>
            </a:ext>
          </a:extLst>
        </xdr:cNvPr>
        <xdr:cNvSpPr/>
      </xdr:nvSpPr>
      <xdr:spPr>
        <a:xfrm>
          <a:off x="150255" y="1850266"/>
          <a:ext cx="4994855" cy="43783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editAs="oneCell">
    <xdr:from>
      <xdr:col>13</xdr:col>
      <xdr:colOff>150254</xdr:colOff>
      <xdr:row>0</xdr:row>
      <xdr:rowOff>96592</xdr:rowOff>
    </xdr:from>
    <xdr:to>
      <xdr:col>19</xdr:col>
      <xdr:colOff>228815</xdr:colOff>
      <xdr:row>5</xdr:row>
      <xdr:rowOff>121597</xdr:rowOff>
    </xdr:to>
    <mc:AlternateContent xmlns:mc="http://schemas.openxmlformats.org/markup-compatibility/2006">
      <mc:Choice xmlns:a14="http://schemas.microsoft.com/office/drawing/2010/main" Requires="a14">
        <xdr:graphicFrame macro="">
          <xdr:nvGraphicFramePr>
            <xdr:cNvPr id="27" name="Warehouse">
              <a:extLst>
                <a:ext uri="{FF2B5EF4-FFF2-40B4-BE49-F238E27FC236}">
                  <a16:creationId xmlns:a16="http://schemas.microsoft.com/office/drawing/2014/main" id="{3A00DA20-3D73-4B00-800D-73A9C4E771C5}"/>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8102958" y="96592"/>
              <a:ext cx="374904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150255</xdr:colOff>
      <xdr:row>10</xdr:row>
      <xdr:rowOff>25759</xdr:rowOff>
    </xdr:from>
    <xdr:to>
      <xdr:col>7</xdr:col>
      <xdr:colOff>440030</xdr:colOff>
      <xdr:row>34</xdr:row>
      <xdr:rowOff>10732</xdr:rowOff>
    </xdr:to>
    <xdr:graphicFrame macro="">
      <xdr:nvGraphicFramePr>
        <xdr:cNvPr id="28" name="Chart 27">
          <a:extLst>
            <a:ext uri="{FF2B5EF4-FFF2-40B4-BE49-F238E27FC236}">
              <a16:creationId xmlns:a16="http://schemas.microsoft.com/office/drawing/2014/main" id="{E0E3744E-C525-4514-BFD1-96C37D2E8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412123</xdr:colOff>
      <xdr:row>21</xdr:row>
      <xdr:rowOff>0</xdr:rowOff>
    </xdr:from>
    <xdr:to>
      <xdr:col>19</xdr:col>
      <xdr:colOff>203915</xdr:colOff>
      <xdr:row>32</xdr:row>
      <xdr:rowOff>118056</xdr:rowOff>
    </xdr:to>
    <xdr:graphicFrame macro="">
      <xdr:nvGraphicFramePr>
        <xdr:cNvPr id="30" name="Chart 29">
          <a:extLst>
            <a:ext uri="{FF2B5EF4-FFF2-40B4-BE49-F238E27FC236}">
              <a16:creationId xmlns:a16="http://schemas.microsoft.com/office/drawing/2014/main" id="{81C7B329-0B75-40C0-90C8-04D8C99CA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472227</xdr:colOff>
      <xdr:row>7</xdr:row>
      <xdr:rowOff>171719</xdr:rowOff>
    </xdr:from>
    <xdr:to>
      <xdr:col>19</xdr:col>
      <xdr:colOff>53662</xdr:colOff>
      <xdr:row>18</xdr:row>
      <xdr:rowOff>128789</xdr:rowOff>
    </xdr:to>
    <xdr:graphicFrame macro="">
      <xdr:nvGraphicFramePr>
        <xdr:cNvPr id="31" name="Chart 30">
          <a:extLst>
            <a:ext uri="{FF2B5EF4-FFF2-40B4-BE49-F238E27FC236}">
              <a16:creationId xmlns:a16="http://schemas.microsoft.com/office/drawing/2014/main" id="{9BBFEA3D-86D5-4671-99C8-2C335D02F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459154</xdr:colOff>
      <xdr:row>34</xdr:row>
      <xdr:rowOff>156308</xdr:rowOff>
    </xdr:to>
    <xdr:sp macro="" textlink="">
      <xdr:nvSpPr>
        <xdr:cNvPr id="2" name="Rectangle 1">
          <a:extLst>
            <a:ext uri="{FF2B5EF4-FFF2-40B4-BE49-F238E27FC236}">
              <a16:creationId xmlns:a16="http://schemas.microsoft.com/office/drawing/2014/main" id="{4DDA5C57-F415-5810-67C9-011FCCD75DF8}"/>
            </a:ext>
          </a:extLst>
        </xdr:cNvPr>
        <xdr:cNvSpPr/>
      </xdr:nvSpPr>
      <xdr:spPr>
        <a:xfrm>
          <a:off x="0" y="0"/>
          <a:ext cx="11967308" cy="6467231"/>
        </a:xfrm>
        <a:prstGeom prst="rect">
          <a:avLst/>
        </a:prstGeom>
        <a:solidFill>
          <a:srgbClr val="EBE0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332154</xdr:colOff>
      <xdr:row>0</xdr:row>
      <xdr:rowOff>87922</xdr:rowOff>
    </xdr:from>
    <xdr:to>
      <xdr:col>11</xdr:col>
      <xdr:colOff>449385</xdr:colOff>
      <xdr:row>3</xdr:row>
      <xdr:rowOff>166075</xdr:rowOff>
    </xdr:to>
    <xdr:sp macro="" textlink="">
      <xdr:nvSpPr>
        <xdr:cNvPr id="4" name="Rectangle: Diagonal Corners Rounded 3">
          <a:extLst>
            <a:ext uri="{FF2B5EF4-FFF2-40B4-BE49-F238E27FC236}">
              <a16:creationId xmlns:a16="http://schemas.microsoft.com/office/drawing/2014/main" id="{A4CE5029-B21F-23D9-2FEF-9774EB400A79}"/>
            </a:ext>
          </a:extLst>
        </xdr:cNvPr>
        <xdr:cNvSpPr/>
      </xdr:nvSpPr>
      <xdr:spPr>
        <a:xfrm>
          <a:off x="4572000" y="87922"/>
          <a:ext cx="2540000" cy="634999"/>
        </a:xfrm>
        <a:prstGeom prst="round2DiagRect">
          <a:avLst/>
        </a:prstGeom>
        <a:solidFill>
          <a:srgbClr val="D7C03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Profits </a:t>
          </a:r>
          <a:endParaRPr lang="en-IN" sz="3600" b="1"/>
        </a:p>
      </xdr:txBody>
    </xdr:sp>
    <xdr:clientData/>
  </xdr:twoCellAnchor>
  <xdr:twoCellAnchor>
    <xdr:from>
      <xdr:col>0</xdr:col>
      <xdr:colOff>380999</xdr:colOff>
      <xdr:row>0</xdr:row>
      <xdr:rowOff>136768</xdr:rowOff>
    </xdr:from>
    <xdr:to>
      <xdr:col>2</xdr:col>
      <xdr:colOff>107461</xdr:colOff>
      <xdr:row>3</xdr:row>
      <xdr:rowOff>146537</xdr:rowOff>
    </xdr:to>
    <xdr:sp macro="" textlink="">
      <xdr:nvSpPr>
        <xdr:cNvPr id="5" name="Oval 4">
          <a:hlinkClick xmlns:r="http://schemas.openxmlformats.org/officeDocument/2006/relationships" r:id="rId1"/>
          <a:extLst>
            <a:ext uri="{FF2B5EF4-FFF2-40B4-BE49-F238E27FC236}">
              <a16:creationId xmlns:a16="http://schemas.microsoft.com/office/drawing/2014/main" id="{0C0CCB97-F282-8760-17E8-D0149DB5EE75}"/>
            </a:ext>
          </a:extLst>
        </xdr:cNvPr>
        <xdr:cNvSpPr/>
      </xdr:nvSpPr>
      <xdr:spPr>
        <a:xfrm>
          <a:off x="380999" y="136768"/>
          <a:ext cx="937847" cy="566615"/>
        </a:xfrm>
        <a:prstGeom prst="ellipse">
          <a:avLst/>
        </a:prstGeom>
        <a:solidFill>
          <a:srgbClr val="D7C0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322384</xdr:colOff>
      <xdr:row>0</xdr:row>
      <xdr:rowOff>127000</xdr:rowOff>
    </xdr:from>
    <xdr:to>
      <xdr:col>4</xdr:col>
      <xdr:colOff>48847</xdr:colOff>
      <xdr:row>3</xdr:row>
      <xdr:rowOff>136769</xdr:rowOff>
    </xdr:to>
    <xdr:sp macro="" textlink="">
      <xdr:nvSpPr>
        <xdr:cNvPr id="6" name="Oval 5">
          <a:hlinkClick xmlns:r="http://schemas.openxmlformats.org/officeDocument/2006/relationships" r:id="rId2"/>
          <a:extLst>
            <a:ext uri="{FF2B5EF4-FFF2-40B4-BE49-F238E27FC236}">
              <a16:creationId xmlns:a16="http://schemas.microsoft.com/office/drawing/2014/main" id="{7A9C375E-EE28-4D15-A19B-0FD6F40F07BA}"/>
            </a:ext>
          </a:extLst>
        </xdr:cNvPr>
        <xdr:cNvSpPr/>
      </xdr:nvSpPr>
      <xdr:spPr>
        <a:xfrm>
          <a:off x="1533769" y="127000"/>
          <a:ext cx="937847" cy="566615"/>
        </a:xfrm>
        <a:prstGeom prst="ellipse">
          <a:avLst/>
        </a:prstGeom>
        <a:solidFill>
          <a:srgbClr val="D7C03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322385</xdr:colOff>
      <xdr:row>0</xdr:row>
      <xdr:rowOff>146538</xdr:rowOff>
    </xdr:from>
    <xdr:to>
      <xdr:col>6</xdr:col>
      <xdr:colOff>48847</xdr:colOff>
      <xdr:row>3</xdr:row>
      <xdr:rowOff>156307</xdr:rowOff>
    </xdr:to>
    <xdr:sp macro="" textlink="">
      <xdr:nvSpPr>
        <xdr:cNvPr id="7" name="Oval 6">
          <a:hlinkClick xmlns:r="http://schemas.openxmlformats.org/officeDocument/2006/relationships" r:id="rId3"/>
          <a:extLst>
            <a:ext uri="{FF2B5EF4-FFF2-40B4-BE49-F238E27FC236}">
              <a16:creationId xmlns:a16="http://schemas.microsoft.com/office/drawing/2014/main" id="{A7EC7773-468E-4E42-B9C2-792EAE36E277}"/>
            </a:ext>
          </a:extLst>
        </xdr:cNvPr>
        <xdr:cNvSpPr/>
      </xdr:nvSpPr>
      <xdr:spPr>
        <a:xfrm>
          <a:off x="2745154" y="146538"/>
          <a:ext cx="937847" cy="566615"/>
        </a:xfrm>
        <a:prstGeom prst="ellipse">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D7C039"/>
            </a:solidFill>
          </a:endParaRPr>
        </a:p>
      </xdr:txBody>
    </xdr:sp>
    <xdr:clientData/>
  </xdr:twoCellAnchor>
  <xdr:twoCellAnchor editAs="oneCell">
    <xdr:from>
      <xdr:col>2</xdr:col>
      <xdr:colOff>576382</xdr:colOff>
      <xdr:row>0</xdr:row>
      <xdr:rowOff>175845</xdr:rowOff>
    </xdr:from>
    <xdr:to>
      <xdr:col>3</xdr:col>
      <xdr:colOff>371230</xdr:colOff>
      <xdr:row>3</xdr:row>
      <xdr:rowOff>19539</xdr:rowOff>
    </xdr:to>
    <xdr:pic>
      <xdr:nvPicPr>
        <xdr:cNvPr id="10" name="Picture 9">
          <a:hlinkClick xmlns:r="http://schemas.openxmlformats.org/officeDocument/2006/relationships" r:id="rId2"/>
          <a:extLst>
            <a:ext uri="{FF2B5EF4-FFF2-40B4-BE49-F238E27FC236}">
              <a16:creationId xmlns:a16="http://schemas.microsoft.com/office/drawing/2014/main" id="{FAF88D26-18F8-DBF4-5CA3-B1CB8DBFCCE8}"/>
            </a:ext>
          </a:extLst>
        </xdr:cNvPr>
        <xdr:cNvPicPr>
          <a:picLocks noChangeAspect="1"/>
        </xdr:cNvPicPr>
      </xdr:nvPicPr>
      <xdr:blipFill>
        <a:blip xmlns:r="http://schemas.openxmlformats.org/officeDocument/2006/relationships" r:embed="rId4"/>
        <a:stretch>
          <a:fillRect/>
        </a:stretch>
      </xdr:blipFill>
      <xdr:spPr>
        <a:xfrm flipH="1">
          <a:off x="1787767" y="175845"/>
          <a:ext cx="400540" cy="400540"/>
        </a:xfrm>
        <a:prstGeom prst="rect">
          <a:avLst/>
        </a:prstGeom>
      </xdr:spPr>
    </xdr:pic>
    <xdr:clientData/>
  </xdr:twoCellAnchor>
  <xdr:twoCellAnchor editAs="oneCell">
    <xdr:from>
      <xdr:col>5</xdr:col>
      <xdr:colOff>9768</xdr:colOff>
      <xdr:row>1</xdr:row>
      <xdr:rowOff>48847</xdr:rowOff>
    </xdr:from>
    <xdr:to>
      <xdr:col>5</xdr:col>
      <xdr:colOff>371230</xdr:colOff>
      <xdr:row>3</xdr:row>
      <xdr:rowOff>39078</xdr:rowOff>
    </xdr:to>
    <xdr:pic>
      <xdr:nvPicPr>
        <xdr:cNvPr id="11" name="Picture 10">
          <a:hlinkClick xmlns:r="http://schemas.openxmlformats.org/officeDocument/2006/relationships" r:id="rId3"/>
          <a:extLst>
            <a:ext uri="{FF2B5EF4-FFF2-40B4-BE49-F238E27FC236}">
              <a16:creationId xmlns:a16="http://schemas.microsoft.com/office/drawing/2014/main" id="{260C5CCE-075F-47E0-5633-BDC1F6C9EE7A}"/>
            </a:ext>
          </a:extLst>
        </xdr:cNvPr>
        <xdr:cNvPicPr>
          <a:picLocks noChangeAspect="1"/>
        </xdr:cNvPicPr>
      </xdr:nvPicPr>
      <xdr:blipFill>
        <a:blip xmlns:r="http://schemas.openxmlformats.org/officeDocument/2006/relationships" r:embed="rId5"/>
        <a:stretch>
          <a:fillRect/>
        </a:stretch>
      </xdr:blipFill>
      <xdr:spPr>
        <a:xfrm>
          <a:off x="3038230" y="234462"/>
          <a:ext cx="361462" cy="361462"/>
        </a:xfrm>
        <a:prstGeom prst="rect">
          <a:avLst/>
        </a:prstGeom>
      </xdr:spPr>
    </xdr:pic>
    <xdr:clientData/>
  </xdr:twoCellAnchor>
  <xdr:twoCellAnchor editAs="oneCell">
    <xdr:from>
      <xdr:col>1</xdr:col>
      <xdr:colOff>107462</xdr:colOff>
      <xdr:row>1</xdr:row>
      <xdr:rowOff>29308</xdr:rowOff>
    </xdr:from>
    <xdr:to>
      <xdr:col>1</xdr:col>
      <xdr:colOff>449385</xdr:colOff>
      <xdr:row>3</xdr:row>
      <xdr:rowOff>0</xdr:rowOff>
    </xdr:to>
    <xdr:pic>
      <xdr:nvPicPr>
        <xdr:cNvPr id="12" name="Picture 11">
          <a:hlinkClick xmlns:r="http://schemas.openxmlformats.org/officeDocument/2006/relationships" r:id="rId1"/>
          <a:extLst>
            <a:ext uri="{FF2B5EF4-FFF2-40B4-BE49-F238E27FC236}">
              <a16:creationId xmlns:a16="http://schemas.microsoft.com/office/drawing/2014/main" id="{12EF73C5-105D-00C0-D653-386951543B83}"/>
            </a:ext>
          </a:extLst>
        </xdr:cNvPr>
        <xdr:cNvPicPr>
          <a:picLocks noChangeAspect="1"/>
        </xdr:cNvPicPr>
      </xdr:nvPicPr>
      <xdr:blipFill>
        <a:blip xmlns:r="http://schemas.openxmlformats.org/officeDocument/2006/relationships" r:embed="rId6"/>
        <a:stretch>
          <a:fillRect/>
        </a:stretch>
      </xdr:blipFill>
      <xdr:spPr>
        <a:xfrm>
          <a:off x="713154" y="214923"/>
          <a:ext cx="341923" cy="341923"/>
        </a:xfrm>
        <a:prstGeom prst="rect">
          <a:avLst/>
        </a:prstGeom>
      </xdr:spPr>
    </xdr:pic>
    <xdr:clientData/>
  </xdr:twoCellAnchor>
  <xdr:twoCellAnchor>
    <xdr:from>
      <xdr:col>0</xdr:col>
      <xdr:colOff>244232</xdr:colOff>
      <xdr:row>5</xdr:row>
      <xdr:rowOff>78153</xdr:rowOff>
    </xdr:from>
    <xdr:to>
      <xdr:col>3</xdr:col>
      <xdr:colOff>244230</xdr:colOff>
      <xdr:row>9</xdr:row>
      <xdr:rowOff>87923</xdr:rowOff>
    </xdr:to>
    <xdr:sp macro="" textlink="'Sales Table'!C17">
      <xdr:nvSpPr>
        <xdr:cNvPr id="13" name="Rectangle: Rounded Corners 12">
          <a:extLst>
            <a:ext uri="{FF2B5EF4-FFF2-40B4-BE49-F238E27FC236}">
              <a16:creationId xmlns:a16="http://schemas.microsoft.com/office/drawing/2014/main" id="{CA910D9B-A787-52ED-C550-ABDC41F32A91}"/>
            </a:ext>
          </a:extLst>
        </xdr:cNvPr>
        <xdr:cNvSpPr/>
      </xdr:nvSpPr>
      <xdr:spPr>
        <a:xfrm>
          <a:off x="244232" y="1006230"/>
          <a:ext cx="1817075" cy="7522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402E9C6-31D8-4BF0-9E3D-96E8C24ACBD8}" type="TxLink">
            <a:rPr lang="en-US" sz="2400" b="1" i="0" u="none" strike="noStrike">
              <a:solidFill>
                <a:srgbClr val="D7C039"/>
              </a:solidFill>
              <a:latin typeface="Calibri"/>
              <a:cs typeface="Calibri"/>
            </a:rPr>
            <a:pPr algn="ctr"/>
            <a:t>₹ 97,77,693</a:t>
          </a:fld>
          <a:endParaRPr lang="en-IN" sz="2400" b="1">
            <a:solidFill>
              <a:srgbClr val="D7C039"/>
            </a:solidFill>
          </a:endParaRPr>
        </a:p>
      </xdr:txBody>
    </xdr:sp>
    <xdr:clientData/>
  </xdr:twoCellAnchor>
  <xdr:twoCellAnchor>
    <xdr:from>
      <xdr:col>0</xdr:col>
      <xdr:colOff>420079</xdr:colOff>
      <xdr:row>8</xdr:row>
      <xdr:rowOff>19539</xdr:rowOff>
    </xdr:from>
    <xdr:to>
      <xdr:col>3</xdr:col>
      <xdr:colOff>58616</xdr:colOff>
      <xdr:row>8</xdr:row>
      <xdr:rowOff>175847</xdr:rowOff>
    </xdr:to>
    <xdr:sp macro="" textlink="">
      <xdr:nvSpPr>
        <xdr:cNvPr id="20" name="TextBox 19">
          <a:extLst>
            <a:ext uri="{FF2B5EF4-FFF2-40B4-BE49-F238E27FC236}">
              <a16:creationId xmlns:a16="http://schemas.microsoft.com/office/drawing/2014/main" id="{9E6050BF-6F0F-E1E6-1185-8405B334341B}"/>
            </a:ext>
          </a:extLst>
        </xdr:cNvPr>
        <xdr:cNvSpPr txBox="1"/>
      </xdr:nvSpPr>
      <xdr:spPr>
        <a:xfrm>
          <a:off x="420079" y="1504462"/>
          <a:ext cx="1455614" cy="156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Total</a:t>
          </a:r>
          <a:r>
            <a:rPr lang="en-IN" sz="1600" b="1" baseline="0">
              <a:solidFill>
                <a:srgbClr val="D7C039"/>
              </a:solidFill>
            </a:rPr>
            <a:t> Revenu</a:t>
          </a:r>
          <a:endParaRPr lang="en-IN" sz="1600" b="1">
            <a:solidFill>
              <a:srgbClr val="D7C039"/>
            </a:solidFill>
          </a:endParaRPr>
        </a:p>
      </xdr:txBody>
    </xdr:sp>
    <xdr:clientData/>
  </xdr:twoCellAnchor>
  <xdr:twoCellAnchor editAs="oneCell">
    <xdr:from>
      <xdr:col>12</xdr:col>
      <xdr:colOff>302846</xdr:colOff>
      <xdr:row>0</xdr:row>
      <xdr:rowOff>127000</xdr:rowOff>
    </xdr:from>
    <xdr:to>
      <xdr:col>19</xdr:col>
      <xdr:colOff>498231</xdr:colOff>
      <xdr:row>5</xdr:row>
      <xdr:rowOff>126999</xdr:rowOff>
    </xdr:to>
    <mc:AlternateContent xmlns:mc="http://schemas.openxmlformats.org/markup-compatibility/2006" xmlns:a14="http://schemas.microsoft.com/office/drawing/2010/main">
      <mc:Choice Requires="a14">
        <xdr:graphicFrame macro="">
          <xdr:nvGraphicFramePr>
            <xdr:cNvPr id="24" name="Months (Sales Date)">
              <a:extLst>
                <a:ext uri="{FF2B5EF4-FFF2-40B4-BE49-F238E27FC236}">
                  <a16:creationId xmlns:a16="http://schemas.microsoft.com/office/drawing/2014/main" id="{9853C77B-97A5-46DC-AF77-883EE72EB0A4}"/>
                </a:ext>
              </a:extLst>
            </xdr:cNvPr>
            <xdr:cNvGraphicFramePr/>
          </xdr:nvGraphicFramePr>
          <xdr:xfrm>
            <a:off x="0" y="0"/>
            <a:ext cx="0" cy="0"/>
          </xdr:xfrm>
          <a:graphic>
            <a:graphicData uri="http://schemas.microsoft.com/office/drawing/2010/slicer">
              <sle:slicer xmlns:sle="http://schemas.microsoft.com/office/drawing/2010/slicer" name="Months (Sales Date)"/>
            </a:graphicData>
          </a:graphic>
        </xdr:graphicFrame>
      </mc:Choice>
      <mc:Fallback xmlns="">
        <xdr:sp macro="" textlink="">
          <xdr:nvSpPr>
            <xdr:cNvPr id="0" name=""/>
            <xdr:cNvSpPr>
              <a:spLocks noTextEdit="1"/>
            </xdr:cNvSpPr>
          </xdr:nvSpPr>
          <xdr:spPr>
            <a:xfrm>
              <a:off x="7571154" y="127000"/>
              <a:ext cx="4435231" cy="928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537306</xdr:colOff>
      <xdr:row>5</xdr:row>
      <xdr:rowOff>58615</xdr:rowOff>
    </xdr:from>
    <xdr:to>
      <xdr:col>6</xdr:col>
      <xdr:colOff>537304</xdr:colOff>
      <xdr:row>9</xdr:row>
      <xdr:rowOff>68385</xdr:rowOff>
    </xdr:to>
    <xdr:sp macro="" textlink="'Sales Table'!I18">
      <xdr:nvSpPr>
        <xdr:cNvPr id="25" name="Rectangle: Rounded Corners 24">
          <a:extLst>
            <a:ext uri="{FF2B5EF4-FFF2-40B4-BE49-F238E27FC236}">
              <a16:creationId xmlns:a16="http://schemas.microsoft.com/office/drawing/2014/main" id="{2E30C82C-E88C-4465-91B3-4751FCD8DEF0}"/>
            </a:ext>
          </a:extLst>
        </xdr:cNvPr>
        <xdr:cNvSpPr/>
      </xdr:nvSpPr>
      <xdr:spPr>
        <a:xfrm>
          <a:off x="2354383" y="986692"/>
          <a:ext cx="1817075" cy="7522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2CA154-900D-4757-A824-FBD731F93C68}" type="TxLink">
            <a:rPr lang="en-US" sz="2400" b="1" i="0" u="none" strike="noStrike">
              <a:solidFill>
                <a:srgbClr val="D7C039"/>
              </a:solidFill>
              <a:latin typeface="Calibri"/>
              <a:cs typeface="Calibri"/>
            </a:rPr>
            <a:pPr algn="ctr"/>
            <a:t>₹ 29,24,132</a:t>
          </a:fld>
          <a:endParaRPr lang="en-US" sz="2400" b="1" i="0" u="none" strike="noStrike">
            <a:solidFill>
              <a:srgbClr val="D7C039"/>
            </a:solidFill>
            <a:latin typeface="Calibri"/>
            <a:cs typeface="Calibri"/>
          </a:endParaRPr>
        </a:p>
      </xdr:txBody>
    </xdr:sp>
    <xdr:clientData/>
  </xdr:twoCellAnchor>
  <xdr:twoCellAnchor>
    <xdr:from>
      <xdr:col>7</xdr:col>
      <xdr:colOff>293077</xdr:colOff>
      <xdr:row>5</xdr:row>
      <xdr:rowOff>48846</xdr:rowOff>
    </xdr:from>
    <xdr:to>
      <xdr:col>10</xdr:col>
      <xdr:colOff>293075</xdr:colOff>
      <xdr:row>9</xdr:row>
      <xdr:rowOff>58616</xdr:rowOff>
    </xdr:to>
    <xdr:sp macro="" textlink="'Sales Table'!C35">
      <xdr:nvSpPr>
        <xdr:cNvPr id="26" name="Rectangle: Rounded Corners 25">
          <a:extLst>
            <a:ext uri="{FF2B5EF4-FFF2-40B4-BE49-F238E27FC236}">
              <a16:creationId xmlns:a16="http://schemas.microsoft.com/office/drawing/2014/main" id="{7349EBB4-6E61-49AD-91A1-9FE5501DB1E3}"/>
            </a:ext>
          </a:extLst>
        </xdr:cNvPr>
        <xdr:cNvSpPr/>
      </xdr:nvSpPr>
      <xdr:spPr>
        <a:xfrm>
          <a:off x="4532923" y="976923"/>
          <a:ext cx="1817075" cy="7522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D1D6CE1-B108-4349-9701-A91E4EA8B482}" type="TxLink">
            <a:rPr lang="en-US" sz="2400" b="1" i="0" u="none" strike="noStrike">
              <a:solidFill>
                <a:srgbClr val="D7C039"/>
              </a:solidFill>
              <a:latin typeface="Calibri"/>
              <a:cs typeface="Calibri"/>
            </a:rPr>
            <a:pPr algn="ctr"/>
            <a:t>₹ 9,507</a:t>
          </a:fld>
          <a:endParaRPr lang="en-US" sz="2400" b="1">
            <a:solidFill>
              <a:srgbClr val="D7C039"/>
            </a:solidFill>
          </a:endParaRPr>
        </a:p>
      </xdr:txBody>
    </xdr:sp>
    <xdr:clientData/>
  </xdr:twoCellAnchor>
  <xdr:twoCellAnchor>
    <xdr:from>
      <xdr:col>10</xdr:col>
      <xdr:colOff>508000</xdr:colOff>
      <xdr:row>5</xdr:row>
      <xdr:rowOff>29308</xdr:rowOff>
    </xdr:from>
    <xdr:to>
      <xdr:col>13</xdr:col>
      <xdr:colOff>507998</xdr:colOff>
      <xdr:row>9</xdr:row>
      <xdr:rowOff>39078</xdr:rowOff>
    </xdr:to>
    <xdr:sp macro="" textlink="'Sales Table'!I35">
      <xdr:nvSpPr>
        <xdr:cNvPr id="27" name="Rectangle: Rounded Corners 26">
          <a:extLst>
            <a:ext uri="{FF2B5EF4-FFF2-40B4-BE49-F238E27FC236}">
              <a16:creationId xmlns:a16="http://schemas.microsoft.com/office/drawing/2014/main" id="{199DE5DF-3784-460E-BC5B-0B8A028DA428}"/>
            </a:ext>
          </a:extLst>
        </xdr:cNvPr>
        <xdr:cNvSpPr/>
      </xdr:nvSpPr>
      <xdr:spPr>
        <a:xfrm>
          <a:off x="6564923" y="957385"/>
          <a:ext cx="1817075" cy="7522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C5FABB-DC39-4524-BA5F-87B59BFD7969}" type="TxLink">
            <a:rPr lang="en-US" sz="2400" b="1" i="0" u="none" strike="noStrike">
              <a:solidFill>
                <a:srgbClr val="D7C039"/>
              </a:solidFill>
              <a:latin typeface="Calibri"/>
              <a:cs typeface="Calibri"/>
            </a:rPr>
            <a:pPr algn="ctr"/>
            <a:t>₹ 17</a:t>
          </a:fld>
          <a:endParaRPr lang="en-IN" sz="2400" b="1">
            <a:solidFill>
              <a:srgbClr val="D7C039"/>
            </a:solidFill>
          </a:endParaRPr>
        </a:p>
      </xdr:txBody>
    </xdr:sp>
    <xdr:clientData/>
  </xdr:twoCellAnchor>
  <xdr:twoCellAnchor>
    <xdr:from>
      <xdr:col>4</xdr:col>
      <xdr:colOff>234461</xdr:colOff>
      <xdr:row>8</xdr:row>
      <xdr:rowOff>29307</xdr:rowOff>
    </xdr:from>
    <xdr:to>
      <xdr:col>6</xdr:col>
      <xdr:colOff>244230</xdr:colOff>
      <xdr:row>9</xdr:row>
      <xdr:rowOff>19538</xdr:rowOff>
    </xdr:to>
    <xdr:sp macro="" textlink="">
      <xdr:nvSpPr>
        <xdr:cNvPr id="28" name="TextBox 27">
          <a:extLst>
            <a:ext uri="{FF2B5EF4-FFF2-40B4-BE49-F238E27FC236}">
              <a16:creationId xmlns:a16="http://schemas.microsoft.com/office/drawing/2014/main" id="{4595B88B-53D9-4843-9788-626F7BD3451F}"/>
            </a:ext>
          </a:extLst>
        </xdr:cNvPr>
        <xdr:cNvSpPr txBox="1"/>
      </xdr:nvSpPr>
      <xdr:spPr>
        <a:xfrm>
          <a:off x="2681447" y="1488913"/>
          <a:ext cx="1233262" cy="172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Total</a:t>
          </a:r>
          <a:r>
            <a:rPr lang="en-IN" sz="1600" b="1" baseline="0">
              <a:solidFill>
                <a:srgbClr val="D7C039"/>
              </a:solidFill>
            </a:rPr>
            <a:t> </a:t>
          </a:r>
          <a:r>
            <a:rPr lang="en-US" sz="1600" b="1" baseline="0">
              <a:solidFill>
                <a:srgbClr val="D7C039"/>
              </a:solidFill>
            </a:rPr>
            <a:t>Profit </a:t>
          </a:r>
          <a:endParaRPr lang="en-IN" sz="1600" b="1">
            <a:solidFill>
              <a:srgbClr val="D7C039"/>
            </a:solidFill>
          </a:endParaRPr>
        </a:p>
      </xdr:txBody>
    </xdr:sp>
    <xdr:clientData/>
  </xdr:twoCellAnchor>
  <xdr:twoCellAnchor>
    <xdr:from>
      <xdr:col>7</xdr:col>
      <xdr:colOff>586154</xdr:colOff>
      <xdr:row>8</xdr:row>
      <xdr:rowOff>9769</xdr:rowOff>
    </xdr:from>
    <xdr:to>
      <xdr:col>9</xdr:col>
      <xdr:colOff>595923</xdr:colOff>
      <xdr:row>9</xdr:row>
      <xdr:rowOff>0</xdr:rowOff>
    </xdr:to>
    <xdr:sp macro="" textlink="">
      <xdr:nvSpPr>
        <xdr:cNvPr id="29" name="TextBox 28">
          <a:extLst>
            <a:ext uri="{FF2B5EF4-FFF2-40B4-BE49-F238E27FC236}">
              <a16:creationId xmlns:a16="http://schemas.microsoft.com/office/drawing/2014/main" id="{9A658948-40CF-4CFA-A9ED-8249299CBFB6}"/>
            </a:ext>
          </a:extLst>
        </xdr:cNvPr>
        <xdr:cNvSpPr txBox="1"/>
      </xdr:nvSpPr>
      <xdr:spPr>
        <a:xfrm>
          <a:off x="4868379" y="1469375"/>
          <a:ext cx="1233262" cy="172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Max</a:t>
          </a:r>
          <a:r>
            <a:rPr lang="en-IN" sz="1600" b="1" baseline="0">
              <a:solidFill>
                <a:srgbClr val="D7C039"/>
              </a:solidFill>
            </a:rPr>
            <a:t> </a:t>
          </a:r>
          <a:r>
            <a:rPr lang="en-US" sz="1600" b="1" baseline="0">
              <a:solidFill>
                <a:srgbClr val="D7C039"/>
              </a:solidFill>
            </a:rPr>
            <a:t>Profit </a:t>
          </a:r>
          <a:endParaRPr lang="en-IN" sz="1600" b="1">
            <a:solidFill>
              <a:srgbClr val="D7C039"/>
            </a:solidFill>
          </a:endParaRPr>
        </a:p>
      </xdr:txBody>
    </xdr:sp>
    <xdr:clientData/>
  </xdr:twoCellAnchor>
  <xdr:twoCellAnchor>
    <xdr:from>
      <xdr:col>11</xdr:col>
      <xdr:colOff>185616</xdr:colOff>
      <xdr:row>8</xdr:row>
      <xdr:rowOff>0</xdr:rowOff>
    </xdr:from>
    <xdr:to>
      <xdr:col>13</xdr:col>
      <xdr:colOff>195385</xdr:colOff>
      <xdr:row>8</xdr:row>
      <xdr:rowOff>175846</xdr:rowOff>
    </xdr:to>
    <xdr:sp macro="" textlink="">
      <xdr:nvSpPr>
        <xdr:cNvPr id="30" name="TextBox 29">
          <a:extLst>
            <a:ext uri="{FF2B5EF4-FFF2-40B4-BE49-F238E27FC236}">
              <a16:creationId xmlns:a16="http://schemas.microsoft.com/office/drawing/2014/main" id="{CA150662-F368-45F3-8A35-2A3B052CEE2D}"/>
            </a:ext>
          </a:extLst>
        </xdr:cNvPr>
        <xdr:cNvSpPr txBox="1"/>
      </xdr:nvSpPr>
      <xdr:spPr>
        <a:xfrm>
          <a:off x="6848231" y="1484923"/>
          <a:ext cx="1221154" cy="175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D7C039"/>
              </a:solidFill>
            </a:rPr>
            <a:t>Min</a:t>
          </a:r>
          <a:r>
            <a:rPr lang="en-IN" sz="1600" b="1" baseline="0">
              <a:solidFill>
                <a:srgbClr val="D7C039"/>
              </a:solidFill>
            </a:rPr>
            <a:t> Profit</a:t>
          </a:r>
          <a:endParaRPr lang="en-IN" sz="1600" b="1">
            <a:solidFill>
              <a:srgbClr val="D7C039"/>
            </a:solidFill>
          </a:endParaRPr>
        </a:p>
      </xdr:txBody>
    </xdr:sp>
    <xdr:clientData/>
  </xdr:twoCellAnchor>
  <xdr:twoCellAnchor editAs="oneCell">
    <xdr:from>
      <xdr:col>16</xdr:col>
      <xdr:colOff>445532</xdr:colOff>
      <xdr:row>5</xdr:row>
      <xdr:rowOff>107323</xdr:rowOff>
    </xdr:from>
    <xdr:to>
      <xdr:col>19</xdr:col>
      <xdr:colOff>457255</xdr:colOff>
      <xdr:row>20</xdr:row>
      <xdr:rowOff>133743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AC9CB561-B63A-4752-87FA-E715B65046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33476" y="1019577"/>
              <a:ext cx="1846962" cy="276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429296</xdr:colOff>
      <xdr:row>20</xdr:row>
      <xdr:rowOff>58615</xdr:rowOff>
    </xdr:from>
    <xdr:to>
      <xdr:col>19</xdr:col>
      <xdr:colOff>246844</xdr:colOff>
      <xdr:row>34</xdr:row>
      <xdr:rowOff>0</xdr:rowOff>
    </xdr:to>
    <xdr:sp macro="" textlink="">
      <xdr:nvSpPr>
        <xdr:cNvPr id="8" name="Rectangle: Rounded Corners 7">
          <a:extLst>
            <a:ext uri="{FF2B5EF4-FFF2-40B4-BE49-F238E27FC236}">
              <a16:creationId xmlns:a16="http://schemas.microsoft.com/office/drawing/2014/main" id="{E7F265C8-8898-40C7-AF72-C090C98BC667}"/>
            </a:ext>
          </a:extLst>
        </xdr:cNvPr>
        <xdr:cNvSpPr/>
      </xdr:nvSpPr>
      <xdr:spPr>
        <a:xfrm>
          <a:off x="5323268" y="3707629"/>
          <a:ext cx="6546759" cy="24956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9</xdr:col>
      <xdr:colOff>10733</xdr:colOff>
      <xdr:row>9</xdr:row>
      <xdr:rowOff>118058</xdr:rowOff>
    </xdr:from>
    <xdr:to>
      <xdr:col>16</xdr:col>
      <xdr:colOff>407828</xdr:colOff>
      <xdr:row>19</xdr:row>
      <xdr:rowOff>113105</xdr:rowOff>
    </xdr:to>
    <xdr:sp macro="" textlink="">
      <xdr:nvSpPr>
        <xdr:cNvPr id="9" name="Rectangle: Rounded Corners 8">
          <a:extLst>
            <a:ext uri="{FF2B5EF4-FFF2-40B4-BE49-F238E27FC236}">
              <a16:creationId xmlns:a16="http://schemas.microsoft.com/office/drawing/2014/main" id="{C23FFF3A-4450-4535-8E57-A6D581989B58}"/>
            </a:ext>
          </a:extLst>
        </xdr:cNvPr>
        <xdr:cNvSpPr/>
      </xdr:nvSpPr>
      <xdr:spPr>
        <a:xfrm>
          <a:off x="5516451" y="1760114"/>
          <a:ext cx="4679321" cy="181955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0</xdr:col>
      <xdr:colOff>150255</xdr:colOff>
      <xdr:row>10</xdr:row>
      <xdr:rowOff>21466</xdr:rowOff>
    </xdr:from>
    <xdr:to>
      <xdr:col>8</xdr:col>
      <xdr:colOff>268310</xdr:colOff>
      <xdr:row>34</xdr:row>
      <xdr:rowOff>10733</xdr:rowOff>
    </xdr:to>
    <xdr:sp macro="" textlink="">
      <xdr:nvSpPr>
        <xdr:cNvPr id="14" name="Rectangle: Rounded Corners 13">
          <a:extLst>
            <a:ext uri="{FF2B5EF4-FFF2-40B4-BE49-F238E27FC236}">
              <a16:creationId xmlns:a16="http://schemas.microsoft.com/office/drawing/2014/main" id="{629E1CE5-102A-4FA8-9598-13B1BF0C972D}"/>
            </a:ext>
          </a:extLst>
        </xdr:cNvPr>
        <xdr:cNvSpPr/>
      </xdr:nvSpPr>
      <xdr:spPr>
        <a:xfrm>
          <a:off x="150255" y="1845973"/>
          <a:ext cx="5012027" cy="43680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i="0" u="none" strike="noStrike">
            <a:solidFill>
              <a:srgbClr val="D7C039"/>
            </a:solidFill>
            <a:latin typeface="Calibri"/>
            <a:cs typeface="Calibri"/>
          </a:endParaRPr>
        </a:p>
      </xdr:txBody>
    </xdr:sp>
    <xdr:clientData/>
  </xdr:twoCellAnchor>
  <xdr:twoCellAnchor>
    <xdr:from>
      <xdr:col>8</xdr:col>
      <xdr:colOff>472226</xdr:colOff>
      <xdr:row>20</xdr:row>
      <xdr:rowOff>69348</xdr:rowOff>
    </xdr:from>
    <xdr:to>
      <xdr:col>19</xdr:col>
      <xdr:colOff>332705</xdr:colOff>
      <xdr:row>33</xdr:row>
      <xdr:rowOff>128790</xdr:rowOff>
    </xdr:to>
    <xdr:graphicFrame macro="">
      <xdr:nvGraphicFramePr>
        <xdr:cNvPr id="16" name="Chart 15">
          <a:extLst>
            <a:ext uri="{FF2B5EF4-FFF2-40B4-BE49-F238E27FC236}">
              <a16:creationId xmlns:a16="http://schemas.microsoft.com/office/drawing/2014/main" id="{2BEBE6D4-7AE3-43ED-9A08-E88C232B2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354168</xdr:colOff>
      <xdr:row>18</xdr:row>
      <xdr:rowOff>128787</xdr:rowOff>
    </xdr:from>
    <xdr:to>
      <xdr:col>10</xdr:col>
      <xdr:colOff>32196</xdr:colOff>
      <xdr:row>33</xdr:row>
      <xdr:rowOff>135227</xdr:rowOff>
    </xdr:to>
    <xdr:graphicFrame macro="">
      <xdr:nvGraphicFramePr>
        <xdr:cNvPr id="19" name="Chart 18">
          <a:extLst>
            <a:ext uri="{FF2B5EF4-FFF2-40B4-BE49-F238E27FC236}">
              <a16:creationId xmlns:a16="http://schemas.microsoft.com/office/drawing/2014/main" id="{CB8EE198-8228-4134-9890-A54D17B83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171719</xdr:colOff>
      <xdr:row>10</xdr:row>
      <xdr:rowOff>32196</xdr:rowOff>
    </xdr:from>
    <xdr:to>
      <xdr:col>16</xdr:col>
      <xdr:colOff>300507</xdr:colOff>
      <xdr:row>19</xdr:row>
      <xdr:rowOff>53661</xdr:rowOff>
    </xdr:to>
    <xdr:graphicFrame macro="">
      <xdr:nvGraphicFramePr>
        <xdr:cNvPr id="21" name="Chart 20">
          <a:extLst>
            <a:ext uri="{FF2B5EF4-FFF2-40B4-BE49-F238E27FC236}">
              <a16:creationId xmlns:a16="http://schemas.microsoft.com/office/drawing/2014/main" id="{5443D6A5-3674-419C-8762-A9E543E9A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150255</xdr:colOff>
      <xdr:row>10</xdr:row>
      <xdr:rowOff>21466</xdr:rowOff>
    </xdr:from>
    <xdr:to>
      <xdr:col>6</xdr:col>
      <xdr:colOff>482958</xdr:colOff>
      <xdr:row>24</xdr:row>
      <xdr:rowOff>0</xdr:rowOff>
    </xdr:to>
    <xdr:graphicFrame macro="">
      <xdr:nvGraphicFramePr>
        <xdr:cNvPr id="22" name="Chart 21">
          <a:extLst>
            <a:ext uri="{FF2B5EF4-FFF2-40B4-BE49-F238E27FC236}">
              <a16:creationId xmlns:a16="http://schemas.microsoft.com/office/drawing/2014/main" id="{F2D377DB-372C-4D0D-8496-8DE2C0CA3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7.694206597225" createdVersion="8" refreshedVersion="8" minRefreshableVersion="3" recordCount="1200" xr:uid="{1E3F7664-1DD1-4C0F-8BE0-9ECA27AC4637}">
  <cacheSource type="worksheet">
    <worksheetSource ref="A1:L1201" sheet="Production Data"/>
  </cacheSource>
  <cacheFields count="12">
    <cacheField name="Medicine Name" numFmtId="0">
      <sharedItems count="20">
        <s v="Metformin"/>
        <s v="Paracetamol"/>
        <s v="Antacid Gel"/>
        <s v="Omeprazole"/>
        <s v="Azithromycin"/>
        <s v="Dolo 650"/>
        <s v="Insulin"/>
        <s v="Cefixime"/>
        <s v="Multivitamin"/>
        <s v="Aspirin"/>
        <s v="Vitamin D3"/>
        <s v="Pantoprazole"/>
        <s v="Calcium Tablets"/>
        <s v="Ibuprofen"/>
        <s v="Amoxicillin"/>
        <s v="Cough Syrup"/>
        <s v="Atorvastatin"/>
        <s v="Diclofenac"/>
        <s v="Levocetirizine"/>
        <s v="Cetirizine"/>
      </sharedItems>
    </cacheField>
    <cacheField name="Type" numFmtId="0">
      <sharedItems count="5">
        <s v="Tablet"/>
        <s v="Syrup"/>
        <s v="Ointment"/>
        <s v="Injection"/>
        <s v="Capsule"/>
      </sharedItems>
    </cacheField>
    <cacheField name="Stock" numFmtId="0">
      <sharedItems containsSemiMixedTypes="0" containsString="0" containsNumber="1" containsInteger="1" minValue="501" maxValue="9992"/>
    </cacheField>
    <cacheField name="stock type" numFmtId="0">
      <sharedItems count="3">
        <s v="Full"/>
        <s v="Low"/>
        <s v="Medium"/>
      </sharedItems>
    </cacheField>
    <cacheField name="Monthly Production" numFmtId="0">
      <sharedItems containsSemiMixedTypes="0" containsString="0" containsNumber="1" containsInteger="1" minValue="1022" maxValue="24985"/>
    </cacheField>
    <cacheField name="Manufacturing Cost" numFmtId="0">
      <sharedItems containsSemiMixedTypes="0" containsString="0" containsNumber="1" minValue="5.91" maxValue="299.88"/>
    </cacheField>
    <cacheField name="Selling Price" numFmtId="0">
      <sharedItems containsSemiMixedTypes="0" containsString="0" containsNumber="1" minValue="11.04" maxValue="747.33"/>
    </cacheField>
    <cacheField name="MFD Date" numFmtId="14">
      <sharedItems/>
    </cacheField>
    <cacheField name="Expiry Date" numFmtId="0">
      <sharedItems/>
    </cacheField>
    <cacheField name="Batch Number" numFmtId="0">
      <sharedItems/>
    </cacheField>
    <cacheField name="Warehouse" numFmtId="0">
      <sharedItems count="5">
        <s v="Bangalore WH"/>
        <s v="Pune WH"/>
        <s v="Ahmedabad WH"/>
        <s v="Delhi WH"/>
        <s v="Mumbai WH"/>
      </sharedItems>
    </cacheField>
    <cacheField name="Raw Material Cost" numFmtId="0">
      <sharedItems containsSemiMixedTypes="0" containsString="0" containsNumber="1" minValue="2.65" maxValue="226.47"/>
    </cacheField>
  </cacheFields>
  <extLst>
    <ext xmlns:x14="http://schemas.microsoft.com/office/spreadsheetml/2009/9/main" uri="{725AE2AE-9491-48be-B2B4-4EB974FC3084}">
      <x14:pivotCacheDefinition pivotCacheId="4283187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7.694207870372" createdVersion="8" refreshedVersion="8" minRefreshableVersion="3" recordCount="1008" xr:uid="{B2E9AC06-B9B6-4AD2-B62D-9E4F6A2D5751}">
  <cacheSource type="worksheet">
    <worksheetSource ref="A1:K1501" sheet="Sales Data"/>
  </cacheSource>
  <cacheFields count="13">
    <cacheField name="Customer Name" numFmtId="0">
      <sharedItems containsBlank="1"/>
    </cacheField>
    <cacheField name="Customer ID" numFmtId="0">
      <sharedItems containsBlank="1"/>
    </cacheField>
    <cacheField name="Sales Date" numFmtId="0">
      <sharedItems containsNonDate="0" containsDate="1" containsString="0" containsBlank="1" minDate="2025-01-01T00:00:00" maxDate="2026-01-01T00:00:00" count="346">
        <d v="2025-09-09T00:00:00"/>
        <d v="2025-01-27T00:00:00"/>
        <d v="2025-04-18T00:00:00"/>
        <d v="2025-01-10T00:00:00"/>
        <d v="2025-08-01T00:00:00"/>
        <d v="2025-08-16T00:00:00"/>
        <d v="2025-11-01T00:00:00"/>
        <d v="2025-05-07T00:00:00"/>
        <d v="2025-06-21T00:00:00"/>
        <d v="2025-08-06T00:00:00"/>
        <d v="2025-04-24T00:00:00"/>
        <d v="2025-01-20T00:00:00"/>
        <d v="2025-04-23T00:00:00"/>
        <d v="2025-11-06T00:00:00"/>
        <d v="2025-03-22T00:00:00"/>
        <d v="2025-07-21T00:00:00"/>
        <d v="2025-03-29T00:00:00"/>
        <d v="2025-02-13T00:00:00"/>
        <d v="2025-08-30T00:00:00"/>
        <d v="2025-11-20T00:00:00"/>
        <d v="2025-09-10T00:00:00"/>
        <d v="2025-07-08T00:00:00"/>
        <d v="2025-11-07T00:00:00"/>
        <d v="2025-03-20T00:00:00"/>
        <d v="2025-07-04T00:00:00"/>
        <d v="2025-04-11T00:00:00"/>
        <d v="2025-10-18T00:00:00"/>
        <d v="2025-02-12T00:00:00"/>
        <d v="2025-02-19T00:00:00"/>
        <d v="2025-07-01T00:00:00"/>
        <d v="2025-12-09T00:00:00"/>
        <d v="2025-03-12T00:00:00"/>
        <d v="2025-10-06T00:00:00"/>
        <d v="2025-04-28T00:00:00"/>
        <d v="2025-10-19T00:00:00"/>
        <d v="2025-04-17T00:00:00"/>
        <d v="2025-08-17T00:00:00"/>
        <d v="2025-06-03T00:00:00"/>
        <d v="2025-02-27T00:00:00"/>
        <d v="2025-11-11T00:00:00"/>
        <d v="2025-03-05T00:00:00"/>
        <d v="2025-12-19T00:00:00"/>
        <d v="2025-11-16T00:00:00"/>
        <d v="2025-06-04T00:00:00"/>
        <d v="2025-08-31T00:00:00"/>
        <d v="2025-04-21T00:00:00"/>
        <d v="2025-06-01T00:00:00"/>
        <d v="2025-12-31T00:00:00"/>
        <d v="2025-01-23T00:00:00"/>
        <d v="2025-05-30T00:00:00"/>
        <d v="2025-08-24T00:00:00"/>
        <d v="2025-08-20T00:00:00"/>
        <d v="2025-06-17T00:00:00"/>
        <d v="2025-11-24T00:00:00"/>
        <d v="2025-09-07T00:00:00"/>
        <d v="2025-09-22T00:00:00"/>
        <d v="2025-03-27T00:00:00"/>
        <d v="2025-07-11T00:00:00"/>
        <d v="2025-05-22T00:00:00"/>
        <d v="2025-10-17T00:00:00"/>
        <d v="2025-09-12T00:00:00"/>
        <d v="2025-05-24T00:00:00"/>
        <d v="2025-04-08T00:00:00"/>
        <d v="2025-12-24T00:00:00"/>
        <d v="2025-03-08T00:00:00"/>
        <d v="2025-07-22T00:00:00"/>
        <d v="2025-11-13T00:00:00"/>
        <d v="2025-03-04T00:00:00"/>
        <d v="2025-01-13T00:00:00"/>
        <d v="2025-11-10T00:00:00"/>
        <d v="2025-10-16T00:00:00"/>
        <d v="2025-01-28T00:00:00"/>
        <d v="2025-06-10T00:00:00"/>
        <d v="2025-09-11T00:00:00"/>
        <d v="2025-09-30T00:00:00"/>
        <d v="2025-06-27T00:00:00"/>
        <d v="2025-07-15T00:00:00"/>
        <d v="2025-08-28T00:00:00"/>
        <d v="2025-06-29T00:00:00"/>
        <d v="2025-07-05T00:00:00"/>
        <d v="2025-04-10T00:00:00"/>
        <d v="2025-09-21T00:00:00"/>
        <d v="2025-02-22T00:00:00"/>
        <d v="2025-06-25T00:00:00"/>
        <d v="2025-02-16T00:00:00"/>
        <d v="2025-12-03T00:00:00"/>
        <d v="2025-10-15T00:00:00"/>
        <d v="2025-11-05T00:00:00"/>
        <d v="2025-05-04T00:00:00"/>
        <d v="2025-01-31T00:00:00"/>
        <d v="2025-01-14T00:00:00"/>
        <d v="2025-09-14T00:00:00"/>
        <d v="2025-01-06T00:00:00"/>
        <d v="2025-02-01T00:00:00"/>
        <d v="2025-07-27T00:00:00"/>
        <d v="2025-06-12T00:00:00"/>
        <d v="2025-11-12T00:00:00"/>
        <d v="2025-09-04T00:00:00"/>
        <d v="2025-05-06T00:00:00"/>
        <d v="2025-11-30T00:00:00"/>
        <d v="2025-10-26T00:00:00"/>
        <d v="2025-02-26T00:00:00"/>
        <d v="2025-06-06T00:00:00"/>
        <d v="2025-08-12T00:00:00"/>
        <d v="2025-03-06T00:00:00"/>
        <d v="2025-10-20T00:00:00"/>
        <d v="2025-07-19T00:00:00"/>
        <d v="2025-09-28T00:00:00"/>
        <d v="2025-02-28T00:00:00"/>
        <d v="2025-05-01T00:00:00"/>
        <d v="2025-02-03T00:00:00"/>
        <d v="2025-02-14T00:00:00"/>
        <d v="2025-07-16T00:00:00"/>
        <d v="2025-07-10T00:00:00"/>
        <d v="2025-06-08T00:00:00"/>
        <d v="2025-07-07T00:00:00"/>
        <d v="2025-02-04T00:00:00"/>
        <d v="2025-02-07T00:00:00"/>
        <d v="2025-03-17T00:00:00"/>
        <d v="2025-12-02T00:00:00"/>
        <d v="2025-10-13T00:00:00"/>
        <d v="2025-08-15T00:00:00"/>
        <d v="2025-03-01T00:00:00"/>
        <d v="2025-08-14T00:00:00"/>
        <d v="2025-10-07T00:00:00"/>
        <d v="2025-09-08T00:00:00"/>
        <d v="2025-01-16T00:00:00"/>
        <d v="2025-07-17T00:00:00"/>
        <d v="2025-09-06T00:00:00"/>
        <d v="2025-09-23T00:00:00"/>
        <d v="2025-06-16T00:00:00"/>
        <d v="2025-05-08T00:00:00"/>
        <d v="2025-08-21T00:00:00"/>
        <d v="2025-05-14T00:00:00"/>
        <d v="2025-04-19T00:00:00"/>
        <d v="2025-10-03T00:00:00"/>
        <d v="2025-11-03T00:00:00"/>
        <d v="2025-09-17T00:00:00"/>
        <d v="2025-11-19T00:00:00"/>
        <d v="2025-08-10T00:00:00"/>
        <d v="2025-11-26T00:00:00"/>
        <d v="2025-03-14T00:00:00"/>
        <d v="2025-05-03T00:00:00"/>
        <d v="2025-01-07T00:00:00"/>
        <d v="2025-05-17T00:00:00"/>
        <d v="2025-07-06T00:00:00"/>
        <d v="2025-08-05T00:00:00"/>
        <d v="2025-11-15T00:00:00"/>
        <d v="2025-01-26T00:00:00"/>
        <d v="2025-01-04T00:00:00"/>
        <d v="2025-10-04T00:00:00"/>
        <d v="2025-02-08T00:00:00"/>
        <d v="2025-12-12T00:00:00"/>
        <d v="2025-06-30T00:00:00"/>
        <d v="2025-11-17T00:00:00"/>
        <d v="2025-01-18T00:00:00"/>
        <d v="2025-01-19T00:00:00"/>
        <d v="2025-10-27T00:00:00"/>
        <d v="2025-12-25T00:00:00"/>
        <d v="2025-12-10T00:00:00"/>
        <d v="2025-01-30T00:00:00"/>
        <d v="2025-12-18T00:00:00"/>
        <d v="2025-01-22T00:00:00"/>
        <d v="2025-07-26T00:00:00"/>
        <d v="2025-05-09T00:00:00"/>
        <d v="2025-09-05T00:00:00"/>
        <d v="2025-09-18T00:00:00"/>
        <d v="2025-09-13T00:00:00"/>
        <d v="2025-09-20T00:00:00"/>
        <d v="2025-01-02T00:00:00"/>
        <d v="2025-10-22T00:00:00"/>
        <d v="2025-12-11T00:00:00"/>
        <d v="2025-08-11T00:00:00"/>
        <d v="2025-05-11T00:00:00"/>
        <d v="2025-02-25T00:00:00"/>
        <d v="2025-11-23T00:00:00"/>
        <d v="2025-12-26T00:00:00"/>
        <d v="2025-09-26T00:00:00"/>
        <d v="2025-01-03T00:00:00"/>
        <d v="2025-05-13T00:00:00"/>
        <d v="2025-04-15T00:00:00"/>
        <d v="2025-06-22T00:00:00"/>
        <d v="2025-05-21T00:00:00"/>
        <d v="2025-07-24T00:00:00"/>
        <d v="2025-04-30T00:00:00"/>
        <d v="2025-12-30T00:00:00"/>
        <d v="2025-12-07T00:00:00"/>
        <d v="2025-05-05T00:00:00"/>
        <d v="2025-03-16T00:00:00"/>
        <d v="2025-10-25T00:00:00"/>
        <d v="2025-12-15T00:00:00"/>
        <d v="2025-02-23T00:00:00"/>
        <d v="2025-04-25T00:00:00"/>
        <d v="2025-04-02T00:00:00"/>
        <d v="2025-07-23T00:00:00"/>
        <d v="2025-04-20T00:00:00"/>
        <d v="2025-01-08T00:00:00"/>
        <d v="2025-07-29T00:00:00"/>
        <d v="2025-10-12T00:00:00"/>
        <d v="2025-08-27T00:00:00"/>
        <d v="2025-03-21T00:00:00"/>
        <d v="2025-10-05T00:00:00"/>
        <d v="2025-10-31T00:00:00"/>
        <d v="2025-04-22T00:00:00"/>
        <d v="2025-01-12T00:00:00"/>
        <d v="2025-01-11T00:00:00"/>
        <d v="2025-07-12T00:00:00"/>
        <d v="2025-12-22T00:00:00"/>
        <d v="2025-05-23T00:00:00"/>
        <d v="2025-04-26T00:00:00"/>
        <d v="2025-02-24T00:00:00"/>
        <d v="2025-05-10T00:00:00"/>
        <d v="2025-05-28T00:00:00"/>
        <d v="2025-08-04T00:00:00"/>
        <d v="2025-03-31T00:00:00"/>
        <d v="2025-08-03T00:00:00"/>
        <d v="2025-05-02T00:00:00"/>
        <d v="2025-08-29T00:00:00"/>
        <d v="2025-02-02T00:00:00"/>
        <d v="2025-04-14T00:00:00"/>
        <d v="2025-12-08T00:00:00"/>
        <d v="2025-06-07T00:00:00"/>
        <d v="2025-08-02T00:00:00"/>
        <d v="2025-10-09T00:00:00"/>
        <d v="2025-12-04T00:00:00"/>
        <d v="2025-11-29T00:00:00"/>
        <d v="2025-07-02T00:00:00"/>
        <d v="2025-10-01T00:00:00"/>
        <d v="2025-11-18T00:00:00"/>
        <d v="2025-08-09T00:00:00"/>
        <d v="2025-06-13T00:00:00"/>
        <d v="2025-11-28T00:00:00"/>
        <d v="2025-03-28T00:00:00"/>
        <d v="2025-07-14T00:00:00"/>
        <d v="2025-06-28T00:00:00"/>
        <d v="2025-03-13T00:00:00"/>
        <d v="2025-03-25T00:00:00"/>
        <d v="2025-02-17T00:00:00"/>
        <d v="2025-06-05T00:00:00"/>
        <d v="2025-08-07T00:00:00"/>
        <d v="2025-04-01T00:00:00"/>
        <d v="2025-03-10T00:00:00"/>
        <d v="2025-11-22T00:00:00"/>
        <d v="2025-09-27T00:00:00"/>
        <d v="2025-12-05T00:00:00"/>
        <d v="2025-12-21T00:00:00"/>
        <d v="2025-05-29T00:00:00"/>
        <d v="2025-08-25T00:00:00"/>
        <d v="2025-01-01T00:00:00"/>
        <d v="2025-09-25T00:00:00"/>
        <d v="2025-12-14T00:00:00"/>
        <d v="2025-01-09T00:00:00"/>
        <d v="2025-01-21T00:00:00"/>
        <d v="2025-08-08T00:00:00"/>
        <d v="2025-09-01T00:00:00"/>
        <d v="2025-03-09T00:00:00"/>
        <d v="2025-11-14T00:00:00"/>
        <d v="2025-05-16T00:00:00"/>
        <d v="2025-04-09T00:00:00"/>
        <d v="2025-06-20T00:00:00"/>
        <d v="2025-09-16T00:00:00"/>
        <d v="2025-11-08T00:00:00"/>
        <d v="2025-03-23T00:00:00"/>
        <d v="2025-03-11T00:00:00"/>
        <d v="2025-05-18T00:00:00"/>
        <d v="2025-04-03T00:00:00"/>
        <d v="2025-12-17T00:00:00"/>
        <d v="2025-08-26T00:00:00"/>
        <d v="2025-08-18T00:00:00"/>
        <d v="2025-02-06T00:00:00"/>
        <d v="2025-02-20T00:00:00"/>
        <d v="2025-03-30T00:00:00"/>
        <d v="2025-04-16T00:00:00"/>
        <d v="2025-09-24T00:00:00"/>
        <d v="2025-11-04T00:00:00"/>
        <d v="2025-05-20T00:00:00"/>
        <d v="2025-02-09T00:00:00"/>
        <d v="2025-06-19T00:00:00"/>
        <d v="2025-11-21T00:00:00"/>
        <d v="2025-12-29T00:00:00"/>
        <d v="2025-03-26T00:00:00"/>
        <d v="2025-01-29T00:00:00"/>
        <d v="2025-03-24T00:00:00"/>
        <d v="2025-07-18T00:00:00"/>
        <d v="2025-06-09T00:00:00"/>
        <d v="2025-10-30T00:00:00"/>
        <d v="2025-05-19T00:00:00"/>
        <d v="2025-12-20T00:00:00"/>
        <d v="2025-04-05T00:00:00"/>
        <d v="2025-03-02T00:00:00"/>
        <d v="2025-10-08T00:00:00"/>
        <d v="2025-04-27T00:00:00"/>
        <d v="2025-07-31T00:00:00"/>
        <d v="2025-11-27T00:00:00"/>
        <d v="2025-04-07T00:00:00"/>
        <d v="2025-10-23T00:00:00"/>
        <d v="2025-02-21T00:00:00"/>
        <d v="2025-06-11T00:00:00"/>
        <d v="2025-07-20T00:00:00"/>
        <d v="2025-01-25T00:00:00"/>
        <d v="2025-06-02T00:00:00"/>
        <d v="2025-07-28T00:00:00"/>
        <d v="2025-10-21T00:00:00"/>
        <d v="2025-09-29T00:00:00"/>
        <d v="2025-10-10T00:00:00"/>
        <d v="2025-05-31T00:00:00"/>
        <d v="2025-06-24T00:00:00"/>
        <d v="2025-10-11T00:00:00"/>
        <d v="2025-08-19T00:00:00"/>
        <d v="2025-03-19T00:00:00"/>
        <d v="2025-10-29T00:00:00"/>
        <d v="2025-01-17T00:00:00"/>
        <d v="2025-10-14T00:00:00"/>
        <d v="2025-12-27T00:00:00"/>
        <d v="2025-12-01T00:00:00"/>
        <d v="2025-09-03T00:00:00"/>
        <d v="2025-01-05T00:00:00"/>
        <d v="2025-04-06T00:00:00"/>
        <d v="2025-06-14T00:00:00"/>
        <d v="2025-07-30T00:00:00"/>
        <d v="2025-10-24T00:00:00"/>
        <d v="2025-05-26T00:00:00"/>
        <d v="2025-03-18T00:00:00"/>
        <d v="2025-09-02T00:00:00"/>
        <d v="2025-10-02T00:00:00"/>
        <d v="2025-11-09T00:00:00"/>
        <d v="2025-08-23T00:00:00"/>
        <d v="2025-10-28T00:00:00"/>
        <d v="2025-05-27T00:00:00"/>
        <d v="2025-02-05T00:00:00"/>
        <d v="2025-04-29T00:00:00"/>
        <d v="2025-05-12T00:00:00"/>
        <d v="2025-06-18T00:00:00"/>
        <d v="2025-04-13T00:00:00"/>
        <d v="2025-04-04T00:00:00"/>
        <d v="2025-01-24T00:00:00"/>
        <d v="2025-07-13T00:00:00"/>
        <d v="2025-08-13T00:00:00"/>
        <d v="2025-08-22T00:00:00"/>
        <d v="2025-01-15T00:00:00"/>
        <d v="2025-02-15T00:00:00"/>
        <d v="2025-12-28T00:00:00"/>
        <d v="2025-11-25T00:00:00"/>
        <d v="2025-07-09T00:00:00"/>
        <d v="2025-07-25T00:00:00"/>
        <m/>
      </sharedItems>
      <fieldGroup par="12"/>
    </cacheField>
    <cacheField name="Quantity" numFmtId="0">
      <sharedItems containsString="0" containsBlank="1" containsNumber="1" containsInteger="1" minValue="1" maxValue="200"/>
    </cacheField>
    <cacheField name="Price" numFmtId="0">
      <sharedItems containsString="0" containsBlank="1" containsNumber="1" minValue="110.84" maxValue="19983.599999999999"/>
    </cacheField>
    <cacheField name="Profit" numFmtId="0">
      <sharedItems containsString="0" containsBlank="1" containsNumber="1" minValue="16.53" maxValue="9506.82"/>
    </cacheField>
    <cacheField name="Expense" numFmtId="0">
      <sharedItems containsString="0" containsBlank="1" containsNumber="1" minValue="79.91" maxValue="17852.41"/>
    </cacheField>
    <cacheField name="Dealer Name" numFmtId="0">
      <sharedItems containsBlank="1" count="6">
        <s v="LifeLine Pharma"/>
        <s v="HealthPlus"/>
        <s v="CareMed"/>
        <s v="Apollo Pharma"/>
        <s v="MediCare Distributors"/>
        <m/>
      </sharedItems>
    </cacheField>
    <cacheField name="City" numFmtId="0">
      <sharedItems containsBlank="1" count="9">
        <s v="Pune"/>
        <s v="Hyderabad"/>
        <s v="Delhi"/>
        <s v="Ahmedabad"/>
        <s v="Chennai"/>
        <s v="Mumbai"/>
        <s v="Bangalore"/>
        <s v="Surat"/>
        <m/>
      </sharedItems>
    </cacheField>
    <cacheField name="Payment Type" numFmtId="0">
      <sharedItems containsBlank="1" count="5">
        <s v="Cash"/>
        <s v="Bank Transfer"/>
        <s v="UPI"/>
        <s v="Card"/>
        <m/>
      </sharedItems>
    </cacheField>
    <cacheField name="Delivery Status" numFmtId="0">
      <sharedItems containsBlank="1" count="5">
        <s v="Cancelled"/>
        <s v="Delivered"/>
        <s v="In Transit"/>
        <s v="Pending"/>
        <m/>
      </sharedItems>
    </cacheField>
    <cacheField name="Days (Sales Date)" numFmtId="0" databaseField="0">
      <fieldGroup base="2">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Sales Date)" numFmtId="0" databaseField="0">
      <fieldGroup base="2">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15634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7.694210648151" createdVersion="8" refreshedVersion="8" minRefreshableVersion="3" recordCount="1200" xr:uid="{E7C870F7-76F4-421E-AAB9-13B78126DB44}">
  <cacheSource type="worksheet">
    <worksheetSource ref="A1:L1201" sheet="Sales Data"/>
  </cacheSource>
  <cacheFields count="12">
    <cacheField name="Customer Name" numFmtId="0">
      <sharedItems containsBlank="1"/>
    </cacheField>
    <cacheField name="Customer ID" numFmtId="0">
      <sharedItems containsBlank="1"/>
    </cacheField>
    <cacheField name="Sales Date" numFmtId="0">
      <sharedItems containsNonDate="0" containsDate="1" containsString="0" containsBlank="1" minDate="2025-01-01T00:00:00" maxDate="2026-01-01T00:00:00"/>
    </cacheField>
    <cacheField name="Quantity" numFmtId="0">
      <sharedItems containsString="0" containsBlank="1" containsNumber="1" containsInteger="1" minValue="1" maxValue="200"/>
    </cacheField>
    <cacheField name="Price" numFmtId="0">
      <sharedItems containsString="0" containsBlank="1" containsNumber="1" minValue="110.84" maxValue="19983.599999999999"/>
    </cacheField>
    <cacheField name="Profit" numFmtId="0">
      <sharedItems containsString="0" containsBlank="1" containsNumber="1" minValue="16.53" maxValue="9506.82"/>
    </cacheField>
    <cacheField name="Expense" numFmtId="0">
      <sharedItems containsString="0" containsBlank="1" containsNumber="1" minValue="79.91" maxValue="17852.41"/>
    </cacheField>
    <cacheField name="Dealer Name" numFmtId="0">
      <sharedItems containsBlank="1"/>
    </cacheField>
    <cacheField name="City" numFmtId="0">
      <sharedItems containsBlank="1" count="9">
        <s v="Pune"/>
        <s v="Hyderabad"/>
        <s v="Delhi"/>
        <s v="Ahmedabad"/>
        <s v="Chennai"/>
        <s v="Mumbai"/>
        <s v="Bangalore"/>
        <s v="Surat"/>
        <m/>
      </sharedItems>
    </cacheField>
    <cacheField name="Payment Type" numFmtId="0">
      <sharedItems containsBlank="1"/>
    </cacheField>
    <cacheField name="Delivery Status" numFmtId="0">
      <sharedItems containsBlank="1"/>
    </cacheField>
    <cacheField name="type" numFmtId="0">
      <sharedItems count="5">
        <s v="Tablet"/>
        <s v="Syrup"/>
        <s v="Ointment"/>
        <s v="Injection"/>
        <s v="Capsule"/>
      </sharedItems>
    </cacheField>
  </cacheFields>
  <extLst>
    <ext xmlns:x14="http://schemas.microsoft.com/office/spreadsheetml/2009/9/main" uri="{725AE2AE-9491-48be-B2B4-4EB974FC3084}">
      <x14:pivotCacheDefinition pivotCacheId="844838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5006"/>
    <x v="0"/>
    <n v="9024"/>
    <n v="70.849999999999994"/>
    <n v="152.85"/>
    <s v="2025-11-23"/>
    <s v="2028-06-03"/>
    <s v="BT21395"/>
    <x v="0"/>
    <n v="40.299999999999997"/>
  </r>
  <r>
    <x v="1"/>
    <x v="0"/>
    <n v="4082"/>
    <x v="0"/>
    <n v="8623"/>
    <n v="154.08000000000001"/>
    <n v="190.21"/>
    <s v="2024-07-22"/>
    <s v="2027-05-18"/>
    <s v="BT81426"/>
    <x v="1"/>
    <n v="75.22"/>
  </r>
  <r>
    <x v="2"/>
    <x v="1"/>
    <n v="606"/>
    <x v="1"/>
    <n v="6231"/>
    <n v="210.95"/>
    <n v="346.45"/>
    <s v="2024-06-08"/>
    <s v="2026-01-14"/>
    <s v="BT54118"/>
    <x v="2"/>
    <n v="92.21"/>
  </r>
  <r>
    <x v="0"/>
    <x v="1"/>
    <n v="6135"/>
    <x v="0"/>
    <n v="20782"/>
    <n v="83.03"/>
    <n v="104.33"/>
    <s v="2025-04-15"/>
    <s v="2027-10-16"/>
    <s v="BT26361"/>
    <x v="1"/>
    <n v="35.83"/>
  </r>
  <r>
    <x v="3"/>
    <x v="2"/>
    <n v="6425"/>
    <x v="0"/>
    <n v="19918"/>
    <n v="61.73"/>
    <n v="79.66"/>
    <s v="2025-11-08"/>
    <s v="2027-06-29"/>
    <s v="BT47930"/>
    <x v="2"/>
    <n v="45.81"/>
  </r>
  <r>
    <x v="0"/>
    <x v="3"/>
    <n v="5054"/>
    <x v="0"/>
    <n v="15857"/>
    <n v="192.53"/>
    <n v="322.35000000000002"/>
    <s v="2025-01-14"/>
    <s v="2027-01-12"/>
    <s v="BT37460"/>
    <x v="3"/>
    <n v="131.06"/>
  </r>
  <r>
    <x v="4"/>
    <x v="2"/>
    <n v="3303"/>
    <x v="0"/>
    <n v="18502"/>
    <n v="220.09"/>
    <n v="310.86"/>
    <s v="2025-01-23"/>
    <s v="2026-10-26"/>
    <s v="BT93886"/>
    <x v="0"/>
    <n v="107.37"/>
  </r>
  <r>
    <x v="5"/>
    <x v="0"/>
    <n v="4252"/>
    <x v="0"/>
    <n v="2051"/>
    <n v="242.49"/>
    <n v="417.45"/>
    <s v="2024-03-08"/>
    <s v="2025-10-10"/>
    <s v="BT84341"/>
    <x v="3"/>
    <n v="117.62"/>
  </r>
  <r>
    <x v="6"/>
    <x v="3"/>
    <n v="8017"/>
    <x v="0"/>
    <n v="5681"/>
    <n v="83.14"/>
    <n v="126.42"/>
    <s v="2025-07-28"/>
    <s v="2028-01-30"/>
    <s v="BT44438"/>
    <x v="0"/>
    <n v="47.5"/>
  </r>
  <r>
    <x v="2"/>
    <x v="3"/>
    <n v="6430"/>
    <x v="0"/>
    <n v="8186"/>
    <n v="299.20999999999998"/>
    <n v="412.86"/>
    <s v="2025-05-20"/>
    <s v="2026-08-21"/>
    <s v="BT16175"/>
    <x v="2"/>
    <n v="137.97999999999999"/>
  </r>
  <r>
    <x v="7"/>
    <x v="3"/>
    <n v="1540"/>
    <x v="2"/>
    <n v="13608"/>
    <n v="117.58"/>
    <n v="293.36"/>
    <s v="2025-06-25"/>
    <s v="2027-03-09"/>
    <s v="BT82512"/>
    <x v="2"/>
    <n v="79.03"/>
  </r>
  <r>
    <x v="0"/>
    <x v="2"/>
    <n v="4871"/>
    <x v="0"/>
    <n v="22003"/>
    <n v="105.35"/>
    <n v="166.62"/>
    <s v="2024-06-10"/>
    <s v="2026-09-17"/>
    <s v="BT10425"/>
    <x v="3"/>
    <n v="83.1"/>
  </r>
  <r>
    <x v="7"/>
    <x v="2"/>
    <n v="2243"/>
    <x v="2"/>
    <n v="21489"/>
    <n v="93.04"/>
    <n v="188.93"/>
    <s v="2025-09-15"/>
    <s v="2027-04-06"/>
    <s v="BT30032"/>
    <x v="3"/>
    <n v="65.59"/>
  </r>
  <r>
    <x v="8"/>
    <x v="2"/>
    <n v="509"/>
    <x v="1"/>
    <n v="20626"/>
    <n v="100.63"/>
    <n v="123.3"/>
    <s v="2025-01-06"/>
    <s v="2026-11-16"/>
    <s v="BT41385"/>
    <x v="2"/>
    <n v="49.95"/>
  </r>
  <r>
    <x v="2"/>
    <x v="0"/>
    <n v="1903"/>
    <x v="2"/>
    <n v="24983"/>
    <n v="148.37"/>
    <n v="191.39"/>
    <s v="2025-06-29"/>
    <s v="2026-11-04"/>
    <s v="BT26828"/>
    <x v="1"/>
    <n v="115.54"/>
  </r>
  <r>
    <x v="7"/>
    <x v="1"/>
    <n v="9145"/>
    <x v="0"/>
    <n v="20876"/>
    <n v="129.83000000000001"/>
    <n v="191.54"/>
    <s v="2025-07-06"/>
    <s v="2028-06-11"/>
    <s v="BT36365"/>
    <x v="3"/>
    <n v="72.650000000000006"/>
  </r>
  <r>
    <x v="9"/>
    <x v="3"/>
    <n v="8979"/>
    <x v="0"/>
    <n v="15794"/>
    <n v="40.700000000000003"/>
    <n v="60.73"/>
    <s v="2024-12-12"/>
    <s v="2026-01-02"/>
    <s v="BT87110"/>
    <x v="0"/>
    <n v="20.03"/>
  </r>
  <r>
    <x v="10"/>
    <x v="0"/>
    <n v="1663"/>
    <x v="2"/>
    <n v="24194"/>
    <n v="191.18"/>
    <n v="286.32"/>
    <s v="2024-02-02"/>
    <s v="2026-01-05"/>
    <s v="BT19287"/>
    <x v="0"/>
    <n v="94.67"/>
  </r>
  <r>
    <x v="6"/>
    <x v="4"/>
    <n v="9334"/>
    <x v="0"/>
    <n v="5335"/>
    <n v="218.39"/>
    <n v="512.58000000000004"/>
    <s v="2025-08-13"/>
    <s v="2027-12-10"/>
    <s v="BT41850"/>
    <x v="1"/>
    <n v="157.9"/>
  </r>
  <r>
    <x v="11"/>
    <x v="0"/>
    <n v="2088"/>
    <x v="2"/>
    <n v="22593"/>
    <n v="132.16"/>
    <n v="231.37"/>
    <s v="2025-04-23"/>
    <s v="2026-06-17"/>
    <s v="BT98259"/>
    <x v="2"/>
    <n v="56.07"/>
  </r>
  <r>
    <x v="5"/>
    <x v="0"/>
    <n v="4573"/>
    <x v="0"/>
    <n v="7278"/>
    <n v="61.11"/>
    <n v="108.97"/>
    <s v="2025-03-08"/>
    <s v="2026-09-11"/>
    <s v="BT46509"/>
    <x v="1"/>
    <n v="30.55"/>
  </r>
  <r>
    <x v="4"/>
    <x v="3"/>
    <n v="9516"/>
    <x v="0"/>
    <n v="4208"/>
    <n v="19.920000000000002"/>
    <n v="49.78"/>
    <s v="2024-01-16"/>
    <s v="2025-04-20"/>
    <s v="BT40982"/>
    <x v="4"/>
    <n v="11.21"/>
  </r>
  <r>
    <x v="6"/>
    <x v="4"/>
    <n v="7070"/>
    <x v="0"/>
    <n v="2921"/>
    <n v="53.57"/>
    <n v="64.430000000000007"/>
    <s v="2025-02-03"/>
    <s v="2026-11-01"/>
    <s v="BT69638"/>
    <x v="3"/>
    <n v="30.49"/>
  </r>
  <r>
    <x v="8"/>
    <x v="3"/>
    <n v="3036"/>
    <x v="0"/>
    <n v="7222"/>
    <n v="92.53"/>
    <n v="227.56"/>
    <s v="2025-08-16"/>
    <s v="2028-02-22"/>
    <s v="BT17989"/>
    <x v="3"/>
    <n v="39.130000000000003"/>
  </r>
  <r>
    <x v="2"/>
    <x v="3"/>
    <n v="8738"/>
    <x v="0"/>
    <n v="18403"/>
    <n v="51.44"/>
    <n v="125.98"/>
    <s v="2024-03-23"/>
    <s v="2025-09-29"/>
    <s v="BT18981"/>
    <x v="0"/>
    <n v="21.97"/>
  </r>
  <r>
    <x v="10"/>
    <x v="3"/>
    <n v="2464"/>
    <x v="2"/>
    <n v="19667"/>
    <n v="77.63"/>
    <n v="153.15"/>
    <s v="2025-09-26"/>
    <s v="2026-12-18"/>
    <s v="BT64948"/>
    <x v="0"/>
    <n v="48.6"/>
  </r>
  <r>
    <x v="5"/>
    <x v="1"/>
    <n v="3846"/>
    <x v="0"/>
    <n v="22945"/>
    <n v="216.28"/>
    <n v="326.64999999999998"/>
    <s v="2025-02-09"/>
    <s v="2026-06-23"/>
    <s v="BT98039"/>
    <x v="3"/>
    <n v="126.07"/>
  </r>
  <r>
    <x v="4"/>
    <x v="0"/>
    <n v="8008"/>
    <x v="0"/>
    <n v="21354"/>
    <n v="299.54000000000002"/>
    <n v="747.33"/>
    <s v="2024-03-16"/>
    <s v="2026-09-17"/>
    <s v="BT37938"/>
    <x v="0"/>
    <n v="151.59"/>
  </r>
  <r>
    <x v="9"/>
    <x v="0"/>
    <n v="4502"/>
    <x v="0"/>
    <n v="13108"/>
    <n v="89.07"/>
    <n v="157.62"/>
    <s v="2025-07-10"/>
    <s v="2028-06-29"/>
    <s v="BT49651"/>
    <x v="0"/>
    <n v="70.680000000000007"/>
  </r>
  <r>
    <x v="12"/>
    <x v="0"/>
    <n v="9586"/>
    <x v="0"/>
    <n v="10810"/>
    <n v="279.87"/>
    <n v="373.53"/>
    <s v="2024-05-17"/>
    <s v="2026-02-11"/>
    <s v="BT25129"/>
    <x v="2"/>
    <n v="195.06"/>
  </r>
  <r>
    <x v="13"/>
    <x v="1"/>
    <n v="5116"/>
    <x v="0"/>
    <n v="20819"/>
    <n v="67.14"/>
    <n v="110.5"/>
    <s v="2025-10-11"/>
    <s v="2027-07-08"/>
    <s v="BT76244"/>
    <x v="1"/>
    <n v="33.6"/>
  </r>
  <r>
    <x v="14"/>
    <x v="0"/>
    <n v="7439"/>
    <x v="0"/>
    <n v="10066"/>
    <n v="18.010000000000002"/>
    <n v="29.42"/>
    <s v="2024-05-13"/>
    <s v="2027-02-24"/>
    <s v="BT44335"/>
    <x v="4"/>
    <n v="12.54"/>
  </r>
  <r>
    <x v="8"/>
    <x v="3"/>
    <n v="9689"/>
    <x v="0"/>
    <n v="1316"/>
    <n v="38"/>
    <n v="92.29"/>
    <s v="2024-06-01"/>
    <s v="2026-12-11"/>
    <s v="BT14722"/>
    <x v="3"/>
    <n v="24.05"/>
  </r>
  <r>
    <x v="13"/>
    <x v="3"/>
    <n v="2588"/>
    <x v="2"/>
    <n v="2370"/>
    <n v="95.94"/>
    <n v="227.25"/>
    <s v="2024-02-10"/>
    <s v="2026-02-10"/>
    <s v="BT37535"/>
    <x v="4"/>
    <n v="63.97"/>
  </r>
  <r>
    <x v="9"/>
    <x v="2"/>
    <n v="7158"/>
    <x v="0"/>
    <n v="21337"/>
    <n v="226.1"/>
    <n v="543.42999999999995"/>
    <s v="2024-08-30"/>
    <s v="2026-02-12"/>
    <s v="BT33206"/>
    <x v="1"/>
    <n v="92.68"/>
  </r>
  <r>
    <x v="5"/>
    <x v="3"/>
    <n v="4565"/>
    <x v="0"/>
    <n v="9742"/>
    <n v="51.96"/>
    <n v="109.72"/>
    <s v="2025-01-26"/>
    <s v="2026-03-06"/>
    <s v="BT71694"/>
    <x v="4"/>
    <n v="24.93"/>
  </r>
  <r>
    <x v="15"/>
    <x v="1"/>
    <n v="5500"/>
    <x v="0"/>
    <n v="8457"/>
    <n v="70.760000000000005"/>
    <n v="145.63"/>
    <s v="2025-02-12"/>
    <s v="2027-01-14"/>
    <s v="BT46517"/>
    <x v="2"/>
    <n v="55.67"/>
  </r>
  <r>
    <x v="16"/>
    <x v="1"/>
    <n v="8846"/>
    <x v="0"/>
    <n v="14096"/>
    <n v="205.46"/>
    <n v="471.89"/>
    <s v="2024-12-05"/>
    <s v="2026-01-02"/>
    <s v="BT25118"/>
    <x v="3"/>
    <n v="96.86"/>
  </r>
  <r>
    <x v="16"/>
    <x v="0"/>
    <n v="2276"/>
    <x v="2"/>
    <n v="20548"/>
    <n v="133.19999999999999"/>
    <n v="285.99"/>
    <s v="2024-11-17"/>
    <s v="2027-02-06"/>
    <s v="BT89457"/>
    <x v="0"/>
    <n v="59.44"/>
  </r>
  <r>
    <x v="2"/>
    <x v="4"/>
    <n v="4673"/>
    <x v="0"/>
    <n v="2454"/>
    <n v="214.09"/>
    <n v="257.38"/>
    <s v="2025-07-05"/>
    <s v="2028-06-07"/>
    <s v="BT97900"/>
    <x v="4"/>
    <n v="116.83"/>
  </r>
  <r>
    <x v="4"/>
    <x v="1"/>
    <n v="5643"/>
    <x v="0"/>
    <n v="22737"/>
    <n v="255.16"/>
    <n v="544.94000000000005"/>
    <s v="2024-11-03"/>
    <s v="2027-04-06"/>
    <s v="BT50538"/>
    <x v="1"/>
    <n v="135.36000000000001"/>
  </r>
  <r>
    <x v="3"/>
    <x v="2"/>
    <n v="2585"/>
    <x v="2"/>
    <n v="7286"/>
    <n v="129.03"/>
    <n v="312.57"/>
    <s v="2025-11-24"/>
    <s v="2027-05-21"/>
    <s v="BT90676"/>
    <x v="0"/>
    <n v="67.14"/>
  </r>
  <r>
    <x v="8"/>
    <x v="0"/>
    <n v="5478"/>
    <x v="0"/>
    <n v="10401"/>
    <n v="67"/>
    <n v="148.84"/>
    <s v="2025-09-13"/>
    <s v="2028-07-14"/>
    <s v="BT52237"/>
    <x v="1"/>
    <n v="38.64"/>
  </r>
  <r>
    <x v="11"/>
    <x v="2"/>
    <n v="8252"/>
    <x v="0"/>
    <n v="6560"/>
    <n v="199.36"/>
    <n v="312.77999999999997"/>
    <s v="2025-11-10"/>
    <s v="2028-08-19"/>
    <s v="BT91167"/>
    <x v="3"/>
    <n v="87.19"/>
  </r>
  <r>
    <x v="10"/>
    <x v="1"/>
    <n v="4180"/>
    <x v="0"/>
    <n v="7525"/>
    <n v="48.47"/>
    <n v="61.08"/>
    <s v="2025-05-01"/>
    <s v="2028-01-16"/>
    <s v="BT19545"/>
    <x v="1"/>
    <n v="27.42"/>
  </r>
  <r>
    <x v="2"/>
    <x v="4"/>
    <n v="6791"/>
    <x v="0"/>
    <n v="17199"/>
    <n v="122.9"/>
    <n v="171.06"/>
    <s v="2024-01-06"/>
    <s v="2025-04-24"/>
    <s v="BT65724"/>
    <x v="4"/>
    <n v="57.81"/>
  </r>
  <r>
    <x v="12"/>
    <x v="3"/>
    <n v="1322"/>
    <x v="2"/>
    <n v="19265"/>
    <n v="78.510000000000005"/>
    <n v="180.8"/>
    <s v="2025-04-12"/>
    <s v="2026-08-26"/>
    <s v="BT70901"/>
    <x v="0"/>
    <n v="62.43"/>
  </r>
  <r>
    <x v="17"/>
    <x v="1"/>
    <n v="7751"/>
    <x v="0"/>
    <n v="21075"/>
    <n v="245.43"/>
    <n v="579.12"/>
    <s v="2025-03-12"/>
    <s v="2027-09-24"/>
    <s v="BT68446"/>
    <x v="4"/>
    <n v="171.18"/>
  </r>
  <r>
    <x v="6"/>
    <x v="3"/>
    <n v="4746"/>
    <x v="0"/>
    <n v="9101"/>
    <n v="252.76"/>
    <n v="394.43"/>
    <s v="2025-06-17"/>
    <s v="2027-10-26"/>
    <s v="BT92149"/>
    <x v="4"/>
    <n v="128.87"/>
  </r>
  <r>
    <x v="4"/>
    <x v="1"/>
    <n v="4341"/>
    <x v="0"/>
    <n v="9903"/>
    <n v="104.08"/>
    <n v="245.73"/>
    <s v="2024-03-23"/>
    <s v="2025-08-11"/>
    <s v="BT29769"/>
    <x v="4"/>
    <n v="57.58"/>
  </r>
  <r>
    <x v="13"/>
    <x v="4"/>
    <n v="1552"/>
    <x v="2"/>
    <n v="14594"/>
    <n v="125.24"/>
    <n v="238.63"/>
    <s v="2025-03-01"/>
    <s v="2026-05-03"/>
    <s v="BT37110"/>
    <x v="1"/>
    <n v="69.61"/>
  </r>
  <r>
    <x v="2"/>
    <x v="0"/>
    <n v="9932"/>
    <x v="0"/>
    <n v="13464"/>
    <n v="145.71"/>
    <n v="353.43"/>
    <s v="2024-11-01"/>
    <s v="2026-12-05"/>
    <s v="BT64921"/>
    <x v="0"/>
    <n v="101.85"/>
  </r>
  <r>
    <x v="8"/>
    <x v="2"/>
    <n v="4113"/>
    <x v="0"/>
    <n v="16998"/>
    <n v="69.73"/>
    <n v="123.18"/>
    <s v="2024-01-30"/>
    <s v="2026-03-03"/>
    <s v="BT54057"/>
    <x v="1"/>
    <n v="48.09"/>
  </r>
  <r>
    <x v="15"/>
    <x v="4"/>
    <n v="9251"/>
    <x v="0"/>
    <n v="1883"/>
    <n v="272.54000000000002"/>
    <n v="536.76"/>
    <s v="2025-11-09"/>
    <s v="2026-12-06"/>
    <s v="BT21003"/>
    <x v="1"/>
    <n v="123.81"/>
  </r>
  <r>
    <x v="15"/>
    <x v="4"/>
    <n v="1323"/>
    <x v="2"/>
    <n v="9524"/>
    <n v="116.84"/>
    <n v="172.36"/>
    <s v="2024-11-30"/>
    <s v="2026-11-10"/>
    <s v="BT59692"/>
    <x v="3"/>
    <n v="81.88"/>
  </r>
  <r>
    <x v="18"/>
    <x v="1"/>
    <n v="1841"/>
    <x v="2"/>
    <n v="16411"/>
    <n v="10.72"/>
    <n v="20.38"/>
    <s v="2024-12-24"/>
    <s v="2026-08-10"/>
    <s v="BT95215"/>
    <x v="2"/>
    <n v="7.64"/>
  </r>
  <r>
    <x v="14"/>
    <x v="0"/>
    <n v="4551"/>
    <x v="0"/>
    <n v="7532"/>
    <n v="252.57"/>
    <n v="507.09"/>
    <s v="2024-09-01"/>
    <s v="2026-01-08"/>
    <s v="BT72070"/>
    <x v="2"/>
    <n v="158"/>
  </r>
  <r>
    <x v="11"/>
    <x v="3"/>
    <n v="4698"/>
    <x v="0"/>
    <n v="13087"/>
    <n v="54.5"/>
    <n v="108.42"/>
    <s v="2024-04-27"/>
    <s v="2025-10-11"/>
    <s v="BT50768"/>
    <x v="2"/>
    <n v="34.42"/>
  </r>
  <r>
    <x v="3"/>
    <x v="2"/>
    <n v="6649"/>
    <x v="0"/>
    <n v="13997"/>
    <n v="282.73"/>
    <n v="412.17"/>
    <s v="2025-08-29"/>
    <s v="2028-08-05"/>
    <s v="BT92213"/>
    <x v="4"/>
    <n v="124.62"/>
  </r>
  <r>
    <x v="3"/>
    <x v="2"/>
    <n v="2483"/>
    <x v="2"/>
    <n v="19544"/>
    <n v="235.88"/>
    <n v="389.52"/>
    <s v="2025-03-14"/>
    <s v="2028-01-20"/>
    <s v="BT58571"/>
    <x v="2"/>
    <n v="142.09"/>
  </r>
  <r>
    <x v="5"/>
    <x v="0"/>
    <n v="7382"/>
    <x v="0"/>
    <n v="17062"/>
    <n v="36.130000000000003"/>
    <n v="88.48"/>
    <s v="2025-10-12"/>
    <s v="2028-01-25"/>
    <s v="BT30052"/>
    <x v="1"/>
    <n v="17"/>
  </r>
  <r>
    <x v="12"/>
    <x v="1"/>
    <n v="9317"/>
    <x v="0"/>
    <n v="16843"/>
    <n v="142.13999999999999"/>
    <n v="323.14999999999998"/>
    <s v="2025-08-29"/>
    <s v="2027-05-30"/>
    <s v="BT52245"/>
    <x v="4"/>
    <n v="104.09"/>
  </r>
  <r>
    <x v="4"/>
    <x v="1"/>
    <n v="7885"/>
    <x v="0"/>
    <n v="8990"/>
    <n v="226.39"/>
    <n v="439.38"/>
    <s v="2025-11-15"/>
    <s v="2027-12-08"/>
    <s v="BT54092"/>
    <x v="2"/>
    <n v="135.32"/>
  </r>
  <r>
    <x v="5"/>
    <x v="4"/>
    <n v="8488"/>
    <x v="0"/>
    <n v="7950"/>
    <n v="109.67"/>
    <n v="168.44"/>
    <s v="2024-10-13"/>
    <s v="2027-06-15"/>
    <s v="BT46211"/>
    <x v="0"/>
    <n v="44.31"/>
  </r>
  <r>
    <x v="11"/>
    <x v="0"/>
    <n v="4454"/>
    <x v="0"/>
    <n v="24595"/>
    <n v="124.9"/>
    <n v="240.02"/>
    <s v="2024-09-03"/>
    <s v="2027-08-11"/>
    <s v="BT72402"/>
    <x v="1"/>
    <n v="72.349999999999994"/>
  </r>
  <r>
    <x v="1"/>
    <x v="0"/>
    <n v="5320"/>
    <x v="0"/>
    <n v="8261"/>
    <n v="124.3"/>
    <n v="188.48"/>
    <s v="2025-11-10"/>
    <s v="2028-06-27"/>
    <s v="BT58368"/>
    <x v="1"/>
    <n v="77.239999999999995"/>
  </r>
  <r>
    <x v="9"/>
    <x v="3"/>
    <n v="9517"/>
    <x v="0"/>
    <n v="11839"/>
    <n v="108.78"/>
    <n v="194.7"/>
    <s v="2024-11-09"/>
    <s v="2026-07-24"/>
    <s v="BT40217"/>
    <x v="2"/>
    <n v="74.900000000000006"/>
  </r>
  <r>
    <x v="5"/>
    <x v="0"/>
    <n v="9279"/>
    <x v="0"/>
    <n v="23615"/>
    <n v="59.62"/>
    <n v="88.32"/>
    <s v="2025-05-10"/>
    <s v="2027-02-17"/>
    <s v="BT87278"/>
    <x v="0"/>
    <n v="38.08"/>
  </r>
  <r>
    <x v="0"/>
    <x v="4"/>
    <n v="5353"/>
    <x v="0"/>
    <n v="8454"/>
    <n v="111.46"/>
    <n v="177.55"/>
    <s v="2025-06-30"/>
    <s v="2026-11-06"/>
    <s v="BT45954"/>
    <x v="2"/>
    <n v="88.02"/>
  </r>
  <r>
    <x v="8"/>
    <x v="1"/>
    <n v="2568"/>
    <x v="2"/>
    <n v="21901"/>
    <n v="261.2"/>
    <n v="480.12"/>
    <s v="2024-01-13"/>
    <s v="2026-08-22"/>
    <s v="BT47268"/>
    <x v="1"/>
    <n v="154.5"/>
  </r>
  <r>
    <x v="5"/>
    <x v="4"/>
    <n v="1341"/>
    <x v="2"/>
    <n v="9273"/>
    <n v="282.61"/>
    <n v="514.65"/>
    <s v="2024-03-07"/>
    <s v="2026-04-21"/>
    <s v="BT74454"/>
    <x v="2"/>
    <n v="178.27"/>
  </r>
  <r>
    <x v="14"/>
    <x v="4"/>
    <n v="2944"/>
    <x v="2"/>
    <n v="19443"/>
    <n v="284.99"/>
    <n v="373.55"/>
    <s v="2024-09-11"/>
    <s v="2026-01-10"/>
    <s v="BT83147"/>
    <x v="1"/>
    <n v="183.11"/>
  </r>
  <r>
    <x v="17"/>
    <x v="4"/>
    <n v="9061"/>
    <x v="0"/>
    <n v="13464"/>
    <n v="137.9"/>
    <n v="244.85"/>
    <s v="2025-08-25"/>
    <s v="2027-11-07"/>
    <s v="BT50026"/>
    <x v="0"/>
    <n v="89.42"/>
  </r>
  <r>
    <x v="17"/>
    <x v="0"/>
    <n v="3904"/>
    <x v="0"/>
    <n v="21496"/>
    <n v="67.25"/>
    <n v="138.44"/>
    <s v="2024-06-09"/>
    <s v="2026-02-09"/>
    <s v="BT32782"/>
    <x v="0"/>
    <n v="28.92"/>
  </r>
  <r>
    <x v="1"/>
    <x v="3"/>
    <n v="7881"/>
    <x v="0"/>
    <n v="23589"/>
    <n v="180.17"/>
    <n v="284.42"/>
    <s v="2024-08-25"/>
    <s v="2026-06-16"/>
    <s v="BT47056"/>
    <x v="1"/>
    <n v="77.2"/>
  </r>
  <r>
    <x v="10"/>
    <x v="1"/>
    <n v="3741"/>
    <x v="0"/>
    <n v="14930"/>
    <n v="38.86"/>
    <n v="57.99"/>
    <s v="2024-06-01"/>
    <s v="2026-02-28"/>
    <s v="BT28643"/>
    <x v="2"/>
    <n v="16.47"/>
  </r>
  <r>
    <x v="3"/>
    <x v="2"/>
    <n v="9825"/>
    <x v="0"/>
    <n v="10457"/>
    <n v="134.55000000000001"/>
    <n v="243.44"/>
    <s v="2024-11-07"/>
    <s v="2027-10-24"/>
    <s v="BT62757"/>
    <x v="3"/>
    <n v="80.760000000000005"/>
  </r>
  <r>
    <x v="6"/>
    <x v="3"/>
    <n v="1817"/>
    <x v="2"/>
    <n v="20596"/>
    <n v="16.760000000000002"/>
    <n v="29.53"/>
    <s v="2024-11-26"/>
    <s v="2027-08-06"/>
    <s v="BT42816"/>
    <x v="2"/>
    <n v="7.32"/>
  </r>
  <r>
    <x v="2"/>
    <x v="2"/>
    <n v="839"/>
    <x v="1"/>
    <n v="23029"/>
    <n v="247.32"/>
    <n v="482.06"/>
    <s v="2024-06-28"/>
    <s v="2026-10-22"/>
    <s v="BT78021"/>
    <x v="1"/>
    <n v="189.55"/>
  </r>
  <r>
    <x v="7"/>
    <x v="2"/>
    <n v="7641"/>
    <x v="0"/>
    <n v="21800"/>
    <n v="245.2"/>
    <n v="603.14"/>
    <s v="2025-04-26"/>
    <s v="2027-04-17"/>
    <s v="BT63523"/>
    <x v="3"/>
    <n v="129.57"/>
  </r>
  <r>
    <x v="0"/>
    <x v="4"/>
    <n v="5903"/>
    <x v="0"/>
    <n v="14488"/>
    <n v="209.63"/>
    <n v="330.1"/>
    <s v="2025-02-14"/>
    <s v="2027-08-31"/>
    <s v="BT14809"/>
    <x v="1"/>
    <n v="91.24"/>
  </r>
  <r>
    <x v="16"/>
    <x v="1"/>
    <n v="2399"/>
    <x v="2"/>
    <n v="14244"/>
    <n v="260.14999999999998"/>
    <n v="591.16999999999996"/>
    <s v="2024-01-02"/>
    <s v="2026-11-05"/>
    <s v="BT81118"/>
    <x v="1"/>
    <n v="147.06"/>
  </r>
  <r>
    <x v="11"/>
    <x v="2"/>
    <n v="6427"/>
    <x v="0"/>
    <n v="21402"/>
    <n v="228.15"/>
    <n v="459.27"/>
    <s v="2024-02-22"/>
    <s v="2025-09-17"/>
    <s v="BT45003"/>
    <x v="0"/>
    <n v="103.22"/>
  </r>
  <r>
    <x v="3"/>
    <x v="3"/>
    <n v="8441"/>
    <x v="0"/>
    <n v="4978"/>
    <n v="13.52"/>
    <n v="27.3"/>
    <s v="2024-09-02"/>
    <s v="2027-08-29"/>
    <s v="BT30758"/>
    <x v="3"/>
    <n v="8.39"/>
  </r>
  <r>
    <x v="8"/>
    <x v="3"/>
    <n v="2027"/>
    <x v="2"/>
    <n v="8362"/>
    <n v="297.72000000000003"/>
    <n v="710.6"/>
    <s v="2025-04-17"/>
    <s v="2026-08-15"/>
    <s v="BT94896"/>
    <x v="4"/>
    <n v="178.44"/>
  </r>
  <r>
    <x v="3"/>
    <x v="2"/>
    <n v="4979"/>
    <x v="0"/>
    <n v="14614"/>
    <n v="251.24"/>
    <n v="621.65"/>
    <s v="2024-09-06"/>
    <s v="2026-12-17"/>
    <s v="BT82255"/>
    <x v="4"/>
    <n v="139.04"/>
  </r>
  <r>
    <x v="17"/>
    <x v="2"/>
    <n v="2736"/>
    <x v="2"/>
    <n v="3287"/>
    <n v="86.49"/>
    <n v="192.61"/>
    <s v="2025-02-28"/>
    <s v="2027-02-11"/>
    <s v="BT76550"/>
    <x v="3"/>
    <n v="62.98"/>
  </r>
  <r>
    <x v="3"/>
    <x v="1"/>
    <n v="8522"/>
    <x v="0"/>
    <n v="5869"/>
    <n v="136.72999999999999"/>
    <n v="250.17"/>
    <s v="2024-12-06"/>
    <s v="2027-06-24"/>
    <s v="BT81228"/>
    <x v="1"/>
    <n v="79.599999999999994"/>
  </r>
  <r>
    <x v="5"/>
    <x v="4"/>
    <n v="4412"/>
    <x v="0"/>
    <n v="19736"/>
    <n v="117.98"/>
    <n v="272.87"/>
    <s v="2025-02-24"/>
    <s v="2026-04-09"/>
    <s v="BT51704"/>
    <x v="1"/>
    <n v="80.47"/>
  </r>
  <r>
    <x v="19"/>
    <x v="3"/>
    <n v="2992"/>
    <x v="2"/>
    <n v="17230"/>
    <n v="289.62"/>
    <n v="395.08"/>
    <s v="2025-08-27"/>
    <s v="2027-08-01"/>
    <s v="BT23154"/>
    <x v="1"/>
    <n v="127.4"/>
  </r>
  <r>
    <x v="15"/>
    <x v="0"/>
    <n v="2861"/>
    <x v="2"/>
    <n v="14434"/>
    <n v="261.93"/>
    <n v="644.6"/>
    <s v="2024-03-17"/>
    <s v="2026-07-10"/>
    <s v="BT44737"/>
    <x v="3"/>
    <n v="170.07"/>
  </r>
  <r>
    <x v="19"/>
    <x v="0"/>
    <n v="5883"/>
    <x v="0"/>
    <n v="23097"/>
    <n v="258.51"/>
    <n v="437.92"/>
    <s v="2024-11-20"/>
    <s v="2027-08-23"/>
    <s v="BT73956"/>
    <x v="0"/>
    <n v="107.12"/>
  </r>
  <r>
    <x v="4"/>
    <x v="4"/>
    <n v="5208"/>
    <x v="0"/>
    <n v="8454"/>
    <n v="225.3"/>
    <n v="397.47"/>
    <s v="2024-04-10"/>
    <s v="2027-01-18"/>
    <s v="BT23173"/>
    <x v="1"/>
    <n v="105.11"/>
  </r>
  <r>
    <x v="3"/>
    <x v="0"/>
    <n v="1253"/>
    <x v="2"/>
    <n v="11629"/>
    <n v="239.86"/>
    <n v="379.31"/>
    <s v="2025-01-18"/>
    <s v="2027-04-04"/>
    <s v="BT29080"/>
    <x v="4"/>
    <n v="146.91"/>
  </r>
  <r>
    <x v="2"/>
    <x v="4"/>
    <n v="3285"/>
    <x v="0"/>
    <n v="6736"/>
    <n v="28.3"/>
    <n v="66"/>
    <s v="2025-09-26"/>
    <s v="2028-08-25"/>
    <s v="BT41566"/>
    <x v="1"/>
    <n v="21.65"/>
  </r>
  <r>
    <x v="13"/>
    <x v="4"/>
    <n v="8055"/>
    <x v="0"/>
    <n v="21902"/>
    <n v="79.92"/>
    <n v="122.43"/>
    <s v="2024-01-10"/>
    <s v="2026-04-30"/>
    <s v="BT47700"/>
    <x v="0"/>
    <n v="37.020000000000003"/>
  </r>
  <r>
    <x v="15"/>
    <x v="1"/>
    <n v="5401"/>
    <x v="0"/>
    <n v="21936"/>
    <n v="288.8"/>
    <n v="605.73"/>
    <s v="2025-04-12"/>
    <s v="2027-02-15"/>
    <s v="BT36111"/>
    <x v="1"/>
    <n v="214.1"/>
  </r>
  <r>
    <x v="0"/>
    <x v="4"/>
    <n v="6748"/>
    <x v="0"/>
    <n v="19740"/>
    <n v="110.89"/>
    <n v="175.72"/>
    <s v="2024-10-29"/>
    <s v="2025-11-20"/>
    <s v="BT96275"/>
    <x v="1"/>
    <n v="56.53"/>
  </r>
  <r>
    <x v="2"/>
    <x v="0"/>
    <n v="8638"/>
    <x v="0"/>
    <n v="10378"/>
    <n v="233.84"/>
    <n v="350.56"/>
    <s v="2024-12-26"/>
    <s v="2026-08-07"/>
    <s v="BT93442"/>
    <x v="4"/>
    <n v="151.61000000000001"/>
  </r>
  <r>
    <x v="13"/>
    <x v="0"/>
    <n v="1145"/>
    <x v="2"/>
    <n v="11123"/>
    <n v="237.64"/>
    <n v="295.48"/>
    <s v="2025-01-08"/>
    <s v="2026-05-22"/>
    <s v="BT21813"/>
    <x v="3"/>
    <n v="126.11"/>
  </r>
  <r>
    <x v="18"/>
    <x v="4"/>
    <n v="3789"/>
    <x v="0"/>
    <n v="5330"/>
    <n v="237.02"/>
    <n v="554.48"/>
    <s v="2025-01-09"/>
    <s v="2027-07-06"/>
    <s v="BT75771"/>
    <x v="3"/>
    <n v="173.54"/>
  </r>
  <r>
    <x v="16"/>
    <x v="3"/>
    <n v="5335"/>
    <x v="0"/>
    <n v="12099"/>
    <n v="242.25"/>
    <n v="438.19"/>
    <s v="2024-03-18"/>
    <s v="2025-08-09"/>
    <s v="BT39571"/>
    <x v="1"/>
    <n v="190.63"/>
  </r>
  <r>
    <x v="8"/>
    <x v="1"/>
    <n v="1979"/>
    <x v="2"/>
    <n v="13929"/>
    <n v="9.11"/>
    <n v="17.29"/>
    <s v="2025-04-10"/>
    <s v="2027-04-22"/>
    <s v="BT98188"/>
    <x v="3"/>
    <n v="5.77"/>
  </r>
  <r>
    <x v="9"/>
    <x v="0"/>
    <n v="4330"/>
    <x v="0"/>
    <n v="16449"/>
    <n v="12.38"/>
    <n v="29.09"/>
    <s v="2025-07-28"/>
    <s v="2027-06-28"/>
    <s v="BT89964"/>
    <x v="4"/>
    <n v="8.16"/>
  </r>
  <r>
    <x v="15"/>
    <x v="1"/>
    <n v="7189"/>
    <x v="0"/>
    <n v="4823"/>
    <n v="46.23"/>
    <n v="112.35"/>
    <s v="2024-11-07"/>
    <s v="2027-03-26"/>
    <s v="BT25220"/>
    <x v="2"/>
    <n v="22.83"/>
  </r>
  <r>
    <x v="8"/>
    <x v="4"/>
    <n v="6867"/>
    <x v="0"/>
    <n v="15864"/>
    <n v="114.45"/>
    <n v="278.58999999999997"/>
    <s v="2025-07-07"/>
    <s v="2027-09-09"/>
    <s v="BT86983"/>
    <x v="4"/>
    <n v="86.31"/>
  </r>
  <r>
    <x v="0"/>
    <x v="3"/>
    <n v="7186"/>
    <x v="0"/>
    <n v="10166"/>
    <n v="14.65"/>
    <n v="24.64"/>
    <s v="2025-03-30"/>
    <s v="2027-06-28"/>
    <s v="BT40947"/>
    <x v="3"/>
    <n v="6.44"/>
  </r>
  <r>
    <x v="9"/>
    <x v="2"/>
    <n v="6376"/>
    <x v="0"/>
    <n v="2984"/>
    <n v="122.45"/>
    <n v="177.15"/>
    <s v="2024-05-05"/>
    <s v="2026-08-13"/>
    <s v="BT22015"/>
    <x v="4"/>
    <n v="80.41"/>
  </r>
  <r>
    <x v="17"/>
    <x v="0"/>
    <n v="1328"/>
    <x v="2"/>
    <n v="11928"/>
    <n v="76.849999999999994"/>
    <n v="104.8"/>
    <s v="2025-08-01"/>
    <s v="2027-02-27"/>
    <s v="BT18992"/>
    <x v="0"/>
    <n v="37.11"/>
  </r>
  <r>
    <x v="11"/>
    <x v="4"/>
    <n v="5883"/>
    <x v="0"/>
    <n v="5835"/>
    <n v="237.65"/>
    <n v="469.31"/>
    <s v="2024-10-10"/>
    <s v="2026-03-07"/>
    <s v="BT27038"/>
    <x v="0"/>
    <n v="118.89"/>
  </r>
  <r>
    <x v="7"/>
    <x v="0"/>
    <n v="922"/>
    <x v="1"/>
    <n v="5318"/>
    <n v="9.3800000000000008"/>
    <n v="20.89"/>
    <s v="2024-08-31"/>
    <s v="2027-04-25"/>
    <s v="BT52437"/>
    <x v="2"/>
    <n v="4.41"/>
  </r>
  <r>
    <x v="14"/>
    <x v="4"/>
    <n v="7397"/>
    <x v="0"/>
    <n v="18238"/>
    <n v="38.53"/>
    <n v="49.42"/>
    <s v="2025-04-04"/>
    <s v="2027-04-09"/>
    <s v="BT77271"/>
    <x v="0"/>
    <n v="17.09"/>
  </r>
  <r>
    <x v="12"/>
    <x v="4"/>
    <n v="1210"/>
    <x v="2"/>
    <n v="24830"/>
    <n v="236.05"/>
    <n v="549.30999999999995"/>
    <s v="2025-06-17"/>
    <s v="2027-04-21"/>
    <s v="BT70036"/>
    <x v="2"/>
    <n v="100.16"/>
  </r>
  <r>
    <x v="6"/>
    <x v="3"/>
    <n v="7484"/>
    <x v="0"/>
    <n v="23482"/>
    <n v="36.85"/>
    <n v="78.349999999999994"/>
    <s v="2025-03-30"/>
    <s v="2026-06-13"/>
    <s v="BT20589"/>
    <x v="3"/>
    <n v="23.71"/>
  </r>
  <r>
    <x v="4"/>
    <x v="4"/>
    <n v="5005"/>
    <x v="0"/>
    <n v="21457"/>
    <n v="191.76"/>
    <n v="366.81"/>
    <s v="2024-11-28"/>
    <s v="2026-12-23"/>
    <s v="BT88301"/>
    <x v="0"/>
    <n v="99.32"/>
  </r>
  <r>
    <x v="12"/>
    <x v="2"/>
    <n v="7548"/>
    <x v="0"/>
    <n v="4249"/>
    <n v="238.96"/>
    <n v="322.29000000000002"/>
    <s v="2025-11-01"/>
    <s v="2028-08-28"/>
    <s v="BT82264"/>
    <x v="4"/>
    <n v="136.69"/>
  </r>
  <r>
    <x v="10"/>
    <x v="3"/>
    <n v="6053"/>
    <x v="0"/>
    <n v="15860"/>
    <n v="122.63"/>
    <n v="263.47000000000003"/>
    <s v="2024-11-16"/>
    <s v="2027-01-27"/>
    <s v="BT50963"/>
    <x v="3"/>
    <n v="67.41"/>
  </r>
  <r>
    <x v="13"/>
    <x v="3"/>
    <n v="1599"/>
    <x v="2"/>
    <n v="3989"/>
    <n v="250.37"/>
    <n v="330.79"/>
    <s v="2024-04-08"/>
    <s v="2026-04-24"/>
    <s v="BT27054"/>
    <x v="0"/>
    <n v="106.15"/>
  </r>
  <r>
    <x v="8"/>
    <x v="2"/>
    <n v="5900"/>
    <x v="0"/>
    <n v="22954"/>
    <n v="41.06"/>
    <n v="68.150000000000006"/>
    <s v="2025-11-12"/>
    <s v="2028-01-19"/>
    <s v="BT16743"/>
    <x v="3"/>
    <n v="26.29"/>
  </r>
  <r>
    <x v="9"/>
    <x v="0"/>
    <n v="9968"/>
    <x v="0"/>
    <n v="17626"/>
    <n v="67.760000000000005"/>
    <n v="139.16"/>
    <s v="2024-08-17"/>
    <s v="2025-12-05"/>
    <s v="BT55890"/>
    <x v="0"/>
    <n v="37.07"/>
  </r>
  <r>
    <x v="16"/>
    <x v="2"/>
    <n v="4205"/>
    <x v="0"/>
    <n v="15061"/>
    <n v="254.32"/>
    <n v="627.38"/>
    <s v="2025-09-28"/>
    <s v="2028-06-17"/>
    <s v="BT98470"/>
    <x v="0"/>
    <n v="104.4"/>
  </r>
  <r>
    <x v="16"/>
    <x v="0"/>
    <n v="3455"/>
    <x v="0"/>
    <n v="9954"/>
    <n v="212.3"/>
    <n v="340.04"/>
    <s v="2024-12-13"/>
    <s v="2026-12-07"/>
    <s v="BT10800"/>
    <x v="4"/>
    <n v="158.79"/>
  </r>
  <r>
    <x v="2"/>
    <x v="3"/>
    <n v="1640"/>
    <x v="2"/>
    <n v="5648"/>
    <n v="223.59"/>
    <n v="550.78"/>
    <s v="2024-04-03"/>
    <s v="2026-09-28"/>
    <s v="BT38197"/>
    <x v="1"/>
    <n v="126.98"/>
  </r>
  <r>
    <x v="5"/>
    <x v="4"/>
    <n v="6562"/>
    <x v="0"/>
    <n v="11211"/>
    <n v="217.87"/>
    <n v="481.47"/>
    <s v="2025-08-04"/>
    <s v="2028-04-05"/>
    <s v="BT21135"/>
    <x v="2"/>
    <n v="100.71"/>
  </r>
  <r>
    <x v="17"/>
    <x v="0"/>
    <n v="1836"/>
    <x v="2"/>
    <n v="9916"/>
    <n v="135.72"/>
    <n v="237.68"/>
    <s v="2025-09-13"/>
    <s v="2027-12-09"/>
    <s v="BT64287"/>
    <x v="3"/>
    <n v="65.989999999999995"/>
  </r>
  <r>
    <x v="12"/>
    <x v="0"/>
    <n v="6155"/>
    <x v="0"/>
    <n v="15087"/>
    <n v="37.71"/>
    <n v="78.5"/>
    <s v="2025-08-30"/>
    <s v="2028-01-10"/>
    <s v="BT79066"/>
    <x v="3"/>
    <n v="15.77"/>
  </r>
  <r>
    <x v="19"/>
    <x v="2"/>
    <n v="1397"/>
    <x v="2"/>
    <n v="1251"/>
    <n v="65.3"/>
    <n v="158.61000000000001"/>
    <s v="2024-05-20"/>
    <s v="2026-02-05"/>
    <s v="BT47938"/>
    <x v="3"/>
    <n v="29.25"/>
  </r>
  <r>
    <x v="6"/>
    <x v="3"/>
    <n v="3378"/>
    <x v="0"/>
    <n v="5233"/>
    <n v="117.16"/>
    <n v="247.77"/>
    <s v="2025-05-27"/>
    <s v="2027-12-20"/>
    <s v="BT97562"/>
    <x v="3"/>
    <n v="50.24"/>
  </r>
  <r>
    <x v="14"/>
    <x v="3"/>
    <n v="807"/>
    <x v="1"/>
    <n v="16065"/>
    <n v="276.74"/>
    <n v="642.24"/>
    <s v="2025-08-12"/>
    <s v="2027-10-25"/>
    <s v="BT85156"/>
    <x v="1"/>
    <n v="189.23"/>
  </r>
  <r>
    <x v="18"/>
    <x v="1"/>
    <n v="2387"/>
    <x v="2"/>
    <n v="14272"/>
    <n v="11.15"/>
    <n v="18.09"/>
    <s v="2025-09-24"/>
    <s v="2028-01-08"/>
    <s v="BT57428"/>
    <x v="2"/>
    <n v="6.41"/>
  </r>
  <r>
    <x v="0"/>
    <x v="4"/>
    <n v="7638"/>
    <x v="0"/>
    <n v="20296"/>
    <n v="123.13"/>
    <n v="160.34"/>
    <s v="2024-11-13"/>
    <s v="2026-10-26"/>
    <s v="BT39041"/>
    <x v="3"/>
    <n v="87.63"/>
  </r>
  <r>
    <x v="4"/>
    <x v="2"/>
    <n v="2368"/>
    <x v="2"/>
    <n v="18386"/>
    <n v="155.44"/>
    <n v="369.59"/>
    <s v="2024-12-23"/>
    <s v="2026-12-17"/>
    <s v="BT94599"/>
    <x v="4"/>
    <n v="76.87"/>
  </r>
  <r>
    <x v="13"/>
    <x v="1"/>
    <n v="3732"/>
    <x v="0"/>
    <n v="6685"/>
    <n v="182.71"/>
    <n v="399.82"/>
    <s v="2025-11-02"/>
    <s v="2027-01-18"/>
    <s v="BT33218"/>
    <x v="1"/>
    <n v="106.99"/>
  </r>
  <r>
    <x v="2"/>
    <x v="2"/>
    <n v="7854"/>
    <x v="0"/>
    <n v="23319"/>
    <n v="277.63"/>
    <n v="536.89"/>
    <s v="2025-10-12"/>
    <s v="2028-07-12"/>
    <s v="BT52363"/>
    <x v="3"/>
    <n v="127.82"/>
  </r>
  <r>
    <x v="4"/>
    <x v="3"/>
    <n v="7745"/>
    <x v="0"/>
    <n v="21689"/>
    <n v="94.33"/>
    <n v="146.88"/>
    <s v="2024-02-27"/>
    <s v="2026-02-21"/>
    <s v="BT76497"/>
    <x v="2"/>
    <n v="49.44"/>
  </r>
  <r>
    <x v="15"/>
    <x v="0"/>
    <n v="1432"/>
    <x v="2"/>
    <n v="13082"/>
    <n v="250.35"/>
    <n v="325.39"/>
    <s v="2024-04-02"/>
    <s v="2026-12-22"/>
    <s v="BT87867"/>
    <x v="0"/>
    <n v="138.63999999999999"/>
  </r>
  <r>
    <x v="2"/>
    <x v="2"/>
    <n v="1172"/>
    <x v="2"/>
    <n v="15736"/>
    <n v="273.17"/>
    <n v="530.80999999999995"/>
    <s v="2024-07-11"/>
    <s v="2026-06-05"/>
    <s v="BT89299"/>
    <x v="1"/>
    <n v="164.05"/>
  </r>
  <r>
    <x v="14"/>
    <x v="3"/>
    <n v="2195"/>
    <x v="2"/>
    <n v="12253"/>
    <n v="294.8"/>
    <n v="386.08"/>
    <s v="2025-10-23"/>
    <s v="2027-04-17"/>
    <s v="BT15130"/>
    <x v="4"/>
    <n v="201.36"/>
  </r>
  <r>
    <x v="15"/>
    <x v="2"/>
    <n v="9064"/>
    <x v="0"/>
    <n v="20982"/>
    <n v="51.83"/>
    <n v="87.32"/>
    <s v="2024-10-16"/>
    <s v="2026-11-16"/>
    <s v="BT63578"/>
    <x v="3"/>
    <n v="34.81"/>
  </r>
  <r>
    <x v="14"/>
    <x v="1"/>
    <n v="1579"/>
    <x v="2"/>
    <n v="11803"/>
    <n v="32.880000000000003"/>
    <n v="68.45"/>
    <s v="2024-10-17"/>
    <s v="2026-07-02"/>
    <s v="BT96057"/>
    <x v="0"/>
    <n v="24.64"/>
  </r>
  <r>
    <x v="5"/>
    <x v="0"/>
    <n v="2817"/>
    <x v="2"/>
    <n v="12462"/>
    <n v="96.52"/>
    <n v="198.14"/>
    <s v="2025-11-09"/>
    <s v="2027-12-15"/>
    <s v="BT26901"/>
    <x v="0"/>
    <n v="65.97"/>
  </r>
  <r>
    <x v="4"/>
    <x v="1"/>
    <n v="9657"/>
    <x v="0"/>
    <n v="13343"/>
    <n v="194.83"/>
    <n v="316.99"/>
    <s v="2024-05-10"/>
    <s v="2027-03-27"/>
    <s v="BT99838"/>
    <x v="0"/>
    <n v="85.21"/>
  </r>
  <r>
    <x v="18"/>
    <x v="2"/>
    <n v="6428"/>
    <x v="0"/>
    <n v="1597"/>
    <n v="111.97"/>
    <n v="160.6"/>
    <s v="2024-08-07"/>
    <s v="2026-07-22"/>
    <s v="BT73736"/>
    <x v="4"/>
    <n v="54.93"/>
  </r>
  <r>
    <x v="13"/>
    <x v="4"/>
    <n v="1764"/>
    <x v="2"/>
    <n v="10692"/>
    <n v="254.11"/>
    <n v="338.34"/>
    <s v="2025-07-06"/>
    <s v="2027-12-27"/>
    <s v="BT14947"/>
    <x v="3"/>
    <n v="190.72"/>
  </r>
  <r>
    <x v="17"/>
    <x v="4"/>
    <n v="6672"/>
    <x v="0"/>
    <n v="6054"/>
    <n v="52.86"/>
    <n v="120.56"/>
    <s v="2025-10-01"/>
    <s v="2027-03-19"/>
    <s v="BT67366"/>
    <x v="2"/>
    <n v="29.83"/>
  </r>
  <r>
    <x v="10"/>
    <x v="3"/>
    <n v="5168"/>
    <x v="0"/>
    <n v="15710"/>
    <n v="74.03"/>
    <n v="111.85"/>
    <s v="2025-04-25"/>
    <s v="2026-11-09"/>
    <s v="BT58213"/>
    <x v="0"/>
    <n v="58.76"/>
  </r>
  <r>
    <x v="15"/>
    <x v="1"/>
    <n v="6756"/>
    <x v="0"/>
    <n v="17479"/>
    <n v="160.6"/>
    <n v="394.46"/>
    <s v="2024-07-23"/>
    <s v="2027-04-03"/>
    <s v="BT28140"/>
    <x v="3"/>
    <n v="67.59"/>
  </r>
  <r>
    <x v="6"/>
    <x v="1"/>
    <n v="9585"/>
    <x v="0"/>
    <n v="4361"/>
    <n v="214.86"/>
    <n v="401.93"/>
    <s v="2024-05-07"/>
    <s v="2026-02-22"/>
    <s v="BT20993"/>
    <x v="4"/>
    <n v="109.39"/>
  </r>
  <r>
    <x v="12"/>
    <x v="4"/>
    <n v="7667"/>
    <x v="0"/>
    <n v="4005"/>
    <n v="284.19"/>
    <n v="423.06"/>
    <s v="2025-04-06"/>
    <s v="2027-03-29"/>
    <s v="BT13495"/>
    <x v="1"/>
    <n v="119.73"/>
  </r>
  <r>
    <x v="12"/>
    <x v="1"/>
    <n v="4362"/>
    <x v="0"/>
    <n v="13653"/>
    <n v="298.38"/>
    <n v="503.48"/>
    <s v="2024-01-29"/>
    <s v="2025-12-20"/>
    <s v="BT22987"/>
    <x v="3"/>
    <n v="213.8"/>
  </r>
  <r>
    <x v="13"/>
    <x v="0"/>
    <n v="5200"/>
    <x v="0"/>
    <n v="16481"/>
    <n v="210.34"/>
    <n v="290.36"/>
    <s v="2025-04-25"/>
    <s v="2027-07-28"/>
    <s v="BT90654"/>
    <x v="2"/>
    <n v="160.35"/>
  </r>
  <r>
    <x v="1"/>
    <x v="1"/>
    <n v="4033"/>
    <x v="0"/>
    <n v="5899"/>
    <n v="166.9"/>
    <n v="358.07"/>
    <s v="2025-06-24"/>
    <s v="2027-08-31"/>
    <s v="BT24573"/>
    <x v="3"/>
    <n v="82.62"/>
  </r>
  <r>
    <x v="0"/>
    <x v="0"/>
    <n v="4406"/>
    <x v="0"/>
    <n v="14756"/>
    <n v="193.49"/>
    <n v="388.85"/>
    <s v="2024-03-05"/>
    <s v="2025-06-26"/>
    <s v="BT75513"/>
    <x v="0"/>
    <n v="118.88"/>
  </r>
  <r>
    <x v="12"/>
    <x v="2"/>
    <n v="4463"/>
    <x v="0"/>
    <n v="24545"/>
    <n v="47.36"/>
    <n v="83.26"/>
    <s v="2025-09-21"/>
    <s v="2027-09-17"/>
    <s v="BT41531"/>
    <x v="0"/>
    <n v="26.84"/>
  </r>
  <r>
    <x v="4"/>
    <x v="2"/>
    <n v="6408"/>
    <x v="0"/>
    <n v="3217"/>
    <n v="286.25"/>
    <n v="545.97"/>
    <s v="2025-06-03"/>
    <s v="2027-12-22"/>
    <s v="BT12665"/>
    <x v="1"/>
    <n v="214.5"/>
  </r>
  <r>
    <x v="14"/>
    <x v="3"/>
    <n v="6616"/>
    <x v="0"/>
    <n v="9311"/>
    <n v="225.46"/>
    <n v="375.22"/>
    <s v="2024-03-10"/>
    <s v="2026-02-26"/>
    <s v="BT41604"/>
    <x v="2"/>
    <n v="159.76"/>
  </r>
  <r>
    <x v="5"/>
    <x v="4"/>
    <n v="1226"/>
    <x v="2"/>
    <n v="12544"/>
    <n v="166.07"/>
    <n v="374.91"/>
    <s v="2024-06-28"/>
    <s v="2027-05-30"/>
    <s v="BT70899"/>
    <x v="1"/>
    <n v="108.39"/>
  </r>
  <r>
    <x v="13"/>
    <x v="0"/>
    <n v="7998"/>
    <x v="0"/>
    <n v="2211"/>
    <n v="91.57"/>
    <n v="115.1"/>
    <s v="2024-07-23"/>
    <s v="2025-09-03"/>
    <s v="BT51365"/>
    <x v="3"/>
    <n v="55.51"/>
  </r>
  <r>
    <x v="8"/>
    <x v="3"/>
    <n v="4650"/>
    <x v="0"/>
    <n v="2199"/>
    <n v="227.22"/>
    <n v="329.11"/>
    <s v="2024-12-31"/>
    <s v="2026-02-17"/>
    <s v="BT95948"/>
    <x v="3"/>
    <n v="115.72"/>
  </r>
  <r>
    <x v="9"/>
    <x v="3"/>
    <n v="7053"/>
    <x v="0"/>
    <n v="15409"/>
    <n v="268.92"/>
    <n v="457.87"/>
    <s v="2024-07-10"/>
    <s v="2026-11-30"/>
    <s v="BT75211"/>
    <x v="3"/>
    <n v="206.99"/>
  </r>
  <r>
    <x v="12"/>
    <x v="1"/>
    <n v="1853"/>
    <x v="2"/>
    <n v="24825"/>
    <n v="130.22999999999999"/>
    <n v="229.18"/>
    <s v="2024-07-03"/>
    <s v="2027-01-12"/>
    <s v="BT48504"/>
    <x v="3"/>
    <n v="57.44"/>
  </r>
  <r>
    <x v="5"/>
    <x v="1"/>
    <n v="5521"/>
    <x v="0"/>
    <n v="15611"/>
    <n v="182.77"/>
    <n v="320.57"/>
    <s v="2025-03-30"/>
    <s v="2027-03-24"/>
    <s v="BT68606"/>
    <x v="2"/>
    <n v="126.24"/>
  </r>
  <r>
    <x v="9"/>
    <x v="2"/>
    <n v="7626"/>
    <x v="0"/>
    <n v="9996"/>
    <n v="193.64"/>
    <n v="431.61"/>
    <s v="2024-02-28"/>
    <s v="2025-05-14"/>
    <s v="BT97973"/>
    <x v="1"/>
    <n v="105.6"/>
  </r>
  <r>
    <x v="7"/>
    <x v="0"/>
    <n v="2839"/>
    <x v="2"/>
    <n v="20908"/>
    <n v="205.04"/>
    <n v="362.84"/>
    <s v="2024-05-09"/>
    <s v="2025-07-16"/>
    <s v="BT40932"/>
    <x v="3"/>
    <n v="111.72"/>
  </r>
  <r>
    <x v="2"/>
    <x v="0"/>
    <n v="3013"/>
    <x v="0"/>
    <n v="23251"/>
    <n v="137.72999999999999"/>
    <n v="231.7"/>
    <s v="2025-03-30"/>
    <s v="2026-06-16"/>
    <s v="BT85225"/>
    <x v="4"/>
    <n v="84.26"/>
  </r>
  <r>
    <x v="19"/>
    <x v="1"/>
    <n v="5066"/>
    <x v="0"/>
    <n v="9179"/>
    <n v="288.35000000000002"/>
    <n v="355.73"/>
    <s v="2024-07-09"/>
    <s v="2026-12-02"/>
    <s v="BT77861"/>
    <x v="1"/>
    <n v="220.71"/>
  </r>
  <r>
    <x v="0"/>
    <x v="1"/>
    <n v="4764"/>
    <x v="0"/>
    <n v="24069"/>
    <n v="136.65"/>
    <n v="340.98"/>
    <s v="2024-10-19"/>
    <s v="2027-09-29"/>
    <s v="BT74382"/>
    <x v="4"/>
    <n v="61.36"/>
  </r>
  <r>
    <x v="4"/>
    <x v="3"/>
    <n v="3328"/>
    <x v="0"/>
    <n v="24375"/>
    <n v="136.31"/>
    <n v="179.13"/>
    <s v="2025-11-29"/>
    <s v="2027-10-22"/>
    <s v="BT97535"/>
    <x v="3"/>
    <n v="93.21"/>
  </r>
  <r>
    <x v="8"/>
    <x v="2"/>
    <n v="5257"/>
    <x v="0"/>
    <n v="10828"/>
    <n v="256.14999999999998"/>
    <n v="544.41"/>
    <s v="2025-10-15"/>
    <s v="2027-04-11"/>
    <s v="BT57381"/>
    <x v="0"/>
    <n v="125.44"/>
  </r>
  <r>
    <x v="11"/>
    <x v="4"/>
    <n v="4378"/>
    <x v="0"/>
    <n v="17188"/>
    <n v="12.75"/>
    <n v="24.48"/>
    <s v="2025-01-12"/>
    <s v="2027-05-05"/>
    <s v="BT82305"/>
    <x v="4"/>
    <n v="8.2200000000000006"/>
  </r>
  <r>
    <x v="4"/>
    <x v="0"/>
    <n v="5567"/>
    <x v="0"/>
    <n v="14046"/>
    <n v="299.88"/>
    <n v="640.1"/>
    <s v="2025-06-22"/>
    <s v="2027-08-16"/>
    <s v="BT63665"/>
    <x v="0"/>
    <n v="128.80000000000001"/>
  </r>
  <r>
    <x v="5"/>
    <x v="0"/>
    <n v="7872"/>
    <x v="0"/>
    <n v="16264"/>
    <n v="205.63"/>
    <n v="338.85"/>
    <s v="2025-07-18"/>
    <s v="2028-05-03"/>
    <s v="BT87042"/>
    <x v="4"/>
    <n v="145.4"/>
  </r>
  <r>
    <x v="13"/>
    <x v="3"/>
    <n v="8738"/>
    <x v="0"/>
    <n v="2815"/>
    <n v="250.26"/>
    <n v="468.87"/>
    <s v="2024-11-07"/>
    <s v="2026-04-24"/>
    <s v="BT31229"/>
    <x v="3"/>
    <n v="193.67"/>
  </r>
  <r>
    <x v="10"/>
    <x v="1"/>
    <n v="9001"/>
    <x v="0"/>
    <n v="10307"/>
    <n v="254.55"/>
    <n v="388.39"/>
    <s v="2025-10-12"/>
    <s v="2028-04-28"/>
    <s v="BT45972"/>
    <x v="4"/>
    <n v="165.46"/>
  </r>
  <r>
    <x v="17"/>
    <x v="2"/>
    <n v="2030"/>
    <x v="2"/>
    <n v="17468"/>
    <n v="194.09"/>
    <n v="382.23"/>
    <s v="2025-08-17"/>
    <s v="2027-01-21"/>
    <s v="BT32439"/>
    <x v="0"/>
    <n v="133.58000000000001"/>
  </r>
  <r>
    <x v="17"/>
    <x v="1"/>
    <n v="9734"/>
    <x v="0"/>
    <n v="2349"/>
    <n v="248.44"/>
    <n v="307.29000000000002"/>
    <s v="2024-02-16"/>
    <s v="2026-12-03"/>
    <s v="BT85598"/>
    <x v="3"/>
    <n v="164.08"/>
  </r>
  <r>
    <x v="2"/>
    <x v="3"/>
    <n v="996"/>
    <x v="1"/>
    <n v="17319"/>
    <n v="267.25"/>
    <n v="510.25"/>
    <s v="2025-10-19"/>
    <s v="2027-08-24"/>
    <s v="BT73300"/>
    <x v="4"/>
    <n v="192.92"/>
  </r>
  <r>
    <x v="19"/>
    <x v="1"/>
    <n v="7930"/>
    <x v="0"/>
    <n v="3391"/>
    <n v="208.14"/>
    <n v="292.54000000000002"/>
    <s v="2025-03-01"/>
    <s v="2027-07-09"/>
    <s v="BT70875"/>
    <x v="4"/>
    <n v="111.58"/>
  </r>
  <r>
    <x v="13"/>
    <x v="1"/>
    <n v="5731"/>
    <x v="0"/>
    <n v="12317"/>
    <n v="292.74"/>
    <n v="401.05"/>
    <s v="2025-01-14"/>
    <s v="2027-06-25"/>
    <s v="BT83616"/>
    <x v="2"/>
    <n v="154.46"/>
  </r>
  <r>
    <x v="15"/>
    <x v="0"/>
    <n v="4882"/>
    <x v="0"/>
    <n v="15732"/>
    <n v="78.14"/>
    <n v="103.6"/>
    <s v="2024-10-24"/>
    <s v="2026-11-21"/>
    <s v="BT90658"/>
    <x v="1"/>
    <n v="39.020000000000003"/>
  </r>
  <r>
    <x v="7"/>
    <x v="1"/>
    <n v="9964"/>
    <x v="0"/>
    <n v="24629"/>
    <n v="97.25"/>
    <n v="213.18"/>
    <s v="2025-05-25"/>
    <s v="2027-11-03"/>
    <s v="BT71186"/>
    <x v="1"/>
    <n v="73.099999999999994"/>
  </r>
  <r>
    <x v="6"/>
    <x v="0"/>
    <n v="1975"/>
    <x v="2"/>
    <n v="13885"/>
    <n v="154.11000000000001"/>
    <n v="378.6"/>
    <s v="2024-08-08"/>
    <s v="2027-03-28"/>
    <s v="BT56254"/>
    <x v="2"/>
    <n v="64.760000000000005"/>
  </r>
  <r>
    <x v="6"/>
    <x v="2"/>
    <n v="8210"/>
    <x v="0"/>
    <n v="10363"/>
    <n v="163.32"/>
    <n v="375.85"/>
    <s v="2025-03-17"/>
    <s v="2026-08-01"/>
    <s v="BT44664"/>
    <x v="3"/>
    <n v="115.23"/>
  </r>
  <r>
    <x v="9"/>
    <x v="0"/>
    <n v="7063"/>
    <x v="0"/>
    <n v="2676"/>
    <n v="173.23"/>
    <n v="251.71"/>
    <s v="2025-07-20"/>
    <s v="2027-05-11"/>
    <s v="BT19637"/>
    <x v="1"/>
    <n v="104.23"/>
  </r>
  <r>
    <x v="8"/>
    <x v="1"/>
    <n v="2446"/>
    <x v="2"/>
    <n v="5216"/>
    <n v="292.64999999999998"/>
    <n v="501.04"/>
    <s v="2024-12-13"/>
    <s v="2027-07-07"/>
    <s v="BT57920"/>
    <x v="4"/>
    <n v="140.36000000000001"/>
  </r>
  <r>
    <x v="12"/>
    <x v="3"/>
    <n v="8693"/>
    <x v="0"/>
    <n v="2319"/>
    <n v="18.36"/>
    <n v="25.3"/>
    <s v="2024-12-07"/>
    <s v="2027-04-06"/>
    <s v="BT78069"/>
    <x v="1"/>
    <n v="8.44"/>
  </r>
  <r>
    <x v="12"/>
    <x v="4"/>
    <n v="5873"/>
    <x v="0"/>
    <n v="21089"/>
    <n v="98.97"/>
    <n v="169.32"/>
    <s v="2025-09-23"/>
    <s v="2027-07-26"/>
    <s v="BT87820"/>
    <x v="3"/>
    <n v="59.67"/>
  </r>
  <r>
    <x v="12"/>
    <x v="2"/>
    <n v="8525"/>
    <x v="0"/>
    <n v="24223"/>
    <n v="171.06"/>
    <n v="310.88"/>
    <s v="2024-01-18"/>
    <s v="2026-01-29"/>
    <s v="BT53416"/>
    <x v="2"/>
    <n v="135.47"/>
  </r>
  <r>
    <x v="2"/>
    <x v="1"/>
    <n v="936"/>
    <x v="1"/>
    <n v="20559"/>
    <n v="145"/>
    <n v="356.29"/>
    <s v="2025-08-15"/>
    <s v="2028-03-28"/>
    <s v="BT39824"/>
    <x v="2"/>
    <n v="91.84"/>
  </r>
  <r>
    <x v="7"/>
    <x v="2"/>
    <n v="6729"/>
    <x v="0"/>
    <n v="5842"/>
    <n v="247.39"/>
    <n v="374.76"/>
    <s v="2025-08-09"/>
    <s v="2028-07-26"/>
    <s v="BT24404"/>
    <x v="4"/>
    <n v="100.83"/>
  </r>
  <r>
    <x v="5"/>
    <x v="3"/>
    <n v="2981"/>
    <x v="2"/>
    <n v="14531"/>
    <n v="208.7"/>
    <n v="361.78"/>
    <s v="2025-09-18"/>
    <s v="2028-01-13"/>
    <s v="BT18163"/>
    <x v="4"/>
    <n v="126.78"/>
  </r>
  <r>
    <x v="8"/>
    <x v="1"/>
    <n v="8337"/>
    <x v="0"/>
    <n v="18218"/>
    <n v="116.16"/>
    <n v="283.86"/>
    <s v="2025-04-15"/>
    <s v="2027-10-12"/>
    <s v="BT54869"/>
    <x v="0"/>
    <n v="62.93"/>
  </r>
  <r>
    <x v="16"/>
    <x v="2"/>
    <n v="8432"/>
    <x v="0"/>
    <n v="7300"/>
    <n v="287.41000000000003"/>
    <n v="449.14"/>
    <s v="2024-11-01"/>
    <s v="2026-06-19"/>
    <s v="BT49008"/>
    <x v="3"/>
    <n v="196"/>
  </r>
  <r>
    <x v="6"/>
    <x v="1"/>
    <n v="8361"/>
    <x v="0"/>
    <n v="12429"/>
    <n v="170.34"/>
    <n v="411.34"/>
    <s v="2024-10-07"/>
    <s v="2026-07-28"/>
    <s v="BT25974"/>
    <x v="0"/>
    <n v="114.24"/>
  </r>
  <r>
    <x v="19"/>
    <x v="3"/>
    <n v="6154"/>
    <x v="0"/>
    <n v="5799"/>
    <n v="90.68"/>
    <n v="142.72"/>
    <s v="2024-03-21"/>
    <s v="2026-03-10"/>
    <s v="BT67983"/>
    <x v="3"/>
    <n v="63.38"/>
  </r>
  <r>
    <x v="11"/>
    <x v="4"/>
    <n v="9324"/>
    <x v="0"/>
    <n v="9884"/>
    <n v="280.24"/>
    <n v="589.91"/>
    <s v="2024-05-20"/>
    <s v="2025-09-08"/>
    <s v="BT90698"/>
    <x v="0"/>
    <n v="138.91999999999999"/>
  </r>
  <r>
    <x v="14"/>
    <x v="2"/>
    <n v="4197"/>
    <x v="0"/>
    <n v="21904"/>
    <n v="73.69"/>
    <n v="98.03"/>
    <s v="2024-12-04"/>
    <s v="2027-04-01"/>
    <s v="BT23178"/>
    <x v="4"/>
    <n v="29.63"/>
  </r>
  <r>
    <x v="8"/>
    <x v="4"/>
    <n v="7166"/>
    <x v="0"/>
    <n v="22393"/>
    <n v="280.83"/>
    <n v="657.68"/>
    <s v="2025-05-03"/>
    <s v="2028-02-28"/>
    <s v="BT36143"/>
    <x v="3"/>
    <n v="148.41"/>
  </r>
  <r>
    <x v="14"/>
    <x v="0"/>
    <n v="9906"/>
    <x v="0"/>
    <n v="8609"/>
    <n v="162.87"/>
    <n v="348.55"/>
    <s v="2024-02-08"/>
    <s v="2025-08-05"/>
    <s v="BT64773"/>
    <x v="4"/>
    <n v="125.99"/>
  </r>
  <r>
    <x v="14"/>
    <x v="3"/>
    <n v="8616"/>
    <x v="0"/>
    <n v="7105"/>
    <n v="281.3"/>
    <n v="689.4"/>
    <s v="2024-10-23"/>
    <s v="2025-11-30"/>
    <s v="BT11214"/>
    <x v="3"/>
    <n v="176.43"/>
  </r>
  <r>
    <x v="0"/>
    <x v="1"/>
    <n v="5162"/>
    <x v="0"/>
    <n v="15888"/>
    <n v="296.77999999999997"/>
    <n v="565.75"/>
    <s v="2025-05-20"/>
    <s v="2026-10-04"/>
    <s v="BT76088"/>
    <x v="1"/>
    <n v="151.1"/>
  </r>
  <r>
    <x v="0"/>
    <x v="1"/>
    <n v="3162"/>
    <x v="0"/>
    <n v="24957"/>
    <n v="140.38"/>
    <n v="215.41"/>
    <s v="2024-07-09"/>
    <s v="2025-07-23"/>
    <s v="BT54185"/>
    <x v="3"/>
    <n v="88.03"/>
  </r>
  <r>
    <x v="11"/>
    <x v="4"/>
    <n v="7143"/>
    <x v="0"/>
    <n v="15014"/>
    <n v="157.01"/>
    <n v="206.12"/>
    <s v="2025-11-16"/>
    <s v="2027-02-21"/>
    <s v="BT34219"/>
    <x v="4"/>
    <n v="92.79"/>
  </r>
  <r>
    <x v="10"/>
    <x v="0"/>
    <n v="4772"/>
    <x v="0"/>
    <n v="13568"/>
    <n v="74.48"/>
    <n v="162.36000000000001"/>
    <s v="2024-12-03"/>
    <s v="2026-10-08"/>
    <s v="BT86344"/>
    <x v="0"/>
    <n v="30.13"/>
  </r>
  <r>
    <x v="9"/>
    <x v="4"/>
    <n v="1517"/>
    <x v="2"/>
    <n v="22882"/>
    <n v="39.880000000000003"/>
    <n v="63.76"/>
    <s v="2025-02-19"/>
    <s v="2028-01-22"/>
    <s v="BT75866"/>
    <x v="3"/>
    <n v="26.96"/>
  </r>
  <r>
    <x v="3"/>
    <x v="1"/>
    <n v="4118"/>
    <x v="0"/>
    <n v="8180"/>
    <n v="287.42"/>
    <n v="523.57000000000005"/>
    <s v="2025-04-10"/>
    <s v="2027-12-21"/>
    <s v="BT58971"/>
    <x v="1"/>
    <n v="195.67"/>
  </r>
  <r>
    <x v="6"/>
    <x v="2"/>
    <n v="4078"/>
    <x v="0"/>
    <n v="9108"/>
    <n v="205.7"/>
    <n v="406.17"/>
    <s v="2024-03-24"/>
    <s v="2026-09-13"/>
    <s v="BT68556"/>
    <x v="0"/>
    <n v="140.19"/>
  </r>
  <r>
    <x v="4"/>
    <x v="2"/>
    <n v="2338"/>
    <x v="2"/>
    <n v="3023"/>
    <n v="249.49"/>
    <n v="592.23"/>
    <s v="2024-07-26"/>
    <s v="2027-03-04"/>
    <s v="BT80341"/>
    <x v="4"/>
    <n v="116.22"/>
  </r>
  <r>
    <x v="12"/>
    <x v="3"/>
    <n v="2404"/>
    <x v="2"/>
    <n v="23291"/>
    <n v="65.59"/>
    <n v="128.43"/>
    <s v="2024-04-03"/>
    <s v="2026-09-07"/>
    <s v="BT68390"/>
    <x v="2"/>
    <n v="38.130000000000003"/>
  </r>
  <r>
    <x v="12"/>
    <x v="3"/>
    <n v="7984"/>
    <x v="0"/>
    <n v="19478"/>
    <n v="22.03"/>
    <n v="39.68"/>
    <s v="2024-11-11"/>
    <s v="2025-12-03"/>
    <s v="BT61897"/>
    <x v="3"/>
    <n v="16.010000000000002"/>
  </r>
  <r>
    <x v="11"/>
    <x v="2"/>
    <n v="1696"/>
    <x v="2"/>
    <n v="2484"/>
    <n v="129.99"/>
    <n v="274.33999999999997"/>
    <s v="2025-07-08"/>
    <s v="2026-09-07"/>
    <s v="BT19046"/>
    <x v="1"/>
    <n v="53.65"/>
  </r>
  <r>
    <x v="18"/>
    <x v="4"/>
    <n v="2718"/>
    <x v="2"/>
    <n v="22021"/>
    <n v="293.61"/>
    <n v="598.86"/>
    <s v="2025-03-06"/>
    <s v="2027-03-24"/>
    <s v="BT60132"/>
    <x v="1"/>
    <n v="219.58"/>
  </r>
  <r>
    <x v="19"/>
    <x v="3"/>
    <n v="1814"/>
    <x v="2"/>
    <n v="23371"/>
    <n v="289.42"/>
    <n v="676.35"/>
    <s v="2024-05-16"/>
    <s v="2027-03-16"/>
    <s v="BT55582"/>
    <x v="2"/>
    <n v="136.43"/>
  </r>
  <r>
    <x v="8"/>
    <x v="3"/>
    <n v="9164"/>
    <x v="0"/>
    <n v="5172"/>
    <n v="219.72"/>
    <n v="327.27"/>
    <s v="2024-01-04"/>
    <s v="2025-01-26"/>
    <s v="BT49107"/>
    <x v="1"/>
    <n v="147.08000000000001"/>
  </r>
  <r>
    <x v="8"/>
    <x v="3"/>
    <n v="9215"/>
    <x v="0"/>
    <n v="13428"/>
    <n v="247.89"/>
    <n v="377.23"/>
    <s v="2024-12-20"/>
    <s v="2026-05-27"/>
    <s v="BT46129"/>
    <x v="4"/>
    <n v="192.11"/>
  </r>
  <r>
    <x v="0"/>
    <x v="0"/>
    <n v="7368"/>
    <x v="0"/>
    <n v="21149"/>
    <n v="230.99"/>
    <n v="542.57000000000005"/>
    <s v="2024-01-17"/>
    <s v="2025-09-19"/>
    <s v="BT37011"/>
    <x v="2"/>
    <n v="101.72"/>
  </r>
  <r>
    <x v="14"/>
    <x v="3"/>
    <n v="1297"/>
    <x v="2"/>
    <n v="9019"/>
    <n v="223.46"/>
    <n v="385.01"/>
    <s v="2024-08-27"/>
    <s v="2027-03-02"/>
    <s v="BT38477"/>
    <x v="2"/>
    <n v="101.91"/>
  </r>
  <r>
    <x v="3"/>
    <x v="4"/>
    <n v="9938"/>
    <x v="0"/>
    <n v="11449"/>
    <n v="175.36"/>
    <n v="386.55"/>
    <s v="2024-11-24"/>
    <s v="2026-07-24"/>
    <s v="BT49552"/>
    <x v="4"/>
    <n v="139.28"/>
  </r>
  <r>
    <x v="12"/>
    <x v="4"/>
    <n v="7275"/>
    <x v="0"/>
    <n v="10846"/>
    <n v="86.17"/>
    <n v="165.77"/>
    <s v="2025-08-28"/>
    <s v="2027-02-23"/>
    <s v="BT92050"/>
    <x v="1"/>
    <n v="53.63"/>
  </r>
  <r>
    <x v="14"/>
    <x v="1"/>
    <n v="6744"/>
    <x v="0"/>
    <n v="18185"/>
    <n v="99.03"/>
    <n v="172.43"/>
    <s v="2024-06-01"/>
    <s v="2026-04-04"/>
    <s v="BT59343"/>
    <x v="4"/>
    <n v="69.5"/>
  </r>
  <r>
    <x v="6"/>
    <x v="4"/>
    <n v="4192"/>
    <x v="0"/>
    <n v="10854"/>
    <n v="257.97000000000003"/>
    <n v="357.97"/>
    <s v="2025-04-19"/>
    <s v="2026-06-17"/>
    <s v="BT83713"/>
    <x v="1"/>
    <n v="203.05"/>
  </r>
  <r>
    <x v="8"/>
    <x v="2"/>
    <n v="2696"/>
    <x v="2"/>
    <n v="13727"/>
    <n v="76.64"/>
    <n v="112.23"/>
    <s v="2025-10-24"/>
    <s v="2027-01-12"/>
    <s v="BT68954"/>
    <x v="3"/>
    <n v="33.49"/>
  </r>
  <r>
    <x v="11"/>
    <x v="0"/>
    <n v="4898"/>
    <x v="0"/>
    <n v="13359"/>
    <n v="203.73"/>
    <n v="404.16"/>
    <s v="2024-03-15"/>
    <s v="2025-09-23"/>
    <s v="BT87015"/>
    <x v="0"/>
    <n v="99.18"/>
  </r>
  <r>
    <x v="11"/>
    <x v="1"/>
    <n v="5467"/>
    <x v="0"/>
    <n v="1502"/>
    <n v="67.48"/>
    <n v="97.65"/>
    <s v="2024-04-30"/>
    <s v="2026-09-02"/>
    <s v="BT41797"/>
    <x v="0"/>
    <n v="45.99"/>
  </r>
  <r>
    <x v="19"/>
    <x v="4"/>
    <n v="9545"/>
    <x v="0"/>
    <n v="11538"/>
    <n v="233.78"/>
    <n v="396.22"/>
    <s v="2025-06-30"/>
    <s v="2028-04-24"/>
    <s v="BT57088"/>
    <x v="3"/>
    <n v="117.97"/>
  </r>
  <r>
    <x v="12"/>
    <x v="3"/>
    <n v="8135"/>
    <x v="0"/>
    <n v="4231"/>
    <n v="241.83"/>
    <n v="517.30999999999995"/>
    <s v="2024-11-23"/>
    <s v="2026-06-19"/>
    <s v="BT58589"/>
    <x v="3"/>
    <n v="136.77000000000001"/>
  </r>
  <r>
    <x v="2"/>
    <x v="4"/>
    <n v="2890"/>
    <x v="2"/>
    <n v="1531"/>
    <n v="81.93"/>
    <n v="197.88"/>
    <s v="2025-08-16"/>
    <s v="2027-10-17"/>
    <s v="BT48691"/>
    <x v="4"/>
    <n v="39.200000000000003"/>
  </r>
  <r>
    <x v="10"/>
    <x v="3"/>
    <n v="9835"/>
    <x v="0"/>
    <n v="9052"/>
    <n v="152.29"/>
    <n v="312.35000000000002"/>
    <s v="2024-12-11"/>
    <s v="2026-08-31"/>
    <s v="BT74044"/>
    <x v="1"/>
    <n v="88.99"/>
  </r>
  <r>
    <x v="9"/>
    <x v="4"/>
    <n v="2793"/>
    <x v="2"/>
    <n v="24603"/>
    <n v="166.23"/>
    <n v="239.25"/>
    <s v="2025-07-09"/>
    <s v="2028-04-26"/>
    <s v="BT17698"/>
    <x v="0"/>
    <n v="68.739999999999995"/>
  </r>
  <r>
    <x v="4"/>
    <x v="0"/>
    <n v="604"/>
    <x v="1"/>
    <n v="14513"/>
    <n v="45.56"/>
    <n v="92.03"/>
    <s v="2024-03-10"/>
    <s v="2027-03-04"/>
    <s v="BT29795"/>
    <x v="2"/>
    <n v="22.21"/>
  </r>
  <r>
    <x v="15"/>
    <x v="1"/>
    <n v="1490"/>
    <x v="2"/>
    <n v="21245"/>
    <n v="193.13"/>
    <n v="466.23"/>
    <s v="2025-05-09"/>
    <s v="2028-03-14"/>
    <s v="BT73944"/>
    <x v="2"/>
    <n v="77.760000000000005"/>
  </r>
  <r>
    <x v="8"/>
    <x v="3"/>
    <n v="694"/>
    <x v="1"/>
    <n v="1548"/>
    <n v="161.18"/>
    <n v="250.98"/>
    <s v="2024-10-20"/>
    <s v="2025-11-06"/>
    <s v="BT75826"/>
    <x v="1"/>
    <n v="116.45"/>
  </r>
  <r>
    <x v="7"/>
    <x v="0"/>
    <n v="2078"/>
    <x v="2"/>
    <n v="18183"/>
    <n v="48.92"/>
    <n v="70.91"/>
    <s v="2025-06-23"/>
    <s v="2027-03-08"/>
    <s v="BT56457"/>
    <x v="3"/>
    <n v="35.119999999999997"/>
  </r>
  <r>
    <x v="4"/>
    <x v="1"/>
    <n v="7152"/>
    <x v="0"/>
    <n v="16040"/>
    <n v="171.68"/>
    <n v="427.02"/>
    <s v="2024-08-19"/>
    <s v="2026-06-22"/>
    <s v="BT99658"/>
    <x v="2"/>
    <n v="113.57"/>
  </r>
  <r>
    <x v="14"/>
    <x v="0"/>
    <n v="7140"/>
    <x v="0"/>
    <n v="13427"/>
    <n v="116.27"/>
    <n v="211.47"/>
    <s v="2025-10-14"/>
    <s v="2026-10-23"/>
    <s v="BT32463"/>
    <x v="2"/>
    <n v="69.760000000000005"/>
  </r>
  <r>
    <x v="18"/>
    <x v="1"/>
    <n v="9770"/>
    <x v="0"/>
    <n v="4124"/>
    <n v="268.95999999999998"/>
    <n v="644.13"/>
    <s v="2024-08-23"/>
    <s v="2026-03-27"/>
    <s v="BT84289"/>
    <x v="1"/>
    <n v="136.75"/>
  </r>
  <r>
    <x v="4"/>
    <x v="1"/>
    <n v="9397"/>
    <x v="0"/>
    <n v="19465"/>
    <n v="199.14"/>
    <n v="285.39999999999998"/>
    <s v="2024-11-18"/>
    <s v="2025-12-04"/>
    <s v="BT37152"/>
    <x v="0"/>
    <n v="91.14"/>
  </r>
  <r>
    <x v="19"/>
    <x v="0"/>
    <n v="5403"/>
    <x v="0"/>
    <n v="6323"/>
    <n v="171.37"/>
    <n v="331.89"/>
    <s v="2025-02-02"/>
    <s v="2027-12-27"/>
    <s v="BT80852"/>
    <x v="3"/>
    <n v="94.86"/>
  </r>
  <r>
    <x v="13"/>
    <x v="0"/>
    <n v="8704"/>
    <x v="0"/>
    <n v="12333"/>
    <n v="20.84"/>
    <n v="36.85"/>
    <s v="2024-03-18"/>
    <s v="2026-03-01"/>
    <s v="BT89320"/>
    <x v="0"/>
    <n v="16.3"/>
  </r>
  <r>
    <x v="19"/>
    <x v="1"/>
    <n v="985"/>
    <x v="1"/>
    <n v="21778"/>
    <n v="85.63"/>
    <n v="213.25"/>
    <s v="2025-05-17"/>
    <s v="2027-01-05"/>
    <s v="BT56636"/>
    <x v="0"/>
    <n v="66.489999999999995"/>
  </r>
  <r>
    <x v="18"/>
    <x v="4"/>
    <n v="6727"/>
    <x v="0"/>
    <n v="3808"/>
    <n v="232.79"/>
    <n v="368.74"/>
    <s v="2024-09-09"/>
    <s v="2027-09-09"/>
    <s v="BT19634"/>
    <x v="2"/>
    <n v="118.07"/>
  </r>
  <r>
    <x v="19"/>
    <x v="4"/>
    <n v="6883"/>
    <x v="0"/>
    <n v="11376"/>
    <n v="111.41"/>
    <n v="146.94999999999999"/>
    <s v="2024-11-11"/>
    <s v="2027-02-09"/>
    <s v="BT57175"/>
    <x v="3"/>
    <n v="49.12"/>
  </r>
  <r>
    <x v="4"/>
    <x v="4"/>
    <n v="7561"/>
    <x v="0"/>
    <n v="15707"/>
    <n v="169.31"/>
    <n v="315.95999999999998"/>
    <s v="2024-04-15"/>
    <s v="2025-05-11"/>
    <s v="BT21746"/>
    <x v="3"/>
    <n v="105.26"/>
  </r>
  <r>
    <x v="17"/>
    <x v="2"/>
    <n v="5815"/>
    <x v="0"/>
    <n v="13623"/>
    <n v="8.64"/>
    <n v="15.02"/>
    <s v="2024-03-27"/>
    <s v="2026-10-20"/>
    <s v="BT41816"/>
    <x v="0"/>
    <n v="5.26"/>
  </r>
  <r>
    <x v="19"/>
    <x v="4"/>
    <n v="2774"/>
    <x v="2"/>
    <n v="9811"/>
    <n v="93.83"/>
    <n v="172.75"/>
    <s v="2024-03-05"/>
    <s v="2025-08-23"/>
    <s v="BT66973"/>
    <x v="3"/>
    <n v="53.34"/>
  </r>
  <r>
    <x v="6"/>
    <x v="0"/>
    <n v="6416"/>
    <x v="0"/>
    <n v="9247"/>
    <n v="283.55"/>
    <n v="605.99"/>
    <s v="2025-05-22"/>
    <s v="2028-01-20"/>
    <s v="BT90828"/>
    <x v="4"/>
    <n v="165.35"/>
  </r>
  <r>
    <x v="13"/>
    <x v="1"/>
    <n v="610"/>
    <x v="1"/>
    <n v="13966"/>
    <n v="103"/>
    <n v="206.64"/>
    <s v="2024-12-03"/>
    <s v="2027-02-26"/>
    <s v="BT53874"/>
    <x v="1"/>
    <n v="74.8"/>
  </r>
  <r>
    <x v="17"/>
    <x v="4"/>
    <n v="5422"/>
    <x v="0"/>
    <n v="11507"/>
    <n v="182.95"/>
    <n v="384.9"/>
    <s v="2025-05-05"/>
    <s v="2027-03-22"/>
    <s v="BT33283"/>
    <x v="1"/>
    <n v="144.07"/>
  </r>
  <r>
    <x v="3"/>
    <x v="3"/>
    <n v="9935"/>
    <x v="0"/>
    <n v="8943"/>
    <n v="101.14"/>
    <n v="158.22"/>
    <s v="2025-02-06"/>
    <s v="2027-02-14"/>
    <s v="BT24927"/>
    <x v="0"/>
    <n v="48.54"/>
  </r>
  <r>
    <x v="8"/>
    <x v="4"/>
    <n v="9512"/>
    <x v="0"/>
    <n v="1881"/>
    <n v="286.14"/>
    <n v="515.08000000000004"/>
    <s v="2024-08-02"/>
    <s v="2026-10-24"/>
    <s v="BT48185"/>
    <x v="2"/>
    <n v="208.19"/>
  </r>
  <r>
    <x v="18"/>
    <x v="3"/>
    <n v="2780"/>
    <x v="2"/>
    <n v="21753"/>
    <n v="94.34"/>
    <n v="144.19999999999999"/>
    <s v="2024-06-06"/>
    <s v="2026-08-13"/>
    <s v="BT59412"/>
    <x v="2"/>
    <n v="54.68"/>
  </r>
  <r>
    <x v="17"/>
    <x v="3"/>
    <n v="7066"/>
    <x v="0"/>
    <n v="18510"/>
    <n v="154.44999999999999"/>
    <n v="370.14"/>
    <s v="2025-03-04"/>
    <s v="2027-09-11"/>
    <s v="BT14818"/>
    <x v="3"/>
    <n v="105.13"/>
  </r>
  <r>
    <x v="8"/>
    <x v="2"/>
    <n v="1892"/>
    <x v="2"/>
    <n v="4583"/>
    <n v="231.84"/>
    <n v="476.4"/>
    <s v="2024-12-29"/>
    <s v="2026-06-17"/>
    <s v="BT94803"/>
    <x v="0"/>
    <n v="96.84"/>
  </r>
  <r>
    <x v="19"/>
    <x v="1"/>
    <n v="7552"/>
    <x v="0"/>
    <n v="4471"/>
    <n v="8.11"/>
    <n v="12.46"/>
    <s v="2025-06-06"/>
    <s v="2027-11-19"/>
    <s v="BT83137"/>
    <x v="0"/>
    <n v="5.47"/>
  </r>
  <r>
    <x v="10"/>
    <x v="3"/>
    <n v="6629"/>
    <x v="0"/>
    <n v="13816"/>
    <n v="141.6"/>
    <n v="295.01"/>
    <s v="2025-05-27"/>
    <s v="2026-10-28"/>
    <s v="BT55215"/>
    <x v="2"/>
    <n v="83.98"/>
  </r>
  <r>
    <x v="3"/>
    <x v="3"/>
    <n v="1906"/>
    <x v="2"/>
    <n v="4803"/>
    <n v="250.24"/>
    <n v="537.80999999999995"/>
    <s v="2024-12-22"/>
    <s v="2026-11-06"/>
    <s v="BT54966"/>
    <x v="1"/>
    <n v="178.6"/>
  </r>
  <r>
    <x v="12"/>
    <x v="3"/>
    <n v="6206"/>
    <x v="0"/>
    <n v="16602"/>
    <n v="33.799999999999997"/>
    <n v="72.28"/>
    <s v="2025-04-08"/>
    <s v="2027-02-28"/>
    <s v="BT18804"/>
    <x v="3"/>
    <n v="14.12"/>
  </r>
  <r>
    <x v="0"/>
    <x v="0"/>
    <n v="6120"/>
    <x v="0"/>
    <n v="22232"/>
    <n v="37.26"/>
    <n v="83.46"/>
    <s v="2024-09-06"/>
    <s v="2027-02-16"/>
    <s v="BT32865"/>
    <x v="0"/>
    <n v="17.29"/>
  </r>
  <r>
    <x v="8"/>
    <x v="3"/>
    <n v="8070"/>
    <x v="0"/>
    <n v="8597"/>
    <n v="240.34"/>
    <n v="485.17"/>
    <s v="2024-07-09"/>
    <s v="2027-04-25"/>
    <s v="BT96154"/>
    <x v="1"/>
    <n v="134.16999999999999"/>
  </r>
  <r>
    <x v="17"/>
    <x v="4"/>
    <n v="7865"/>
    <x v="0"/>
    <n v="20405"/>
    <n v="131.72"/>
    <n v="158.83000000000001"/>
    <s v="2024-08-07"/>
    <s v="2026-03-05"/>
    <s v="BT46483"/>
    <x v="2"/>
    <n v="83.11"/>
  </r>
  <r>
    <x v="8"/>
    <x v="4"/>
    <n v="6493"/>
    <x v="0"/>
    <n v="11681"/>
    <n v="63.14"/>
    <n v="85.12"/>
    <s v="2025-11-17"/>
    <s v="2028-04-01"/>
    <s v="BT79168"/>
    <x v="3"/>
    <n v="40.33"/>
  </r>
  <r>
    <x v="17"/>
    <x v="3"/>
    <n v="2371"/>
    <x v="2"/>
    <n v="12400"/>
    <n v="108.84"/>
    <n v="195.39"/>
    <s v="2024-06-25"/>
    <s v="2027-05-15"/>
    <s v="BT48986"/>
    <x v="0"/>
    <n v="69.23"/>
  </r>
  <r>
    <x v="13"/>
    <x v="1"/>
    <n v="2431"/>
    <x v="2"/>
    <n v="8817"/>
    <n v="95.09"/>
    <n v="136.74"/>
    <s v="2024-05-24"/>
    <s v="2026-10-29"/>
    <s v="BT60916"/>
    <x v="1"/>
    <n v="60.72"/>
  </r>
  <r>
    <x v="2"/>
    <x v="3"/>
    <n v="7431"/>
    <x v="0"/>
    <n v="7086"/>
    <n v="148.57"/>
    <n v="282.07"/>
    <s v="2025-10-22"/>
    <s v="2027-04-17"/>
    <s v="BT82733"/>
    <x v="4"/>
    <n v="88.53"/>
  </r>
  <r>
    <x v="13"/>
    <x v="4"/>
    <n v="5654"/>
    <x v="0"/>
    <n v="15778"/>
    <n v="187.73"/>
    <n v="436.51"/>
    <s v="2024-01-10"/>
    <s v="2026-05-20"/>
    <s v="BT27895"/>
    <x v="4"/>
    <n v="136.31"/>
  </r>
  <r>
    <x v="8"/>
    <x v="2"/>
    <n v="8609"/>
    <x v="0"/>
    <n v="14406"/>
    <n v="206.99"/>
    <n v="360.23"/>
    <s v="2025-03-30"/>
    <s v="2027-08-12"/>
    <s v="BT31922"/>
    <x v="2"/>
    <n v="129.61000000000001"/>
  </r>
  <r>
    <x v="10"/>
    <x v="1"/>
    <n v="1035"/>
    <x v="2"/>
    <n v="10006"/>
    <n v="71.33"/>
    <n v="112.36"/>
    <s v="2025-04-13"/>
    <s v="2027-11-13"/>
    <s v="BT74921"/>
    <x v="0"/>
    <n v="43.11"/>
  </r>
  <r>
    <x v="2"/>
    <x v="0"/>
    <n v="4889"/>
    <x v="0"/>
    <n v="18796"/>
    <n v="247.87"/>
    <n v="415.66"/>
    <s v="2024-02-12"/>
    <s v="2026-05-08"/>
    <s v="BT81611"/>
    <x v="4"/>
    <n v="197.28"/>
  </r>
  <r>
    <x v="0"/>
    <x v="4"/>
    <n v="5377"/>
    <x v="0"/>
    <n v="2056"/>
    <n v="137.66999999999999"/>
    <n v="227.59"/>
    <s v="2024-03-30"/>
    <s v="2026-06-22"/>
    <s v="BT25386"/>
    <x v="4"/>
    <n v="66.63"/>
  </r>
  <r>
    <x v="2"/>
    <x v="1"/>
    <n v="7515"/>
    <x v="0"/>
    <n v="6438"/>
    <n v="186.76"/>
    <n v="414.66"/>
    <s v="2024-07-30"/>
    <s v="2025-09-28"/>
    <s v="BT84720"/>
    <x v="3"/>
    <n v="114.47"/>
  </r>
  <r>
    <x v="17"/>
    <x v="2"/>
    <n v="3258"/>
    <x v="0"/>
    <n v="11605"/>
    <n v="293.81"/>
    <n v="464.34"/>
    <s v="2025-08-09"/>
    <s v="2027-05-09"/>
    <s v="BT77425"/>
    <x v="2"/>
    <n v="133.46"/>
  </r>
  <r>
    <x v="18"/>
    <x v="0"/>
    <n v="5043"/>
    <x v="0"/>
    <n v="22492"/>
    <n v="42.43"/>
    <n v="98.69"/>
    <s v="2024-09-12"/>
    <s v="2026-02-08"/>
    <s v="BT52217"/>
    <x v="4"/>
    <n v="29.9"/>
  </r>
  <r>
    <x v="19"/>
    <x v="3"/>
    <n v="2829"/>
    <x v="2"/>
    <n v="19921"/>
    <n v="191.56"/>
    <n v="386.21"/>
    <s v="2025-01-19"/>
    <s v="2027-04-26"/>
    <s v="BT19898"/>
    <x v="2"/>
    <n v="107.49"/>
  </r>
  <r>
    <x v="16"/>
    <x v="1"/>
    <n v="7949"/>
    <x v="0"/>
    <n v="16992"/>
    <n v="101.55"/>
    <n v="122.19"/>
    <s v="2024-04-05"/>
    <s v="2026-07-18"/>
    <s v="BT93209"/>
    <x v="3"/>
    <n v="75.150000000000006"/>
  </r>
  <r>
    <x v="8"/>
    <x v="3"/>
    <n v="4068"/>
    <x v="0"/>
    <n v="15078"/>
    <n v="248.33"/>
    <n v="457.7"/>
    <s v="2024-11-26"/>
    <s v="2026-09-12"/>
    <s v="BT54270"/>
    <x v="0"/>
    <n v="156.74"/>
  </r>
  <r>
    <x v="2"/>
    <x v="3"/>
    <n v="6131"/>
    <x v="0"/>
    <n v="23365"/>
    <n v="229.86"/>
    <n v="289.56"/>
    <s v="2025-10-03"/>
    <s v="2028-01-16"/>
    <s v="BT12134"/>
    <x v="2"/>
    <n v="177.4"/>
  </r>
  <r>
    <x v="7"/>
    <x v="3"/>
    <n v="7979"/>
    <x v="0"/>
    <n v="1022"/>
    <n v="297.58999999999997"/>
    <n v="522.61"/>
    <s v="2024-05-15"/>
    <s v="2027-03-11"/>
    <s v="BT49566"/>
    <x v="4"/>
    <n v="223.12"/>
  </r>
  <r>
    <x v="16"/>
    <x v="0"/>
    <n v="6405"/>
    <x v="0"/>
    <n v="9204"/>
    <n v="29.31"/>
    <n v="60.49"/>
    <s v="2025-10-26"/>
    <s v="2027-04-13"/>
    <s v="BT16787"/>
    <x v="1"/>
    <n v="19.059999999999999"/>
  </r>
  <r>
    <x v="10"/>
    <x v="3"/>
    <n v="1994"/>
    <x v="2"/>
    <n v="24058"/>
    <n v="33.08"/>
    <n v="48.87"/>
    <s v="2024-03-20"/>
    <s v="2025-08-02"/>
    <s v="BT87814"/>
    <x v="4"/>
    <n v="20.11"/>
  </r>
  <r>
    <x v="15"/>
    <x v="0"/>
    <n v="632"/>
    <x v="1"/>
    <n v="23793"/>
    <n v="106.35"/>
    <n v="144.29"/>
    <s v="2025-03-08"/>
    <s v="2028-02-16"/>
    <s v="BT27324"/>
    <x v="1"/>
    <n v="45.55"/>
  </r>
  <r>
    <x v="19"/>
    <x v="0"/>
    <n v="2178"/>
    <x v="2"/>
    <n v="4381"/>
    <n v="97.44"/>
    <n v="228.52"/>
    <s v="2024-05-20"/>
    <s v="2026-06-15"/>
    <s v="BT27451"/>
    <x v="4"/>
    <n v="41.64"/>
  </r>
  <r>
    <x v="2"/>
    <x v="0"/>
    <n v="3188"/>
    <x v="0"/>
    <n v="15421"/>
    <n v="108.6"/>
    <n v="160.4"/>
    <s v="2024-06-04"/>
    <s v="2026-07-30"/>
    <s v="BT90750"/>
    <x v="1"/>
    <n v="80.8"/>
  </r>
  <r>
    <x v="4"/>
    <x v="0"/>
    <n v="2793"/>
    <x v="2"/>
    <n v="5035"/>
    <n v="178.92"/>
    <n v="304.02999999999997"/>
    <s v="2025-03-15"/>
    <s v="2027-01-31"/>
    <s v="BT28327"/>
    <x v="4"/>
    <n v="91.39"/>
  </r>
  <r>
    <x v="4"/>
    <x v="4"/>
    <n v="9566"/>
    <x v="0"/>
    <n v="20693"/>
    <n v="182"/>
    <n v="362.16"/>
    <s v="2024-01-28"/>
    <s v="2026-12-02"/>
    <s v="BT49537"/>
    <x v="4"/>
    <n v="110.49"/>
  </r>
  <r>
    <x v="12"/>
    <x v="4"/>
    <n v="6918"/>
    <x v="0"/>
    <n v="10684"/>
    <n v="195.62"/>
    <n v="434.07"/>
    <s v="2024-09-02"/>
    <s v="2027-01-21"/>
    <s v="BT60578"/>
    <x v="2"/>
    <n v="97.11"/>
  </r>
  <r>
    <x v="17"/>
    <x v="0"/>
    <n v="9155"/>
    <x v="0"/>
    <n v="1395"/>
    <n v="296.13"/>
    <n v="714.89"/>
    <s v="2024-05-15"/>
    <s v="2026-06-15"/>
    <s v="BT84498"/>
    <x v="1"/>
    <n v="161.74"/>
  </r>
  <r>
    <x v="7"/>
    <x v="3"/>
    <n v="1695"/>
    <x v="2"/>
    <n v="1546"/>
    <n v="178.27"/>
    <n v="217.12"/>
    <s v="2024-08-08"/>
    <s v="2025-09-17"/>
    <s v="BT17925"/>
    <x v="1"/>
    <n v="107.43"/>
  </r>
  <r>
    <x v="12"/>
    <x v="3"/>
    <n v="7439"/>
    <x v="0"/>
    <n v="23996"/>
    <n v="123.67"/>
    <n v="251.38"/>
    <s v="2025-07-04"/>
    <s v="2028-03-25"/>
    <s v="BT30012"/>
    <x v="3"/>
    <n v="53.6"/>
  </r>
  <r>
    <x v="4"/>
    <x v="2"/>
    <n v="3829"/>
    <x v="0"/>
    <n v="6091"/>
    <n v="163.24"/>
    <n v="278.81"/>
    <s v="2025-10-11"/>
    <s v="2028-08-06"/>
    <s v="BT99267"/>
    <x v="2"/>
    <n v="85.55"/>
  </r>
  <r>
    <x v="18"/>
    <x v="4"/>
    <n v="1448"/>
    <x v="2"/>
    <n v="9011"/>
    <n v="30.43"/>
    <n v="53.7"/>
    <s v="2025-04-09"/>
    <s v="2027-12-26"/>
    <s v="BT89800"/>
    <x v="2"/>
    <n v="15.94"/>
  </r>
  <r>
    <x v="7"/>
    <x v="0"/>
    <n v="707"/>
    <x v="1"/>
    <n v="24196"/>
    <n v="45.48"/>
    <n v="55.25"/>
    <s v="2025-05-23"/>
    <s v="2027-05-13"/>
    <s v="BT78551"/>
    <x v="0"/>
    <n v="32.44"/>
  </r>
  <r>
    <x v="16"/>
    <x v="4"/>
    <n v="6592"/>
    <x v="0"/>
    <n v="5159"/>
    <n v="226.18"/>
    <n v="528.24"/>
    <s v="2024-04-30"/>
    <s v="2025-05-30"/>
    <s v="BT53910"/>
    <x v="1"/>
    <n v="115.08"/>
  </r>
  <r>
    <x v="4"/>
    <x v="1"/>
    <n v="9947"/>
    <x v="0"/>
    <n v="21562"/>
    <n v="27.74"/>
    <n v="49.7"/>
    <s v="2025-01-03"/>
    <s v="2026-02-28"/>
    <s v="BT75484"/>
    <x v="0"/>
    <n v="12.95"/>
  </r>
  <r>
    <x v="7"/>
    <x v="1"/>
    <n v="2185"/>
    <x v="2"/>
    <n v="19805"/>
    <n v="203.87"/>
    <n v="275.20999999999998"/>
    <s v="2025-06-05"/>
    <s v="2026-06-07"/>
    <s v="BT15772"/>
    <x v="2"/>
    <n v="101.49"/>
  </r>
  <r>
    <x v="6"/>
    <x v="1"/>
    <n v="6774"/>
    <x v="0"/>
    <n v="5917"/>
    <n v="57.79"/>
    <n v="141.5"/>
    <s v="2024-02-06"/>
    <s v="2026-08-25"/>
    <s v="BT95944"/>
    <x v="1"/>
    <n v="28.31"/>
  </r>
  <r>
    <x v="10"/>
    <x v="3"/>
    <n v="5741"/>
    <x v="0"/>
    <n v="9888"/>
    <n v="248.67"/>
    <n v="483.17"/>
    <s v="2024-05-02"/>
    <s v="2026-09-28"/>
    <s v="BT98254"/>
    <x v="2"/>
    <n v="117.31"/>
  </r>
  <r>
    <x v="12"/>
    <x v="0"/>
    <n v="7068"/>
    <x v="0"/>
    <n v="3258"/>
    <n v="263.70999999999998"/>
    <n v="613.35"/>
    <s v="2024-11-14"/>
    <s v="2026-10-15"/>
    <s v="BT21322"/>
    <x v="0"/>
    <n v="153.66"/>
  </r>
  <r>
    <x v="9"/>
    <x v="4"/>
    <n v="5277"/>
    <x v="0"/>
    <n v="19474"/>
    <n v="236.43"/>
    <n v="511.03"/>
    <s v="2024-09-05"/>
    <s v="2026-12-24"/>
    <s v="BT58270"/>
    <x v="0"/>
    <n v="186.48"/>
  </r>
  <r>
    <x v="11"/>
    <x v="2"/>
    <n v="4516"/>
    <x v="0"/>
    <n v="5933"/>
    <n v="6.88"/>
    <n v="11.92"/>
    <s v="2024-08-26"/>
    <s v="2027-03-03"/>
    <s v="BT55406"/>
    <x v="2"/>
    <n v="5.37"/>
  </r>
  <r>
    <x v="1"/>
    <x v="3"/>
    <n v="5538"/>
    <x v="0"/>
    <n v="4406"/>
    <n v="65.53"/>
    <n v="162.38999999999999"/>
    <s v="2025-03-05"/>
    <s v="2027-07-21"/>
    <s v="BT17850"/>
    <x v="4"/>
    <n v="44.87"/>
  </r>
  <r>
    <x v="4"/>
    <x v="0"/>
    <n v="4292"/>
    <x v="0"/>
    <n v="18031"/>
    <n v="126.85"/>
    <n v="299.91000000000003"/>
    <s v="2025-04-14"/>
    <s v="2026-07-09"/>
    <s v="BT86122"/>
    <x v="2"/>
    <n v="76.39"/>
  </r>
  <r>
    <x v="19"/>
    <x v="0"/>
    <n v="9803"/>
    <x v="0"/>
    <n v="3040"/>
    <n v="133.32"/>
    <n v="327.10000000000002"/>
    <s v="2024-08-30"/>
    <s v="2026-06-24"/>
    <s v="BT44208"/>
    <x v="3"/>
    <n v="102.71"/>
  </r>
  <r>
    <x v="19"/>
    <x v="1"/>
    <n v="5711"/>
    <x v="0"/>
    <n v="15835"/>
    <n v="85.23"/>
    <n v="110.55"/>
    <s v="2024-07-26"/>
    <s v="2025-12-12"/>
    <s v="BT86638"/>
    <x v="2"/>
    <n v="39.39"/>
  </r>
  <r>
    <x v="7"/>
    <x v="3"/>
    <n v="8135"/>
    <x v="0"/>
    <n v="11290"/>
    <n v="124.92"/>
    <n v="236.94"/>
    <s v="2024-07-31"/>
    <s v="2026-11-05"/>
    <s v="BT50410"/>
    <x v="1"/>
    <n v="63.21"/>
  </r>
  <r>
    <x v="0"/>
    <x v="0"/>
    <n v="3082"/>
    <x v="0"/>
    <n v="23480"/>
    <n v="94.74"/>
    <n v="200.48"/>
    <s v="2025-09-09"/>
    <s v="2026-10-20"/>
    <s v="BT38183"/>
    <x v="3"/>
    <n v="43.52"/>
  </r>
  <r>
    <x v="10"/>
    <x v="1"/>
    <n v="6992"/>
    <x v="0"/>
    <n v="17825"/>
    <n v="19.440000000000001"/>
    <n v="30.88"/>
    <s v="2024-06-27"/>
    <s v="2025-07-28"/>
    <s v="BT63004"/>
    <x v="1"/>
    <n v="12.1"/>
  </r>
  <r>
    <x v="8"/>
    <x v="4"/>
    <n v="2051"/>
    <x v="2"/>
    <n v="16140"/>
    <n v="35.06"/>
    <n v="78.25"/>
    <s v="2024-05-04"/>
    <s v="2025-05-16"/>
    <s v="BT18083"/>
    <x v="4"/>
    <n v="15.86"/>
  </r>
  <r>
    <x v="19"/>
    <x v="1"/>
    <n v="1876"/>
    <x v="2"/>
    <n v="20081"/>
    <n v="177.91"/>
    <n v="425.68"/>
    <s v="2024-03-17"/>
    <s v="2025-04-08"/>
    <s v="BT18450"/>
    <x v="4"/>
    <n v="135.38999999999999"/>
  </r>
  <r>
    <x v="15"/>
    <x v="4"/>
    <n v="2006"/>
    <x v="2"/>
    <n v="11864"/>
    <n v="41.15"/>
    <n v="99.79"/>
    <s v="2024-02-21"/>
    <s v="2025-08-11"/>
    <s v="BT85220"/>
    <x v="1"/>
    <n v="29.98"/>
  </r>
  <r>
    <x v="19"/>
    <x v="3"/>
    <n v="983"/>
    <x v="1"/>
    <n v="13541"/>
    <n v="206.55"/>
    <n v="294.26"/>
    <s v="2024-08-07"/>
    <s v="2026-02-14"/>
    <s v="BT46042"/>
    <x v="3"/>
    <n v="119.47"/>
  </r>
  <r>
    <x v="13"/>
    <x v="0"/>
    <n v="4526"/>
    <x v="0"/>
    <n v="22210"/>
    <n v="92.06"/>
    <n v="159.78"/>
    <s v="2025-07-17"/>
    <s v="2027-11-19"/>
    <s v="BT17992"/>
    <x v="2"/>
    <n v="47.13"/>
  </r>
  <r>
    <x v="13"/>
    <x v="3"/>
    <n v="3767"/>
    <x v="0"/>
    <n v="22058"/>
    <n v="265.97000000000003"/>
    <n v="500.97"/>
    <s v="2025-10-07"/>
    <s v="2028-04-15"/>
    <s v="BT12559"/>
    <x v="1"/>
    <n v="189.57"/>
  </r>
  <r>
    <x v="9"/>
    <x v="3"/>
    <n v="9421"/>
    <x v="0"/>
    <n v="16881"/>
    <n v="106.49"/>
    <n v="206.1"/>
    <s v="2024-11-25"/>
    <s v="2026-12-27"/>
    <s v="BT45446"/>
    <x v="4"/>
    <n v="43.71"/>
  </r>
  <r>
    <x v="17"/>
    <x v="4"/>
    <n v="980"/>
    <x v="1"/>
    <n v="10205"/>
    <n v="22.28"/>
    <n v="55.45"/>
    <s v="2025-06-26"/>
    <s v="2027-06-27"/>
    <s v="BT86544"/>
    <x v="4"/>
    <n v="17.59"/>
  </r>
  <r>
    <x v="0"/>
    <x v="4"/>
    <n v="4451"/>
    <x v="0"/>
    <n v="9733"/>
    <n v="162.44"/>
    <n v="362.02"/>
    <s v="2024-02-27"/>
    <s v="2025-10-08"/>
    <s v="BT85457"/>
    <x v="1"/>
    <n v="88.03"/>
  </r>
  <r>
    <x v="7"/>
    <x v="4"/>
    <n v="4375"/>
    <x v="0"/>
    <n v="20415"/>
    <n v="98.81"/>
    <n v="213.38"/>
    <s v="2025-01-02"/>
    <s v="2027-08-30"/>
    <s v="BT13697"/>
    <x v="3"/>
    <n v="76.98"/>
  </r>
  <r>
    <x v="2"/>
    <x v="4"/>
    <n v="9725"/>
    <x v="0"/>
    <n v="7168"/>
    <n v="251.83"/>
    <n v="567.5"/>
    <s v="2025-05-19"/>
    <s v="2027-11-25"/>
    <s v="BT50508"/>
    <x v="4"/>
    <n v="150.13"/>
  </r>
  <r>
    <x v="4"/>
    <x v="0"/>
    <n v="4311"/>
    <x v="0"/>
    <n v="20715"/>
    <n v="69.55"/>
    <n v="131.06"/>
    <s v="2024-01-01"/>
    <s v="2025-12-05"/>
    <s v="BT90495"/>
    <x v="4"/>
    <n v="50.26"/>
  </r>
  <r>
    <x v="5"/>
    <x v="4"/>
    <n v="5801"/>
    <x v="0"/>
    <n v="2951"/>
    <n v="11.46"/>
    <n v="22.49"/>
    <s v="2024-05-25"/>
    <s v="2025-09-15"/>
    <s v="BT78982"/>
    <x v="3"/>
    <n v="8.99"/>
  </r>
  <r>
    <x v="9"/>
    <x v="3"/>
    <n v="2155"/>
    <x v="2"/>
    <n v="12028"/>
    <n v="94.02"/>
    <n v="129.5"/>
    <s v="2024-06-10"/>
    <s v="2026-08-31"/>
    <s v="BT93789"/>
    <x v="1"/>
    <n v="62.02"/>
  </r>
  <r>
    <x v="7"/>
    <x v="2"/>
    <n v="6346"/>
    <x v="0"/>
    <n v="8315"/>
    <n v="201.33"/>
    <n v="454.76"/>
    <s v="2025-01-22"/>
    <s v="2026-12-02"/>
    <s v="BT48602"/>
    <x v="4"/>
    <n v="94.84"/>
  </r>
  <r>
    <x v="1"/>
    <x v="2"/>
    <n v="6915"/>
    <x v="0"/>
    <n v="19595"/>
    <n v="14.55"/>
    <n v="28.85"/>
    <s v="2025-09-18"/>
    <s v="2027-05-02"/>
    <s v="BT93839"/>
    <x v="0"/>
    <n v="6.43"/>
  </r>
  <r>
    <x v="6"/>
    <x v="4"/>
    <n v="5925"/>
    <x v="0"/>
    <n v="3549"/>
    <n v="75.209999999999994"/>
    <n v="186.3"/>
    <s v="2024-06-20"/>
    <s v="2027-04-02"/>
    <s v="BT21629"/>
    <x v="3"/>
    <n v="43.52"/>
  </r>
  <r>
    <x v="16"/>
    <x v="4"/>
    <n v="4588"/>
    <x v="0"/>
    <n v="23713"/>
    <n v="25"/>
    <n v="38.340000000000003"/>
    <s v="2024-04-20"/>
    <s v="2025-04-21"/>
    <s v="BT16310"/>
    <x v="1"/>
    <n v="14.38"/>
  </r>
  <r>
    <x v="18"/>
    <x v="4"/>
    <n v="7283"/>
    <x v="0"/>
    <n v="17157"/>
    <n v="265.12"/>
    <n v="439.2"/>
    <s v="2025-01-19"/>
    <s v="2026-05-02"/>
    <s v="BT72847"/>
    <x v="0"/>
    <n v="175.08"/>
  </r>
  <r>
    <x v="10"/>
    <x v="4"/>
    <n v="7893"/>
    <x v="0"/>
    <n v="3415"/>
    <n v="240.76"/>
    <n v="299.37"/>
    <s v="2024-01-21"/>
    <s v="2025-12-12"/>
    <s v="BT44226"/>
    <x v="2"/>
    <n v="103.45"/>
  </r>
  <r>
    <x v="7"/>
    <x v="3"/>
    <n v="3136"/>
    <x v="0"/>
    <n v="24985"/>
    <n v="27.13"/>
    <n v="65.77"/>
    <s v="2024-04-05"/>
    <s v="2026-03-17"/>
    <s v="BT87860"/>
    <x v="0"/>
    <n v="20.55"/>
  </r>
  <r>
    <x v="1"/>
    <x v="3"/>
    <n v="3203"/>
    <x v="0"/>
    <n v="20900"/>
    <n v="267.48"/>
    <n v="375.6"/>
    <s v="2024-04-13"/>
    <s v="2026-03-18"/>
    <s v="BT36941"/>
    <x v="4"/>
    <n v="150.78"/>
  </r>
  <r>
    <x v="8"/>
    <x v="2"/>
    <n v="4846"/>
    <x v="0"/>
    <n v="22646"/>
    <n v="88.05"/>
    <n v="132.85"/>
    <s v="2024-02-20"/>
    <s v="2026-03-28"/>
    <s v="BT84943"/>
    <x v="0"/>
    <n v="64.8"/>
  </r>
  <r>
    <x v="13"/>
    <x v="0"/>
    <n v="6411"/>
    <x v="0"/>
    <n v="1125"/>
    <n v="131.13999999999999"/>
    <n v="207.58"/>
    <s v="2025-11-08"/>
    <s v="2028-08-09"/>
    <s v="BT88671"/>
    <x v="1"/>
    <n v="62.93"/>
  </r>
  <r>
    <x v="1"/>
    <x v="4"/>
    <n v="3298"/>
    <x v="0"/>
    <n v="21912"/>
    <n v="91.08"/>
    <n v="119"/>
    <s v="2024-04-28"/>
    <s v="2026-03-09"/>
    <s v="BT62096"/>
    <x v="1"/>
    <n v="54.25"/>
  </r>
  <r>
    <x v="16"/>
    <x v="0"/>
    <n v="9414"/>
    <x v="0"/>
    <n v="13698"/>
    <n v="59.54"/>
    <n v="139.99"/>
    <s v="2025-01-13"/>
    <s v="2026-07-23"/>
    <s v="BT68428"/>
    <x v="2"/>
    <n v="30.09"/>
  </r>
  <r>
    <x v="15"/>
    <x v="1"/>
    <n v="4206"/>
    <x v="0"/>
    <n v="9800"/>
    <n v="171.45"/>
    <n v="239.42"/>
    <s v="2025-11-14"/>
    <s v="2027-02-21"/>
    <s v="BT21233"/>
    <x v="3"/>
    <n v="124"/>
  </r>
  <r>
    <x v="18"/>
    <x v="2"/>
    <n v="4227"/>
    <x v="0"/>
    <n v="19140"/>
    <n v="22.99"/>
    <n v="39.159999999999997"/>
    <s v="2025-06-19"/>
    <s v="2027-08-21"/>
    <s v="BT80190"/>
    <x v="1"/>
    <n v="14.46"/>
  </r>
  <r>
    <x v="10"/>
    <x v="3"/>
    <n v="5396"/>
    <x v="0"/>
    <n v="3587"/>
    <n v="121.47"/>
    <n v="280.61"/>
    <s v="2024-02-05"/>
    <s v="2026-07-03"/>
    <s v="BT84870"/>
    <x v="0"/>
    <n v="87.48"/>
  </r>
  <r>
    <x v="17"/>
    <x v="4"/>
    <n v="2470"/>
    <x v="2"/>
    <n v="15714"/>
    <n v="56"/>
    <n v="138.86000000000001"/>
    <s v="2024-08-04"/>
    <s v="2026-02-17"/>
    <s v="BT26539"/>
    <x v="2"/>
    <n v="31.88"/>
  </r>
  <r>
    <x v="18"/>
    <x v="4"/>
    <n v="2922"/>
    <x v="2"/>
    <n v="20498"/>
    <n v="81.08"/>
    <n v="193.3"/>
    <s v="2024-03-09"/>
    <s v="2025-06-06"/>
    <s v="BT60868"/>
    <x v="0"/>
    <n v="45.32"/>
  </r>
  <r>
    <x v="5"/>
    <x v="1"/>
    <n v="9014"/>
    <x v="0"/>
    <n v="16012"/>
    <n v="275.56"/>
    <n v="335.1"/>
    <s v="2025-09-30"/>
    <s v="2028-05-23"/>
    <s v="BT78493"/>
    <x v="1"/>
    <n v="122.63"/>
  </r>
  <r>
    <x v="13"/>
    <x v="4"/>
    <n v="9783"/>
    <x v="0"/>
    <n v="20265"/>
    <n v="176.89"/>
    <n v="434.14"/>
    <s v="2024-04-12"/>
    <s v="2025-07-29"/>
    <s v="BT83752"/>
    <x v="2"/>
    <n v="126.35"/>
  </r>
  <r>
    <x v="8"/>
    <x v="1"/>
    <n v="7232"/>
    <x v="0"/>
    <n v="9655"/>
    <n v="118"/>
    <n v="216.09"/>
    <s v="2025-09-15"/>
    <s v="2028-01-12"/>
    <s v="BT14910"/>
    <x v="4"/>
    <n v="60.2"/>
  </r>
  <r>
    <x v="13"/>
    <x v="2"/>
    <n v="7081"/>
    <x v="0"/>
    <n v="2270"/>
    <n v="121.76"/>
    <n v="285.24"/>
    <s v="2024-08-31"/>
    <s v="2025-10-20"/>
    <s v="BT72287"/>
    <x v="3"/>
    <n v="92.39"/>
  </r>
  <r>
    <x v="1"/>
    <x v="1"/>
    <n v="5465"/>
    <x v="0"/>
    <n v="11189"/>
    <n v="87.7"/>
    <n v="161.29"/>
    <s v="2024-04-10"/>
    <s v="2025-11-29"/>
    <s v="BT27614"/>
    <x v="3"/>
    <n v="69.260000000000005"/>
  </r>
  <r>
    <x v="15"/>
    <x v="1"/>
    <n v="4914"/>
    <x v="0"/>
    <n v="24881"/>
    <n v="127.95"/>
    <n v="260.92"/>
    <s v="2024-07-11"/>
    <s v="2026-10-06"/>
    <s v="BT37707"/>
    <x v="1"/>
    <n v="89.1"/>
  </r>
  <r>
    <x v="12"/>
    <x v="1"/>
    <n v="1420"/>
    <x v="2"/>
    <n v="17884"/>
    <n v="238.49"/>
    <n v="306.52999999999997"/>
    <s v="2025-06-02"/>
    <s v="2027-07-20"/>
    <s v="BT27779"/>
    <x v="0"/>
    <n v="179.28"/>
  </r>
  <r>
    <x v="1"/>
    <x v="4"/>
    <n v="3658"/>
    <x v="0"/>
    <n v="7577"/>
    <n v="251.91"/>
    <n v="384"/>
    <s v="2025-04-12"/>
    <s v="2026-06-02"/>
    <s v="BT57235"/>
    <x v="4"/>
    <n v="128.37"/>
  </r>
  <r>
    <x v="15"/>
    <x v="2"/>
    <n v="7003"/>
    <x v="0"/>
    <n v="21821"/>
    <n v="277.31"/>
    <n v="578.34"/>
    <s v="2024-09-04"/>
    <s v="2026-09-20"/>
    <s v="BT74066"/>
    <x v="0"/>
    <n v="160.41"/>
  </r>
  <r>
    <x v="6"/>
    <x v="2"/>
    <n v="9533"/>
    <x v="0"/>
    <n v="12460"/>
    <n v="106.55"/>
    <n v="243.89"/>
    <s v="2024-09-21"/>
    <s v="2027-08-27"/>
    <s v="BT21847"/>
    <x v="3"/>
    <n v="43.79"/>
  </r>
  <r>
    <x v="14"/>
    <x v="4"/>
    <n v="9875"/>
    <x v="0"/>
    <n v="8022"/>
    <n v="257.85000000000002"/>
    <n v="526.41999999999996"/>
    <s v="2025-11-24"/>
    <s v="2027-06-23"/>
    <s v="BT45269"/>
    <x v="1"/>
    <n v="156.08000000000001"/>
  </r>
  <r>
    <x v="1"/>
    <x v="3"/>
    <n v="2667"/>
    <x v="2"/>
    <n v="22213"/>
    <n v="56.09"/>
    <n v="125.7"/>
    <s v="2024-08-17"/>
    <s v="2026-05-02"/>
    <s v="BT89736"/>
    <x v="3"/>
    <n v="38.43"/>
  </r>
  <r>
    <x v="16"/>
    <x v="3"/>
    <n v="6668"/>
    <x v="0"/>
    <n v="12426"/>
    <n v="140.4"/>
    <n v="208.31"/>
    <s v="2024-11-05"/>
    <s v="2027-09-29"/>
    <s v="BT78241"/>
    <x v="0"/>
    <n v="78.459999999999994"/>
  </r>
  <r>
    <x v="0"/>
    <x v="0"/>
    <n v="8880"/>
    <x v="0"/>
    <n v="22704"/>
    <n v="290.11"/>
    <n v="664.7"/>
    <s v="2025-07-28"/>
    <s v="2028-05-20"/>
    <s v="BT87826"/>
    <x v="0"/>
    <n v="148.85"/>
  </r>
  <r>
    <x v="0"/>
    <x v="3"/>
    <n v="1545"/>
    <x v="2"/>
    <n v="12019"/>
    <n v="296.57"/>
    <n v="602.86"/>
    <s v="2024-10-10"/>
    <s v="2026-07-04"/>
    <s v="BT95998"/>
    <x v="3"/>
    <n v="140.97"/>
  </r>
  <r>
    <x v="12"/>
    <x v="4"/>
    <n v="1430"/>
    <x v="2"/>
    <n v="20661"/>
    <n v="124.21"/>
    <n v="200.66"/>
    <s v="2024-05-23"/>
    <s v="2025-06-18"/>
    <s v="BT95904"/>
    <x v="1"/>
    <n v="99.24"/>
  </r>
  <r>
    <x v="16"/>
    <x v="3"/>
    <n v="7128"/>
    <x v="0"/>
    <n v="13722"/>
    <n v="222.34"/>
    <n v="435.33"/>
    <s v="2025-08-08"/>
    <s v="2027-02-18"/>
    <s v="BT54979"/>
    <x v="4"/>
    <n v="149.97"/>
  </r>
  <r>
    <x v="6"/>
    <x v="1"/>
    <n v="8811"/>
    <x v="0"/>
    <n v="10836"/>
    <n v="254.4"/>
    <n v="583.29999999999995"/>
    <s v="2025-07-25"/>
    <s v="2027-01-26"/>
    <s v="BT48506"/>
    <x v="2"/>
    <n v="149.66999999999999"/>
  </r>
  <r>
    <x v="16"/>
    <x v="2"/>
    <n v="3499"/>
    <x v="0"/>
    <n v="23272"/>
    <n v="270.38"/>
    <n v="554.49"/>
    <s v="2024-08-15"/>
    <s v="2026-08-13"/>
    <s v="BT39272"/>
    <x v="3"/>
    <n v="153.63"/>
  </r>
  <r>
    <x v="5"/>
    <x v="1"/>
    <n v="4769"/>
    <x v="0"/>
    <n v="20187"/>
    <n v="91.75"/>
    <n v="211.63"/>
    <s v="2025-04-26"/>
    <s v="2026-06-19"/>
    <s v="BT93151"/>
    <x v="0"/>
    <n v="58"/>
  </r>
  <r>
    <x v="17"/>
    <x v="0"/>
    <n v="8236"/>
    <x v="0"/>
    <n v="7374"/>
    <n v="152.63999999999999"/>
    <n v="355.31"/>
    <s v="2025-01-25"/>
    <s v="2027-07-21"/>
    <s v="BT49106"/>
    <x v="1"/>
    <n v="64.36"/>
  </r>
  <r>
    <x v="13"/>
    <x v="4"/>
    <n v="3781"/>
    <x v="0"/>
    <n v="12228"/>
    <n v="125.71"/>
    <n v="243.91"/>
    <s v="2025-04-13"/>
    <s v="2026-09-06"/>
    <s v="BT51469"/>
    <x v="4"/>
    <n v="89.45"/>
  </r>
  <r>
    <x v="6"/>
    <x v="1"/>
    <n v="3397"/>
    <x v="0"/>
    <n v="11269"/>
    <n v="192.18"/>
    <n v="231.79"/>
    <s v="2024-10-07"/>
    <s v="2026-05-09"/>
    <s v="BT32099"/>
    <x v="0"/>
    <n v="135.63999999999999"/>
  </r>
  <r>
    <x v="6"/>
    <x v="0"/>
    <n v="2620"/>
    <x v="2"/>
    <n v="21135"/>
    <n v="132.94"/>
    <n v="233.74"/>
    <s v="2025-03-15"/>
    <s v="2027-07-16"/>
    <s v="BT60242"/>
    <x v="2"/>
    <n v="55.18"/>
  </r>
  <r>
    <x v="11"/>
    <x v="1"/>
    <n v="730"/>
    <x v="1"/>
    <n v="11558"/>
    <n v="228.27"/>
    <n v="431.51"/>
    <s v="2024-01-19"/>
    <s v="2026-12-11"/>
    <s v="BT10540"/>
    <x v="4"/>
    <n v="111.97"/>
  </r>
  <r>
    <x v="9"/>
    <x v="1"/>
    <n v="2612"/>
    <x v="2"/>
    <n v="4365"/>
    <n v="118.15"/>
    <n v="232.2"/>
    <s v="2024-06-20"/>
    <s v="2025-08-25"/>
    <s v="BT15992"/>
    <x v="3"/>
    <n v="92.08"/>
  </r>
  <r>
    <x v="15"/>
    <x v="2"/>
    <n v="9087"/>
    <x v="0"/>
    <n v="12070"/>
    <n v="132.93"/>
    <n v="278.2"/>
    <s v="2024-05-17"/>
    <s v="2026-05-02"/>
    <s v="BT74248"/>
    <x v="3"/>
    <n v="93.06"/>
  </r>
  <r>
    <x v="7"/>
    <x v="3"/>
    <n v="813"/>
    <x v="1"/>
    <n v="8484"/>
    <n v="71.17"/>
    <n v="176.53"/>
    <s v="2024-08-04"/>
    <s v="2025-08-26"/>
    <s v="BT87292"/>
    <x v="0"/>
    <n v="33.28"/>
  </r>
  <r>
    <x v="9"/>
    <x v="0"/>
    <n v="6647"/>
    <x v="0"/>
    <n v="21982"/>
    <n v="80.459999999999994"/>
    <n v="152.47999999999999"/>
    <s v="2024-02-19"/>
    <s v="2026-10-19"/>
    <s v="BT16286"/>
    <x v="2"/>
    <n v="53.22"/>
  </r>
  <r>
    <x v="1"/>
    <x v="0"/>
    <n v="2397"/>
    <x v="2"/>
    <n v="14656"/>
    <n v="136.07"/>
    <n v="185.15"/>
    <s v="2024-09-15"/>
    <s v="2027-01-13"/>
    <s v="BT30070"/>
    <x v="4"/>
    <n v="92.27"/>
  </r>
  <r>
    <x v="1"/>
    <x v="1"/>
    <n v="7395"/>
    <x v="0"/>
    <n v="22681"/>
    <n v="34.79"/>
    <n v="65.28"/>
    <s v="2025-09-29"/>
    <s v="2028-06-10"/>
    <s v="BT27978"/>
    <x v="1"/>
    <n v="25.48"/>
  </r>
  <r>
    <x v="0"/>
    <x v="2"/>
    <n v="2428"/>
    <x v="2"/>
    <n v="10263"/>
    <n v="38.630000000000003"/>
    <n v="51.69"/>
    <s v="2024-07-22"/>
    <s v="2027-04-06"/>
    <s v="BT36181"/>
    <x v="3"/>
    <n v="28.3"/>
  </r>
  <r>
    <x v="11"/>
    <x v="1"/>
    <n v="7213"/>
    <x v="0"/>
    <n v="10678"/>
    <n v="52.31"/>
    <n v="100.05"/>
    <s v="2024-07-31"/>
    <s v="2027-07-05"/>
    <s v="BT73001"/>
    <x v="3"/>
    <n v="25.83"/>
  </r>
  <r>
    <x v="1"/>
    <x v="0"/>
    <n v="2309"/>
    <x v="2"/>
    <n v="19813"/>
    <n v="202.36"/>
    <n v="282.07"/>
    <s v="2024-04-02"/>
    <s v="2026-09-07"/>
    <s v="BT19836"/>
    <x v="2"/>
    <n v="154.18"/>
  </r>
  <r>
    <x v="10"/>
    <x v="3"/>
    <n v="5350"/>
    <x v="0"/>
    <n v="9654"/>
    <n v="141.96"/>
    <n v="188.77"/>
    <s v="2024-06-27"/>
    <s v="2025-08-06"/>
    <s v="BT48085"/>
    <x v="3"/>
    <n v="102.3"/>
  </r>
  <r>
    <x v="5"/>
    <x v="3"/>
    <n v="2398"/>
    <x v="2"/>
    <n v="4112"/>
    <n v="256.12"/>
    <n v="603.77"/>
    <s v="2024-01-10"/>
    <s v="2025-05-30"/>
    <s v="BT96947"/>
    <x v="4"/>
    <n v="136.12"/>
  </r>
  <r>
    <x v="15"/>
    <x v="2"/>
    <n v="4895"/>
    <x v="0"/>
    <n v="4045"/>
    <n v="114.92"/>
    <n v="189.11"/>
    <s v="2024-04-26"/>
    <s v="2026-06-10"/>
    <s v="BT62461"/>
    <x v="1"/>
    <n v="58.46"/>
  </r>
  <r>
    <x v="19"/>
    <x v="3"/>
    <n v="7409"/>
    <x v="0"/>
    <n v="22261"/>
    <n v="266.41000000000003"/>
    <n v="377.45"/>
    <s v="2024-05-15"/>
    <s v="2027-04-27"/>
    <s v="BT17686"/>
    <x v="4"/>
    <n v="117.62"/>
  </r>
  <r>
    <x v="2"/>
    <x v="3"/>
    <n v="9821"/>
    <x v="0"/>
    <n v="23229"/>
    <n v="134.26"/>
    <n v="267.81"/>
    <s v="2025-01-02"/>
    <s v="2027-09-20"/>
    <s v="BT13777"/>
    <x v="4"/>
    <n v="79.650000000000006"/>
  </r>
  <r>
    <x v="6"/>
    <x v="0"/>
    <n v="7238"/>
    <x v="0"/>
    <n v="15440"/>
    <n v="18.559999999999999"/>
    <n v="28.58"/>
    <s v="2024-11-17"/>
    <s v="2025-11-29"/>
    <s v="BT98857"/>
    <x v="0"/>
    <n v="13.12"/>
  </r>
  <r>
    <x v="2"/>
    <x v="2"/>
    <n v="4169"/>
    <x v="0"/>
    <n v="22949"/>
    <n v="262.58"/>
    <n v="492.29"/>
    <s v="2025-09-25"/>
    <s v="2026-12-31"/>
    <s v="BT66734"/>
    <x v="4"/>
    <n v="155.65"/>
  </r>
  <r>
    <x v="19"/>
    <x v="4"/>
    <n v="9647"/>
    <x v="0"/>
    <n v="21083"/>
    <n v="21.1"/>
    <n v="42.97"/>
    <s v="2024-06-09"/>
    <s v="2026-11-08"/>
    <s v="BT71510"/>
    <x v="1"/>
    <n v="15.78"/>
  </r>
  <r>
    <x v="4"/>
    <x v="3"/>
    <n v="5753"/>
    <x v="0"/>
    <n v="8893"/>
    <n v="102.61"/>
    <n v="160.24"/>
    <s v="2025-06-03"/>
    <s v="2027-01-17"/>
    <s v="BT82154"/>
    <x v="1"/>
    <n v="57.6"/>
  </r>
  <r>
    <x v="10"/>
    <x v="0"/>
    <n v="8021"/>
    <x v="0"/>
    <n v="15555"/>
    <n v="241.37"/>
    <n v="430.25"/>
    <s v="2025-05-25"/>
    <s v="2027-08-25"/>
    <s v="BT51426"/>
    <x v="2"/>
    <n v="191.23"/>
  </r>
  <r>
    <x v="1"/>
    <x v="0"/>
    <n v="7109"/>
    <x v="0"/>
    <n v="14511"/>
    <n v="15.57"/>
    <n v="29.8"/>
    <s v="2024-04-03"/>
    <s v="2026-12-12"/>
    <s v="BT91142"/>
    <x v="3"/>
    <n v="11.77"/>
  </r>
  <r>
    <x v="8"/>
    <x v="4"/>
    <n v="7974"/>
    <x v="0"/>
    <n v="12169"/>
    <n v="112.19"/>
    <n v="142.54"/>
    <s v="2024-08-16"/>
    <s v="2026-11-24"/>
    <s v="BT53512"/>
    <x v="0"/>
    <n v="79.31"/>
  </r>
  <r>
    <x v="17"/>
    <x v="3"/>
    <n v="6452"/>
    <x v="0"/>
    <n v="24459"/>
    <n v="138.5"/>
    <n v="183.74"/>
    <s v="2025-11-05"/>
    <s v="2027-06-20"/>
    <s v="BT10287"/>
    <x v="3"/>
    <n v="75.069999999999993"/>
  </r>
  <r>
    <x v="3"/>
    <x v="2"/>
    <n v="9052"/>
    <x v="0"/>
    <n v="13251"/>
    <n v="212.12"/>
    <n v="267.17"/>
    <s v="2024-06-17"/>
    <s v="2026-11-03"/>
    <s v="BT28408"/>
    <x v="1"/>
    <n v="93.92"/>
  </r>
  <r>
    <x v="17"/>
    <x v="4"/>
    <n v="3572"/>
    <x v="0"/>
    <n v="4956"/>
    <n v="279.41000000000003"/>
    <n v="478"/>
    <s v="2025-04-13"/>
    <s v="2026-10-25"/>
    <s v="BT54293"/>
    <x v="2"/>
    <n v="196.39"/>
  </r>
  <r>
    <x v="14"/>
    <x v="2"/>
    <n v="2518"/>
    <x v="2"/>
    <n v="15762"/>
    <n v="139.93"/>
    <n v="275.12"/>
    <s v="2025-05-31"/>
    <s v="2026-10-15"/>
    <s v="BT75382"/>
    <x v="2"/>
    <n v="85.66"/>
  </r>
  <r>
    <x v="14"/>
    <x v="2"/>
    <n v="7591"/>
    <x v="0"/>
    <n v="20173"/>
    <n v="147.46"/>
    <n v="274.39999999999998"/>
    <s v="2024-06-30"/>
    <s v="2027-06-08"/>
    <s v="BT85832"/>
    <x v="4"/>
    <n v="102.07"/>
  </r>
  <r>
    <x v="13"/>
    <x v="0"/>
    <n v="6847"/>
    <x v="0"/>
    <n v="22545"/>
    <n v="182.16"/>
    <n v="427.62"/>
    <s v="2025-05-31"/>
    <s v="2027-06-28"/>
    <s v="BT64875"/>
    <x v="0"/>
    <n v="139.6"/>
  </r>
  <r>
    <x v="10"/>
    <x v="1"/>
    <n v="7018"/>
    <x v="0"/>
    <n v="12234"/>
    <n v="291.3"/>
    <n v="521.04999999999995"/>
    <s v="2024-05-16"/>
    <s v="2025-10-04"/>
    <s v="BT64099"/>
    <x v="0"/>
    <n v="198.09"/>
  </r>
  <r>
    <x v="12"/>
    <x v="1"/>
    <n v="9475"/>
    <x v="0"/>
    <n v="11286"/>
    <n v="215"/>
    <n v="519.48"/>
    <s v="2025-10-09"/>
    <s v="2027-05-19"/>
    <s v="BT36330"/>
    <x v="4"/>
    <n v="139.68"/>
  </r>
  <r>
    <x v="3"/>
    <x v="1"/>
    <n v="2673"/>
    <x v="2"/>
    <n v="24278"/>
    <n v="196.78"/>
    <n v="481.29"/>
    <s v="2025-05-30"/>
    <s v="2027-12-06"/>
    <s v="BT93476"/>
    <x v="3"/>
    <n v="134.63"/>
  </r>
  <r>
    <x v="9"/>
    <x v="2"/>
    <n v="8370"/>
    <x v="0"/>
    <n v="20097"/>
    <n v="173.34"/>
    <n v="358.35"/>
    <s v="2025-03-03"/>
    <s v="2028-01-22"/>
    <s v="BT79979"/>
    <x v="3"/>
    <n v="130.18"/>
  </r>
  <r>
    <x v="18"/>
    <x v="0"/>
    <n v="9064"/>
    <x v="0"/>
    <n v="4488"/>
    <n v="12.46"/>
    <n v="17.309999999999999"/>
    <s v="2025-11-17"/>
    <s v="2027-01-13"/>
    <s v="BT36201"/>
    <x v="3"/>
    <n v="8.7200000000000006"/>
  </r>
  <r>
    <x v="7"/>
    <x v="1"/>
    <n v="4605"/>
    <x v="0"/>
    <n v="5798"/>
    <n v="252.62"/>
    <n v="529.94000000000005"/>
    <s v="2024-10-29"/>
    <s v="2026-05-25"/>
    <s v="BT80932"/>
    <x v="2"/>
    <n v="137.29"/>
  </r>
  <r>
    <x v="15"/>
    <x v="0"/>
    <n v="9705"/>
    <x v="0"/>
    <n v="8350"/>
    <n v="224.01"/>
    <n v="432.26"/>
    <s v="2024-08-31"/>
    <s v="2027-02-05"/>
    <s v="BT47701"/>
    <x v="2"/>
    <n v="172.62"/>
  </r>
  <r>
    <x v="19"/>
    <x v="3"/>
    <n v="5622"/>
    <x v="0"/>
    <n v="19092"/>
    <n v="20.87"/>
    <n v="45.22"/>
    <s v="2024-07-26"/>
    <s v="2027-04-22"/>
    <s v="BT68073"/>
    <x v="4"/>
    <n v="15.96"/>
  </r>
  <r>
    <x v="9"/>
    <x v="2"/>
    <n v="9455"/>
    <x v="0"/>
    <n v="20771"/>
    <n v="62.96"/>
    <n v="134.88"/>
    <s v="2024-07-17"/>
    <s v="2026-05-14"/>
    <s v="BT68827"/>
    <x v="4"/>
    <n v="49.95"/>
  </r>
  <r>
    <x v="4"/>
    <x v="4"/>
    <n v="3347"/>
    <x v="0"/>
    <n v="17837"/>
    <n v="40.21"/>
    <n v="50.38"/>
    <s v="2024-10-12"/>
    <s v="2027-05-04"/>
    <s v="BT44634"/>
    <x v="4"/>
    <n v="18.670000000000002"/>
  </r>
  <r>
    <x v="16"/>
    <x v="0"/>
    <n v="5915"/>
    <x v="0"/>
    <n v="16280"/>
    <n v="214.36"/>
    <n v="300.37"/>
    <s v="2024-06-06"/>
    <s v="2026-05-02"/>
    <s v="BT88234"/>
    <x v="2"/>
    <n v="152.08000000000001"/>
  </r>
  <r>
    <x v="17"/>
    <x v="1"/>
    <n v="8537"/>
    <x v="0"/>
    <n v="19765"/>
    <n v="167.3"/>
    <n v="216.61"/>
    <s v="2024-11-21"/>
    <s v="2027-05-13"/>
    <s v="BT38830"/>
    <x v="4"/>
    <n v="101.76"/>
  </r>
  <r>
    <x v="12"/>
    <x v="4"/>
    <n v="7314"/>
    <x v="0"/>
    <n v="18795"/>
    <n v="163.43"/>
    <n v="215.65"/>
    <s v="2024-08-14"/>
    <s v="2026-03-20"/>
    <s v="BT96944"/>
    <x v="3"/>
    <n v="87.01"/>
  </r>
  <r>
    <x v="3"/>
    <x v="4"/>
    <n v="9191"/>
    <x v="0"/>
    <n v="16560"/>
    <n v="299.01"/>
    <n v="678.99"/>
    <s v="2025-10-26"/>
    <s v="2026-11-04"/>
    <s v="BT25036"/>
    <x v="3"/>
    <n v="172.91"/>
  </r>
  <r>
    <x v="17"/>
    <x v="2"/>
    <n v="4494"/>
    <x v="0"/>
    <n v="2306"/>
    <n v="206.35"/>
    <n v="333.71"/>
    <s v="2024-04-26"/>
    <s v="2026-05-26"/>
    <s v="BT43631"/>
    <x v="0"/>
    <n v="142.30000000000001"/>
  </r>
  <r>
    <x v="1"/>
    <x v="2"/>
    <n v="6643"/>
    <x v="0"/>
    <n v="17852"/>
    <n v="241.83"/>
    <n v="430.27"/>
    <s v="2024-02-14"/>
    <s v="2025-12-13"/>
    <s v="BT95397"/>
    <x v="4"/>
    <n v="127.72"/>
  </r>
  <r>
    <x v="4"/>
    <x v="0"/>
    <n v="3242"/>
    <x v="0"/>
    <n v="18628"/>
    <n v="162.30000000000001"/>
    <n v="327.04000000000002"/>
    <s v="2024-08-03"/>
    <s v="2027-06-20"/>
    <s v="BT92511"/>
    <x v="4"/>
    <n v="121.07"/>
  </r>
  <r>
    <x v="18"/>
    <x v="0"/>
    <n v="3868"/>
    <x v="0"/>
    <n v="18621"/>
    <n v="249.48"/>
    <n v="584.34"/>
    <s v="2025-03-21"/>
    <s v="2028-01-12"/>
    <s v="BT19452"/>
    <x v="4"/>
    <n v="102.16"/>
  </r>
  <r>
    <x v="5"/>
    <x v="0"/>
    <n v="1933"/>
    <x v="2"/>
    <n v="3400"/>
    <n v="21.01"/>
    <n v="46.9"/>
    <s v="2025-07-25"/>
    <s v="2026-10-05"/>
    <s v="BT85361"/>
    <x v="4"/>
    <n v="16.059999999999999"/>
  </r>
  <r>
    <x v="18"/>
    <x v="3"/>
    <n v="7891"/>
    <x v="0"/>
    <n v="21650"/>
    <n v="124.31"/>
    <n v="200.3"/>
    <s v="2025-02-02"/>
    <s v="2027-12-23"/>
    <s v="BT25506"/>
    <x v="0"/>
    <n v="50.02"/>
  </r>
  <r>
    <x v="17"/>
    <x v="0"/>
    <n v="1245"/>
    <x v="2"/>
    <n v="23966"/>
    <n v="255.23"/>
    <n v="424.96"/>
    <s v="2025-05-29"/>
    <s v="2026-09-14"/>
    <s v="BT47989"/>
    <x v="3"/>
    <n v="164.02"/>
  </r>
  <r>
    <x v="3"/>
    <x v="3"/>
    <n v="6749"/>
    <x v="0"/>
    <n v="13947"/>
    <n v="247.53"/>
    <n v="306.95"/>
    <s v="2024-06-09"/>
    <s v="2026-12-07"/>
    <s v="BT38818"/>
    <x v="4"/>
    <n v="172.95"/>
  </r>
  <r>
    <x v="8"/>
    <x v="1"/>
    <n v="2860"/>
    <x v="2"/>
    <n v="10766"/>
    <n v="204.8"/>
    <n v="489.15"/>
    <s v="2025-10-25"/>
    <s v="2027-11-11"/>
    <s v="BT11461"/>
    <x v="0"/>
    <n v="153.58000000000001"/>
  </r>
  <r>
    <x v="13"/>
    <x v="0"/>
    <n v="1184"/>
    <x v="2"/>
    <n v="1164"/>
    <n v="173.95"/>
    <n v="297.86"/>
    <s v="2025-07-14"/>
    <s v="2026-10-09"/>
    <s v="BT49936"/>
    <x v="4"/>
    <n v="121.65"/>
  </r>
  <r>
    <x v="9"/>
    <x v="4"/>
    <n v="7260"/>
    <x v="0"/>
    <n v="22165"/>
    <n v="256.18"/>
    <n v="354.86"/>
    <s v="2024-07-07"/>
    <s v="2026-02-18"/>
    <s v="BT90856"/>
    <x v="3"/>
    <n v="122.38"/>
  </r>
  <r>
    <x v="7"/>
    <x v="2"/>
    <n v="1391"/>
    <x v="2"/>
    <n v="18984"/>
    <n v="141.07"/>
    <n v="270.08999999999997"/>
    <s v="2024-10-24"/>
    <s v="2027-09-11"/>
    <s v="BT18829"/>
    <x v="3"/>
    <n v="61.97"/>
  </r>
  <r>
    <x v="2"/>
    <x v="3"/>
    <n v="5920"/>
    <x v="0"/>
    <n v="12702"/>
    <n v="42.82"/>
    <n v="87.87"/>
    <s v="2024-04-12"/>
    <s v="2026-01-28"/>
    <s v="BT91201"/>
    <x v="2"/>
    <n v="32.549999999999997"/>
  </r>
  <r>
    <x v="5"/>
    <x v="3"/>
    <n v="7883"/>
    <x v="0"/>
    <n v="11759"/>
    <n v="186.82"/>
    <n v="298.42"/>
    <s v="2025-08-21"/>
    <s v="2027-01-24"/>
    <s v="BT84128"/>
    <x v="0"/>
    <n v="101.97"/>
  </r>
  <r>
    <x v="5"/>
    <x v="3"/>
    <n v="3262"/>
    <x v="0"/>
    <n v="1158"/>
    <n v="97.4"/>
    <n v="216.36"/>
    <s v="2025-10-18"/>
    <s v="2028-01-07"/>
    <s v="BT46264"/>
    <x v="3"/>
    <n v="44.19"/>
  </r>
  <r>
    <x v="5"/>
    <x v="3"/>
    <n v="8083"/>
    <x v="0"/>
    <n v="15593"/>
    <n v="110.83"/>
    <n v="177.01"/>
    <s v="2025-07-18"/>
    <s v="2026-11-06"/>
    <s v="BT33038"/>
    <x v="0"/>
    <n v="47.97"/>
  </r>
  <r>
    <x v="16"/>
    <x v="4"/>
    <n v="9324"/>
    <x v="0"/>
    <n v="7436"/>
    <n v="82.65"/>
    <n v="194.41"/>
    <s v="2024-03-19"/>
    <s v="2025-06-04"/>
    <s v="BT12441"/>
    <x v="0"/>
    <n v="53.94"/>
  </r>
  <r>
    <x v="2"/>
    <x v="2"/>
    <n v="7137"/>
    <x v="0"/>
    <n v="20334"/>
    <n v="67.760000000000005"/>
    <n v="84.54"/>
    <s v="2024-09-23"/>
    <s v="2027-04-02"/>
    <s v="BT80736"/>
    <x v="1"/>
    <n v="44.83"/>
  </r>
  <r>
    <x v="13"/>
    <x v="1"/>
    <n v="6930"/>
    <x v="0"/>
    <n v="8317"/>
    <n v="267.97000000000003"/>
    <n v="526.96"/>
    <s v="2024-10-24"/>
    <s v="2026-03-10"/>
    <s v="BT70909"/>
    <x v="0"/>
    <n v="161.9"/>
  </r>
  <r>
    <x v="19"/>
    <x v="1"/>
    <n v="8727"/>
    <x v="0"/>
    <n v="1347"/>
    <n v="200.49"/>
    <n v="461.6"/>
    <s v="2025-09-20"/>
    <s v="2028-08-20"/>
    <s v="BT31737"/>
    <x v="0"/>
    <n v="91.45"/>
  </r>
  <r>
    <x v="7"/>
    <x v="4"/>
    <n v="9779"/>
    <x v="0"/>
    <n v="19540"/>
    <n v="199.53"/>
    <n v="490.46"/>
    <s v="2025-05-10"/>
    <s v="2027-05-12"/>
    <s v="BT15297"/>
    <x v="4"/>
    <n v="140.59"/>
  </r>
  <r>
    <x v="10"/>
    <x v="0"/>
    <n v="4831"/>
    <x v="0"/>
    <n v="13105"/>
    <n v="74.040000000000006"/>
    <n v="153.19999999999999"/>
    <s v="2025-06-14"/>
    <s v="2027-06-18"/>
    <s v="BT60868"/>
    <x v="1"/>
    <n v="56.8"/>
  </r>
  <r>
    <x v="14"/>
    <x v="0"/>
    <n v="5809"/>
    <x v="0"/>
    <n v="4382"/>
    <n v="212.6"/>
    <n v="399.22"/>
    <s v="2024-10-07"/>
    <s v="2026-07-03"/>
    <s v="BT85842"/>
    <x v="0"/>
    <n v="133.53"/>
  </r>
  <r>
    <x v="19"/>
    <x v="3"/>
    <n v="6485"/>
    <x v="0"/>
    <n v="20257"/>
    <n v="197.73"/>
    <n v="452.03"/>
    <s v="2025-06-13"/>
    <s v="2027-02-25"/>
    <s v="BT59326"/>
    <x v="4"/>
    <n v="119.93"/>
  </r>
  <r>
    <x v="9"/>
    <x v="1"/>
    <n v="8476"/>
    <x v="0"/>
    <n v="16797"/>
    <n v="266.72000000000003"/>
    <n v="322.35000000000002"/>
    <s v="2024-05-22"/>
    <s v="2026-08-15"/>
    <s v="BT31706"/>
    <x v="4"/>
    <n v="114.91"/>
  </r>
  <r>
    <x v="16"/>
    <x v="4"/>
    <n v="2961"/>
    <x v="2"/>
    <n v="7124"/>
    <n v="51.42"/>
    <n v="101.95"/>
    <s v="2024-05-01"/>
    <s v="2027-03-08"/>
    <s v="BT40191"/>
    <x v="1"/>
    <n v="37.25"/>
  </r>
  <r>
    <x v="0"/>
    <x v="3"/>
    <n v="8344"/>
    <x v="0"/>
    <n v="16696"/>
    <n v="67.16"/>
    <n v="94.67"/>
    <s v="2025-02-24"/>
    <s v="2026-03-18"/>
    <s v="BT41938"/>
    <x v="2"/>
    <n v="30.3"/>
  </r>
  <r>
    <x v="2"/>
    <x v="4"/>
    <n v="2707"/>
    <x v="2"/>
    <n v="21628"/>
    <n v="156.22999999999999"/>
    <n v="368.4"/>
    <s v="2024-05-30"/>
    <s v="2025-07-26"/>
    <s v="BT31802"/>
    <x v="3"/>
    <n v="120.14"/>
  </r>
  <r>
    <x v="12"/>
    <x v="3"/>
    <n v="9734"/>
    <x v="0"/>
    <n v="21893"/>
    <n v="10.49"/>
    <n v="22.4"/>
    <s v="2025-11-08"/>
    <s v="2027-08-25"/>
    <s v="BT21239"/>
    <x v="4"/>
    <n v="6.08"/>
  </r>
  <r>
    <x v="6"/>
    <x v="3"/>
    <n v="3294"/>
    <x v="0"/>
    <n v="8188"/>
    <n v="249.96"/>
    <n v="495.19"/>
    <s v="2025-08-19"/>
    <s v="2027-02-21"/>
    <s v="BT91685"/>
    <x v="0"/>
    <n v="126.43"/>
  </r>
  <r>
    <x v="5"/>
    <x v="3"/>
    <n v="1627"/>
    <x v="2"/>
    <n v="8530"/>
    <n v="116.57"/>
    <n v="159.91999999999999"/>
    <s v="2024-01-17"/>
    <s v="2025-08-11"/>
    <s v="BT78512"/>
    <x v="0"/>
    <n v="78.540000000000006"/>
  </r>
  <r>
    <x v="13"/>
    <x v="2"/>
    <n v="2077"/>
    <x v="2"/>
    <n v="6813"/>
    <n v="145.38"/>
    <n v="290.64"/>
    <s v="2024-02-09"/>
    <s v="2026-08-06"/>
    <s v="BT75972"/>
    <x v="2"/>
    <n v="63.57"/>
  </r>
  <r>
    <x v="13"/>
    <x v="2"/>
    <n v="9335"/>
    <x v="0"/>
    <n v="1039"/>
    <n v="269.61"/>
    <n v="595.12"/>
    <s v="2025-10-26"/>
    <s v="2028-01-10"/>
    <s v="BT78425"/>
    <x v="1"/>
    <n v="147.79"/>
  </r>
  <r>
    <x v="14"/>
    <x v="2"/>
    <n v="7528"/>
    <x v="0"/>
    <n v="8519"/>
    <n v="281.83"/>
    <n v="514.84"/>
    <s v="2025-01-25"/>
    <s v="2027-01-18"/>
    <s v="BT87207"/>
    <x v="0"/>
    <n v="123.75"/>
  </r>
  <r>
    <x v="13"/>
    <x v="1"/>
    <n v="8317"/>
    <x v="0"/>
    <n v="8618"/>
    <n v="273.48"/>
    <n v="357.98"/>
    <s v="2025-09-04"/>
    <s v="2028-03-13"/>
    <s v="BT63562"/>
    <x v="3"/>
    <n v="130.07"/>
  </r>
  <r>
    <x v="1"/>
    <x v="2"/>
    <n v="9061"/>
    <x v="0"/>
    <n v="4861"/>
    <n v="158.33000000000001"/>
    <n v="267.19"/>
    <s v="2024-07-29"/>
    <s v="2027-07-03"/>
    <s v="BT51405"/>
    <x v="1"/>
    <n v="86.28"/>
  </r>
  <r>
    <x v="13"/>
    <x v="3"/>
    <n v="4655"/>
    <x v="0"/>
    <n v="9562"/>
    <n v="257.22000000000003"/>
    <n v="450.3"/>
    <s v="2025-01-09"/>
    <s v="2027-09-27"/>
    <s v="BT46118"/>
    <x v="1"/>
    <n v="180.57"/>
  </r>
  <r>
    <x v="18"/>
    <x v="2"/>
    <n v="9635"/>
    <x v="0"/>
    <n v="16809"/>
    <n v="57.72"/>
    <n v="111.22"/>
    <s v="2025-05-10"/>
    <s v="2027-01-24"/>
    <s v="BT50193"/>
    <x v="0"/>
    <n v="31.04"/>
  </r>
  <r>
    <x v="19"/>
    <x v="4"/>
    <n v="2451"/>
    <x v="2"/>
    <n v="8529"/>
    <n v="136.75"/>
    <n v="288.42"/>
    <s v="2024-06-14"/>
    <s v="2025-09-24"/>
    <s v="BT38109"/>
    <x v="0"/>
    <n v="76.61"/>
  </r>
  <r>
    <x v="5"/>
    <x v="2"/>
    <n v="1352"/>
    <x v="2"/>
    <n v="6267"/>
    <n v="119.79"/>
    <n v="242.77"/>
    <s v="2024-04-03"/>
    <s v="2025-08-29"/>
    <s v="BT71822"/>
    <x v="0"/>
    <n v="68.78"/>
  </r>
  <r>
    <x v="4"/>
    <x v="1"/>
    <n v="4133"/>
    <x v="0"/>
    <n v="13151"/>
    <n v="28.61"/>
    <n v="35.74"/>
    <s v="2025-01-28"/>
    <s v="2027-03-14"/>
    <s v="BT90473"/>
    <x v="0"/>
    <n v="14.72"/>
  </r>
  <r>
    <x v="17"/>
    <x v="0"/>
    <n v="3371"/>
    <x v="0"/>
    <n v="21981"/>
    <n v="150.84"/>
    <n v="183.11"/>
    <s v="2025-11-03"/>
    <s v="2028-04-16"/>
    <s v="BT47487"/>
    <x v="4"/>
    <n v="62.36"/>
  </r>
  <r>
    <x v="17"/>
    <x v="2"/>
    <n v="8951"/>
    <x v="0"/>
    <n v="23886"/>
    <n v="73.34"/>
    <n v="104.17"/>
    <s v="2024-02-06"/>
    <s v="2026-02-08"/>
    <s v="BT41359"/>
    <x v="2"/>
    <n v="57.96"/>
  </r>
  <r>
    <x v="4"/>
    <x v="1"/>
    <n v="7044"/>
    <x v="0"/>
    <n v="12571"/>
    <n v="202.55"/>
    <n v="349.82"/>
    <s v="2024-07-24"/>
    <s v="2027-01-05"/>
    <s v="BT12014"/>
    <x v="2"/>
    <n v="155.49"/>
  </r>
  <r>
    <x v="8"/>
    <x v="1"/>
    <n v="9660"/>
    <x v="0"/>
    <n v="20101"/>
    <n v="107.69"/>
    <n v="264.08999999999997"/>
    <s v="2024-10-10"/>
    <s v="2026-05-29"/>
    <s v="BT89477"/>
    <x v="4"/>
    <n v="62.67"/>
  </r>
  <r>
    <x v="19"/>
    <x v="2"/>
    <n v="576"/>
    <x v="1"/>
    <n v="9555"/>
    <n v="56.64"/>
    <n v="105.24"/>
    <s v="2025-07-26"/>
    <s v="2026-10-08"/>
    <s v="BT75951"/>
    <x v="3"/>
    <n v="30.36"/>
  </r>
  <r>
    <x v="0"/>
    <x v="2"/>
    <n v="4722"/>
    <x v="0"/>
    <n v="18626"/>
    <n v="244.88"/>
    <n v="476.87"/>
    <s v="2025-03-29"/>
    <s v="2027-04-19"/>
    <s v="BT83815"/>
    <x v="1"/>
    <n v="173.37"/>
  </r>
  <r>
    <x v="5"/>
    <x v="3"/>
    <n v="8048"/>
    <x v="0"/>
    <n v="20229"/>
    <n v="259.3"/>
    <n v="473.63"/>
    <s v="2024-09-21"/>
    <s v="2025-11-29"/>
    <s v="BT60157"/>
    <x v="4"/>
    <n v="173.93"/>
  </r>
  <r>
    <x v="10"/>
    <x v="1"/>
    <n v="7257"/>
    <x v="0"/>
    <n v="12570"/>
    <n v="157.37"/>
    <n v="190.83"/>
    <s v="2024-09-26"/>
    <s v="2026-06-07"/>
    <s v="BT47655"/>
    <x v="2"/>
    <n v="88.06"/>
  </r>
  <r>
    <x v="5"/>
    <x v="0"/>
    <n v="9585"/>
    <x v="0"/>
    <n v="6848"/>
    <n v="145.58000000000001"/>
    <n v="241.6"/>
    <s v="2025-08-10"/>
    <s v="2027-05-12"/>
    <s v="BT33957"/>
    <x v="4"/>
    <n v="87.29"/>
  </r>
  <r>
    <x v="11"/>
    <x v="4"/>
    <n v="4465"/>
    <x v="0"/>
    <n v="9696"/>
    <n v="66"/>
    <n v="96.6"/>
    <s v="2024-09-12"/>
    <s v="2027-06-07"/>
    <s v="BT56665"/>
    <x v="4"/>
    <n v="46.96"/>
  </r>
  <r>
    <x v="0"/>
    <x v="0"/>
    <n v="8571"/>
    <x v="0"/>
    <n v="21113"/>
    <n v="6.95"/>
    <n v="16.079999999999998"/>
    <s v="2024-02-13"/>
    <s v="2026-06-20"/>
    <s v="BT58653"/>
    <x v="0"/>
    <n v="3.66"/>
  </r>
  <r>
    <x v="2"/>
    <x v="1"/>
    <n v="8541"/>
    <x v="0"/>
    <n v="6992"/>
    <n v="295.39999999999998"/>
    <n v="706.24"/>
    <s v="2024-10-13"/>
    <s v="2026-11-24"/>
    <s v="BT39110"/>
    <x v="0"/>
    <n v="133.31"/>
  </r>
  <r>
    <x v="12"/>
    <x v="3"/>
    <n v="8336"/>
    <x v="0"/>
    <n v="18719"/>
    <n v="14.61"/>
    <n v="24.13"/>
    <s v="2024-06-27"/>
    <s v="2026-10-08"/>
    <s v="BT25776"/>
    <x v="0"/>
    <n v="8.5299999999999994"/>
  </r>
  <r>
    <x v="1"/>
    <x v="0"/>
    <n v="3952"/>
    <x v="0"/>
    <n v="13433"/>
    <n v="176.4"/>
    <n v="286.31"/>
    <s v="2025-09-19"/>
    <s v="2027-06-11"/>
    <s v="BT34530"/>
    <x v="0"/>
    <n v="89.11"/>
  </r>
  <r>
    <x v="16"/>
    <x v="3"/>
    <n v="6121"/>
    <x v="0"/>
    <n v="12990"/>
    <n v="59.25"/>
    <n v="103.75"/>
    <s v="2025-03-05"/>
    <s v="2028-02-20"/>
    <s v="BT58799"/>
    <x v="3"/>
    <n v="43.95"/>
  </r>
  <r>
    <x v="16"/>
    <x v="3"/>
    <n v="3447"/>
    <x v="0"/>
    <n v="19723"/>
    <n v="43.69"/>
    <n v="85.14"/>
    <s v="2024-08-22"/>
    <s v="2025-12-02"/>
    <s v="BT45382"/>
    <x v="4"/>
    <n v="27.18"/>
  </r>
  <r>
    <x v="19"/>
    <x v="4"/>
    <n v="2889"/>
    <x v="2"/>
    <n v="5900"/>
    <n v="144.53"/>
    <n v="175.27"/>
    <s v="2025-03-07"/>
    <s v="2027-07-31"/>
    <s v="BT27625"/>
    <x v="0"/>
    <n v="88.68"/>
  </r>
  <r>
    <x v="5"/>
    <x v="3"/>
    <n v="5415"/>
    <x v="0"/>
    <n v="9223"/>
    <n v="170.83"/>
    <n v="331.1"/>
    <s v="2025-02-11"/>
    <s v="2026-05-23"/>
    <s v="BT31409"/>
    <x v="2"/>
    <n v="83.06"/>
  </r>
  <r>
    <x v="16"/>
    <x v="3"/>
    <n v="2077"/>
    <x v="2"/>
    <n v="15740"/>
    <n v="224.66"/>
    <n v="345.46"/>
    <s v="2025-01-03"/>
    <s v="2027-07-30"/>
    <s v="BT83071"/>
    <x v="3"/>
    <n v="120.79"/>
  </r>
  <r>
    <x v="18"/>
    <x v="0"/>
    <n v="6252"/>
    <x v="0"/>
    <n v="23268"/>
    <n v="289.12"/>
    <n v="421.72"/>
    <s v="2025-08-12"/>
    <s v="2028-06-07"/>
    <s v="BT95082"/>
    <x v="0"/>
    <n v="135.83000000000001"/>
  </r>
  <r>
    <x v="3"/>
    <x v="1"/>
    <n v="5826"/>
    <x v="0"/>
    <n v="23059"/>
    <n v="155.58000000000001"/>
    <n v="343.39"/>
    <s v="2025-04-02"/>
    <s v="2026-06-21"/>
    <s v="BT59947"/>
    <x v="0"/>
    <n v="80.06"/>
  </r>
  <r>
    <x v="13"/>
    <x v="4"/>
    <n v="6027"/>
    <x v="0"/>
    <n v="14822"/>
    <n v="191.23"/>
    <n v="371.58"/>
    <s v="2024-03-14"/>
    <s v="2025-06-03"/>
    <s v="BT31233"/>
    <x v="3"/>
    <n v="93.95"/>
  </r>
  <r>
    <x v="5"/>
    <x v="1"/>
    <n v="4882"/>
    <x v="0"/>
    <n v="20837"/>
    <n v="195.17"/>
    <n v="303.02999999999997"/>
    <s v="2025-03-31"/>
    <s v="2027-04-06"/>
    <s v="BT86928"/>
    <x v="0"/>
    <n v="153.44"/>
  </r>
  <r>
    <x v="18"/>
    <x v="4"/>
    <n v="3512"/>
    <x v="0"/>
    <n v="1756"/>
    <n v="41.89"/>
    <n v="63.05"/>
    <s v="2024-09-14"/>
    <s v="2027-09-01"/>
    <s v="BT20494"/>
    <x v="4"/>
    <n v="19.55"/>
  </r>
  <r>
    <x v="0"/>
    <x v="0"/>
    <n v="1545"/>
    <x v="2"/>
    <n v="16505"/>
    <n v="166.79"/>
    <n v="205.86"/>
    <s v="2025-02-10"/>
    <s v="2027-07-31"/>
    <s v="BT20911"/>
    <x v="2"/>
    <n v="84.23"/>
  </r>
  <r>
    <x v="13"/>
    <x v="0"/>
    <n v="6887"/>
    <x v="0"/>
    <n v="11137"/>
    <n v="72.66"/>
    <n v="156.86000000000001"/>
    <s v="2025-03-29"/>
    <s v="2027-12-30"/>
    <s v="BT26569"/>
    <x v="4"/>
    <n v="44.37"/>
  </r>
  <r>
    <x v="7"/>
    <x v="0"/>
    <n v="1075"/>
    <x v="2"/>
    <n v="22743"/>
    <n v="110.27"/>
    <n v="263.52999999999997"/>
    <s v="2025-05-02"/>
    <s v="2027-08-23"/>
    <s v="BT80855"/>
    <x v="3"/>
    <n v="68.3"/>
  </r>
  <r>
    <x v="13"/>
    <x v="2"/>
    <n v="3400"/>
    <x v="0"/>
    <n v="20360"/>
    <n v="181.29"/>
    <n v="366.27"/>
    <s v="2025-10-13"/>
    <s v="2028-05-12"/>
    <s v="BT67013"/>
    <x v="0"/>
    <n v="118.91"/>
  </r>
  <r>
    <x v="8"/>
    <x v="1"/>
    <n v="6188"/>
    <x v="0"/>
    <n v="16782"/>
    <n v="164.2"/>
    <n v="368.81"/>
    <s v="2025-03-28"/>
    <s v="2027-02-06"/>
    <s v="BT57943"/>
    <x v="1"/>
    <n v="82.74"/>
  </r>
  <r>
    <x v="3"/>
    <x v="0"/>
    <n v="501"/>
    <x v="1"/>
    <n v="18148"/>
    <n v="245.54"/>
    <n v="565.30999999999995"/>
    <s v="2024-12-18"/>
    <s v="2026-10-07"/>
    <s v="BT71498"/>
    <x v="0"/>
    <n v="99.03"/>
  </r>
  <r>
    <x v="6"/>
    <x v="3"/>
    <n v="5408"/>
    <x v="0"/>
    <n v="1299"/>
    <n v="230.93"/>
    <n v="516.66999999999996"/>
    <s v="2025-09-03"/>
    <s v="2027-04-27"/>
    <s v="BT10946"/>
    <x v="0"/>
    <n v="126.89"/>
  </r>
  <r>
    <x v="18"/>
    <x v="2"/>
    <n v="7661"/>
    <x v="0"/>
    <n v="13935"/>
    <n v="78.72"/>
    <n v="167.63"/>
    <s v="2025-10-23"/>
    <s v="2027-11-26"/>
    <s v="BT59592"/>
    <x v="4"/>
    <n v="39.770000000000003"/>
  </r>
  <r>
    <x v="18"/>
    <x v="4"/>
    <n v="8964"/>
    <x v="0"/>
    <n v="21093"/>
    <n v="243.23"/>
    <n v="508.36"/>
    <s v="2024-10-18"/>
    <s v="2027-08-13"/>
    <s v="BT79722"/>
    <x v="3"/>
    <n v="137.46"/>
  </r>
  <r>
    <x v="4"/>
    <x v="4"/>
    <n v="2738"/>
    <x v="2"/>
    <n v="10489"/>
    <n v="37.56"/>
    <n v="67.31"/>
    <s v="2025-04-08"/>
    <s v="2027-01-11"/>
    <s v="BT91625"/>
    <x v="1"/>
    <n v="17.850000000000001"/>
  </r>
  <r>
    <x v="1"/>
    <x v="4"/>
    <n v="1313"/>
    <x v="2"/>
    <n v="18529"/>
    <n v="11.53"/>
    <n v="28.41"/>
    <s v="2024-10-15"/>
    <s v="2026-07-17"/>
    <s v="BT26389"/>
    <x v="1"/>
    <n v="7.97"/>
  </r>
  <r>
    <x v="10"/>
    <x v="0"/>
    <n v="2968"/>
    <x v="2"/>
    <n v="1482"/>
    <n v="150.61000000000001"/>
    <n v="247.68"/>
    <s v="2024-11-15"/>
    <s v="2027-04-09"/>
    <s v="BT58679"/>
    <x v="1"/>
    <n v="102.23"/>
  </r>
  <r>
    <x v="14"/>
    <x v="1"/>
    <n v="1814"/>
    <x v="2"/>
    <n v="5787"/>
    <n v="21.53"/>
    <n v="47.55"/>
    <s v="2024-03-14"/>
    <s v="2026-09-21"/>
    <s v="BT71623"/>
    <x v="4"/>
    <n v="10.27"/>
  </r>
  <r>
    <x v="16"/>
    <x v="3"/>
    <n v="706"/>
    <x v="1"/>
    <n v="4996"/>
    <n v="292.51"/>
    <n v="622.78"/>
    <s v="2025-01-29"/>
    <s v="2027-04-27"/>
    <s v="BT42396"/>
    <x v="2"/>
    <n v="140.31"/>
  </r>
  <r>
    <x v="0"/>
    <x v="2"/>
    <n v="3915"/>
    <x v="0"/>
    <n v="16493"/>
    <n v="119.79"/>
    <n v="293.43"/>
    <s v="2024-11-26"/>
    <s v="2026-05-07"/>
    <s v="BT92465"/>
    <x v="2"/>
    <n v="83.6"/>
  </r>
  <r>
    <x v="8"/>
    <x v="2"/>
    <n v="2501"/>
    <x v="2"/>
    <n v="9300"/>
    <n v="146.96"/>
    <n v="233.44"/>
    <s v="2025-01-04"/>
    <s v="2026-02-26"/>
    <s v="BT97385"/>
    <x v="4"/>
    <n v="116"/>
  </r>
  <r>
    <x v="10"/>
    <x v="3"/>
    <n v="5816"/>
    <x v="0"/>
    <n v="1493"/>
    <n v="54.37"/>
    <n v="84.76"/>
    <s v="2024-05-02"/>
    <s v="2026-06-11"/>
    <s v="BT41862"/>
    <x v="2"/>
    <n v="42.82"/>
  </r>
  <r>
    <x v="2"/>
    <x v="3"/>
    <n v="3039"/>
    <x v="0"/>
    <n v="13169"/>
    <n v="232.39"/>
    <n v="354.01"/>
    <s v="2025-05-26"/>
    <s v="2026-08-27"/>
    <s v="BT99908"/>
    <x v="0"/>
    <n v="124.41"/>
  </r>
  <r>
    <x v="14"/>
    <x v="0"/>
    <n v="6324"/>
    <x v="0"/>
    <n v="22121"/>
    <n v="50.41"/>
    <n v="95.64"/>
    <s v="2024-04-19"/>
    <s v="2025-08-25"/>
    <s v="BT73942"/>
    <x v="4"/>
    <n v="26.55"/>
  </r>
  <r>
    <x v="8"/>
    <x v="1"/>
    <n v="7687"/>
    <x v="0"/>
    <n v="7323"/>
    <n v="11.3"/>
    <n v="19.11"/>
    <s v="2024-05-17"/>
    <s v="2026-01-28"/>
    <s v="BT15175"/>
    <x v="1"/>
    <n v="7.71"/>
  </r>
  <r>
    <x v="8"/>
    <x v="1"/>
    <n v="9392"/>
    <x v="0"/>
    <n v="23840"/>
    <n v="149.58000000000001"/>
    <n v="289.69"/>
    <s v="2025-07-10"/>
    <s v="2027-07-01"/>
    <s v="BT52425"/>
    <x v="1"/>
    <n v="76.31"/>
  </r>
  <r>
    <x v="17"/>
    <x v="2"/>
    <n v="3127"/>
    <x v="0"/>
    <n v="3256"/>
    <n v="161.69"/>
    <n v="288.49"/>
    <s v="2024-09-26"/>
    <s v="2027-04-03"/>
    <s v="BT58118"/>
    <x v="1"/>
    <n v="64.72"/>
  </r>
  <r>
    <x v="12"/>
    <x v="3"/>
    <n v="3539"/>
    <x v="0"/>
    <n v="1613"/>
    <n v="187.82"/>
    <n v="314.27999999999997"/>
    <s v="2025-09-27"/>
    <s v="2027-05-29"/>
    <s v="BT52034"/>
    <x v="2"/>
    <n v="124.58"/>
  </r>
  <r>
    <x v="8"/>
    <x v="3"/>
    <n v="3610"/>
    <x v="0"/>
    <n v="18172"/>
    <n v="206.55"/>
    <n v="453.47"/>
    <s v="2024-06-06"/>
    <s v="2027-02-23"/>
    <s v="BT47110"/>
    <x v="3"/>
    <n v="116.48"/>
  </r>
  <r>
    <x v="5"/>
    <x v="0"/>
    <n v="2077"/>
    <x v="2"/>
    <n v="18144"/>
    <n v="199.37"/>
    <n v="250.59"/>
    <s v="2024-05-12"/>
    <s v="2025-11-10"/>
    <s v="BT14099"/>
    <x v="4"/>
    <n v="88.29"/>
  </r>
  <r>
    <x v="11"/>
    <x v="0"/>
    <n v="1021"/>
    <x v="2"/>
    <n v="19710"/>
    <n v="194.32"/>
    <n v="331.35"/>
    <s v="2025-05-16"/>
    <s v="2027-11-05"/>
    <s v="BT91785"/>
    <x v="0"/>
    <n v="97.62"/>
  </r>
  <r>
    <x v="9"/>
    <x v="4"/>
    <n v="1661"/>
    <x v="2"/>
    <n v="1428"/>
    <n v="279.41000000000003"/>
    <n v="411.11"/>
    <s v="2025-05-18"/>
    <s v="2026-08-07"/>
    <s v="BT71349"/>
    <x v="2"/>
    <n v="152.1"/>
  </r>
  <r>
    <x v="18"/>
    <x v="1"/>
    <n v="1455"/>
    <x v="2"/>
    <n v="21215"/>
    <n v="83.42"/>
    <n v="104.51"/>
    <s v="2024-03-13"/>
    <s v="2026-01-18"/>
    <s v="BT20215"/>
    <x v="4"/>
    <n v="65.42"/>
  </r>
  <r>
    <x v="0"/>
    <x v="0"/>
    <n v="4284"/>
    <x v="0"/>
    <n v="18421"/>
    <n v="118.67"/>
    <n v="172.2"/>
    <s v="2025-11-03"/>
    <s v="2027-07-15"/>
    <s v="BT84714"/>
    <x v="4"/>
    <n v="73.98"/>
  </r>
  <r>
    <x v="8"/>
    <x v="3"/>
    <n v="2228"/>
    <x v="2"/>
    <n v="21926"/>
    <n v="175.09"/>
    <n v="363.63"/>
    <s v="2025-11-12"/>
    <s v="2028-01-23"/>
    <s v="BT23644"/>
    <x v="4"/>
    <n v="125.54"/>
  </r>
  <r>
    <x v="8"/>
    <x v="3"/>
    <n v="8768"/>
    <x v="0"/>
    <n v="12059"/>
    <n v="198.97"/>
    <n v="376.86"/>
    <s v="2025-09-06"/>
    <s v="2027-12-03"/>
    <s v="BT56179"/>
    <x v="3"/>
    <n v="123.37"/>
  </r>
  <r>
    <x v="5"/>
    <x v="1"/>
    <n v="7255"/>
    <x v="0"/>
    <n v="21750"/>
    <n v="132.02000000000001"/>
    <n v="283"/>
    <s v="2025-09-15"/>
    <s v="2027-05-19"/>
    <s v="BT83812"/>
    <x v="0"/>
    <n v="64.11"/>
  </r>
  <r>
    <x v="8"/>
    <x v="1"/>
    <n v="6398"/>
    <x v="0"/>
    <n v="15824"/>
    <n v="137.01"/>
    <n v="235.14"/>
    <s v="2024-02-05"/>
    <s v="2025-11-22"/>
    <s v="BT88087"/>
    <x v="2"/>
    <n v="83.17"/>
  </r>
  <r>
    <x v="3"/>
    <x v="0"/>
    <n v="5420"/>
    <x v="0"/>
    <n v="8270"/>
    <n v="68.37"/>
    <n v="110.03"/>
    <s v="2024-10-09"/>
    <s v="2027-04-28"/>
    <s v="BT77013"/>
    <x v="0"/>
    <n v="42.95"/>
  </r>
  <r>
    <x v="2"/>
    <x v="4"/>
    <n v="2044"/>
    <x v="2"/>
    <n v="2236"/>
    <n v="140.81"/>
    <n v="197.55"/>
    <s v="2024-09-28"/>
    <s v="2026-10-08"/>
    <s v="BT86304"/>
    <x v="4"/>
    <n v="69.45"/>
  </r>
  <r>
    <x v="3"/>
    <x v="0"/>
    <n v="9846"/>
    <x v="0"/>
    <n v="14100"/>
    <n v="172.87"/>
    <n v="256.31"/>
    <s v="2024-03-20"/>
    <s v="2026-02-15"/>
    <s v="BT73246"/>
    <x v="4"/>
    <n v="102.91"/>
  </r>
  <r>
    <x v="2"/>
    <x v="0"/>
    <n v="5421"/>
    <x v="0"/>
    <n v="2224"/>
    <n v="220.58"/>
    <n v="429.95"/>
    <s v="2024-03-21"/>
    <s v="2025-05-17"/>
    <s v="BT53829"/>
    <x v="3"/>
    <n v="165.86"/>
  </r>
  <r>
    <x v="18"/>
    <x v="3"/>
    <n v="2474"/>
    <x v="2"/>
    <n v="8429"/>
    <n v="225.57"/>
    <n v="519.79"/>
    <s v="2024-01-12"/>
    <s v="2026-10-22"/>
    <s v="BT92862"/>
    <x v="1"/>
    <n v="95.11"/>
  </r>
  <r>
    <x v="12"/>
    <x v="0"/>
    <n v="5731"/>
    <x v="0"/>
    <n v="18692"/>
    <n v="171.65"/>
    <n v="278.91000000000003"/>
    <s v="2024-08-14"/>
    <s v="2026-01-17"/>
    <s v="BT16621"/>
    <x v="1"/>
    <n v="135.33000000000001"/>
  </r>
  <r>
    <x v="17"/>
    <x v="2"/>
    <n v="8769"/>
    <x v="0"/>
    <n v="3951"/>
    <n v="70.52"/>
    <n v="111.19"/>
    <s v="2025-02-07"/>
    <s v="2026-07-08"/>
    <s v="BT27326"/>
    <x v="3"/>
    <n v="30.54"/>
  </r>
  <r>
    <x v="2"/>
    <x v="0"/>
    <n v="9480"/>
    <x v="0"/>
    <n v="14080"/>
    <n v="82.45"/>
    <n v="141.66"/>
    <s v="2025-03-20"/>
    <s v="2028-03-03"/>
    <s v="BT27088"/>
    <x v="4"/>
    <n v="48.84"/>
  </r>
  <r>
    <x v="11"/>
    <x v="3"/>
    <n v="6976"/>
    <x v="0"/>
    <n v="22372"/>
    <n v="173.54"/>
    <n v="334.85"/>
    <s v="2025-06-20"/>
    <s v="2027-02-27"/>
    <s v="BT41760"/>
    <x v="2"/>
    <n v="87.9"/>
  </r>
  <r>
    <x v="18"/>
    <x v="1"/>
    <n v="9937"/>
    <x v="0"/>
    <n v="3935"/>
    <n v="38.200000000000003"/>
    <n v="66.38"/>
    <s v="2025-01-09"/>
    <s v="2026-12-31"/>
    <s v="BT34967"/>
    <x v="3"/>
    <n v="20.54"/>
  </r>
  <r>
    <x v="1"/>
    <x v="1"/>
    <n v="3273"/>
    <x v="0"/>
    <n v="12459"/>
    <n v="186.79"/>
    <n v="464.59"/>
    <s v="2025-03-28"/>
    <s v="2027-12-26"/>
    <s v="BT29112"/>
    <x v="1"/>
    <n v="78.069999999999993"/>
  </r>
  <r>
    <x v="10"/>
    <x v="4"/>
    <n v="6624"/>
    <x v="0"/>
    <n v="6111"/>
    <n v="228.53"/>
    <n v="527.58000000000004"/>
    <s v="2024-04-25"/>
    <s v="2025-06-19"/>
    <s v="BT41856"/>
    <x v="0"/>
    <n v="176.13"/>
  </r>
  <r>
    <x v="3"/>
    <x v="0"/>
    <n v="6124"/>
    <x v="0"/>
    <n v="23734"/>
    <n v="242.26"/>
    <n v="386.81"/>
    <s v="2025-04-27"/>
    <s v="2026-05-20"/>
    <s v="BT53499"/>
    <x v="4"/>
    <n v="168.61"/>
  </r>
  <r>
    <x v="11"/>
    <x v="4"/>
    <n v="9452"/>
    <x v="0"/>
    <n v="18146"/>
    <n v="226.35"/>
    <n v="433.11"/>
    <s v="2025-09-29"/>
    <s v="2027-02-20"/>
    <s v="BT97590"/>
    <x v="2"/>
    <n v="124.64"/>
  </r>
  <r>
    <x v="12"/>
    <x v="0"/>
    <n v="4685"/>
    <x v="0"/>
    <n v="6581"/>
    <n v="22.73"/>
    <n v="33.21"/>
    <s v="2025-09-24"/>
    <s v="2027-06-28"/>
    <s v="BT16957"/>
    <x v="1"/>
    <n v="15.05"/>
  </r>
  <r>
    <x v="1"/>
    <x v="0"/>
    <n v="6867"/>
    <x v="0"/>
    <n v="22639"/>
    <n v="85.04"/>
    <n v="196.25"/>
    <s v="2025-11-06"/>
    <s v="2027-11-09"/>
    <s v="BT24141"/>
    <x v="2"/>
    <n v="43.97"/>
  </r>
  <r>
    <x v="19"/>
    <x v="4"/>
    <n v="6737"/>
    <x v="0"/>
    <n v="17663"/>
    <n v="293.10000000000002"/>
    <n v="389.67"/>
    <s v="2024-11-19"/>
    <s v="2027-03-30"/>
    <s v="BT88263"/>
    <x v="0"/>
    <n v="127.56"/>
  </r>
  <r>
    <x v="11"/>
    <x v="2"/>
    <n v="8003"/>
    <x v="0"/>
    <n v="19372"/>
    <n v="278.27"/>
    <n v="341.7"/>
    <s v="2024-09-10"/>
    <s v="2027-03-06"/>
    <s v="BT49967"/>
    <x v="3"/>
    <n v="165.84"/>
  </r>
  <r>
    <x v="7"/>
    <x v="0"/>
    <n v="6181"/>
    <x v="0"/>
    <n v="23423"/>
    <n v="108.81"/>
    <n v="219.01"/>
    <s v="2024-08-29"/>
    <s v="2027-01-24"/>
    <s v="BT46159"/>
    <x v="2"/>
    <n v="70.760000000000005"/>
  </r>
  <r>
    <x v="19"/>
    <x v="0"/>
    <n v="9592"/>
    <x v="0"/>
    <n v="10181"/>
    <n v="71.55"/>
    <n v="117.65"/>
    <s v="2025-02-06"/>
    <s v="2027-12-10"/>
    <s v="BT27991"/>
    <x v="2"/>
    <n v="49.51"/>
  </r>
  <r>
    <x v="12"/>
    <x v="2"/>
    <n v="4226"/>
    <x v="0"/>
    <n v="14675"/>
    <n v="75.91"/>
    <n v="106.17"/>
    <s v="2024-11-15"/>
    <s v="2027-07-27"/>
    <s v="BT53160"/>
    <x v="1"/>
    <n v="46.83"/>
  </r>
  <r>
    <x v="11"/>
    <x v="4"/>
    <n v="9369"/>
    <x v="0"/>
    <n v="23414"/>
    <n v="241.03"/>
    <n v="559.52"/>
    <s v="2024-11-12"/>
    <s v="2027-10-18"/>
    <s v="BT78656"/>
    <x v="4"/>
    <n v="137.88"/>
  </r>
  <r>
    <x v="13"/>
    <x v="2"/>
    <n v="3089"/>
    <x v="0"/>
    <n v="11403"/>
    <n v="25.01"/>
    <n v="47.34"/>
    <s v="2024-05-01"/>
    <s v="2025-11-05"/>
    <s v="BT51628"/>
    <x v="4"/>
    <n v="17.28"/>
  </r>
  <r>
    <x v="5"/>
    <x v="3"/>
    <n v="7237"/>
    <x v="0"/>
    <n v="10940"/>
    <n v="135.69"/>
    <n v="327.54000000000002"/>
    <s v="2025-10-14"/>
    <s v="2027-07-21"/>
    <s v="BT29917"/>
    <x v="4"/>
    <n v="60.07"/>
  </r>
  <r>
    <x v="7"/>
    <x v="0"/>
    <n v="4872"/>
    <x v="0"/>
    <n v="20844"/>
    <n v="172.28"/>
    <n v="258.45"/>
    <s v="2024-08-25"/>
    <s v="2026-04-18"/>
    <s v="BT13418"/>
    <x v="3"/>
    <n v="74.39"/>
  </r>
  <r>
    <x v="6"/>
    <x v="4"/>
    <n v="8730"/>
    <x v="0"/>
    <n v="20815"/>
    <n v="143.29"/>
    <n v="292.95"/>
    <s v="2024-07-07"/>
    <s v="2026-08-07"/>
    <s v="BT74414"/>
    <x v="1"/>
    <n v="65.2"/>
  </r>
  <r>
    <x v="11"/>
    <x v="4"/>
    <n v="1028"/>
    <x v="2"/>
    <n v="14388"/>
    <n v="230.54"/>
    <n v="281.14999999999998"/>
    <s v="2024-10-03"/>
    <s v="2026-11-29"/>
    <s v="BT39170"/>
    <x v="4"/>
    <n v="162.1"/>
  </r>
  <r>
    <x v="4"/>
    <x v="4"/>
    <n v="7697"/>
    <x v="0"/>
    <n v="21219"/>
    <n v="149.53"/>
    <n v="242.59"/>
    <s v="2025-04-13"/>
    <s v="2026-12-21"/>
    <s v="BT66040"/>
    <x v="1"/>
    <n v="106.24"/>
  </r>
  <r>
    <x v="17"/>
    <x v="3"/>
    <n v="5626"/>
    <x v="0"/>
    <n v="13915"/>
    <n v="185.39"/>
    <n v="401.41"/>
    <s v="2025-08-31"/>
    <s v="2028-03-02"/>
    <s v="BT78843"/>
    <x v="2"/>
    <n v="112.77"/>
  </r>
  <r>
    <x v="15"/>
    <x v="3"/>
    <n v="1194"/>
    <x v="2"/>
    <n v="9051"/>
    <n v="158.02000000000001"/>
    <n v="270.89"/>
    <s v="2024-02-10"/>
    <s v="2026-09-03"/>
    <s v="BT60777"/>
    <x v="0"/>
    <n v="111.57"/>
  </r>
  <r>
    <x v="14"/>
    <x v="4"/>
    <n v="5270"/>
    <x v="0"/>
    <n v="15403"/>
    <n v="122.42"/>
    <n v="195.37"/>
    <s v="2024-10-19"/>
    <s v="2027-02-03"/>
    <s v="BT31821"/>
    <x v="1"/>
    <n v="63.39"/>
  </r>
  <r>
    <x v="14"/>
    <x v="2"/>
    <n v="2830"/>
    <x v="2"/>
    <n v="16190"/>
    <n v="249.82"/>
    <n v="446.48"/>
    <s v="2025-05-27"/>
    <s v="2026-09-19"/>
    <s v="BT33562"/>
    <x v="0"/>
    <n v="193.64"/>
  </r>
  <r>
    <x v="8"/>
    <x v="4"/>
    <n v="6940"/>
    <x v="0"/>
    <n v="14551"/>
    <n v="100.42"/>
    <n v="123.76"/>
    <s v="2025-04-09"/>
    <s v="2027-12-04"/>
    <s v="BT36467"/>
    <x v="1"/>
    <n v="43.79"/>
  </r>
  <r>
    <x v="5"/>
    <x v="4"/>
    <n v="2524"/>
    <x v="2"/>
    <n v="3988"/>
    <n v="38.68"/>
    <n v="69.010000000000005"/>
    <s v="2025-01-06"/>
    <s v="2026-04-03"/>
    <s v="BT78657"/>
    <x v="1"/>
    <n v="26.72"/>
  </r>
  <r>
    <x v="12"/>
    <x v="2"/>
    <n v="3119"/>
    <x v="0"/>
    <n v="13408"/>
    <n v="167.35"/>
    <n v="210.37"/>
    <s v="2024-06-23"/>
    <s v="2026-06-01"/>
    <s v="BT84120"/>
    <x v="4"/>
    <n v="77.790000000000006"/>
  </r>
  <r>
    <x v="13"/>
    <x v="4"/>
    <n v="1340"/>
    <x v="2"/>
    <n v="14748"/>
    <n v="95.88"/>
    <n v="206.07"/>
    <s v="2025-04-01"/>
    <s v="2027-01-21"/>
    <s v="BT92110"/>
    <x v="4"/>
    <n v="42.86"/>
  </r>
  <r>
    <x v="13"/>
    <x v="4"/>
    <n v="557"/>
    <x v="1"/>
    <n v="21400"/>
    <n v="230.79"/>
    <n v="280.61"/>
    <s v="2025-05-24"/>
    <s v="2027-10-16"/>
    <s v="BT81237"/>
    <x v="2"/>
    <n v="148.44"/>
  </r>
  <r>
    <x v="6"/>
    <x v="4"/>
    <n v="4053"/>
    <x v="0"/>
    <n v="20295"/>
    <n v="199.54"/>
    <n v="357.15"/>
    <s v="2025-03-28"/>
    <s v="2026-06-17"/>
    <s v="BT88802"/>
    <x v="0"/>
    <n v="80.34"/>
  </r>
  <r>
    <x v="8"/>
    <x v="1"/>
    <n v="9634"/>
    <x v="0"/>
    <n v="7803"/>
    <n v="19.43"/>
    <n v="27.06"/>
    <s v="2025-10-30"/>
    <s v="2027-10-22"/>
    <s v="BT14813"/>
    <x v="4"/>
    <n v="14.41"/>
  </r>
  <r>
    <x v="2"/>
    <x v="2"/>
    <n v="5389"/>
    <x v="0"/>
    <n v="11849"/>
    <n v="276.51"/>
    <n v="349.44"/>
    <s v="2025-03-02"/>
    <s v="2026-08-31"/>
    <s v="BT31146"/>
    <x v="3"/>
    <n v="178.19"/>
  </r>
  <r>
    <x v="17"/>
    <x v="2"/>
    <n v="9710"/>
    <x v="0"/>
    <n v="6813"/>
    <n v="290.06"/>
    <n v="630.63"/>
    <s v="2025-01-03"/>
    <s v="2026-02-08"/>
    <s v="BT22206"/>
    <x v="3"/>
    <n v="153.47999999999999"/>
  </r>
  <r>
    <x v="19"/>
    <x v="0"/>
    <n v="7501"/>
    <x v="0"/>
    <n v="19037"/>
    <n v="24.15"/>
    <n v="43.76"/>
    <s v="2024-05-04"/>
    <s v="2027-04-15"/>
    <s v="BT45968"/>
    <x v="3"/>
    <n v="14.75"/>
  </r>
  <r>
    <x v="12"/>
    <x v="4"/>
    <n v="3925"/>
    <x v="0"/>
    <n v="21055"/>
    <n v="22.16"/>
    <n v="43.05"/>
    <s v="2025-10-06"/>
    <s v="2028-03-30"/>
    <s v="BT21491"/>
    <x v="1"/>
    <n v="15.28"/>
  </r>
  <r>
    <x v="17"/>
    <x v="1"/>
    <n v="7496"/>
    <x v="0"/>
    <n v="20950"/>
    <n v="255.1"/>
    <n v="392.23"/>
    <s v="2025-08-11"/>
    <s v="2028-05-10"/>
    <s v="BT56380"/>
    <x v="4"/>
    <n v="164.72"/>
  </r>
  <r>
    <x v="6"/>
    <x v="2"/>
    <n v="8654"/>
    <x v="0"/>
    <n v="17138"/>
    <n v="243.35"/>
    <n v="571.57000000000005"/>
    <s v="2024-08-26"/>
    <s v="2027-08-21"/>
    <s v="BT48074"/>
    <x v="4"/>
    <n v="97.49"/>
  </r>
  <r>
    <x v="1"/>
    <x v="3"/>
    <n v="2432"/>
    <x v="2"/>
    <n v="7793"/>
    <n v="240.87"/>
    <n v="601.86"/>
    <s v="2025-02-27"/>
    <s v="2026-04-14"/>
    <s v="BT53750"/>
    <x v="3"/>
    <n v="150.34"/>
  </r>
  <r>
    <x v="11"/>
    <x v="0"/>
    <n v="3796"/>
    <x v="0"/>
    <n v="23610"/>
    <n v="88.08"/>
    <n v="196.18"/>
    <s v="2024-11-11"/>
    <s v="2026-09-14"/>
    <s v="BT76412"/>
    <x v="0"/>
    <n v="46.64"/>
  </r>
  <r>
    <x v="1"/>
    <x v="0"/>
    <n v="5960"/>
    <x v="0"/>
    <n v="12185"/>
    <n v="121.83"/>
    <n v="236.3"/>
    <s v="2024-01-30"/>
    <s v="2025-07-27"/>
    <s v="BT35430"/>
    <x v="3"/>
    <n v="89.37"/>
  </r>
  <r>
    <x v="6"/>
    <x v="3"/>
    <n v="1082"/>
    <x v="2"/>
    <n v="22156"/>
    <n v="45.05"/>
    <n v="63.16"/>
    <s v="2025-04-16"/>
    <s v="2027-10-17"/>
    <s v="BT53923"/>
    <x v="1"/>
    <n v="32.15"/>
  </r>
  <r>
    <x v="18"/>
    <x v="0"/>
    <n v="9037"/>
    <x v="0"/>
    <n v="10808"/>
    <n v="171.66"/>
    <n v="357.34"/>
    <s v="2025-07-22"/>
    <s v="2028-01-21"/>
    <s v="BT12453"/>
    <x v="4"/>
    <n v="108.31"/>
  </r>
  <r>
    <x v="5"/>
    <x v="1"/>
    <n v="1584"/>
    <x v="2"/>
    <n v="5892"/>
    <n v="87.74"/>
    <n v="108.84"/>
    <s v="2025-01-19"/>
    <s v="2027-10-22"/>
    <s v="BT80028"/>
    <x v="4"/>
    <n v="55.14"/>
  </r>
  <r>
    <x v="19"/>
    <x v="4"/>
    <n v="2414"/>
    <x v="2"/>
    <n v="11101"/>
    <n v="213.05"/>
    <n v="342.77"/>
    <s v="2024-02-02"/>
    <s v="2025-11-06"/>
    <s v="BT64246"/>
    <x v="2"/>
    <n v="127.58"/>
  </r>
  <r>
    <x v="10"/>
    <x v="1"/>
    <n v="7904"/>
    <x v="0"/>
    <n v="10916"/>
    <n v="68.760000000000005"/>
    <n v="109.54"/>
    <s v="2024-04-24"/>
    <s v="2026-05-12"/>
    <s v="BT14901"/>
    <x v="4"/>
    <n v="52.62"/>
  </r>
  <r>
    <x v="15"/>
    <x v="2"/>
    <n v="908"/>
    <x v="1"/>
    <n v="16815"/>
    <n v="271.95999999999998"/>
    <n v="380.83"/>
    <s v="2024-12-14"/>
    <s v="2027-04-23"/>
    <s v="BT78632"/>
    <x v="3"/>
    <n v="193.15"/>
  </r>
  <r>
    <x v="13"/>
    <x v="0"/>
    <n v="8956"/>
    <x v="0"/>
    <n v="23174"/>
    <n v="297.85000000000002"/>
    <n v="436.87"/>
    <s v="2024-02-07"/>
    <s v="2026-05-22"/>
    <s v="BT60801"/>
    <x v="0"/>
    <n v="132.94"/>
  </r>
  <r>
    <x v="3"/>
    <x v="0"/>
    <n v="1926"/>
    <x v="2"/>
    <n v="11921"/>
    <n v="142.72999999999999"/>
    <n v="179.84"/>
    <s v="2025-06-17"/>
    <s v="2028-04-21"/>
    <s v="BT50957"/>
    <x v="2"/>
    <n v="90.07"/>
  </r>
  <r>
    <x v="3"/>
    <x v="4"/>
    <n v="5757"/>
    <x v="0"/>
    <n v="7571"/>
    <n v="61.8"/>
    <n v="96.39"/>
    <s v="2024-11-22"/>
    <s v="2027-02-16"/>
    <s v="BT97965"/>
    <x v="2"/>
    <n v="31.46"/>
  </r>
  <r>
    <x v="7"/>
    <x v="1"/>
    <n v="2375"/>
    <x v="2"/>
    <n v="1499"/>
    <n v="287.7"/>
    <n v="554.54999999999995"/>
    <s v="2024-04-14"/>
    <s v="2025-11-11"/>
    <s v="BT81110"/>
    <x v="3"/>
    <n v="178.3"/>
  </r>
  <r>
    <x v="16"/>
    <x v="4"/>
    <n v="5141"/>
    <x v="0"/>
    <n v="19811"/>
    <n v="77.22"/>
    <n v="99.82"/>
    <s v="2025-09-19"/>
    <s v="2027-08-31"/>
    <s v="BT80854"/>
    <x v="1"/>
    <n v="32.450000000000003"/>
  </r>
  <r>
    <x v="1"/>
    <x v="3"/>
    <n v="1326"/>
    <x v="2"/>
    <n v="4471"/>
    <n v="118.16"/>
    <n v="155.02000000000001"/>
    <s v="2025-02-05"/>
    <s v="2026-08-07"/>
    <s v="BT88134"/>
    <x v="0"/>
    <n v="77.02"/>
  </r>
  <r>
    <x v="15"/>
    <x v="2"/>
    <n v="6326"/>
    <x v="0"/>
    <n v="11238"/>
    <n v="103.04"/>
    <n v="150.19"/>
    <s v="2025-11-17"/>
    <s v="2028-05-16"/>
    <s v="BT20295"/>
    <x v="1"/>
    <n v="64.62"/>
  </r>
  <r>
    <x v="4"/>
    <x v="3"/>
    <n v="2093"/>
    <x v="2"/>
    <n v="15928"/>
    <n v="96.57"/>
    <n v="196.78"/>
    <s v="2025-04-21"/>
    <s v="2027-08-15"/>
    <s v="BT40368"/>
    <x v="4"/>
    <n v="44.18"/>
  </r>
  <r>
    <x v="17"/>
    <x v="1"/>
    <n v="6454"/>
    <x v="0"/>
    <n v="13847"/>
    <n v="59.09"/>
    <n v="141.37"/>
    <s v="2024-12-04"/>
    <s v="2026-11-01"/>
    <s v="BT69412"/>
    <x v="1"/>
    <n v="24.35"/>
  </r>
  <r>
    <x v="6"/>
    <x v="0"/>
    <n v="6258"/>
    <x v="0"/>
    <n v="16684"/>
    <n v="141.07"/>
    <n v="200.61"/>
    <s v="2024-12-22"/>
    <s v="2027-09-01"/>
    <s v="BT85324"/>
    <x v="4"/>
    <n v="85.09"/>
  </r>
  <r>
    <x v="19"/>
    <x v="0"/>
    <n v="5839"/>
    <x v="0"/>
    <n v="19223"/>
    <n v="196.59"/>
    <n v="438.43"/>
    <s v="2025-06-29"/>
    <s v="2027-10-14"/>
    <s v="BT62535"/>
    <x v="0"/>
    <n v="111.15"/>
  </r>
  <r>
    <x v="17"/>
    <x v="4"/>
    <n v="9477"/>
    <x v="0"/>
    <n v="6210"/>
    <n v="292.3"/>
    <n v="496.61"/>
    <s v="2024-12-14"/>
    <s v="2026-07-15"/>
    <s v="BT87459"/>
    <x v="1"/>
    <n v="208.62"/>
  </r>
  <r>
    <x v="18"/>
    <x v="2"/>
    <n v="6106"/>
    <x v="0"/>
    <n v="18843"/>
    <n v="209.77"/>
    <n v="298.92"/>
    <s v="2025-11-16"/>
    <s v="2027-02-03"/>
    <s v="BT85260"/>
    <x v="1"/>
    <n v="93.5"/>
  </r>
  <r>
    <x v="17"/>
    <x v="3"/>
    <n v="5830"/>
    <x v="0"/>
    <n v="19189"/>
    <n v="33.81"/>
    <n v="60.14"/>
    <s v="2024-11-11"/>
    <s v="2026-12-31"/>
    <s v="BT19123"/>
    <x v="0"/>
    <n v="14.99"/>
  </r>
  <r>
    <x v="17"/>
    <x v="3"/>
    <n v="5864"/>
    <x v="0"/>
    <n v="17197"/>
    <n v="195.27"/>
    <n v="249.93"/>
    <s v="2024-08-10"/>
    <s v="2025-12-30"/>
    <s v="BT86122"/>
    <x v="2"/>
    <n v="137.24"/>
  </r>
  <r>
    <x v="13"/>
    <x v="3"/>
    <n v="9204"/>
    <x v="0"/>
    <n v="10551"/>
    <n v="120.04"/>
    <n v="234.24"/>
    <s v="2024-07-19"/>
    <s v="2026-02-14"/>
    <s v="BT99327"/>
    <x v="3"/>
    <n v="62.41"/>
  </r>
  <r>
    <x v="3"/>
    <x v="3"/>
    <n v="6140"/>
    <x v="0"/>
    <n v="3925"/>
    <n v="176.9"/>
    <n v="352.9"/>
    <s v="2025-06-06"/>
    <s v="2027-07-24"/>
    <s v="BT26718"/>
    <x v="3"/>
    <n v="75.180000000000007"/>
  </r>
  <r>
    <x v="8"/>
    <x v="0"/>
    <n v="513"/>
    <x v="1"/>
    <n v="24047"/>
    <n v="170.21"/>
    <n v="420.81"/>
    <s v="2024-04-22"/>
    <s v="2026-02-04"/>
    <s v="BT14087"/>
    <x v="4"/>
    <n v="97.48"/>
  </r>
  <r>
    <x v="2"/>
    <x v="3"/>
    <n v="5712"/>
    <x v="0"/>
    <n v="24323"/>
    <n v="117.92"/>
    <n v="200"/>
    <s v="2025-07-12"/>
    <s v="2027-02-13"/>
    <s v="BT96833"/>
    <x v="4"/>
    <n v="69.569999999999993"/>
  </r>
  <r>
    <x v="11"/>
    <x v="2"/>
    <n v="6801"/>
    <x v="0"/>
    <n v="12805"/>
    <n v="252.79"/>
    <n v="354.04"/>
    <s v="2025-11-17"/>
    <s v="2027-03-25"/>
    <s v="BT27600"/>
    <x v="2"/>
    <n v="108.37"/>
  </r>
  <r>
    <x v="1"/>
    <x v="4"/>
    <n v="8474"/>
    <x v="0"/>
    <n v="22558"/>
    <n v="133.84"/>
    <n v="332.9"/>
    <s v="2024-03-27"/>
    <s v="2025-08-14"/>
    <s v="BT94180"/>
    <x v="1"/>
    <n v="99.59"/>
  </r>
  <r>
    <x v="17"/>
    <x v="3"/>
    <n v="3445"/>
    <x v="0"/>
    <n v="15889"/>
    <n v="155.28"/>
    <n v="297.77999999999997"/>
    <s v="2025-04-05"/>
    <s v="2027-05-03"/>
    <s v="BT56570"/>
    <x v="4"/>
    <n v="73.650000000000006"/>
  </r>
  <r>
    <x v="17"/>
    <x v="0"/>
    <n v="9968"/>
    <x v="0"/>
    <n v="17323"/>
    <n v="254.81"/>
    <n v="384.2"/>
    <s v="2025-05-28"/>
    <s v="2027-02-27"/>
    <s v="BT63849"/>
    <x v="0"/>
    <n v="160.66999999999999"/>
  </r>
  <r>
    <x v="14"/>
    <x v="0"/>
    <n v="9808"/>
    <x v="0"/>
    <n v="16835"/>
    <n v="212.94"/>
    <n v="286.85000000000002"/>
    <s v="2025-05-08"/>
    <s v="2028-04-14"/>
    <s v="BT20494"/>
    <x v="4"/>
    <n v="147.37"/>
  </r>
  <r>
    <x v="12"/>
    <x v="1"/>
    <n v="8117"/>
    <x v="0"/>
    <n v="17939"/>
    <n v="28.08"/>
    <n v="66.180000000000007"/>
    <s v="2024-03-31"/>
    <s v="2025-12-07"/>
    <s v="BT71925"/>
    <x v="2"/>
    <n v="18.920000000000002"/>
  </r>
  <r>
    <x v="8"/>
    <x v="2"/>
    <n v="5619"/>
    <x v="0"/>
    <n v="21088"/>
    <n v="20.57"/>
    <n v="33.869999999999997"/>
    <s v="2024-01-12"/>
    <s v="2026-05-06"/>
    <s v="BT69511"/>
    <x v="0"/>
    <n v="15.68"/>
  </r>
  <r>
    <x v="2"/>
    <x v="1"/>
    <n v="7397"/>
    <x v="0"/>
    <n v="12564"/>
    <n v="288.37"/>
    <n v="645.28"/>
    <s v="2024-10-23"/>
    <s v="2026-04-12"/>
    <s v="BT14630"/>
    <x v="0"/>
    <n v="201.79"/>
  </r>
  <r>
    <x v="2"/>
    <x v="1"/>
    <n v="1506"/>
    <x v="2"/>
    <n v="21620"/>
    <n v="144.58000000000001"/>
    <n v="205.28"/>
    <s v="2024-02-22"/>
    <s v="2026-12-25"/>
    <s v="BT48240"/>
    <x v="0"/>
    <n v="59.41"/>
  </r>
  <r>
    <x v="6"/>
    <x v="0"/>
    <n v="2577"/>
    <x v="2"/>
    <n v="17567"/>
    <n v="27.67"/>
    <n v="61.4"/>
    <s v="2024-09-15"/>
    <s v="2026-01-28"/>
    <s v="BT90713"/>
    <x v="3"/>
    <n v="14.11"/>
  </r>
  <r>
    <x v="16"/>
    <x v="0"/>
    <n v="2327"/>
    <x v="2"/>
    <n v="20786"/>
    <n v="56.51"/>
    <n v="111.29"/>
    <s v="2024-06-03"/>
    <s v="2027-04-08"/>
    <s v="BT68543"/>
    <x v="3"/>
    <n v="40.86"/>
  </r>
  <r>
    <x v="16"/>
    <x v="4"/>
    <n v="8444"/>
    <x v="0"/>
    <n v="6924"/>
    <n v="240.81"/>
    <n v="558.83000000000004"/>
    <s v="2024-12-17"/>
    <s v="2026-03-13"/>
    <s v="BT29014"/>
    <x v="0"/>
    <n v="186.29"/>
  </r>
  <r>
    <x v="13"/>
    <x v="3"/>
    <n v="7265"/>
    <x v="0"/>
    <n v="13555"/>
    <n v="75.19"/>
    <n v="133.25"/>
    <s v="2025-10-14"/>
    <s v="2027-04-03"/>
    <s v="BT37637"/>
    <x v="0"/>
    <n v="52.16"/>
  </r>
  <r>
    <x v="9"/>
    <x v="0"/>
    <n v="4831"/>
    <x v="0"/>
    <n v="4800"/>
    <n v="20.49"/>
    <n v="36.950000000000003"/>
    <s v="2025-05-02"/>
    <s v="2027-03-06"/>
    <s v="BT72425"/>
    <x v="0"/>
    <n v="10.11"/>
  </r>
  <r>
    <x v="19"/>
    <x v="3"/>
    <n v="4802"/>
    <x v="0"/>
    <n v="5756"/>
    <n v="161.47999999999999"/>
    <n v="285.04000000000002"/>
    <s v="2024-10-22"/>
    <s v="2027-01-24"/>
    <s v="BT60070"/>
    <x v="3"/>
    <n v="126.71"/>
  </r>
  <r>
    <x v="14"/>
    <x v="0"/>
    <n v="9204"/>
    <x v="0"/>
    <n v="21887"/>
    <n v="109.38"/>
    <n v="251.3"/>
    <s v="2025-09-17"/>
    <s v="2028-07-15"/>
    <s v="BT45728"/>
    <x v="3"/>
    <n v="55.58"/>
  </r>
  <r>
    <x v="0"/>
    <x v="1"/>
    <n v="6908"/>
    <x v="0"/>
    <n v="16109"/>
    <n v="233.08"/>
    <n v="506.67"/>
    <s v="2025-11-19"/>
    <s v="2028-07-13"/>
    <s v="BT35549"/>
    <x v="0"/>
    <n v="124.69"/>
  </r>
  <r>
    <x v="7"/>
    <x v="1"/>
    <n v="9472"/>
    <x v="0"/>
    <n v="1346"/>
    <n v="203.48"/>
    <n v="464.18"/>
    <s v="2024-01-13"/>
    <s v="2026-03-09"/>
    <s v="BT22805"/>
    <x v="0"/>
    <n v="89.85"/>
  </r>
  <r>
    <x v="15"/>
    <x v="1"/>
    <n v="4094"/>
    <x v="0"/>
    <n v="24765"/>
    <n v="88.57"/>
    <n v="128.52000000000001"/>
    <s v="2024-01-25"/>
    <s v="2026-10-20"/>
    <s v="BT22050"/>
    <x v="2"/>
    <n v="68.680000000000007"/>
  </r>
  <r>
    <x v="11"/>
    <x v="2"/>
    <n v="2495"/>
    <x v="2"/>
    <n v="24202"/>
    <n v="287.55"/>
    <n v="377.35"/>
    <s v="2025-09-11"/>
    <s v="2027-01-22"/>
    <s v="BT59277"/>
    <x v="0"/>
    <n v="207.4"/>
  </r>
  <r>
    <x v="7"/>
    <x v="0"/>
    <n v="3518"/>
    <x v="0"/>
    <n v="9301"/>
    <n v="91.9"/>
    <n v="189.19"/>
    <s v="2024-03-18"/>
    <s v="2027-01-01"/>
    <s v="BT69433"/>
    <x v="3"/>
    <n v="65.040000000000006"/>
  </r>
  <r>
    <x v="5"/>
    <x v="1"/>
    <n v="3153"/>
    <x v="0"/>
    <n v="3424"/>
    <n v="86.8"/>
    <n v="111.2"/>
    <s v="2025-02-01"/>
    <s v="2027-01-07"/>
    <s v="BT17872"/>
    <x v="3"/>
    <n v="67.900000000000006"/>
  </r>
  <r>
    <x v="16"/>
    <x v="4"/>
    <n v="7718"/>
    <x v="0"/>
    <n v="3274"/>
    <n v="150.06"/>
    <n v="361.22"/>
    <s v="2025-09-16"/>
    <s v="2027-10-23"/>
    <s v="BT33388"/>
    <x v="1"/>
    <n v="66.53"/>
  </r>
  <r>
    <x v="8"/>
    <x v="3"/>
    <n v="4078"/>
    <x v="0"/>
    <n v="21118"/>
    <n v="194.78"/>
    <n v="464.82"/>
    <s v="2024-09-22"/>
    <s v="2026-01-05"/>
    <s v="BT14569"/>
    <x v="2"/>
    <n v="83.4"/>
  </r>
  <r>
    <x v="16"/>
    <x v="3"/>
    <n v="807"/>
    <x v="1"/>
    <n v="17308"/>
    <n v="48.91"/>
    <n v="99.41"/>
    <s v="2024-02-08"/>
    <s v="2026-12-19"/>
    <s v="BT61181"/>
    <x v="3"/>
    <n v="22.53"/>
  </r>
  <r>
    <x v="5"/>
    <x v="3"/>
    <n v="9914"/>
    <x v="0"/>
    <n v="1121"/>
    <n v="157.04"/>
    <n v="380.33"/>
    <s v="2025-05-17"/>
    <s v="2027-09-18"/>
    <s v="BT67154"/>
    <x v="1"/>
    <n v="115.84"/>
  </r>
  <r>
    <x v="4"/>
    <x v="2"/>
    <n v="4200"/>
    <x v="0"/>
    <n v="1108"/>
    <n v="118.41"/>
    <n v="248.19"/>
    <s v="2025-05-08"/>
    <s v="2026-09-09"/>
    <s v="BT84349"/>
    <x v="0"/>
    <n v="91.65"/>
  </r>
  <r>
    <x v="9"/>
    <x v="1"/>
    <n v="5461"/>
    <x v="0"/>
    <n v="14127"/>
    <n v="21.28"/>
    <n v="53.12"/>
    <s v="2025-10-24"/>
    <s v="2027-01-24"/>
    <s v="BT57887"/>
    <x v="0"/>
    <n v="15.78"/>
  </r>
  <r>
    <x v="5"/>
    <x v="0"/>
    <n v="8030"/>
    <x v="0"/>
    <n v="10501"/>
    <n v="196.1"/>
    <n v="280.35000000000002"/>
    <s v="2024-02-10"/>
    <s v="2026-03-09"/>
    <s v="BT96603"/>
    <x v="4"/>
    <n v="101.88"/>
  </r>
  <r>
    <x v="19"/>
    <x v="0"/>
    <n v="6386"/>
    <x v="0"/>
    <n v="16941"/>
    <n v="30.03"/>
    <n v="60.74"/>
    <s v="2024-07-13"/>
    <s v="2025-12-03"/>
    <s v="BT14679"/>
    <x v="4"/>
    <n v="12.32"/>
  </r>
  <r>
    <x v="2"/>
    <x v="4"/>
    <n v="8515"/>
    <x v="0"/>
    <n v="13739"/>
    <n v="23.58"/>
    <n v="44.87"/>
    <s v="2024-11-11"/>
    <s v="2027-04-06"/>
    <s v="BT79984"/>
    <x v="1"/>
    <n v="18.55"/>
  </r>
  <r>
    <x v="1"/>
    <x v="0"/>
    <n v="6058"/>
    <x v="0"/>
    <n v="2836"/>
    <n v="104.63"/>
    <n v="223.63"/>
    <s v="2025-02-19"/>
    <s v="2026-06-20"/>
    <s v="BT37745"/>
    <x v="0"/>
    <n v="61.04"/>
  </r>
  <r>
    <x v="8"/>
    <x v="4"/>
    <n v="9992"/>
    <x v="0"/>
    <n v="8634"/>
    <n v="277.82"/>
    <n v="346.7"/>
    <s v="2024-05-24"/>
    <s v="2026-10-06"/>
    <s v="BT95699"/>
    <x v="2"/>
    <n v="163.49"/>
  </r>
  <r>
    <x v="17"/>
    <x v="0"/>
    <n v="4476"/>
    <x v="0"/>
    <n v="23980"/>
    <n v="196.39"/>
    <n v="239.34"/>
    <s v="2025-10-09"/>
    <s v="2026-11-29"/>
    <s v="BT50283"/>
    <x v="2"/>
    <n v="114.39"/>
  </r>
  <r>
    <x v="7"/>
    <x v="2"/>
    <n v="1547"/>
    <x v="2"/>
    <n v="4484"/>
    <n v="38.68"/>
    <n v="76.33"/>
    <s v="2025-09-22"/>
    <s v="2027-05-05"/>
    <s v="BT18271"/>
    <x v="4"/>
    <n v="22.07"/>
  </r>
  <r>
    <x v="19"/>
    <x v="1"/>
    <n v="2479"/>
    <x v="2"/>
    <n v="23416"/>
    <n v="174.91"/>
    <n v="241.12"/>
    <s v="2024-08-06"/>
    <s v="2025-09-21"/>
    <s v="BT87736"/>
    <x v="4"/>
    <n v="93.44"/>
  </r>
  <r>
    <x v="0"/>
    <x v="1"/>
    <n v="2814"/>
    <x v="2"/>
    <n v="14603"/>
    <n v="54.58"/>
    <n v="91.74"/>
    <s v="2024-06-17"/>
    <s v="2026-09-09"/>
    <s v="BT41934"/>
    <x v="0"/>
    <n v="22.72"/>
  </r>
  <r>
    <x v="0"/>
    <x v="2"/>
    <n v="6662"/>
    <x v="0"/>
    <n v="6169"/>
    <n v="9.61"/>
    <n v="17.62"/>
    <s v="2024-01-07"/>
    <s v="2025-01-13"/>
    <s v="BT33516"/>
    <x v="2"/>
    <n v="6.56"/>
  </r>
  <r>
    <x v="2"/>
    <x v="1"/>
    <n v="7319"/>
    <x v="0"/>
    <n v="23724"/>
    <n v="243.19"/>
    <n v="536.07000000000005"/>
    <s v="2024-05-09"/>
    <s v="2025-12-06"/>
    <s v="BT28754"/>
    <x v="3"/>
    <n v="148.16"/>
  </r>
  <r>
    <x v="18"/>
    <x v="4"/>
    <n v="3359"/>
    <x v="0"/>
    <n v="21006"/>
    <n v="209.04"/>
    <n v="412.89"/>
    <s v="2025-05-26"/>
    <s v="2028-02-11"/>
    <s v="BT21537"/>
    <x v="3"/>
    <n v="112.7"/>
  </r>
  <r>
    <x v="1"/>
    <x v="2"/>
    <n v="4360"/>
    <x v="0"/>
    <n v="7288"/>
    <n v="39.659999999999997"/>
    <n v="74.930000000000007"/>
    <s v="2024-04-07"/>
    <s v="2026-12-31"/>
    <s v="BT57435"/>
    <x v="0"/>
    <n v="23.92"/>
  </r>
  <r>
    <x v="15"/>
    <x v="4"/>
    <n v="5028"/>
    <x v="0"/>
    <n v="2738"/>
    <n v="62.15"/>
    <n v="138.94"/>
    <s v="2025-04-30"/>
    <s v="2027-09-21"/>
    <s v="BT33111"/>
    <x v="4"/>
    <n v="41.52"/>
  </r>
  <r>
    <x v="14"/>
    <x v="0"/>
    <n v="6466"/>
    <x v="0"/>
    <n v="10340"/>
    <n v="66.83"/>
    <n v="102.04"/>
    <s v="2025-09-23"/>
    <s v="2027-12-31"/>
    <s v="BT15677"/>
    <x v="2"/>
    <n v="46.52"/>
  </r>
  <r>
    <x v="8"/>
    <x v="4"/>
    <n v="3089"/>
    <x v="0"/>
    <n v="1952"/>
    <n v="148.09"/>
    <n v="200.05"/>
    <s v="2024-08-28"/>
    <s v="2026-11-26"/>
    <s v="BT87687"/>
    <x v="0"/>
    <n v="78.55"/>
  </r>
  <r>
    <x v="11"/>
    <x v="1"/>
    <n v="4269"/>
    <x v="0"/>
    <n v="4608"/>
    <n v="101.21"/>
    <n v="134.35"/>
    <s v="2025-02-26"/>
    <s v="2026-09-18"/>
    <s v="BT59221"/>
    <x v="4"/>
    <n v="43.46"/>
  </r>
  <r>
    <x v="2"/>
    <x v="3"/>
    <n v="1390"/>
    <x v="2"/>
    <n v="15282"/>
    <n v="47.76"/>
    <n v="114.92"/>
    <s v="2025-04-10"/>
    <s v="2026-10-09"/>
    <s v="BT60768"/>
    <x v="3"/>
    <n v="21.71"/>
  </r>
  <r>
    <x v="11"/>
    <x v="1"/>
    <n v="4918"/>
    <x v="0"/>
    <n v="7626"/>
    <n v="104.09"/>
    <n v="129.25"/>
    <s v="2025-08-05"/>
    <s v="2026-10-05"/>
    <s v="BT46779"/>
    <x v="4"/>
    <n v="46.26"/>
  </r>
  <r>
    <x v="15"/>
    <x v="3"/>
    <n v="7352"/>
    <x v="0"/>
    <n v="6609"/>
    <n v="229.3"/>
    <n v="340.7"/>
    <s v="2024-10-29"/>
    <s v="2027-07-09"/>
    <s v="BT30550"/>
    <x v="0"/>
    <n v="174.78"/>
  </r>
  <r>
    <x v="2"/>
    <x v="2"/>
    <n v="4263"/>
    <x v="0"/>
    <n v="3833"/>
    <n v="126.45"/>
    <n v="237.51"/>
    <s v="2024-08-09"/>
    <s v="2027-04-06"/>
    <s v="BT72061"/>
    <x v="1"/>
    <n v="64.7"/>
  </r>
  <r>
    <x v="18"/>
    <x v="4"/>
    <n v="4560"/>
    <x v="0"/>
    <n v="11724"/>
    <n v="133.1"/>
    <n v="198.2"/>
    <s v="2025-08-28"/>
    <s v="2027-01-27"/>
    <s v="BT85196"/>
    <x v="2"/>
    <n v="75.48"/>
  </r>
  <r>
    <x v="14"/>
    <x v="0"/>
    <n v="8211"/>
    <x v="0"/>
    <n v="17522"/>
    <n v="14.92"/>
    <n v="28.21"/>
    <s v="2025-05-05"/>
    <s v="2028-04-17"/>
    <s v="BT22844"/>
    <x v="1"/>
    <n v="8.92"/>
  </r>
  <r>
    <x v="4"/>
    <x v="2"/>
    <n v="703"/>
    <x v="1"/>
    <n v="23713"/>
    <n v="220.88"/>
    <n v="537.82000000000005"/>
    <s v="2024-05-15"/>
    <s v="2026-05-17"/>
    <s v="BT48769"/>
    <x v="4"/>
    <n v="145.57"/>
  </r>
  <r>
    <x v="4"/>
    <x v="0"/>
    <n v="8360"/>
    <x v="0"/>
    <n v="22922"/>
    <n v="94.93"/>
    <n v="200.71"/>
    <s v="2025-08-07"/>
    <s v="2028-03-26"/>
    <s v="BT13199"/>
    <x v="1"/>
    <n v="55.58"/>
  </r>
  <r>
    <x v="13"/>
    <x v="3"/>
    <n v="3530"/>
    <x v="0"/>
    <n v="13137"/>
    <n v="189.91"/>
    <n v="401.67"/>
    <s v="2024-01-02"/>
    <s v="2026-10-05"/>
    <s v="BT19266"/>
    <x v="1"/>
    <n v="143.83000000000001"/>
  </r>
  <r>
    <x v="5"/>
    <x v="2"/>
    <n v="1035"/>
    <x v="2"/>
    <n v="10718"/>
    <n v="130.63999999999999"/>
    <n v="202.59"/>
    <s v="2025-09-19"/>
    <s v="2028-03-27"/>
    <s v="BT85396"/>
    <x v="4"/>
    <n v="93.42"/>
  </r>
  <r>
    <x v="4"/>
    <x v="2"/>
    <n v="6000"/>
    <x v="0"/>
    <n v="2796"/>
    <n v="156.85"/>
    <n v="373.77"/>
    <s v="2025-01-07"/>
    <s v="2026-02-28"/>
    <s v="BT24544"/>
    <x v="1"/>
    <n v="85.68"/>
  </r>
  <r>
    <x v="17"/>
    <x v="0"/>
    <n v="6489"/>
    <x v="0"/>
    <n v="13007"/>
    <n v="56.7"/>
    <n v="109.23"/>
    <s v="2024-03-09"/>
    <s v="2026-10-04"/>
    <s v="BT36832"/>
    <x v="4"/>
    <n v="44.93"/>
  </r>
  <r>
    <x v="10"/>
    <x v="2"/>
    <n v="2360"/>
    <x v="2"/>
    <n v="22267"/>
    <n v="146.16"/>
    <n v="353.84"/>
    <s v="2025-08-17"/>
    <s v="2028-08-05"/>
    <s v="BT37498"/>
    <x v="4"/>
    <n v="77.2"/>
  </r>
  <r>
    <x v="16"/>
    <x v="2"/>
    <n v="7429"/>
    <x v="0"/>
    <n v="10081"/>
    <n v="21.07"/>
    <n v="35.5"/>
    <s v="2025-04-08"/>
    <s v="2027-08-18"/>
    <s v="BT75726"/>
    <x v="0"/>
    <n v="15.42"/>
  </r>
  <r>
    <x v="6"/>
    <x v="2"/>
    <n v="9230"/>
    <x v="0"/>
    <n v="10576"/>
    <n v="138.33000000000001"/>
    <n v="232.2"/>
    <s v="2025-11-20"/>
    <s v="2028-10-29"/>
    <s v="BT18601"/>
    <x v="4"/>
    <n v="104.68"/>
  </r>
  <r>
    <x v="15"/>
    <x v="0"/>
    <n v="1813"/>
    <x v="2"/>
    <n v="13801"/>
    <n v="269.89"/>
    <n v="425.05"/>
    <s v="2024-03-19"/>
    <s v="2025-07-08"/>
    <s v="BT31596"/>
    <x v="3"/>
    <n v="120.05"/>
  </r>
  <r>
    <x v="13"/>
    <x v="3"/>
    <n v="2965"/>
    <x v="2"/>
    <n v="7693"/>
    <n v="158.6"/>
    <n v="319.64999999999998"/>
    <s v="2024-10-27"/>
    <s v="2026-12-27"/>
    <s v="BT99443"/>
    <x v="0"/>
    <n v="122.55"/>
  </r>
  <r>
    <x v="6"/>
    <x v="1"/>
    <n v="7383"/>
    <x v="0"/>
    <n v="15544"/>
    <n v="222.62"/>
    <n v="273.36"/>
    <s v="2024-07-12"/>
    <s v="2025-09-14"/>
    <s v="BT12888"/>
    <x v="4"/>
    <n v="163.4"/>
  </r>
  <r>
    <x v="12"/>
    <x v="1"/>
    <n v="7245"/>
    <x v="0"/>
    <n v="19962"/>
    <n v="106.12"/>
    <n v="216.47"/>
    <s v="2024-11-30"/>
    <s v="2027-04-11"/>
    <s v="BT87772"/>
    <x v="0"/>
    <n v="78.19"/>
  </r>
  <r>
    <x v="15"/>
    <x v="3"/>
    <n v="5482"/>
    <x v="0"/>
    <n v="19587"/>
    <n v="43.93"/>
    <n v="97.79"/>
    <s v="2024-06-24"/>
    <s v="2026-03-17"/>
    <s v="BT39724"/>
    <x v="1"/>
    <n v="24.11"/>
  </r>
  <r>
    <x v="3"/>
    <x v="0"/>
    <n v="2930"/>
    <x v="2"/>
    <n v="12571"/>
    <n v="88.89"/>
    <n v="217.17"/>
    <s v="2025-09-25"/>
    <s v="2027-03-08"/>
    <s v="BT80165"/>
    <x v="3"/>
    <n v="42.04"/>
  </r>
  <r>
    <x v="7"/>
    <x v="4"/>
    <n v="3141"/>
    <x v="0"/>
    <n v="8795"/>
    <n v="39.49"/>
    <n v="98.41"/>
    <s v="2025-08-11"/>
    <s v="2026-12-18"/>
    <s v="BT67788"/>
    <x v="3"/>
    <n v="21.64"/>
  </r>
  <r>
    <x v="11"/>
    <x v="2"/>
    <n v="1068"/>
    <x v="2"/>
    <n v="22808"/>
    <n v="98.5"/>
    <n v="162.22999999999999"/>
    <s v="2025-01-16"/>
    <s v="2027-04-20"/>
    <s v="BT80761"/>
    <x v="4"/>
    <n v="60.43"/>
  </r>
  <r>
    <x v="0"/>
    <x v="0"/>
    <n v="7128"/>
    <x v="0"/>
    <n v="17364"/>
    <n v="231.71"/>
    <n v="563.54999999999995"/>
    <s v="2024-11-23"/>
    <s v="2026-05-01"/>
    <s v="BT10562"/>
    <x v="0"/>
    <n v="183.11"/>
  </r>
  <r>
    <x v="5"/>
    <x v="1"/>
    <n v="8264"/>
    <x v="0"/>
    <n v="10497"/>
    <n v="291.02999999999997"/>
    <n v="634.55999999999995"/>
    <s v="2025-08-10"/>
    <s v="2028-06-22"/>
    <s v="BT29278"/>
    <x v="0"/>
    <n v="201.22"/>
  </r>
  <r>
    <x v="15"/>
    <x v="1"/>
    <n v="2340"/>
    <x v="2"/>
    <n v="24974"/>
    <n v="146.30000000000001"/>
    <n v="183.18"/>
    <s v="2025-11-25"/>
    <s v="2028-06-11"/>
    <s v="BT25319"/>
    <x v="3"/>
    <n v="59.97"/>
  </r>
  <r>
    <x v="17"/>
    <x v="4"/>
    <n v="7806"/>
    <x v="0"/>
    <n v="12711"/>
    <n v="32.28"/>
    <n v="41.05"/>
    <s v="2025-10-18"/>
    <s v="2027-05-05"/>
    <s v="BT86471"/>
    <x v="0"/>
    <n v="15.78"/>
  </r>
  <r>
    <x v="16"/>
    <x v="4"/>
    <n v="869"/>
    <x v="1"/>
    <n v="3739"/>
    <n v="163.83000000000001"/>
    <n v="291.47000000000003"/>
    <s v="2025-11-18"/>
    <s v="2027-02-15"/>
    <s v="BT77081"/>
    <x v="1"/>
    <n v="78.27"/>
  </r>
  <r>
    <x v="5"/>
    <x v="2"/>
    <n v="8881"/>
    <x v="0"/>
    <n v="2836"/>
    <n v="272.99"/>
    <n v="455.73"/>
    <s v="2024-05-31"/>
    <s v="2026-08-11"/>
    <s v="BT58448"/>
    <x v="1"/>
    <n v="149.91"/>
  </r>
  <r>
    <x v="3"/>
    <x v="1"/>
    <n v="6256"/>
    <x v="0"/>
    <n v="11095"/>
    <n v="293.37"/>
    <n v="685.49"/>
    <s v="2024-03-30"/>
    <s v="2025-11-05"/>
    <s v="BT68224"/>
    <x v="1"/>
    <n v="211.66"/>
  </r>
  <r>
    <x v="3"/>
    <x v="4"/>
    <n v="7444"/>
    <x v="0"/>
    <n v="24874"/>
    <n v="269.45"/>
    <n v="372.23"/>
    <s v="2025-08-24"/>
    <s v="2028-04-27"/>
    <s v="BT21282"/>
    <x v="4"/>
    <n v="130.16999999999999"/>
  </r>
  <r>
    <x v="6"/>
    <x v="2"/>
    <n v="5995"/>
    <x v="0"/>
    <n v="3166"/>
    <n v="280.27999999999997"/>
    <n v="551.55999999999995"/>
    <s v="2025-01-19"/>
    <s v="2026-04-19"/>
    <s v="BT10867"/>
    <x v="1"/>
    <n v="183.73"/>
  </r>
  <r>
    <x v="16"/>
    <x v="3"/>
    <n v="3365"/>
    <x v="0"/>
    <n v="19212"/>
    <n v="141.33000000000001"/>
    <n v="273.94"/>
    <s v="2024-05-20"/>
    <s v="2025-12-10"/>
    <s v="BT34380"/>
    <x v="1"/>
    <n v="72.900000000000006"/>
  </r>
  <r>
    <x v="6"/>
    <x v="0"/>
    <n v="5447"/>
    <x v="0"/>
    <n v="20176"/>
    <n v="94.65"/>
    <n v="182.4"/>
    <s v="2025-04-19"/>
    <s v="2026-12-04"/>
    <s v="BT13517"/>
    <x v="2"/>
    <n v="43.69"/>
  </r>
  <r>
    <x v="3"/>
    <x v="3"/>
    <n v="2534"/>
    <x v="2"/>
    <n v="22424"/>
    <n v="201.44"/>
    <n v="317.07"/>
    <s v="2024-07-02"/>
    <s v="2026-11-17"/>
    <s v="BT94513"/>
    <x v="4"/>
    <n v="82.87"/>
  </r>
  <r>
    <x v="16"/>
    <x v="3"/>
    <n v="1593"/>
    <x v="2"/>
    <n v="20624"/>
    <n v="224.94"/>
    <n v="439.84"/>
    <s v="2025-08-02"/>
    <s v="2027-10-22"/>
    <s v="BT43804"/>
    <x v="1"/>
    <n v="177.64"/>
  </r>
  <r>
    <x v="0"/>
    <x v="1"/>
    <n v="8897"/>
    <x v="0"/>
    <n v="19850"/>
    <n v="10.18"/>
    <n v="15.65"/>
    <s v="2025-08-18"/>
    <s v="2026-10-16"/>
    <s v="BT29154"/>
    <x v="3"/>
    <n v="5.95"/>
  </r>
  <r>
    <x v="13"/>
    <x v="1"/>
    <n v="3175"/>
    <x v="0"/>
    <n v="2733"/>
    <n v="85.44"/>
    <n v="149.12"/>
    <s v="2024-12-30"/>
    <s v="2026-02-17"/>
    <s v="BT47992"/>
    <x v="3"/>
    <n v="52.28"/>
  </r>
  <r>
    <x v="4"/>
    <x v="2"/>
    <n v="3675"/>
    <x v="0"/>
    <n v="21579"/>
    <n v="59.06"/>
    <n v="78.13"/>
    <s v="2024-06-20"/>
    <s v="2026-12-28"/>
    <s v="BT52284"/>
    <x v="3"/>
    <n v="43.16"/>
  </r>
  <r>
    <x v="3"/>
    <x v="1"/>
    <n v="6439"/>
    <x v="0"/>
    <n v="4140"/>
    <n v="162.65"/>
    <n v="269.52999999999997"/>
    <s v="2024-05-27"/>
    <s v="2025-06-09"/>
    <s v="BT27950"/>
    <x v="0"/>
    <n v="83.37"/>
  </r>
  <r>
    <x v="6"/>
    <x v="3"/>
    <n v="6075"/>
    <x v="0"/>
    <n v="6342"/>
    <n v="35.21"/>
    <n v="49.33"/>
    <s v="2024-08-14"/>
    <s v="2026-02-22"/>
    <s v="BT83224"/>
    <x v="0"/>
    <n v="23.8"/>
  </r>
  <r>
    <x v="12"/>
    <x v="2"/>
    <n v="9529"/>
    <x v="0"/>
    <n v="24011"/>
    <n v="228.11"/>
    <n v="307.52999999999997"/>
    <s v="2025-04-16"/>
    <s v="2026-07-03"/>
    <s v="BT25278"/>
    <x v="4"/>
    <n v="175.5"/>
  </r>
  <r>
    <x v="6"/>
    <x v="1"/>
    <n v="5604"/>
    <x v="0"/>
    <n v="23644"/>
    <n v="111.96"/>
    <n v="253.27"/>
    <s v="2025-09-03"/>
    <s v="2028-02-20"/>
    <s v="BT54832"/>
    <x v="4"/>
    <n v="76.58"/>
  </r>
  <r>
    <x v="1"/>
    <x v="0"/>
    <n v="4143"/>
    <x v="0"/>
    <n v="5217"/>
    <n v="257.76"/>
    <n v="357.01"/>
    <s v="2024-08-20"/>
    <s v="2026-06-30"/>
    <s v="BT26429"/>
    <x v="4"/>
    <n v="116.53"/>
  </r>
  <r>
    <x v="4"/>
    <x v="3"/>
    <n v="2330"/>
    <x v="2"/>
    <n v="3547"/>
    <n v="10.55"/>
    <n v="19.3"/>
    <s v="2025-03-17"/>
    <s v="2026-04-29"/>
    <s v="BT35736"/>
    <x v="2"/>
    <n v="4.3600000000000003"/>
  </r>
  <r>
    <x v="12"/>
    <x v="2"/>
    <n v="1471"/>
    <x v="2"/>
    <n v="16370"/>
    <n v="40.08"/>
    <n v="61.28"/>
    <s v="2024-03-08"/>
    <s v="2026-01-10"/>
    <s v="BT97501"/>
    <x v="2"/>
    <n v="28.13"/>
  </r>
  <r>
    <x v="0"/>
    <x v="2"/>
    <n v="3865"/>
    <x v="0"/>
    <n v="20254"/>
    <n v="270.85000000000002"/>
    <n v="390.08"/>
    <s v="2024-12-25"/>
    <s v="2026-01-23"/>
    <s v="BT21898"/>
    <x v="4"/>
    <n v="199.98"/>
  </r>
  <r>
    <x v="16"/>
    <x v="2"/>
    <n v="6198"/>
    <x v="0"/>
    <n v="12540"/>
    <n v="52.36"/>
    <n v="96.91"/>
    <s v="2025-09-19"/>
    <s v="2027-05-24"/>
    <s v="BT76179"/>
    <x v="0"/>
    <n v="22.38"/>
  </r>
  <r>
    <x v="2"/>
    <x v="0"/>
    <n v="9164"/>
    <x v="0"/>
    <n v="8110"/>
    <n v="216.16"/>
    <n v="530.36"/>
    <s v="2024-06-24"/>
    <s v="2026-12-26"/>
    <s v="BT10567"/>
    <x v="2"/>
    <n v="166.38"/>
  </r>
  <r>
    <x v="12"/>
    <x v="3"/>
    <n v="6504"/>
    <x v="0"/>
    <n v="23876"/>
    <n v="178.87"/>
    <n v="316.88"/>
    <s v="2024-04-19"/>
    <s v="2025-10-21"/>
    <s v="BT56507"/>
    <x v="1"/>
    <n v="101.89"/>
  </r>
  <r>
    <x v="12"/>
    <x v="4"/>
    <n v="7177"/>
    <x v="0"/>
    <n v="4697"/>
    <n v="229.62"/>
    <n v="369.36"/>
    <s v="2025-04-22"/>
    <s v="2026-08-12"/>
    <s v="BT78121"/>
    <x v="4"/>
    <n v="137.38999999999999"/>
  </r>
  <r>
    <x v="9"/>
    <x v="1"/>
    <n v="9628"/>
    <x v="0"/>
    <n v="24662"/>
    <n v="16.98"/>
    <n v="27.62"/>
    <s v="2024-04-28"/>
    <s v="2026-05-27"/>
    <s v="BT47173"/>
    <x v="1"/>
    <n v="10.87"/>
  </r>
  <r>
    <x v="3"/>
    <x v="3"/>
    <n v="4200"/>
    <x v="0"/>
    <n v="19150"/>
    <n v="125.15"/>
    <n v="310.43"/>
    <s v="2025-03-14"/>
    <s v="2026-09-23"/>
    <s v="BT19123"/>
    <x v="1"/>
    <n v="97.07"/>
  </r>
  <r>
    <x v="9"/>
    <x v="4"/>
    <n v="709"/>
    <x v="1"/>
    <n v="23090"/>
    <n v="150.04"/>
    <n v="200.56"/>
    <s v="2025-03-24"/>
    <s v="2027-09-10"/>
    <s v="BT96317"/>
    <x v="2"/>
    <n v="67.17"/>
  </r>
  <r>
    <x v="19"/>
    <x v="3"/>
    <n v="2166"/>
    <x v="2"/>
    <n v="6528"/>
    <n v="24.09"/>
    <n v="59.45"/>
    <s v="2024-12-12"/>
    <s v="2026-07-05"/>
    <s v="BT87982"/>
    <x v="1"/>
    <n v="10.82"/>
  </r>
  <r>
    <x v="18"/>
    <x v="3"/>
    <n v="5063"/>
    <x v="0"/>
    <n v="24379"/>
    <n v="230.96"/>
    <n v="455.39"/>
    <s v="2025-10-21"/>
    <s v="2027-12-04"/>
    <s v="BT56674"/>
    <x v="1"/>
    <n v="153.97"/>
  </r>
  <r>
    <x v="19"/>
    <x v="3"/>
    <n v="8879"/>
    <x v="0"/>
    <n v="10138"/>
    <n v="48.48"/>
    <n v="86.83"/>
    <s v="2024-05-05"/>
    <s v="2026-01-16"/>
    <s v="BT74138"/>
    <x v="1"/>
    <n v="23.87"/>
  </r>
  <r>
    <x v="13"/>
    <x v="0"/>
    <n v="2131"/>
    <x v="2"/>
    <n v="2731"/>
    <n v="249.94"/>
    <n v="461.78"/>
    <s v="2024-01-28"/>
    <s v="2025-07-29"/>
    <s v="BT60152"/>
    <x v="0"/>
    <n v="167.88"/>
  </r>
  <r>
    <x v="13"/>
    <x v="1"/>
    <n v="2078"/>
    <x v="2"/>
    <n v="3507"/>
    <n v="200.02"/>
    <n v="375.22"/>
    <s v="2025-05-19"/>
    <s v="2027-09-08"/>
    <s v="BT36467"/>
    <x v="3"/>
    <n v="132.97999999999999"/>
  </r>
  <r>
    <x v="6"/>
    <x v="2"/>
    <n v="4787"/>
    <x v="0"/>
    <n v="18774"/>
    <n v="106.37"/>
    <n v="246.52"/>
    <s v="2025-07-13"/>
    <s v="2026-07-31"/>
    <s v="BT14141"/>
    <x v="1"/>
    <n v="80"/>
  </r>
  <r>
    <x v="0"/>
    <x v="3"/>
    <n v="7874"/>
    <x v="0"/>
    <n v="11307"/>
    <n v="256.60000000000002"/>
    <n v="455.55"/>
    <s v="2024-02-06"/>
    <s v="2025-03-10"/>
    <s v="BT33182"/>
    <x v="0"/>
    <n v="170.32"/>
  </r>
  <r>
    <x v="3"/>
    <x v="4"/>
    <n v="8552"/>
    <x v="0"/>
    <n v="15112"/>
    <n v="44.67"/>
    <n v="95.17"/>
    <s v="2025-05-14"/>
    <s v="2026-09-03"/>
    <s v="BT84560"/>
    <x v="1"/>
    <n v="29.66"/>
  </r>
  <r>
    <x v="8"/>
    <x v="2"/>
    <n v="8197"/>
    <x v="0"/>
    <n v="16594"/>
    <n v="170.87"/>
    <n v="239.77"/>
    <s v="2024-02-27"/>
    <s v="2026-04-02"/>
    <s v="BT44523"/>
    <x v="1"/>
    <n v="108.74"/>
  </r>
  <r>
    <x v="19"/>
    <x v="2"/>
    <n v="6279"/>
    <x v="0"/>
    <n v="10320"/>
    <n v="99.54"/>
    <n v="123.09"/>
    <s v="2024-02-16"/>
    <s v="2025-06-26"/>
    <s v="BT58026"/>
    <x v="3"/>
    <n v="72.05"/>
  </r>
  <r>
    <x v="2"/>
    <x v="0"/>
    <n v="6091"/>
    <x v="0"/>
    <n v="13470"/>
    <n v="33.72"/>
    <n v="55.59"/>
    <s v="2024-12-31"/>
    <s v="2027-02-25"/>
    <s v="BT56041"/>
    <x v="2"/>
    <n v="22.41"/>
  </r>
  <r>
    <x v="10"/>
    <x v="4"/>
    <n v="5613"/>
    <x v="0"/>
    <n v="20416"/>
    <n v="30.06"/>
    <n v="62.96"/>
    <s v="2024-11-08"/>
    <s v="2026-03-05"/>
    <s v="BT54249"/>
    <x v="4"/>
    <n v="12.26"/>
  </r>
  <r>
    <x v="5"/>
    <x v="0"/>
    <n v="8051"/>
    <x v="0"/>
    <n v="22553"/>
    <n v="259.69"/>
    <n v="503.4"/>
    <s v="2025-03-07"/>
    <s v="2026-12-05"/>
    <s v="BT12674"/>
    <x v="1"/>
    <n v="164.95"/>
  </r>
  <r>
    <x v="5"/>
    <x v="3"/>
    <n v="9844"/>
    <x v="0"/>
    <n v="13789"/>
    <n v="100.11"/>
    <n v="132.85"/>
    <s v="2025-05-15"/>
    <s v="2026-08-25"/>
    <s v="BT98488"/>
    <x v="4"/>
    <n v="53.5"/>
  </r>
  <r>
    <x v="12"/>
    <x v="1"/>
    <n v="3230"/>
    <x v="0"/>
    <n v="21146"/>
    <n v="93.36"/>
    <n v="229.69"/>
    <s v="2024-07-25"/>
    <s v="2026-12-15"/>
    <s v="BT93288"/>
    <x v="2"/>
    <n v="68.73"/>
  </r>
  <r>
    <x v="8"/>
    <x v="4"/>
    <n v="5208"/>
    <x v="0"/>
    <n v="9688"/>
    <n v="19.02"/>
    <n v="47.46"/>
    <s v="2025-02-15"/>
    <s v="2026-10-04"/>
    <s v="BT91863"/>
    <x v="2"/>
    <n v="13.07"/>
  </r>
  <r>
    <x v="2"/>
    <x v="0"/>
    <n v="6018"/>
    <x v="0"/>
    <n v="9957"/>
    <n v="24.84"/>
    <n v="55.68"/>
    <s v="2025-05-01"/>
    <s v="2027-07-12"/>
    <s v="BT37490"/>
    <x v="3"/>
    <n v="17.84"/>
  </r>
  <r>
    <x v="3"/>
    <x v="2"/>
    <n v="5413"/>
    <x v="0"/>
    <n v="15185"/>
    <n v="200.72"/>
    <n v="322.63"/>
    <s v="2025-02-28"/>
    <s v="2027-04-15"/>
    <s v="BT42933"/>
    <x v="0"/>
    <n v="121.67"/>
  </r>
  <r>
    <x v="8"/>
    <x v="4"/>
    <n v="804"/>
    <x v="1"/>
    <n v="21573"/>
    <n v="212.48"/>
    <n v="493.28"/>
    <s v="2025-08-13"/>
    <s v="2028-01-06"/>
    <s v="BT37912"/>
    <x v="1"/>
    <n v="107.76"/>
  </r>
  <r>
    <x v="8"/>
    <x v="2"/>
    <n v="7606"/>
    <x v="0"/>
    <n v="19550"/>
    <n v="219.35"/>
    <n v="280.3"/>
    <s v="2024-07-24"/>
    <s v="2026-08-01"/>
    <s v="BT70619"/>
    <x v="4"/>
    <n v="108.83"/>
  </r>
  <r>
    <x v="3"/>
    <x v="3"/>
    <n v="7221"/>
    <x v="0"/>
    <n v="11441"/>
    <n v="258.75"/>
    <n v="616.98"/>
    <s v="2025-10-11"/>
    <s v="2027-05-07"/>
    <s v="BT64059"/>
    <x v="3"/>
    <n v="188.75"/>
  </r>
  <r>
    <x v="7"/>
    <x v="1"/>
    <n v="4368"/>
    <x v="0"/>
    <n v="14299"/>
    <n v="75.349999999999994"/>
    <n v="105.11"/>
    <s v="2024-01-29"/>
    <s v="2025-10-06"/>
    <s v="BT50703"/>
    <x v="1"/>
    <n v="44.77"/>
  </r>
  <r>
    <x v="18"/>
    <x v="3"/>
    <n v="1106"/>
    <x v="2"/>
    <n v="7618"/>
    <n v="52.01"/>
    <n v="71.64"/>
    <s v="2024-09-21"/>
    <s v="2026-07-02"/>
    <s v="BT96333"/>
    <x v="0"/>
    <n v="24.47"/>
  </r>
  <r>
    <x v="14"/>
    <x v="3"/>
    <n v="826"/>
    <x v="1"/>
    <n v="2812"/>
    <n v="258.58"/>
    <n v="338.51"/>
    <s v="2025-09-08"/>
    <s v="2027-07-10"/>
    <s v="BT18333"/>
    <x v="1"/>
    <n v="196.19"/>
  </r>
  <r>
    <x v="4"/>
    <x v="3"/>
    <n v="2802"/>
    <x v="2"/>
    <n v="8734"/>
    <n v="38.020000000000003"/>
    <n v="81.93"/>
    <s v="2024-05-03"/>
    <s v="2026-10-19"/>
    <s v="BT97060"/>
    <x v="0"/>
    <n v="29.65"/>
  </r>
  <r>
    <x v="12"/>
    <x v="1"/>
    <n v="8633"/>
    <x v="0"/>
    <n v="3957"/>
    <n v="75.23"/>
    <n v="102.23"/>
    <s v="2024-11-16"/>
    <s v="2026-10-19"/>
    <s v="BT86588"/>
    <x v="1"/>
    <n v="54.34"/>
  </r>
  <r>
    <x v="10"/>
    <x v="3"/>
    <n v="4071"/>
    <x v="0"/>
    <n v="5727"/>
    <n v="36.51"/>
    <n v="53.97"/>
    <s v="2024-10-08"/>
    <s v="2027-01-01"/>
    <s v="BT63526"/>
    <x v="3"/>
    <n v="27.21"/>
  </r>
  <r>
    <x v="14"/>
    <x v="3"/>
    <n v="9240"/>
    <x v="0"/>
    <n v="13278"/>
    <n v="211.39"/>
    <n v="284.70999999999998"/>
    <s v="2025-07-12"/>
    <s v="2027-09-18"/>
    <s v="BT72240"/>
    <x v="4"/>
    <n v="166.01"/>
  </r>
  <r>
    <x v="13"/>
    <x v="1"/>
    <n v="8286"/>
    <x v="0"/>
    <n v="24451"/>
    <n v="113.48"/>
    <n v="181.64"/>
    <s v="2025-10-22"/>
    <s v="2028-07-03"/>
    <s v="BT14562"/>
    <x v="2"/>
    <n v="76.739999999999995"/>
  </r>
  <r>
    <x v="10"/>
    <x v="1"/>
    <n v="9555"/>
    <x v="0"/>
    <n v="13605"/>
    <n v="96.23"/>
    <n v="235.38"/>
    <s v="2025-01-06"/>
    <s v="2027-12-08"/>
    <s v="BT25997"/>
    <x v="0"/>
    <n v="71.86"/>
  </r>
  <r>
    <x v="15"/>
    <x v="3"/>
    <n v="628"/>
    <x v="1"/>
    <n v="13877"/>
    <n v="278.61"/>
    <n v="666.8"/>
    <s v="2024-11-04"/>
    <s v="2026-02-04"/>
    <s v="BT40862"/>
    <x v="3"/>
    <n v="134.88999999999999"/>
  </r>
  <r>
    <x v="7"/>
    <x v="3"/>
    <n v="5696"/>
    <x v="0"/>
    <n v="22116"/>
    <n v="124.86"/>
    <n v="155.33000000000001"/>
    <s v="2024-03-23"/>
    <s v="2026-08-08"/>
    <s v="BT71746"/>
    <x v="1"/>
    <n v="96.22"/>
  </r>
  <r>
    <x v="5"/>
    <x v="3"/>
    <n v="2144"/>
    <x v="2"/>
    <n v="6254"/>
    <n v="211.05"/>
    <n v="392.18"/>
    <s v="2024-12-26"/>
    <s v="2027-03-01"/>
    <s v="BT88920"/>
    <x v="0"/>
    <n v="146.69999999999999"/>
  </r>
  <r>
    <x v="15"/>
    <x v="0"/>
    <n v="1353"/>
    <x v="2"/>
    <n v="22016"/>
    <n v="194.27"/>
    <n v="392.27"/>
    <s v="2025-10-18"/>
    <s v="2027-03-06"/>
    <s v="BT10403"/>
    <x v="1"/>
    <n v="93.26"/>
  </r>
  <r>
    <x v="3"/>
    <x v="1"/>
    <n v="9934"/>
    <x v="0"/>
    <n v="3694"/>
    <n v="37.69"/>
    <n v="57.46"/>
    <s v="2025-10-26"/>
    <s v="2027-03-08"/>
    <s v="BT87858"/>
    <x v="1"/>
    <n v="27.03"/>
  </r>
  <r>
    <x v="5"/>
    <x v="3"/>
    <n v="8337"/>
    <x v="0"/>
    <n v="5374"/>
    <n v="81.900000000000006"/>
    <n v="171.47"/>
    <s v="2024-12-01"/>
    <s v="2026-09-15"/>
    <s v="BT36039"/>
    <x v="2"/>
    <n v="46.34"/>
  </r>
  <r>
    <x v="7"/>
    <x v="3"/>
    <n v="6682"/>
    <x v="0"/>
    <n v="19690"/>
    <n v="71.22"/>
    <n v="173.25"/>
    <s v="2025-07-25"/>
    <s v="2028-05-17"/>
    <s v="BT90216"/>
    <x v="4"/>
    <n v="54.32"/>
  </r>
  <r>
    <x v="15"/>
    <x v="4"/>
    <n v="4789"/>
    <x v="0"/>
    <n v="23978"/>
    <n v="256.29000000000002"/>
    <n v="324.13"/>
    <s v="2025-09-24"/>
    <s v="2027-12-07"/>
    <s v="BT88694"/>
    <x v="3"/>
    <n v="117.82"/>
  </r>
  <r>
    <x v="9"/>
    <x v="4"/>
    <n v="9793"/>
    <x v="0"/>
    <n v="4845"/>
    <n v="9.16"/>
    <n v="17.25"/>
    <s v="2025-04-09"/>
    <s v="2028-02-27"/>
    <s v="BT74769"/>
    <x v="2"/>
    <n v="4.49"/>
  </r>
  <r>
    <x v="11"/>
    <x v="4"/>
    <n v="4861"/>
    <x v="0"/>
    <n v="10435"/>
    <n v="225.2"/>
    <n v="382.1"/>
    <s v="2025-03-17"/>
    <s v="2026-10-14"/>
    <s v="BT88654"/>
    <x v="4"/>
    <n v="179.73"/>
  </r>
  <r>
    <x v="3"/>
    <x v="4"/>
    <n v="7353"/>
    <x v="0"/>
    <n v="6910"/>
    <n v="125.51"/>
    <n v="174.42"/>
    <s v="2024-10-24"/>
    <s v="2026-07-19"/>
    <s v="BT40865"/>
    <x v="0"/>
    <n v="72.84"/>
  </r>
  <r>
    <x v="10"/>
    <x v="1"/>
    <n v="8006"/>
    <x v="0"/>
    <n v="3809"/>
    <n v="8.0399999999999991"/>
    <n v="11.04"/>
    <s v="2024-11-27"/>
    <s v="2027-11-06"/>
    <s v="BT62108"/>
    <x v="4"/>
    <n v="5.51"/>
  </r>
  <r>
    <x v="18"/>
    <x v="2"/>
    <n v="4698"/>
    <x v="0"/>
    <n v="3393"/>
    <n v="33.11"/>
    <n v="42.26"/>
    <s v="2024-12-06"/>
    <s v="2026-08-03"/>
    <s v="BT71726"/>
    <x v="3"/>
    <n v="26.44"/>
  </r>
  <r>
    <x v="17"/>
    <x v="0"/>
    <n v="587"/>
    <x v="1"/>
    <n v="9311"/>
    <n v="153.84"/>
    <n v="260.79000000000002"/>
    <s v="2025-02-08"/>
    <s v="2027-12-27"/>
    <s v="BT58614"/>
    <x v="4"/>
    <n v="121.11"/>
  </r>
  <r>
    <x v="8"/>
    <x v="0"/>
    <n v="3438"/>
    <x v="0"/>
    <n v="9529"/>
    <n v="55.11"/>
    <n v="101.44"/>
    <s v="2024-12-13"/>
    <s v="2027-04-06"/>
    <s v="BT27290"/>
    <x v="2"/>
    <n v="29.04"/>
  </r>
  <r>
    <x v="12"/>
    <x v="3"/>
    <n v="2823"/>
    <x v="2"/>
    <n v="9532"/>
    <n v="39.47"/>
    <n v="49.63"/>
    <s v="2024-05-10"/>
    <s v="2026-10-03"/>
    <s v="BT46831"/>
    <x v="3"/>
    <n v="30.41"/>
  </r>
  <r>
    <x v="3"/>
    <x v="1"/>
    <n v="4821"/>
    <x v="0"/>
    <n v="17940"/>
    <n v="97.34"/>
    <n v="229.77"/>
    <s v="2024-11-19"/>
    <s v="2027-04-06"/>
    <s v="BT29826"/>
    <x v="0"/>
    <n v="72.150000000000006"/>
  </r>
  <r>
    <x v="15"/>
    <x v="0"/>
    <n v="3595"/>
    <x v="0"/>
    <n v="5870"/>
    <n v="21.1"/>
    <n v="30.34"/>
    <s v="2025-04-26"/>
    <s v="2027-01-17"/>
    <s v="BT31437"/>
    <x v="1"/>
    <n v="12.12"/>
  </r>
  <r>
    <x v="6"/>
    <x v="0"/>
    <n v="7733"/>
    <x v="0"/>
    <n v="12682"/>
    <n v="296.7"/>
    <n v="572.37"/>
    <s v="2025-04-13"/>
    <s v="2027-08-30"/>
    <s v="BT24744"/>
    <x v="4"/>
    <n v="133.36000000000001"/>
  </r>
  <r>
    <x v="4"/>
    <x v="4"/>
    <n v="5154"/>
    <x v="0"/>
    <n v="6919"/>
    <n v="251.31"/>
    <n v="546.58000000000004"/>
    <s v="2024-10-06"/>
    <s v="2027-05-05"/>
    <s v="BT96918"/>
    <x v="0"/>
    <n v="121.87"/>
  </r>
  <r>
    <x v="1"/>
    <x v="2"/>
    <n v="9851"/>
    <x v="0"/>
    <n v="6916"/>
    <n v="127.84"/>
    <n v="166.18"/>
    <s v="2025-05-25"/>
    <s v="2028-04-17"/>
    <s v="BT22360"/>
    <x v="3"/>
    <n v="52.46"/>
  </r>
  <r>
    <x v="0"/>
    <x v="3"/>
    <n v="6620"/>
    <x v="0"/>
    <n v="20344"/>
    <n v="279.10000000000002"/>
    <n v="373.41"/>
    <s v="2024-11-27"/>
    <s v="2026-05-03"/>
    <s v="BT13784"/>
    <x v="2"/>
    <n v="163.02000000000001"/>
  </r>
  <r>
    <x v="6"/>
    <x v="3"/>
    <n v="4912"/>
    <x v="0"/>
    <n v="20470"/>
    <n v="199.11"/>
    <n v="324.2"/>
    <s v="2024-02-14"/>
    <s v="2026-12-16"/>
    <s v="BT91574"/>
    <x v="1"/>
    <n v="105.52"/>
  </r>
  <r>
    <x v="2"/>
    <x v="4"/>
    <n v="3963"/>
    <x v="0"/>
    <n v="2595"/>
    <n v="241.46"/>
    <n v="378.57"/>
    <s v="2024-02-26"/>
    <s v="2025-05-08"/>
    <s v="BT81716"/>
    <x v="0"/>
    <n v="133.41999999999999"/>
  </r>
  <r>
    <x v="19"/>
    <x v="1"/>
    <n v="3416"/>
    <x v="0"/>
    <n v="8866"/>
    <n v="289.69"/>
    <n v="673.58"/>
    <s v="2024-04-01"/>
    <s v="2025-04-22"/>
    <s v="BT37292"/>
    <x v="4"/>
    <n v="160.88999999999999"/>
  </r>
  <r>
    <x v="19"/>
    <x v="1"/>
    <n v="3025"/>
    <x v="0"/>
    <n v="4951"/>
    <n v="93.07"/>
    <n v="208.61"/>
    <s v="2024-11-13"/>
    <s v="2027-10-15"/>
    <s v="BT89103"/>
    <x v="4"/>
    <n v="50.59"/>
  </r>
  <r>
    <x v="0"/>
    <x v="1"/>
    <n v="8899"/>
    <x v="0"/>
    <n v="7549"/>
    <n v="149.44"/>
    <n v="351.34"/>
    <s v="2025-05-02"/>
    <s v="2027-01-31"/>
    <s v="BT83801"/>
    <x v="0"/>
    <n v="85.07"/>
  </r>
  <r>
    <x v="18"/>
    <x v="1"/>
    <n v="3553"/>
    <x v="0"/>
    <n v="15224"/>
    <n v="191.05"/>
    <n v="252.34"/>
    <s v="2025-06-09"/>
    <s v="2027-05-24"/>
    <s v="BT70755"/>
    <x v="4"/>
    <n v="125.91"/>
  </r>
  <r>
    <x v="13"/>
    <x v="3"/>
    <n v="9138"/>
    <x v="0"/>
    <n v="21629"/>
    <n v="195.93"/>
    <n v="256.5"/>
    <s v="2025-04-24"/>
    <s v="2027-07-15"/>
    <s v="BT20378"/>
    <x v="1"/>
    <n v="101.91"/>
  </r>
  <r>
    <x v="13"/>
    <x v="1"/>
    <n v="4573"/>
    <x v="0"/>
    <n v="18140"/>
    <n v="131.18"/>
    <n v="254.37"/>
    <s v="2025-07-18"/>
    <s v="2026-10-04"/>
    <s v="BT15910"/>
    <x v="0"/>
    <n v="58.12"/>
  </r>
  <r>
    <x v="18"/>
    <x v="3"/>
    <n v="2048"/>
    <x v="2"/>
    <n v="16225"/>
    <n v="199.95"/>
    <n v="387.71"/>
    <s v="2024-09-16"/>
    <s v="2026-09-14"/>
    <s v="BT43405"/>
    <x v="0"/>
    <n v="86.52"/>
  </r>
  <r>
    <x v="12"/>
    <x v="0"/>
    <n v="2366"/>
    <x v="2"/>
    <n v="22678"/>
    <n v="141.55000000000001"/>
    <n v="314.52999999999997"/>
    <s v="2025-02-06"/>
    <s v="2026-03-24"/>
    <s v="BT20917"/>
    <x v="1"/>
    <n v="106.26"/>
  </r>
  <r>
    <x v="3"/>
    <x v="1"/>
    <n v="7954"/>
    <x v="0"/>
    <n v="22963"/>
    <n v="137.72999999999999"/>
    <n v="309.92"/>
    <s v="2024-12-15"/>
    <s v="2026-06-24"/>
    <s v="BT37665"/>
    <x v="4"/>
    <n v="59.4"/>
  </r>
  <r>
    <x v="17"/>
    <x v="1"/>
    <n v="2242"/>
    <x v="2"/>
    <n v="15214"/>
    <n v="162.63999999999999"/>
    <n v="196.4"/>
    <s v="2024-04-29"/>
    <s v="2025-05-12"/>
    <s v="BT32509"/>
    <x v="1"/>
    <n v="94.99"/>
  </r>
  <r>
    <x v="19"/>
    <x v="2"/>
    <n v="8474"/>
    <x v="0"/>
    <n v="10922"/>
    <n v="187.46"/>
    <n v="462.29"/>
    <s v="2025-01-04"/>
    <s v="2027-12-12"/>
    <s v="BT98316"/>
    <x v="1"/>
    <n v="135.32"/>
  </r>
  <r>
    <x v="4"/>
    <x v="4"/>
    <n v="2713"/>
    <x v="2"/>
    <n v="1454"/>
    <n v="61.29"/>
    <n v="138.56"/>
    <s v="2024-07-11"/>
    <s v="2025-08-07"/>
    <s v="BT37424"/>
    <x v="1"/>
    <n v="40.42"/>
  </r>
  <r>
    <x v="10"/>
    <x v="3"/>
    <n v="9324"/>
    <x v="0"/>
    <n v="7255"/>
    <n v="30.4"/>
    <n v="66.900000000000006"/>
    <s v="2024-05-31"/>
    <s v="2026-09-28"/>
    <s v="BT65296"/>
    <x v="2"/>
    <n v="13.58"/>
  </r>
  <r>
    <x v="13"/>
    <x v="3"/>
    <n v="8447"/>
    <x v="0"/>
    <n v="16449"/>
    <n v="10.79"/>
    <n v="19.25"/>
    <s v="2024-09-05"/>
    <s v="2026-03-30"/>
    <s v="BT48644"/>
    <x v="0"/>
    <n v="7.9"/>
  </r>
  <r>
    <x v="19"/>
    <x v="0"/>
    <n v="5969"/>
    <x v="0"/>
    <n v="1258"/>
    <n v="35.29"/>
    <n v="81.23"/>
    <s v="2025-03-18"/>
    <s v="2027-05-17"/>
    <s v="BT74972"/>
    <x v="0"/>
    <n v="22.53"/>
  </r>
  <r>
    <x v="8"/>
    <x v="1"/>
    <n v="1106"/>
    <x v="2"/>
    <n v="16974"/>
    <n v="122.91"/>
    <n v="229.52"/>
    <s v="2025-09-18"/>
    <s v="2028-08-12"/>
    <s v="BT73950"/>
    <x v="4"/>
    <n v="84.28"/>
  </r>
  <r>
    <x v="12"/>
    <x v="0"/>
    <n v="7414"/>
    <x v="0"/>
    <n v="19887"/>
    <n v="98.18"/>
    <n v="125.92"/>
    <s v="2025-10-25"/>
    <s v="2027-12-26"/>
    <s v="BT72041"/>
    <x v="2"/>
    <n v="58.7"/>
  </r>
  <r>
    <x v="9"/>
    <x v="3"/>
    <n v="7647"/>
    <x v="0"/>
    <n v="1681"/>
    <n v="52.59"/>
    <n v="112.76"/>
    <s v="2025-04-25"/>
    <s v="2027-04-12"/>
    <s v="BT67424"/>
    <x v="4"/>
    <n v="31.71"/>
  </r>
  <r>
    <x v="2"/>
    <x v="1"/>
    <n v="8175"/>
    <x v="0"/>
    <n v="5297"/>
    <n v="265.54000000000002"/>
    <n v="568.23"/>
    <s v="2025-02-03"/>
    <s v="2027-04-05"/>
    <s v="BT98225"/>
    <x v="3"/>
    <n v="190.76"/>
  </r>
  <r>
    <x v="7"/>
    <x v="2"/>
    <n v="3894"/>
    <x v="0"/>
    <n v="10255"/>
    <n v="208.76"/>
    <n v="273.89999999999998"/>
    <s v="2025-05-09"/>
    <s v="2026-09-18"/>
    <s v="BT32713"/>
    <x v="4"/>
    <n v="96.56"/>
  </r>
  <r>
    <x v="6"/>
    <x v="0"/>
    <n v="7315"/>
    <x v="0"/>
    <n v="17178"/>
    <n v="94.58"/>
    <n v="139.25"/>
    <s v="2024-02-18"/>
    <s v="2025-03-07"/>
    <s v="BT57026"/>
    <x v="3"/>
    <n v="51.34"/>
  </r>
  <r>
    <x v="7"/>
    <x v="4"/>
    <n v="8748"/>
    <x v="0"/>
    <n v="2047"/>
    <n v="243.01"/>
    <n v="398.31"/>
    <s v="2024-04-26"/>
    <s v="2027-01-18"/>
    <s v="BT39712"/>
    <x v="2"/>
    <n v="151.83000000000001"/>
  </r>
  <r>
    <x v="6"/>
    <x v="1"/>
    <n v="6075"/>
    <x v="0"/>
    <n v="12640"/>
    <n v="231.97"/>
    <n v="510.59"/>
    <s v="2025-07-24"/>
    <s v="2027-04-23"/>
    <s v="BT29815"/>
    <x v="0"/>
    <n v="148.86000000000001"/>
  </r>
  <r>
    <x v="0"/>
    <x v="0"/>
    <n v="7673"/>
    <x v="0"/>
    <n v="15979"/>
    <n v="288.98"/>
    <n v="630.70000000000005"/>
    <s v="2024-04-18"/>
    <s v="2027-01-03"/>
    <s v="BT89908"/>
    <x v="2"/>
    <n v="210.79"/>
  </r>
  <r>
    <x v="14"/>
    <x v="2"/>
    <n v="2227"/>
    <x v="2"/>
    <n v="6473"/>
    <n v="190.83"/>
    <n v="445.04"/>
    <s v="2025-01-05"/>
    <s v="2026-06-14"/>
    <s v="BT48289"/>
    <x v="1"/>
    <n v="134.49"/>
  </r>
  <r>
    <x v="6"/>
    <x v="0"/>
    <n v="3027"/>
    <x v="0"/>
    <n v="22203"/>
    <n v="112.3"/>
    <n v="254.35"/>
    <s v="2024-05-05"/>
    <s v="2025-11-27"/>
    <s v="BT67554"/>
    <x v="1"/>
    <n v="79.47"/>
  </r>
  <r>
    <x v="1"/>
    <x v="4"/>
    <n v="8260"/>
    <x v="0"/>
    <n v="12184"/>
    <n v="89.59"/>
    <n v="127.45"/>
    <s v="2024-09-29"/>
    <s v="2026-10-15"/>
    <s v="BT64396"/>
    <x v="3"/>
    <n v="58.39"/>
  </r>
  <r>
    <x v="10"/>
    <x v="4"/>
    <n v="9177"/>
    <x v="0"/>
    <n v="14818"/>
    <n v="237.23"/>
    <n v="327.23"/>
    <s v="2025-03-15"/>
    <s v="2027-05-12"/>
    <s v="BT63648"/>
    <x v="1"/>
    <n v="185.21"/>
  </r>
  <r>
    <x v="12"/>
    <x v="1"/>
    <n v="987"/>
    <x v="1"/>
    <n v="15502"/>
    <n v="47.95"/>
    <n v="58.16"/>
    <s v="2025-06-13"/>
    <s v="2026-08-23"/>
    <s v="BT21112"/>
    <x v="3"/>
    <n v="25.22"/>
  </r>
  <r>
    <x v="7"/>
    <x v="3"/>
    <n v="1507"/>
    <x v="2"/>
    <n v="13886"/>
    <n v="228.96"/>
    <n v="471.25"/>
    <s v="2025-10-18"/>
    <s v="2027-03-21"/>
    <s v="BT85308"/>
    <x v="2"/>
    <n v="181.13"/>
  </r>
  <r>
    <x v="12"/>
    <x v="1"/>
    <n v="7369"/>
    <x v="0"/>
    <n v="14172"/>
    <n v="266.31"/>
    <n v="562.19000000000005"/>
    <s v="2024-11-07"/>
    <s v="2026-09-24"/>
    <s v="BT55109"/>
    <x v="2"/>
    <n v="194.62"/>
  </r>
  <r>
    <x v="12"/>
    <x v="2"/>
    <n v="2906"/>
    <x v="2"/>
    <n v="23947"/>
    <n v="124.16"/>
    <n v="252.92"/>
    <s v="2025-07-11"/>
    <s v="2028-04-10"/>
    <s v="BT91027"/>
    <x v="1"/>
    <n v="84.3"/>
  </r>
  <r>
    <x v="19"/>
    <x v="4"/>
    <n v="5440"/>
    <x v="0"/>
    <n v="3761"/>
    <n v="15.91"/>
    <n v="26.01"/>
    <s v="2024-05-09"/>
    <s v="2026-10-23"/>
    <s v="BT80882"/>
    <x v="3"/>
    <n v="7.72"/>
  </r>
  <r>
    <x v="12"/>
    <x v="2"/>
    <n v="5615"/>
    <x v="0"/>
    <n v="18083"/>
    <n v="105.51"/>
    <n v="213.8"/>
    <s v="2024-01-24"/>
    <s v="2025-02-20"/>
    <s v="BT80770"/>
    <x v="0"/>
    <n v="53.12"/>
  </r>
  <r>
    <x v="3"/>
    <x v="3"/>
    <n v="8778"/>
    <x v="0"/>
    <n v="4618"/>
    <n v="220.94"/>
    <n v="506.85"/>
    <s v="2024-09-22"/>
    <s v="2027-06-26"/>
    <s v="BT76518"/>
    <x v="3"/>
    <n v="99.32"/>
  </r>
  <r>
    <x v="0"/>
    <x v="3"/>
    <n v="5381"/>
    <x v="0"/>
    <n v="19757"/>
    <n v="222.37"/>
    <n v="397.84"/>
    <s v="2024-08-29"/>
    <s v="2027-04-16"/>
    <s v="BT84133"/>
    <x v="0"/>
    <n v="164.06"/>
  </r>
  <r>
    <x v="10"/>
    <x v="1"/>
    <n v="5402"/>
    <x v="0"/>
    <n v="10323"/>
    <n v="201.74"/>
    <n v="455.85"/>
    <s v="2025-08-09"/>
    <s v="2028-06-27"/>
    <s v="BT28346"/>
    <x v="1"/>
    <n v="122.63"/>
  </r>
  <r>
    <x v="10"/>
    <x v="0"/>
    <n v="5871"/>
    <x v="0"/>
    <n v="17923"/>
    <n v="176.8"/>
    <n v="401.28"/>
    <s v="2025-01-04"/>
    <s v="2027-04-14"/>
    <s v="BT22843"/>
    <x v="4"/>
    <n v="121.05"/>
  </r>
  <r>
    <x v="18"/>
    <x v="0"/>
    <n v="2011"/>
    <x v="2"/>
    <n v="3037"/>
    <n v="130.34"/>
    <n v="178.45"/>
    <s v="2024-08-07"/>
    <s v="2026-11-06"/>
    <s v="BT20233"/>
    <x v="3"/>
    <n v="87.42"/>
  </r>
  <r>
    <x v="19"/>
    <x v="2"/>
    <n v="9658"/>
    <x v="0"/>
    <n v="18004"/>
    <n v="234.75"/>
    <n v="547.82000000000005"/>
    <s v="2025-08-21"/>
    <s v="2028-01-13"/>
    <s v="BT93422"/>
    <x v="1"/>
    <n v="187.47"/>
  </r>
  <r>
    <x v="6"/>
    <x v="3"/>
    <n v="3168"/>
    <x v="0"/>
    <n v="5729"/>
    <n v="154.21"/>
    <n v="282.23"/>
    <s v="2025-04-13"/>
    <s v="2026-08-23"/>
    <s v="BT77264"/>
    <x v="0"/>
    <n v="68.97"/>
  </r>
  <r>
    <x v="11"/>
    <x v="3"/>
    <n v="8255"/>
    <x v="0"/>
    <n v="2068"/>
    <n v="225.22"/>
    <n v="546.66999999999996"/>
    <s v="2025-01-13"/>
    <s v="2026-05-14"/>
    <s v="BT88852"/>
    <x v="1"/>
    <n v="100.03"/>
  </r>
  <r>
    <x v="9"/>
    <x v="2"/>
    <n v="5244"/>
    <x v="0"/>
    <n v="2319"/>
    <n v="159.22"/>
    <n v="215.43"/>
    <s v="2024-11-08"/>
    <s v="2026-11-26"/>
    <s v="BT49748"/>
    <x v="3"/>
    <n v="94.64"/>
  </r>
  <r>
    <x v="13"/>
    <x v="4"/>
    <n v="7410"/>
    <x v="0"/>
    <n v="2594"/>
    <n v="281.36"/>
    <n v="449.25"/>
    <s v="2024-10-17"/>
    <s v="2026-05-25"/>
    <s v="BT33996"/>
    <x v="1"/>
    <n v="112.78"/>
  </r>
  <r>
    <x v="8"/>
    <x v="1"/>
    <n v="1606"/>
    <x v="2"/>
    <n v="2464"/>
    <n v="128.18"/>
    <n v="249.31"/>
    <s v="2025-08-02"/>
    <s v="2027-11-08"/>
    <s v="BT54279"/>
    <x v="1"/>
    <n v="75.64"/>
  </r>
  <r>
    <x v="17"/>
    <x v="4"/>
    <n v="2769"/>
    <x v="2"/>
    <n v="17540"/>
    <n v="192.76"/>
    <n v="422.18"/>
    <s v="2025-11-14"/>
    <s v="2028-02-16"/>
    <s v="BT29527"/>
    <x v="3"/>
    <n v="83.99"/>
  </r>
  <r>
    <x v="17"/>
    <x v="2"/>
    <n v="7211"/>
    <x v="0"/>
    <n v="13688"/>
    <n v="73.680000000000007"/>
    <n v="126.29"/>
    <s v="2025-07-07"/>
    <s v="2026-08-22"/>
    <s v="BT97876"/>
    <x v="1"/>
    <n v="51.16"/>
  </r>
  <r>
    <x v="4"/>
    <x v="4"/>
    <n v="906"/>
    <x v="1"/>
    <n v="19743"/>
    <n v="190.88"/>
    <n v="420.52"/>
    <s v="2024-11-12"/>
    <s v="2027-06-09"/>
    <s v="BT94562"/>
    <x v="2"/>
    <n v="125.52"/>
  </r>
  <r>
    <x v="4"/>
    <x v="4"/>
    <n v="9377"/>
    <x v="0"/>
    <n v="19902"/>
    <n v="228.5"/>
    <n v="558.55999999999995"/>
    <s v="2025-06-18"/>
    <s v="2026-12-28"/>
    <s v="BT72368"/>
    <x v="0"/>
    <n v="173.37"/>
  </r>
  <r>
    <x v="0"/>
    <x v="2"/>
    <n v="3444"/>
    <x v="0"/>
    <n v="1621"/>
    <n v="86.11"/>
    <n v="126.37"/>
    <s v="2025-08-16"/>
    <s v="2027-11-13"/>
    <s v="BT21094"/>
    <x v="0"/>
    <n v="55.35"/>
  </r>
  <r>
    <x v="19"/>
    <x v="2"/>
    <n v="1237"/>
    <x v="2"/>
    <n v="17104"/>
    <n v="259.27999999999997"/>
    <n v="318.98"/>
    <s v="2025-03-23"/>
    <s v="2026-09-23"/>
    <s v="BT64386"/>
    <x v="2"/>
    <n v="192.87"/>
  </r>
  <r>
    <x v="5"/>
    <x v="3"/>
    <n v="4713"/>
    <x v="0"/>
    <n v="3982"/>
    <n v="38.82"/>
    <n v="51.6"/>
    <s v="2024-06-21"/>
    <s v="2026-04-09"/>
    <s v="BT28878"/>
    <x v="4"/>
    <n v="19.5"/>
  </r>
  <r>
    <x v="4"/>
    <x v="4"/>
    <n v="5526"/>
    <x v="0"/>
    <n v="14345"/>
    <n v="205.19"/>
    <n v="261.94"/>
    <s v="2024-11-29"/>
    <s v="2026-06-02"/>
    <s v="BT13561"/>
    <x v="2"/>
    <n v="106.54"/>
  </r>
  <r>
    <x v="0"/>
    <x v="1"/>
    <n v="2834"/>
    <x v="2"/>
    <n v="14527"/>
    <n v="268.44"/>
    <n v="412.14"/>
    <s v="2024-05-03"/>
    <s v="2025-06-25"/>
    <s v="BT36549"/>
    <x v="4"/>
    <n v="188.14"/>
  </r>
  <r>
    <x v="2"/>
    <x v="4"/>
    <n v="8576"/>
    <x v="0"/>
    <n v="17666"/>
    <n v="226.96"/>
    <n v="385.96"/>
    <s v="2024-04-27"/>
    <s v="2026-01-27"/>
    <s v="BT17947"/>
    <x v="3"/>
    <n v="132.97999999999999"/>
  </r>
  <r>
    <x v="18"/>
    <x v="0"/>
    <n v="8432"/>
    <x v="0"/>
    <n v="1947"/>
    <n v="125.21"/>
    <n v="188.3"/>
    <s v="2024-01-20"/>
    <s v="2025-10-21"/>
    <s v="BT82623"/>
    <x v="0"/>
    <n v="83.9"/>
  </r>
  <r>
    <x v="10"/>
    <x v="2"/>
    <n v="2557"/>
    <x v="2"/>
    <n v="10981"/>
    <n v="172.63"/>
    <n v="307.24"/>
    <s v="2025-10-13"/>
    <s v="2028-03-08"/>
    <s v="BT36667"/>
    <x v="4"/>
    <n v="94.83"/>
  </r>
  <r>
    <x v="7"/>
    <x v="4"/>
    <n v="9306"/>
    <x v="0"/>
    <n v="14885"/>
    <n v="288.60000000000002"/>
    <n v="554.6"/>
    <s v="2024-02-12"/>
    <s v="2025-02-12"/>
    <s v="BT70902"/>
    <x v="0"/>
    <n v="148.83000000000001"/>
  </r>
  <r>
    <x v="7"/>
    <x v="0"/>
    <n v="1485"/>
    <x v="2"/>
    <n v="16800"/>
    <n v="85.62"/>
    <n v="130.66999999999999"/>
    <s v="2025-11-27"/>
    <s v="2027-12-21"/>
    <s v="BT56061"/>
    <x v="4"/>
    <n v="54.29"/>
  </r>
  <r>
    <x v="12"/>
    <x v="1"/>
    <n v="1245"/>
    <x v="2"/>
    <n v="6289"/>
    <n v="223.06"/>
    <n v="430.95"/>
    <s v="2024-11-03"/>
    <s v="2026-02-02"/>
    <s v="BT61813"/>
    <x v="2"/>
    <n v="163.32"/>
  </r>
  <r>
    <x v="8"/>
    <x v="1"/>
    <n v="7577"/>
    <x v="0"/>
    <n v="7909"/>
    <n v="185.08"/>
    <n v="452.45"/>
    <s v="2024-11-21"/>
    <s v="2027-10-20"/>
    <s v="BT54909"/>
    <x v="3"/>
    <n v="146.56"/>
  </r>
  <r>
    <x v="15"/>
    <x v="1"/>
    <n v="4529"/>
    <x v="0"/>
    <n v="22701"/>
    <n v="294.99"/>
    <n v="485"/>
    <s v="2025-04-15"/>
    <s v="2027-12-19"/>
    <s v="BT53051"/>
    <x v="2"/>
    <n v="225.85"/>
  </r>
  <r>
    <x v="13"/>
    <x v="0"/>
    <n v="8307"/>
    <x v="0"/>
    <n v="1140"/>
    <n v="270.93"/>
    <n v="562.04999999999995"/>
    <s v="2025-02-27"/>
    <s v="2027-09-19"/>
    <s v="BT74091"/>
    <x v="1"/>
    <n v="166.69"/>
  </r>
  <r>
    <x v="4"/>
    <x v="2"/>
    <n v="1007"/>
    <x v="2"/>
    <n v="23007"/>
    <n v="136.33000000000001"/>
    <n v="185.47"/>
    <s v="2025-01-20"/>
    <s v="2027-09-27"/>
    <s v="BT56919"/>
    <x v="1"/>
    <n v="64.19"/>
  </r>
  <r>
    <x v="1"/>
    <x v="0"/>
    <n v="8080"/>
    <x v="0"/>
    <n v="13139"/>
    <n v="281.19"/>
    <n v="499.94"/>
    <s v="2024-08-14"/>
    <s v="2025-09-03"/>
    <s v="BT46848"/>
    <x v="3"/>
    <n v="134.02000000000001"/>
  </r>
  <r>
    <x v="17"/>
    <x v="1"/>
    <n v="4123"/>
    <x v="0"/>
    <n v="8676"/>
    <n v="294.14"/>
    <n v="722.84"/>
    <s v="2024-02-07"/>
    <s v="2025-11-20"/>
    <s v="BT74597"/>
    <x v="0"/>
    <n v="142.26"/>
  </r>
  <r>
    <x v="11"/>
    <x v="3"/>
    <n v="2317"/>
    <x v="2"/>
    <n v="10088"/>
    <n v="172.89"/>
    <n v="318.5"/>
    <s v="2025-07-19"/>
    <s v="2027-02-02"/>
    <s v="BT96486"/>
    <x v="0"/>
    <n v="115.64"/>
  </r>
  <r>
    <x v="17"/>
    <x v="2"/>
    <n v="3375"/>
    <x v="0"/>
    <n v="3141"/>
    <n v="178.51"/>
    <n v="387.32"/>
    <s v="2024-05-10"/>
    <s v="2026-01-30"/>
    <s v="BT84698"/>
    <x v="4"/>
    <n v="134.31"/>
  </r>
  <r>
    <x v="16"/>
    <x v="4"/>
    <n v="878"/>
    <x v="1"/>
    <n v="23707"/>
    <n v="204.93"/>
    <n v="409.61"/>
    <s v="2025-11-28"/>
    <s v="2028-06-23"/>
    <s v="BT69497"/>
    <x v="2"/>
    <n v="158.85"/>
  </r>
  <r>
    <x v="14"/>
    <x v="1"/>
    <n v="7586"/>
    <x v="0"/>
    <n v="14332"/>
    <n v="85.84"/>
    <n v="178.91"/>
    <s v="2025-04-22"/>
    <s v="2027-09-11"/>
    <s v="BT57378"/>
    <x v="0"/>
    <n v="60.4"/>
  </r>
  <r>
    <x v="10"/>
    <x v="0"/>
    <n v="5053"/>
    <x v="0"/>
    <n v="14764"/>
    <n v="162.06"/>
    <n v="261.10000000000002"/>
    <s v="2025-02-05"/>
    <s v="2026-08-23"/>
    <s v="BT53870"/>
    <x v="2"/>
    <n v="121.88"/>
  </r>
  <r>
    <x v="1"/>
    <x v="4"/>
    <n v="7443"/>
    <x v="0"/>
    <n v="3439"/>
    <n v="275.51"/>
    <n v="401.13"/>
    <s v="2024-12-03"/>
    <s v="2026-10-17"/>
    <s v="BT18237"/>
    <x v="2"/>
    <n v="113.28"/>
  </r>
  <r>
    <x v="18"/>
    <x v="0"/>
    <n v="5977"/>
    <x v="0"/>
    <n v="9205"/>
    <n v="77.91"/>
    <n v="141.46"/>
    <s v="2024-12-14"/>
    <s v="2026-02-07"/>
    <s v="BT53724"/>
    <x v="0"/>
    <n v="55.91"/>
  </r>
  <r>
    <x v="4"/>
    <x v="2"/>
    <n v="7684"/>
    <x v="0"/>
    <n v="4134"/>
    <n v="189.48"/>
    <n v="369.98"/>
    <s v="2024-03-28"/>
    <s v="2025-05-29"/>
    <s v="BT14370"/>
    <x v="1"/>
    <n v="99.54"/>
  </r>
  <r>
    <x v="4"/>
    <x v="4"/>
    <n v="1515"/>
    <x v="2"/>
    <n v="15480"/>
    <n v="21.16"/>
    <n v="42.19"/>
    <s v="2025-03-18"/>
    <s v="2026-05-24"/>
    <s v="BT23346"/>
    <x v="2"/>
    <n v="13.2"/>
  </r>
  <r>
    <x v="3"/>
    <x v="3"/>
    <n v="7081"/>
    <x v="0"/>
    <n v="4140"/>
    <n v="187.1"/>
    <n v="324.51"/>
    <s v="2025-09-05"/>
    <s v="2028-07-11"/>
    <s v="BT91789"/>
    <x v="2"/>
    <n v="108.77"/>
  </r>
  <r>
    <x v="15"/>
    <x v="3"/>
    <n v="2159"/>
    <x v="2"/>
    <n v="12128"/>
    <n v="197.02"/>
    <n v="409.51"/>
    <s v="2024-01-27"/>
    <s v="2026-05-05"/>
    <s v="BT77792"/>
    <x v="3"/>
    <n v="125.13"/>
  </r>
  <r>
    <x v="0"/>
    <x v="0"/>
    <n v="701"/>
    <x v="1"/>
    <n v="20502"/>
    <n v="215.42"/>
    <n v="424.54"/>
    <s v="2024-07-17"/>
    <s v="2027-02-23"/>
    <s v="BT26512"/>
    <x v="0"/>
    <n v="108.25"/>
  </r>
  <r>
    <x v="18"/>
    <x v="3"/>
    <n v="7784"/>
    <x v="0"/>
    <n v="7092"/>
    <n v="76.73"/>
    <n v="171.58"/>
    <s v="2024-03-02"/>
    <s v="2025-07-10"/>
    <s v="BT50850"/>
    <x v="0"/>
    <n v="44.07"/>
  </r>
  <r>
    <x v="9"/>
    <x v="1"/>
    <n v="9366"/>
    <x v="0"/>
    <n v="5771"/>
    <n v="48.49"/>
    <n v="77.650000000000006"/>
    <s v="2024-12-17"/>
    <s v="2026-10-11"/>
    <s v="BT58343"/>
    <x v="2"/>
    <n v="29.44"/>
  </r>
  <r>
    <x v="13"/>
    <x v="0"/>
    <n v="4389"/>
    <x v="0"/>
    <n v="17616"/>
    <n v="246.66"/>
    <n v="475.38"/>
    <s v="2024-02-25"/>
    <s v="2026-05-02"/>
    <s v="BT55064"/>
    <x v="4"/>
    <n v="195.01"/>
  </r>
  <r>
    <x v="11"/>
    <x v="0"/>
    <n v="6095"/>
    <x v="0"/>
    <n v="7204"/>
    <n v="202.02"/>
    <n v="424.89"/>
    <s v="2025-04-23"/>
    <s v="2027-12-28"/>
    <s v="BT53403"/>
    <x v="0"/>
    <n v="126.55"/>
  </r>
  <r>
    <x v="5"/>
    <x v="2"/>
    <n v="5409"/>
    <x v="0"/>
    <n v="14719"/>
    <n v="101.94"/>
    <n v="136.22"/>
    <s v="2024-02-13"/>
    <s v="2026-07-04"/>
    <s v="BT38757"/>
    <x v="2"/>
    <n v="66.819999999999993"/>
  </r>
  <r>
    <x v="10"/>
    <x v="3"/>
    <n v="3992"/>
    <x v="0"/>
    <n v="8832"/>
    <n v="146.82"/>
    <n v="322.83999999999997"/>
    <s v="2024-12-05"/>
    <s v="2026-12-24"/>
    <s v="BT36911"/>
    <x v="1"/>
    <n v="69.55"/>
  </r>
  <r>
    <x v="1"/>
    <x v="1"/>
    <n v="662"/>
    <x v="1"/>
    <n v="3416"/>
    <n v="110.58"/>
    <n v="212.44"/>
    <s v="2024-05-25"/>
    <s v="2026-03-18"/>
    <s v="BT67725"/>
    <x v="4"/>
    <n v="72.16"/>
  </r>
  <r>
    <x v="9"/>
    <x v="0"/>
    <n v="986"/>
    <x v="1"/>
    <n v="7524"/>
    <n v="63.36"/>
    <n v="90.38"/>
    <s v="2024-09-25"/>
    <s v="2026-03-22"/>
    <s v="BT54540"/>
    <x v="0"/>
    <n v="31.58"/>
  </r>
  <r>
    <x v="11"/>
    <x v="0"/>
    <n v="3384"/>
    <x v="0"/>
    <n v="9578"/>
    <n v="273.64"/>
    <n v="335.84"/>
    <s v="2025-11-24"/>
    <s v="2027-04-13"/>
    <s v="BT59666"/>
    <x v="2"/>
    <n v="146.49"/>
  </r>
  <r>
    <x v="11"/>
    <x v="1"/>
    <n v="7974"/>
    <x v="0"/>
    <n v="8869"/>
    <n v="114.04"/>
    <n v="192.05"/>
    <s v="2024-06-24"/>
    <s v="2026-12-15"/>
    <s v="BT91684"/>
    <x v="1"/>
    <n v="85.68"/>
  </r>
  <r>
    <x v="4"/>
    <x v="0"/>
    <n v="2866"/>
    <x v="2"/>
    <n v="5285"/>
    <n v="239.49"/>
    <n v="347.07"/>
    <s v="2025-01-22"/>
    <s v="2028-01-03"/>
    <s v="BT59054"/>
    <x v="3"/>
    <n v="153.22999999999999"/>
  </r>
  <r>
    <x v="10"/>
    <x v="0"/>
    <n v="3598"/>
    <x v="0"/>
    <n v="18546"/>
    <n v="91.78"/>
    <n v="127.86"/>
    <s v="2024-09-10"/>
    <s v="2025-11-03"/>
    <s v="BT92504"/>
    <x v="3"/>
    <n v="68.760000000000005"/>
  </r>
  <r>
    <x v="12"/>
    <x v="2"/>
    <n v="8511"/>
    <x v="0"/>
    <n v="7856"/>
    <n v="219.55"/>
    <n v="487.42"/>
    <s v="2025-11-10"/>
    <s v="2028-07-31"/>
    <s v="BT18503"/>
    <x v="4"/>
    <n v="132.49"/>
  </r>
  <r>
    <x v="12"/>
    <x v="1"/>
    <n v="8668"/>
    <x v="0"/>
    <n v="18003"/>
    <n v="141.96"/>
    <n v="229.74"/>
    <s v="2025-01-17"/>
    <s v="2027-07-09"/>
    <s v="BT73346"/>
    <x v="1"/>
    <n v="83.69"/>
  </r>
  <r>
    <x v="2"/>
    <x v="3"/>
    <n v="1099"/>
    <x v="2"/>
    <n v="7789"/>
    <n v="69.760000000000005"/>
    <n v="102.12"/>
    <s v="2024-08-28"/>
    <s v="2026-10-07"/>
    <s v="BT38651"/>
    <x v="3"/>
    <n v="39.76"/>
  </r>
  <r>
    <x v="19"/>
    <x v="2"/>
    <n v="3075"/>
    <x v="0"/>
    <n v="13258"/>
    <n v="80.09"/>
    <n v="104.93"/>
    <s v="2024-03-27"/>
    <s v="2026-01-23"/>
    <s v="BT68262"/>
    <x v="0"/>
    <n v="43.3"/>
  </r>
  <r>
    <x v="2"/>
    <x v="0"/>
    <n v="8122"/>
    <x v="0"/>
    <n v="17785"/>
    <n v="188.23"/>
    <n v="330.14"/>
    <s v="2025-04-23"/>
    <s v="2027-07-09"/>
    <s v="BT63602"/>
    <x v="3"/>
    <n v="135.86000000000001"/>
  </r>
  <r>
    <x v="5"/>
    <x v="1"/>
    <n v="6764"/>
    <x v="0"/>
    <n v="1809"/>
    <n v="57.97"/>
    <n v="87.18"/>
    <s v="2025-10-22"/>
    <s v="2027-01-07"/>
    <s v="BT57067"/>
    <x v="2"/>
    <n v="30.02"/>
  </r>
  <r>
    <x v="12"/>
    <x v="2"/>
    <n v="9456"/>
    <x v="0"/>
    <n v="22091"/>
    <n v="28.06"/>
    <n v="43.76"/>
    <s v="2024-08-21"/>
    <s v="2025-11-29"/>
    <s v="BT25543"/>
    <x v="2"/>
    <n v="15.27"/>
  </r>
  <r>
    <x v="8"/>
    <x v="4"/>
    <n v="5968"/>
    <x v="0"/>
    <n v="7443"/>
    <n v="204.16"/>
    <n v="311.35000000000002"/>
    <s v="2025-11-30"/>
    <s v="2027-09-07"/>
    <s v="BT34987"/>
    <x v="0"/>
    <n v="163.16"/>
  </r>
  <r>
    <x v="8"/>
    <x v="1"/>
    <n v="639"/>
    <x v="1"/>
    <n v="10813"/>
    <n v="88.14"/>
    <n v="145.49"/>
    <s v="2025-02-17"/>
    <s v="2027-04-08"/>
    <s v="BT86015"/>
    <x v="2"/>
    <n v="51.9"/>
  </r>
  <r>
    <x v="12"/>
    <x v="4"/>
    <n v="7012"/>
    <x v="0"/>
    <n v="8457"/>
    <n v="71.94"/>
    <n v="156.38999999999999"/>
    <s v="2025-04-30"/>
    <s v="2026-12-25"/>
    <s v="BT77610"/>
    <x v="0"/>
    <n v="51.39"/>
  </r>
  <r>
    <x v="15"/>
    <x v="3"/>
    <n v="6081"/>
    <x v="0"/>
    <n v="3813"/>
    <n v="97.36"/>
    <n v="140.61000000000001"/>
    <s v="2025-03-03"/>
    <s v="2026-10-03"/>
    <s v="BT67498"/>
    <x v="1"/>
    <n v="72.16"/>
  </r>
  <r>
    <x v="1"/>
    <x v="1"/>
    <n v="2776"/>
    <x v="2"/>
    <n v="19923"/>
    <n v="262.76"/>
    <n v="419.69"/>
    <s v="2024-01-10"/>
    <s v="2026-06-04"/>
    <s v="BT96356"/>
    <x v="3"/>
    <n v="140.82"/>
  </r>
  <r>
    <x v="18"/>
    <x v="3"/>
    <n v="7108"/>
    <x v="0"/>
    <n v="23626"/>
    <n v="163.59"/>
    <n v="265.64999999999998"/>
    <s v="2024-01-24"/>
    <s v="2026-08-27"/>
    <s v="BT14221"/>
    <x v="4"/>
    <n v="75.489999999999995"/>
  </r>
  <r>
    <x v="5"/>
    <x v="2"/>
    <n v="9902"/>
    <x v="0"/>
    <n v="13808"/>
    <n v="294.14999999999998"/>
    <n v="431.07"/>
    <s v="2025-02-04"/>
    <s v="2026-04-10"/>
    <s v="BT80056"/>
    <x v="1"/>
    <n v="139.82"/>
  </r>
  <r>
    <x v="0"/>
    <x v="1"/>
    <n v="9830"/>
    <x v="0"/>
    <n v="15795"/>
    <n v="193.51"/>
    <n v="308.85000000000002"/>
    <s v="2024-06-24"/>
    <s v="2025-10-08"/>
    <s v="BT98458"/>
    <x v="0"/>
    <n v="91.15"/>
  </r>
  <r>
    <x v="17"/>
    <x v="3"/>
    <n v="939"/>
    <x v="1"/>
    <n v="7117"/>
    <n v="63.7"/>
    <n v="151.91"/>
    <s v="2025-01-30"/>
    <s v="2026-11-16"/>
    <s v="BT36986"/>
    <x v="4"/>
    <n v="32.9"/>
  </r>
  <r>
    <x v="12"/>
    <x v="0"/>
    <n v="7949"/>
    <x v="0"/>
    <n v="2882"/>
    <n v="113.75"/>
    <n v="138.13"/>
    <s v="2024-11-30"/>
    <s v="2027-01-24"/>
    <s v="BT61262"/>
    <x v="4"/>
    <n v="90.53"/>
  </r>
  <r>
    <x v="13"/>
    <x v="2"/>
    <n v="7355"/>
    <x v="0"/>
    <n v="16671"/>
    <n v="224.23"/>
    <n v="382.47"/>
    <s v="2024-07-30"/>
    <s v="2025-12-10"/>
    <s v="BT36958"/>
    <x v="3"/>
    <n v="128.46"/>
  </r>
  <r>
    <x v="6"/>
    <x v="4"/>
    <n v="9922"/>
    <x v="0"/>
    <n v="11168"/>
    <n v="178.31"/>
    <n v="330.45"/>
    <s v="2025-04-14"/>
    <s v="2027-01-21"/>
    <s v="BT36437"/>
    <x v="2"/>
    <n v="142.01"/>
  </r>
  <r>
    <x v="15"/>
    <x v="0"/>
    <n v="7041"/>
    <x v="0"/>
    <n v="20819"/>
    <n v="243.23"/>
    <n v="458.15"/>
    <s v="2025-08-05"/>
    <s v="2027-12-20"/>
    <s v="BT70319"/>
    <x v="1"/>
    <n v="153.35"/>
  </r>
  <r>
    <x v="4"/>
    <x v="1"/>
    <n v="7976"/>
    <x v="0"/>
    <n v="12363"/>
    <n v="211.59"/>
    <n v="449.66"/>
    <s v="2024-10-31"/>
    <s v="2026-12-05"/>
    <s v="BT90350"/>
    <x v="4"/>
    <n v="119.76"/>
  </r>
  <r>
    <x v="7"/>
    <x v="2"/>
    <n v="7579"/>
    <x v="0"/>
    <n v="16002"/>
    <n v="118.48"/>
    <n v="243.69"/>
    <s v="2025-08-05"/>
    <s v="2026-11-10"/>
    <s v="BT61583"/>
    <x v="2"/>
    <n v="58.75"/>
  </r>
  <r>
    <x v="7"/>
    <x v="1"/>
    <n v="9310"/>
    <x v="0"/>
    <n v="10564"/>
    <n v="201.66"/>
    <n v="259.49"/>
    <s v="2024-08-10"/>
    <s v="2026-12-28"/>
    <s v="BT63907"/>
    <x v="0"/>
    <n v="90.44"/>
  </r>
  <r>
    <x v="9"/>
    <x v="0"/>
    <n v="2223"/>
    <x v="2"/>
    <n v="17528"/>
    <n v="231.13"/>
    <n v="375.31"/>
    <s v="2025-04-06"/>
    <s v="2026-09-21"/>
    <s v="BT43130"/>
    <x v="4"/>
    <n v="139.24"/>
  </r>
  <r>
    <x v="15"/>
    <x v="0"/>
    <n v="1699"/>
    <x v="2"/>
    <n v="21934"/>
    <n v="209.87"/>
    <n v="456.4"/>
    <s v="2025-01-25"/>
    <s v="2027-01-11"/>
    <s v="BT62342"/>
    <x v="4"/>
    <n v="117.25"/>
  </r>
  <r>
    <x v="1"/>
    <x v="1"/>
    <n v="2378"/>
    <x v="2"/>
    <n v="24235"/>
    <n v="275.56"/>
    <n v="447.85"/>
    <s v="2025-04-20"/>
    <s v="2027-08-29"/>
    <s v="BT70470"/>
    <x v="2"/>
    <n v="119.32"/>
  </r>
  <r>
    <x v="10"/>
    <x v="3"/>
    <n v="2797"/>
    <x v="2"/>
    <n v="16426"/>
    <n v="247.03"/>
    <n v="566.69000000000005"/>
    <s v="2024-06-23"/>
    <s v="2025-07-11"/>
    <s v="BT89559"/>
    <x v="2"/>
    <n v="116.33"/>
  </r>
  <r>
    <x v="0"/>
    <x v="2"/>
    <n v="6903"/>
    <x v="0"/>
    <n v="6519"/>
    <n v="27.89"/>
    <n v="61.15"/>
    <s v="2025-11-24"/>
    <s v="2027-08-30"/>
    <s v="BT30119"/>
    <x v="1"/>
    <n v="15.15"/>
  </r>
  <r>
    <x v="11"/>
    <x v="0"/>
    <n v="9221"/>
    <x v="0"/>
    <n v="8083"/>
    <n v="135.41"/>
    <n v="170.9"/>
    <s v="2025-10-12"/>
    <s v="2028-03-30"/>
    <s v="BT94018"/>
    <x v="2"/>
    <n v="75.319999999999993"/>
  </r>
  <r>
    <x v="3"/>
    <x v="3"/>
    <n v="1358"/>
    <x v="2"/>
    <n v="20601"/>
    <n v="6.38"/>
    <n v="14.06"/>
    <s v="2024-07-25"/>
    <s v="2026-04-06"/>
    <s v="BT59105"/>
    <x v="4"/>
    <n v="3.06"/>
  </r>
  <r>
    <x v="1"/>
    <x v="3"/>
    <n v="957"/>
    <x v="1"/>
    <n v="1477"/>
    <n v="104.45"/>
    <n v="151.43"/>
    <s v="2025-11-16"/>
    <s v="2027-01-19"/>
    <s v="BT38910"/>
    <x v="2"/>
    <n v="75.08"/>
  </r>
  <r>
    <x v="7"/>
    <x v="4"/>
    <n v="1221"/>
    <x v="2"/>
    <n v="14621"/>
    <n v="156.19"/>
    <n v="353.04"/>
    <s v="2024-11-26"/>
    <s v="2027-06-24"/>
    <s v="BT92154"/>
    <x v="4"/>
    <n v="101.5"/>
  </r>
  <r>
    <x v="8"/>
    <x v="3"/>
    <n v="7510"/>
    <x v="0"/>
    <n v="4958"/>
    <n v="73.56"/>
    <n v="98.4"/>
    <s v="2024-11-27"/>
    <s v="2026-05-23"/>
    <s v="BT11965"/>
    <x v="1"/>
    <n v="48.67"/>
  </r>
  <r>
    <x v="1"/>
    <x v="3"/>
    <n v="3985"/>
    <x v="0"/>
    <n v="16033"/>
    <n v="69.930000000000007"/>
    <n v="143.72999999999999"/>
    <s v="2024-10-12"/>
    <s v="2027-08-08"/>
    <s v="BT91777"/>
    <x v="3"/>
    <n v="29.2"/>
  </r>
  <r>
    <x v="11"/>
    <x v="3"/>
    <n v="5440"/>
    <x v="0"/>
    <n v="20623"/>
    <n v="152.37"/>
    <n v="379.04"/>
    <s v="2025-07-03"/>
    <s v="2028-02-05"/>
    <s v="BT32473"/>
    <x v="3"/>
    <n v="119.4"/>
  </r>
  <r>
    <x v="17"/>
    <x v="1"/>
    <n v="6866"/>
    <x v="0"/>
    <n v="23213"/>
    <n v="277.74"/>
    <n v="611.80999999999995"/>
    <s v="2024-05-16"/>
    <s v="2026-04-21"/>
    <s v="BT32980"/>
    <x v="3"/>
    <n v="219.75"/>
  </r>
  <r>
    <x v="6"/>
    <x v="0"/>
    <n v="5990"/>
    <x v="0"/>
    <n v="1578"/>
    <n v="184.52"/>
    <n v="361.76"/>
    <s v="2025-01-26"/>
    <s v="2027-07-03"/>
    <s v="BT93963"/>
    <x v="4"/>
    <n v="110.96"/>
  </r>
  <r>
    <x v="1"/>
    <x v="4"/>
    <n v="847"/>
    <x v="1"/>
    <n v="21196"/>
    <n v="228.89"/>
    <n v="311.58"/>
    <s v="2024-08-30"/>
    <s v="2026-11-11"/>
    <s v="BT41922"/>
    <x v="0"/>
    <n v="98.82"/>
  </r>
  <r>
    <x v="13"/>
    <x v="1"/>
    <n v="8671"/>
    <x v="0"/>
    <n v="10719"/>
    <n v="64.59"/>
    <n v="109.06"/>
    <s v="2025-10-19"/>
    <s v="2026-11-26"/>
    <s v="BT41203"/>
    <x v="0"/>
    <n v="51.38"/>
  </r>
  <r>
    <x v="15"/>
    <x v="1"/>
    <n v="2699"/>
    <x v="2"/>
    <n v="10113"/>
    <n v="98.67"/>
    <n v="219.35"/>
    <s v="2024-02-10"/>
    <s v="2026-07-27"/>
    <s v="BT64380"/>
    <x v="3"/>
    <n v="69.09"/>
  </r>
  <r>
    <x v="10"/>
    <x v="1"/>
    <n v="6115"/>
    <x v="0"/>
    <n v="8938"/>
    <n v="65.72"/>
    <n v="83.48"/>
    <s v="2025-11-11"/>
    <s v="2027-07-23"/>
    <s v="BT39156"/>
    <x v="0"/>
    <n v="49.23"/>
  </r>
  <r>
    <x v="12"/>
    <x v="1"/>
    <n v="3507"/>
    <x v="0"/>
    <n v="15495"/>
    <n v="190.79"/>
    <n v="244.97"/>
    <s v="2025-05-18"/>
    <s v="2026-07-28"/>
    <s v="BT35226"/>
    <x v="2"/>
    <n v="124.73"/>
  </r>
  <r>
    <x v="13"/>
    <x v="4"/>
    <n v="2557"/>
    <x v="2"/>
    <n v="4006"/>
    <n v="56.23"/>
    <n v="107.6"/>
    <s v="2024-07-28"/>
    <s v="2026-03-26"/>
    <s v="BT76509"/>
    <x v="2"/>
    <n v="32.08"/>
  </r>
  <r>
    <x v="15"/>
    <x v="1"/>
    <n v="3189"/>
    <x v="0"/>
    <n v="24647"/>
    <n v="63.27"/>
    <n v="110.8"/>
    <s v="2025-09-12"/>
    <s v="2027-05-24"/>
    <s v="BT49728"/>
    <x v="3"/>
    <n v="39.9"/>
  </r>
  <r>
    <x v="11"/>
    <x v="1"/>
    <n v="8383"/>
    <x v="0"/>
    <n v="3621"/>
    <n v="285.55"/>
    <n v="476.14"/>
    <s v="2025-01-21"/>
    <s v="2026-07-11"/>
    <s v="BT71697"/>
    <x v="1"/>
    <n v="162.5"/>
  </r>
  <r>
    <x v="17"/>
    <x v="3"/>
    <n v="3053"/>
    <x v="0"/>
    <n v="16794"/>
    <n v="10.84"/>
    <n v="18.38"/>
    <s v="2024-03-26"/>
    <s v="2026-01-27"/>
    <s v="BT88011"/>
    <x v="0"/>
    <n v="5"/>
  </r>
  <r>
    <x v="7"/>
    <x v="1"/>
    <n v="6733"/>
    <x v="0"/>
    <n v="16192"/>
    <n v="95.22"/>
    <n v="149.32"/>
    <s v="2025-07-29"/>
    <s v="2028-04-09"/>
    <s v="BT73025"/>
    <x v="2"/>
    <n v="50.78"/>
  </r>
  <r>
    <x v="6"/>
    <x v="4"/>
    <n v="3035"/>
    <x v="0"/>
    <n v="7213"/>
    <n v="6.23"/>
    <n v="14.45"/>
    <s v="2025-01-18"/>
    <s v="2027-06-05"/>
    <s v="BT63025"/>
    <x v="1"/>
    <n v="4.84"/>
  </r>
  <r>
    <x v="9"/>
    <x v="3"/>
    <n v="8520"/>
    <x v="0"/>
    <n v="11086"/>
    <n v="194.11"/>
    <n v="381.39"/>
    <s v="2025-02-22"/>
    <s v="2026-04-02"/>
    <s v="BT26315"/>
    <x v="1"/>
    <n v="150.02000000000001"/>
  </r>
  <r>
    <x v="7"/>
    <x v="4"/>
    <n v="7648"/>
    <x v="0"/>
    <n v="9364"/>
    <n v="232.52"/>
    <n v="506.21"/>
    <s v="2024-12-22"/>
    <s v="2027-05-27"/>
    <s v="BT74044"/>
    <x v="3"/>
    <n v="157.78"/>
  </r>
  <r>
    <x v="19"/>
    <x v="3"/>
    <n v="4543"/>
    <x v="0"/>
    <n v="8941"/>
    <n v="145.93"/>
    <n v="349.93"/>
    <s v="2025-01-05"/>
    <s v="2027-10-13"/>
    <s v="BT98660"/>
    <x v="2"/>
    <n v="99.08"/>
  </r>
  <r>
    <x v="13"/>
    <x v="1"/>
    <n v="7962"/>
    <x v="0"/>
    <n v="23317"/>
    <n v="48.47"/>
    <n v="73.75"/>
    <s v="2025-08-15"/>
    <s v="2028-06-23"/>
    <s v="BT31158"/>
    <x v="2"/>
    <n v="21.65"/>
  </r>
  <r>
    <x v="4"/>
    <x v="3"/>
    <n v="7015"/>
    <x v="0"/>
    <n v="24136"/>
    <n v="177.92"/>
    <n v="421.9"/>
    <s v="2025-06-14"/>
    <s v="2026-12-24"/>
    <s v="BT65436"/>
    <x v="4"/>
    <n v="130.22"/>
  </r>
  <r>
    <x v="16"/>
    <x v="1"/>
    <n v="8702"/>
    <x v="0"/>
    <n v="18471"/>
    <n v="199.25"/>
    <n v="338.25"/>
    <s v="2024-11-11"/>
    <s v="2027-01-06"/>
    <s v="BT21648"/>
    <x v="2"/>
    <n v="130.4"/>
  </r>
  <r>
    <x v="9"/>
    <x v="4"/>
    <n v="4907"/>
    <x v="0"/>
    <n v="7865"/>
    <n v="279.35000000000002"/>
    <n v="479.74"/>
    <s v="2024-11-11"/>
    <s v="2025-11-17"/>
    <s v="BT32072"/>
    <x v="1"/>
    <n v="111.92"/>
  </r>
  <r>
    <x v="4"/>
    <x v="3"/>
    <n v="9100"/>
    <x v="0"/>
    <n v="14659"/>
    <n v="198.08"/>
    <n v="426.46"/>
    <s v="2024-06-23"/>
    <s v="2025-12-20"/>
    <s v="BT59106"/>
    <x v="4"/>
    <n v="135.02000000000001"/>
  </r>
  <r>
    <x v="11"/>
    <x v="3"/>
    <n v="3481"/>
    <x v="0"/>
    <n v="17469"/>
    <n v="284.8"/>
    <n v="508.61"/>
    <s v="2024-08-05"/>
    <s v="2026-02-11"/>
    <s v="BT36337"/>
    <x v="2"/>
    <n v="199.35"/>
  </r>
  <r>
    <x v="11"/>
    <x v="1"/>
    <n v="7197"/>
    <x v="0"/>
    <n v="15441"/>
    <n v="189.92"/>
    <n v="382.07"/>
    <s v="2025-10-13"/>
    <s v="2027-04-01"/>
    <s v="BT20460"/>
    <x v="3"/>
    <n v="82.48"/>
  </r>
  <r>
    <x v="0"/>
    <x v="1"/>
    <n v="1552"/>
    <x v="2"/>
    <n v="12211"/>
    <n v="13.75"/>
    <n v="20.7"/>
    <s v="2025-05-11"/>
    <s v="2028-03-29"/>
    <s v="BT23213"/>
    <x v="2"/>
    <n v="5.84"/>
  </r>
  <r>
    <x v="1"/>
    <x v="2"/>
    <n v="1185"/>
    <x v="2"/>
    <n v="4173"/>
    <n v="67.27"/>
    <n v="149.97"/>
    <s v="2025-01-19"/>
    <s v="2027-09-28"/>
    <s v="BT78167"/>
    <x v="3"/>
    <n v="51.99"/>
  </r>
  <r>
    <x v="6"/>
    <x v="1"/>
    <n v="7536"/>
    <x v="0"/>
    <n v="12028"/>
    <n v="114.38"/>
    <n v="269.62"/>
    <s v="2024-11-18"/>
    <s v="2026-07-21"/>
    <s v="BT57344"/>
    <x v="1"/>
    <n v="63.07"/>
  </r>
  <r>
    <x v="14"/>
    <x v="1"/>
    <n v="5910"/>
    <x v="0"/>
    <n v="4282"/>
    <n v="5.91"/>
    <n v="13.78"/>
    <s v="2025-02-15"/>
    <s v="2026-07-07"/>
    <s v="BT13365"/>
    <x v="0"/>
    <n v="2.65"/>
  </r>
  <r>
    <x v="12"/>
    <x v="1"/>
    <n v="4572"/>
    <x v="0"/>
    <n v="13072"/>
    <n v="138.32"/>
    <n v="289.37"/>
    <s v="2025-05-01"/>
    <s v="2027-10-10"/>
    <s v="BT64149"/>
    <x v="4"/>
    <n v="55.5"/>
  </r>
  <r>
    <x v="5"/>
    <x v="0"/>
    <n v="6401"/>
    <x v="0"/>
    <n v="2499"/>
    <n v="291.02999999999997"/>
    <n v="627.62"/>
    <s v="2025-11-25"/>
    <s v="2028-02-22"/>
    <s v="BT40612"/>
    <x v="0"/>
    <n v="172.82"/>
  </r>
  <r>
    <x v="17"/>
    <x v="0"/>
    <n v="6207"/>
    <x v="0"/>
    <n v="15021"/>
    <n v="282.02999999999997"/>
    <n v="683.62"/>
    <s v="2025-05-02"/>
    <s v="2028-03-06"/>
    <s v="BT23166"/>
    <x v="1"/>
    <n v="145.96"/>
  </r>
  <r>
    <x v="11"/>
    <x v="4"/>
    <n v="9020"/>
    <x v="0"/>
    <n v="19739"/>
    <n v="236.53"/>
    <n v="504.2"/>
    <s v="2024-02-02"/>
    <s v="2025-06-11"/>
    <s v="BT75264"/>
    <x v="2"/>
    <n v="123.12"/>
  </r>
  <r>
    <x v="8"/>
    <x v="3"/>
    <n v="3253"/>
    <x v="0"/>
    <n v="15623"/>
    <n v="286.74"/>
    <n v="523.82000000000005"/>
    <s v="2025-07-07"/>
    <s v="2027-03-10"/>
    <s v="BT41897"/>
    <x v="4"/>
    <n v="134.24"/>
  </r>
  <r>
    <x v="4"/>
    <x v="0"/>
    <n v="7625"/>
    <x v="0"/>
    <n v="24454"/>
    <n v="13.62"/>
    <n v="32.79"/>
    <s v="2024-11-30"/>
    <s v="2026-12-27"/>
    <s v="BT46747"/>
    <x v="4"/>
    <n v="9.3699999999999992"/>
  </r>
  <r>
    <x v="6"/>
    <x v="0"/>
    <n v="2724"/>
    <x v="2"/>
    <n v="18515"/>
    <n v="191.9"/>
    <n v="353.01"/>
    <s v="2024-12-06"/>
    <s v="2026-07-23"/>
    <s v="BT85493"/>
    <x v="0"/>
    <n v="81.72"/>
  </r>
  <r>
    <x v="5"/>
    <x v="3"/>
    <n v="6752"/>
    <x v="0"/>
    <n v="22427"/>
    <n v="194.42"/>
    <n v="375.32"/>
    <s v="2025-03-23"/>
    <s v="2026-11-16"/>
    <s v="BT39301"/>
    <x v="3"/>
    <n v="86.76"/>
  </r>
  <r>
    <x v="4"/>
    <x v="0"/>
    <n v="1960"/>
    <x v="2"/>
    <n v="12148"/>
    <n v="223.47"/>
    <n v="540.42999999999995"/>
    <s v="2024-04-28"/>
    <s v="2026-12-05"/>
    <s v="BT58200"/>
    <x v="4"/>
    <n v="165.67"/>
  </r>
  <r>
    <x v="19"/>
    <x v="2"/>
    <n v="527"/>
    <x v="1"/>
    <n v="11184"/>
    <n v="23.26"/>
    <n v="44.11"/>
    <s v="2025-02-01"/>
    <s v="2027-04-10"/>
    <s v="BT51896"/>
    <x v="3"/>
    <n v="16.72"/>
  </r>
  <r>
    <x v="13"/>
    <x v="2"/>
    <n v="4139"/>
    <x v="0"/>
    <n v="4492"/>
    <n v="121.62"/>
    <n v="231.05"/>
    <s v="2025-04-16"/>
    <s v="2027-03-05"/>
    <s v="BT28966"/>
    <x v="3"/>
    <n v="89.38"/>
  </r>
  <r>
    <x v="6"/>
    <x v="3"/>
    <n v="2915"/>
    <x v="2"/>
    <n v="20708"/>
    <n v="88.6"/>
    <n v="192.37"/>
    <s v="2024-02-05"/>
    <s v="2026-10-10"/>
    <s v="BT51961"/>
    <x v="3"/>
    <n v="53.24"/>
  </r>
  <r>
    <x v="0"/>
    <x v="1"/>
    <n v="9903"/>
    <x v="0"/>
    <n v="16672"/>
    <n v="191.17"/>
    <n v="283.01"/>
    <s v="2024-10-25"/>
    <s v="2027-10-16"/>
    <s v="BT59375"/>
    <x v="2"/>
    <n v="151.49"/>
  </r>
  <r>
    <x v="5"/>
    <x v="4"/>
    <n v="3950"/>
    <x v="0"/>
    <n v="8375"/>
    <n v="211.62"/>
    <n v="268.41000000000003"/>
    <s v="2024-07-02"/>
    <s v="2026-11-13"/>
    <s v="BT61355"/>
    <x v="3"/>
    <n v="167.97"/>
  </r>
  <r>
    <x v="7"/>
    <x v="0"/>
    <n v="9477"/>
    <x v="0"/>
    <n v="13854"/>
    <n v="104.54"/>
    <n v="217.58"/>
    <s v="2024-12-22"/>
    <s v="2027-01-26"/>
    <s v="BT61257"/>
    <x v="2"/>
    <n v="63.89"/>
  </r>
  <r>
    <x v="3"/>
    <x v="1"/>
    <n v="3696"/>
    <x v="0"/>
    <n v="23973"/>
    <n v="257.58999999999997"/>
    <n v="440.97"/>
    <s v="2024-05-14"/>
    <s v="2026-04-10"/>
    <s v="BT86072"/>
    <x v="2"/>
    <n v="190.6"/>
  </r>
  <r>
    <x v="3"/>
    <x v="3"/>
    <n v="3181"/>
    <x v="0"/>
    <n v="19912"/>
    <n v="45.58"/>
    <n v="95.93"/>
    <s v="2024-10-25"/>
    <s v="2026-03-22"/>
    <s v="BT37494"/>
    <x v="4"/>
    <n v="32.9"/>
  </r>
  <r>
    <x v="11"/>
    <x v="0"/>
    <n v="6434"/>
    <x v="0"/>
    <n v="24788"/>
    <n v="257.56"/>
    <n v="343.21"/>
    <s v="2024-05-31"/>
    <s v="2026-06-20"/>
    <s v="BT65982"/>
    <x v="4"/>
    <n v="198.42"/>
  </r>
  <r>
    <x v="0"/>
    <x v="1"/>
    <n v="8263"/>
    <x v="0"/>
    <n v="6886"/>
    <n v="283.79000000000002"/>
    <n v="383.84"/>
    <s v="2025-06-11"/>
    <s v="2028-04-06"/>
    <s v="BT54366"/>
    <x v="0"/>
    <n v="162.76"/>
  </r>
  <r>
    <x v="13"/>
    <x v="3"/>
    <n v="4514"/>
    <x v="0"/>
    <n v="2113"/>
    <n v="40.049999999999997"/>
    <n v="68.709999999999994"/>
    <s v="2024-11-05"/>
    <s v="2027-10-10"/>
    <s v="BT88139"/>
    <x v="4"/>
    <n v="26.48"/>
  </r>
  <r>
    <x v="19"/>
    <x v="0"/>
    <n v="8096"/>
    <x v="0"/>
    <n v="22309"/>
    <n v="117.72"/>
    <n v="238.03"/>
    <s v="2025-03-31"/>
    <s v="2027-04-11"/>
    <s v="BT11520"/>
    <x v="2"/>
    <n v="52.58"/>
  </r>
  <r>
    <x v="0"/>
    <x v="3"/>
    <n v="8851"/>
    <x v="0"/>
    <n v="8370"/>
    <n v="11.79"/>
    <n v="22.93"/>
    <s v="2025-08-09"/>
    <s v="2027-12-13"/>
    <s v="BT45877"/>
    <x v="2"/>
    <n v="8.4600000000000009"/>
  </r>
  <r>
    <x v="7"/>
    <x v="3"/>
    <n v="8432"/>
    <x v="0"/>
    <n v="22122"/>
    <n v="212.31"/>
    <n v="337.12"/>
    <s v="2024-05-08"/>
    <s v="2025-08-17"/>
    <s v="BT52628"/>
    <x v="2"/>
    <n v="145.54"/>
  </r>
  <r>
    <x v="8"/>
    <x v="4"/>
    <n v="7140"/>
    <x v="0"/>
    <n v="23961"/>
    <n v="10.83"/>
    <n v="20.82"/>
    <s v="2025-07-03"/>
    <s v="2027-12-27"/>
    <s v="BT74036"/>
    <x v="2"/>
    <n v="6.58"/>
  </r>
  <r>
    <x v="2"/>
    <x v="2"/>
    <n v="2533"/>
    <x v="2"/>
    <n v="7798"/>
    <n v="289.88"/>
    <n v="686.11"/>
    <s v="2024-07-04"/>
    <s v="2027-03-09"/>
    <s v="BT33584"/>
    <x v="2"/>
    <n v="180.27"/>
  </r>
  <r>
    <x v="5"/>
    <x v="0"/>
    <n v="1141"/>
    <x v="2"/>
    <n v="5221"/>
    <n v="174.65"/>
    <n v="357.76"/>
    <s v="2024-03-30"/>
    <s v="2026-10-26"/>
    <s v="BT43654"/>
    <x v="2"/>
    <n v="75.77"/>
  </r>
  <r>
    <x v="0"/>
    <x v="2"/>
    <n v="5391"/>
    <x v="0"/>
    <n v="12913"/>
    <n v="290.05"/>
    <n v="412.77"/>
    <s v="2025-11-04"/>
    <s v="2026-11-04"/>
    <s v="BT42550"/>
    <x v="3"/>
    <n v="121.38"/>
  </r>
  <r>
    <x v="12"/>
    <x v="1"/>
    <n v="9250"/>
    <x v="0"/>
    <n v="15579"/>
    <n v="46.26"/>
    <n v="85.01"/>
    <s v="2024-11-16"/>
    <s v="2027-05-05"/>
    <s v="BT56152"/>
    <x v="0"/>
    <n v="28.46"/>
  </r>
  <r>
    <x v="11"/>
    <x v="0"/>
    <n v="1232"/>
    <x v="2"/>
    <n v="8769"/>
    <n v="15.84"/>
    <n v="21.93"/>
    <s v="2024-08-08"/>
    <s v="2025-12-23"/>
    <s v="BT88924"/>
    <x v="0"/>
    <n v="7.7"/>
  </r>
  <r>
    <x v="9"/>
    <x v="1"/>
    <n v="2605"/>
    <x v="2"/>
    <n v="24891"/>
    <n v="188.58"/>
    <n v="244.53"/>
    <s v="2024-09-18"/>
    <s v="2026-06-11"/>
    <s v="BT60040"/>
    <x v="4"/>
    <n v="105.61"/>
  </r>
  <r>
    <x v="4"/>
    <x v="1"/>
    <n v="7468"/>
    <x v="0"/>
    <n v="23757"/>
    <n v="47.26"/>
    <n v="69.23"/>
    <s v="2025-10-06"/>
    <s v="2027-07-08"/>
    <s v="BT92984"/>
    <x v="4"/>
    <n v="32.409999999999997"/>
  </r>
  <r>
    <x v="2"/>
    <x v="2"/>
    <n v="3187"/>
    <x v="0"/>
    <n v="14752"/>
    <n v="247.36"/>
    <n v="398.56"/>
    <s v="2025-03-20"/>
    <s v="2027-04-12"/>
    <s v="BT13396"/>
    <x v="0"/>
    <n v="123.43"/>
  </r>
  <r>
    <x v="16"/>
    <x v="0"/>
    <n v="9207"/>
    <x v="0"/>
    <n v="4604"/>
    <n v="206.77"/>
    <n v="357.47"/>
    <s v="2024-12-03"/>
    <s v="2027-09-19"/>
    <s v="BT21662"/>
    <x v="3"/>
    <n v="157.91"/>
  </r>
  <r>
    <x v="16"/>
    <x v="4"/>
    <n v="4198"/>
    <x v="0"/>
    <n v="9966"/>
    <n v="7.91"/>
    <n v="13.37"/>
    <s v="2024-08-15"/>
    <s v="2026-09-06"/>
    <s v="BT23762"/>
    <x v="2"/>
    <n v="3.72"/>
  </r>
  <r>
    <x v="3"/>
    <x v="2"/>
    <n v="8521"/>
    <x v="0"/>
    <n v="4130"/>
    <n v="161.04"/>
    <n v="339.89"/>
    <s v="2024-10-15"/>
    <s v="2027-05-02"/>
    <s v="BT45527"/>
    <x v="0"/>
    <n v="70.8"/>
  </r>
  <r>
    <x v="14"/>
    <x v="4"/>
    <n v="5710"/>
    <x v="0"/>
    <n v="13765"/>
    <n v="58.3"/>
    <n v="131.05000000000001"/>
    <s v="2025-11-25"/>
    <s v="2028-05-22"/>
    <s v="BT82308"/>
    <x v="0"/>
    <n v="43.89"/>
  </r>
  <r>
    <x v="19"/>
    <x v="3"/>
    <n v="2590"/>
    <x v="2"/>
    <n v="9488"/>
    <n v="7.8"/>
    <n v="14.57"/>
    <s v="2024-06-08"/>
    <s v="2027-04-12"/>
    <s v="BT26563"/>
    <x v="4"/>
    <n v="4.3"/>
  </r>
  <r>
    <x v="16"/>
    <x v="0"/>
    <n v="6564"/>
    <x v="0"/>
    <n v="24183"/>
    <n v="234.37"/>
    <n v="487.88"/>
    <s v="2025-03-04"/>
    <s v="2028-02-25"/>
    <s v="BT70003"/>
    <x v="4"/>
    <n v="134.9"/>
  </r>
  <r>
    <x v="9"/>
    <x v="3"/>
    <n v="8728"/>
    <x v="0"/>
    <n v="10398"/>
    <n v="86.37"/>
    <n v="151.66999999999999"/>
    <s v="2024-08-22"/>
    <s v="2026-06-30"/>
    <s v="BT93313"/>
    <x v="2"/>
    <n v="67.28"/>
  </r>
  <r>
    <x v="18"/>
    <x v="1"/>
    <n v="1976"/>
    <x v="2"/>
    <n v="21797"/>
    <n v="28.45"/>
    <n v="61.14"/>
    <s v="2024-04-05"/>
    <s v="2025-09-21"/>
    <s v="BT85407"/>
    <x v="2"/>
    <n v="12.34"/>
  </r>
  <r>
    <x v="3"/>
    <x v="2"/>
    <n v="8574"/>
    <x v="0"/>
    <n v="1350"/>
    <n v="288.83999999999997"/>
    <n v="505.81"/>
    <s v="2025-06-04"/>
    <s v="2026-10-21"/>
    <s v="BT72869"/>
    <x v="1"/>
    <n v="175.04"/>
  </r>
  <r>
    <x v="8"/>
    <x v="0"/>
    <n v="7143"/>
    <x v="0"/>
    <n v="1455"/>
    <n v="186.8"/>
    <n v="445.36"/>
    <s v="2024-01-08"/>
    <s v="2026-03-18"/>
    <s v="BT80035"/>
    <x v="3"/>
    <n v="92.97"/>
  </r>
  <r>
    <x v="12"/>
    <x v="2"/>
    <n v="1193"/>
    <x v="2"/>
    <n v="20902"/>
    <n v="137.35"/>
    <n v="194.91"/>
    <s v="2025-06-20"/>
    <s v="2027-02-05"/>
    <s v="BT32913"/>
    <x v="2"/>
    <n v="75.11"/>
  </r>
  <r>
    <x v="13"/>
    <x v="2"/>
    <n v="6288"/>
    <x v="0"/>
    <n v="2668"/>
    <n v="129.69999999999999"/>
    <n v="219.56"/>
    <s v="2025-01-17"/>
    <s v="2026-05-12"/>
    <s v="BT54296"/>
    <x v="4"/>
    <n v="95.03"/>
  </r>
  <r>
    <x v="0"/>
    <x v="1"/>
    <n v="5401"/>
    <x v="0"/>
    <n v="16831"/>
    <n v="91.6"/>
    <n v="135.29"/>
    <s v="2025-10-08"/>
    <s v="2028-05-12"/>
    <s v="BT61592"/>
    <x v="4"/>
    <n v="70.459999999999994"/>
  </r>
  <r>
    <x v="12"/>
    <x v="0"/>
    <n v="8086"/>
    <x v="0"/>
    <n v="21242"/>
    <n v="255.26"/>
    <n v="325.39"/>
    <s v="2024-01-07"/>
    <s v="2026-09-28"/>
    <s v="BT70339"/>
    <x v="3"/>
    <n v="132.57"/>
  </r>
  <r>
    <x v="0"/>
    <x v="0"/>
    <n v="6229"/>
    <x v="0"/>
    <n v="24672"/>
    <n v="59.92"/>
    <n v="99.52"/>
    <s v="2024-04-13"/>
    <s v="2026-06-28"/>
    <s v="BT74493"/>
    <x v="4"/>
    <n v="26"/>
  </r>
  <r>
    <x v="12"/>
    <x v="4"/>
    <n v="7229"/>
    <x v="0"/>
    <n v="5058"/>
    <n v="274.37"/>
    <n v="331.71"/>
    <s v="2025-11-03"/>
    <s v="2027-07-17"/>
    <s v="BT39634"/>
    <x v="1"/>
    <n v="153.13999999999999"/>
  </r>
  <r>
    <x v="3"/>
    <x v="1"/>
    <n v="7517"/>
    <x v="0"/>
    <n v="6969"/>
    <n v="163.25"/>
    <n v="253.09"/>
    <s v="2025-03-25"/>
    <s v="2028-01-26"/>
    <s v="BT67587"/>
    <x v="4"/>
    <n v="74.430000000000007"/>
  </r>
  <r>
    <x v="18"/>
    <x v="0"/>
    <n v="6385"/>
    <x v="0"/>
    <n v="24239"/>
    <n v="63.55"/>
    <n v="91.92"/>
    <s v="2024-02-11"/>
    <s v="2025-06-26"/>
    <s v="BT61713"/>
    <x v="1"/>
    <n v="44.33"/>
  </r>
  <r>
    <x v="14"/>
    <x v="4"/>
    <n v="3760"/>
    <x v="0"/>
    <n v="16705"/>
    <n v="288.11"/>
    <n v="713.88"/>
    <s v="2024-05-01"/>
    <s v="2026-07-06"/>
    <s v="BT74103"/>
    <x v="0"/>
    <n v="172.36"/>
  </r>
  <r>
    <x v="13"/>
    <x v="1"/>
    <n v="7051"/>
    <x v="0"/>
    <n v="17444"/>
    <n v="219.17"/>
    <n v="474.38"/>
    <s v="2025-02-02"/>
    <s v="2026-06-16"/>
    <s v="BT24382"/>
    <x v="2"/>
    <n v="157.16"/>
  </r>
  <r>
    <x v="13"/>
    <x v="4"/>
    <n v="6138"/>
    <x v="0"/>
    <n v="17384"/>
    <n v="9.0299999999999994"/>
    <n v="18.87"/>
    <s v="2024-02-23"/>
    <s v="2027-01-17"/>
    <s v="BT54845"/>
    <x v="1"/>
    <n v="7.14"/>
  </r>
  <r>
    <x v="1"/>
    <x v="3"/>
    <n v="8367"/>
    <x v="0"/>
    <n v="10485"/>
    <n v="88.26"/>
    <n v="115.39"/>
    <s v="2025-03-15"/>
    <s v="2026-11-23"/>
    <s v="BT90951"/>
    <x v="4"/>
    <n v="61.05"/>
  </r>
  <r>
    <x v="7"/>
    <x v="4"/>
    <n v="5106"/>
    <x v="0"/>
    <n v="4768"/>
    <n v="259.93"/>
    <n v="647.88"/>
    <s v="2024-09-10"/>
    <s v="2027-07-24"/>
    <s v="BT66250"/>
    <x v="4"/>
    <n v="153.24"/>
  </r>
  <r>
    <x v="0"/>
    <x v="2"/>
    <n v="3468"/>
    <x v="0"/>
    <n v="7182"/>
    <n v="297.8"/>
    <n v="586.24"/>
    <s v="2025-10-11"/>
    <s v="2027-03-12"/>
    <s v="BT40065"/>
    <x v="2"/>
    <n v="134.88"/>
  </r>
  <r>
    <x v="14"/>
    <x v="1"/>
    <n v="3648"/>
    <x v="0"/>
    <n v="5790"/>
    <n v="130.76"/>
    <n v="261.7"/>
    <s v="2024-04-03"/>
    <s v="2025-05-25"/>
    <s v="BT59853"/>
    <x v="1"/>
    <n v="79.760000000000005"/>
  </r>
  <r>
    <x v="10"/>
    <x v="4"/>
    <n v="6007"/>
    <x v="0"/>
    <n v="14961"/>
    <n v="146.36000000000001"/>
    <n v="272.64"/>
    <s v="2025-10-21"/>
    <s v="2026-12-12"/>
    <s v="BT49883"/>
    <x v="2"/>
    <n v="74.31"/>
  </r>
  <r>
    <x v="16"/>
    <x v="1"/>
    <n v="7349"/>
    <x v="0"/>
    <n v="9092"/>
    <n v="99.35"/>
    <n v="125.36"/>
    <s v="2024-02-11"/>
    <s v="2025-02-10"/>
    <s v="BT16832"/>
    <x v="3"/>
    <n v="48.16"/>
  </r>
  <r>
    <x v="6"/>
    <x v="1"/>
    <n v="2150"/>
    <x v="2"/>
    <n v="15119"/>
    <n v="59.53"/>
    <n v="144.83000000000001"/>
    <s v="2025-01-07"/>
    <s v="2026-12-15"/>
    <s v="BT49892"/>
    <x v="2"/>
    <n v="26.12"/>
  </r>
  <r>
    <x v="1"/>
    <x v="2"/>
    <n v="2634"/>
    <x v="2"/>
    <n v="11853"/>
    <n v="111.37"/>
    <n v="250.92"/>
    <s v="2025-08-26"/>
    <s v="2028-02-18"/>
    <s v="BT89261"/>
    <x v="3"/>
    <n v="55.16"/>
  </r>
  <r>
    <x v="16"/>
    <x v="4"/>
    <n v="6792"/>
    <x v="0"/>
    <n v="3858"/>
    <n v="266.72000000000003"/>
    <n v="365.31"/>
    <s v="2025-09-08"/>
    <s v="2027-01-09"/>
    <s v="BT15379"/>
    <x v="0"/>
    <n v="210"/>
  </r>
  <r>
    <x v="11"/>
    <x v="4"/>
    <n v="7803"/>
    <x v="0"/>
    <n v="4232"/>
    <n v="27.09"/>
    <n v="51.76"/>
    <s v="2024-12-17"/>
    <s v="2026-10-21"/>
    <s v="BT72154"/>
    <x v="4"/>
    <n v="16.62"/>
  </r>
  <r>
    <x v="13"/>
    <x v="0"/>
    <n v="2594"/>
    <x v="2"/>
    <n v="7281"/>
    <n v="128.37"/>
    <n v="272.8"/>
    <s v="2025-07-27"/>
    <s v="2027-07-17"/>
    <s v="BT57973"/>
    <x v="1"/>
    <n v="83.69"/>
  </r>
  <r>
    <x v="0"/>
    <x v="3"/>
    <n v="1609"/>
    <x v="2"/>
    <n v="16821"/>
    <n v="128.61000000000001"/>
    <n v="310.04000000000002"/>
    <s v="2025-05-30"/>
    <s v="2026-06-21"/>
    <s v="BT31880"/>
    <x v="0"/>
    <n v="65.55"/>
  </r>
  <r>
    <x v="13"/>
    <x v="1"/>
    <n v="1244"/>
    <x v="2"/>
    <n v="19552"/>
    <n v="22.93"/>
    <n v="56.5"/>
    <s v="2024-07-13"/>
    <s v="2026-08-24"/>
    <s v="BT74884"/>
    <x v="0"/>
    <n v="17.149999999999999"/>
  </r>
  <r>
    <x v="4"/>
    <x v="4"/>
    <n v="7672"/>
    <x v="0"/>
    <n v="17688"/>
    <n v="118.32"/>
    <n v="261.86"/>
    <s v="2025-02-14"/>
    <s v="2027-10-28"/>
    <s v="BT45585"/>
    <x v="4"/>
    <n v="56.04"/>
  </r>
  <r>
    <x v="7"/>
    <x v="2"/>
    <n v="4068"/>
    <x v="0"/>
    <n v="20402"/>
    <n v="210.53"/>
    <n v="493.25"/>
    <s v="2025-06-09"/>
    <s v="2027-09-18"/>
    <s v="BT76036"/>
    <x v="0"/>
    <n v="106.01"/>
  </r>
  <r>
    <x v="10"/>
    <x v="1"/>
    <n v="4899"/>
    <x v="0"/>
    <n v="19092"/>
    <n v="40.14"/>
    <n v="59.85"/>
    <s v="2025-06-30"/>
    <s v="2027-02-28"/>
    <s v="BT48252"/>
    <x v="2"/>
    <n v="26.33"/>
  </r>
  <r>
    <x v="16"/>
    <x v="4"/>
    <n v="4930"/>
    <x v="0"/>
    <n v="2688"/>
    <n v="194.51"/>
    <n v="296.38"/>
    <s v="2024-08-03"/>
    <s v="2027-02-01"/>
    <s v="BT25228"/>
    <x v="2"/>
    <n v="128.27000000000001"/>
  </r>
  <r>
    <x v="17"/>
    <x v="1"/>
    <n v="5817"/>
    <x v="0"/>
    <n v="3727"/>
    <n v="284.2"/>
    <n v="667.64"/>
    <s v="2024-09-27"/>
    <s v="2026-02-10"/>
    <s v="BT63522"/>
    <x v="0"/>
    <n v="147.19999999999999"/>
  </r>
  <r>
    <x v="14"/>
    <x v="0"/>
    <n v="6324"/>
    <x v="0"/>
    <n v="8185"/>
    <n v="220.49"/>
    <n v="344.76"/>
    <s v="2024-09-19"/>
    <s v="2025-10-05"/>
    <s v="BT80436"/>
    <x v="0"/>
    <n v="97.58"/>
  </r>
  <r>
    <x v="19"/>
    <x v="1"/>
    <n v="9525"/>
    <x v="0"/>
    <n v="7755"/>
    <n v="245.97"/>
    <n v="365.72"/>
    <s v="2024-10-02"/>
    <s v="2026-04-28"/>
    <s v="BT86239"/>
    <x v="1"/>
    <n v="113.7"/>
  </r>
  <r>
    <x v="10"/>
    <x v="3"/>
    <n v="6539"/>
    <x v="0"/>
    <n v="5860"/>
    <n v="271.14"/>
    <n v="358.39"/>
    <s v="2024-07-04"/>
    <s v="2026-10-17"/>
    <s v="BT34251"/>
    <x v="4"/>
    <n v="128.94"/>
  </r>
  <r>
    <x v="6"/>
    <x v="4"/>
    <n v="5121"/>
    <x v="0"/>
    <n v="1689"/>
    <n v="96.5"/>
    <n v="226.85"/>
    <s v="2025-02-07"/>
    <s v="2028-01-11"/>
    <s v="BT89668"/>
    <x v="4"/>
    <n v="41.28"/>
  </r>
  <r>
    <x v="4"/>
    <x v="3"/>
    <n v="4518"/>
    <x v="0"/>
    <n v="15910"/>
    <n v="273.19"/>
    <n v="672.46"/>
    <s v="2024-04-12"/>
    <s v="2026-10-03"/>
    <s v="BT27995"/>
    <x v="2"/>
    <n v="175.2"/>
  </r>
  <r>
    <x v="19"/>
    <x v="3"/>
    <n v="839"/>
    <x v="1"/>
    <n v="4605"/>
    <n v="248.84"/>
    <n v="545.58000000000004"/>
    <s v="2025-10-21"/>
    <s v="2026-12-04"/>
    <s v="BT27324"/>
    <x v="4"/>
    <n v="176.19"/>
  </r>
  <r>
    <x v="16"/>
    <x v="4"/>
    <n v="721"/>
    <x v="1"/>
    <n v="1307"/>
    <n v="287.5"/>
    <n v="384.74"/>
    <s v="2024-12-12"/>
    <s v="2027-12-06"/>
    <s v="BT21136"/>
    <x v="4"/>
    <n v="131.01"/>
  </r>
  <r>
    <x v="2"/>
    <x v="3"/>
    <n v="3172"/>
    <x v="0"/>
    <n v="11072"/>
    <n v="102.87"/>
    <n v="144.11000000000001"/>
    <s v="2024-02-27"/>
    <s v="2026-09-05"/>
    <s v="BT45056"/>
    <x v="0"/>
    <n v="46.21"/>
  </r>
  <r>
    <x v="14"/>
    <x v="0"/>
    <n v="9423"/>
    <x v="0"/>
    <n v="10723"/>
    <n v="35.26"/>
    <n v="82.95"/>
    <s v="2025-03-01"/>
    <s v="2026-07-24"/>
    <s v="BT10158"/>
    <x v="4"/>
    <n v="14.44"/>
  </r>
  <r>
    <x v="18"/>
    <x v="3"/>
    <n v="2914"/>
    <x v="2"/>
    <n v="12577"/>
    <n v="198.33"/>
    <n v="296.24"/>
    <s v="2025-12-01"/>
    <s v="2027-12-29"/>
    <s v="BT24733"/>
    <x v="1"/>
    <n v="92.78"/>
  </r>
  <r>
    <x v="0"/>
    <x v="4"/>
    <n v="2166"/>
    <x v="2"/>
    <n v="10234"/>
    <n v="110.41"/>
    <n v="220.86"/>
    <s v="2024-05-01"/>
    <s v="2026-05-05"/>
    <s v="BT21115"/>
    <x v="2"/>
    <n v="70.86"/>
  </r>
  <r>
    <x v="7"/>
    <x v="3"/>
    <n v="9191"/>
    <x v="0"/>
    <n v="11972"/>
    <n v="181.89"/>
    <n v="378.92"/>
    <s v="2024-06-02"/>
    <s v="2027-04-16"/>
    <s v="BT49526"/>
    <x v="0"/>
    <n v="132.24"/>
  </r>
  <r>
    <x v="9"/>
    <x v="0"/>
    <n v="4941"/>
    <x v="0"/>
    <n v="17359"/>
    <n v="200.21"/>
    <n v="483.06"/>
    <s v="2024-03-19"/>
    <s v="2025-03-21"/>
    <s v="BT29482"/>
    <x v="4"/>
    <n v="105.73"/>
  </r>
  <r>
    <x v="19"/>
    <x v="3"/>
    <n v="8338"/>
    <x v="0"/>
    <n v="3205"/>
    <n v="38.380000000000003"/>
    <n v="67.38"/>
    <s v="2024-10-12"/>
    <s v="2026-03-09"/>
    <s v="BT21855"/>
    <x v="3"/>
    <n v="30.62"/>
  </r>
  <r>
    <x v="7"/>
    <x v="3"/>
    <n v="6277"/>
    <x v="0"/>
    <n v="11463"/>
    <n v="150.79"/>
    <n v="275.29000000000002"/>
    <s v="2025-02-27"/>
    <s v="2027-11-05"/>
    <s v="BT93440"/>
    <x v="3"/>
    <n v="68.650000000000006"/>
  </r>
  <r>
    <x v="10"/>
    <x v="3"/>
    <n v="7359"/>
    <x v="0"/>
    <n v="19000"/>
    <n v="151.65"/>
    <n v="287.20999999999998"/>
    <s v="2025-06-29"/>
    <s v="2027-12-30"/>
    <s v="BT40161"/>
    <x v="1"/>
    <n v="65.73"/>
  </r>
  <r>
    <x v="18"/>
    <x v="2"/>
    <n v="9967"/>
    <x v="0"/>
    <n v="23724"/>
    <n v="244.33"/>
    <n v="362.86"/>
    <s v="2024-03-30"/>
    <s v="2025-11-25"/>
    <s v="BT57409"/>
    <x v="2"/>
    <n v="117.6"/>
  </r>
  <r>
    <x v="1"/>
    <x v="1"/>
    <n v="9648"/>
    <x v="0"/>
    <n v="16529"/>
    <n v="287.5"/>
    <n v="689.19"/>
    <s v="2024-03-02"/>
    <s v="2026-02-22"/>
    <s v="BT57298"/>
    <x v="4"/>
    <n v="148.88999999999999"/>
  </r>
  <r>
    <x v="13"/>
    <x v="2"/>
    <n v="7398"/>
    <x v="0"/>
    <n v="8946"/>
    <n v="67.17"/>
    <n v="100.22"/>
    <s v="2024-05-21"/>
    <s v="2025-09-18"/>
    <s v="BT28753"/>
    <x v="1"/>
    <n v="46.56"/>
  </r>
  <r>
    <x v="18"/>
    <x v="1"/>
    <n v="1386"/>
    <x v="2"/>
    <n v="23983"/>
    <n v="36.270000000000003"/>
    <n v="70.95"/>
    <s v="2025-05-03"/>
    <s v="2028-01-01"/>
    <s v="BT30732"/>
    <x v="2"/>
    <n v="16.64"/>
  </r>
  <r>
    <x v="13"/>
    <x v="0"/>
    <n v="4514"/>
    <x v="0"/>
    <n v="3525"/>
    <n v="8.68"/>
    <n v="19.79"/>
    <s v="2025-03-02"/>
    <s v="2026-08-02"/>
    <s v="BT33910"/>
    <x v="1"/>
    <n v="6.05"/>
  </r>
  <r>
    <x v="12"/>
    <x v="1"/>
    <n v="8203"/>
    <x v="0"/>
    <n v="14484"/>
    <n v="218.15"/>
    <n v="387.69"/>
    <s v="2025-10-22"/>
    <s v="2028-10-02"/>
    <s v="BT11731"/>
    <x v="3"/>
    <n v="96.97"/>
  </r>
  <r>
    <x v="14"/>
    <x v="0"/>
    <n v="3343"/>
    <x v="0"/>
    <n v="17491"/>
    <n v="52.3"/>
    <n v="89.71"/>
    <s v="2025-03-09"/>
    <s v="2028-02-03"/>
    <s v="BT69545"/>
    <x v="0"/>
    <n v="35.799999999999997"/>
  </r>
  <r>
    <x v="16"/>
    <x v="2"/>
    <n v="8722"/>
    <x v="0"/>
    <n v="11028"/>
    <n v="214.26"/>
    <n v="375.12"/>
    <s v="2024-06-09"/>
    <s v="2026-03-14"/>
    <s v="BT22050"/>
    <x v="0"/>
    <n v="118.06"/>
  </r>
  <r>
    <x v="13"/>
    <x v="4"/>
    <n v="7060"/>
    <x v="0"/>
    <n v="21284"/>
    <n v="21.52"/>
    <n v="36.799999999999997"/>
    <s v="2025-07-26"/>
    <s v="2028-04-05"/>
    <s v="BT20119"/>
    <x v="1"/>
    <n v="12.72"/>
  </r>
  <r>
    <x v="19"/>
    <x v="3"/>
    <n v="3200"/>
    <x v="0"/>
    <n v="2791"/>
    <n v="241.99"/>
    <n v="493.81"/>
    <s v="2024-07-18"/>
    <s v="2026-04-20"/>
    <s v="BT24208"/>
    <x v="2"/>
    <n v="104.33"/>
  </r>
  <r>
    <x v="17"/>
    <x v="1"/>
    <n v="959"/>
    <x v="1"/>
    <n v="8848"/>
    <n v="88.25"/>
    <n v="168.03"/>
    <s v="2024-03-07"/>
    <s v="2025-10-09"/>
    <s v="BT88264"/>
    <x v="2"/>
    <n v="62.01"/>
  </r>
  <r>
    <x v="3"/>
    <x v="4"/>
    <n v="9538"/>
    <x v="0"/>
    <n v="7610"/>
    <n v="193.32"/>
    <n v="240.12"/>
    <s v="2024-10-02"/>
    <s v="2025-12-28"/>
    <s v="BT84727"/>
    <x v="0"/>
    <n v="80.8"/>
  </r>
  <r>
    <x v="6"/>
    <x v="0"/>
    <n v="1287"/>
    <x v="2"/>
    <n v="11308"/>
    <n v="32.5"/>
    <n v="52.04"/>
    <s v="2024-12-31"/>
    <s v="2026-10-16"/>
    <s v="BT62184"/>
    <x v="0"/>
    <n v="15.53"/>
  </r>
  <r>
    <x v="19"/>
    <x v="1"/>
    <n v="2622"/>
    <x v="2"/>
    <n v="24024"/>
    <n v="204.03"/>
    <n v="332.71"/>
    <s v="2025-05-30"/>
    <s v="2026-09-10"/>
    <s v="BT75821"/>
    <x v="4"/>
    <n v="83.55"/>
  </r>
  <r>
    <x v="19"/>
    <x v="3"/>
    <n v="1112"/>
    <x v="2"/>
    <n v="10506"/>
    <n v="52.56"/>
    <n v="109.7"/>
    <s v="2024-03-21"/>
    <s v="2026-12-21"/>
    <s v="BT22227"/>
    <x v="4"/>
    <n v="39.619999999999997"/>
  </r>
  <r>
    <x v="13"/>
    <x v="4"/>
    <n v="8718"/>
    <x v="0"/>
    <n v="17918"/>
    <n v="297.72000000000003"/>
    <n v="592.87"/>
    <s v="2025-06-19"/>
    <s v="2027-06-03"/>
    <s v="BT68652"/>
    <x v="4"/>
    <n v="159.46"/>
  </r>
  <r>
    <x v="9"/>
    <x v="2"/>
    <n v="7559"/>
    <x v="0"/>
    <n v="2311"/>
    <n v="267.75"/>
    <n v="590.77"/>
    <s v="2025-01-31"/>
    <s v="2026-10-02"/>
    <s v="BT37370"/>
    <x v="0"/>
    <n v="172.1"/>
  </r>
  <r>
    <x v="13"/>
    <x v="2"/>
    <n v="8651"/>
    <x v="0"/>
    <n v="4191"/>
    <n v="242.39"/>
    <n v="335.81"/>
    <s v="2024-11-12"/>
    <s v="2027-05-26"/>
    <s v="BT21425"/>
    <x v="1"/>
    <n v="106.08"/>
  </r>
  <r>
    <x v="5"/>
    <x v="4"/>
    <n v="5343"/>
    <x v="0"/>
    <n v="6291"/>
    <n v="25.11"/>
    <n v="48.95"/>
    <s v="2024-12-27"/>
    <s v="2026-03-28"/>
    <s v="BT19323"/>
    <x v="4"/>
    <n v="17.18"/>
  </r>
  <r>
    <x v="15"/>
    <x v="1"/>
    <n v="8253"/>
    <x v="0"/>
    <n v="9389"/>
    <n v="230.13"/>
    <n v="408.4"/>
    <s v="2024-05-23"/>
    <s v="2025-09-26"/>
    <s v="BT84545"/>
    <x v="1"/>
    <n v="95.7"/>
  </r>
  <r>
    <x v="3"/>
    <x v="3"/>
    <n v="7201"/>
    <x v="0"/>
    <n v="21305"/>
    <n v="275.56"/>
    <n v="376.88"/>
    <s v="2025-01-10"/>
    <s v="2027-06-18"/>
    <s v="BT91871"/>
    <x v="3"/>
    <n v="151.41"/>
  </r>
  <r>
    <x v="18"/>
    <x v="2"/>
    <n v="7874"/>
    <x v="0"/>
    <n v="9612"/>
    <n v="263.83999999999997"/>
    <n v="656.6"/>
    <s v="2024-02-13"/>
    <s v="2026-11-09"/>
    <s v="BT94392"/>
    <x v="2"/>
    <n v="183.74"/>
  </r>
  <r>
    <x v="10"/>
    <x v="2"/>
    <n v="630"/>
    <x v="1"/>
    <n v="6064"/>
    <n v="256.64999999999998"/>
    <n v="404.96"/>
    <s v="2024-06-11"/>
    <s v="2027-01-15"/>
    <s v="BT62334"/>
    <x v="2"/>
    <n v="125.56"/>
  </r>
  <r>
    <x v="15"/>
    <x v="0"/>
    <n v="6216"/>
    <x v="0"/>
    <n v="16265"/>
    <n v="143.19999999999999"/>
    <n v="271.45999999999998"/>
    <s v="2025-04-21"/>
    <s v="2026-08-10"/>
    <s v="BT21248"/>
    <x v="4"/>
    <n v="99.2"/>
  </r>
  <r>
    <x v="19"/>
    <x v="3"/>
    <n v="3768"/>
    <x v="0"/>
    <n v="14157"/>
    <n v="101.97"/>
    <n v="164.42"/>
    <s v="2025-09-10"/>
    <s v="2028-01-20"/>
    <s v="BT37870"/>
    <x v="1"/>
    <n v="45.45"/>
  </r>
  <r>
    <x v="15"/>
    <x v="0"/>
    <n v="9430"/>
    <x v="0"/>
    <n v="6103"/>
    <n v="284.82"/>
    <n v="395.66"/>
    <s v="2024-08-06"/>
    <s v="2026-06-29"/>
    <s v="BT84475"/>
    <x v="2"/>
    <n v="226.47"/>
  </r>
  <r>
    <x v="19"/>
    <x v="0"/>
    <n v="6422"/>
    <x v="0"/>
    <n v="15093"/>
    <n v="293.68"/>
    <n v="433.9"/>
    <s v="2024-08-04"/>
    <s v="2025-08-27"/>
    <s v="BT99610"/>
    <x v="1"/>
    <n v="149.16999999999999"/>
  </r>
  <r>
    <x v="7"/>
    <x v="0"/>
    <n v="2822"/>
    <x v="2"/>
    <n v="3269"/>
    <n v="85.8"/>
    <n v="112.07"/>
    <s v="2025-04-07"/>
    <s v="2027-06-10"/>
    <s v="BT78783"/>
    <x v="4"/>
    <n v="57.3"/>
  </r>
  <r>
    <x v="16"/>
    <x v="4"/>
    <n v="1380"/>
    <x v="2"/>
    <n v="4029"/>
    <n v="269.01"/>
    <n v="472.68"/>
    <s v="2024-10-31"/>
    <s v="2026-04-17"/>
    <s v="BT36031"/>
    <x v="3"/>
    <n v="208.96"/>
  </r>
  <r>
    <x v="6"/>
    <x v="3"/>
    <n v="9273"/>
    <x v="0"/>
    <n v="23571"/>
    <n v="236.24"/>
    <n v="580.03"/>
    <s v="2025-03-23"/>
    <s v="2027-03-21"/>
    <s v="BT84752"/>
    <x v="1"/>
    <n v="172.27"/>
  </r>
  <r>
    <x v="8"/>
    <x v="2"/>
    <n v="3753"/>
    <x v="0"/>
    <n v="3549"/>
    <n v="218.2"/>
    <n v="425.93"/>
    <s v="2024-05-28"/>
    <s v="2026-04-24"/>
    <s v="BT97040"/>
    <x v="3"/>
    <n v="88.52"/>
  </r>
  <r>
    <x v="15"/>
    <x v="4"/>
    <n v="8682"/>
    <x v="0"/>
    <n v="11368"/>
    <n v="38.51"/>
    <n v="94.77"/>
    <s v="2025-02-20"/>
    <s v="2026-11-16"/>
    <s v="BT78248"/>
    <x v="2"/>
    <n v="30.63"/>
  </r>
  <r>
    <x v="13"/>
    <x v="3"/>
    <n v="9976"/>
    <x v="0"/>
    <n v="4193"/>
    <n v="15.76"/>
    <n v="34.19"/>
    <s v="2024-07-11"/>
    <s v="2026-09-14"/>
    <s v="BT81576"/>
    <x v="4"/>
    <n v="10.09"/>
  </r>
  <r>
    <x v="11"/>
    <x v="1"/>
    <n v="3936"/>
    <x v="0"/>
    <n v="7263"/>
    <n v="291.66000000000003"/>
    <n v="568.70000000000005"/>
    <s v="2024-01-15"/>
    <s v="2026-01-28"/>
    <s v="BT57683"/>
    <x v="2"/>
    <n v="151.88999999999999"/>
  </r>
  <r>
    <x v="3"/>
    <x v="2"/>
    <n v="2543"/>
    <x v="2"/>
    <n v="23915"/>
    <n v="152.24"/>
    <n v="380.41"/>
    <s v="2025-02-27"/>
    <s v="2027-04-23"/>
    <s v="BT56101"/>
    <x v="3"/>
    <n v="111.33"/>
  </r>
  <r>
    <x v="18"/>
    <x v="2"/>
    <n v="6002"/>
    <x v="0"/>
    <n v="4715"/>
    <n v="278.27"/>
    <n v="499.9"/>
    <s v="2025-01-17"/>
    <s v="2026-07-17"/>
    <s v="BT82450"/>
    <x v="0"/>
    <n v="129.41"/>
  </r>
  <r>
    <x v="18"/>
    <x v="3"/>
    <n v="5169"/>
    <x v="0"/>
    <n v="22613"/>
    <n v="208.12"/>
    <n v="368.11"/>
    <s v="2024-10-17"/>
    <s v="2027-10-05"/>
    <s v="BT91313"/>
    <x v="2"/>
    <n v="166.11"/>
  </r>
  <r>
    <x v="0"/>
    <x v="0"/>
    <n v="769"/>
    <x v="1"/>
    <n v="21193"/>
    <n v="280.08999999999997"/>
    <n v="373.86"/>
    <s v="2025-09-30"/>
    <s v="2028-04-09"/>
    <s v="BT23068"/>
    <x v="1"/>
    <n v="168.43"/>
  </r>
  <r>
    <x v="14"/>
    <x v="1"/>
    <n v="7391"/>
    <x v="0"/>
    <n v="7942"/>
    <n v="70.75"/>
    <n v="126.71"/>
    <s v="2025-01-25"/>
    <s v="2026-05-22"/>
    <s v="BT35632"/>
    <x v="1"/>
    <n v="55.2"/>
  </r>
  <r>
    <x v="9"/>
    <x v="3"/>
    <n v="7265"/>
    <x v="0"/>
    <n v="22130"/>
    <n v="212.63"/>
    <n v="460.02"/>
    <s v="2024-01-08"/>
    <s v="2026-01-25"/>
    <s v="BT39351"/>
    <x v="0"/>
    <n v="109.17"/>
  </r>
  <r>
    <x v="16"/>
    <x v="1"/>
    <n v="7294"/>
    <x v="0"/>
    <n v="23062"/>
    <n v="76.260000000000005"/>
    <n v="180.75"/>
    <s v="2025-02-28"/>
    <s v="2026-04-02"/>
    <s v="BT12035"/>
    <x v="2"/>
    <n v="35.18"/>
  </r>
  <r>
    <x v="9"/>
    <x v="2"/>
    <n v="5701"/>
    <x v="0"/>
    <n v="11980"/>
    <n v="55.27"/>
    <n v="107.44"/>
    <s v="2025-03-16"/>
    <s v="2026-11-18"/>
    <s v="BT82841"/>
    <x v="1"/>
    <n v="26.37"/>
  </r>
  <r>
    <x v="19"/>
    <x v="0"/>
    <n v="9967"/>
    <x v="0"/>
    <n v="15060"/>
    <n v="43.02"/>
    <n v="87.21"/>
    <s v="2024-06-26"/>
    <s v="2026-08-12"/>
    <s v="BT51697"/>
    <x v="0"/>
    <n v="19.93"/>
  </r>
  <r>
    <x v="10"/>
    <x v="0"/>
    <n v="2569"/>
    <x v="2"/>
    <n v="17523"/>
    <n v="39.92"/>
    <n v="77.84"/>
    <s v="2025-02-05"/>
    <s v="2027-11-09"/>
    <s v="BT44108"/>
    <x v="0"/>
    <n v="18.510000000000002"/>
  </r>
  <r>
    <x v="5"/>
    <x v="4"/>
    <n v="2027"/>
    <x v="2"/>
    <n v="4056"/>
    <n v="12.56"/>
    <n v="15.26"/>
    <s v="2025-08-30"/>
    <s v="2027-02-02"/>
    <s v="BT13646"/>
    <x v="0"/>
    <n v="8.58"/>
  </r>
  <r>
    <x v="4"/>
    <x v="2"/>
    <n v="6765"/>
    <x v="0"/>
    <n v="1828"/>
    <n v="223.99"/>
    <n v="306.8"/>
    <s v="2025-04-09"/>
    <s v="2028-01-18"/>
    <s v="BT92772"/>
    <x v="3"/>
    <n v="106.31"/>
  </r>
  <r>
    <x v="10"/>
    <x v="1"/>
    <n v="3675"/>
    <x v="0"/>
    <n v="18544"/>
    <n v="252.93"/>
    <n v="542.33000000000004"/>
    <s v="2025-01-22"/>
    <s v="2026-10-15"/>
    <s v="BT96410"/>
    <x v="2"/>
    <n v="128.99"/>
  </r>
  <r>
    <x v="13"/>
    <x v="0"/>
    <n v="9992"/>
    <x v="0"/>
    <n v="4388"/>
    <n v="37.72"/>
    <n v="90.73"/>
    <s v="2024-05-05"/>
    <s v="2025-08-22"/>
    <s v="BT28590"/>
    <x v="3"/>
    <n v="19.04"/>
  </r>
  <r>
    <x v="7"/>
    <x v="0"/>
    <n v="1767"/>
    <x v="2"/>
    <n v="17195"/>
    <n v="254.16"/>
    <n v="606.55999999999995"/>
    <s v="2024-07-31"/>
    <s v="2026-09-04"/>
    <s v="BT23195"/>
    <x v="1"/>
    <n v="182.53"/>
  </r>
  <r>
    <x v="18"/>
    <x v="0"/>
    <n v="8471"/>
    <x v="0"/>
    <n v="21502"/>
    <n v="27.51"/>
    <n v="57.59"/>
    <s v="2025-01-19"/>
    <s v="2026-12-06"/>
    <s v="BT93040"/>
    <x v="1"/>
    <n v="19.899999999999999"/>
  </r>
  <r>
    <x v="7"/>
    <x v="1"/>
    <n v="666"/>
    <x v="1"/>
    <n v="6854"/>
    <n v="199.6"/>
    <n v="403.31"/>
    <s v="2024-02-02"/>
    <s v="2025-06-01"/>
    <s v="BT54932"/>
    <x v="3"/>
    <n v="118.48"/>
  </r>
  <r>
    <x v="17"/>
    <x v="2"/>
    <n v="9453"/>
    <x v="0"/>
    <n v="1164"/>
    <n v="51.72"/>
    <n v="111.93"/>
    <s v="2024-05-04"/>
    <s v="2025-11-17"/>
    <s v="BT89444"/>
    <x v="2"/>
    <n v="31.78"/>
  </r>
  <r>
    <x v="12"/>
    <x v="2"/>
    <n v="2996"/>
    <x v="2"/>
    <n v="8087"/>
    <n v="260.73"/>
    <n v="351.78"/>
    <s v="2024-08-10"/>
    <s v="2025-09-09"/>
    <s v="BT52931"/>
    <x v="4"/>
    <n v="127.21"/>
  </r>
  <r>
    <x v="13"/>
    <x v="1"/>
    <n v="4983"/>
    <x v="0"/>
    <n v="16780"/>
    <n v="63.78"/>
    <n v="84.16"/>
    <s v="2025-07-18"/>
    <s v="2028-05-15"/>
    <s v="BT48577"/>
    <x v="1"/>
    <n v="44.52"/>
  </r>
  <r>
    <x v="6"/>
    <x v="3"/>
    <n v="8899"/>
    <x v="0"/>
    <n v="14105"/>
    <n v="277.08999999999997"/>
    <n v="422.6"/>
    <s v="2024-07-21"/>
    <s v="2027-06-24"/>
    <s v="BT46842"/>
    <x v="1"/>
    <n v="122.24"/>
  </r>
  <r>
    <x v="2"/>
    <x v="1"/>
    <n v="3214"/>
    <x v="0"/>
    <n v="7744"/>
    <n v="286.36"/>
    <n v="525.24"/>
    <s v="2025-04-01"/>
    <s v="2027-06-08"/>
    <s v="BT88162"/>
    <x v="3"/>
    <n v="208"/>
  </r>
  <r>
    <x v="17"/>
    <x v="0"/>
    <n v="6775"/>
    <x v="0"/>
    <n v="15067"/>
    <n v="63.92"/>
    <n v="106.03"/>
    <s v="2025-10-09"/>
    <s v="2026-12-13"/>
    <s v="BT68904"/>
    <x v="4"/>
    <n v="48.31"/>
  </r>
  <r>
    <x v="12"/>
    <x v="1"/>
    <n v="7214"/>
    <x v="0"/>
    <n v="10616"/>
    <n v="183.15"/>
    <n v="428.65"/>
    <s v="2025-06-27"/>
    <s v="2027-06-22"/>
    <s v="BT62206"/>
    <x v="2"/>
    <n v="81.66"/>
  </r>
  <r>
    <x v="5"/>
    <x v="3"/>
    <n v="3546"/>
    <x v="0"/>
    <n v="12722"/>
    <n v="77.37"/>
    <n v="114.49"/>
    <s v="2025-01-15"/>
    <s v="2027-01-30"/>
    <s v="BT29010"/>
    <x v="3"/>
    <n v="34.729999999999997"/>
  </r>
  <r>
    <x v="5"/>
    <x v="0"/>
    <n v="5888"/>
    <x v="0"/>
    <n v="8004"/>
    <n v="142.29"/>
    <n v="317.85000000000002"/>
    <s v="2024-08-26"/>
    <s v="2027-03-24"/>
    <s v="BT18681"/>
    <x v="1"/>
    <n v="73.06"/>
  </r>
  <r>
    <x v="11"/>
    <x v="2"/>
    <n v="4062"/>
    <x v="0"/>
    <n v="4372"/>
    <n v="170.48"/>
    <n v="363.32"/>
    <s v="2025-11-18"/>
    <s v="2027-02-02"/>
    <s v="BT85228"/>
    <x v="1"/>
    <n v="114.71"/>
  </r>
  <r>
    <x v="18"/>
    <x v="1"/>
    <n v="5744"/>
    <x v="0"/>
    <n v="7492"/>
    <n v="63.15"/>
    <n v="141.68"/>
    <s v="2025-05-25"/>
    <s v="2026-07-11"/>
    <s v="BT45968"/>
    <x v="1"/>
    <n v="28.27"/>
  </r>
  <r>
    <x v="15"/>
    <x v="4"/>
    <n v="5855"/>
    <x v="0"/>
    <n v="20371"/>
    <n v="117.94"/>
    <n v="229.9"/>
    <s v="2024-10-18"/>
    <s v="2025-11-05"/>
    <s v="BT94366"/>
    <x v="0"/>
    <n v="93.78"/>
  </r>
  <r>
    <x v="15"/>
    <x v="1"/>
    <n v="2647"/>
    <x v="2"/>
    <n v="14199"/>
    <n v="15.92"/>
    <n v="30.14"/>
    <s v="2025-06-24"/>
    <s v="2026-08-03"/>
    <s v="BT54222"/>
    <x v="2"/>
    <n v="6.81"/>
  </r>
  <r>
    <x v="0"/>
    <x v="3"/>
    <n v="5431"/>
    <x v="0"/>
    <n v="10000"/>
    <n v="98.57"/>
    <n v="162.6"/>
    <s v="2024-03-22"/>
    <s v="2026-10-12"/>
    <s v="BT51048"/>
    <x v="1"/>
    <n v="63.57"/>
  </r>
  <r>
    <x v="19"/>
    <x v="1"/>
    <n v="7947"/>
    <x v="0"/>
    <n v="17165"/>
    <n v="255.36"/>
    <n v="627.5"/>
    <s v="2024-05-04"/>
    <s v="2026-05-21"/>
    <s v="BT90999"/>
    <x v="2"/>
    <n v="105.14"/>
  </r>
  <r>
    <x v="14"/>
    <x v="0"/>
    <n v="2773"/>
    <x v="2"/>
    <n v="4445"/>
    <n v="298.08999999999997"/>
    <n v="691.51"/>
    <s v="2025-03-22"/>
    <s v="2026-11-08"/>
    <s v="BT32307"/>
    <x v="2"/>
    <n v="142.03"/>
  </r>
  <r>
    <x v="9"/>
    <x v="2"/>
    <n v="580"/>
    <x v="1"/>
    <n v="23552"/>
    <n v="261.06"/>
    <n v="401.4"/>
    <s v="2024-02-14"/>
    <s v="2025-06-06"/>
    <s v="BT16291"/>
    <x v="3"/>
    <n v="112.26"/>
  </r>
  <r>
    <x v="5"/>
    <x v="2"/>
    <n v="6718"/>
    <x v="0"/>
    <n v="9844"/>
    <n v="211.11"/>
    <n v="507.15"/>
    <s v="2025-08-20"/>
    <s v="2027-12-04"/>
    <s v="BT25715"/>
    <x v="4"/>
    <n v="111.41"/>
  </r>
  <r>
    <x v="13"/>
    <x v="2"/>
    <n v="7271"/>
    <x v="0"/>
    <n v="21870"/>
    <n v="136.80000000000001"/>
    <n v="185.92"/>
    <s v="2025-06-24"/>
    <s v="2027-02-25"/>
    <s v="BT85744"/>
    <x v="1"/>
    <n v="90.9"/>
  </r>
  <r>
    <x v="16"/>
    <x v="1"/>
    <n v="8408"/>
    <x v="0"/>
    <n v="8400"/>
    <n v="32.08"/>
    <n v="70.45"/>
    <s v="2024-03-25"/>
    <s v="2026-03-21"/>
    <s v="BT83205"/>
    <x v="4"/>
    <n v="21.29"/>
  </r>
  <r>
    <x v="11"/>
    <x v="0"/>
    <n v="1731"/>
    <x v="2"/>
    <n v="17207"/>
    <n v="22.78"/>
    <n v="27.72"/>
    <s v="2024-08-09"/>
    <s v="2026-12-01"/>
    <s v="BT60470"/>
    <x v="4"/>
    <n v="13.56"/>
  </r>
  <r>
    <x v="5"/>
    <x v="4"/>
    <n v="9144"/>
    <x v="0"/>
    <n v="17840"/>
    <n v="258.25"/>
    <n v="565.21"/>
    <s v="2024-11-15"/>
    <s v="2027-11-10"/>
    <s v="BT69509"/>
    <x v="4"/>
    <n v="190.88"/>
  </r>
  <r>
    <x v="0"/>
    <x v="4"/>
    <n v="4084"/>
    <x v="0"/>
    <n v="12915"/>
    <n v="118.74"/>
    <n v="212.33"/>
    <s v="2025-09-27"/>
    <s v="2028-03-05"/>
    <s v="BT36610"/>
    <x v="1"/>
    <n v="56.42"/>
  </r>
  <r>
    <x v="16"/>
    <x v="3"/>
    <n v="3190"/>
    <x v="0"/>
    <n v="23487"/>
    <n v="95.61"/>
    <n v="222.85"/>
    <s v="2025-10-25"/>
    <s v="2027-02-06"/>
    <s v="BT29305"/>
    <x v="1"/>
    <n v="71.75"/>
  </r>
  <r>
    <x v="0"/>
    <x v="4"/>
    <n v="771"/>
    <x v="1"/>
    <n v="16101"/>
    <n v="60.17"/>
    <n v="74.44"/>
    <s v="2025-11-08"/>
    <s v="2028-05-04"/>
    <s v="BT69328"/>
    <x v="3"/>
    <n v="30.46"/>
  </r>
  <r>
    <x v="8"/>
    <x v="0"/>
    <n v="6306"/>
    <x v="0"/>
    <n v="15138"/>
    <n v="67.56"/>
    <n v="115.93"/>
    <s v="2025-03-17"/>
    <s v="2027-08-19"/>
    <s v="BT53743"/>
    <x v="2"/>
    <n v="38.950000000000003"/>
  </r>
  <r>
    <x v="9"/>
    <x v="0"/>
    <n v="1305"/>
    <x v="2"/>
    <n v="22254"/>
    <n v="117.84"/>
    <n v="283.57"/>
    <s v="2024-07-17"/>
    <s v="2026-05-14"/>
    <s v="BT34831"/>
    <x v="1"/>
    <n v="55.46"/>
  </r>
  <r>
    <x v="16"/>
    <x v="2"/>
    <n v="8587"/>
    <x v="0"/>
    <n v="17994"/>
    <n v="132.9"/>
    <n v="277.16000000000003"/>
    <s v="2025-10-23"/>
    <s v="2027-07-04"/>
    <s v="BT24559"/>
    <x v="4"/>
    <n v="59.28"/>
  </r>
  <r>
    <x v="14"/>
    <x v="2"/>
    <n v="4861"/>
    <x v="0"/>
    <n v="8823"/>
    <n v="24.42"/>
    <n v="32.51"/>
    <s v="2024-08-19"/>
    <s v="2027-05-16"/>
    <s v="BT63026"/>
    <x v="1"/>
    <n v="13.61"/>
  </r>
  <r>
    <x v="10"/>
    <x v="1"/>
    <n v="8612"/>
    <x v="0"/>
    <n v="7740"/>
    <n v="55.45"/>
    <n v="81.209999999999994"/>
    <s v="2025-10-14"/>
    <s v="2027-08-04"/>
    <s v="BT88159"/>
    <x v="3"/>
    <n v="38.46"/>
  </r>
  <r>
    <x v="0"/>
    <x v="4"/>
    <n v="8745"/>
    <x v="0"/>
    <n v="23953"/>
    <n v="188.52"/>
    <n v="407.36"/>
    <s v="2024-09-01"/>
    <s v="2026-02-22"/>
    <s v="BT51302"/>
    <x v="2"/>
    <n v="87.97"/>
  </r>
  <r>
    <x v="5"/>
    <x v="3"/>
    <n v="2823"/>
    <x v="2"/>
    <n v="1417"/>
    <n v="201.48"/>
    <n v="353.86"/>
    <s v="2024-01-22"/>
    <s v="2025-07-21"/>
    <s v="BT44581"/>
    <x v="2"/>
    <n v="94.35"/>
  </r>
  <r>
    <x v="1"/>
    <x v="2"/>
    <n v="6269"/>
    <x v="0"/>
    <n v="16526"/>
    <n v="177.03"/>
    <n v="324.81"/>
    <s v="2024-09-10"/>
    <s v="2027-01-06"/>
    <s v="BT24337"/>
    <x v="2"/>
    <n v="128.80000000000001"/>
  </r>
  <r>
    <x v="2"/>
    <x v="1"/>
    <n v="4240"/>
    <x v="0"/>
    <n v="18212"/>
    <n v="153.43"/>
    <n v="334.71"/>
    <s v="2024-04-06"/>
    <s v="2025-07-17"/>
    <s v="BT49924"/>
    <x v="3"/>
    <n v="89.15"/>
  </r>
  <r>
    <x v="9"/>
    <x v="2"/>
    <n v="4716"/>
    <x v="0"/>
    <n v="22738"/>
    <n v="148.52000000000001"/>
    <n v="248.56"/>
    <s v="2024-01-14"/>
    <s v="2026-01-09"/>
    <s v="BT49470"/>
    <x v="3"/>
    <n v="112.36"/>
  </r>
  <r>
    <x v="17"/>
    <x v="3"/>
    <n v="2347"/>
    <x v="2"/>
    <n v="9845"/>
    <n v="207.31"/>
    <n v="445.03"/>
    <s v="2024-01-22"/>
    <s v="2025-06-21"/>
    <s v="BT63781"/>
    <x v="4"/>
    <n v="137.6"/>
  </r>
  <r>
    <x v="13"/>
    <x v="1"/>
    <n v="8656"/>
    <x v="0"/>
    <n v="2012"/>
    <n v="77.09"/>
    <n v="166.77"/>
    <s v="2025-03-17"/>
    <s v="2027-03-20"/>
    <s v="BT37041"/>
    <x v="2"/>
    <n v="36.81"/>
  </r>
  <r>
    <x v="19"/>
    <x v="0"/>
    <n v="4987"/>
    <x v="0"/>
    <n v="21541"/>
    <n v="205.25"/>
    <n v="486.23"/>
    <s v="2025-04-05"/>
    <s v="2027-09-26"/>
    <s v="BT32931"/>
    <x v="3"/>
    <n v="156.84"/>
  </r>
  <r>
    <x v="9"/>
    <x v="1"/>
    <n v="6906"/>
    <x v="0"/>
    <n v="20305"/>
    <n v="128.1"/>
    <n v="319.24"/>
    <s v="2024-11-12"/>
    <s v="2026-05-26"/>
    <s v="BT15387"/>
    <x v="0"/>
    <n v="77.89"/>
  </r>
  <r>
    <x v="5"/>
    <x v="2"/>
    <n v="2514"/>
    <x v="2"/>
    <n v="15203"/>
    <n v="239.62"/>
    <n v="464.06"/>
    <s v="2024-12-21"/>
    <s v="2026-10-12"/>
    <s v="BT24442"/>
    <x v="2"/>
    <n v="143.66999999999999"/>
  </r>
  <r>
    <x v="13"/>
    <x v="3"/>
    <n v="2961"/>
    <x v="2"/>
    <n v="18143"/>
    <n v="290.17"/>
    <n v="583.51"/>
    <s v="2025-11-11"/>
    <s v="2027-04-26"/>
    <s v="BT49799"/>
    <x v="1"/>
    <n v="149.53"/>
  </r>
  <r>
    <x v="3"/>
    <x v="0"/>
    <n v="7936"/>
    <x v="0"/>
    <n v="2341"/>
    <n v="69.11"/>
    <n v="157.09"/>
    <s v="2024-05-06"/>
    <s v="2025-06-29"/>
    <s v="BT74011"/>
    <x v="3"/>
    <n v="27.78"/>
  </r>
  <r>
    <x v="9"/>
    <x v="0"/>
    <n v="1317"/>
    <x v="2"/>
    <n v="9238"/>
    <n v="45.63"/>
    <n v="106.88"/>
    <s v="2025-05-29"/>
    <s v="2028-04-09"/>
    <s v="BT83498"/>
    <x v="4"/>
    <n v="35.659999999999997"/>
  </r>
  <r>
    <x v="16"/>
    <x v="4"/>
    <n v="3723"/>
    <x v="0"/>
    <n v="15157"/>
    <n v="177.64"/>
    <n v="231.81"/>
    <s v="2024-08-12"/>
    <s v="2025-09-13"/>
    <s v="BT72020"/>
    <x v="3"/>
    <n v="88.73"/>
  </r>
  <r>
    <x v="19"/>
    <x v="3"/>
    <n v="7039"/>
    <x v="0"/>
    <n v="4215"/>
    <n v="268.44"/>
    <n v="643.25"/>
    <s v="2025-09-03"/>
    <s v="2027-07-18"/>
    <s v="BT32715"/>
    <x v="0"/>
    <n v="154.16999999999999"/>
  </r>
  <r>
    <x v="5"/>
    <x v="2"/>
    <n v="2780"/>
    <x v="2"/>
    <n v="23391"/>
    <n v="231.46"/>
    <n v="352.98"/>
    <s v="2025-03-02"/>
    <s v="2027-09-20"/>
    <s v="BT36151"/>
    <x v="3"/>
    <n v="120.82"/>
  </r>
  <r>
    <x v="3"/>
    <x v="2"/>
    <n v="8055"/>
    <x v="0"/>
    <n v="18885"/>
    <n v="59.09"/>
    <n v="131.01"/>
    <s v="2025-03-23"/>
    <s v="2026-06-29"/>
    <s v="BT28167"/>
    <x v="0"/>
    <n v="34.08"/>
  </r>
  <r>
    <x v="5"/>
    <x v="2"/>
    <n v="6358"/>
    <x v="0"/>
    <n v="16347"/>
    <n v="109.49"/>
    <n v="197.8"/>
    <s v="2025-02-24"/>
    <s v="2027-06-11"/>
    <s v="BT13627"/>
    <x v="0"/>
    <n v="44.95"/>
  </r>
  <r>
    <x v="18"/>
    <x v="0"/>
    <n v="2803"/>
    <x v="2"/>
    <n v="21159"/>
    <n v="272.52"/>
    <n v="605.71"/>
    <s v="2025-08-17"/>
    <s v="2028-01-23"/>
    <s v="BT58904"/>
    <x v="4"/>
    <n v="176.69"/>
  </r>
  <r>
    <x v="2"/>
    <x v="1"/>
    <n v="1377"/>
    <x v="2"/>
    <n v="13866"/>
    <n v="42.15"/>
    <n v="87.3"/>
    <s v="2025-04-18"/>
    <s v="2027-09-30"/>
    <s v="BT70322"/>
    <x v="2"/>
    <n v="18.29"/>
  </r>
  <r>
    <x v="16"/>
    <x v="0"/>
    <n v="5963"/>
    <x v="0"/>
    <n v="20475"/>
    <n v="33.729999999999997"/>
    <n v="53.22"/>
    <s v="2025-05-08"/>
    <s v="2028-04-14"/>
    <s v="BT53425"/>
    <x v="2"/>
    <n v="15.13"/>
  </r>
  <r>
    <x v="2"/>
    <x v="2"/>
    <n v="1368"/>
    <x v="2"/>
    <n v="23989"/>
    <n v="65.489999999999995"/>
    <n v="90.86"/>
    <s v="2025-05-22"/>
    <s v="2026-10-08"/>
    <s v="BT39300"/>
    <x v="4"/>
    <n v="34.08"/>
  </r>
  <r>
    <x v="3"/>
    <x v="0"/>
    <n v="8445"/>
    <x v="0"/>
    <n v="21436"/>
    <n v="207.89"/>
    <n v="280.47000000000003"/>
    <s v="2024-01-01"/>
    <s v="2025-06-05"/>
    <s v="BT89140"/>
    <x v="2"/>
    <n v="126.38"/>
  </r>
  <r>
    <x v="10"/>
    <x v="4"/>
    <n v="2197"/>
    <x v="2"/>
    <n v="16523"/>
    <n v="12.27"/>
    <n v="22.79"/>
    <s v="2025-02-04"/>
    <s v="2026-04-01"/>
    <s v="BT25966"/>
    <x v="3"/>
    <n v="6.89"/>
  </r>
  <r>
    <x v="7"/>
    <x v="4"/>
    <n v="9457"/>
    <x v="0"/>
    <n v="9528"/>
    <n v="247.4"/>
    <n v="516.01"/>
    <s v="2025-11-04"/>
    <s v="2028-07-27"/>
    <s v="BT26147"/>
    <x v="1"/>
    <n v="113.43"/>
  </r>
  <r>
    <x v="1"/>
    <x v="4"/>
    <n v="2821"/>
    <x v="2"/>
    <n v="22543"/>
    <n v="76"/>
    <n v="141.74"/>
    <s v="2025-07-13"/>
    <s v="2027-02-03"/>
    <s v="BT72411"/>
    <x v="1"/>
    <n v="39.22"/>
  </r>
  <r>
    <x v="0"/>
    <x v="2"/>
    <n v="8576"/>
    <x v="0"/>
    <n v="13036"/>
    <n v="201.97"/>
    <n v="345.08"/>
    <s v="2024-04-19"/>
    <s v="2026-08-07"/>
    <s v="BT64643"/>
    <x v="1"/>
    <n v="92.76"/>
  </r>
  <r>
    <x v="3"/>
    <x v="3"/>
    <n v="2468"/>
    <x v="2"/>
    <n v="19488"/>
    <n v="119.88"/>
    <n v="234.33"/>
    <s v="2024-02-04"/>
    <s v="2026-11-25"/>
    <s v="BT95252"/>
    <x v="0"/>
    <n v="69.27"/>
  </r>
  <r>
    <x v="9"/>
    <x v="4"/>
    <n v="8166"/>
    <x v="0"/>
    <n v="24693"/>
    <n v="140.21"/>
    <n v="169.91"/>
    <s v="2024-06-11"/>
    <s v="2026-06-12"/>
    <s v="BT75619"/>
    <x v="0"/>
    <n v="67.91"/>
  </r>
  <r>
    <x v="12"/>
    <x v="3"/>
    <n v="8905"/>
    <x v="0"/>
    <n v="3056"/>
    <n v="56.48"/>
    <n v="78.89"/>
    <s v="2025-11-02"/>
    <s v="2028-05-31"/>
    <s v="BT54471"/>
    <x v="1"/>
    <n v="38.75"/>
  </r>
  <r>
    <x v="13"/>
    <x v="1"/>
    <n v="5463"/>
    <x v="0"/>
    <n v="13908"/>
    <n v="25.12"/>
    <n v="57.55"/>
    <s v="2025-05-10"/>
    <s v="2027-05-30"/>
    <s v="BT71833"/>
    <x v="0"/>
    <n v="16.670000000000002"/>
  </r>
  <r>
    <x v="2"/>
    <x v="2"/>
    <n v="9108"/>
    <x v="0"/>
    <n v="9494"/>
    <n v="43.18"/>
    <n v="70.010000000000005"/>
    <s v="2025-08-17"/>
    <s v="2027-08-08"/>
    <s v="BT86610"/>
    <x v="0"/>
    <n v="31.61"/>
  </r>
  <r>
    <x v="4"/>
    <x v="0"/>
    <n v="983"/>
    <x v="1"/>
    <n v="6215"/>
    <n v="73.349999999999994"/>
    <n v="151.46"/>
    <s v="2025-05-26"/>
    <s v="2028-04-20"/>
    <s v="BT72444"/>
    <x v="3"/>
    <n v="51.64"/>
  </r>
  <r>
    <x v="10"/>
    <x v="0"/>
    <n v="3350"/>
    <x v="0"/>
    <n v="24860"/>
    <n v="268.27999999999997"/>
    <n v="585.54"/>
    <s v="2025-03-06"/>
    <s v="2026-05-10"/>
    <s v="BT18116"/>
    <x v="0"/>
    <n v="134.19"/>
  </r>
  <r>
    <x v="14"/>
    <x v="0"/>
    <n v="7734"/>
    <x v="0"/>
    <n v="13265"/>
    <n v="183.93"/>
    <n v="421.73"/>
    <s v="2024-06-27"/>
    <s v="2026-05-21"/>
    <s v="BT24111"/>
    <x v="1"/>
    <n v="101.35"/>
  </r>
  <r>
    <x v="2"/>
    <x v="2"/>
    <n v="3772"/>
    <x v="0"/>
    <n v="7413"/>
    <n v="79.489999999999995"/>
    <n v="140.6"/>
    <s v="2024-10-19"/>
    <s v="2026-06-06"/>
    <s v="BT36370"/>
    <x v="4"/>
    <n v="45.6"/>
  </r>
  <r>
    <x v="12"/>
    <x v="4"/>
    <n v="1909"/>
    <x v="2"/>
    <n v="20074"/>
    <n v="12.15"/>
    <n v="29.74"/>
    <s v="2024-04-08"/>
    <s v="2025-11-02"/>
    <s v="BT14356"/>
    <x v="4"/>
    <n v="9.1999999999999993"/>
  </r>
  <r>
    <x v="9"/>
    <x v="3"/>
    <n v="9810"/>
    <x v="0"/>
    <n v="18910"/>
    <n v="260.02"/>
    <n v="427.19"/>
    <s v="2025-11-29"/>
    <s v="2028-09-16"/>
    <s v="BT79226"/>
    <x v="1"/>
    <n v="123.78"/>
  </r>
  <r>
    <x v="11"/>
    <x v="2"/>
    <n v="8261"/>
    <x v="0"/>
    <n v="17411"/>
    <n v="108.87"/>
    <n v="218.18"/>
    <s v="2025-07-26"/>
    <s v="2026-12-14"/>
    <s v="BT18802"/>
    <x v="1"/>
    <n v="62.17"/>
  </r>
  <r>
    <x v="19"/>
    <x v="0"/>
    <n v="9824"/>
    <x v="0"/>
    <n v="3560"/>
    <n v="42.52"/>
    <n v="79.62"/>
    <s v="2024-04-13"/>
    <s v="2025-08-11"/>
    <s v="BT75367"/>
    <x v="4"/>
    <n v="17.88"/>
  </r>
  <r>
    <x v="8"/>
    <x v="1"/>
    <n v="869"/>
    <x v="1"/>
    <n v="8340"/>
    <n v="247.29"/>
    <n v="389.94"/>
    <s v="2024-09-14"/>
    <s v="2026-10-18"/>
    <s v="BT56911"/>
    <x v="2"/>
    <n v="185.21"/>
  </r>
  <r>
    <x v="7"/>
    <x v="1"/>
    <n v="1725"/>
    <x v="2"/>
    <n v="18511"/>
    <n v="174.73"/>
    <n v="403.48"/>
    <s v="2025-09-17"/>
    <s v="2028-02-11"/>
    <s v="BT50925"/>
    <x v="1"/>
    <n v="113.13"/>
  </r>
  <r>
    <x v="8"/>
    <x v="0"/>
    <n v="8216"/>
    <x v="0"/>
    <n v="9619"/>
    <n v="197.7"/>
    <n v="245.53"/>
    <s v="2025-03-07"/>
    <s v="2026-11-29"/>
    <s v="BT36281"/>
    <x v="3"/>
    <n v="149.31"/>
  </r>
  <r>
    <x v="14"/>
    <x v="4"/>
    <n v="3846"/>
    <x v="0"/>
    <n v="18926"/>
    <n v="245.94"/>
    <n v="400.51"/>
    <s v="2025-11-10"/>
    <s v="2027-01-12"/>
    <s v="BT40882"/>
    <x v="1"/>
    <n v="105.55"/>
  </r>
  <r>
    <x v="2"/>
    <x v="2"/>
    <n v="1079"/>
    <x v="2"/>
    <n v="12332"/>
    <n v="294.41000000000003"/>
    <n v="716.85"/>
    <s v="2025-09-04"/>
    <s v="2028-05-23"/>
    <s v="BT20563"/>
    <x v="0"/>
    <n v="174.15"/>
  </r>
  <r>
    <x v="13"/>
    <x v="1"/>
    <n v="1183"/>
    <x v="2"/>
    <n v="4409"/>
    <n v="15.5"/>
    <n v="28.83"/>
    <s v="2025-10-27"/>
    <s v="2027-10-20"/>
    <s v="BT66559"/>
    <x v="1"/>
    <n v="8.08"/>
  </r>
  <r>
    <x v="10"/>
    <x v="0"/>
    <n v="1406"/>
    <x v="2"/>
    <n v="1863"/>
    <n v="233.22"/>
    <n v="525.86"/>
    <s v="2025-07-01"/>
    <s v="2028-03-14"/>
    <s v="BT59727"/>
    <x v="2"/>
    <n v="144.83000000000001"/>
  </r>
  <r>
    <x v="14"/>
    <x v="3"/>
    <n v="6680"/>
    <x v="0"/>
    <n v="23788"/>
    <n v="41.95"/>
    <n v="88.59"/>
    <s v="2025-07-16"/>
    <s v="2026-12-04"/>
    <s v="BT25149"/>
    <x v="1"/>
    <n v="18.760000000000002"/>
  </r>
  <r>
    <x v="17"/>
    <x v="1"/>
    <n v="6263"/>
    <x v="0"/>
    <n v="7345"/>
    <n v="106.22"/>
    <n v="254.24"/>
    <s v="2024-08-31"/>
    <s v="2026-04-25"/>
    <s v="BT22057"/>
    <x v="0"/>
    <n v="42.91"/>
  </r>
  <r>
    <x v="18"/>
    <x v="2"/>
    <n v="9806"/>
    <x v="0"/>
    <n v="2500"/>
    <n v="297.33"/>
    <n v="362.55"/>
    <s v="2024-09-12"/>
    <s v="2025-11-09"/>
    <s v="BT20041"/>
    <x v="2"/>
    <n v="134"/>
  </r>
  <r>
    <x v="7"/>
    <x v="1"/>
    <n v="1216"/>
    <x v="2"/>
    <n v="11293"/>
    <n v="108.15"/>
    <n v="221.9"/>
    <s v="2024-09-07"/>
    <s v="2026-07-03"/>
    <s v="BT27002"/>
    <x v="0"/>
    <n v="60.47"/>
  </r>
  <r>
    <x v="0"/>
    <x v="0"/>
    <n v="1751"/>
    <x v="2"/>
    <n v="9198"/>
    <n v="281.82"/>
    <n v="413.6"/>
    <s v="2024-12-31"/>
    <s v="2026-08-13"/>
    <s v="BT68135"/>
    <x v="3"/>
    <n v="218.85"/>
  </r>
  <r>
    <x v="8"/>
    <x v="1"/>
    <n v="4501"/>
    <x v="0"/>
    <n v="18263"/>
    <n v="268.43"/>
    <n v="433.38"/>
    <s v="2025-07-08"/>
    <s v="2027-12-05"/>
    <s v="BT23681"/>
    <x v="2"/>
    <n v="144.59"/>
  </r>
  <r>
    <x v="18"/>
    <x v="2"/>
    <n v="8466"/>
    <x v="0"/>
    <n v="10167"/>
    <n v="28.14"/>
    <n v="67.13"/>
    <s v="2025-06-17"/>
    <s v="2027-02-08"/>
    <s v="BT49968"/>
    <x v="0"/>
    <n v="13.63"/>
  </r>
  <r>
    <x v="9"/>
    <x v="4"/>
    <n v="1087"/>
    <x v="2"/>
    <n v="8703"/>
    <n v="211.01"/>
    <n v="431.49"/>
    <s v="2025-04-09"/>
    <s v="2026-08-03"/>
    <s v="BT12790"/>
    <x v="1"/>
    <n v="154.99"/>
  </r>
  <r>
    <x v="16"/>
    <x v="1"/>
    <n v="6794"/>
    <x v="0"/>
    <n v="10843"/>
    <n v="249.02"/>
    <n v="326.18"/>
    <s v="2024-10-12"/>
    <s v="2027-06-28"/>
    <s v="BT60323"/>
    <x v="1"/>
    <n v="101.49"/>
  </r>
  <r>
    <x v="19"/>
    <x v="3"/>
    <n v="7774"/>
    <x v="0"/>
    <n v="2455"/>
    <n v="71.209999999999994"/>
    <n v="120.57"/>
    <s v="2025-11-06"/>
    <s v="2028-01-21"/>
    <s v="BT79794"/>
    <x v="2"/>
    <n v="47.29"/>
  </r>
  <r>
    <x v="14"/>
    <x v="2"/>
    <n v="6198"/>
    <x v="0"/>
    <n v="1851"/>
    <n v="273.47000000000003"/>
    <n v="596.39"/>
    <s v="2024-12-10"/>
    <s v="2026-09-04"/>
    <s v="BT87458"/>
    <x v="4"/>
    <n v="192.22"/>
  </r>
  <r>
    <x v="5"/>
    <x v="2"/>
    <n v="7611"/>
    <x v="0"/>
    <n v="15009"/>
    <n v="235.87"/>
    <n v="567.77"/>
    <s v="2024-02-28"/>
    <s v="2025-06-18"/>
    <s v="BT82521"/>
    <x v="1"/>
    <n v="184.21"/>
  </r>
  <r>
    <x v="3"/>
    <x v="2"/>
    <n v="8094"/>
    <x v="0"/>
    <n v="14888"/>
    <n v="173.92"/>
    <n v="337.2"/>
    <s v="2025-06-15"/>
    <s v="2027-03-08"/>
    <s v="BT31305"/>
    <x v="1"/>
    <n v="102.08"/>
  </r>
  <r>
    <x v="10"/>
    <x v="4"/>
    <n v="748"/>
    <x v="1"/>
    <n v="10197"/>
    <n v="240.88"/>
    <n v="586.85"/>
    <s v="2024-03-28"/>
    <s v="2025-12-08"/>
    <s v="BT81146"/>
    <x v="3"/>
    <n v="128.87"/>
  </r>
  <r>
    <x v="19"/>
    <x v="0"/>
    <n v="4993"/>
    <x v="0"/>
    <n v="12852"/>
    <n v="84.28"/>
    <n v="128.58000000000001"/>
    <s v="2025-10-30"/>
    <s v="2028-07-13"/>
    <s v="BT11617"/>
    <x v="2"/>
    <n v="44.06"/>
  </r>
  <r>
    <x v="5"/>
    <x v="1"/>
    <n v="3429"/>
    <x v="0"/>
    <n v="15542"/>
    <n v="141.5"/>
    <n v="250.72"/>
    <s v="2025-04-22"/>
    <s v="2026-05-29"/>
    <s v="BT57018"/>
    <x v="1"/>
    <n v="92.7"/>
  </r>
  <r>
    <x v="8"/>
    <x v="4"/>
    <n v="7194"/>
    <x v="0"/>
    <n v="2919"/>
    <n v="175.97"/>
    <n v="229.36"/>
    <s v="2025-09-16"/>
    <s v="2028-04-02"/>
    <s v="BT51160"/>
    <x v="2"/>
    <n v="101.39"/>
  </r>
  <r>
    <x v="16"/>
    <x v="1"/>
    <n v="4752"/>
    <x v="0"/>
    <n v="17217"/>
    <n v="42.53"/>
    <n v="85.89"/>
    <s v="2024-05-30"/>
    <s v="2027-02-21"/>
    <s v="BT95980"/>
    <x v="2"/>
    <n v="20.97"/>
  </r>
  <r>
    <x v="14"/>
    <x v="4"/>
    <n v="8802"/>
    <x v="0"/>
    <n v="15428"/>
    <n v="176.07"/>
    <n v="220.89"/>
    <s v="2024-08-21"/>
    <s v="2025-10-22"/>
    <s v="BT43954"/>
    <x v="3"/>
    <n v="71.56"/>
  </r>
  <r>
    <x v="9"/>
    <x v="2"/>
    <n v="1232"/>
    <x v="2"/>
    <n v="20679"/>
    <n v="74.239999999999995"/>
    <n v="99.62"/>
    <s v="2025-06-03"/>
    <s v="2027-08-31"/>
    <s v="BT24835"/>
    <x v="0"/>
    <n v="32"/>
  </r>
  <r>
    <x v="11"/>
    <x v="1"/>
    <n v="9844"/>
    <x v="0"/>
    <n v="13168"/>
    <n v="249.6"/>
    <n v="520.5"/>
    <s v="2024-03-14"/>
    <s v="2026-12-31"/>
    <s v="BT65898"/>
    <x v="3"/>
    <n v="114.13"/>
  </r>
  <r>
    <x v="5"/>
    <x v="2"/>
    <n v="6402"/>
    <x v="0"/>
    <n v="11976"/>
    <n v="292.64999999999998"/>
    <n v="692.59"/>
    <s v="2025-01-18"/>
    <s v="2027-05-14"/>
    <s v="BT48543"/>
    <x v="0"/>
    <n v="120.71"/>
  </r>
  <r>
    <x v="9"/>
    <x v="0"/>
    <n v="5265"/>
    <x v="0"/>
    <n v="5917"/>
    <n v="274"/>
    <n v="337.9"/>
    <s v="2025-09-15"/>
    <s v="2027-04-19"/>
    <s v="BT51039"/>
    <x v="0"/>
    <n v="188.05"/>
  </r>
  <r>
    <x v="12"/>
    <x v="2"/>
    <n v="6136"/>
    <x v="0"/>
    <n v="8040"/>
    <n v="116.76"/>
    <n v="228.56"/>
    <s v="2025-11-03"/>
    <s v="2027-04-05"/>
    <s v="BT59950"/>
    <x v="2"/>
    <n v="91.31"/>
  </r>
  <r>
    <x v="10"/>
    <x v="2"/>
    <n v="8749"/>
    <x v="0"/>
    <n v="19823"/>
    <n v="190.95"/>
    <n v="411.33"/>
    <s v="2025-07-05"/>
    <s v="2026-11-06"/>
    <s v="BT79174"/>
    <x v="2"/>
    <n v="122.75"/>
  </r>
  <r>
    <x v="12"/>
    <x v="2"/>
    <n v="7725"/>
    <x v="0"/>
    <n v="11385"/>
    <n v="84.41"/>
    <n v="193.03"/>
    <s v="2024-10-27"/>
    <s v="2026-07-03"/>
    <s v="BT53081"/>
    <x v="4"/>
    <n v="60.74"/>
  </r>
  <r>
    <x v="9"/>
    <x v="4"/>
    <n v="7968"/>
    <x v="0"/>
    <n v="11315"/>
    <n v="225.72"/>
    <n v="304.73"/>
    <s v="2024-09-03"/>
    <s v="2026-12-02"/>
    <s v="BT63729"/>
    <x v="3"/>
    <n v="97.48"/>
  </r>
  <r>
    <x v="8"/>
    <x v="2"/>
    <n v="1752"/>
    <x v="2"/>
    <n v="12871"/>
    <n v="197.73"/>
    <n v="392.85"/>
    <s v="2025-04-04"/>
    <s v="2027-06-06"/>
    <s v="BT40115"/>
    <x v="0"/>
    <n v="144.57"/>
  </r>
  <r>
    <x v="13"/>
    <x v="2"/>
    <n v="4513"/>
    <x v="0"/>
    <n v="14356"/>
    <n v="203.86"/>
    <n v="421.11"/>
    <s v="2025-09-12"/>
    <s v="2027-06-05"/>
    <s v="BT47602"/>
    <x v="3"/>
    <n v="107.14"/>
  </r>
  <r>
    <x v="4"/>
    <x v="3"/>
    <n v="7398"/>
    <x v="0"/>
    <n v="17548"/>
    <n v="295.06"/>
    <n v="575.02"/>
    <s v="2025-10-09"/>
    <s v="2027-04-29"/>
    <s v="BT33581"/>
    <x v="1"/>
    <n v="119.85"/>
  </r>
  <r>
    <x v="0"/>
    <x v="3"/>
    <n v="4815"/>
    <x v="0"/>
    <n v="19172"/>
    <n v="214.86"/>
    <n v="389.07"/>
    <s v="2024-04-13"/>
    <s v="2025-08-20"/>
    <s v="BT14466"/>
    <x v="1"/>
    <n v="88"/>
  </r>
  <r>
    <x v="7"/>
    <x v="0"/>
    <n v="2668"/>
    <x v="2"/>
    <n v="17872"/>
    <n v="260.73"/>
    <n v="624.24"/>
    <s v="2025-03-08"/>
    <s v="2027-03-05"/>
    <s v="BT26705"/>
    <x v="1"/>
    <n v="176.98"/>
  </r>
  <r>
    <x v="10"/>
    <x v="1"/>
    <n v="2450"/>
    <x v="2"/>
    <n v="12036"/>
    <n v="269.74"/>
    <n v="638.71"/>
    <s v="2025-08-28"/>
    <s v="2028-05-12"/>
    <s v="BT90822"/>
    <x v="2"/>
    <n v="215.16"/>
  </r>
  <r>
    <x v="14"/>
    <x v="0"/>
    <n v="6315"/>
    <x v="0"/>
    <n v="15709"/>
    <n v="273.64999999999998"/>
    <n v="552.79999999999995"/>
    <s v="2025-03-22"/>
    <s v="2027-01-12"/>
    <s v="BT72535"/>
    <x v="4"/>
    <n v="189.74"/>
  </r>
  <r>
    <x v="2"/>
    <x v="2"/>
    <n v="1872"/>
    <x v="2"/>
    <n v="5989"/>
    <n v="269.2"/>
    <n v="530.76"/>
    <s v="2025-01-13"/>
    <s v="2027-12-04"/>
    <s v="BT95118"/>
    <x v="1"/>
    <n v="148.53"/>
  </r>
  <r>
    <x v="15"/>
    <x v="4"/>
    <n v="8834"/>
    <x v="0"/>
    <n v="24675"/>
    <n v="178.48"/>
    <n v="433.38"/>
    <s v="2024-04-09"/>
    <s v="2025-12-02"/>
    <s v="BT48974"/>
    <x v="1"/>
    <n v="95.75"/>
  </r>
  <r>
    <x v="2"/>
    <x v="2"/>
    <n v="9104"/>
    <x v="0"/>
    <n v="19999"/>
    <n v="154.93"/>
    <n v="372.83"/>
    <s v="2024-10-19"/>
    <s v="2026-09-14"/>
    <s v="BT60340"/>
    <x v="3"/>
    <n v="108.9"/>
  </r>
  <r>
    <x v="13"/>
    <x v="0"/>
    <n v="3951"/>
    <x v="0"/>
    <n v="15107"/>
    <n v="158.13999999999999"/>
    <n v="308.01"/>
    <s v="2025-09-22"/>
    <s v="2027-08-09"/>
    <s v="BT23037"/>
    <x v="3"/>
    <n v="81.27"/>
  </r>
  <r>
    <x v="0"/>
    <x v="1"/>
    <n v="4986"/>
    <x v="0"/>
    <n v="16946"/>
    <n v="134.47999999999999"/>
    <n v="316.16000000000003"/>
    <s v="2024-10-22"/>
    <s v="2026-07-14"/>
    <s v="BT89451"/>
    <x v="2"/>
    <n v="103.52"/>
  </r>
  <r>
    <x v="16"/>
    <x v="4"/>
    <n v="2072"/>
    <x v="2"/>
    <n v="7777"/>
    <n v="167.89"/>
    <n v="312.49"/>
    <s v="2024-06-21"/>
    <s v="2025-07-19"/>
    <s v="BT88432"/>
    <x v="2"/>
    <n v="131.62"/>
  </r>
  <r>
    <x v="8"/>
    <x v="2"/>
    <n v="3697"/>
    <x v="0"/>
    <n v="1218"/>
    <n v="149.07"/>
    <n v="338.26"/>
    <s v="2025-01-13"/>
    <s v="2026-08-09"/>
    <s v="BT46941"/>
    <x v="0"/>
    <n v="85.06"/>
  </r>
  <r>
    <x v="15"/>
    <x v="2"/>
    <n v="2567"/>
    <x v="2"/>
    <n v="15871"/>
    <n v="92.01"/>
    <n v="123.52"/>
    <s v="2024-05-02"/>
    <s v="2026-07-31"/>
    <s v="BT66657"/>
    <x v="1"/>
    <n v="46.49"/>
  </r>
  <r>
    <x v="13"/>
    <x v="1"/>
    <n v="2408"/>
    <x v="2"/>
    <n v="12590"/>
    <n v="242.07"/>
    <n v="524.70000000000005"/>
    <s v="2024-08-15"/>
    <s v="2025-10-30"/>
    <s v="BT52875"/>
    <x v="4"/>
    <n v="145.93"/>
  </r>
  <r>
    <x v="16"/>
    <x v="3"/>
    <n v="8902"/>
    <x v="0"/>
    <n v="23022"/>
    <n v="234.23"/>
    <n v="496.3"/>
    <s v="2024-11-18"/>
    <s v="2025-12-27"/>
    <s v="BT66803"/>
    <x v="2"/>
    <n v="181.05"/>
  </r>
  <r>
    <x v="12"/>
    <x v="1"/>
    <n v="3619"/>
    <x v="0"/>
    <n v="19290"/>
    <n v="200.03"/>
    <n v="468.24"/>
    <s v="2024-02-06"/>
    <s v="2026-11-16"/>
    <s v="BT92219"/>
    <x v="2"/>
    <n v="99.69"/>
  </r>
  <r>
    <x v="2"/>
    <x v="3"/>
    <n v="4107"/>
    <x v="0"/>
    <n v="23064"/>
    <n v="62.73"/>
    <n v="113.61"/>
    <s v="2025-05-11"/>
    <s v="2026-11-18"/>
    <s v="BT75106"/>
    <x v="3"/>
    <n v="28.4"/>
  </r>
  <r>
    <x v="4"/>
    <x v="2"/>
    <n v="4009"/>
    <x v="0"/>
    <n v="1104"/>
    <n v="133.12"/>
    <n v="244.66"/>
    <s v="2025-09-17"/>
    <s v="2027-04-18"/>
    <s v="BT33345"/>
    <x v="2"/>
    <n v="75.510000000000005"/>
  </r>
  <r>
    <x v="16"/>
    <x v="2"/>
    <n v="6730"/>
    <x v="0"/>
    <n v="21677"/>
    <n v="177.25"/>
    <n v="359.65"/>
    <s v="2025-05-10"/>
    <s v="2027-11-04"/>
    <s v="BT96106"/>
    <x v="4"/>
    <n v="133.13999999999999"/>
  </r>
  <r>
    <x v="10"/>
    <x v="1"/>
    <n v="8447"/>
    <x v="0"/>
    <n v="17063"/>
    <n v="240.04"/>
    <n v="410.44"/>
    <s v="2024-12-31"/>
    <s v="2027-07-10"/>
    <s v="BT73040"/>
    <x v="3"/>
    <n v="105.28"/>
  </r>
  <r>
    <x v="0"/>
    <x v="1"/>
    <n v="7374"/>
    <x v="0"/>
    <n v="15652"/>
    <n v="100.99"/>
    <n v="208.15"/>
    <s v="2024-04-28"/>
    <s v="2025-10-25"/>
    <s v="BT70913"/>
    <x v="3"/>
    <n v="67.08"/>
  </r>
  <r>
    <x v="9"/>
    <x v="3"/>
    <n v="2598"/>
    <x v="2"/>
    <n v="16851"/>
    <n v="252.84"/>
    <n v="587.4"/>
    <s v="2025-09-07"/>
    <s v="2027-11-02"/>
    <s v="BT40783"/>
    <x v="2"/>
    <n v="130.56"/>
  </r>
  <r>
    <x v="12"/>
    <x v="4"/>
    <n v="7201"/>
    <x v="0"/>
    <n v="2992"/>
    <n v="170.87"/>
    <n v="276.83"/>
    <s v="2025-11-22"/>
    <s v="2027-10-13"/>
    <s v="BT63900"/>
    <x v="1"/>
    <n v="123.64"/>
  </r>
  <r>
    <x v="18"/>
    <x v="3"/>
    <n v="4771"/>
    <x v="0"/>
    <n v="2790"/>
    <n v="84.15"/>
    <n v="180.64"/>
    <s v="2024-12-13"/>
    <s v="2027-09-25"/>
    <s v="BT15980"/>
    <x v="3"/>
    <n v="48.73"/>
  </r>
  <r>
    <x v="10"/>
    <x v="2"/>
    <n v="3228"/>
    <x v="0"/>
    <n v="18564"/>
    <n v="65.83"/>
    <n v="132.51"/>
    <s v="2025-09-20"/>
    <s v="2028-06-06"/>
    <s v="BT53212"/>
    <x v="4"/>
    <n v="42.26"/>
  </r>
  <r>
    <x v="1"/>
    <x v="0"/>
    <n v="6712"/>
    <x v="0"/>
    <n v="3957"/>
    <n v="235.23"/>
    <n v="384.2"/>
    <s v="2024-12-27"/>
    <s v="2027-07-16"/>
    <s v="BT18318"/>
    <x v="2"/>
    <n v="142.88999999999999"/>
  </r>
  <r>
    <x v="9"/>
    <x v="2"/>
    <n v="3751"/>
    <x v="0"/>
    <n v="6144"/>
    <n v="252.25"/>
    <n v="432.4"/>
    <s v="2024-08-22"/>
    <s v="2026-06-15"/>
    <s v="BT31155"/>
    <x v="3"/>
    <n v="134.35"/>
  </r>
  <r>
    <x v="11"/>
    <x v="2"/>
    <n v="4574"/>
    <x v="0"/>
    <n v="1446"/>
    <n v="15.64"/>
    <n v="19.18"/>
    <s v="2025-06-23"/>
    <s v="2026-10-05"/>
    <s v="BT75732"/>
    <x v="1"/>
    <n v="11.21"/>
  </r>
  <r>
    <x v="14"/>
    <x v="4"/>
    <n v="5138"/>
    <x v="0"/>
    <n v="10878"/>
    <n v="12.15"/>
    <n v="24.56"/>
    <s v="2024-09-10"/>
    <s v="2025-10-14"/>
    <s v="BT45711"/>
    <x v="2"/>
    <n v="8.81"/>
  </r>
  <r>
    <x v="19"/>
    <x v="3"/>
    <n v="2649"/>
    <x v="2"/>
    <n v="9847"/>
    <n v="259.29000000000002"/>
    <n v="336.94"/>
    <s v="2025-05-31"/>
    <s v="2028-05-20"/>
    <s v="BT64444"/>
    <x v="2"/>
    <n v="105.24"/>
  </r>
  <r>
    <x v="8"/>
    <x v="2"/>
    <n v="2987"/>
    <x v="2"/>
    <n v="4131"/>
    <n v="222.08"/>
    <n v="495.33"/>
    <s v="2024-07-17"/>
    <s v="2027-03-29"/>
    <s v="BT50919"/>
    <x v="3"/>
    <n v="126.6"/>
  </r>
  <r>
    <x v="1"/>
    <x v="1"/>
    <n v="4990"/>
    <x v="0"/>
    <n v="16037"/>
    <n v="64.790000000000006"/>
    <n v="100.01"/>
    <s v="2025-11-02"/>
    <s v="2028-06-14"/>
    <s v="BT71787"/>
    <x v="1"/>
    <n v="33.46"/>
  </r>
  <r>
    <x v="4"/>
    <x v="4"/>
    <n v="7157"/>
    <x v="0"/>
    <n v="19382"/>
    <n v="87.17"/>
    <n v="136.84"/>
    <s v="2025-06-30"/>
    <s v="2027-11-30"/>
    <s v="BT42062"/>
    <x v="1"/>
    <n v="35.47"/>
  </r>
  <r>
    <x v="6"/>
    <x v="3"/>
    <n v="6606"/>
    <x v="0"/>
    <n v="18910"/>
    <n v="215.8"/>
    <n v="385.84"/>
    <s v="2025-08-14"/>
    <s v="2026-09-08"/>
    <s v="BT62081"/>
    <x v="4"/>
    <n v="124.91"/>
  </r>
  <r>
    <x v="6"/>
    <x v="2"/>
    <n v="2285"/>
    <x v="2"/>
    <n v="22063"/>
    <n v="96.63"/>
    <n v="134.02000000000001"/>
    <s v="2025-10-07"/>
    <s v="2026-12-31"/>
    <s v="BT22502"/>
    <x v="0"/>
    <n v="45.19"/>
  </r>
  <r>
    <x v="6"/>
    <x v="2"/>
    <n v="4595"/>
    <x v="0"/>
    <n v="3748"/>
    <n v="46.69"/>
    <n v="93.45"/>
    <s v="2025-04-29"/>
    <s v="2027-10-16"/>
    <s v="BT84270"/>
    <x v="4"/>
    <n v="19.78"/>
  </r>
  <r>
    <x v="6"/>
    <x v="1"/>
    <n v="7247"/>
    <x v="0"/>
    <n v="11205"/>
    <n v="223.45"/>
    <n v="510.5"/>
    <s v="2024-02-07"/>
    <s v="2026-01-01"/>
    <s v="BT84096"/>
    <x v="0"/>
    <n v="125.72"/>
  </r>
  <r>
    <x v="1"/>
    <x v="1"/>
    <n v="3927"/>
    <x v="0"/>
    <n v="19429"/>
    <n v="239.44"/>
    <n v="457.15"/>
    <s v="2024-11-16"/>
    <s v="2027-09-14"/>
    <s v="BT40898"/>
    <x v="3"/>
    <n v="139.96"/>
  </r>
  <r>
    <x v="6"/>
    <x v="2"/>
    <n v="9589"/>
    <x v="0"/>
    <n v="3668"/>
    <n v="276.76"/>
    <n v="485.27"/>
    <s v="2024-03-20"/>
    <s v="2026-04-08"/>
    <s v="BT26683"/>
    <x v="2"/>
    <n v="128.65"/>
  </r>
  <r>
    <x v="0"/>
    <x v="4"/>
    <n v="3733"/>
    <x v="0"/>
    <n v="15339"/>
    <n v="261.58"/>
    <n v="352.55"/>
    <s v="2025-03-10"/>
    <s v="2027-07-30"/>
    <s v="BT32376"/>
    <x v="0"/>
    <n v="155.61000000000001"/>
  </r>
  <r>
    <x v="8"/>
    <x v="3"/>
    <n v="7043"/>
    <x v="0"/>
    <n v="1303"/>
    <n v="92.54"/>
    <n v="163.44"/>
    <s v="2024-10-28"/>
    <s v="2027-09-20"/>
    <s v="BT45534"/>
    <x v="0"/>
    <n v="48.95"/>
  </r>
  <r>
    <x v="9"/>
    <x v="2"/>
    <n v="3218"/>
    <x v="0"/>
    <n v="5637"/>
    <n v="90.61"/>
    <n v="189.42"/>
    <s v="2025-09-20"/>
    <s v="2027-10-05"/>
    <s v="BT78076"/>
    <x v="0"/>
    <n v="45.35"/>
  </r>
  <r>
    <x v="15"/>
    <x v="4"/>
    <n v="5909"/>
    <x v="0"/>
    <n v="24597"/>
    <n v="298.88"/>
    <n v="719.16"/>
    <s v="2024-06-17"/>
    <s v="2026-12-05"/>
    <s v="BT72111"/>
    <x v="2"/>
    <n v="157.53"/>
  </r>
  <r>
    <x v="7"/>
    <x v="4"/>
    <n v="8208"/>
    <x v="0"/>
    <n v="3197"/>
    <n v="298.02999999999997"/>
    <n v="359.81"/>
    <s v="2024-07-11"/>
    <s v="2026-01-31"/>
    <s v="BT22300"/>
    <x v="0"/>
    <n v="173.88"/>
  </r>
  <r>
    <x v="0"/>
    <x v="0"/>
    <n v="8179"/>
    <x v="0"/>
    <n v="20479"/>
    <n v="51.15"/>
    <n v="84.68"/>
    <s v="2025-07-26"/>
    <s v="2027-03-14"/>
    <s v="BT55214"/>
    <x v="2"/>
    <n v="39.44"/>
  </r>
  <r>
    <x v="16"/>
    <x v="1"/>
    <n v="7482"/>
    <x v="0"/>
    <n v="20151"/>
    <n v="220.15"/>
    <n v="369.29"/>
    <s v="2025-02-16"/>
    <s v="2026-11-03"/>
    <s v="BT83546"/>
    <x v="0"/>
    <n v="144.56"/>
  </r>
  <r>
    <x v="11"/>
    <x v="0"/>
    <n v="2997"/>
    <x v="2"/>
    <n v="4374"/>
    <n v="220.54"/>
    <n v="344.92"/>
    <s v="2024-09-26"/>
    <s v="2027-04-26"/>
    <s v="BT23411"/>
    <x v="4"/>
    <n v="158.51"/>
  </r>
  <r>
    <x v="2"/>
    <x v="3"/>
    <n v="5909"/>
    <x v="0"/>
    <n v="19863"/>
    <n v="232.73"/>
    <n v="458.44"/>
    <s v="2024-10-10"/>
    <s v="2027-07-02"/>
    <s v="BT97621"/>
    <x v="1"/>
    <n v="112.58"/>
  </r>
  <r>
    <x v="1"/>
    <x v="4"/>
    <n v="4046"/>
    <x v="0"/>
    <n v="3992"/>
    <n v="279.22000000000003"/>
    <n v="558.27"/>
    <s v="2024-05-26"/>
    <s v="2025-11-10"/>
    <s v="BT72320"/>
    <x v="2"/>
    <n v="147.80000000000001"/>
  </r>
  <r>
    <x v="14"/>
    <x v="4"/>
    <n v="8883"/>
    <x v="0"/>
    <n v="15407"/>
    <n v="130.49"/>
    <n v="236.6"/>
    <s v="2024-11-05"/>
    <s v="2027-04-01"/>
    <s v="BT25374"/>
    <x v="4"/>
    <n v="81.430000000000007"/>
  </r>
  <r>
    <x v="19"/>
    <x v="3"/>
    <n v="8273"/>
    <x v="0"/>
    <n v="12632"/>
    <n v="96.97"/>
    <n v="182.17"/>
    <s v="2025-06-27"/>
    <s v="2026-09-15"/>
    <s v="BT89348"/>
    <x v="4"/>
    <n v="75.84"/>
  </r>
  <r>
    <x v="16"/>
    <x v="4"/>
    <n v="7663"/>
    <x v="0"/>
    <n v="19366"/>
    <n v="135.29"/>
    <n v="284.60000000000002"/>
    <s v="2024-09-13"/>
    <s v="2027-08-15"/>
    <s v="BT25760"/>
    <x v="0"/>
    <n v="102.81"/>
  </r>
  <r>
    <x v="9"/>
    <x v="4"/>
    <n v="914"/>
    <x v="1"/>
    <n v="12982"/>
    <n v="257.33"/>
    <n v="566.63"/>
    <s v="2024-12-20"/>
    <s v="2027-02-27"/>
    <s v="BT38020"/>
    <x v="0"/>
    <n v="160.55000000000001"/>
  </r>
  <r>
    <x v="11"/>
    <x v="3"/>
    <n v="6630"/>
    <x v="0"/>
    <n v="6865"/>
    <n v="280.29000000000002"/>
    <n v="699.06"/>
    <s v="2024-07-19"/>
    <s v="2026-10-14"/>
    <s v="BT57315"/>
    <x v="0"/>
    <n v="133.97"/>
  </r>
  <r>
    <x v="2"/>
    <x v="1"/>
    <n v="5881"/>
    <x v="0"/>
    <n v="4083"/>
    <n v="273.76"/>
    <n v="654.44000000000005"/>
    <s v="2025-05-29"/>
    <s v="2026-06-11"/>
    <s v="BT89531"/>
    <x v="3"/>
    <n v="113.18"/>
  </r>
  <r>
    <x v="16"/>
    <x v="3"/>
    <n v="7025"/>
    <x v="0"/>
    <n v="2439"/>
    <n v="298.74"/>
    <n v="632"/>
    <s v="2024-10-07"/>
    <s v="2027-07-09"/>
    <s v="BT17500"/>
    <x v="0"/>
    <n v="217.88"/>
  </r>
  <r>
    <x v="6"/>
    <x v="2"/>
    <n v="7946"/>
    <x v="0"/>
    <n v="17066"/>
    <n v="56.26"/>
    <n v="122.36"/>
    <s v="2025-10-25"/>
    <s v="2028-05-05"/>
    <s v="BT23616"/>
    <x v="2"/>
    <n v="30.82"/>
  </r>
  <r>
    <x v="17"/>
    <x v="4"/>
    <n v="3398"/>
    <x v="0"/>
    <n v="5313"/>
    <n v="29.43"/>
    <n v="67.23"/>
    <s v="2024-05-02"/>
    <s v="2025-06-28"/>
    <s v="BT68114"/>
    <x v="2"/>
    <n v="15.47"/>
  </r>
  <r>
    <x v="8"/>
    <x v="1"/>
    <n v="3681"/>
    <x v="0"/>
    <n v="22466"/>
    <n v="186.13"/>
    <n v="227.39"/>
    <s v="2025-11-19"/>
    <s v="2027-10-09"/>
    <s v="BT32179"/>
    <x v="0"/>
    <n v="128.22"/>
  </r>
  <r>
    <x v="9"/>
    <x v="2"/>
    <n v="732"/>
    <x v="1"/>
    <n v="22774"/>
    <n v="123.94"/>
    <n v="283.7"/>
    <s v="2025-11-16"/>
    <s v="2027-01-17"/>
    <s v="BT18513"/>
    <x v="4"/>
    <n v="90.48"/>
  </r>
  <r>
    <x v="12"/>
    <x v="4"/>
    <n v="4868"/>
    <x v="0"/>
    <n v="3751"/>
    <n v="55.91"/>
    <n v="70.33"/>
    <s v="2025-09-15"/>
    <s v="2027-04-06"/>
    <s v="BT76252"/>
    <x v="1"/>
    <n v="26.23"/>
  </r>
  <r>
    <x v="1"/>
    <x v="1"/>
    <n v="4985"/>
    <x v="0"/>
    <n v="19368"/>
    <n v="108.45"/>
    <n v="178.28"/>
    <s v="2025-08-04"/>
    <s v="2028-07-17"/>
    <s v="BT21284"/>
    <x v="0"/>
    <n v="83.74"/>
  </r>
  <r>
    <x v="4"/>
    <x v="0"/>
    <n v="1983"/>
    <x v="2"/>
    <n v="6980"/>
    <n v="220.22"/>
    <n v="317.42"/>
    <s v="2025-08-28"/>
    <s v="2028-05-30"/>
    <s v="BT12635"/>
    <x v="4"/>
    <n v="157.57"/>
  </r>
  <r>
    <x v="11"/>
    <x v="1"/>
    <n v="8042"/>
    <x v="0"/>
    <n v="3663"/>
    <n v="263.77"/>
    <n v="639.96"/>
    <s v="2024-11-11"/>
    <s v="2027-10-09"/>
    <s v="BT94189"/>
    <x v="4"/>
    <n v="184.37"/>
  </r>
  <r>
    <x v="13"/>
    <x v="1"/>
    <n v="1373"/>
    <x v="2"/>
    <n v="13429"/>
    <n v="213.24"/>
    <n v="305.23"/>
    <s v="2024-05-23"/>
    <s v="2026-12-22"/>
    <s v="BT51358"/>
    <x v="1"/>
    <n v="104.57"/>
  </r>
  <r>
    <x v="11"/>
    <x v="1"/>
    <n v="3764"/>
    <x v="0"/>
    <n v="6803"/>
    <n v="293.89"/>
    <n v="451.76"/>
    <s v="2025-03-26"/>
    <s v="2026-12-21"/>
    <s v="BT22112"/>
    <x v="1"/>
    <n v="159.31"/>
  </r>
  <r>
    <x v="9"/>
    <x v="1"/>
    <n v="9069"/>
    <x v="0"/>
    <n v="15734"/>
    <n v="249.7"/>
    <n v="522.66"/>
    <s v="2024-06-23"/>
    <s v="2025-07-30"/>
    <s v="BT86706"/>
    <x v="1"/>
    <n v="115.43"/>
  </r>
  <r>
    <x v="2"/>
    <x v="4"/>
    <n v="7608"/>
    <x v="0"/>
    <n v="12367"/>
    <n v="195.57"/>
    <n v="408.08"/>
    <s v="2024-10-22"/>
    <s v="2026-05-22"/>
    <s v="BT54850"/>
    <x v="0"/>
    <n v="121.38"/>
  </r>
  <r>
    <x v="16"/>
    <x v="0"/>
    <n v="8909"/>
    <x v="0"/>
    <n v="7904"/>
    <n v="81.17"/>
    <n v="146.75"/>
    <s v="2024-02-02"/>
    <s v="2025-05-30"/>
    <s v="BT77768"/>
    <x v="4"/>
    <n v="47.9"/>
  </r>
  <r>
    <x v="15"/>
    <x v="2"/>
    <n v="5791"/>
    <x v="0"/>
    <n v="13198"/>
    <n v="171.31"/>
    <n v="352.18"/>
    <s v="2024-02-04"/>
    <s v="2025-12-30"/>
    <s v="BT23711"/>
    <x v="3"/>
    <n v="128.09"/>
  </r>
  <r>
    <x v="1"/>
    <x v="4"/>
    <n v="7404"/>
    <x v="0"/>
    <n v="16581"/>
    <n v="103.74"/>
    <n v="211.86"/>
    <s v="2024-04-12"/>
    <s v="2025-10-20"/>
    <s v="BT56924"/>
    <x v="3"/>
    <n v="48.25"/>
  </r>
  <r>
    <x v="8"/>
    <x v="4"/>
    <n v="856"/>
    <x v="1"/>
    <n v="15385"/>
    <n v="243.72"/>
    <n v="437.08"/>
    <s v="2025-08-12"/>
    <s v="2028-07-23"/>
    <s v="BT67012"/>
    <x v="1"/>
    <n v="143.66"/>
  </r>
  <r>
    <x v="10"/>
    <x v="1"/>
    <n v="6614"/>
    <x v="0"/>
    <n v="20691"/>
    <n v="104.67"/>
    <n v="217.94"/>
    <s v="2024-11-03"/>
    <s v="2025-12-14"/>
    <s v="BT40710"/>
    <x v="0"/>
    <n v="46.38"/>
  </r>
  <r>
    <x v="18"/>
    <x v="1"/>
    <n v="9961"/>
    <x v="0"/>
    <n v="14131"/>
    <n v="179.96"/>
    <n v="254.33"/>
    <s v="2024-06-19"/>
    <s v="2026-04-22"/>
    <s v="BT88230"/>
    <x v="0"/>
    <n v="86.27"/>
  </r>
  <r>
    <x v="2"/>
    <x v="4"/>
    <n v="2628"/>
    <x v="2"/>
    <n v="22738"/>
    <n v="103.28"/>
    <n v="252.82"/>
    <s v="2024-04-02"/>
    <s v="2026-02-12"/>
    <s v="BT28541"/>
    <x v="3"/>
    <n v="60.26"/>
  </r>
  <r>
    <x v="7"/>
    <x v="3"/>
    <n v="513"/>
    <x v="1"/>
    <n v="22581"/>
    <n v="48.51"/>
    <n v="113.89"/>
    <s v="2024-11-04"/>
    <s v="2026-09-14"/>
    <s v="BT20534"/>
    <x v="4"/>
    <n v="23.99"/>
  </r>
  <r>
    <x v="11"/>
    <x v="3"/>
    <n v="1977"/>
    <x v="2"/>
    <n v="24728"/>
    <n v="77.2"/>
    <n v="161.36000000000001"/>
    <s v="2025-01-18"/>
    <s v="2026-01-23"/>
    <s v="BT72566"/>
    <x v="4"/>
    <n v="41.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
  <r>
    <s v="Sneha Gupta"/>
    <s v="CUST1000"/>
    <x v="0"/>
    <n v="55"/>
    <n v="18265.38"/>
    <n v="4248.99"/>
    <n v="14016.39"/>
    <x v="0"/>
    <x v="0"/>
    <x v="0"/>
    <x v="0"/>
  </r>
  <r>
    <s v="Neha Mehta"/>
    <s v="CUST1001"/>
    <x v="1"/>
    <n v="35"/>
    <n v="8057.68"/>
    <n v="2974.53"/>
    <n v="5083.1499999999996"/>
    <x v="1"/>
    <x v="1"/>
    <x v="1"/>
    <x v="1"/>
  </r>
  <r>
    <s v="Anjali Yadav"/>
    <s v="CUST1002"/>
    <x v="2"/>
    <n v="190"/>
    <n v="19407.490000000002"/>
    <n v="9494.9500000000007"/>
    <n v="9912.5400000000009"/>
    <x v="2"/>
    <x v="2"/>
    <x v="2"/>
    <x v="2"/>
  </r>
  <r>
    <s v="Anjali Mehta"/>
    <s v="CUST1003"/>
    <x v="3"/>
    <n v="1"/>
    <n v="12250.27"/>
    <n v="2441.8000000000002"/>
    <n v="9808.4699999999993"/>
    <x v="3"/>
    <x v="0"/>
    <x v="2"/>
    <x v="0"/>
  </r>
  <r>
    <s v="Priya Sharma"/>
    <s v="CUST1004"/>
    <x v="4"/>
    <n v="78"/>
    <n v="8764.4699999999993"/>
    <n v="3191.72"/>
    <n v="5572.75"/>
    <x v="4"/>
    <x v="1"/>
    <x v="2"/>
    <x v="2"/>
  </r>
  <r>
    <s v="Vikas Gupta"/>
    <s v="CUST1005"/>
    <x v="5"/>
    <n v="124"/>
    <n v="793.05"/>
    <n v="92.47"/>
    <n v="700.58"/>
    <x v="0"/>
    <x v="2"/>
    <x v="2"/>
    <x v="0"/>
  </r>
  <r>
    <s v="Karan Patel"/>
    <s v="CUST1006"/>
    <x v="6"/>
    <n v="22"/>
    <n v="6991.11"/>
    <n v="1446.68"/>
    <n v="5544.43"/>
    <x v="0"/>
    <x v="3"/>
    <x v="2"/>
    <x v="2"/>
  </r>
  <r>
    <s v="Neha Gupta"/>
    <s v="CUST1007"/>
    <x v="7"/>
    <n v="117"/>
    <n v="330.61"/>
    <n v="78.84"/>
    <n v="251.77"/>
    <x v="0"/>
    <x v="1"/>
    <x v="0"/>
    <x v="2"/>
  </r>
  <r>
    <s v="Rohan Joshi"/>
    <s v="CUST1008"/>
    <x v="8"/>
    <n v="163"/>
    <n v="2407.5700000000002"/>
    <n v="426.5"/>
    <n v="1981.07"/>
    <x v="0"/>
    <x v="4"/>
    <x v="1"/>
    <x v="2"/>
  </r>
  <r>
    <s v="Karan Mehta"/>
    <s v="CUST1009"/>
    <x v="9"/>
    <n v="46"/>
    <n v="19616.62"/>
    <n v="5636.16"/>
    <n v="13980.46"/>
    <x v="0"/>
    <x v="5"/>
    <x v="2"/>
    <x v="1"/>
  </r>
  <r>
    <s v="Anjali Joshi"/>
    <s v="CUST1010"/>
    <x v="10"/>
    <n v="132"/>
    <n v="16275.42"/>
    <n v="3400.72"/>
    <n v="12874.7"/>
    <x v="0"/>
    <x v="1"/>
    <x v="0"/>
    <x v="0"/>
  </r>
  <r>
    <s v="Vikas Sharma"/>
    <s v="CUST1011"/>
    <x v="11"/>
    <n v="126"/>
    <n v="9258.99"/>
    <n v="4444.04"/>
    <n v="4814.95"/>
    <x v="2"/>
    <x v="4"/>
    <x v="3"/>
    <x v="0"/>
  </r>
  <r>
    <s v="Anjali Joshi"/>
    <s v="CUST1012"/>
    <x v="12"/>
    <n v="7"/>
    <n v="10900.7"/>
    <n v="4671.05"/>
    <n v="6229.65"/>
    <x v="1"/>
    <x v="1"/>
    <x v="0"/>
    <x v="0"/>
  </r>
  <r>
    <s v="Anjali Joshi"/>
    <s v="CUST1013"/>
    <x v="13"/>
    <n v="10"/>
    <n v="11956"/>
    <n v="4269.51"/>
    <n v="7686.49"/>
    <x v="3"/>
    <x v="1"/>
    <x v="2"/>
    <x v="3"/>
  </r>
  <r>
    <s v="Amit Patel"/>
    <s v="CUST1014"/>
    <x v="14"/>
    <n v="187"/>
    <n v="2978.42"/>
    <n v="901.33"/>
    <n v="2077.09"/>
    <x v="1"/>
    <x v="4"/>
    <x v="1"/>
    <x v="3"/>
  </r>
  <r>
    <s v="Karan Yadav"/>
    <s v="CUST1015"/>
    <x v="15"/>
    <n v="20"/>
    <n v="6599.11"/>
    <n v="3198.49"/>
    <n v="3400.62"/>
    <x v="2"/>
    <x v="5"/>
    <x v="1"/>
    <x v="1"/>
  </r>
  <r>
    <s v="Anjali Joshi"/>
    <s v="CUST1016"/>
    <x v="16"/>
    <n v="103"/>
    <n v="545.42999999999995"/>
    <n v="65.37"/>
    <n v="480.06"/>
    <x v="1"/>
    <x v="5"/>
    <x v="1"/>
    <x v="1"/>
  </r>
  <r>
    <s v="Priya Joshi"/>
    <s v="CUST1017"/>
    <x v="17"/>
    <n v="158"/>
    <n v="10329.39"/>
    <n v="1635.17"/>
    <n v="8694.2199999999993"/>
    <x v="4"/>
    <x v="3"/>
    <x v="3"/>
    <x v="0"/>
  </r>
  <r>
    <s v="Priya Gupta"/>
    <s v="CUST1018"/>
    <x v="18"/>
    <n v="192"/>
    <n v="13808.38"/>
    <n v="5878.43"/>
    <n v="7929.95"/>
    <x v="2"/>
    <x v="3"/>
    <x v="1"/>
    <x v="3"/>
  </r>
  <r>
    <s v="Vikas Joshi"/>
    <s v="CUST1019"/>
    <x v="19"/>
    <n v="105"/>
    <n v="4222.01"/>
    <n v="790.27"/>
    <n v="3431.74"/>
    <x v="4"/>
    <x v="6"/>
    <x v="3"/>
    <x v="0"/>
  </r>
  <r>
    <s v="Pooja Mehta"/>
    <s v="CUST1020"/>
    <x v="20"/>
    <n v="57"/>
    <n v="4574.01"/>
    <n v="989.8"/>
    <n v="3584.21"/>
    <x v="4"/>
    <x v="5"/>
    <x v="3"/>
    <x v="0"/>
  </r>
  <r>
    <s v="Pooja Gupta"/>
    <s v="CUST1021"/>
    <x v="21"/>
    <n v="153"/>
    <n v="6642.17"/>
    <n v="2287.46"/>
    <n v="4354.71"/>
    <x v="2"/>
    <x v="3"/>
    <x v="3"/>
    <x v="2"/>
  </r>
  <r>
    <s v="Anjali Mehta"/>
    <s v="CUST1022"/>
    <x v="22"/>
    <n v="114"/>
    <n v="3120.39"/>
    <n v="493.83"/>
    <n v="2626.56"/>
    <x v="0"/>
    <x v="0"/>
    <x v="2"/>
    <x v="0"/>
  </r>
  <r>
    <s v="Vikas Gupta"/>
    <s v="CUST1023"/>
    <x v="23"/>
    <n v="170"/>
    <n v="17060.599999999999"/>
    <n v="1926.32"/>
    <n v="15134.28"/>
    <x v="0"/>
    <x v="4"/>
    <x v="0"/>
    <x v="3"/>
  </r>
  <r>
    <s v="Karan Mehta"/>
    <s v="CUST1024"/>
    <x v="24"/>
    <n v="75"/>
    <n v="15042.06"/>
    <n v="4804.4399999999996"/>
    <n v="10237.620000000001"/>
    <x v="0"/>
    <x v="3"/>
    <x v="2"/>
    <x v="3"/>
  </r>
  <r>
    <s v="Pooja Mehta"/>
    <s v="CUST1025"/>
    <x v="25"/>
    <n v="111"/>
    <n v="8366.32"/>
    <n v="1623.27"/>
    <n v="6743.05"/>
    <x v="1"/>
    <x v="7"/>
    <x v="2"/>
    <x v="0"/>
  </r>
  <r>
    <s v="Karan Verma"/>
    <s v="CUST1026"/>
    <x v="26"/>
    <n v="156"/>
    <n v="18981.5"/>
    <n v="8553.11"/>
    <n v="10428.39"/>
    <x v="0"/>
    <x v="0"/>
    <x v="2"/>
    <x v="1"/>
  </r>
  <r>
    <s v="Pooja Joshi"/>
    <s v="CUST1027"/>
    <x v="27"/>
    <n v="41"/>
    <n v="15360.81"/>
    <n v="1632.04"/>
    <n v="13728.77"/>
    <x v="0"/>
    <x v="1"/>
    <x v="3"/>
    <x v="3"/>
  </r>
  <r>
    <s v="Rohan Joshi"/>
    <s v="CUST1028"/>
    <x v="28"/>
    <n v="198"/>
    <n v="7327.18"/>
    <n v="3353.98"/>
    <n v="3973.2"/>
    <x v="1"/>
    <x v="1"/>
    <x v="2"/>
    <x v="0"/>
  </r>
  <r>
    <s v="Sneha Yadav"/>
    <s v="CUST1029"/>
    <x v="20"/>
    <n v="116"/>
    <n v="3223.66"/>
    <n v="485.69"/>
    <n v="2737.97"/>
    <x v="0"/>
    <x v="6"/>
    <x v="0"/>
    <x v="2"/>
  </r>
  <r>
    <s v="Sneha Verma"/>
    <s v="CUST1030"/>
    <x v="29"/>
    <n v="26"/>
    <n v="7728.73"/>
    <n v="1845.3"/>
    <n v="5883.43"/>
    <x v="0"/>
    <x v="1"/>
    <x v="2"/>
    <x v="1"/>
  </r>
  <r>
    <s v="Pooja Singh"/>
    <s v="CUST1031"/>
    <x v="30"/>
    <n v="157"/>
    <n v="12436.41"/>
    <n v="1249.06"/>
    <n v="11187.35"/>
    <x v="2"/>
    <x v="1"/>
    <x v="0"/>
    <x v="2"/>
  </r>
  <r>
    <s v="Pooja Singh"/>
    <s v="CUST1032"/>
    <x v="31"/>
    <n v="146"/>
    <n v="12547.35"/>
    <n v="2838.9"/>
    <n v="9708.4500000000007"/>
    <x v="1"/>
    <x v="3"/>
    <x v="1"/>
    <x v="3"/>
  </r>
  <r>
    <s v="Neha Yadav"/>
    <s v="CUST1033"/>
    <x v="32"/>
    <n v="186"/>
    <n v="17505.54"/>
    <n v="7525.9"/>
    <n v="9979.64"/>
    <x v="4"/>
    <x v="4"/>
    <x v="2"/>
    <x v="2"/>
  </r>
  <r>
    <s v="Amit Sharma"/>
    <s v="CUST1034"/>
    <x v="33"/>
    <n v="148"/>
    <n v="9277.4699999999993"/>
    <n v="3729.37"/>
    <n v="5548.1"/>
    <x v="2"/>
    <x v="7"/>
    <x v="2"/>
    <x v="3"/>
  </r>
  <r>
    <s v="Sneha Patel"/>
    <s v="CUST1035"/>
    <x v="2"/>
    <n v="155"/>
    <n v="16773.72"/>
    <n v="2535.61"/>
    <n v="14238.11"/>
    <x v="4"/>
    <x v="0"/>
    <x v="1"/>
    <x v="1"/>
  </r>
  <r>
    <s v="Rahul Sharma"/>
    <s v="CUST1036"/>
    <x v="34"/>
    <n v="174"/>
    <n v="8186.3"/>
    <n v="2391.16"/>
    <n v="5795.14"/>
    <x v="0"/>
    <x v="1"/>
    <x v="0"/>
    <x v="0"/>
  </r>
  <r>
    <s v="Vikas Patel"/>
    <s v="CUST1037"/>
    <x v="35"/>
    <n v="199"/>
    <n v="12178.84"/>
    <n v="1270.45"/>
    <n v="10908.39"/>
    <x v="3"/>
    <x v="7"/>
    <x v="1"/>
    <x v="1"/>
  </r>
  <r>
    <s v="Vikas Gupta"/>
    <s v="CUST1038"/>
    <x v="36"/>
    <n v="186"/>
    <n v="15398.35"/>
    <n v="5461.04"/>
    <n v="9937.31"/>
    <x v="2"/>
    <x v="7"/>
    <x v="1"/>
    <x v="1"/>
  </r>
  <r>
    <s v="Amit Verma"/>
    <s v="CUST1039"/>
    <x v="37"/>
    <n v="195"/>
    <n v="16522.05"/>
    <n v="3280.76"/>
    <n v="13241.29"/>
    <x v="3"/>
    <x v="2"/>
    <x v="3"/>
    <x v="0"/>
  </r>
  <r>
    <s v="Anjali Verma"/>
    <s v="CUST1040"/>
    <x v="38"/>
    <n v="124"/>
    <n v="4280.6899999999996"/>
    <n v="1974.04"/>
    <n v="2306.65"/>
    <x v="3"/>
    <x v="7"/>
    <x v="1"/>
    <x v="3"/>
  </r>
  <r>
    <s v="Vikas Mehta"/>
    <s v="CUST1041"/>
    <x v="39"/>
    <n v="177"/>
    <n v="8948.9699999999993"/>
    <n v="1656.01"/>
    <n v="7292.96"/>
    <x v="1"/>
    <x v="6"/>
    <x v="0"/>
    <x v="3"/>
  </r>
  <r>
    <s v="Neha Joshi"/>
    <s v="CUST1042"/>
    <x v="40"/>
    <n v="57"/>
    <n v="17615.39"/>
    <n v="4836.91"/>
    <n v="12778.48"/>
    <x v="1"/>
    <x v="6"/>
    <x v="2"/>
    <x v="2"/>
  </r>
  <r>
    <s v="Sneha Yadav"/>
    <s v="CUST1043"/>
    <x v="41"/>
    <n v="76"/>
    <n v="3173.38"/>
    <n v="564.61"/>
    <n v="2608.77"/>
    <x v="4"/>
    <x v="2"/>
    <x v="3"/>
    <x v="0"/>
  </r>
  <r>
    <s v="Vikas Singh"/>
    <s v="CUST1044"/>
    <x v="42"/>
    <n v="55"/>
    <n v="11706.28"/>
    <n v="5158.43"/>
    <n v="6547.85"/>
    <x v="3"/>
    <x v="6"/>
    <x v="3"/>
    <x v="0"/>
  </r>
  <r>
    <s v="Sneha Verma"/>
    <s v="CUST1045"/>
    <x v="43"/>
    <n v="165"/>
    <n v="3201.95"/>
    <n v="508.97"/>
    <n v="2692.98"/>
    <x v="1"/>
    <x v="4"/>
    <x v="1"/>
    <x v="0"/>
  </r>
  <r>
    <s v="Neha Yadav"/>
    <s v="CUST1046"/>
    <x v="44"/>
    <n v="124"/>
    <n v="17952.96"/>
    <n v="8874.27"/>
    <n v="9078.69"/>
    <x v="3"/>
    <x v="4"/>
    <x v="2"/>
    <x v="2"/>
  </r>
  <r>
    <s v="Priya Singh"/>
    <s v="CUST1047"/>
    <x v="45"/>
    <n v="72"/>
    <n v="12211.96"/>
    <n v="2546.14"/>
    <n v="9665.82"/>
    <x v="3"/>
    <x v="0"/>
    <x v="3"/>
    <x v="0"/>
  </r>
  <r>
    <s v="Sneha Sharma"/>
    <s v="CUST1048"/>
    <x v="46"/>
    <n v="135"/>
    <n v="17972.88"/>
    <n v="3656.56"/>
    <n v="14316.32"/>
    <x v="1"/>
    <x v="3"/>
    <x v="1"/>
    <x v="1"/>
  </r>
  <r>
    <s v="Anjali Patel"/>
    <s v="CUST1049"/>
    <x v="47"/>
    <n v="142"/>
    <n v="19236.96"/>
    <n v="3104.03"/>
    <n v="16132.93"/>
    <x v="2"/>
    <x v="5"/>
    <x v="0"/>
    <x v="0"/>
  </r>
  <r>
    <s v="Pooja Singh"/>
    <s v="CUST1050"/>
    <x v="48"/>
    <n v="66"/>
    <n v="15965.67"/>
    <n v="6816.16"/>
    <n v="9149.51"/>
    <x v="4"/>
    <x v="0"/>
    <x v="1"/>
    <x v="3"/>
  </r>
  <r>
    <s v="Rahul Joshi"/>
    <s v="CUST1051"/>
    <x v="49"/>
    <n v="72"/>
    <n v="1918.05"/>
    <n v="813.24"/>
    <n v="1104.81"/>
    <x v="3"/>
    <x v="2"/>
    <x v="3"/>
    <x v="1"/>
  </r>
  <r>
    <s v="Priya Singh"/>
    <s v="CUST1052"/>
    <x v="50"/>
    <n v="150"/>
    <n v="15257.44"/>
    <n v="4715.88"/>
    <n v="10541.56"/>
    <x v="3"/>
    <x v="3"/>
    <x v="3"/>
    <x v="1"/>
  </r>
  <r>
    <s v="Priya Yadav"/>
    <s v="CUST1053"/>
    <x v="47"/>
    <n v="114"/>
    <n v="1759.39"/>
    <n v="740.78"/>
    <n v="1018.61"/>
    <x v="2"/>
    <x v="0"/>
    <x v="1"/>
    <x v="2"/>
  </r>
  <r>
    <s v="Pooja Sharma"/>
    <s v="CUST1054"/>
    <x v="51"/>
    <n v="111"/>
    <n v="17236.669999999998"/>
    <n v="7849.41"/>
    <n v="9387.26"/>
    <x v="0"/>
    <x v="0"/>
    <x v="1"/>
    <x v="1"/>
  </r>
  <r>
    <s v="Vikas Gupta"/>
    <s v="CUST1055"/>
    <x v="52"/>
    <n v="70"/>
    <n v="9902.84"/>
    <n v="4252.1499999999996"/>
    <n v="5650.69"/>
    <x v="2"/>
    <x v="7"/>
    <x v="3"/>
    <x v="2"/>
  </r>
  <r>
    <s v="Vikas Singh"/>
    <s v="CUST1056"/>
    <x v="53"/>
    <n v="71"/>
    <n v="13589.07"/>
    <n v="4060.08"/>
    <n v="9528.99"/>
    <x v="0"/>
    <x v="5"/>
    <x v="2"/>
    <x v="0"/>
  </r>
  <r>
    <s v="Rahul Mehta"/>
    <s v="CUST1057"/>
    <x v="44"/>
    <n v="121"/>
    <n v="9966.18"/>
    <n v="4270.33"/>
    <n v="5695.85"/>
    <x v="0"/>
    <x v="6"/>
    <x v="0"/>
    <x v="0"/>
  </r>
  <r>
    <s v="Anjali Verma"/>
    <s v="CUST1058"/>
    <x v="54"/>
    <n v="200"/>
    <n v="2263.36"/>
    <n v="921.82"/>
    <n v="1341.54"/>
    <x v="1"/>
    <x v="6"/>
    <x v="3"/>
    <x v="0"/>
  </r>
  <r>
    <s v="Amit Joshi"/>
    <s v="CUST1059"/>
    <x v="55"/>
    <n v="54"/>
    <n v="11463.07"/>
    <n v="5022.67"/>
    <n v="6440.4"/>
    <x v="4"/>
    <x v="0"/>
    <x v="1"/>
    <x v="3"/>
  </r>
  <r>
    <s v="Neha Verma"/>
    <s v="CUST1060"/>
    <x v="56"/>
    <n v="133"/>
    <n v="19624.97"/>
    <n v="4682.59"/>
    <n v="14942.38"/>
    <x v="0"/>
    <x v="6"/>
    <x v="2"/>
    <x v="2"/>
  </r>
  <r>
    <s v="Sneha Joshi"/>
    <s v="CUST1061"/>
    <x v="57"/>
    <n v="38"/>
    <n v="6194.02"/>
    <n v="1296.51"/>
    <n v="4897.51"/>
    <x v="1"/>
    <x v="7"/>
    <x v="3"/>
    <x v="0"/>
  </r>
  <r>
    <s v="Pooja Gupta"/>
    <s v="CUST1062"/>
    <x v="58"/>
    <n v="107"/>
    <n v="212.88"/>
    <n v="26.4"/>
    <n v="186.48"/>
    <x v="3"/>
    <x v="1"/>
    <x v="3"/>
    <x v="3"/>
  </r>
  <r>
    <s v="Sneha Joshi"/>
    <s v="CUST1063"/>
    <x v="59"/>
    <n v="181"/>
    <n v="4124.04"/>
    <n v="969.88"/>
    <n v="3154.16"/>
    <x v="1"/>
    <x v="6"/>
    <x v="3"/>
    <x v="1"/>
  </r>
  <r>
    <s v="Anjali Gupta"/>
    <s v="CUST1064"/>
    <x v="60"/>
    <n v="98"/>
    <n v="6581.13"/>
    <n v="1816.46"/>
    <n v="4764.67"/>
    <x v="4"/>
    <x v="0"/>
    <x v="1"/>
    <x v="2"/>
  </r>
  <r>
    <s v="Amit Patel"/>
    <s v="CUST1065"/>
    <x v="61"/>
    <n v="42"/>
    <n v="6577.11"/>
    <n v="2026.58"/>
    <n v="4550.53"/>
    <x v="2"/>
    <x v="7"/>
    <x v="0"/>
    <x v="0"/>
  </r>
  <r>
    <s v="Sneha Singh"/>
    <s v="CUST1066"/>
    <x v="62"/>
    <n v="156"/>
    <n v="11763.68"/>
    <n v="5602.73"/>
    <n v="6160.95"/>
    <x v="3"/>
    <x v="4"/>
    <x v="3"/>
    <x v="2"/>
  </r>
  <r>
    <s v="Sneha Joshi"/>
    <s v="CUST1067"/>
    <x v="63"/>
    <n v="121"/>
    <n v="2772.27"/>
    <n v="554.65"/>
    <n v="2217.62"/>
    <x v="1"/>
    <x v="1"/>
    <x v="2"/>
    <x v="3"/>
  </r>
  <r>
    <s v="Pooja Joshi"/>
    <s v="CUST1068"/>
    <x v="64"/>
    <n v="52"/>
    <n v="11280.54"/>
    <n v="3662.74"/>
    <n v="7617.8"/>
    <x v="1"/>
    <x v="6"/>
    <x v="3"/>
    <x v="1"/>
  </r>
  <r>
    <s v="Neha Patel"/>
    <s v="CUST1069"/>
    <x v="65"/>
    <n v="180"/>
    <n v="14256.91"/>
    <n v="5338.01"/>
    <n v="8918.9"/>
    <x v="1"/>
    <x v="7"/>
    <x v="2"/>
    <x v="3"/>
  </r>
  <r>
    <s v="Anjali Yadav"/>
    <s v="CUST1070"/>
    <x v="66"/>
    <n v="118"/>
    <n v="7307.86"/>
    <n v="3072.27"/>
    <n v="4235.59"/>
    <x v="1"/>
    <x v="6"/>
    <x v="0"/>
    <x v="3"/>
  </r>
  <r>
    <s v="Amit Gupta"/>
    <s v="CUST1071"/>
    <x v="49"/>
    <n v="102"/>
    <n v="16140.69"/>
    <n v="2917.61"/>
    <n v="13223.08"/>
    <x v="2"/>
    <x v="3"/>
    <x v="3"/>
    <x v="1"/>
  </r>
  <r>
    <s v="Pooja Gupta"/>
    <s v="CUST1072"/>
    <x v="67"/>
    <n v="130"/>
    <n v="17474.310000000001"/>
    <n v="6451.03"/>
    <n v="11023.28"/>
    <x v="2"/>
    <x v="7"/>
    <x v="3"/>
    <x v="2"/>
  </r>
  <r>
    <s v="Amit Patel"/>
    <s v="CUST1073"/>
    <x v="68"/>
    <n v="24"/>
    <n v="19487.13"/>
    <n v="3659"/>
    <n v="15828.13"/>
    <x v="2"/>
    <x v="2"/>
    <x v="0"/>
    <x v="0"/>
  </r>
  <r>
    <s v="Pooja Singh"/>
    <s v="CUST1074"/>
    <x v="69"/>
    <n v="19"/>
    <n v="15365.59"/>
    <n v="5034.09"/>
    <n v="10331.5"/>
    <x v="1"/>
    <x v="7"/>
    <x v="1"/>
    <x v="3"/>
  </r>
  <r>
    <s v="Anjali Patel"/>
    <s v="CUST1075"/>
    <x v="70"/>
    <n v="166"/>
    <n v="11546.95"/>
    <n v="3676.33"/>
    <n v="7870.62"/>
    <x v="0"/>
    <x v="3"/>
    <x v="1"/>
    <x v="2"/>
  </r>
  <r>
    <s v="Rahul Gupta"/>
    <s v="CUST1076"/>
    <x v="71"/>
    <n v="3"/>
    <n v="4582.08"/>
    <n v="1508.15"/>
    <n v="3073.93"/>
    <x v="1"/>
    <x v="0"/>
    <x v="3"/>
    <x v="0"/>
  </r>
  <r>
    <s v="Priya Mehta"/>
    <s v="CUST1077"/>
    <x v="72"/>
    <n v="148"/>
    <n v="3136.84"/>
    <n v="598.52"/>
    <n v="2538.3200000000002"/>
    <x v="4"/>
    <x v="6"/>
    <x v="2"/>
    <x v="1"/>
  </r>
  <r>
    <s v="Rahul Sharma"/>
    <s v="CUST1078"/>
    <x v="73"/>
    <n v="33"/>
    <n v="10847.52"/>
    <n v="1281.48"/>
    <n v="9566.0400000000009"/>
    <x v="1"/>
    <x v="4"/>
    <x v="2"/>
    <x v="3"/>
  </r>
  <r>
    <s v="Priya Joshi"/>
    <s v="CUST1079"/>
    <x v="74"/>
    <n v="109"/>
    <n v="19820.97"/>
    <n v="8063.34"/>
    <n v="11757.63"/>
    <x v="4"/>
    <x v="4"/>
    <x v="0"/>
    <x v="3"/>
  </r>
  <r>
    <s v="Sneha Patel"/>
    <s v="CUST1080"/>
    <x v="75"/>
    <n v="7"/>
    <n v="8934.65"/>
    <n v="1808.58"/>
    <n v="7126.07"/>
    <x v="4"/>
    <x v="1"/>
    <x v="0"/>
    <x v="0"/>
  </r>
  <r>
    <s v="Sneha Gupta"/>
    <s v="CUST1081"/>
    <x v="76"/>
    <n v="53"/>
    <n v="15442.58"/>
    <n v="4075.5"/>
    <n v="11367.08"/>
    <x v="3"/>
    <x v="5"/>
    <x v="2"/>
    <x v="1"/>
  </r>
  <r>
    <s v="Neha Singh"/>
    <s v="CUST1082"/>
    <x v="77"/>
    <n v="126"/>
    <n v="14838.78"/>
    <n v="5292.16"/>
    <n v="9546.6200000000008"/>
    <x v="1"/>
    <x v="1"/>
    <x v="2"/>
    <x v="3"/>
  </r>
  <r>
    <s v="Amit Mehta"/>
    <s v="CUST1083"/>
    <x v="78"/>
    <n v="66"/>
    <n v="10223.83"/>
    <n v="1247.73"/>
    <n v="8976.1"/>
    <x v="3"/>
    <x v="3"/>
    <x v="1"/>
    <x v="0"/>
  </r>
  <r>
    <s v="Rohan Patel"/>
    <s v="CUST1084"/>
    <x v="79"/>
    <n v="93"/>
    <n v="18920.060000000001"/>
    <n v="3129.12"/>
    <n v="15790.94"/>
    <x v="0"/>
    <x v="6"/>
    <x v="2"/>
    <x v="1"/>
  </r>
  <r>
    <s v="Rohan Yadav"/>
    <s v="CUST1085"/>
    <x v="80"/>
    <n v="71"/>
    <n v="14619.62"/>
    <n v="2062.35"/>
    <n v="12557.27"/>
    <x v="3"/>
    <x v="2"/>
    <x v="2"/>
    <x v="3"/>
  </r>
  <r>
    <s v="Pooja Sharma"/>
    <s v="CUST1086"/>
    <x v="81"/>
    <n v="133"/>
    <n v="3199.59"/>
    <n v="710.22"/>
    <n v="2489.37"/>
    <x v="3"/>
    <x v="3"/>
    <x v="2"/>
    <x v="2"/>
  </r>
  <r>
    <s v="Anjali Gupta"/>
    <s v="CUST1087"/>
    <x v="82"/>
    <n v="41"/>
    <n v="8442.86"/>
    <n v="3631.65"/>
    <n v="4811.21"/>
    <x v="2"/>
    <x v="2"/>
    <x v="2"/>
    <x v="2"/>
  </r>
  <r>
    <s v="Amit Verma"/>
    <s v="CUST1088"/>
    <x v="83"/>
    <n v="128"/>
    <n v="4161.13"/>
    <n v="1408.7"/>
    <n v="2752.43"/>
    <x v="1"/>
    <x v="6"/>
    <x v="3"/>
    <x v="1"/>
  </r>
  <r>
    <s v="Rahul Mehta"/>
    <s v="CUST1089"/>
    <x v="84"/>
    <n v="121"/>
    <n v="781.03"/>
    <n v="118.08"/>
    <n v="662.95"/>
    <x v="0"/>
    <x v="3"/>
    <x v="1"/>
    <x v="3"/>
  </r>
  <r>
    <s v="Neha Patel"/>
    <s v="CUST1090"/>
    <x v="85"/>
    <n v="90"/>
    <n v="17954.060000000001"/>
    <n v="8315.43"/>
    <n v="9638.6299999999992"/>
    <x v="3"/>
    <x v="5"/>
    <x v="1"/>
    <x v="0"/>
  </r>
  <r>
    <s v="Rohan Yadav"/>
    <s v="CUST1091"/>
    <x v="86"/>
    <n v="155"/>
    <n v="16207.56"/>
    <n v="8099.1"/>
    <n v="8108.46"/>
    <x v="0"/>
    <x v="7"/>
    <x v="3"/>
    <x v="3"/>
  </r>
  <r>
    <s v="Anjali Mehta"/>
    <s v="CUST1092"/>
    <x v="87"/>
    <n v="172"/>
    <n v="14354.67"/>
    <n v="4433.93"/>
    <n v="9920.74"/>
    <x v="2"/>
    <x v="0"/>
    <x v="2"/>
    <x v="3"/>
  </r>
  <r>
    <s v="Karan Verma"/>
    <s v="CUST1093"/>
    <x v="88"/>
    <n v="37"/>
    <n v="4588.4799999999996"/>
    <n v="2143.39"/>
    <n v="2445.09"/>
    <x v="3"/>
    <x v="1"/>
    <x v="3"/>
    <x v="1"/>
  </r>
  <r>
    <s v="Priya Singh"/>
    <s v="CUST1094"/>
    <x v="38"/>
    <n v="48"/>
    <n v="14627.6"/>
    <n v="5552"/>
    <n v="9075.6"/>
    <x v="0"/>
    <x v="6"/>
    <x v="2"/>
    <x v="2"/>
  </r>
  <r>
    <s v="Rohan Mehta"/>
    <s v="CUST1095"/>
    <x v="89"/>
    <n v="38"/>
    <n v="11629.43"/>
    <n v="1467.06"/>
    <n v="10162.370000000001"/>
    <x v="3"/>
    <x v="1"/>
    <x v="0"/>
    <x v="3"/>
  </r>
  <r>
    <s v="Neha Sharma"/>
    <s v="CUST1096"/>
    <x v="90"/>
    <n v="163"/>
    <n v="778.87"/>
    <n v="141.83000000000001"/>
    <n v="637.04"/>
    <x v="4"/>
    <x v="1"/>
    <x v="3"/>
    <x v="1"/>
  </r>
  <r>
    <s v="Pooja Yadav"/>
    <s v="CUST1097"/>
    <x v="91"/>
    <n v="89"/>
    <n v="3836.19"/>
    <n v="583.83000000000004"/>
    <n v="3252.36"/>
    <x v="2"/>
    <x v="1"/>
    <x v="1"/>
    <x v="3"/>
  </r>
  <r>
    <s v="Sneha Joshi"/>
    <s v="CUST1098"/>
    <x v="92"/>
    <n v="113"/>
    <n v="2444.6"/>
    <n v="949.18"/>
    <n v="1495.42"/>
    <x v="2"/>
    <x v="4"/>
    <x v="3"/>
    <x v="3"/>
  </r>
  <r>
    <s v="Vikas Mehta"/>
    <s v="CUST1099"/>
    <x v="93"/>
    <n v="125"/>
    <n v="15462.96"/>
    <n v="4909.08"/>
    <n v="10553.88"/>
    <x v="3"/>
    <x v="4"/>
    <x v="3"/>
    <x v="1"/>
  </r>
  <r>
    <s v="Anjali Gupta"/>
    <s v="CUST1100"/>
    <x v="94"/>
    <n v="7"/>
    <n v="19298.599999999999"/>
    <n v="8674.89"/>
    <n v="10623.71"/>
    <x v="4"/>
    <x v="7"/>
    <x v="0"/>
    <x v="1"/>
  </r>
  <r>
    <s v="Karan Joshi"/>
    <s v="CUST1101"/>
    <x v="95"/>
    <n v="89"/>
    <n v="6209.91"/>
    <n v="2021.54"/>
    <n v="4188.37"/>
    <x v="3"/>
    <x v="2"/>
    <x v="1"/>
    <x v="3"/>
  </r>
  <r>
    <s v="Neha Singh"/>
    <s v="CUST1102"/>
    <x v="27"/>
    <n v="5"/>
    <n v="4053.67"/>
    <n v="819.5"/>
    <n v="3234.17"/>
    <x v="2"/>
    <x v="2"/>
    <x v="0"/>
    <x v="2"/>
  </r>
  <r>
    <s v="Karan Singh"/>
    <s v="CUST1103"/>
    <x v="96"/>
    <n v="136"/>
    <n v="3418.39"/>
    <n v="1492.13"/>
    <n v="1926.26"/>
    <x v="4"/>
    <x v="0"/>
    <x v="2"/>
    <x v="0"/>
  </r>
  <r>
    <s v="Priya Joshi"/>
    <s v="CUST1104"/>
    <x v="59"/>
    <n v="103"/>
    <n v="6000.28"/>
    <n v="837.74"/>
    <n v="5162.54"/>
    <x v="0"/>
    <x v="7"/>
    <x v="1"/>
    <x v="2"/>
  </r>
  <r>
    <s v="Neha Joshi"/>
    <s v="CUST1105"/>
    <x v="97"/>
    <n v="20"/>
    <n v="5101.45"/>
    <n v="1416.66"/>
    <n v="3684.79"/>
    <x v="1"/>
    <x v="0"/>
    <x v="0"/>
    <x v="1"/>
  </r>
  <r>
    <s v="Rohan Verma"/>
    <s v="CUST1106"/>
    <x v="98"/>
    <n v="124"/>
    <n v="16466.580000000002"/>
    <n v="3197.2"/>
    <n v="13269.38"/>
    <x v="4"/>
    <x v="1"/>
    <x v="2"/>
    <x v="0"/>
  </r>
  <r>
    <s v="Rohan Singh"/>
    <s v="CUST1107"/>
    <x v="99"/>
    <n v="90"/>
    <n v="1503.58"/>
    <n v="172.4"/>
    <n v="1331.18"/>
    <x v="1"/>
    <x v="2"/>
    <x v="1"/>
    <x v="1"/>
  </r>
  <r>
    <s v="Pooja Verma"/>
    <s v="CUST1108"/>
    <x v="96"/>
    <n v="114"/>
    <n v="2933.93"/>
    <n v="1143.68"/>
    <n v="1790.25"/>
    <x v="1"/>
    <x v="3"/>
    <x v="0"/>
    <x v="2"/>
  </r>
  <r>
    <s v="Karan Patel"/>
    <s v="CUST1109"/>
    <x v="75"/>
    <n v="161"/>
    <n v="12009.09"/>
    <n v="4889.2299999999996"/>
    <n v="7119.86"/>
    <x v="0"/>
    <x v="6"/>
    <x v="0"/>
    <x v="0"/>
  </r>
  <r>
    <s v="Neha Patel"/>
    <s v="CUST1110"/>
    <x v="100"/>
    <n v="185"/>
    <n v="6893.41"/>
    <n v="2696.42"/>
    <n v="4196.99"/>
    <x v="3"/>
    <x v="1"/>
    <x v="3"/>
    <x v="1"/>
  </r>
  <r>
    <s v="Sneha Gupta"/>
    <s v="CUST1111"/>
    <x v="37"/>
    <n v="44"/>
    <n v="17537.22"/>
    <n v="3918.26"/>
    <n v="13618.96"/>
    <x v="0"/>
    <x v="6"/>
    <x v="2"/>
    <x v="1"/>
  </r>
  <r>
    <s v="Amit Mehta"/>
    <s v="CUST1112"/>
    <x v="101"/>
    <n v="171"/>
    <n v="9941.18"/>
    <n v="2180.6999999999998"/>
    <n v="7760.48"/>
    <x v="0"/>
    <x v="1"/>
    <x v="0"/>
    <x v="1"/>
  </r>
  <r>
    <s v="Vikas Joshi"/>
    <s v="CUST1113"/>
    <x v="4"/>
    <n v="164"/>
    <n v="10205.69"/>
    <n v="3389.74"/>
    <n v="6815.95"/>
    <x v="1"/>
    <x v="4"/>
    <x v="0"/>
    <x v="1"/>
  </r>
  <r>
    <s v="Amit Yadav"/>
    <s v="CUST1114"/>
    <x v="94"/>
    <n v="150"/>
    <n v="9950.02"/>
    <n v="2622.49"/>
    <n v="7327.53"/>
    <x v="1"/>
    <x v="5"/>
    <x v="1"/>
    <x v="0"/>
  </r>
  <r>
    <s v="Pooja Gupta"/>
    <s v="CUST1115"/>
    <x v="102"/>
    <n v="155"/>
    <n v="2245.17"/>
    <n v="369.82"/>
    <n v="1875.35"/>
    <x v="3"/>
    <x v="5"/>
    <x v="0"/>
    <x v="3"/>
  </r>
  <r>
    <s v="Anjali Gupta"/>
    <s v="CUST1116"/>
    <x v="103"/>
    <n v="101"/>
    <n v="14393.95"/>
    <n v="6967.45"/>
    <n v="7426.5"/>
    <x v="0"/>
    <x v="7"/>
    <x v="0"/>
    <x v="0"/>
  </r>
  <r>
    <s v="Rohan Sharma"/>
    <s v="CUST1117"/>
    <x v="104"/>
    <n v="146"/>
    <n v="3696.68"/>
    <n v="916.01"/>
    <n v="2780.67"/>
    <x v="1"/>
    <x v="5"/>
    <x v="3"/>
    <x v="0"/>
  </r>
  <r>
    <s v="Rahul Yadav"/>
    <s v="CUST1118"/>
    <x v="105"/>
    <n v="92"/>
    <n v="16385.53"/>
    <n v="5937.79"/>
    <n v="10447.74"/>
    <x v="4"/>
    <x v="6"/>
    <x v="1"/>
    <x v="1"/>
  </r>
  <r>
    <s v="Anjali Yadav"/>
    <s v="CUST1119"/>
    <x v="106"/>
    <n v="163"/>
    <n v="5337.16"/>
    <n v="974.26"/>
    <n v="4362.8999999999996"/>
    <x v="4"/>
    <x v="4"/>
    <x v="1"/>
    <x v="2"/>
  </r>
  <r>
    <s v="Neha Yadav"/>
    <s v="CUST1120"/>
    <x v="107"/>
    <n v="86"/>
    <n v="7100.91"/>
    <n v="2021.67"/>
    <n v="5079.24"/>
    <x v="4"/>
    <x v="4"/>
    <x v="3"/>
    <x v="1"/>
  </r>
  <r>
    <s v="Amit Gupta"/>
    <s v="CUST1121"/>
    <x v="108"/>
    <n v="160"/>
    <n v="9994.1299999999992"/>
    <n v="4252.7299999999996"/>
    <n v="5741.4"/>
    <x v="0"/>
    <x v="0"/>
    <x v="3"/>
    <x v="0"/>
  </r>
  <r>
    <s v="Anjali Mehta"/>
    <s v="CUST1122"/>
    <x v="65"/>
    <n v="113"/>
    <n v="17926.03"/>
    <n v="3551"/>
    <n v="14375.03"/>
    <x v="4"/>
    <x v="4"/>
    <x v="0"/>
    <x v="1"/>
  </r>
  <r>
    <s v="Priya Joshi"/>
    <s v="CUST1123"/>
    <x v="109"/>
    <n v="180"/>
    <n v="12881.92"/>
    <n v="4914.6899999999996"/>
    <n v="7967.23"/>
    <x v="2"/>
    <x v="2"/>
    <x v="1"/>
    <x v="1"/>
  </r>
  <r>
    <s v="Priya Patel"/>
    <s v="CUST1124"/>
    <x v="110"/>
    <n v="183"/>
    <n v="11999.59"/>
    <n v="1790.66"/>
    <n v="10208.93"/>
    <x v="0"/>
    <x v="6"/>
    <x v="2"/>
    <x v="2"/>
  </r>
  <r>
    <s v="Karan Mehta"/>
    <s v="CUST1125"/>
    <x v="111"/>
    <n v="35"/>
    <n v="18433.04"/>
    <n v="8452.4599999999991"/>
    <n v="9980.58"/>
    <x v="1"/>
    <x v="5"/>
    <x v="3"/>
    <x v="3"/>
  </r>
  <r>
    <s v="Sneha Sharma"/>
    <s v="CUST1126"/>
    <x v="112"/>
    <n v="141"/>
    <n v="3184.74"/>
    <n v="327.8"/>
    <n v="2856.94"/>
    <x v="3"/>
    <x v="7"/>
    <x v="2"/>
    <x v="3"/>
  </r>
  <r>
    <s v="Priya Singh"/>
    <s v="CUST1127"/>
    <x v="113"/>
    <n v="166"/>
    <n v="16249.35"/>
    <n v="7179.76"/>
    <n v="9069.59"/>
    <x v="1"/>
    <x v="0"/>
    <x v="0"/>
    <x v="0"/>
  </r>
  <r>
    <s v="Sneha Gupta"/>
    <s v="CUST1128"/>
    <x v="9"/>
    <n v="142"/>
    <n v="19967.61"/>
    <n v="8448.3799999999992"/>
    <n v="11519.23"/>
    <x v="4"/>
    <x v="1"/>
    <x v="1"/>
    <x v="2"/>
  </r>
  <r>
    <s v="Anjali Joshi"/>
    <s v="CUST1129"/>
    <x v="114"/>
    <n v="95"/>
    <n v="7353.84"/>
    <n v="954.51"/>
    <n v="6399.33"/>
    <x v="4"/>
    <x v="4"/>
    <x v="3"/>
    <x v="1"/>
  </r>
  <r>
    <s v="Neha Mehta"/>
    <s v="CUST1130"/>
    <x v="6"/>
    <n v="180"/>
    <n v="5013.22"/>
    <n v="1427.21"/>
    <n v="3586.01"/>
    <x v="4"/>
    <x v="5"/>
    <x v="1"/>
    <x v="2"/>
  </r>
  <r>
    <s v="Amit Singh"/>
    <s v="CUST1131"/>
    <x v="115"/>
    <n v="90"/>
    <n v="14379.53"/>
    <n v="3480.04"/>
    <n v="10899.49"/>
    <x v="2"/>
    <x v="0"/>
    <x v="1"/>
    <x v="2"/>
  </r>
  <r>
    <s v="Pooja Sharma"/>
    <s v="CUST1132"/>
    <x v="116"/>
    <n v="159"/>
    <n v="8813.6299999999992"/>
    <n v="2323.0500000000002"/>
    <n v="6490.58"/>
    <x v="3"/>
    <x v="2"/>
    <x v="0"/>
    <x v="0"/>
  </r>
  <r>
    <s v="Karan Sharma"/>
    <s v="CUST1133"/>
    <x v="59"/>
    <n v="123"/>
    <n v="17364.79"/>
    <n v="7655.23"/>
    <n v="9709.56"/>
    <x v="1"/>
    <x v="5"/>
    <x v="3"/>
    <x v="2"/>
  </r>
  <r>
    <s v="Rahul Yadav"/>
    <s v="CUST1134"/>
    <x v="47"/>
    <n v="181"/>
    <n v="15310.87"/>
    <n v="6838.71"/>
    <n v="8472.16"/>
    <x v="0"/>
    <x v="0"/>
    <x v="1"/>
    <x v="2"/>
  </r>
  <r>
    <s v="Karan Joshi"/>
    <s v="CUST1135"/>
    <x v="117"/>
    <n v="60"/>
    <n v="11440.16"/>
    <n v="1711.59"/>
    <n v="9728.57"/>
    <x v="0"/>
    <x v="2"/>
    <x v="3"/>
    <x v="1"/>
  </r>
  <r>
    <s v="Pooja Sharma"/>
    <s v="CUST1136"/>
    <x v="118"/>
    <n v="194"/>
    <n v="7231.16"/>
    <n v="3269.4"/>
    <n v="3961.76"/>
    <x v="3"/>
    <x v="5"/>
    <x v="1"/>
    <x v="3"/>
  </r>
  <r>
    <s v="Priya Singh"/>
    <s v="CUST1137"/>
    <x v="24"/>
    <n v="199"/>
    <n v="15200.54"/>
    <n v="6509.84"/>
    <n v="8690.7000000000007"/>
    <x v="4"/>
    <x v="3"/>
    <x v="1"/>
    <x v="1"/>
  </r>
  <r>
    <s v="Anjali Patel"/>
    <s v="CUST1138"/>
    <x v="119"/>
    <n v="104"/>
    <n v="11522.66"/>
    <n v="1387.19"/>
    <n v="10135.469999999999"/>
    <x v="0"/>
    <x v="1"/>
    <x v="1"/>
    <x v="0"/>
  </r>
  <r>
    <s v="Neha Mehta"/>
    <s v="CUST1139"/>
    <x v="120"/>
    <n v="25"/>
    <n v="6292.79"/>
    <n v="2699.83"/>
    <n v="3592.96"/>
    <x v="0"/>
    <x v="6"/>
    <x v="1"/>
    <x v="1"/>
  </r>
  <r>
    <s v="Neha Joshi"/>
    <s v="CUST1140"/>
    <x v="121"/>
    <n v="52"/>
    <n v="4610.1400000000003"/>
    <n v="487.5"/>
    <n v="4122.6400000000003"/>
    <x v="3"/>
    <x v="4"/>
    <x v="1"/>
    <x v="1"/>
  </r>
  <r>
    <s v="Karan Joshi"/>
    <s v="CUST1141"/>
    <x v="122"/>
    <n v="156"/>
    <n v="1311.93"/>
    <n v="363.6"/>
    <n v="948.33"/>
    <x v="1"/>
    <x v="5"/>
    <x v="2"/>
    <x v="1"/>
  </r>
  <r>
    <s v="Karan Sharma"/>
    <s v="CUST1142"/>
    <x v="123"/>
    <n v="84"/>
    <n v="7756.6"/>
    <n v="3792.5"/>
    <n v="3964.1"/>
    <x v="2"/>
    <x v="4"/>
    <x v="0"/>
    <x v="3"/>
  </r>
  <r>
    <s v="Priya Yadav"/>
    <s v="CUST1143"/>
    <x v="124"/>
    <n v="138"/>
    <n v="4445.6400000000003"/>
    <n v="1608.88"/>
    <n v="2836.76"/>
    <x v="4"/>
    <x v="4"/>
    <x v="2"/>
    <x v="0"/>
  </r>
  <r>
    <s v="Neha Verma"/>
    <s v="CUST1144"/>
    <x v="125"/>
    <n v="114"/>
    <n v="703.8"/>
    <n v="340.98"/>
    <n v="362.82"/>
    <x v="2"/>
    <x v="5"/>
    <x v="3"/>
    <x v="2"/>
  </r>
  <r>
    <s v="Amit Mehta"/>
    <s v="CUST1145"/>
    <x v="126"/>
    <n v="47"/>
    <n v="11843.12"/>
    <n v="5128.6099999999997"/>
    <n v="6714.51"/>
    <x v="3"/>
    <x v="7"/>
    <x v="2"/>
    <x v="3"/>
  </r>
  <r>
    <s v="Pooja Mehta"/>
    <s v="CUST1146"/>
    <x v="74"/>
    <n v="169"/>
    <n v="11004.81"/>
    <n v="3790.74"/>
    <n v="7214.07"/>
    <x v="0"/>
    <x v="5"/>
    <x v="0"/>
    <x v="2"/>
  </r>
  <r>
    <s v="Priya Mehta"/>
    <s v="CUST1147"/>
    <x v="127"/>
    <n v="62"/>
    <n v="19211.7"/>
    <n v="5834.45"/>
    <n v="13377.25"/>
    <x v="0"/>
    <x v="3"/>
    <x v="3"/>
    <x v="1"/>
  </r>
  <r>
    <s v="Sneha Patel"/>
    <s v="CUST1148"/>
    <x v="128"/>
    <n v="24"/>
    <n v="13303.9"/>
    <n v="4946.1099999999997"/>
    <n v="8357.7900000000009"/>
    <x v="2"/>
    <x v="1"/>
    <x v="2"/>
    <x v="2"/>
  </r>
  <r>
    <s v="Anjali Verma"/>
    <s v="CUST1149"/>
    <x v="40"/>
    <n v="196"/>
    <n v="4041.03"/>
    <n v="494.22"/>
    <n v="3546.81"/>
    <x v="0"/>
    <x v="1"/>
    <x v="1"/>
    <x v="0"/>
  </r>
  <r>
    <s v="Amit Yadav"/>
    <s v="CUST1150"/>
    <x v="58"/>
    <n v="126"/>
    <n v="2175.94"/>
    <n v="599.47"/>
    <n v="1576.47"/>
    <x v="2"/>
    <x v="1"/>
    <x v="3"/>
    <x v="0"/>
  </r>
  <r>
    <s v="Vikas Sharma"/>
    <s v="CUST1151"/>
    <x v="129"/>
    <n v="11"/>
    <n v="3842.77"/>
    <n v="1784.29"/>
    <n v="2058.48"/>
    <x v="2"/>
    <x v="2"/>
    <x v="3"/>
    <x v="1"/>
  </r>
  <r>
    <s v="Karan Sharma"/>
    <s v="CUST1152"/>
    <x v="130"/>
    <n v="78"/>
    <n v="7759.54"/>
    <n v="2787.95"/>
    <n v="4971.59"/>
    <x v="2"/>
    <x v="3"/>
    <x v="1"/>
    <x v="3"/>
  </r>
  <r>
    <s v="Karan Mehta"/>
    <s v="CUST1153"/>
    <x v="131"/>
    <n v="179"/>
    <n v="989.94"/>
    <n v="410.04"/>
    <n v="579.9"/>
    <x v="0"/>
    <x v="2"/>
    <x v="2"/>
    <x v="2"/>
  </r>
  <r>
    <s v="Amit Singh"/>
    <s v="CUST1154"/>
    <x v="132"/>
    <n v="53"/>
    <n v="11465.79"/>
    <n v="2921.41"/>
    <n v="8544.3799999999992"/>
    <x v="3"/>
    <x v="1"/>
    <x v="2"/>
    <x v="1"/>
  </r>
  <r>
    <s v="Vikas Sharma"/>
    <s v="CUST1155"/>
    <x v="22"/>
    <n v="169"/>
    <n v="16291.39"/>
    <n v="2728.46"/>
    <n v="13562.93"/>
    <x v="4"/>
    <x v="1"/>
    <x v="2"/>
    <x v="2"/>
  </r>
  <r>
    <s v="Rohan Sharma"/>
    <s v="CUST1156"/>
    <x v="34"/>
    <n v="37"/>
    <n v="12015.16"/>
    <n v="3019.34"/>
    <n v="8995.82"/>
    <x v="1"/>
    <x v="1"/>
    <x v="3"/>
    <x v="3"/>
  </r>
  <r>
    <s v="Vikas Gupta"/>
    <s v="CUST1157"/>
    <x v="67"/>
    <n v="3"/>
    <n v="8376.16"/>
    <n v="2802.19"/>
    <n v="5573.97"/>
    <x v="1"/>
    <x v="0"/>
    <x v="1"/>
    <x v="2"/>
  </r>
  <r>
    <s v="Pooja Sharma"/>
    <s v="CUST1158"/>
    <x v="90"/>
    <n v="178"/>
    <n v="7969.82"/>
    <n v="1766.11"/>
    <n v="6203.71"/>
    <x v="0"/>
    <x v="2"/>
    <x v="2"/>
    <x v="1"/>
  </r>
  <r>
    <s v="Amit Patel"/>
    <s v="CUST1159"/>
    <x v="133"/>
    <n v="126"/>
    <n v="1423.36"/>
    <n v="405.98"/>
    <n v="1017.38"/>
    <x v="4"/>
    <x v="6"/>
    <x v="1"/>
    <x v="2"/>
  </r>
  <r>
    <s v="Karan Joshi"/>
    <s v="CUST1160"/>
    <x v="134"/>
    <n v="146"/>
    <n v="5303.83"/>
    <n v="1037.45"/>
    <n v="4266.38"/>
    <x v="0"/>
    <x v="0"/>
    <x v="0"/>
    <x v="0"/>
  </r>
  <r>
    <s v="Priya Verma"/>
    <s v="CUST1161"/>
    <x v="135"/>
    <n v="10"/>
    <n v="9432.24"/>
    <n v="4303.58"/>
    <n v="5128.66"/>
    <x v="4"/>
    <x v="3"/>
    <x v="1"/>
    <x v="3"/>
  </r>
  <r>
    <s v="Amit Patel"/>
    <s v="CUST1162"/>
    <x v="16"/>
    <n v="112"/>
    <n v="12344.88"/>
    <n v="4009.08"/>
    <n v="8335.7999999999993"/>
    <x v="4"/>
    <x v="7"/>
    <x v="0"/>
    <x v="3"/>
  </r>
  <r>
    <s v="Priya Mehta"/>
    <s v="CUST1163"/>
    <x v="136"/>
    <n v="146"/>
    <n v="382.8"/>
    <n v="168.02"/>
    <n v="214.78"/>
    <x v="1"/>
    <x v="2"/>
    <x v="3"/>
    <x v="0"/>
  </r>
  <r>
    <s v="Priya Sharma"/>
    <s v="CUST1164"/>
    <x v="137"/>
    <n v="98"/>
    <n v="3146.64"/>
    <n v="1206.04"/>
    <n v="1940.6"/>
    <x v="3"/>
    <x v="0"/>
    <x v="2"/>
    <x v="3"/>
  </r>
  <r>
    <s v="Anjali Yadav"/>
    <s v="CUST1165"/>
    <x v="138"/>
    <n v="113"/>
    <n v="1480.72"/>
    <n v="594.79"/>
    <n v="885.93"/>
    <x v="2"/>
    <x v="6"/>
    <x v="2"/>
    <x v="3"/>
  </r>
  <r>
    <s v="Karan Mehta"/>
    <s v="CUST1166"/>
    <x v="43"/>
    <n v="29"/>
    <n v="13726.78"/>
    <n v="4612.6099999999997"/>
    <n v="9114.17"/>
    <x v="2"/>
    <x v="3"/>
    <x v="2"/>
    <x v="2"/>
  </r>
  <r>
    <s v="Anjali Sharma"/>
    <s v="CUST1167"/>
    <x v="139"/>
    <n v="27"/>
    <n v="13717.9"/>
    <n v="6826.57"/>
    <n v="6891.33"/>
    <x v="3"/>
    <x v="3"/>
    <x v="1"/>
    <x v="1"/>
  </r>
  <r>
    <s v="Priya Sharma"/>
    <s v="CUST1168"/>
    <x v="140"/>
    <n v="140"/>
    <n v="1571.09"/>
    <n v="377.78"/>
    <n v="1193.31"/>
    <x v="0"/>
    <x v="1"/>
    <x v="3"/>
    <x v="0"/>
  </r>
  <r>
    <s v="Sneha Singh"/>
    <s v="CUST1169"/>
    <x v="141"/>
    <n v="126"/>
    <n v="12290.91"/>
    <n v="4448.59"/>
    <n v="7842.32"/>
    <x v="0"/>
    <x v="7"/>
    <x v="2"/>
    <x v="0"/>
  </r>
  <r>
    <s v="Karan Mehta"/>
    <s v="CUST1170"/>
    <x v="76"/>
    <n v="37"/>
    <n v="5808.58"/>
    <n v="1205.9100000000001"/>
    <n v="4602.67"/>
    <x v="0"/>
    <x v="6"/>
    <x v="2"/>
    <x v="2"/>
  </r>
  <r>
    <s v="Rahul Gupta"/>
    <s v="CUST1171"/>
    <x v="142"/>
    <n v="77"/>
    <n v="2965.28"/>
    <n v="937.11"/>
    <n v="2028.17"/>
    <x v="2"/>
    <x v="0"/>
    <x v="1"/>
    <x v="3"/>
  </r>
  <r>
    <s v="Anjali Singh"/>
    <s v="CUST1172"/>
    <x v="143"/>
    <n v="108"/>
    <n v="17684.07"/>
    <n v="5584.05"/>
    <n v="12100.02"/>
    <x v="0"/>
    <x v="7"/>
    <x v="1"/>
    <x v="0"/>
  </r>
  <r>
    <s v="Anjali Mehta"/>
    <s v="CUST1173"/>
    <x v="144"/>
    <n v="171"/>
    <n v="8037.77"/>
    <n v="1693.37"/>
    <n v="6344.4"/>
    <x v="4"/>
    <x v="0"/>
    <x v="2"/>
    <x v="3"/>
  </r>
  <r>
    <s v="Pooja Singh"/>
    <s v="CUST1174"/>
    <x v="145"/>
    <n v="169"/>
    <n v="15704.1"/>
    <n v="5569.21"/>
    <n v="10134.89"/>
    <x v="0"/>
    <x v="1"/>
    <x v="3"/>
    <x v="2"/>
  </r>
  <r>
    <s v="Priya Gupta"/>
    <s v="CUST1175"/>
    <x v="75"/>
    <n v="121"/>
    <n v="2262.14"/>
    <n v="540.89"/>
    <n v="1721.25"/>
    <x v="1"/>
    <x v="1"/>
    <x v="0"/>
    <x v="3"/>
  </r>
  <r>
    <s v="Priya Mehta"/>
    <s v="CUST1176"/>
    <x v="5"/>
    <n v="41"/>
    <n v="13227.06"/>
    <n v="1655.38"/>
    <n v="11571.68"/>
    <x v="0"/>
    <x v="2"/>
    <x v="1"/>
    <x v="1"/>
  </r>
  <r>
    <s v="Priya Gupta"/>
    <s v="CUST1177"/>
    <x v="146"/>
    <n v="171"/>
    <n v="3529.58"/>
    <n v="376.07"/>
    <n v="3153.51"/>
    <x v="2"/>
    <x v="2"/>
    <x v="1"/>
    <x v="3"/>
  </r>
  <r>
    <s v="Neha Gupta"/>
    <s v="CUST1178"/>
    <x v="147"/>
    <n v="120"/>
    <n v="4989.3999999999996"/>
    <n v="1020.9"/>
    <n v="3968.5"/>
    <x v="0"/>
    <x v="4"/>
    <x v="0"/>
    <x v="1"/>
  </r>
  <r>
    <s v="Amit Patel"/>
    <s v="CUST1179"/>
    <x v="148"/>
    <n v="3"/>
    <n v="18411.419999999998"/>
    <n v="2802.49"/>
    <n v="15608.93"/>
    <x v="1"/>
    <x v="5"/>
    <x v="3"/>
    <x v="2"/>
  </r>
  <r>
    <s v="Priya Verma"/>
    <s v="CUST1180"/>
    <x v="149"/>
    <n v="79"/>
    <n v="16829.5"/>
    <n v="5971.51"/>
    <n v="10857.99"/>
    <x v="1"/>
    <x v="7"/>
    <x v="1"/>
    <x v="2"/>
  </r>
  <r>
    <s v="Neha Joshi"/>
    <s v="CUST1181"/>
    <x v="58"/>
    <n v="26"/>
    <n v="16066.48"/>
    <n v="7006.19"/>
    <n v="9060.2900000000009"/>
    <x v="4"/>
    <x v="2"/>
    <x v="1"/>
    <x v="1"/>
  </r>
  <r>
    <s v="Karan Gupta"/>
    <s v="CUST1182"/>
    <x v="86"/>
    <n v="144"/>
    <n v="11091.19"/>
    <n v="3462.37"/>
    <n v="7628.82"/>
    <x v="1"/>
    <x v="0"/>
    <x v="0"/>
    <x v="3"/>
  </r>
  <r>
    <s v="Sneha Patel"/>
    <s v="CUST1183"/>
    <x v="150"/>
    <n v="11"/>
    <n v="2798.41"/>
    <n v="972.78"/>
    <n v="1825.63"/>
    <x v="0"/>
    <x v="7"/>
    <x v="2"/>
    <x v="1"/>
  </r>
  <r>
    <s v="Pooja Mehta"/>
    <s v="CUST1184"/>
    <x v="151"/>
    <n v="150"/>
    <n v="11481.01"/>
    <n v="3686.17"/>
    <n v="7794.84"/>
    <x v="3"/>
    <x v="7"/>
    <x v="3"/>
    <x v="2"/>
  </r>
  <r>
    <s v="Amit Mehta"/>
    <s v="CUST1185"/>
    <x v="152"/>
    <n v="46"/>
    <n v="2785.37"/>
    <n v="1058.32"/>
    <n v="1727.05"/>
    <x v="0"/>
    <x v="2"/>
    <x v="0"/>
    <x v="3"/>
  </r>
  <r>
    <s v="Anjali Joshi"/>
    <s v="CUST1186"/>
    <x v="153"/>
    <n v="22"/>
    <n v="7158.77"/>
    <n v="762.92"/>
    <n v="6395.85"/>
    <x v="0"/>
    <x v="3"/>
    <x v="1"/>
    <x v="3"/>
  </r>
  <r>
    <s v="Anjali Joshi"/>
    <s v="CUST1187"/>
    <x v="77"/>
    <n v="132"/>
    <n v="5676.89"/>
    <n v="1656.67"/>
    <n v="4020.22"/>
    <x v="3"/>
    <x v="7"/>
    <x v="3"/>
    <x v="3"/>
  </r>
  <r>
    <s v="Rahul Singh"/>
    <s v="CUST1188"/>
    <x v="154"/>
    <n v="79"/>
    <n v="5335.96"/>
    <n v="541.79999999999995"/>
    <n v="4794.16"/>
    <x v="1"/>
    <x v="3"/>
    <x v="3"/>
    <x v="0"/>
  </r>
  <r>
    <s v="Amit Mehta"/>
    <s v="CUST1189"/>
    <x v="155"/>
    <n v="9"/>
    <n v="2699.93"/>
    <n v="293.48"/>
    <n v="2406.4499999999998"/>
    <x v="2"/>
    <x v="3"/>
    <x v="0"/>
    <x v="2"/>
  </r>
  <r>
    <s v="Rohan Singh"/>
    <s v="CUST1190"/>
    <x v="156"/>
    <n v="98"/>
    <n v="7829.1"/>
    <n v="1737.16"/>
    <n v="6091.94"/>
    <x v="1"/>
    <x v="1"/>
    <x v="3"/>
    <x v="2"/>
  </r>
  <r>
    <s v="Karan Gupta"/>
    <s v="CUST1191"/>
    <x v="53"/>
    <n v="182"/>
    <n v="6908.36"/>
    <n v="848.61"/>
    <n v="6059.75"/>
    <x v="1"/>
    <x v="0"/>
    <x v="1"/>
    <x v="2"/>
  </r>
  <r>
    <s v="Vikas Patel"/>
    <s v="CUST1192"/>
    <x v="157"/>
    <n v="172"/>
    <n v="1787.43"/>
    <n v="417.38"/>
    <n v="1370.05"/>
    <x v="1"/>
    <x v="5"/>
    <x v="0"/>
    <x v="3"/>
  </r>
  <r>
    <s v="Amit Singh"/>
    <s v="CUST1193"/>
    <x v="118"/>
    <n v="46"/>
    <n v="7530.43"/>
    <n v="3301.32"/>
    <n v="4229.1099999999997"/>
    <x v="4"/>
    <x v="5"/>
    <x v="0"/>
    <x v="1"/>
  </r>
  <r>
    <s v="Rahul Mehta"/>
    <s v="CUST1194"/>
    <x v="158"/>
    <n v="19"/>
    <n v="3209.25"/>
    <n v="800.87"/>
    <n v="2408.38"/>
    <x v="0"/>
    <x v="4"/>
    <x v="0"/>
    <x v="1"/>
  </r>
  <r>
    <s v="Rahul Verma"/>
    <s v="CUST1195"/>
    <x v="38"/>
    <n v="191"/>
    <n v="18538.580000000002"/>
    <n v="7893.17"/>
    <n v="10645.41"/>
    <x v="3"/>
    <x v="3"/>
    <x v="1"/>
    <x v="3"/>
  </r>
  <r>
    <s v="Priya Sharma"/>
    <s v="CUST1196"/>
    <x v="100"/>
    <n v="21"/>
    <n v="7799.33"/>
    <n v="1948.42"/>
    <n v="5850.91"/>
    <x v="4"/>
    <x v="7"/>
    <x v="2"/>
    <x v="0"/>
  </r>
  <r>
    <s v="Pooja Verma"/>
    <s v="CUST1197"/>
    <x v="159"/>
    <n v="74"/>
    <n v="14658.14"/>
    <n v="3859.12"/>
    <n v="10799.02"/>
    <x v="3"/>
    <x v="7"/>
    <x v="2"/>
    <x v="1"/>
  </r>
  <r>
    <s v="Amit Verma"/>
    <s v="CUST1198"/>
    <x v="160"/>
    <n v="68"/>
    <n v="2963.47"/>
    <n v="839.26"/>
    <n v="2124.21"/>
    <x v="4"/>
    <x v="5"/>
    <x v="0"/>
    <x v="3"/>
  </r>
  <r>
    <s v="Neha Mehta"/>
    <s v="CUST1199"/>
    <x v="161"/>
    <n v="59"/>
    <n v="3332.23"/>
    <n v="819.33"/>
    <n v="2512.9"/>
    <x v="2"/>
    <x v="6"/>
    <x v="1"/>
    <x v="2"/>
  </r>
  <r>
    <s v="Priya Gupta"/>
    <s v="CUST1200"/>
    <x v="162"/>
    <n v="89"/>
    <n v="14735.32"/>
    <n v="4240.53"/>
    <n v="10494.79"/>
    <x v="1"/>
    <x v="6"/>
    <x v="2"/>
    <x v="1"/>
  </r>
  <r>
    <s v="Rahul Patel"/>
    <s v="CUST1201"/>
    <x v="163"/>
    <n v="89"/>
    <n v="18063.599999999999"/>
    <n v="8595.35"/>
    <n v="9468.25"/>
    <x v="0"/>
    <x v="5"/>
    <x v="1"/>
    <x v="1"/>
  </r>
  <r>
    <s v="Amit Mehta"/>
    <s v="CUST1202"/>
    <x v="164"/>
    <n v="198"/>
    <n v="18335.03"/>
    <n v="6516.42"/>
    <n v="11818.61"/>
    <x v="2"/>
    <x v="5"/>
    <x v="3"/>
    <x v="2"/>
  </r>
  <r>
    <s v="Sneha Mehta"/>
    <s v="CUST1203"/>
    <x v="165"/>
    <n v="123"/>
    <n v="7471.82"/>
    <n v="2838.55"/>
    <n v="4633.2700000000004"/>
    <x v="0"/>
    <x v="4"/>
    <x v="2"/>
    <x v="3"/>
  </r>
  <r>
    <s v="Pooja Verma"/>
    <s v="CUST1204"/>
    <x v="79"/>
    <n v="177"/>
    <n v="7122.61"/>
    <n v="2236.66"/>
    <n v="4885.95"/>
    <x v="0"/>
    <x v="4"/>
    <x v="1"/>
    <x v="0"/>
  </r>
  <r>
    <s v="Sneha Yadav"/>
    <s v="CUST1205"/>
    <x v="166"/>
    <n v="37"/>
    <n v="14783.4"/>
    <n v="5111.72"/>
    <n v="9671.68"/>
    <x v="3"/>
    <x v="2"/>
    <x v="3"/>
    <x v="0"/>
  </r>
  <r>
    <s v="Neha Gupta"/>
    <s v="CUST1206"/>
    <x v="84"/>
    <n v="4"/>
    <n v="8744.19"/>
    <n v="1513.08"/>
    <n v="7231.11"/>
    <x v="4"/>
    <x v="2"/>
    <x v="2"/>
    <x v="3"/>
  </r>
  <r>
    <s v="Amit Sharma"/>
    <s v="CUST1207"/>
    <x v="125"/>
    <n v="121"/>
    <n v="3083.01"/>
    <n v="1125.53"/>
    <n v="1957.48"/>
    <x v="3"/>
    <x v="7"/>
    <x v="1"/>
    <x v="3"/>
  </r>
  <r>
    <s v="Vikas Joshi"/>
    <s v="CUST1208"/>
    <x v="119"/>
    <n v="49"/>
    <n v="9782.0400000000009"/>
    <n v="2059.1999999999998"/>
    <n v="7722.84"/>
    <x v="0"/>
    <x v="1"/>
    <x v="2"/>
    <x v="0"/>
  </r>
  <r>
    <s v="Rahul Mehta"/>
    <s v="CUST1209"/>
    <x v="57"/>
    <n v="18"/>
    <n v="19063.71"/>
    <n v="4148.08"/>
    <n v="14915.63"/>
    <x v="2"/>
    <x v="6"/>
    <x v="2"/>
    <x v="3"/>
  </r>
  <r>
    <s v="Karan Yadav"/>
    <s v="CUST1210"/>
    <x v="167"/>
    <n v="56"/>
    <n v="8385.27"/>
    <n v="4149.1400000000003"/>
    <n v="4236.13"/>
    <x v="1"/>
    <x v="2"/>
    <x v="3"/>
    <x v="2"/>
  </r>
  <r>
    <s v="Pooja Gupta"/>
    <s v="CUST1211"/>
    <x v="168"/>
    <n v="32"/>
    <n v="12022.4"/>
    <n v="3464.2"/>
    <n v="8558.2000000000007"/>
    <x v="1"/>
    <x v="4"/>
    <x v="2"/>
    <x v="2"/>
  </r>
  <r>
    <s v="Pooja Yadav"/>
    <s v="CUST1212"/>
    <x v="155"/>
    <n v="5"/>
    <n v="8996.86"/>
    <n v="2997.75"/>
    <n v="5999.11"/>
    <x v="4"/>
    <x v="4"/>
    <x v="2"/>
    <x v="2"/>
  </r>
  <r>
    <s v="Sneha Joshi"/>
    <s v="CUST1213"/>
    <x v="41"/>
    <n v="88"/>
    <n v="11586.67"/>
    <n v="4258.9799999999996"/>
    <n v="7327.69"/>
    <x v="4"/>
    <x v="2"/>
    <x v="3"/>
    <x v="3"/>
  </r>
  <r>
    <s v="Pooja Singh"/>
    <s v="CUST1214"/>
    <x v="169"/>
    <n v="64"/>
    <n v="9822.9"/>
    <n v="3065.72"/>
    <n v="6757.18"/>
    <x v="3"/>
    <x v="4"/>
    <x v="0"/>
    <x v="0"/>
  </r>
  <r>
    <s v="Neha Mehta"/>
    <s v="CUST1215"/>
    <x v="104"/>
    <n v="136"/>
    <n v="9869.7199999999993"/>
    <n v="2555.86"/>
    <n v="7313.86"/>
    <x v="1"/>
    <x v="5"/>
    <x v="1"/>
    <x v="0"/>
  </r>
  <r>
    <s v="Priya Joshi"/>
    <s v="CUST1216"/>
    <x v="170"/>
    <n v="37"/>
    <n v="7339.27"/>
    <n v="1386.36"/>
    <n v="5952.91"/>
    <x v="0"/>
    <x v="0"/>
    <x v="2"/>
    <x v="1"/>
  </r>
  <r>
    <s v="Anjali Mehta"/>
    <s v="CUST1217"/>
    <x v="32"/>
    <n v="159"/>
    <n v="9702.81"/>
    <n v="4284.29"/>
    <n v="5418.52"/>
    <x v="1"/>
    <x v="4"/>
    <x v="1"/>
    <x v="2"/>
  </r>
  <r>
    <s v="Pooja Singh"/>
    <s v="CUST1218"/>
    <x v="171"/>
    <n v="166"/>
    <n v="3845.08"/>
    <n v="501.85"/>
    <n v="3343.23"/>
    <x v="2"/>
    <x v="5"/>
    <x v="3"/>
    <x v="1"/>
  </r>
  <r>
    <s v="Priya Joshi"/>
    <s v="CUST1219"/>
    <x v="172"/>
    <n v="97"/>
    <n v="8517.5300000000007"/>
    <n v="1469.83"/>
    <n v="7047.7"/>
    <x v="3"/>
    <x v="6"/>
    <x v="3"/>
    <x v="3"/>
  </r>
  <r>
    <s v="Neha Joshi"/>
    <s v="CUST1220"/>
    <x v="173"/>
    <n v="8"/>
    <n v="13067.54"/>
    <n v="2548.83"/>
    <n v="10518.71"/>
    <x v="3"/>
    <x v="4"/>
    <x v="1"/>
    <x v="3"/>
  </r>
  <r>
    <s v="Sneha Gupta"/>
    <s v="CUST1221"/>
    <x v="136"/>
    <n v="41"/>
    <n v="11917.52"/>
    <n v="2343.17"/>
    <n v="9574.35"/>
    <x v="3"/>
    <x v="6"/>
    <x v="1"/>
    <x v="2"/>
  </r>
  <r>
    <s v="Priya Yadav"/>
    <s v="CUST1222"/>
    <x v="174"/>
    <n v="42"/>
    <n v="11770.96"/>
    <n v="4365.6000000000004"/>
    <n v="7405.36"/>
    <x v="3"/>
    <x v="5"/>
    <x v="0"/>
    <x v="2"/>
  </r>
  <r>
    <s v="Karan Yadav"/>
    <s v="CUST1223"/>
    <x v="84"/>
    <n v="37"/>
    <n v="6373.85"/>
    <n v="1349.98"/>
    <n v="5023.87"/>
    <x v="2"/>
    <x v="3"/>
    <x v="1"/>
    <x v="2"/>
  </r>
  <r>
    <s v="Rohan Verma"/>
    <s v="CUST1224"/>
    <x v="145"/>
    <n v="157"/>
    <n v="16737.86"/>
    <n v="8137.72"/>
    <n v="8600.14"/>
    <x v="1"/>
    <x v="4"/>
    <x v="0"/>
    <x v="1"/>
  </r>
  <r>
    <s v="Neha Yadav"/>
    <s v="CUST1225"/>
    <x v="175"/>
    <n v="18"/>
    <n v="2884.24"/>
    <n v="1324.15"/>
    <n v="1560.09"/>
    <x v="4"/>
    <x v="0"/>
    <x v="0"/>
    <x v="2"/>
  </r>
  <r>
    <s v="Anjali Mehta"/>
    <s v="CUST1226"/>
    <x v="28"/>
    <n v="106"/>
    <n v="6937.1"/>
    <n v="3275.49"/>
    <n v="3661.61"/>
    <x v="0"/>
    <x v="3"/>
    <x v="1"/>
    <x v="0"/>
  </r>
  <r>
    <s v="Neha Patel"/>
    <s v="CUST1227"/>
    <x v="150"/>
    <n v="54"/>
    <n v="9025.11"/>
    <n v="4096.5"/>
    <n v="4928.6099999999997"/>
    <x v="1"/>
    <x v="0"/>
    <x v="2"/>
    <x v="1"/>
  </r>
  <r>
    <s v="Karan Sharma"/>
    <s v="CUST1228"/>
    <x v="85"/>
    <n v="165"/>
    <n v="16873.57"/>
    <n v="6914.65"/>
    <n v="9958.92"/>
    <x v="3"/>
    <x v="3"/>
    <x v="2"/>
    <x v="3"/>
  </r>
  <r>
    <s v="Neha Verma"/>
    <s v="CUST1229"/>
    <x v="129"/>
    <n v="82"/>
    <n v="6526.71"/>
    <n v="1289.77"/>
    <n v="5236.9399999999996"/>
    <x v="0"/>
    <x v="3"/>
    <x v="3"/>
    <x v="0"/>
  </r>
  <r>
    <s v="Rahul Gupta"/>
    <s v="CUST1230"/>
    <x v="121"/>
    <n v="18"/>
    <n v="898.59"/>
    <n v="237.35"/>
    <n v="661.24"/>
    <x v="4"/>
    <x v="0"/>
    <x v="1"/>
    <x v="1"/>
  </r>
  <r>
    <s v="Anjali Patel"/>
    <s v="CUST1231"/>
    <x v="176"/>
    <n v="95"/>
    <n v="10232.06"/>
    <n v="1722.93"/>
    <n v="8509.1299999999992"/>
    <x v="0"/>
    <x v="0"/>
    <x v="2"/>
    <x v="1"/>
  </r>
  <r>
    <s v="Pooja Joshi"/>
    <s v="CUST1232"/>
    <x v="155"/>
    <n v="143"/>
    <n v="7548.58"/>
    <n v="2601.48"/>
    <n v="4947.1000000000004"/>
    <x v="4"/>
    <x v="6"/>
    <x v="3"/>
    <x v="3"/>
  </r>
  <r>
    <s v="Anjali Joshi"/>
    <s v="CUST1233"/>
    <x v="88"/>
    <n v="31"/>
    <n v="13044.21"/>
    <n v="4165.54"/>
    <n v="8878.67"/>
    <x v="0"/>
    <x v="1"/>
    <x v="2"/>
    <x v="3"/>
  </r>
  <r>
    <s v="Amit Sharma"/>
    <s v="CUST1234"/>
    <x v="177"/>
    <n v="28"/>
    <n v="14881.99"/>
    <n v="2236.86"/>
    <n v="12645.13"/>
    <x v="4"/>
    <x v="6"/>
    <x v="2"/>
    <x v="2"/>
  </r>
  <r>
    <s v="Anjali Yadav"/>
    <s v="CUST1235"/>
    <x v="178"/>
    <n v="166"/>
    <n v="12559.74"/>
    <n v="3432.09"/>
    <n v="9127.65"/>
    <x v="1"/>
    <x v="0"/>
    <x v="0"/>
    <x v="2"/>
  </r>
  <r>
    <s v="Rahul Singh"/>
    <s v="CUST1236"/>
    <x v="179"/>
    <n v="47"/>
    <n v="17221.12"/>
    <n v="7189.11"/>
    <n v="10032.01"/>
    <x v="0"/>
    <x v="4"/>
    <x v="1"/>
    <x v="0"/>
  </r>
  <r>
    <s v="Pooja Verma"/>
    <s v="CUST1237"/>
    <x v="180"/>
    <n v="123"/>
    <n v="11260.51"/>
    <n v="4345.01"/>
    <n v="6915.5"/>
    <x v="4"/>
    <x v="5"/>
    <x v="0"/>
    <x v="1"/>
  </r>
  <r>
    <s v="Rahul Sharma"/>
    <s v="CUST1238"/>
    <x v="181"/>
    <n v="71"/>
    <n v="18610.169999999998"/>
    <n v="7046.21"/>
    <n v="11563.96"/>
    <x v="0"/>
    <x v="2"/>
    <x v="0"/>
    <x v="1"/>
  </r>
  <r>
    <s v="Anjali Singh"/>
    <s v="CUST1239"/>
    <x v="116"/>
    <n v="49"/>
    <n v="19421.71"/>
    <n v="3947.68"/>
    <n v="15474.03"/>
    <x v="1"/>
    <x v="5"/>
    <x v="3"/>
    <x v="0"/>
  </r>
  <r>
    <s v="Rahul Joshi"/>
    <s v="CUST1240"/>
    <x v="179"/>
    <n v="9"/>
    <n v="17980.580000000002"/>
    <n v="6817.88"/>
    <n v="11162.7"/>
    <x v="1"/>
    <x v="7"/>
    <x v="2"/>
    <x v="1"/>
  </r>
  <r>
    <s v="Rahul Yadav"/>
    <s v="CUST1241"/>
    <x v="182"/>
    <n v="4"/>
    <n v="2340.48"/>
    <n v="491.68"/>
    <n v="1848.8"/>
    <x v="0"/>
    <x v="6"/>
    <x v="3"/>
    <x v="1"/>
  </r>
  <r>
    <s v="Pooja Yadav"/>
    <s v="CUST1242"/>
    <x v="183"/>
    <n v="188"/>
    <n v="13866.85"/>
    <n v="5738.24"/>
    <n v="8128.61"/>
    <x v="0"/>
    <x v="1"/>
    <x v="0"/>
    <x v="1"/>
  </r>
  <r>
    <s v="Sneha Gupta"/>
    <s v="CUST1243"/>
    <x v="184"/>
    <n v="120"/>
    <n v="8307.24"/>
    <n v="920.75"/>
    <n v="7386.49"/>
    <x v="2"/>
    <x v="3"/>
    <x v="0"/>
    <x v="2"/>
  </r>
  <r>
    <s v="Vikas Yadav"/>
    <s v="CUST1244"/>
    <x v="185"/>
    <n v="69"/>
    <n v="585.82000000000005"/>
    <n v="229.18"/>
    <n v="356.64"/>
    <x v="4"/>
    <x v="0"/>
    <x v="1"/>
    <x v="1"/>
  </r>
  <r>
    <s v="Rahul Gupta"/>
    <s v="CUST1245"/>
    <x v="32"/>
    <n v="180"/>
    <n v="9821.7000000000007"/>
    <n v="4001.28"/>
    <n v="5820.42"/>
    <x v="3"/>
    <x v="6"/>
    <x v="3"/>
    <x v="1"/>
  </r>
  <r>
    <s v="Pooja Mehta"/>
    <s v="CUST1246"/>
    <x v="56"/>
    <n v="121"/>
    <n v="10937.36"/>
    <n v="3835.66"/>
    <n v="7101.7"/>
    <x v="1"/>
    <x v="2"/>
    <x v="3"/>
    <x v="2"/>
  </r>
  <r>
    <s v="Rohan Verma"/>
    <s v="CUST1247"/>
    <x v="186"/>
    <n v="103"/>
    <n v="7504.99"/>
    <n v="799.99"/>
    <n v="6705"/>
    <x v="1"/>
    <x v="2"/>
    <x v="1"/>
    <x v="0"/>
  </r>
  <r>
    <s v="Anjali Gupta"/>
    <s v="CUST1248"/>
    <x v="187"/>
    <n v="155"/>
    <n v="5138.6899999999996"/>
    <n v="2286.4299999999998"/>
    <n v="2852.26"/>
    <x v="1"/>
    <x v="7"/>
    <x v="1"/>
    <x v="3"/>
  </r>
  <r>
    <s v="Rahul Mehta"/>
    <s v="CUST1249"/>
    <x v="131"/>
    <n v="161"/>
    <n v="2986.5"/>
    <n v="1085.1199999999999"/>
    <n v="1901.38"/>
    <x v="4"/>
    <x v="2"/>
    <x v="2"/>
    <x v="0"/>
  </r>
  <r>
    <s v="Amit Gupta"/>
    <s v="CUST1250"/>
    <x v="12"/>
    <n v="129"/>
    <n v="10925.54"/>
    <n v="3192.14"/>
    <n v="7733.4"/>
    <x v="2"/>
    <x v="3"/>
    <x v="3"/>
    <x v="3"/>
  </r>
  <r>
    <s v="Priya Mehta"/>
    <s v="CUST1251"/>
    <x v="125"/>
    <n v="30"/>
    <n v="6577.2"/>
    <n v="1087.95"/>
    <n v="5489.25"/>
    <x v="1"/>
    <x v="1"/>
    <x v="1"/>
    <x v="3"/>
  </r>
  <r>
    <s v="Pooja Mehta"/>
    <s v="CUST1252"/>
    <x v="188"/>
    <n v="105"/>
    <n v="13787.24"/>
    <n v="1445.18"/>
    <n v="12342.06"/>
    <x v="4"/>
    <x v="7"/>
    <x v="2"/>
    <x v="3"/>
  </r>
  <r>
    <s v="Rahul Patel"/>
    <s v="CUST1253"/>
    <x v="189"/>
    <n v="37"/>
    <n v="18325.29"/>
    <n v="4068.67"/>
    <n v="14256.62"/>
    <x v="1"/>
    <x v="0"/>
    <x v="1"/>
    <x v="2"/>
  </r>
  <r>
    <s v="Priya Patel"/>
    <s v="CUST1254"/>
    <x v="190"/>
    <n v="49"/>
    <n v="567.76"/>
    <n v="276.82"/>
    <n v="290.94"/>
    <x v="3"/>
    <x v="0"/>
    <x v="2"/>
    <x v="1"/>
  </r>
  <r>
    <s v="Amit Joshi"/>
    <s v="CUST1255"/>
    <x v="77"/>
    <n v="31"/>
    <n v="8496.16"/>
    <n v="3033.08"/>
    <n v="5463.08"/>
    <x v="0"/>
    <x v="3"/>
    <x v="3"/>
    <x v="2"/>
  </r>
  <r>
    <s v="Rohan Mehta"/>
    <s v="CUST1256"/>
    <x v="191"/>
    <n v="78"/>
    <n v="8627.6299999999992"/>
    <n v="2278.7600000000002"/>
    <n v="6348.87"/>
    <x v="0"/>
    <x v="3"/>
    <x v="1"/>
    <x v="1"/>
  </r>
  <r>
    <s v="Sneha Mehta"/>
    <s v="CUST1257"/>
    <x v="143"/>
    <n v="8"/>
    <n v="5190.07"/>
    <n v="1611.83"/>
    <n v="3578.24"/>
    <x v="0"/>
    <x v="5"/>
    <x v="1"/>
    <x v="2"/>
  </r>
  <r>
    <s v="Sneha Sharma"/>
    <s v="CUST1258"/>
    <x v="9"/>
    <n v="10"/>
    <n v="19259.09"/>
    <n v="3782.1"/>
    <n v="15476.99"/>
    <x v="3"/>
    <x v="7"/>
    <x v="3"/>
    <x v="1"/>
  </r>
  <r>
    <s v="Amit Singh"/>
    <s v="CUST1259"/>
    <x v="192"/>
    <n v="184"/>
    <n v="12662.85"/>
    <n v="5855.27"/>
    <n v="6807.58"/>
    <x v="0"/>
    <x v="4"/>
    <x v="2"/>
    <x v="0"/>
  </r>
  <r>
    <s v="Rahul Mehta"/>
    <s v="CUST1260"/>
    <x v="50"/>
    <n v="142"/>
    <n v="15565.56"/>
    <n v="2461.59"/>
    <n v="13103.97"/>
    <x v="4"/>
    <x v="1"/>
    <x v="0"/>
    <x v="1"/>
  </r>
  <r>
    <s v="Neha Sharma"/>
    <s v="CUST1261"/>
    <x v="193"/>
    <n v="114"/>
    <n v="1475.08"/>
    <n v="630.61"/>
    <n v="844.47"/>
    <x v="1"/>
    <x v="1"/>
    <x v="0"/>
    <x v="2"/>
  </r>
  <r>
    <s v="Pooja Patel"/>
    <s v="CUST1262"/>
    <x v="194"/>
    <n v="133"/>
    <n v="9872.8700000000008"/>
    <n v="1373.27"/>
    <n v="8499.6"/>
    <x v="1"/>
    <x v="2"/>
    <x v="0"/>
    <x v="2"/>
  </r>
  <r>
    <s v="Pooja Mehta"/>
    <s v="CUST1263"/>
    <x v="195"/>
    <n v="29"/>
    <n v="13767.47"/>
    <n v="1549.86"/>
    <n v="12217.61"/>
    <x v="3"/>
    <x v="0"/>
    <x v="1"/>
    <x v="0"/>
  </r>
  <r>
    <s v="Priya Sharma"/>
    <s v="CUST1264"/>
    <x v="6"/>
    <n v="199"/>
    <n v="14916.16"/>
    <n v="3556.78"/>
    <n v="11359.38"/>
    <x v="4"/>
    <x v="1"/>
    <x v="0"/>
    <x v="2"/>
  </r>
  <r>
    <s v="Neha Singh"/>
    <s v="CUST1265"/>
    <x v="11"/>
    <n v="175"/>
    <n v="11713.04"/>
    <n v="3545.06"/>
    <n v="8167.98"/>
    <x v="0"/>
    <x v="5"/>
    <x v="0"/>
    <x v="3"/>
  </r>
  <r>
    <s v="Neha Verma"/>
    <s v="CUST1266"/>
    <x v="196"/>
    <n v="155"/>
    <n v="11299.14"/>
    <n v="3669.52"/>
    <n v="7629.62"/>
    <x v="1"/>
    <x v="1"/>
    <x v="0"/>
    <x v="2"/>
  </r>
  <r>
    <s v="Karan Patel"/>
    <s v="CUST1267"/>
    <x v="197"/>
    <n v="122"/>
    <n v="767.38"/>
    <n v="249.77"/>
    <n v="517.61"/>
    <x v="0"/>
    <x v="5"/>
    <x v="0"/>
    <x v="1"/>
  </r>
  <r>
    <s v="Vikas Mehta"/>
    <s v="CUST1268"/>
    <x v="198"/>
    <n v="103"/>
    <n v="10191.56"/>
    <n v="4104.21"/>
    <n v="6087.35"/>
    <x v="4"/>
    <x v="5"/>
    <x v="0"/>
    <x v="3"/>
  </r>
  <r>
    <s v="Amit Verma"/>
    <s v="CUST1269"/>
    <x v="139"/>
    <n v="51"/>
    <n v="8977.43"/>
    <n v="910.24"/>
    <n v="8067.19"/>
    <x v="1"/>
    <x v="6"/>
    <x v="1"/>
    <x v="1"/>
  </r>
  <r>
    <s v="Neha Gupta"/>
    <s v="CUST1270"/>
    <x v="60"/>
    <n v="144"/>
    <n v="891.14"/>
    <n v="373.41"/>
    <n v="517.73"/>
    <x v="1"/>
    <x v="2"/>
    <x v="1"/>
    <x v="1"/>
  </r>
  <r>
    <s v="Anjali Sharma"/>
    <s v="CUST1271"/>
    <x v="199"/>
    <n v="4"/>
    <n v="2343.7800000000002"/>
    <n v="547.59"/>
    <n v="1796.19"/>
    <x v="2"/>
    <x v="3"/>
    <x v="3"/>
    <x v="3"/>
  </r>
  <r>
    <s v="Anjali Singh"/>
    <s v="CUST1272"/>
    <x v="200"/>
    <n v="55"/>
    <n v="3854.47"/>
    <n v="1195.26"/>
    <n v="2659.21"/>
    <x v="0"/>
    <x v="0"/>
    <x v="0"/>
    <x v="3"/>
  </r>
  <r>
    <s v="Rohan Patel"/>
    <s v="CUST1273"/>
    <x v="201"/>
    <n v="171"/>
    <n v="2626.42"/>
    <n v="777.56"/>
    <n v="1848.86"/>
    <x v="3"/>
    <x v="7"/>
    <x v="0"/>
    <x v="3"/>
  </r>
  <r>
    <s v="Priya Gupta"/>
    <s v="CUST1274"/>
    <x v="169"/>
    <n v="93"/>
    <n v="18758.41"/>
    <n v="3166.6"/>
    <n v="15591.81"/>
    <x v="0"/>
    <x v="3"/>
    <x v="1"/>
    <x v="1"/>
  </r>
  <r>
    <s v="Anjali Gupta"/>
    <s v="CUST1275"/>
    <x v="202"/>
    <n v="50"/>
    <n v="13465.95"/>
    <n v="1719.44"/>
    <n v="11746.51"/>
    <x v="0"/>
    <x v="7"/>
    <x v="2"/>
    <x v="3"/>
  </r>
  <r>
    <s v="Sneha Gupta"/>
    <s v="CUST1276"/>
    <x v="203"/>
    <n v="194"/>
    <n v="12743.35"/>
    <n v="5141.4799999999996"/>
    <n v="7601.87"/>
    <x v="2"/>
    <x v="6"/>
    <x v="1"/>
    <x v="1"/>
  </r>
  <r>
    <s v="Rohan Sharma"/>
    <s v="CUST1277"/>
    <x v="204"/>
    <n v="17"/>
    <n v="11277.56"/>
    <n v="2460.88"/>
    <n v="8816.68"/>
    <x v="4"/>
    <x v="3"/>
    <x v="3"/>
    <x v="2"/>
  </r>
  <r>
    <s v="Rohan Joshi"/>
    <s v="CUST1278"/>
    <x v="205"/>
    <n v="167"/>
    <n v="16155.55"/>
    <n v="2151.1999999999998"/>
    <n v="14004.35"/>
    <x v="1"/>
    <x v="4"/>
    <x v="3"/>
    <x v="0"/>
  </r>
  <r>
    <s v="Karan Yadav"/>
    <s v="CUST1279"/>
    <x v="90"/>
    <n v="194"/>
    <n v="17436.07"/>
    <n v="3916.48"/>
    <n v="13519.59"/>
    <x v="2"/>
    <x v="2"/>
    <x v="1"/>
    <x v="2"/>
  </r>
  <r>
    <s v="Amit Yadav"/>
    <s v="CUST1280"/>
    <x v="206"/>
    <n v="137"/>
    <n v="10388.25"/>
    <n v="2570.61"/>
    <n v="7817.64"/>
    <x v="1"/>
    <x v="6"/>
    <x v="3"/>
    <x v="2"/>
  </r>
  <r>
    <s v="Pooja Singh"/>
    <s v="CUST1281"/>
    <x v="37"/>
    <n v="83"/>
    <n v="18153.63"/>
    <n v="4966.72"/>
    <n v="13186.91"/>
    <x v="1"/>
    <x v="6"/>
    <x v="2"/>
    <x v="2"/>
  </r>
  <r>
    <s v="Karan Gupta"/>
    <s v="CUST1282"/>
    <x v="45"/>
    <n v="68"/>
    <n v="11995.43"/>
    <n v="2784.45"/>
    <n v="9210.98"/>
    <x v="4"/>
    <x v="2"/>
    <x v="3"/>
    <x v="3"/>
  </r>
  <r>
    <s v="Anjali Mehta"/>
    <s v="CUST1283"/>
    <x v="89"/>
    <n v="119"/>
    <n v="11676.81"/>
    <n v="5028.43"/>
    <n v="6648.38"/>
    <x v="1"/>
    <x v="0"/>
    <x v="2"/>
    <x v="2"/>
  </r>
  <r>
    <s v="Neha Yadav"/>
    <s v="CUST1284"/>
    <x v="207"/>
    <n v="63"/>
    <n v="7893.44"/>
    <n v="1682.75"/>
    <n v="6210.69"/>
    <x v="2"/>
    <x v="7"/>
    <x v="3"/>
    <x v="3"/>
  </r>
  <r>
    <s v="Vikas Patel"/>
    <s v="CUST1285"/>
    <x v="173"/>
    <n v="32"/>
    <n v="19333.62"/>
    <n v="3378.63"/>
    <n v="15954.99"/>
    <x v="0"/>
    <x v="3"/>
    <x v="0"/>
    <x v="3"/>
  </r>
  <r>
    <s v="Vikas Yadav"/>
    <s v="CUST1286"/>
    <x v="190"/>
    <n v="141"/>
    <n v="11713.31"/>
    <n v="4558.3900000000003"/>
    <n v="7154.92"/>
    <x v="2"/>
    <x v="1"/>
    <x v="2"/>
    <x v="2"/>
  </r>
  <r>
    <s v="Rahul Gupta"/>
    <s v="CUST1287"/>
    <x v="97"/>
    <n v="126"/>
    <n v="11945.91"/>
    <n v="3696.69"/>
    <n v="8249.2199999999993"/>
    <x v="0"/>
    <x v="4"/>
    <x v="0"/>
    <x v="3"/>
  </r>
  <r>
    <s v="Neha Patel"/>
    <s v="CUST1288"/>
    <x v="126"/>
    <n v="195"/>
    <n v="16045.87"/>
    <n v="7673.12"/>
    <n v="8372.75"/>
    <x v="3"/>
    <x v="6"/>
    <x v="0"/>
    <x v="2"/>
  </r>
  <r>
    <s v="Neha Patel"/>
    <s v="CUST1289"/>
    <x v="20"/>
    <n v="176"/>
    <n v="8522.9500000000007"/>
    <n v="4125.32"/>
    <n v="4397.63"/>
    <x v="2"/>
    <x v="3"/>
    <x v="0"/>
    <x v="1"/>
  </r>
  <r>
    <s v="Anjali Joshi"/>
    <s v="CUST1290"/>
    <x v="208"/>
    <n v="111"/>
    <n v="4889.54"/>
    <n v="2013.63"/>
    <n v="2875.91"/>
    <x v="2"/>
    <x v="6"/>
    <x v="3"/>
    <x v="3"/>
  </r>
  <r>
    <s v="Neha Sharma"/>
    <s v="CUST1291"/>
    <x v="153"/>
    <n v="150"/>
    <n v="6402.68"/>
    <n v="2638.23"/>
    <n v="3764.45"/>
    <x v="0"/>
    <x v="0"/>
    <x v="0"/>
    <x v="3"/>
  </r>
  <r>
    <s v="Amit Joshi"/>
    <s v="CUST1292"/>
    <x v="209"/>
    <n v="125"/>
    <n v="2578.81"/>
    <n v="1035.45"/>
    <n v="1543.36"/>
    <x v="0"/>
    <x v="0"/>
    <x v="2"/>
    <x v="0"/>
  </r>
  <r>
    <s v="Pooja Verma"/>
    <s v="CUST1293"/>
    <x v="210"/>
    <n v="57"/>
    <n v="5661.47"/>
    <n v="2823.56"/>
    <n v="2837.91"/>
    <x v="1"/>
    <x v="1"/>
    <x v="1"/>
    <x v="0"/>
  </r>
  <r>
    <s v="Priya Singh"/>
    <s v="CUST1294"/>
    <x v="90"/>
    <n v="21"/>
    <n v="8229.84"/>
    <n v="2652.86"/>
    <n v="5576.98"/>
    <x v="4"/>
    <x v="1"/>
    <x v="1"/>
    <x v="1"/>
  </r>
  <r>
    <s v="Karan Joshi"/>
    <s v="CUST1295"/>
    <x v="112"/>
    <n v="173"/>
    <n v="9881.24"/>
    <n v="1819.78"/>
    <n v="8061.46"/>
    <x v="2"/>
    <x v="4"/>
    <x v="3"/>
    <x v="1"/>
  </r>
  <r>
    <s v="Sneha Gupta"/>
    <s v="CUST1296"/>
    <x v="211"/>
    <n v="156"/>
    <n v="4188.84"/>
    <n v="1852.28"/>
    <n v="2336.56"/>
    <x v="3"/>
    <x v="1"/>
    <x v="2"/>
    <x v="0"/>
  </r>
  <r>
    <s v="Priya Singh"/>
    <s v="CUST1297"/>
    <x v="212"/>
    <n v="91"/>
    <n v="8161.54"/>
    <n v="3268.65"/>
    <n v="4892.8900000000003"/>
    <x v="1"/>
    <x v="0"/>
    <x v="1"/>
    <x v="0"/>
  </r>
  <r>
    <s v="Rahul Singh"/>
    <s v="CUST1298"/>
    <x v="92"/>
    <n v="179"/>
    <n v="1387.43"/>
    <n v="297.98"/>
    <n v="1089.45"/>
    <x v="3"/>
    <x v="1"/>
    <x v="3"/>
    <x v="2"/>
  </r>
  <r>
    <s v="Rohan Sharma"/>
    <s v="CUST1299"/>
    <x v="78"/>
    <n v="112"/>
    <n v="14511.15"/>
    <n v="1978.23"/>
    <n v="12532.92"/>
    <x v="3"/>
    <x v="1"/>
    <x v="3"/>
    <x v="2"/>
  </r>
  <r>
    <s v="Priya Joshi"/>
    <s v="CUST1300"/>
    <x v="213"/>
    <n v="67"/>
    <n v="9622.76"/>
    <n v="4162.6499999999996"/>
    <n v="5460.11"/>
    <x v="2"/>
    <x v="0"/>
    <x v="0"/>
    <x v="0"/>
  </r>
  <r>
    <s v="Anjali Sharma"/>
    <s v="CUST1301"/>
    <x v="170"/>
    <n v="59"/>
    <n v="1890.45"/>
    <n v="252.68"/>
    <n v="1637.77"/>
    <x v="3"/>
    <x v="3"/>
    <x v="3"/>
    <x v="1"/>
  </r>
  <r>
    <s v="Karan Joshi"/>
    <s v="CUST1302"/>
    <x v="214"/>
    <n v="39"/>
    <n v="5933.74"/>
    <n v="929.22"/>
    <n v="5004.5200000000004"/>
    <x v="1"/>
    <x v="2"/>
    <x v="2"/>
    <x v="0"/>
  </r>
  <r>
    <s v="Vikas Verma"/>
    <s v="CUST1303"/>
    <x v="215"/>
    <n v="18"/>
    <n v="4713.13"/>
    <n v="2182.61"/>
    <n v="2530.52"/>
    <x v="3"/>
    <x v="2"/>
    <x v="3"/>
    <x v="0"/>
  </r>
  <r>
    <s v="Rohan Verma"/>
    <s v="CUST1304"/>
    <x v="216"/>
    <n v="5"/>
    <n v="16173.8"/>
    <n v="6822.85"/>
    <n v="9350.9500000000007"/>
    <x v="3"/>
    <x v="5"/>
    <x v="0"/>
    <x v="2"/>
  </r>
  <r>
    <s v="Neha Patel"/>
    <s v="CUST1305"/>
    <x v="140"/>
    <n v="119"/>
    <n v="11113.43"/>
    <n v="3916.68"/>
    <n v="7196.75"/>
    <x v="4"/>
    <x v="2"/>
    <x v="2"/>
    <x v="3"/>
  </r>
  <r>
    <s v="Rahul Mehta"/>
    <s v="CUST1306"/>
    <x v="133"/>
    <n v="197"/>
    <n v="5519.52"/>
    <n v="964.14"/>
    <n v="4555.38"/>
    <x v="2"/>
    <x v="3"/>
    <x v="1"/>
    <x v="3"/>
  </r>
  <r>
    <s v="Neha Sharma"/>
    <s v="CUST1307"/>
    <x v="217"/>
    <n v="40"/>
    <n v="16946.09"/>
    <n v="6833.17"/>
    <n v="10112.92"/>
    <x v="2"/>
    <x v="4"/>
    <x v="3"/>
    <x v="0"/>
  </r>
  <r>
    <s v="Priya Yadav"/>
    <s v="CUST1308"/>
    <x v="218"/>
    <n v="182"/>
    <n v="2286.54"/>
    <n v="916.25"/>
    <n v="1370.29"/>
    <x v="2"/>
    <x v="3"/>
    <x v="0"/>
    <x v="0"/>
  </r>
  <r>
    <s v="Neha Sharma"/>
    <s v="CUST1309"/>
    <x v="219"/>
    <n v="118"/>
    <n v="10624.97"/>
    <n v="3230.18"/>
    <n v="7394.79"/>
    <x v="0"/>
    <x v="1"/>
    <x v="1"/>
    <x v="2"/>
  </r>
  <r>
    <s v="Pooja Gupta"/>
    <s v="CUST1310"/>
    <x v="220"/>
    <n v="65"/>
    <n v="10517.06"/>
    <n v="3543.5"/>
    <n v="6973.56"/>
    <x v="2"/>
    <x v="7"/>
    <x v="2"/>
    <x v="1"/>
  </r>
  <r>
    <s v="Priya Patel"/>
    <s v="CUST1311"/>
    <x v="221"/>
    <n v="95"/>
    <n v="16854.73"/>
    <n v="7648.43"/>
    <n v="9206.2999999999993"/>
    <x v="0"/>
    <x v="1"/>
    <x v="1"/>
    <x v="2"/>
  </r>
  <r>
    <s v="Anjali Sharma"/>
    <s v="CUST1312"/>
    <x v="35"/>
    <n v="125"/>
    <n v="4054.19"/>
    <n v="2001.08"/>
    <n v="2053.11"/>
    <x v="0"/>
    <x v="2"/>
    <x v="1"/>
    <x v="3"/>
  </r>
  <r>
    <s v="Vikas Gupta"/>
    <s v="CUST1313"/>
    <x v="222"/>
    <n v="37"/>
    <n v="425.92"/>
    <n v="174.27"/>
    <n v="251.65"/>
    <x v="0"/>
    <x v="6"/>
    <x v="1"/>
    <x v="0"/>
  </r>
  <r>
    <s v="Sneha Yadav"/>
    <s v="CUST1314"/>
    <x v="123"/>
    <n v="53"/>
    <n v="9319.66"/>
    <n v="3109.78"/>
    <n v="6209.88"/>
    <x v="3"/>
    <x v="0"/>
    <x v="2"/>
    <x v="1"/>
  </r>
  <r>
    <s v="Vikas Mehta"/>
    <s v="CUST1315"/>
    <x v="223"/>
    <n v="90"/>
    <n v="9355.2800000000007"/>
    <n v="3231.1"/>
    <n v="6124.18"/>
    <x v="0"/>
    <x v="5"/>
    <x v="3"/>
    <x v="2"/>
  </r>
  <r>
    <s v="Karan Yadav"/>
    <s v="CUST1316"/>
    <x v="38"/>
    <n v="123"/>
    <n v="1448.34"/>
    <n v="532.15"/>
    <n v="916.19"/>
    <x v="1"/>
    <x v="2"/>
    <x v="0"/>
    <x v="1"/>
  </r>
  <r>
    <s v="Neha Joshi"/>
    <s v="CUST1317"/>
    <x v="224"/>
    <n v="7"/>
    <n v="10239.18"/>
    <n v="2536.5500000000002"/>
    <n v="7702.63"/>
    <x v="1"/>
    <x v="3"/>
    <x v="1"/>
    <x v="0"/>
  </r>
  <r>
    <s v="Anjali Yadav"/>
    <s v="CUST1318"/>
    <x v="225"/>
    <n v="160"/>
    <n v="6598.24"/>
    <n v="2327.94"/>
    <n v="4270.3"/>
    <x v="2"/>
    <x v="5"/>
    <x v="1"/>
    <x v="0"/>
  </r>
  <r>
    <s v="Rohan Sharma"/>
    <s v="CUST1319"/>
    <x v="93"/>
    <n v="200"/>
    <n v="11005"/>
    <n v="2205.6799999999998"/>
    <n v="8799.32"/>
    <x v="2"/>
    <x v="5"/>
    <x v="2"/>
    <x v="0"/>
  </r>
  <r>
    <s v="Anjali Yadav"/>
    <s v="CUST1320"/>
    <x v="3"/>
    <n v="185"/>
    <n v="12740.57"/>
    <n v="5636.68"/>
    <n v="7103.89"/>
    <x v="4"/>
    <x v="5"/>
    <x v="1"/>
    <x v="2"/>
  </r>
  <r>
    <s v="Rohan Singh"/>
    <s v="CUST1321"/>
    <x v="197"/>
    <n v="12"/>
    <n v="6127.91"/>
    <n v="726.62"/>
    <n v="5401.29"/>
    <x v="4"/>
    <x v="1"/>
    <x v="2"/>
    <x v="0"/>
  </r>
  <r>
    <s v="Neha Gupta"/>
    <s v="CUST1322"/>
    <x v="226"/>
    <n v="146"/>
    <n v="5177.4399999999996"/>
    <n v="691.56"/>
    <n v="4485.88"/>
    <x v="3"/>
    <x v="5"/>
    <x v="2"/>
    <x v="1"/>
  </r>
  <r>
    <s v="Vikas Yadav"/>
    <s v="CUST1323"/>
    <x v="137"/>
    <n v="17"/>
    <n v="4459.9799999999996"/>
    <n v="597.4"/>
    <n v="3862.58"/>
    <x v="4"/>
    <x v="7"/>
    <x v="0"/>
    <x v="1"/>
  </r>
  <r>
    <s v="Sneha Mehta"/>
    <s v="CUST1324"/>
    <x v="58"/>
    <n v="187"/>
    <n v="19591.22"/>
    <n v="3129.94"/>
    <n v="16461.28"/>
    <x v="1"/>
    <x v="4"/>
    <x v="3"/>
    <x v="3"/>
  </r>
  <r>
    <s v="Pooja Joshi"/>
    <s v="CUST1325"/>
    <x v="19"/>
    <n v="153"/>
    <n v="15588.09"/>
    <n v="6264.56"/>
    <n v="9323.5300000000007"/>
    <x v="3"/>
    <x v="1"/>
    <x v="1"/>
    <x v="2"/>
  </r>
  <r>
    <s v="Anjali Joshi"/>
    <s v="CUST1326"/>
    <x v="227"/>
    <n v="186"/>
    <n v="19827.13"/>
    <n v="9506.82"/>
    <n v="10320.31"/>
    <x v="2"/>
    <x v="6"/>
    <x v="3"/>
    <x v="1"/>
  </r>
  <r>
    <s v="Neha Singh"/>
    <s v="CUST1327"/>
    <x v="133"/>
    <n v="57"/>
    <n v="17626.849999999999"/>
    <n v="7059.64"/>
    <n v="10567.21"/>
    <x v="4"/>
    <x v="5"/>
    <x v="3"/>
    <x v="0"/>
  </r>
  <r>
    <s v="Rohan Gupta"/>
    <s v="CUST1328"/>
    <x v="84"/>
    <n v="85"/>
    <n v="6051.78"/>
    <n v="2438.88"/>
    <n v="3612.9"/>
    <x v="2"/>
    <x v="7"/>
    <x v="0"/>
    <x v="2"/>
  </r>
  <r>
    <s v="Rahul Gupta"/>
    <s v="CUST1329"/>
    <x v="228"/>
    <n v="111"/>
    <n v="3165.51"/>
    <n v="983.62"/>
    <n v="2181.89"/>
    <x v="3"/>
    <x v="4"/>
    <x v="3"/>
    <x v="1"/>
  </r>
  <r>
    <s v="Vikas Singh"/>
    <s v="CUST1330"/>
    <x v="229"/>
    <n v="126"/>
    <n v="18563.93"/>
    <n v="6338.88"/>
    <n v="12225.05"/>
    <x v="4"/>
    <x v="1"/>
    <x v="1"/>
    <x v="3"/>
  </r>
  <r>
    <s v="Vikas Singh"/>
    <s v="CUST1331"/>
    <x v="138"/>
    <n v="43"/>
    <n v="6788.61"/>
    <n v="1770.52"/>
    <n v="5018.09"/>
    <x v="2"/>
    <x v="1"/>
    <x v="0"/>
    <x v="1"/>
  </r>
  <r>
    <s v="Amit Patel"/>
    <s v="CUST1332"/>
    <x v="15"/>
    <n v="189"/>
    <n v="268.95"/>
    <n v="76.34"/>
    <n v="192.61"/>
    <x v="0"/>
    <x v="5"/>
    <x v="2"/>
    <x v="1"/>
  </r>
  <r>
    <s v="Rahul Yadav"/>
    <s v="CUST1333"/>
    <x v="140"/>
    <n v="9"/>
    <n v="2756.32"/>
    <n v="293.60000000000002"/>
    <n v="2462.7199999999998"/>
    <x v="1"/>
    <x v="4"/>
    <x v="0"/>
    <x v="1"/>
  </r>
  <r>
    <s v="Neha Joshi"/>
    <s v="CUST1334"/>
    <x v="230"/>
    <n v="26"/>
    <n v="874.95"/>
    <n v="233.48"/>
    <n v="641.47"/>
    <x v="3"/>
    <x v="3"/>
    <x v="2"/>
    <x v="3"/>
  </r>
  <r>
    <s v="Rohan Yadav"/>
    <s v="CUST1335"/>
    <x v="7"/>
    <n v="69"/>
    <n v="11908.07"/>
    <n v="3022.58"/>
    <n v="8885.49"/>
    <x v="2"/>
    <x v="5"/>
    <x v="3"/>
    <x v="3"/>
  </r>
  <r>
    <s v="Amit Yadav"/>
    <s v="CUST1336"/>
    <x v="98"/>
    <n v="67"/>
    <n v="3232.14"/>
    <n v="612.72"/>
    <n v="2619.42"/>
    <x v="2"/>
    <x v="5"/>
    <x v="1"/>
    <x v="3"/>
  </r>
  <r>
    <s v="Vikas Sharma"/>
    <s v="CUST1337"/>
    <x v="141"/>
    <n v="87"/>
    <n v="13333.67"/>
    <n v="2960.56"/>
    <n v="10373.11"/>
    <x v="0"/>
    <x v="4"/>
    <x v="3"/>
    <x v="2"/>
  </r>
  <r>
    <s v="Rohan Gupta"/>
    <s v="CUST1338"/>
    <x v="231"/>
    <n v="61"/>
    <n v="15905.72"/>
    <n v="2563.2199999999998"/>
    <n v="13342.5"/>
    <x v="1"/>
    <x v="0"/>
    <x v="2"/>
    <x v="0"/>
  </r>
  <r>
    <s v="Neha Verma"/>
    <s v="CUST1339"/>
    <x v="37"/>
    <n v="21"/>
    <n v="1269.0899999999999"/>
    <n v="190.29"/>
    <n v="1078.8"/>
    <x v="4"/>
    <x v="5"/>
    <x v="1"/>
    <x v="3"/>
  </r>
  <r>
    <s v="Neha Patel"/>
    <s v="CUST1340"/>
    <x v="204"/>
    <n v="198"/>
    <n v="6721.29"/>
    <n v="2500.4499999999998"/>
    <n v="4220.84"/>
    <x v="4"/>
    <x v="7"/>
    <x v="1"/>
    <x v="0"/>
  </r>
  <r>
    <s v="Amit Joshi"/>
    <s v="CUST1341"/>
    <x v="85"/>
    <n v="54"/>
    <n v="17922.23"/>
    <n v="4257.0200000000004"/>
    <n v="13665.21"/>
    <x v="1"/>
    <x v="2"/>
    <x v="1"/>
    <x v="3"/>
  </r>
  <r>
    <s v="Anjali Patel"/>
    <s v="CUST1342"/>
    <x v="232"/>
    <n v="9"/>
    <n v="16838.310000000001"/>
    <n v="3006.46"/>
    <n v="13831.85"/>
    <x v="0"/>
    <x v="2"/>
    <x v="1"/>
    <x v="0"/>
  </r>
  <r>
    <s v="Rohan Mehta"/>
    <s v="CUST1343"/>
    <x v="119"/>
    <n v="35"/>
    <n v="16334.05"/>
    <n v="3297.64"/>
    <n v="13036.41"/>
    <x v="0"/>
    <x v="4"/>
    <x v="2"/>
    <x v="1"/>
  </r>
  <r>
    <s v="Neha Joshi"/>
    <s v="CUST1344"/>
    <x v="193"/>
    <n v="24"/>
    <n v="9789.19"/>
    <n v="1024.46"/>
    <n v="8764.73"/>
    <x v="4"/>
    <x v="3"/>
    <x v="2"/>
    <x v="3"/>
  </r>
  <r>
    <s v="Karan Yadav"/>
    <s v="CUST1345"/>
    <x v="233"/>
    <n v="52"/>
    <n v="14443.61"/>
    <n v="4807.58"/>
    <n v="9636.0300000000007"/>
    <x v="3"/>
    <x v="4"/>
    <x v="3"/>
    <x v="2"/>
  </r>
  <r>
    <s v="Anjali Sharma"/>
    <s v="CUST1346"/>
    <x v="160"/>
    <n v="124"/>
    <n v="15454.2"/>
    <n v="1735.36"/>
    <n v="13718.84"/>
    <x v="4"/>
    <x v="0"/>
    <x v="2"/>
    <x v="2"/>
  </r>
  <r>
    <s v="Karan Joshi"/>
    <s v="CUST1347"/>
    <x v="234"/>
    <n v="101"/>
    <n v="17802.77"/>
    <n v="1825.63"/>
    <n v="15977.14"/>
    <x v="2"/>
    <x v="0"/>
    <x v="1"/>
    <x v="1"/>
  </r>
  <r>
    <s v="Sneha Joshi"/>
    <s v="CUST1348"/>
    <x v="176"/>
    <n v="194"/>
    <n v="9183.08"/>
    <n v="3546.56"/>
    <n v="5636.52"/>
    <x v="3"/>
    <x v="1"/>
    <x v="0"/>
    <x v="0"/>
  </r>
  <r>
    <s v="Rohan Yadav"/>
    <s v="CUST1349"/>
    <x v="235"/>
    <n v="147"/>
    <n v="4695.8100000000004"/>
    <n v="1755.9"/>
    <n v="2939.91"/>
    <x v="2"/>
    <x v="0"/>
    <x v="1"/>
    <x v="2"/>
  </r>
  <r>
    <s v="Vikas Sharma"/>
    <s v="CUST1350"/>
    <x v="86"/>
    <n v="59"/>
    <n v="13401.8"/>
    <n v="3594.02"/>
    <n v="9807.7800000000007"/>
    <x v="0"/>
    <x v="6"/>
    <x v="0"/>
    <x v="3"/>
  </r>
  <r>
    <s v="Rahul Singh"/>
    <s v="CUST1351"/>
    <x v="191"/>
    <n v="116"/>
    <n v="4855.7"/>
    <n v="2423.48"/>
    <n v="2432.2199999999998"/>
    <x v="3"/>
    <x v="5"/>
    <x v="3"/>
    <x v="0"/>
  </r>
  <r>
    <s v="Rahul Joshi"/>
    <s v="CUST1352"/>
    <x v="236"/>
    <n v="154"/>
    <n v="13299.95"/>
    <n v="4007.88"/>
    <n v="9292.07"/>
    <x v="2"/>
    <x v="0"/>
    <x v="3"/>
    <x v="1"/>
  </r>
  <r>
    <s v="Priya Gupta"/>
    <s v="CUST1353"/>
    <x v="237"/>
    <n v="186"/>
    <n v="6638.89"/>
    <n v="1872"/>
    <n v="4766.8900000000003"/>
    <x v="4"/>
    <x v="3"/>
    <x v="1"/>
    <x v="1"/>
  </r>
  <r>
    <s v="Anjali Singh"/>
    <s v="CUST1354"/>
    <x v="166"/>
    <n v="6"/>
    <n v="2079.25"/>
    <n v="265.24"/>
    <n v="1814.01"/>
    <x v="1"/>
    <x v="2"/>
    <x v="3"/>
    <x v="2"/>
  </r>
  <r>
    <s v="Rohan Verma"/>
    <s v="CUST1355"/>
    <x v="17"/>
    <n v="53"/>
    <n v="14610.32"/>
    <n v="5192.92"/>
    <n v="9417.4"/>
    <x v="1"/>
    <x v="6"/>
    <x v="0"/>
    <x v="1"/>
  </r>
  <r>
    <s v="Neha Patel"/>
    <s v="CUST1356"/>
    <x v="46"/>
    <n v="62"/>
    <n v="1413.05"/>
    <n v="271.11"/>
    <n v="1141.94"/>
    <x v="1"/>
    <x v="2"/>
    <x v="0"/>
    <x v="0"/>
  </r>
  <r>
    <s v="Anjali Patel"/>
    <s v="CUST1357"/>
    <x v="203"/>
    <n v="197"/>
    <n v="16720.310000000001"/>
    <n v="4784.74"/>
    <n v="11935.57"/>
    <x v="2"/>
    <x v="5"/>
    <x v="1"/>
    <x v="2"/>
  </r>
  <r>
    <s v="Amit Mehta"/>
    <s v="CUST1358"/>
    <x v="110"/>
    <n v="24"/>
    <n v="7129.48"/>
    <n v="2458.58"/>
    <n v="4670.8999999999996"/>
    <x v="4"/>
    <x v="6"/>
    <x v="0"/>
    <x v="1"/>
  </r>
  <r>
    <s v="Amit Verma"/>
    <s v="CUST1359"/>
    <x v="205"/>
    <n v="88"/>
    <n v="3290.76"/>
    <n v="572.30999999999995"/>
    <n v="2718.45"/>
    <x v="2"/>
    <x v="0"/>
    <x v="1"/>
    <x v="2"/>
  </r>
  <r>
    <s v="Rahul Mehta"/>
    <s v="CUST1360"/>
    <x v="181"/>
    <n v="194"/>
    <n v="8704.7900000000009"/>
    <n v="1541.53"/>
    <n v="7163.26"/>
    <x v="0"/>
    <x v="0"/>
    <x v="2"/>
    <x v="3"/>
  </r>
  <r>
    <s v="Pooja Yadav"/>
    <s v="CUST1361"/>
    <x v="106"/>
    <n v="151"/>
    <n v="14979.91"/>
    <n v="7089.09"/>
    <n v="7890.82"/>
    <x v="4"/>
    <x v="7"/>
    <x v="1"/>
    <x v="0"/>
  </r>
  <r>
    <s v="Anjali Mehta"/>
    <s v="CUST1362"/>
    <x v="26"/>
    <n v="11"/>
    <n v="823.95"/>
    <n v="349.99"/>
    <n v="473.96"/>
    <x v="2"/>
    <x v="4"/>
    <x v="0"/>
    <x v="2"/>
  </r>
  <r>
    <s v="Anjali Gupta"/>
    <s v="CUST1363"/>
    <x v="238"/>
    <n v="2"/>
    <n v="19394.72"/>
    <n v="3010.01"/>
    <n v="16384.71"/>
    <x v="3"/>
    <x v="2"/>
    <x v="0"/>
    <x v="1"/>
  </r>
  <r>
    <s v="Pooja Verma"/>
    <s v="CUST1364"/>
    <x v="239"/>
    <n v="127"/>
    <n v="11116.34"/>
    <n v="3105.44"/>
    <n v="8010.9"/>
    <x v="1"/>
    <x v="5"/>
    <x v="0"/>
    <x v="2"/>
  </r>
  <r>
    <s v="Priya Joshi"/>
    <s v="CUST1365"/>
    <x v="194"/>
    <n v="109"/>
    <n v="5939.68"/>
    <n v="929.78"/>
    <n v="5009.8999999999996"/>
    <x v="3"/>
    <x v="6"/>
    <x v="2"/>
    <x v="2"/>
  </r>
  <r>
    <s v="Rohan Verma"/>
    <s v="CUST1366"/>
    <x v="91"/>
    <n v="88"/>
    <n v="17009.77"/>
    <n v="1828.14"/>
    <n v="15181.63"/>
    <x v="2"/>
    <x v="4"/>
    <x v="0"/>
    <x v="0"/>
  </r>
  <r>
    <s v="Vikas Joshi"/>
    <s v="CUST1367"/>
    <x v="124"/>
    <n v="6"/>
    <n v="620.34"/>
    <n v="239.41"/>
    <n v="380.93"/>
    <x v="4"/>
    <x v="5"/>
    <x v="2"/>
    <x v="1"/>
  </r>
  <r>
    <s v="Anjali Patel"/>
    <s v="CUST1368"/>
    <x v="240"/>
    <n v="68"/>
    <n v="15383.18"/>
    <n v="5732.93"/>
    <n v="9650.25"/>
    <x v="3"/>
    <x v="2"/>
    <x v="2"/>
    <x v="1"/>
  </r>
  <r>
    <s v="Priya Sharma"/>
    <s v="CUST1369"/>
    <x v="241"/>
    <n v="80"/>
    <n v="16845.2"/>
    <n v="4715.25"/>
    <n v="12129.95"/>
    <x v="2"/>
    <x v="5"/>
    <x v="3"/>
    <x v="2"/>
  </r>
  <r>
    <s v="Amit Gupta"/>
    <s v="CUST1370"/>
    <x v="242"/>
    <n v="11"/>
    <n v="6306.65"/>
    <n v="938.52"/>
    <n v="5368.13"/>
    <x v="3"/>
    <x v="4"/>
    <x v="3"/>
    <x v="1"/>
  </r>
  <r>
    <s v="Neha Patel"/>
    <s v="CUST1371"/>
    <x v="117"/>
    <n v="151"/>
    <n v="179.79"/>
    <n v="25.79"/>
    <n v="154"/>
    <x v="3"/>
    <x v="7"/>
    <x v="3"/>
    <x v="0"/>
  </r>
  <r>
    <s v="Karan Patel"/>
    <s v="CUST1372"/>
    <x v="20"/>
    <n v="41"/>
    <n v="11857.99"/>
    <n v="3267.16"/>
    <n v="8590.83"/>
    <x v="4"/>
    <x v="5"/>
    <x v="3"/>
    <x v="3"/>
  </r>
  <r>
    <s v="Neha Patel"/>
    <s v="CUST1373"/>
    <x v="141"/>
    <n v="5"/>
    <n v="9459.2800000000007"/>
    <n v="1972.26"/>
    <n v="7487.02"/>
    <x v="4"/>
    <x v="2"/>
    <x v="2"/>
    <x v="0"/>
  </r>
  <r>
    <s v="Rahul Joshi"/>
    <s v="CUST1374"/>
    <x v="85"/>
    <n v="187"/>
    <n v="15547.62"/>
    <n v="6607.43"/>
    <n v="8940.19"/>
    <x v="2"/>
    <x v="0"/>
    <x v="0"/>
    <x v="0"/>
  </r>
  <r>
    <s v="Priya Gupta"/>
    <s v="CUST1375"/>
    <x v="243"/>
    <n v="136"/>
    <n v="5924.86"/>
    <n v="2639.62"/>
    <n v="3285.24"/>
    <x v="2"/>
    <x v="1"/>
    <x v="3"/>
    <x v="2"/>
  </r>
  <r>
    <s v="Priya Patel"/>
    <s v="CUST1376"/>
    <x v="34"/>
    <n v="108"/>
    <n v="5174.49"/>
    <n v="1334.49"/>
    <n v="3840"/>
    <x v="3"/>
    <x v="5"/>
    <x v="1"/>
    <x v="3"/>
  </r>
  <r>
    <s v="Vikas Verma"/>
    <s v="CUST1377"/>
    <x v="174"/>
    <n v="48"/>
    <n v="16307.48"/>
    <n v="4369.07"/>
    <n v="11938.41"/>
    <x v="4"/>
    <x v="2"/>
    <x v="0"/>
    <x v="3"/>
  </r>
  <r>
    <s v="Priya Sharma"/>
    <s v="CUST1378"/>
    <x v="244"/>
    <n v="19"/>
    <n v="13712.96"/>
    <n v="6127.16"/>
    <n v="7585.8"/>
    <x v="4"/>
    <x v="6"/>
    <x v="0"/>
    <x v="1"/>
  </r>
  <r>
    <s v="Priya Patel"/>
    <s v="CUST1379"/>
    <x v="29"/>
    <n v="179"/>
    <n v="373.82"/>
    <n v="170.92"/>
    <n v="202.9"/>
    <x v="4"/>
    <x v="7"/>
    <x v="2"/>
    <x v="3"/>
  </r>
  <r>
    <s v="Amit Mehta"/>
    <s v="CUST1380"/>
    <x v="245"/>
    <n v="106"/>
    <n v="7636.62"/>
    <n v="2233.36"/>
    <n v="5403.26"/>
    <x v="1"/>
    <x v="7"/>
    <x v="2"/>
    <x v="3"/>
  </r>
  <r>
    <s v="Priya Gupta"/>
    <s v="CUST1381"/>
    <x v="150"/>
    <n v="49"/>
    <n v="17412.03"/>
    <n v="2729.42"/>
    <n v="14682.61"/>
    <x v="4"/>
    <x v="7"/>
    <x v="1"/>
    <x v="2"/>
  </r>
  <r>
    <s v="Rohan Sharma"/>
    <s v="CUST1382"/>
    <x v="227"/>
    <n v="1"/>
    <n v="8722.5400000000009"/>
    <n v="3807.89"/>
    <n v="4914.6499999999996"/>
    <x v="3"/>
    <x v="7"/>
    <x v="3"/>
    <x v="3"/>
  </r>
  <r>
    <s v="Rohan Patel"/>
    <s v="CUST1383"/>
    <x v="215"/>
    <n v="37"/>
    <n v="5740.58"/>
    <n v="2463.7199999999998"/>
    <n v="3276.86"/>
    <x v="3"/>
    <x v="7"/>
    <x v="0"/>
    <x v="0"/>
  </r>
  <r>
    <s v="Anjali Joshi"/>
    <s v="CUST1384"/>
    <x v="237"/>
    <n v="58"/>
    <n v="9041.93"/>
    <n v="2031.07"/>
    <n v="7010.86"/>
    <x v="1"/>
    <x v="7"/>
    <x v="1"/>
    <x v="2"/>
  </r>
  <r>
    <s v="Neha Yadav"/>
    <s v="CUST1385"/>
    <x v="63"/>
    <n v="113"/>
    <n v="18105.650000000001"/>
    <n v="8928.65"/>
    <n v="9177"/>
    <x v="4"/>
    <x v="7"/>
    <x v="1"/>
    <x v="3"/>
  </r>
  <r>
    <s v="Karan Verma"/>
    <s v="CUST1386"/>
    <x v="41"/>
    <n v="69"/>
    <n v="14452.73"/>
    <n v="4208.47"/>
    <n v="10244.26"/>
    <x v="3"/>
    <x v="6"/>
    <x v="3"/>
    <x v="0"/>
  </r>
  <r>
    <s v="Rahul Patel"/>
    <s v="CUST1387"/>
    <x v="183"/>
    <n v="28"/>
    <n v="4900.3900000000003"/>
    <n v="1895.84"/>
    <n v="3004.55"/>
    <x v="4"/>
    <x v="2"/>
    <x v="1"/>
    <x v="1"/>
  </r>
  <r>
    <s v="Neha Sharma"/>
    <s v="CUST1388"/>
    <x v="108"/>
    <n v="197"/>
    <n v="13823.79"/>
    <n v="3849.25"/>
    <n v="9974.5400000000009"/>
    <x v="2"/>
    <x v="4"/>
    <x v="0"/>
    <x v="0"/>
  </r>
  <r>
    <s v="Priya Verma"/>
    <s v="CUST1389"/>
    <x v="149"/>
    <n v="188"/>
    <n v="6196.13"/>
    <n v="1204.1300000000001"/>
    <n v="4992"/>
    <x v="1"/>
    <x v="6"/>
    <x v="2"/>
    <x v="0"/>
  </r>
  <r>
    <s v="Pooja Mehta"/>
    <s v="CUST1390"/>
    <x v="133"/>
    <n v="98"/>
    <n v="9489.9"/>
    <n v="3999.92"/>
    <n v="5489.98"/>
    <x v="4"/>
    <x v="4"/>
    <x v="0"/>
    <x v="2"/>
  </r>
  <r>
    <s v="Anjali Yadav"/>
    <s v="CUST1391"/>
    <x v="46"/>
    <n v="62"/>
    <n v="10696.47"/>
    <n v="3238.25"/>
    <n v="7458.22"/>
    <x v="0"/>
    <x v="3"/>
    <x v="0"/>
    <x v="1"/>
  </r>
  <r>
    <s v="Pooja Verma"/>
    <s v="CUST1392"/>
    <x v="105"/>
    <n v="106"/>
    <n v="17344.38"/>
    <n v="7250.23"/>
    <n v="10094.15"/>
    <x v="0"/>
    <x v="5"/>
    <x v="0"/>
    <x v="0"/>
  </r>
  <r>
    <s v="Neha Singh"/>
    <s v="CUST1393"/>
    <x v="246"/>
    <n v="55"/>
    <n v="4447.5600000000004"/>
    <n v="2051.4699999999998"/>
    <n v="2396.09"/>
    <x v="1"/>
    <x v="3"/>
    <x v="1"/>
    <x v="1"/>
  </r>
  <r>
    <s v="Vikas Yadav"/>
    <s v="CUST1394"/>
    <x v="247"/>
    <n v="24"/>
    <n v="6882.2"/>
    <n v="2789.47"/>
    <n v="4092.73"/>
    <x v="3"/>
    <x v="5"/>
    <x v="3"/>
    <x v="3"/>
  </r>
  <r>
    <s v="Rahul Yadav"/>
    <s v="CUST1395"/>
    <x v="37"/>
    <n v="71"/>
    <n v="10867.4"/>
    <n v="2576.46"/>
    <n v="8290.94"/>
    <x v="3"/>
    <x v="7"/>
    <x v="2"/>
    <x v="0"/>
  </r>
  <r>
    <s v="Anjali Patel"/>
    <s v="CUST1396"/>
    <x v="170"/>
    <n v="129"/>
    <n v="11699.3"/>
    <n v="1521.79"/>
    <n v="10177.51"/>
    <x v="1"/>
    <x v="3"/>
    <x v="1"/>
    <x v="2"/>
  </r>
  <r>
    <s v="Anjali Yadav"/>
    <s v="CUST1397"/>
    <x v="162"/>
    <n v="179"/>
    <n v="3369.46"/>
    <n v="688.85"/>
    <n v="2680.61"/>
    <x v="2"/>
    <x v="3"/>
    <x v="3"/>
    <x v="3"/>
  </r>
  <r>
    <s v="Neha Verma"/>
    <s v="CUST1398"/>
    <x v="195"/>
    <n v="189"/>
    <n v="999.56"/>
    <n v="428.05"/>
    <n v="571.51"/>
    <x v="4"/>
    <x v="0"/>
    <x v="2"/>
    <x v="2"/>
  </r>
  <r>
    <s v="Sneha Sharma"/>
    <s v="CUST1399"/>
    <x v="248"/>
    <n v="116"/>
    <n v="4589.9399999999996"/>
    <n v="2048"/>
    <n v="2541.94"/>
    <x v="3"/>
    <x v="0"/>
    <x v="3"/>
    <x v="2"/>
  </r>
  <r>
    <s v="Rohan Verma"/>
    <s v="CUST1400"/>
    <x v="137"/>
    <n v="17"/>
    <n v="16689.03"/>
    <n v="7282.63"/>
    <n v="9406.4"/>
    <x v="0"/>
    <x v="3"/>
    <x v="2"/>
    <x v="2"/>
  </r>
  <r>
    <s v="Rahul Verma"/>
    <s v="CUST1401"/>
    <x v="99"/>
    <n v="108"/>
    <n v="2259.64"/>
    <n v="438.9"/>
    <n v="1820.74"/>
    <x v="4"/>
    <x v="5"/>
    <x v="2"/>
    <x v="0"/>
  </r>
  <r>
    <s v="Amit Gupta"/>
    <s v="CUST1402"/>
    <x v="35"/>
    <n v="180"/>
    <n v="16270.73"/>
    <n v="6403.25"/>
    <n v="9867.48"/>
    <x v="2"/>
    <x v="4"/>
    <x v="1"/>
    <x v="3"/>
  </r>
  <r>
    <s v="Pooja Singh"/>
    <s v="CUST1403"/>
    <x v="26"/>
    <n v="109"/>
    <n v="3525.49"/>
    <n v="582.85"/>
    <n v="2942.64"/>
    <x v="0"/>
    <x v="6"/>
    <x v="3"/>
    <x v="2"/>
  </r>
  <r>
    <s v="Pooja Singh"/>
    <s v="CUST1404"/>
    <x v="78"/>
    <n v="198"/>
    <n v="16728.91"/>
    <n v="7051.1"/>
    <n v="9677.81"/>
    <x v="1"/>
    <x v="1"/>
    <x v="1"/>
    <x v="1"/>
  </r>
  <r>
    <s v="Pooja Patel"/>
    <s v="CUST1405"/>
    <x v="249"/>
    <n v="178"/>
    <n v="2622.9"/>
    <n v="1255.01"/>
    <n v="1367.89"/>
    <x v="2"/>
    <x v="5"/>
    <x v="1"/>
    <x v="0"/>
  </r>
  <r>
    <s v="Pooja Verma"/>
    <s v="CUST1406"/>
    <x v="250"/>
    <n v="133"/>
    <n v="3677.87"/>
    <n v="550.5"/>
    <n v="3127.37"/>
    <x v="4"/>
    <x v="0"/>
    <x v="0"/>
    <x v="1"/>
  </r>
  <r>
    <s v="Priya Patel"/>
    <s v="CUST1407"/>
    <x v="251"/>
    <n v="135"/>
    <n v="10797.57"/>
    <n v="4277.3100000000004"/>
    <n v="6520.26"/>
    <x v="1"/>
    <x v="2"/>
    <x v="2"/>
    <x v="1"/>
  </r>
  <r>
    <s v="Rohan Yadav"/>
    <s v="CUST1408"/>
    <x v="88"/>
    <n v="36"/>
    <n v="16077.11"/>
    <n v="6620.5"/>
    <n v="9456.61"/>
    <x v="3"/>
    <x v="2"/>
    <x v="1"/>
    <x v="1"/>
  </r>
  <r>
    <s v="Rohan Patel"/>
    <s v="CUST1409"/>
    <x v="252"/>
    <n v="195"/>
    <n v="6504.66"/>
    <n v="2823.97"/>
    <n v="3680.69"/>
    <x v="1"/>
    <x v="4"/>
    <x v="0"/>
    <x v="1"/>
  </r>
  <r>
    <s v="Rahul Sharma"/>
    <s v="CUST1410"/>
    <x v="253"/>
    <n v="171"/>
    <n v="13848.58"/>
    <n v="2144.39"/>
    <n v="11704.19"/>
    <x v="3"/>
    <x v="5"/>
    <x v="3"/>
    <x v="3"/>
  </r>
  <r>
    <s v="Pooja Patel"/>
    <s v="CUST1411"/>
    <x v="1"/>
    <n v="177"/>
    <n v="3889.4"/>
    <n v="461.92"/>
    <n v="3427.48"/>
    <x v="3"/>
    <x v="7"/>
    <x v="3"/>
    <x v="1"/>
  </r>
  <r>
    <s v="Pooja Sharma"/>
    <s v="CUST1412"/>
    <x v="132"/>
    <n v="39"/>
    <n v="19769.22"/>
    <n v="7410.74"/>
    <n v="12358.48"/>
    <x v="3"/>
    <x v="6"/>
    <x v="3"/>
    <x v="2"/>
  </r>
  <r>
    <s v="Neha Patel"/>
    <s v="CUST1413"/>
    <x v="254"/>
    <n v="38"/>
    <n v="12046.93"/>
    <n v="3246"/>
    <n v="8800.93"/>
    <x v="0"/>
    <x v="6"/>
    <x v="1"/>
    <x v="1"/>
  </r>
  <r>
    <s v="Neha Verma"/>
    <s v="CUST1414"/>
    <x v="198"/>
    <n v="196"/>
    <n v="5850.65"/>
    <n v="1470.49"/>
    <n v="4380.16"/>
    <x v="3"/>
    <x v="4"/>
    <x v="1"/>
    <x v="0"/>
  </r>
  <r>
    <s v="Rahul Gupta"/>
    <s v="CUST1415"/>
    <x v="135"/>
    <n v="7"/>
    <n v="978.51"/>
    <n v="470.13"/>
    <n v="508.38"/>
    <x v="1"/>
    <x v="0"/>
    <x v="1"/>
    <x v="2"/>
  </r>
  <r>
    <s v="Anjali Patel"/>
    <s v="CUST1416"/>
    <x v="106"/>
    <n v="186"/>
    <n v="10366.23"/>
    <n v="2985.33"/>
    <n v="7380.9"/>
    <x v="0"/>
    <x v="1"/>
    <x v="0"/>
    <x v="3"/>
  </r>
  <r>
    <s v="Rohan Verma"/>
    <s v="CUST1417"/>
    <x v="167"/>
    <n v="69"/>
    <n v="10282.48"/>
    <n v="1066.6300000000001"/>
    <n v="9215.85"/>
    <x v="1"/>
    <x v="3"/>
    <x v="3"/>
    <x v="2"/>
  </r>
  <r>
    <s v="Neha Gupta"/>
    <s v="CUST1418"/>
    <x v="117"/>
    <n v="11"/>
    <n v="11095.61"/>
    <n v="5373.04"/>
    <n v="5722.57"/>
    <x v="0"/>
    <x v="3"/>
    <x v="1"/>
    <x v="3"/>
  </r>
  <r>
    <s v="Priya Gupta"/>
    <s v="CUST1419"/>
    <x v="68"/>
    <n v="158"/>
    <n v="11209.42"/>
    <n v="2833.33"/>
    <n v="8376.09"/>
    <x v="3"/>
    <x v="2"/>
    <x v="2"/>
    <x v="1"/>
  </r>
  <r>
    <s v="Rahul Joshi"/>
    <s v="CUST1420"/>
    <x v="89"/>
    <n v="13"/>
    <n v="18569.96"/>
    <n v="2857.91"/>
    <n v="15712.05"/>
    <x v="1"/>
    <x v="5"/>
    <x v="0"/>
    <x v="2"/>
  </r>
  <r>
    <s v="Vikas Verma"/>
    <s v="CUST1421"/>
    <x v="141"/>
    <n v="122"/>
    <n v="10019.1"/>
    <n v="1278.8399999999999"/>
    <n v="8740.26"/>
    <x v="2"/>
    <x v="0"/>
    <x v="1"/>
    <x v="3"/>
  </r>
  <r>
    <s v="Karan Patel"/>
    <s v="CUST1422"/>
    <x v="255"/>
    <n v="69"/>
    <n v="4920.32"/>
    <n v="1135.6099999999999"/>
    <n v="3784.71"/>
    <x v="4"/>
    <x v="1"/>
    <x v="3"/>
    <x v="3"/>
  </r>
  <r>
    <s v="Karan Joshi"/>
    <s v="CUST1423"/>
    <x v="256"/>
    <n v="77"/>
    <n v="3256"/>
    <n v="1311.89"/>
    <n v="1944.11"/>
    <x v="0"/>
    <x v="2"/>
    <x v="3"/>
    <x v="0"/>
  </r>
  <r>
    <s v="Priya Patel"/>
    <s v="CUST1424"/>
    <x v="36"/>
    <n v="200"/>
    <n v="5111.8100000000004"/>
    <n v="1611.31"/>
    <n v="3500.5"/>
    <x v="3"/>
    <x v="1"/>
    <x v="3"/>
    <x v="0"/>
  </r>
  <r>
    <s v="Neha Mehta"/>
    <s v="CUST1425"/>
    <x v="257"/>
    <n v="96"/>
    <n v="15177.39"/>
    <n v="2329.59"/>
    <n v="12847.8"/>
    <x v="3"/>
    <x v="2"/>
    <x v="1"/>
    <x v="3"/>
  </r>
  <r>
    <s v="Anjali Mehta"/>
    <s v="CUST1426"/>
    <x v="101"/>
    <n v="175"/>
    <n v="3820.41"/>
    <n v="1617.3"/>
    <n v="2203.11"/>
    <x v="3"/>
    <x v="5"/>
    <x v="1"/>
    <x v="0"/>
  </r>
  <r>
    <s v="Vikas Gupta"/>
    <s v="CUST1427"/>
    <x v="258"/>
    <n v="72"/>
    <n v="17275.38"/>
    <n v="5092.92"/>
    <n v="12182.46"/>
    <x v="2"/>
    <x v="3"/>
    <x v="2"/>
    <x v="1"/>
  </r>
  <r>
    <s v="Anjali Singh"/>
    <s v="CUST1428"/>
    <x v="0"/>
    <n v="179"/>
    <n v="10069.299999999999"/>
    <n v="4315.88"/>
    <n v="5753.42"/>
    <x v="1"/>
    <x v="4"/>
    <x v="2"/>
    <x v="0"/>
  </r>
  <r>
    <s v="Pooja Sharma"/>
    <s v="CUST1429"/>
    <x v="145"/>
    <n v="177"/>
    <n v="6864.59"/>
    <n v="2636.84"/>
    <n v="4227.75"/>
    <x v="3"/>
    <x v="6"/>
    <x v="2"/>
    <x v="3"/>
  </r>
  <r>
    <s v="Priya Singh"/>
    <s v="CUST1430"/>
    <x v="88"/>
    <n v="91"/>
    <n v="3967.15"/>
    <n v="1148.55"/>
    <n v="2818.6"/>
    <x v="2"/>
    <x v="4"/>
    <x v="0"/>
    <x v="0"/>
  </r>
  <r>
    <s v="Priya Verma"/>
    <s v="CUST1431"/>
    <x v="235"/>
    <n v="27"/>
    <n v="1892.15"/>
    <n v="407.72"/>
    <n v="1484.43"/>
    <x v="0"/>
    <x v="7"/>
    <x v="0"/>
    <x v="1"/>
  </r>
  <r>
    <s v="Pooja Singh"/>
    <s v="CUST1432"/>
    <x v="20"/>
    <n v="152"/>
    <n v="1919.23"/>
    <n v="438.52"/>
    <n v="1480.71"/>
    <x v="0"/>
    <x v="0"/>
    <x v="2"/>
    <x v="0"/>
  </r>
  <r>
    <s v="Anjali Singh"/>
    <s v="CUST1433"/>
    <x v="99"/>
    <n v="105"/>
    <n v="17110.79"/>
    <n v="3604.49"/>
    <n v="13506.3"/>
    <x v="3"/>
    <x v="7"/>
    <x v="3"/>
    <x v="0"/>
  </r>
  <r>
    <s v="Amit Yadav"/>
    <s v="CUST1434"/>
    <x v="71"/>
    <n v="105"/>
    <n v="15600.38"/>
    <n v="3305.5"/>
    <n v="12294.88"/>
    <x v="2"/>
    <x v="3"/>
    <x v="0"/>
    <x v="3"/>
  </r>
  <r>
    <s v="Priya Sharma"/>
    <s v="CUST1435"/>
    <x v="231"/>
    <n v="8"/>
    <n v="11763.2"/>
    <n v="4307.2700000000004"/>
    <n v="7455.93"/>
    <x v="0"/>
    <x v="5"/>
    <x v="2"/>
    <x v="1"/>
  </r>
  <r>
    <s v="Priya Gupta"/>
    <s v="CUST1436"/>
    <x v="190"/>
    <n v="121"/>
    <n v="12772.99"/>
    <n v="3845.43"/>
    <n v="8927.56"/>
    <x v="1"/>
    <x v="5"/>
    <x v="1"/>
    <x v="1"/>
  </r>
  <r>
    <s v="Pooja Singh"/>
    <s v="CUST1437"/>
    <x v="256"/>
    <n v="95"/>
    <n v="12233.88"/>
    <n v="4424.79"/>
    <n v="7809.09"/>
    <x v="3"/>
    <x v="5"/>
    <x v="3"/>
    <x v="1"/>
  </r>
  <r>
    <s v="Amit Joshi"/>
    <s v="CUST1438"/>
    <x v="259"/>
    <n v="139"/>
    <n v="5915.65"/>
    <n v="2410.39"/>
    <n v="3505.26"/>
    <x v="2"/>
    <x v="7"/>
    <x v="3"/>
    <x v="1"/>
  </r>
  <r>
    <s v="Pooja Verma"/>
    <s v="CUST1439"/>
    <x v="61"/>
    <n v="105"/>
    <n v="3974.65"/>
    <n v="691.67"/>
    <n v="3282.98"/>
    <x v="4"/>
    <x v="0"/>
    <x v="2"/>
    <x v="1"/>
  </r>
  <r>
    <s v="Priya Yadav"/>
    <s v="CUST1440"/>
    <x v="77"/>
    <n v="86"/>
    <n v="6820.12"/>
    <n v="3200.7"/>
    <n v="3619.42"/>
    <x v="1"/>
    <x v="3"/>
    <x v="3"/>
    <x v="3"/>
  </r>
  <r>
    <s v="Karan Gupta"/>
    <s v="CUST1441"/>
    <x v="260"/>
    <n v="11"/>
    <n v="16608.7"/>
    <n v="4115.78"/>
    <n v="12492.92"/>
    <x v="1"/>
    <x v="0"/>
    <x v="1"/>
    <x v="0"/>
  </r>
  <r>
    <s v="Rohan Gupta"/>
    <s v="CUST1442"/>
    <x v="229"/>
    <n v="191"/>
    <n v="1022.53"/>
    <n v="227.54"/>
    <n v="794.99"/>
    <x v="3"/>
    <x v="2"/>
    <x v="1"/>
    <x v="1"/>
  </r>
  <r>
    <s v="Rahul Singh"/>
    <s v="CUST1443"/>
    <x v="261"/>
    <n v="134"/>
    <n v="17710.25"/>
    <n v="6295.48"/>
    <n v="11414.77"/>
    <x v="0"/>
    <x v="5"/>
    <x v="0"/>
    <x v="0"/>
  </r>
  <r>
    <s v="Neha Yadav"/>
    <s v="CUST1444"/>
    <x v="132"/>
    <n v="83"/>
    <n v="18812.150000000001"/>
    <n v="7804.38"/>
    <n v="11007.77"/>
    <x v="4"/>
    <x v="0"/>
    <x v="3"/>
    <x v="2"/>
  </r>
  <r>
    <s v="Anjali Sharma"/>
    <s v="CUST1445"/>
    <x v="151"/>
    <n v="111"/>
    <n v="10230.61"/>
    <n v="4364.7700000000004"/>
    <n v="5865.84"/>
    <x v="2"/>
    <x v="5"/>
    <x v="1"/>
    <x v="0"/>
  </r>
  <r>
    <s v="Rohan Verma"/>
    <s v="CUST1446"/>
    <x v="16"/>
    <n v="54"/>
    <n v="19680.009999999998"/>
    <n v="3295.29"/>
    <n v="16384.72"/>
    <x v="1"/>
    <x v="3"/>
    <x v="0"/>
    <x v="3"/>
  </r>
  <r>
    <s v="Vikas Sharma"/>
    <s v="CUST1447"/>
    <x v="38"/>
    <n v="136"/>
    <n v="19704.419999999998"/>
    <n v="3702.51"/>
    <n v="16001.91"/>
    <x v="1"/>
    <x v="6"/>
    <x v="2"/>
    <x v="0"/>
  </r>
  <r>
    <s v="Karan Verma"/>
    <s v="CUST1448"/>
    <x v="56"/>
    <n v="12"/>
    <n v="4318.0200000000004"/>
    <n v="1044.73"/>
    <n v="3273.29"/>
    <x v="2"/>
    <x v="5"/>
    <x v="0"/>
    <x v="1"/>
  </r>
  <r>
    <s v="Anjali Yadav"/>
    <s v="CUST1449"/>
    <x v="24"/>
    <n v="178"/>
    <n v="459.28"/>
    <n v="78.58"/>
    <n v="380.7"/>
    <x v="2"/>
    <x v="4"/>
    <x v="0"/>
    <x v="2"/>
  </r>
  <r>
    <s v="Vikas Verma"/>
    <s v="CUST1450"/>
    <x v="262"/>
    <n v="183"/>
    <n v="19907.73"/>
    <n v="2055.3200000000002"/>
    <n v="17852.41"/>
    <x v="2"/>
    <x v="2"/>
    <x v="1"/>
    <x v="0"/>
  </r>
  <r>
    <s v="Pooja Gupta"/>
    <s v="CUST1451"/>
    <x v="263"/>
    <n v="169"/>
    <n v="5998.59"/>
    <n v="1673.13"/>
    <n v="4325.46"/>
    <x v="2"/>
    <x v="7"/>
    <x v="0"/>
    <x v="2"/>
  </r>
  <r>
    <s v="Neha Mehta"/>
    <s v="CUST1452"/>
    <x v="124"/>
    <n v="99"/>
    <n v="12771.86"/>
    <n v="3480.27"/>
    <n v="9291.59"/>
    <x v="4"/>
    <x v="4"/>
    <x v="0"/>
    <x v="2"/>
  </r>
  <r>
    <s v="Rahul Joshi"/>
    <s v="CUST1453"/>
    <x v="264"/>
    <n v="159"/>
    <n v="15866.74"/>
    <n v="2495.3000000000002"/>
    <n v="13371.44"/>
    <x v="4"/>
    <x v="0"/>
    <x v="0"/>
    <x v="3"/>
  </r>
  <r>
    <s v="Priya Joshi"/>
    <s v="CUST1454"/>
    <x v="48"/>
    <n v="37"/>
    <n v="15547.75"/>
    <n v="5100.4399999999996"/>
    <n v="10447.31"/>
    <x v="2"/>
    <x v="3"/>
    <x v="1"/>
    <x v="1"/>
  </r>
  <r>
    <s v="Karan Yadav"/>
    <s v="CUST1455"/>
    <x v="265"/>
    <n v="102"/>
    <n v="12840.77"/>
    <n v="4072.16"/>
    <n v="8768.61"/>
    <x v="0"/>
    <x v="3"/>
    <x v="1"/>
    <x v="3"/>
  </r>
  <r>
    <s v="Priya Joshi"/>
    <s v="CUST1456"/>
    <x v="266"/>
    <n v="186"/>
    <n v="4639.3999999999996"/>
    <n v="1193.75"/>
    <n v="3445.65"/>
    <x v="1"/>
    <x v="4"/>
    <x v="2"/>
    <x v="3"/>
  </r>
  <r>
    <s v="Karan Sharma"/>
    <s v="CUST1457"/>
    <x v="267"/>
    <n v="73"/>
    <n v="16577.47"/>
    <n v="2339.08"/>
    <n v="14238.39"/>
    <x v="0"/>
    <x v="5"/>
    <x v="2"/>
    <x v="0"/>
  </r>
  <r>
    <s v="Anjali Sharma"/>
    <s v="CUST1458"/>
    <x v="201"/>
    <n v="38"/>
    <n v="8184"/>
    <n v="1593.9"/>
    <n v="6590.1"/>
    <x v="2"/>
    <x v="2"/>
    <x v="1"/>
    <x v="2"/>
  </r>
  <r>
    <s v="Amit Gupta"/>
    <s v="CUST1459"/>
    <x v="247"/>
    <n v="97"/>
    <n v="6959.88"/>
    <n v="1725.07"/>
    <n v="5234.8100000000004"/>
    <x v="4"/>
    <x v="3"/>
    <x v="1"/>
    <x v="0"/>
  </r>
  <r>
    <s v="Amit Verma"/>
    <s v="CUST1460"/>
    <x v="26"/>
    <n v="49"/>
    <n v="16163.93"/>
    <n v="6053.75"/>
    <n v="10110.18"/>
    <x v="1"/>
    <x v="5"/>
    <x v="3"/>
    <x v="3"/>
  </r>
  <r>
    <s v="Vikas Gupta"/>
    <s v="CUST1461"/>
    <x v="159"/>
    <n v="39"/>
    <n v="4887.96"/>
    <n v="887.1"/>
    <n v="4000.86"/>
    <x v="1"/>
    <x v="6"/>
    <x v="0"/>
    <x v="1"/>
  </r>
  <r>
    <s v="Neha Yadav"/>
    <s v="CUST1462"/>
    <x v="79"/>
    <n v="58"/>
    <n v="119.47"/>
    <n v="27.83"/>
    <n v="91.64"/>
    <x v="2"/>
    <x v="1"/>
    <x v="1"/>
    <x v="0"/>
  </r>
  <r>
    <s v="Amit Sharma"/>
    <s v="CUST1463"/>
    <x v="268"/>
    <n v="196"/>
    <n v="7805.03"/>
    <n v="3271.69"/>
    <n v="4533.34"/>
    <x v="3"/>
    <x v="0"/>
    <x v="3"/>
    <x v="1"/>
  </r>
  <r>
    <s v="Rahul Patel"/>
    <s v="CUST1464"/>
    <x v="45"/>
    <n v="136"/>
    <n v="1214.1300000000001"/>
    <n v="292.22000000000003"/>
    <n v="921.91"/>
    <x v="3"/>
    <x v="6"/>
    <x v="0"/>
    <x v="2"/>
  </r>
  <r>
    <s v="Rahul Yadav"/>
    <s v="CUST1465"/>
    <x v="22"/>
    <n v="199"/>
    <n v="3626.07"/>
    <n v="899.94"/>
    <n v="2726.13"/>
    <x v="4"/>
    <x v="7"/>
    <x v="1"/>
    <x v="3"/>
  </r>
  <r>
    <s v="Rahul Mehta"/>
    <s v="CUST1466"/>
    <x v="56"/>
    <n v="164"/>
    <n v="5668.02"/>
    <n v="2795.88"/>
    <n v="2872.14"/>
    <x v="0"/>
    <x v="7"/>
    <x v="1"/>
    <x v="2"/>
  </r>
  <r>
    <s v="Rohan Verma"/>
    <s v="CUST1467"/>
    <x v="87"/>
    <n v="183"/>
    <n v="18864.330000000002"/>
    <n v="2750.91"/>
    <n v="16113.42"/>
    <x v="0"/>
    <x v="1"/>
    <x v="2"/>
    <x v="3"/>
  </r>
  <r>
    <s v="Anjali Sharma"/>
    <s v="CUST1468"/>
    <x v="269"/>
    <n v="24"/>
    <n v="14942.67"/>
    <n v="4530.0600000000004"/>
    <n v="10412.61"/>
    <x v="0"/>
    <x v="1"/>
    <x v="0"/>
    <x v="3"/>
  </r>
  <r>
    <s v="Pooja Patel"/>
    <s v="CUST1469"/>
    <x v="47"/>
    <n v="200"/>
    <n v="5344.56"/>
    <n v="1822.97"/>
    <n v="3521.59"/>
    <x v="2"/>
    <x v="6"/>
    <x v="0"/>
    <x v="3"/>
  </r>
  <r>
    <s v="Priya Singh"/>
    <s v="CUST1470"/>
    <x v="258"/>
    <n v="60"/>
    <n v="1874.82"/>
    <n v="837.92"/>
    <n v="1036.9000000000001"/>
    <x v="1"/>
    <x v="4"/>
    <x v="2"/>
    <x v="3"/>
  </r>
  <r>
    <s v="Anjali Gupta"/>
    <s v="CUST1471"/>
    <x v="152"/>
    <n v="120"/>
    <n v="10939.24"/>
    <n v="5123.28"/>
    <n v="5815.96"/>
    <x v="3"/>
    <x v="0"/>
    <x v="2"/>
    <x v="1"/>
  </r>
  <r>
    <s v="Amit Verma"/>
    <s v="CUST1472"/>
    <x v="198"/>
    <n v="98"/>
    <n v="2341.14"/>
    <n v="467.91"/>
    <n v="1873.23"/>
    <x v="4"/>
    <x v="4"/>
    <x v="2"/>
    <x v="0"/>
  </r>
  <r>
    <s v="Sneha Mehta"/>
    <s v="CUST1473"/>
    <x v="53"/>
    <n v="32"/>
    <n v="3888.71"/>
    <n v="1248.29"/>
    <n v="2640.42"/>
    <x v="2"/>
    <x v="6"/>
    <x v="3"/>
    <x v="2"/>
  </r>
  <r>
    <s v="Pooja Sharma"/>
    <s v="CUST1474"/>
    <x v="231"/>
    <n v="44"/>
    <n v="17304.7"/>
    <n v="6416.43"/>
    <n v="10888.27"/>
    <x v="4"/>
    <x v="1"/>
    <x v="3"/>
    <x v="1"/>
  </r>
  <r>
    <s v="Amit Gupta"/>
    <s v="CUST1475"/>
    <x v="270"/>
    <n v="73"/>
    <n v="19899.080000000002"/>
    <n v="8067.03"/>
    <n v="11832.05"/>
    <x v="4"/>
    <x v="6"/>
    <x v="0"/>
    <x v="0"/>
  </r>
  <r>
    <s v="Sneha Patel"/>
    <s v="CUST1476"/>
    <x v="271"/>
    <n v="119"/>
    <n v="14844.24"/>
    <n v="4455.3"/>
    <n v="10388.94"/>
    <x v="2"/>
    <x v="2"/>
    <x v="2"/>
    <x v="1"/>
  </r>
  <r>
    <s v="Rahul Verma"/>
    <s v="CUST1477"/>
    <x v="215"/>
    <n v="24"/>
    <n v="17575.810000000001"/>
    <n v="2500.92"/>
    <n v="15074.89"/>
    <x v="2"/>
    <x v="2"/>
    <x v="0"/>
    <x v="3"/>
  </r>
  <r>
    <s v="Vikas Gupta"/>
    <s v="CUST1478"/>
    <x v="272"/>
    <n v="147"/>
    <n v="10967.89"/>
    <n v="2261.37"/>
    <n v="8706.52"/>
    <x v="0"/>
    <x v="7"/>
    <x v="2"/>
    <x v="0"/>
  </r>
  <r>
    <s v="Priya Singh"/>
    <s v="CUST1479"/>
    <x v="127"/>
    <n v="132"/>
    <n v="3626.61"/>
    <n v="824.65"/>
    <n v="2801.96"/>
    <x v="1"/>
    <x v="1"/>
    <x v="0"/>
    <x v="2"/>
  </r>
  <r>
    <s v="Priya Yadav"/>
    <s v="CUST1480"/>
    <x v="160"/>
    <n v="6"/>
    <n v="9907.24"/>
    <n v="2168.42"/>
    <n v="7738.82"/>
    <x v="2"/>
    <x v="1"/>
    <x v="1"/>
    <x v="1"/>
  </r>
  <r>
    <s v="Sneha Yadav"/>
    <s v="CUST1481"/>
    <x v="125"/>
    <n v="16"/>
    <n v="8112.92"/>
    <n v="1011.86"/>
    <n v="7101.06"/>
    <x v="4"/>
    <x v="1"/>
    <x v="2"/>
    <x v="1"/>
  </r>
  <r>
    <s v="Anjali Sharma"/>
    <s v="CUST1482"/>
    <x v="67"/>
    <n v="139"/>
    <n v="2958.23"/>
    <n v="699.43"/>
    <n v="2258.8000000000002"/>
    <x v="4"/>
    <x v="2"/>
    <x v="2"/>
    <x v="2"/>
  </r>
  <r>
    <s v="Anjali Verma"/>
    <s v="CUST1483"/>
    <x v="142"/>
    <n v="101"/>
    <n v="13607.07"/>
    <n v="3213.69"/>
    <n v="10393.379999999999"/>
    <x v="3"/>
    <x v="4"/>
    <x v="1"/>
    <x v="1"/>
  </r>
  <r>
    <s v="Vikas Gupta"/>
    <s v="CUST1484"/>
    <x v="172"/>
    <n v="39"/>
    <n v="14676.54"/>
    <n v="4268.8900000000003"/>
    <n v="10407.65"/>
    <x v="4"/>
    <x v="5"/>
    <x v="2"/>
    <x v="2"/>
  </r>
  <r>
    <s v="Pooja Gupta"/>
    <s v="CUST1485"/>
    <x v="246"/>
    <n v="194"/>
    <n v="11924.01"/>
    <n v="5773.92"/>
    <n v="6150.09"/>
    <x v="2"/>
    <x v="6"/>
    <x v="2"/>
    <x v="0"/>
  </r>
  <r>
    <s v="Pooja Joshi"/>
    <s v="CUST1486"/>
    <x v="254"/>
    <n v="140"/>
    <n v="17374.75"/>
    <n v="2063.52"/>
    <n v="15311.23"/>
    <x v="4"/>
    <x v="3"/>
    <x v="3"/>
    <x v="1"/>
  </r>
  <r>
    <s v="Pooja Singh"/>
    <s v="CUST1487"/>
    <x v="84"/>
    <n v="139"/>
    <n v="8719.7000000000007"/>
    <n v="1851.41"/>
    <n v="6868.29"/>
    <x v="1"/>
    <x v="6"/>
    <x v="2"/>
    <x v="2"/>
  </r>
  <r>
    <s v="Pooja Mehta"/>
    <s v="CUST1488"/>
    <x v="273"/>
    <n v="157"/>
    <n v="10292.89"/>
    <n v="2554.63"/>
    <n v="7738.26"/>
    <x v="3"/>
    <x v="6"/>
    <x v="3"/>
    <x v="0"/>
  </r>
  <r>
    <s v="Karan Yadav"/>
    <s v="CUST1489"/>
    <x v="48"/>
    <n v="193"/>
    <n v="18267.080000000002"/>
    <n v="4053.24"/>
    <n v="14213.84"/>
    <x v="0"/>
    <x v="5"/>
    <x v="3"/>
    <x v="3"/>
  </r>
  <r>
    <s v="Priya Gupta"/>
    <s v="CUST1490"/>
    <x v="268"/>
    <n v="100"/>
    <n v="9604.27"/>
    <n v="2730.42"/>
    <n v="6873.85"/>
    <x v="4"/>
    <x v="3"/>
    <x v="1"/>
    <x v="2"/>
  </r>
  <r>
    <s v="Rohan Patel"/>
    <s v="CUST1491"/>
    <x v="248"/>
    <n v="17"/>
    <n v="14416.23"/>
    <n v="3380.94"/>
    <n v="11035.29"/>
    <x v="0"/>
    <x v="7"/>
    <x v="1"/>
    <x v="0"/>
  </r>
  <r>
    <s v="Karan Verma"/>
    <s v="CUST1492"/>
    <x v="98"/>
    <n v="148"/>
    <n v="18314.830000000002"/>
    <n v="5451.92"/>
    <n v="12862.91"/>
    <x v="4"/>
    <x v="2"/>
    <x v="3"/>
    <x v="3"/>
  </r>
  <r>
    <s v="Sneha Sharma"/>
    <s v="CUST1493"/>
    <x v="274"/>
    <n v="165"/>
    <n v="10689.6"/>
    <n v="2430.5500000000002"/>
    <n v="8259.0499999999993"/>
    <x v="3"/>
    <x v="1"/>
    <x v="2"/>
    <x v="3"/>
  </r>
  <r>
    <s v="Anjali Sharma"/>
    <s v="CUST1494"/>
    <x v="97"/>
    <n v="69"/>
    <n v="17672.11"/>
    <n v="4145.38"/>
    <n v="13526.73"/>
    <x v="1"/>
    <x v="1"/>
    <x v="1"/>
    <x v="2"/>
  </r>
  <r>
    <s v="Sneha Sharma"/>
    <s v="CUST1495"/>
    <x v="35"/>
    <n v="173"/>
    <n v="2584.0300000000002"/>
    <n v="1003.02"/>
    <n v="1581.01"/>
    <x v="2"/>
    <x v="2"/>
    <x v="3"/>
    <x v="2"/>
  </r>
  <r>
    <s v="Vikas Joshi"/>
    <s v="CUST1496"/>
    <x v="141"/>
    <n v="135"/>
    <n v="7924.15"/>
    <n v="2080.58"/>
    <n v="5843.57"/>
    <x v="4"/>
    <x v="2"/>
    <x v="3"/>
    <x v="2"/>
  </r>
  <r>
    <s v="Neha Singh"/>
    <s v="CUST1497"/>
    <x v="233"/>
    <n v="35"/>
    <n v="13702.16"/>
    <n v="2798.75"/>
    <n v="10903.41"/>
    <x v="1"/>
    <x v="1"/>
    <x v="2"/>
    <x v="3"/>
  </r>
  <r>
    <s v="Karan Patel"/>
    <s v="CUST1498"/>
    <x v="260"/>
    <n v="104"/>
    <n v="3371.99"/>
    <n v="1578.62"/>
    <n v="1793.37"/>
    <x v="1"/>
    <x v="2"/>
    <x v="3"/>
    <x v="0"/>
  </r>
  <r>
    <s v="Neha Mehta"/>
    <s v="CUST1499"/>
    <x v="221"/>
    <n v="43"/>
    <n v="19375.7"/>
    <n v="8355.91"/>
    <n v="11019.79"/>
    <x v="2"/>
    <x v="0"/>
    <x v="2"/>
    <x v="2"/>
  </r>
  <r>
    <s v="Karan Mehta"/>
    <s v="CUST1500"/>
    <x v="236"/>
    <n v="58"/>
    <n v="17222.96"/>
    <n v="2138.54"/>
    <n v="15084.42"/>
    <x v="3"/>
    <x v="1"/>
    <x v="3"/>
    <x v="2"/>
  </r>
  <r>
    <s v="Rahul Yadav"/>
    <s v="CUST1501"/>
    <x v="275"/>
    <n v="68"/>
    <n v="19129.55"/>
    <n v="2298.7800000000002"/>
    <n v="16830.77"/>
    <x v="2"/>
    <x v="4"/>
    <x v="0"/>
    <x v="2"/>
  </r>
  <r>
    <s v="Sneha Joshi"/>
    <s v="CUST1502"/>
    <x v="226"/>
    <n v="67"/>
    <n v="4561.71"/>
    <n v="1926.58"/>
    <n v="2635.13"/>
    <x v="2"/>
    <x v="5"/>
    <x v="0"/>
    <x v="1"/>
  </r>
  <r>
    <s v="Sneha Yadav"/>
    <s v="CUST1503"/>
    <x v="44"/>
    <n v="13"/>
    <n v="4063.04"/>
    <n v="677.68"/>
    <n v="3385.36"/>
    <x v="1"/>
    <x v="0"/>
    <x v="3"/>
    <x v="1"/>
  </r>
  <r>
    <s v="Amit Mehta"/>
    <s v="CUST1504"/>
    <x v="263"/>
    <n v="101"/>
    <n v="6220.85"/>
    <n v="2301.1"/>
    <n v="3919.75"/>
    <x v="0"/>
    <x v="5"/>
    <x v="3"/>
    <x v="2"/>
  </r>
  <r>
    <s v="Priya Patel"/>
    <s v="CUST1505"/>
    <x v="205"/>
    <n v="187"/>
    <n v="3552.84"/>
    <n v="896.2"/>
    <n v="2656.64"/>
    <x v="4"/>
    <x v="1"/>
    <x v="1"/>
    <x v="1"/>
  </r>
  <r>
    <s v="Priya Gupta"/>
    <s v="CUST1506"/>
    <x v="268"/>
    <n v="82"/>
    <n v="1011.26"/>
    <n v="117.39"/>
    <n v="893.87"/>
    <x v="1"/>
    <x v="2"/>
    <x v="0"/>
    <x v="2"/>
  </r>
  <r>
    <s v="Amit Sharma"/>
    <s v="CUST1507"/>
    <x v="16"/>
    <n v="91"/>
    <n v="3628.76"/>
    <n v="1258.55"/>
    <n v="2370.21"/>
    <x v="2"/>
    <x v="5"/>
    <x v="1"/>
    <x v="1"/>
  </r>
  <r>
    <s v="Pooja Verma"/>
    <s v="CUST1508"/>
    <x v="70"/>
    <n v="123"/>
    <n v="233.86"/>
    <n v="83.16"/>
    <n v="150.69999999999999"/>
    <x v="4"/>
    <x v="4"/>
    <x v="1"/>
    <x v="3"/>
  </r>
  <r>
    <s v="Neha Mehta"/>
    <s v="CUST1509"/>
    <x v="153"/>
    <n v="199"/>
    <n v="8620.2199999999993"/>
    <n v="4108.8500000000004"/>
    <n v="4511.37"/>
    <x v="1"/>
    <x v="1"/>
    <x v="1"/>
    <x v="0"/>
  </r>
  <r>
    <s v="Vikas Joshi"/>
    <s v="CUST1510"/>
    <x v="233"/>
    <n v="36"/>
    <n v="9904.9699999999993"/>
    <n v="3613.77"/>
    <n v="6291.2"/>
    <x v="1"/>
    <x v="6"/>
    <x v="3"/>
    <x v="0"/>
  </r>
  <r>
    <s v="Anjali Mehta"/>
    <s v="CUST1511"/>
    <x v="119"/>
    <n v="183"/>
    <n v="16847.37"/>
    <n v="6482.65"/>
    <n v="10364.719999999999"/>
    <x v="2"/>
    <x v="2"/>
    <x v="3"/>
    <x v="1"/>
  </r>
  <r>
    <s v="Amit Gupta"/>
    <s v="CUST1512"/>
    <x v="276"/>
    <n v="7"/>
    <n v="2808.89"/>
    <n v="448.28"/>
    <n v="2360.61"/>
    <x v="3"/>
    <x v="3"/>
    <x v="2"/>
    <x v="2"/>
  </r>
  <r>
    <s v="Anjali Singh"/>
    <s v="CUST1513"/>
    <x v="277"/>
    <n v="166"/>
    <n v="17580.310000000001"/>
    <n v="8278.58"/>
    <n v="9301.73"/>
    <x v="4"/>
    <x v="2"/>
    <x v="0"/>
    <x v="2"/>
  </r>
  <r>
    <s v="Anjali Patel"/>
    <s v="CUST1514"/>
    <x v="75"/>
    <n v="2"/>
    <n v="6547.13"/>
    <n v="2015.13"/>
    <n v="4532"/>
    <x v="2"/>
    <x v="0"/>
    <x v="1"/>
    <x v="3"/>
  </r>
  <r>
    <s v="Amit Joshi"/>
    <s v="CUST1515"/>
    <x v="17"/>
    <n v="73"/>
    <n v="17037.330000000002"/>
    <n v="4942.24"/>
    <n v="12095.09"/>
    <x v="0"/>
    <x v="1"/>
    <x v="1"/>
    <x v="3"/>
  </r>
  <r>
    <s v="Sneha Singh"/>
    <s v="CUST1516"/>
    <x v="65"/>
    <n v="115"/>
    <n v="17987.490000000002"/>
    <n v="3318.13"/>
    <n v="14669.36"/>
    <x v="1"/>
    <x v="1"/>
    <x v="2"/>
    <x v="1"/>
  </r>
  <r>
    <s v="Neha Mehta"/>
    <s v="CUST1517"/>
    <x v="197"/>
    <n v="190"/>
    <n v="14103.32"/>
    <n v="1865.92"/>
    <n v="12237.4"/>
    <x v="1"/>
    <x v="0"/>
    <x v="0"/>
    <x v="3"/>
  </r>
  <r>
    <s v="Neha Patel"/>
    <s v="CUST1518"/>
    <x v="278"/>
    <n v="35"/>
    <n v="3889.43"/>
    <n v="1846.83"/>
    <n v="2042.6"/>
    <x v="4"/>
    <x v="2"/>
    <x v="0"/>
    <x v="2"/>
  </r>
  <r>
    <s v="Pooja Patel"/>
    <s v="CUST1519"/>
    <x v="279"/>
    <n v="97"/>
    <n v="14792.1"/>
    <n v="2156.79"/>
    <n v="12635.31"/>
    <x v="2"/>
    <x v="0"/>
    <x v="1"/>
    <x v="2"/>
  </r>
  <r>
    <s v="Sneha Verma"/>
    <s v="CUST1520"/>
    <x v="180"/>
    <n v="184"/>
    <n v="11099.65"/>
    <n v="4018.04"/>
    <n v="7081.61"/>
    <x v="2"/>
    <x v="2"/>
    <x v="1"/>
    <x v="0"/>
  </r>
  <r>
    <s v="Karan Patel"/>
    <s v="CUST1521"/>
    <x v="207"/>
    <n v="117"/>
    <n v="3621.13"/>
    <n v="1548.88"/>
    <n v="2072.25"/>
    <x v="1"/>
    <x v="7"/>
    <x v="1"/>
    <x v="2"/>
  </r>
  <r>
    <s v="Vikas Mehta"/>
    <s v="CUST1522"/>
    <x v="234"/>
    <n v="161"/>
    <n v="5386.04"/>
    <n v="2400.7399999999998"/>
    <n v="2985.3"/>
    <x v="4"/>
    <x v="3"/>
    <x v="3"/>
    <x v="3"/>
  </r>
  <r>
    <s v="Pooja Patel"/>
    <s v="CUST1523"/>
    <x v="280"/>
    <n v="199"/>
    <n v="17112.099999999999"/>
    <n v="3477.85"/>
    <n v="13634.25"/>
    <x v="0"/>
    <x v="0"/>
    <x v="0"/>
    <x v="0"/>
  </r>
  <r>
    <s v="Rahul Verma"/>
    <s v="CUST1524"/>
    <x v="250"/>
    <n v="113"/>
    <n v="19210.98"/>
    <n v="4645.83"/>
    <n v="14565.15"/>
    <x v="4"/>
    <x v="5"/>
    <x v="1"/>
    <x v="3"/>
  </r>
  <r>
    <s v="Priya Yadav"/>
    <s v="CUST1525"/>
    <x v="94"/>
    <n v="184"/>
    <n v="14593.24"/>
    <n v="1892.48"/>
    <n v="12700.76"/>
    <x v="2"/>
    <x v="2"/>
    <x v="0"/>
    <x v="2"/>
  </r>
  <r>
    <s v="Neha Verma"/>
    <s v="CUST1526"/>
    <x v="216"/>
    <n v="148"/>
    <n v="19108.34"/>
    <n v="2601.4699999999998"/>
    <n v="16506.87"/>
    <x v="4"/>
    <x v="1"/>
    <x v="2"/>
    <x v="1"/>
  </r>
  <r>
    <s v="Rohan Mehta"/>
    <s v="CUST1527"/>
    <x v="45"/>
    <n v="150"/>
    <n v="1599.72"/>
    <n v="605.85"/>
    <n v="993.87"/>
    <x v="2"/>
    <x v="2"/>
    <x v="2"/>
    <x v="3"/>
  </r>
  <r>
    <s v="Anjali Mehta"/>
    <s v="CUST1528"/>
    <x v="162"/>
    <n v="63"/>
    <n v="15808.1"/>
    <n v="2493.2600000000002"/>
    <n v="13314.84"/>
    <x v="2"/>
    <x v="0"/>
    <x v="3"/>
    <x v="2"/>
  </r>
  <r>
    <s v="Vikas Gupta"/>
    <s v="CUST1529"/>
    <x v="240"/>
    <n v="126"/>
    <n v="14523.24"/>
    <n v="4571.76"/>
    <n v="9951.48"/>
    <x v="0"/>
    <x v="0"/>
    <x v="2"/>
    <x v="0"/>
  </r>
  <r>
    <s v="Vikas Singh"/>
    <s v="CUST1530"/>
    <x v="167"/>
    <n v="147"/>
    <n v="6719.22"/>
    <n v="1033.5999999999999"/>
    <n v="5685.62"/>
    <x v="2"/>
    <x v="7"/>
    <x v="0"/>
    <x v="3"/>
  </r>
  <r>
    <s v="Sneha Yadav"/>
    <s v="CUST1531"/>
    <x v="220"/>
    <n v="48"/>
    <n v="11463.76"/>
    <n v="3713.61"/>
    <n v="7750.15"/>
    <x v="4"/>
    <x v="3"/>
    <x v="3"/>
    <x v="3"/>
  </r>
  <r>
    <s v="Pooja Yadav"/>
    <s v="CUST1532"/>
    <x v="151"/>
    <n v="135"/>
    <n v="18222.2"/>
    <n v="3872.11"/>
    <n v="14350.09"/>
    <x v="4"/>
    <x v="7"/>
    <x v="3"/>
    <x v="3"/>
  </r>
  <r>
    <s v="Pooja Singh"/>
    <s v="CUST1533"/>
    <x v="199"/>
    <n v="39"/>
    <n v="658.76"/>
    <n v="151.46"/>
    <n v="507.3"/>
    <x v="3"/>
    <x v="2"/>
    <x v="3"/>
    <x v="0"/>
  </r>
  <r>
    <s v="Rahul Singh"/>
    <s v="CUST1534"/>
    <x v="126"/>
    <n v="10"/>
    <n v="17679.09"/>
    <n v="6963.36"/>
    <n v="10715.73"/>
    <x v="2"/>
    <x v="7"/>
    <x v="1"/>
    <x v="0"/>
  </r>
  <r>
    <s v="Anjali Singh"/>
    <s v="CUST1535"/>
    <x v="168"/>
    <n v="190"/>
    <n v="14468.69"/>
    <n v="2149.96"/>
    <n v="12318.73"/>
    <x v="2"/>
    <x v="4"/>
    <x v="2"/>
    <x v="3"/>
  </r>
  <r>
    <s v="Karan Gupta"/>
    <s v="CUST1536"/>
    <x v="114"/>
    <n v="193"/>
    <n v="15827.69"/>
    <n v="2762.81"/>
    <n v="13064.88"/>
    <x v="3"/>
    <x v="0"/>
    <x v="0"/>
    <x v="2"/>
  </r>
  <r>
    <s v="Vikas Singh"/>
    <s v="CUST1537"/>
    <x v="280"/>
    <n v="166"/>
    <n v="1732"/>
    <n v="469.26"/>
    <n v="1262.74"/>
    <x v="2"/>
    <x v="4"/>
    <x v="0"/>
    <x v="0"/>
  </r>
  <r>
    <s v="Amit Mehta"/>
    <s v="CUST1538"/>
    <x v="94"/>
    <n v="54"/>
    <n v="17452.93"/>
    <n v="4743.59"/>
    <n v="12709.34"/>
    <x v="3"/>
    <x v="3"/>
    <x v="2"/>
    <x v="3"/>
  </r>
  <r>
    <s v="Pooja Mehta"/>
    <s v="CUST1539"/>
    <x v="62"/>
    <n v="7"/>
    <n v="1940.25"/>
    <n v="815.81"/>
    <n v="1124.44"/>
    <x v="1"/>
    <x v="0"/>
    <x v="0"/>
    <x v="3"/>
  </r>
  <r>
    <s v="Rahul Gupta"/>
    <s v="CUST1540"/>
    <x v="281"/>
    <n v="22"/>
    <n v="4287.3"/>
    <n v="1125.8699999999999"/>
    <n v="3161.43"/>
    <x v="3"/>
    <x v="5"/>
    <x v="2"/>
    <x v="0"/>
  </r>
  <r>
    <s v="Rahul Verma"/>
    <s v="CUST1541"/>
    <x v="282"/>
    <n v="39"/>
    <n v="2399.64"/>
    <n v="1048.73"/>
    <n v="1350.91"/>
    <x v="0"/>
    <x v="1"/>
    <x v="1"/>
    <x v="3"/>
  </r>
  <r>
    <s v="Rahul Patel"/>
    <s v="CUST1542"/>
    <x v="237"/>
    <n v="198"/>
    <n v="14945.82"/>
    <n v="6939.42"/>
    <n v="8006.4"/>
    <x v="3"/>
    <x v="1"/>
    <x v="1"/>
    <x v="1"/>
  </r>
  <r>
    <s v="Neha Verma"/>
    <s v="CUST1543"/>
    <x v="283"/>
    <n v="31"/>
    <n v="12388.41"/>
    <n v="6036.04"/>
    <n v="6352.37"/>
    <x v="4"/>
    <x v="4"/>
    <x v="1"/>
    <x v="3"/>
  </r>
  <r>
    <s v="Priya Singh"/>
    <s v="CUST1544"/>
    <x v="284"/>
    <n v="76"/>
    <n v="11480.49"/>
    <n v="3758.95"/>
    <n v="7721.54"/>
    <x v="1"/>
    <x v="0"/>
    <x v="0"/>
    <x v="3"/>
  </r>
  <r>
    <s v="Sneha Joshi"/>
    <s v="CUST1545"/>
    <x v="40"/>
    <n v="134"/>
    <n v="2162.23"/>
    <n v="420.03"/>
    <n v="1742.2"/>
    <x v="1"/>
    <x v="2"/>
    <x v="0"/>
    <x v="1"/>
  </r>
  <r>
    <s v="Vikas Sharma"/>
    <s v="CUST1546"/>
    <x v="19"/>
    <n v="143"/>
    <n v="13692.53"/>
    <n v="3421.22"/>
    <n v="10271.31"/>
    <x v="4"/>
    <x v="4"/>
    <x v="0"/>
    <x v="2"/>
  </r>
  <r>
    <s v="Neha Verma"/>
    <s v="CUST1547"/>
    <x v="274"/>
    <n v="74"/>
    <n v="7573.98"/>
    <n v="3735.14"/>
    <n v="3838.84"/>
    <x v="2"/>
    <x v="0"/>
    <x v="3"/>
    <x v="2"/>
  </r>
  <r>
    <s v="Rohan Patel"/>
    <s v="CUST1548"/>
    <x v="217"/>
    <n v="190"/>
    <n v="14746.07"/>
    <n v="7365.74"/>
    <n v="7380.33"/>
    <x v="4"/>
    <x v="4"/>
    <x v="2"/>
    <x v="0"/>
  </r>
  <r>
    <s v="Rahul Patel"/>
    <s v="CUST1549"/>
    <x v="220"/>
    <n v="117"/>
    <n v="2461.14"/>
    <n v="959.39"/>
    <n v="1501.75"/>
    <x v="0"/>
    <x v="4"/>
    <x v="3"/>
    <x v="2"/>
  </r>
  <r>
    <s v="Rohan Joshi"/>
    <s v="CUST1550"/>
    <x v="177"/>
    <n v="34"/>
    <n v="4319.05"/>
    <n v="2112.81"/>
    <n v="2206.2399999999998"/>
    <x v="3"/>
    <x v="2"/>
    <x v="0"/>
    <x v="3"/>
  </r>
  <r>
    <s v="Sneha Sharma"/>
    <s v="CUST1551"/>
    <x v="40"/>
    <n v="32"/>
    <n v="7300.27"/>
    <n v="3177.21"/>
    <n v="4123.0600000000004"/>
    <x v="4"/>
    <x v="7"/>
    <x v="3"/>
    <x v="1"/>
  </r>
  <r>
    <s v="Neha Sharma"/>
    <s v="CUST1552"/>
    <x v="264"/>
    <n v="185"/>
    <n v="14458.8"/>
    <n v="6735.64"/>
    <n v="7723.16"/>
    <x v="0"/>
    <x v="3"/>
    <x v="1"/>
    <x v="3"/>
  </r>
  <r>
    <s v="Neha Verma"/>
    <s v="CUST1553"/>
    <x v="285"/>
    <n v="136"/>
    <n v="13036.88"/>
    <n v="1819.32"/>
    <n v="11217.56"/>
    <x v="1"/>
    <x v="4"/>
    <x v="3"/>
    <x v="3"/>
  </r>
  <r>
    <s v="Rahul Singh"/>
    <s v="CUST1554"/>
    <x v="178"/>
    <n v="182"/>
    <n v="17342.439999999999"/>
    <n v="8446.58"/>
    <n v="8895.86"/>
    <x v="3"/>
    <x v="5"/>
    <x v="0"/>
    <x v="2"/>
  </r>
  <r>
    <s v="Rohan Yadav"/>
    <s v="CUST1555"/>
    <x v="286"/>
    <n v="197"/>
    <n v="12832.79"/>
    <n v="4524.5"/>
    <n v="8308.2900000000009"/>
    <x v="1"/>
    <x v="5"/>
    <x v="3"/>
    <x v="0"/>
  </r>
  <r>
    <s v="Pooja Mehta"/>
    <s v="CUST1556"/>
    <x v="264"/>
    <n v="73"/>
    <n v="8560.89"/>
    <n v="3689.8"/>
    <n v="4871.09"/>
    <x v="4"/>
    <x v="6"/>
    <x v="1"/>
    <x v="1"/>
  </r>
  <r>
    <s v="Neha Joshi"/>
    <s v="CUST1557"/>
    <x v="287"/>
    <n v="112"/>
    <n v="154.37"/>
    <n v="74.459999999999994"/>
    <n v="79.91"/>
    <x v="3"/>
    <x v="5"/>
    <x v="0"/>
    <x v="1"/>
  </r>
  <r>
    <s v="Priya Sharma"/>
    <s v="CUST1558"/>
    <x v="288"/>
    <n v="189"/>
    <n v="15871.35"/>
    <n v="4419.58"/>
    <n v="11451.77"/>
    <x v="3"/>
    <x v="7"/>
    <x v="1"/>
    <x v="2"/>
  </r>
  <r>
    <s v="Amit Yadav"/>
    <s v="CUST1559"/>
    <x v="206"/>
    <n v="109"/>
    <n v="10373.969999999999"/>
    <n v="2928.06"/>
    <n v="7445.91"/>
    <x v="2"/>
    <x v="5"/>
    <x v="3"/>
    <x v="0"/>
  </r>
  <r>
    <s v="Amit Verma"/>
    <s v="CUST1560"/>
    <x v="156"/>
    <n v="8"/>
    <n v="17381.810000000001"/>
    <n v="7938.75"/>
    <n v="9443.06"/>
    <x v="1"/>
    <x v="3"/>
    <x v="1"/>
    <x v="1"/>
  </r>
  <r>
    <s v="Priya Sharma"/>
    <s v="CUST1561"/>
    <x v="158"/>
    <n v="116"/>
    <n v="2123.16"/>
    <n v="1015.82"/>
    <n v="1107.3399999999999"/>
    <x v="4"/>
    <x v="4"/>
    <x v="0"/>
    <x v="1"/>
  </r>
  <r>
    <s v="Vikas Mehta"/>
    <s v="CUST1562"/>
    <x v="289"/>
    <n v="71"/>
    <n v="9891.4599999999991"/>
    <n v="4156.41"/>
    <n v="5735.05"/>
    <x v="0"/>
    <x v="2"/>
    <x v="0"/>
    <x v="3"/>
  </r>
  <r>
    <s v="Rahul Sharma"/>
    <s v="CUST1563"/>
    <x v="71"/>
    <n v="112"/>
    <n v="3716.34"/>
    <n v="1067.79"/>
    <n v="2648.55"/>
    <x v="2"/>
    <x v="4"/>
    <x v="1"/>
    <x v="0"/>
  </r>
  <r>
    <s v="Rohan Joshi"/>
    <s v="CUST1564"/>
    <x v="192"/>
    <n v="8"/>
    <n v="4170.78"/>
    <n v="1149.04"/>
    <n v="3021.74"/>
    <x v="1"/>
    <x v="0"/>
    <x v="2"/>
    <x v="0"/>
  </r>
  <r>
    <s v="Neha Yadav"/>
    <s v="CUST1565"/>
    <x v="290"/>
    <n v="112"/>
    <n v="17803.77"/>
    <n v="5791.15"/>
    <n v="12012.62"/>
    <x v="4"/>
    <x v="5"/>
    <x v="3"/>
    <x v="1"/>
  </r>
  <r>
    <s v="Karan Singh"/>
    <s v="CUST1566"/>
    <x v="28"/>
    <n v="36"/>
    <n v="14019.6"/>
    <n v="4346.0600000000004"/>
    <n v="9673.5400000000009"/>
    <x v="3"/>
    <x v="3"/>
    <x v="3"/>
    <x v="0"/>
  </r>
  <r>
    <s v="Rohan Gupta"/>
    <s v="CUST1567"/>
    <x v="289"/>
    <n v="80"/>
    <n v="19305.11"/>
    <n v="4812.09"/>
    <n v="14493.02"/>
    <x v="3"/>
    <x v="5"/>
    <x v="0"/>
    <x v="1"/>
  </r>
  <r>
    <s v="Sneha Yadav"/>
    <s v="CUST1568"/>
    <x v="291"/>
    <n v="120"/>
    <n v="2574.04"/>
    <n v="1027.23"/>
    <n v="1546.81"/>
    <x v="3"/>
    <x v="6"/>
    <x v="2"/>
    <x v="1"/>
  </r>
  <r>
    <s v="Pooja Joshi"/>
    <s v="CUST1569"/>
    <x v="237"/>
    <n v="1"/>
    <n v="6369.43"/>
    <n v="1483.54"/>
    <n v="4885.8900000000003"/>
    <x v="3"/>
    <x v="4"/>
    <x v="2"/>
    <x v="1"/>
  </r>
  <r>
    <s v="Vikas Sharma"/>
    <s v="CUST1570"/>
    <x v="242"/>
    <n v="151"/>
    <n v="6022.81"/>
    <n v="1011.52"/>
    <n v="5011.29"/>
    <x v="0"/>
    <x v="1"/>
    <x v="1"/>
    <x v="3"/>
  </r>
  <r>
    <s v="Amit Singh"/>
    <s v="CUST1571"/>
    <x v="271"/>
    <n v="152"/>
    <n v="8836.4500000000007"/>
    <n v="3993.09"/>
    <n v="4843.3599999999997"/>
    <x v="0"/>
    <x v="1"/>
    <x v="3"/>
    <x v="1"/>
  </r>
  <r>
    <s v="Rohan Gupta"/>
    <s v="CUST1572"/>
    <x v="292"/>
    <n v="39"/>
    <n v="4404.04"/>
    <n v="1697.04"/>
    <n v="2707"/>
    <x v="3"/>
    <x v="7"/>
    <x v="1"/>
    <x v="2"/>
  </r>
  <r>
    <s v="Priya Singh"/>
    <s v="CUST1573"/>
    <x v="250"/>
    <n v="45"/>
    <n v="15267.68"/>
    <n v="4965.7"/>
    <n v="10301.98"/>
    <x v="4"/>
    <x v="6"/>
    <x v="0"/>
    <x v="0"/>
  </r>
  <r>
    <s v="Rahul Patel"/>
    <s v="CUST1574"/>
    <x v="126"/>
    <n v="68"/>
    <n v="3386.34"/>
    <n v="1109.6500000000001"/>
    <n v="2276.69"/>
    <x v="4"/>
    <x v="3"/>
    <x v="2"/>
    <x v="0"/>
  </r>
  <r>
    <s v="Rahul Yadav"/>
    <s v="CUST1575"/>
    <x v="267"/>
    <n v="139"/>
    <n v="16900.59"/>
    <n v="7735.8"/>
    <n v="9164.7900000000009"/>
    <x v="0"/>
    <x v="3"/>
    <x v="2"/>
    <x v="1"/>
  </r>
  <r>
    <s v="Vikas Patel"/>
    <s v="CUST1576"/>
    <x v="128"/>
    <n v="22"/>
    <n v="4780.6899999999996"/>
    <n v="1081.69"/>
    <n v="3699"/>
    <x v="2"/>
    <x v="7"/>
    <x v="2"/>
    <x v="1"/>
  </r>
  <r>
    <s v="Amit Yadav"/>
    <s v="CUST1577"/>
    <x v="159"/>
    <n v="188"/>
    <n v="16741.98"/>
    <n v="4998.1499999999996"/>
    <n v="11743.83"/>
    <x v="2"/>
    <x v="6"/>
    <x v="0"/>
    <x v="1"/>
  </r>
  <r>
    <s v="Karan Gupta"/>
    <s v="CUST1578"/>
    <x v="33"/>
    <n v="78"/>
    <n v="10748.57"/>
    <n v="4683.3"/>
    <n v="6065.27"/>
    <x v="3"/>
    <x v="7"/>
    <x v="3"/>
    <x v="3"/>
  </r>
  <r>
    <s v="Pooja Yadav"/>
    <s v="CUST1579"/>
    <x v="47"/>
    <n v="96"/>
    <n v="8809.59"/>
    <n v="4364.1499999999996"/>
    <n v="4445.4399999999996"/>
    <x v="4"/>
    <x v="3"/>
    <x v="0"/>
    <x v="2"/>
  </r>
  <r>
    <s v="Karan Sharma"/>
    <s v="CUST1580"/>
    <x v="92"/>
    <n v="122"/>
    <n v="6471.94"/>
    <n v="1510.33"/>
    <n v="4961.6099999999997"/>
    <x v="4"/>
    <x v="0"/>
    <x v="1"/>
    <x v="1"/>
  </r>
  <r>
    <s v="Vikas Gupta"/>
    <s v="CUST1581"/>
    <x v="88"/>
    <n v="196"/>
    <n v="12994.24"/>
    <n v="6060.34"/>
    <n v="6933.9"/>
    <x v="4"/>
    <x v="7"/>
    <x v="3"/>
    <x v="3"/>
  </r>
  <r>
    <s v="Pooja Gupta"/>
    <s v="CUST1582"/>
    <x v="140"/>
    <n v="130"/>
    <n v="3093.7"/>
    <n v="648.19000000000005"/>
    <n v="2445.5100000000002"/>
    <x v="0"/>
    <x v="7"/>
    <x v="0"/>
    <x v="2"/>
  </r>
  <r>
    <s v="Rahul Mehta"/>
    <s v="CUST1583"/>
    <x v="6"/>
    <n v="183"/>
    <n v="2446.4899999999998"/>
    <n v="337.89"/>
    <n v="2108.6"/>
    <x v="3"/>
    <x v="1"/>
    <x v="0"/>
    <x v="2"/>
  </r>
  <r>
    <s v="Rohan Sharma"/>
    <s v="CUST1584"/>
    <x v="293"/>
    <n v="142"/>
    <n v="12882.3"/>
    <n v="5528.93"/>
    <n v="7353.37"/>
    <x v="1"/>
    <x v="0"/>
    <x v="3"/>
    <x v="0"/>
  </r>
  <r>
    <s v="Anjali Patel"/>
    <s v="CUST1585"/>
    <x v="294"/>
    <n v="118"/>
    <n v="11662.57"/>
    <n v="1824.06"/>
    <n v="9838.51"/>
    <x v="0"/>
    <x v="2"/>
    <x v="3"/>
    <x v="1"/>
  </r>
  <r>
    <s v="Pooja Gupta"/>
    <s v="CUST1586"/>
    <x v="89"/>
    <n v="164"/>
    <n v="5732.5"/>
    <n v="1467.92"/>
    <n v="4264.58"/>
    <x v="0"/>
    <x v="0"/>
    <x v="3"/>
    <x v="0"/>
  </r>
  <r>
    <s v="Rahul Joshi"/>
    <s v="CUST1587"/>
    <x v="283"/>
    <n v="131"/>
    <n v="6316.63"/>
    <n v="2994.69"/>
    <n v="3321.94"/>
    <x v="3"/>
    <x v="2"/>
    <x v="3"/>
    <x v="1"/>
  </r>
  <r>
    <s v="Rohan Verma"/>
    <s v="CUST1588"/>
    <x v="292"/>
    <n v="92"/>
    <n v="11641.95"/>
    <n v="4688.6400000000003"/>
    <n v="6953.31"/>
    <x v="0"/>
    <x v="6"/>
    <x v="2"/>
    <x v="1"/>
  </r>
  <r>
    <s v="Karan Singh"/>
    <s v="CUST1589"/>
    <x v="277"/>
    <n v="137"/>
    <n v="8062.6"/>
    <n v="1784.45"/>
    <n v="6278.15"/>
    <x v="4"/>
    <x v="3"/>
    <x v="1"/>
    <x v="3"/>
  </r>
  <r>
    <s v="Vikas Gupta"/>
    <s v="CUST1590"/>
    <x v="230"/>
    <n v="39"/>
    <n v="19812.84"/>
    <n v="3939.62"/>
    <n v="15873.22"/>
    <x v="0"/>
    <x v="5"/>
    <x v="1"/>
    <x v="1"/>
  </r>
  <r>
    <s v="Pooja Patel"/>
    <s v="CUST1591"/>
    <x v="6"/>
    <n v="77"/>
    <n v="1569.68"/>
    <n v="157.78"/>
    <n v="1411.9"/>
    <x v="3"/>
    <x v="0"/>
    <x v="3"/>
    <x v="3"/>
  </r>
  <r>
    <s v="Priya Gupta"/>
    <s v="CUST1592"/>
    <x v="295"/>
    <n v="60"/>
    <n v="4345.54"/>
    <n v="921.75"/>
    <n v="3423.79"/>
    <x v="3"/>
    <x v="4"/>
    <x v="2"/>
    <x v="3"/>
  </r>
  <r>
    <s v="Rahul Joshi"/>
    <s v="CUST1593"/>
    <x v="136"/>
    <n v="143"/>
    <n v="10269.77"/>
    <n v="3489.22"/>
    <n v="6780.55"/>
    <x v="3"/>
    <x v="2"/>
    <x v="3"/>
    <x v="2"/>
  </r>
  <r>
    <s v="Vikas Yadav"/>
    <s v="CUST1594"/>
    <x v="127"/>
    <n v="68"/>
    <n v="2578.9299999999998"/>
    <n v="1189.03"/>
    <n v="1389.9"/>
    <x v="1"/>
    <x v="3"/>
    <x v="2"/>
    <x v="2"/>
  </r>
  <r>
    <s v="Vikas Sharma"/>
    <s v="CUST1595"/>
    <x v="52"/>
    <n v="146"/>
    <n v="8386.18"/>
    <n v="1358.13"/>
    <n v="7028.05"/>
    <x v="0"/>
    <x v="7"/>
    <x v="0"/>
    <x v="3"/>
  </r>
  <r>
    <s v="Vikas Sharma"/>
    <s v="CUST1596"/>
    <x v="186"/>
    <n v="139"/>
    <n v="19132.88"/>
    <n v="3983.57"/>
    <n v="15149.31"/>
    <x v="0"/>
    <x v="7"/>
    <x v="2"/>
    <x v="1"/>
  </r>
  <r>
    <s v="Vikas Patel"/>
    <s v="CUST1597"/>
    <x v="264"/>
    <n v="70"/>
    <n v="8332.6200000000008"/>
    <n v="1340.58"/>
    <n v="6992.04"/>
    <x v="3"/>
    <x v="0"/>
    <x v="3"/>
    <x v="3"/>
  </r>
  <r>
    <s v="Rohan Gupta"/>
    <s v="CUST1598"/>
    <x v="296"/>
    <n v="140"/>
    <n v="8501.48"/>
    <n v="1995.58"/>
    <n v="6505.9"/>
    <x v="2"/>
    <x v="0"/>
    <x v="1"/>
    <x v="0"/>
  </r>
  <r>
    <s v="Vikas Gupta"/>
    <s v="CUST1599"/>
    <x v="88"/>
    <n v="80"/>
    <n v="13804.91"/>
    <n v="2116.39"/>
    <n v="11688.52"/>
    <x v="1"/>
    <x v="4"/>
    <x v="3"/>
    <x v="2"/>
  </r>
  <r>
    <s v="Rahul Patel"/>
    <s v="CUST1600"/>
    <x v="6"/>
    <n v="158"/>
    <n v="2781.88"/>
    <n v="724.28"/>
    <n v="2057.6"/>
    <x v="4"/>
    <x v="3"/>
    <x v="1"/>
    <x v="2"/>
  </r>
  <r>
    <s v="Priya Gupta"/>
    <s v="CUST1601"/>
    <x v="239"/>
    <n v="12"/>
    <n v="7090.09"/>
    <n v="3345.43"/>
    <n v="3744.66"/>
    <x v="3"/>
    <x v="1"/>
    <x v="0"/>
    <x v="3"/>
  </r>
  <r>
    <s v="Pooja Gupta"/>
    <s v="CUST1602"/>
    <x v="297"/>
    <n v="108"/>
    <n v="6356.32"/>
    <n v="2133.7199999999998"/>
    <n v="4222.6000000000004"/>
    <x v="4"/>
    <x v="5"/>
    <x v="3"/>
    <x v="2"/>
  </r>
  <r>
    <s v="Anjali Sharma"/>
    <s v="CUST1603"/>
    <x v="231"/>
    <n v="125"/>
    <n v="252.8"/>
    <n v="123.89"/>
    <n v="128.91"/>
    <x v="2"/>
    <x v="6"/>
    <x v="2"/>
    <x v="2"/>
  </r>
  <r>
    <s v="Karan Joshi"/>
    <s v="CUST1604"/>
    <x v="39"/>
    <n v="13"/>
    <n v="5937.02"/>
    <n v="2074.79"/>
    <n v="3862.23"/>
    <x v="0"/>
    <x v="6"/>
    <x v="1"/>
    <x v="0"/>
  </r>
  <r>
    <s v="Sneha Gupta"/>
    <s v="CUST1605"/>
    <x v="278"/>
    <n v="84"/>
    <n v="15804.64"/>
    <n v="6245.17"/>
    <n v="9559.4699999999993"/>
    <x v="3"/>
    <x v="6"/>
    <x v="3"/>
    <x v="0"/>
  </r>
  <r>
    <s v="Anjali Yadav"/>
    <s v="CUST1606"/>
    <x v="258"/>
    <n v="114"/>
    <n v="6864.34"/>
    <n v="981.7"/>
    <n v="5882.64"/>
    <x v="2"/>
    <x v="7"/>
    <x v="3"/>
    <x v="2"/>
  </r>
  <r>
    <s v="Priya Singh"/>
    <s v="CUST1607"/>
    <x v="114"/>
    <n v="130"/>
    <n v="16124.77"/>
    <n v="7876.04"/>
    <n v="8248.73"/>
    <x v="4"/>
    <x v="0"/>
    <x v="3"/>
    <x v="2"/>
  </r>
  <r>
    <s v="Rohan Gupta"/>
    <s v="CUST1608"/>
    <x v="298"/>
    <n v="34"/>
    <n v="17100.34"/>
    <n v="7289.36"/>
    <n v="9810.98"/>
    <x v="0"/>
    <x v="4"/>
    <x v="3"/>
    <x v="1"/>
  </r>
  <r>
    <s v="Amit Gupta"/>
    <s v="CUST1609"/>
    <x v="299"/>
    <n v="86"/>
    <n v="12112.64"/>
    <n v="4374.97"/>
    <n v="7737.67"/>
    <x v="3"/>
    <x v="3"/>
    <x v="1"/>
    <x v="3"/>
  </r>
  <r>
    <s v="Neha Patel"/>
    <s v="CUST1610"/>
    <x v="117"/>
    <n v="39"/>
    <n v="5952.84"/>
    <n v="682.72"/>
    <n v="5270.12"/>
    <x v="0"/>
    <x v="1"/>
    <x v="1"/>
    <x v="0"/>
  </r>
  <r>
    <s v="Vikas Gupta"/>
    <s v="CUST1611"/>
    <x v="300"/>
    <n v="196"/>
    <n v="6388.5"/>
    <n v="3022.19"/>
    <n v="3366.31"/>
    <x v="3"/>
    <x v="5"/>
    <x v="0"/>
    <x v="3"/>
  </r>
  <r>
    <s v="Vikas Patel"/>
    <s v="CUST1612"/>
    <x v="59"/>
    <n v="96"/>
    <n v="18223.310000000001"/>
    <n v="2902.7"/>
    <n v="15320.61"/>
    <x v="1"/>
    <x v="1"/>
    <x v="0"/>
    <x v="1"/>
  </r>
  <r>
    <s v="Karan Sharma"/>
    <s v="CUST1613"/>
    <x v="301"/>
    <n v="122"/>
    <n v="11817.32"/>
    <n v="1266.92"/>
    <n v="10550.4"/>
    <x v="0"/>
    <x v="7"/>
    <x v="2"/>
    <x v="3"/>
  </r>
  <r>
    <s v="Amit Verma"/>
    <s v="CUST1614"/>
    <x v="299"/>
    <n v="153"/>
    <n v="17661.32"/>
    <n v="6298.98"/>
    <n v="11362.34"/>
    <x v="3"/>
    <x v="6"/>
    <x v="1"/>
    <x v="3"/>
  </r>
  <r>
    <s v="Rohan Joshi"/>
    <s v="CUST1615"/>
    <x v="209"/>
    <n v="164"/>
    <n v="16258.58"/>
    <n v="7634.12"/>
    <n v="8624.4599999999991"/>
    <x v="3"/>
    <x v="2"/>
    <x v="0"/>
    <x v="3"/>
  </r>
  <r>
    <s v="Karan Joshi"/>
    <s v="CUST1616"/>
    <x v="143"/>
    <n v="189"/>
    <n v="15218.47"/>
    <n v="4695.07"/>
    <n v="10523.4"/>
    <x v="4"/>
    <x v="1"/>
    <x v="3"/>
    <x v="0"/>
  </r>
  <r>
    <s v="Karan Sharma"/>
    <s v="CUST1617"/>
    <x v="104"/>
    <n v="142"/>
    <n v="7072.05"/>
    <n v="1219.22"/>
    <n v="5852.83"/>
    <x v="4"/>
    <x v="4"/>
    <x v="3"/>
    <x v="3"/>
  </r>
  <r>
    <s v="Vikas Verma"/>
    <s v="CUST1618"/>
    <x v="224"/>
    <n v="172"/>
    <n v="11194.09"/>
    <n v="2233.54"/>
    <n v="8960.5499999999993"/>
    <x v="2"/>
    <x v="4"/>
    <x v="3"/>
    <x v="2"/>
  </r>
  <r>
    <s v="Vikas Sharma"/>
    <s v="CUST1619"/>
    <x v="302"/>
    <n v="174"/>
    <n v="18897"/>
    <n v="7525.05"/>
    <n v="11371.95"/>
    <x v="1"/>
    <x v="6"/>
    <x v="1"/>
    <x v="2"/>
  </r>
  <r>
    <s v="Neha Singh"/>
    <s v="CUST1620"/>
    <x v="42"/>
    <n v="29"/>
    <n v="2884.88"/>
    <n v="1219.0899999999999"/>
    <n v="1665.79"/>
    <x v="0"/>
    <x v="6"/>
    <x v="1"/>
    <x v="1"/>
  </r>
  <r>
    <s v="Sneha Yadav"/>
    <s v="CUST1621"/>
    <x v="123"/>
    <n v="102"/>
    <n v="15306.73"/>
    <n v="6166.19"/>
    <n v="9140.5400000000009"/>
    <x v="1"/>
    <x v="2"/>
    <x v="1"/>
    <x v="3"/>
  </r>
  <r>
    <s v="Rahul Singh"/>
    <s v="CUST1622"/>
    <x v="234"/>
    <n v="138"/>
    <n v="7652.19"/>
    <n v="3306.62"/>
    <n v="4345.57"/>
    <x v="3"/>
    <x v="7"/>
    <x v="3"/>
    <x v="1"/>
  </r>
  <r>
    <s v="Karan Sharma"/>
    <s v="CUST1623"/>
    <x v="256"/>
    <n v="18"/>
    <n v="12174.14"/>
    <n v="4202.3900000000003"/>
    <n v="7971.75"/>
    <x v="4"/>
    <x v="3"/>
    <x v="3"/>
    <x v="2"/>
  </r>
  <r>
    <s v="Priya Sharma"/>
    <s v="CUST1624"/>
    <x v="172"/>
    <n v="156"/>
    <n v="19887.169999999998"/>
    <n v="2156.88"/>
    <n v="17730.29"/>
    <x v="1"/>
    <x v="2"/>
    <x v="3"/>
    <x v="3"/>
  </r>
  <r>
    <s v="Anjali Singh"/>
    <s v="CUST1625"/>
    <x v="83"/>
    <n v="4"/>
    <n v="811.7"/>
    <n v="106.87"/>
    <n v="704.83"/>
    <x v="3"/>
    <x v="5"/>
    <x v="1"/>
    <x v="0"/>
  </r>
  <r>
    <s v="Sneha Joshi"/>
    <s v="CUST1626"/>
    <x v="162"/>
    <n v="18"/>
    <n v="16866.95"/>
    <n v="6103.54"/>
    <n v="10763.41"/>
    <x v="4"/>
    <x v="6"/>
    <x v="3"/>
    <x v="2"/>
  </r>
  <r>
    <s v="Anjali Joshi"/>
    <s v="CUST1627"/>
    <x v="223"/>
    <n v="110"/>
    <n v="1164.4000000000001"/>
    <n v="334.54"/>
    <n v="829.86"/>
    <x v="2"/>
    <x v="4"/>
    <x v="0"/>
    <x v="0"/>
  </r>
  <r>
    <s v="Pooja Singh"/>
    <s v="CUST1628"/>
    <x v="71"/>
    <n v="181"/>
    <n v="15707.14"/>
    <n v="7180.34"/>
    <n v="8526.7999999999993"/>
    <x v="1"/>
    <x v="0"/>
    <x v="0"/>
    <x v="3"/>
  </r>
  <r>
    <s v="Karan Yadav"/>
    <s v="CUST1629"/>
    <x v="163"/>
    <n v="132"/>
    <n v="13255.3"/>
    <n v="1992.89"/>
    <n v="11262.41"/>
    <x v="0"/>
    <x v="1"/>
    <x v="2"/>
    <x v="1"/>
  </r>
  <r>
    <s v="Vikas Mehta"/>
    <s v="CUST1630"/>
    <x v="303"/>
    <n v="149"/>
    <n v="14091.24"/>
    <n v="2325"/>
    <n v="11766.24"/>
    <x v="3"/>
    <x v="6"/>
    <x v="1"/>
    <x v="3"/>
  </r>
  <r>
    <s v="Vikas Gupta"/>
    <s v="CUST1631"/>
    <x v="56"/>
    <n v="10"/>
    <n v="16223.45"/>
    <n v="2518.87"/>
    <n v="13704.58"/>
    <x v="2"/>
    <x v="1"/>
    <x v="3"/>
    <x v="3"/>
  </r>
  <r>
    <s v="Vikas Verma"/>
    <s v="CUST1632"/>
    <x v="90"/>
    <n v="143"/>
    <n v="13009.08"/>
    <n v="3421.95"/>
    <n v="9587.1299999999992"/>
    <x v="4"/>
    <x v="0"/>
    <x v="2"/>
    <x v="1"/>
  </r>
  <r>
    <s v="Neha Patel"/>
    <s v="CUST1633"/>
    <x v="304"/>
    <n v="169"/>
    <n v="11039.14"/>
    <n v="5386.73"/>
    <n v="5652.41"/>
    <x v="4"/>
    <x v="0"/>
    <x v="2"/>
    <x v="1"/>
  </r>
  <r>
    <s v="Pooja Singh"/>
    <s v="CUST1634"/>
    <x v="49"/>
    <n v="38"/>
    <n v="2510.42"/>
    <n v="435.59"/>
    <n v="2074.83"/>
    <x v="3"/>
    <x v="2"/>
    <x v="2"/>
    <x v="3"/>
  </r>
  <r>
    <s v="Rahul Sharma"/>
    <s v="CUST1635"/>
    <x v="164"/>
    <n v="178"/>
    <n v="10488.23"/>
    <n v="3308.79"/>
    <n v="7179.44"/>
    <x v="0"/>
    <x v="5"/>
    <x v="0"/>
    <x v="1"/>
  </r>
  <r>
    <s v="Karan Yadav"/>
    <s v="CUST1636"/>
    <x v="146"/>
    <n v="99"/>
    <n v="2521.88"/>
    <n v="708.41"/>
    <n v="1813.47"/>
    <x v="1"/>
    <x v="0"/>
    <x v="3"/>
    <x v="0"/>
  </r>
  <r>
    <s v="Amit Joshi"/>
    <s v="CUST1637"/>
    <x v="172"/>
    <n v="186"/>
    <n v="4781.1099999999997"/>
    <n v="1332.91"/>
    <n v="3448.2"/>
    <x v="1"/>
    <x v="0"/>
    <x v="0"/>
    <x v="1"/>
  </r>
  <r>
    <s v="Sneha Joshi"/>
    <s v="CUST1638"/>
    <x v="17"/>
    <n v="193"/>
    <n v="15352.04"/>
    <n v="4296.54"/>
    <n v="11055.5"/>
    <x v="4"/>
    <x v="0"/>
    <x v="3"/>
    <x v="2"/>
  </r>
  <r>
    <s v="Rohan Mehta"/>
    <s v="CUST1639"/>
    <x v="255"/>
    <n v="26"/>
    <n v="793.9"/>
    <n v="333.9"/>
    <n v="460"/>
    <x v="3"/>
    <x v="7"/>
    <x v="1"/>
    <x v="3"/>
  </r>
  <r>
    <s v="Rahul Mehta"/>
    <s v="CUST1640"/>
    <x v="73"/>
    <n v="72"/>
    <n v="18874.82"/>
    <n v="2246.13"/>
    <n v="16628.689999999999"/>
    <x v="2"/>
    <x v="1"/>
    <x v="1"/>
    <x v="1"/>
  </r>
  <r>
    <s v="Anjali Sharma"/>
    <s v="CUST1641"/>
    <x v="217"/>
    <n v="12"/>
    <n v="8774.64"/>
    <n v="974.18"/>
    <n v="7800.46"/>
    <x v="0"/>
    <x v="1"/>
    <x v="3"/>
    <x v="1"/>
  </r>
  <r>
    <s v="Amit Sharma"/>
    <s v="CUST1642"/>
    <x v="245"/>
    <n v="101"/>
    <n v="18331.18"/>
    <n v="6972.51"/>
    <n v="11358.67"/>
    <x v="3"/>
    <x v="5"/>
    <x v="2"/>
    <x v="2"/>
  </r>
  <r>
    <s v="Rahul Yadav"/>
    <s v="CUST1643"/>
    <x v="241"/>
    <n v="83"/>
    <n v="2101.37"/>
    <n v="534.49"/>
    <n v="1566.88"/>
    <x v="2"/>
    <x v="6"/>
    <x v="1"/>
    <x v="1"/>
  </r>
  <r>
    <s v="Karan Sharma"/>
    <s v="CUST1644"/>
    <x v="263"/>
    <n v="198"/>
    <n v="11277.79"/>
    <n v="4760.82"/>
    <n v="6516.97"/>
    <x v="0"/>
    <x v="0"/>
    <x v="3"/>
    <x v="3"/>
  </r>
  <r>
    <s v="Rohan Gupta"/>
    <s v="CUST1645"/>
    <x v="245"/>
    <n v="100"/>
    <n v="12177.97"/>
    <n v="2265.5300000000002"/>
    <n v="9912.44"/>
    <x v="2"/>
    <x v="0"/>
    <x v="1"/>
    <x v="1"/>
  </r>
  <r>
    <s v="Sneha Yadav"/>
    <s v="CUST1646"/>
    <x v="298"/>
    <n v="158"/>
    <n v="1545.69"/>
    <n v="753.9"/>
    <n v="791.79"/>
    <x v="2"/>
    <x v="1"/>
    <x v="2"/>
    <x v="2"/>
  </r>
  <r>
    <s v="Sneha Patel"/>
    <s v="CUST1647"/>
    <x v="206"/>
    <n v="117"/>
    <n v="17946.16"/>
    <n v="8805.2900000000009"/>
    <n v="9140.8700000000008"/>
    <x v="2"/>
    <x v="0"/>
    <x v="2"/>
    <x v="1"/>
  </r>
  <r>
    <s v="Amit Verma"/>
    <s v="CUST1648"/>
    <x v="305"/>
    <n v="180"/>
    <n v="15303.61"/>
    <n v="5457.23"/>
    <n v="9846.3799999999992"/>
    <x v="2"/>
    <x v="2"/>
    <x v="1"/>
    <x v="1"/>
  </r>
  <r>
    <s v="Vikas Patel"/>
    <s v="CUST1649"/>
    <x v="295"/>
    <n v="2"/>
    <n v="15244.94"/>
    <n v="1644.02"/>
    <n v="13600.92"/>
    <x v="2"/>
    <x v="4"/>
    <x v="2"/>
    <x v="1"/>
  </r>
  <r>
    <s v="Sneha Mehta"/>
    <s v="CUST1650"/>
    <x v="53"/>
    <n v="131"/>
    <n v="6355.66"/>
    <n v="744.03"/>
    <n v="5611.63"/>
    <x v="0"/>
    <x v="7"/>
    <x v="1"/>
    <x v="2"/>
  </r>
  <r>
    <s v="Amit Verma"/>
    <s v="CUST1651"/>
    <x v="137"/>
    <n v="76"/>
    <n v="7763.42"/>
    <n v="3307.6"/>
    <n v="4455.82"/>
    <x v="3"/>
    <x v="5"/>
    <x v="2"/>
    <x v="2"/>
  </r>
  <r>
    <s v="Amit Gupta"/>
    <s v="CUST1652"/>
    <x v="185"/>
    <n v="112"/>
    <n v="5398.8"/>
    <n v="2348.0100000000002"/>
    <n v="3050.79"/>
    <x v="2"/>
    <x v="7"/>
    <x v="3"/>
    <x v="1"/>
  </r>
  <r>
    <s v="Sneha Sharma"/>
    <s v="CUST1653"/>
    <x v="39"/>
    <n v="182"/>
    <n v="17644.66"/>
    <n v="2375.59"/>
    <n v="15269.07"/>
    <x v="1"/>
    <x v="4"/>
    <x v="3"/>
    <x v="3"/>
  </r>
  <r>
    <s v="Amit Mehta"/>
    <s v="CUST1654"/>
    <x v="306"/>
    <n v="76"/>
    <n v="7519.68"/>
    <n v="1252.96"/>
    <n v="6266.72"/>
    <x v="3"/>
    <x v="4"/>
    <x v="1"/>
    <x v="3"/>
  </r>
  <r>
    <s v="Rahul Verma"/>
    <s v="CUST1655"/>
    <x v="92"/>
    <n v="94"/>
    <n v="9989.2000000000007"/>
    <n v="4994.3599999999997"/>
    <n v="4994.84"/>
    <x v="2"/>
    <x v="3"/>
    <x v="0"/>
    <x v="1"/>
  </r>
  <r>
    <s v="Rohan Singh"/>
    <s v="CUST1656"/>
    <x v="280"/>
    <n v="88"/>
    <n v="8259.17"/>
    <n v="988.99"/>
    <n v="7270.18"/>
    <x v="0"/>
    <x v="2"/>
    <x v="2"/>
    <x v="3"/>
  </r>
  <r>
    <s v="Vikas Yadav"/>
    <s v="CUST1657"/>
    <x v="198"/>
    <n v="129"/>
    <n v="3342.8"/>
    <n v="922.63"/>
    <n v="2420.17"/>
    <x v="1"/>
    <x v="6"/>
    <x v="0"/>
    <x v="1"/>
  </r>
  <r>
    <s v="Amit Yadav"/>
    <s v="CUST1658"/>
    <x v="240"/>
    <n v="167"/>
    <n v="18911.87"/>
    <n v="3276.84"/>
    <n v="15635.03"/>
    <x v="4"/>
    <x v="2"/>
    <x v="3"/>
    <x v="0"/>
  </r>
  <r>
    <s v="Priya Patel"/>
    <s v="CUST1659"/>
    <x v="184"/>
    <n v="108"/>
    <n v="1542.51"/>
    <n v="190.29"/>
    <n v="1352.22"/>
    <x v="2"/>
    <x v="4"/>
    <x v="0"/>
    <x v="0"/>
  </r>
  <r>
    <s v="Amit Sharma"/>
    <s v="CUST1660"/>
    <x v="135"/>
    <n v="90"/>
    <n v="18865.13"/>
    <n v="4591.92"/>
    <n v="14273.21"/>
    <x v="3"/>
    <x v="5"/>
    <x v="0"/>
    <x v="2"/>
  </r>
  <r>
    <s v="Rahul Verma"/>
    <s v="CUST1661"/>
    <x v="115"/>
    <n v="28"/>
    <n v="19622.990000000002"/>
    <n v="4655.07"/>
    <n v="14967.92"/>
    <x v="1"/>
    <x v="2"/>
    <x v="1"/>
    <x v="1"/>
  </r>
  <r>
    <s v="Rahul Mehta"/>
    <s v="CUST1662"/>
    <x v="307"/>
    <n v="113"/>
    <n v="1159.48"/>
    <n v="315.60000000000002"/>
    <n v="843.88"/>
    <x v="4"/>
    <x v="3"/>
    <x v="0"/>
    <x v="0"/>
  </r>
  <r>
    <s v="Amit Gupta"/>
    <s v="CUST1663"/>
    <x v="308"/>
    <n v="81"/>
    <n v="13641.66"/>
    <n v="6795.71"/>
    <n v="6845.95"/>
    <x v="0"/>
    <x v="6"/>
    <x v="0"/>
    <x v="2"/>
  </r>
  <r>
    <s v="Karan Mehta"/>
    <s v="CUST1664"/>
    <x v="307"/>
    <n v="76"/>
    <n v="4617.37"/>
    <n v="1115.82"/>
    <n v="3501.55"/>
    <x v="2"/>
    <x v="7"/>
    <x v="1"/>
    <x v="3"/>
  </r>
  <r>
    <s v="Rohan Mehta"/>
    <s v="CUST1665"/>
    <x v="87"/>
    <n v="153"/>
    <n v="5216.1099999999997"/>
    <n v="612.27"/>
    <n v="4603.84"/>
    <x v="3"/>
    <x v="1"/>
    <x v="0"/>
    <x v="3"/>
  </r>
  <r>
    <s v="Sneha Singh"/>
    <s v="CUST1666"/>
    <x v="59"/>
    <n v="80"/>
    <n v="16237.64"/>
    <n v="7582.05"/>
    <n v="8655.59"/>
    <x v="3"/>
    <x v="3"/>
    <x v="3"/>
    <x v="2"/>
  </r>
  <r>
    <s v="Rahul Verma"/>
    <s v="CUST1667"/>
    <x v="266"/>
    <n v="199"/>
    <n v="11273.46"/>
    <n v="2882.52"/>
    <n v="8390.94"/>
    <x v="4"/>
    <x v="2"/>
    <x v="0"/>
    <x v="0"/>
  </r>
  <r>
    <s v="Vikas Singh"/>
    <s v="CUST1668"/>
    <x v="309"/>
    <n v="187"/>
    <n v="7262.87"/>
    <n v="2887.62"/>
    <n v="4375.25"/>
    <x v="4"/>
    <x v="4"/>
    <x v="2"/>
    <x v="0"/>
  </r>
  <r>
    <s v="Karan Sharma"/>
    <s v="CUST1669"/>
    <x v="152"/>
    <n v="70"/>
    <n v="19582.37"/>
    <n v="6380.55"/>
    <n v="13201.82"/>
    <x v="0"/>
    <x v="7"/>
    <x v="2"/>
    <x v="3"/>
  </r>
  <r>
    <s v="Vikas Joshi"/>
    <s v="CUST1670"/>
    <x v="49"/>
    <n v="129"/>
    <n v="3985.12"/>
    <n v="1508.54"/>
    <n v="2476.58"/>
    <x v="4"/>
    <x v="4"/>
    <x v="2"/>
    <x v="0"/>
  </r>
  <r>
    <s v="Vikas Gupta"/>
    <s v="CUST1671"/>
    <x v="310"/>
    <n v="139"/>
    <n v="1043.9100000000001"/>
    <n v="382.49"/>
    <n v="661.42"/>
    <x v="0"/>
    <x v="7"/>
    <x v="3"/>
    <x v="1"/>
  </r>
  <r>
    <s v="Rohan Mehta"/>
    <s v="CUST1672"/>
    <x v="221"/>
    <n v="159"/>
    <n v="6777.71"/>
    <n v="3171.8"/>
    <n v="3605.91"/>
    <x v="0"/>
    <x v="2"/>
    <x v="2"/>
    <x v="3"/>
  </r>
  <r>
    <s v="Rahul Sharma"/>
    <s v="CUST1673"/>
    <x v="287"/>
    <n v="86"/>
    <n v="18056.04"/>
    <n v="6683.97"/>
    <n v="11372.07"/>
    <x v="3"/>
    <x v="7"/>
    <x v="3"/>
    <x v="1"/>
  </r>
  <r>
    <s v="Pooja Patel"/>
    <s v="CUST1674"/>
    <x v="200"/>
    <n v="26"/>
    <n v="19025.740000000002"/>
    <n v="1927.07"/>
    <n v="17098.669999999998"/>
    <x v="0"/>
    <x v="1"/>
    <x v="0"/>
    <x v="1"/>
  </r>
  <r>
    <s v="Neha Mehta"/>
    <s v="CUST1675"/>
    <x v="311"/>
    <n v="76"/>
    <n v="14112.78"/>
    <n v="4543.2700000000004"/>
    <n v="9569.51"/>
    <x v="0"/>
    <x v="3"/>
    <x v="2"/>
    <x v="3"/>
  </r>
  <r>
    <s v="Rahul Gupta"/>
    <s v="CUST1676"/>
    <x v="209"/>
    <n v="159"/>
    <n v="7481.89"/>
    <n v="3041.22"/>
    <n v="4440.67"/>
    <x v="1"/>
    <x v="5"/>
    <x v="2"/>
    <x v="1"/>
  </r>
  <r>
    <s v="Amit Verma"/>
    <s v="CUST1677"/>
    <x v="312"/>
    <n v="113"/>
    <n v="18032.23"/>
    <n v="3354.47"/>
    <n v="14677.76"/>
    <x v="2"/>
    <x v="4"/>
    <x v="0"/>
    <x v="1"/>
  </r>
  <r>
    <s v="Neha Gupta"/>
    <s v="CUST1678"/>
    <x v="2"/>
    <n v="180"/>
    <n v="18387.560000000001"/>
    <n v="8613.18"/>
    <n v="9774.3799999999992"/>
    <x v="3"/>
    <x v="4"/>
    <x v="2"/>
    <x v="3"/>
  </r>
  <r>
    <s v="Anjali Joshi"/>
    <s v="CUST1679"/>
    <x v="95"/>
    <n v="163"/>
    <n v="17822.88"/>
    <n v="6489.07"/>
    <n v="11333.81"/>
    <x v="0"/>
    <x v="6"/>
    <x v="0"/>
    <x v="0"/>
  </r>
  <r>
    <s v="Amit Yadav"/>
    <s v="CUST1680"/>
    <x v="273"/>
    <n v="49"/>
    <n v="16906.04"/>
    <n v="5317.32"/>
    <n v="11588.72"/>
    <x v="2"/>
    <x v="3"/>
    <x v="3"/>
    <x v="2"/>
  </r>
  <r>
    <s v="Rahul Singh"/>
    <s v="CUST1681"/>
    <x v="247"/>
    <n v="193"/>
    <n v="16601.75"/>
    <n v="7981.16"/>
    <n v="8620.59"/>
    <x v="0"/>
    <x v="6"/>
    <x v="2"/>
    <x v="2"/>
  </r>
  <r>
    <s v="Rahul Singh"/>
    <s v="CUST1682"/>
    <x v="162"/>
    <n v="149"/>
    <n v="2458.5"/>
    <n v="956.42"/>
    <n v="1502.08"/>
    <x v="4"/>
    <x v="3"/>
    <x v="2"/>
    <x v="0"/>
  </r>
  <r>
    <s v="Rahul Joshi"/>
    <s v="CUST1683"/>
    <x v="30"/>
    <n v="19"/>
    <n v="10900.95"/>
    <n v="2717.12"/>
    <n v="8183.83"/>
    <x v="3"/>
    <x v="0"/>
    <x v="3"/>
    <x v="3"/>
  </r>
  <r>
    <s v="Karan Mehta"/>
    <s v="CUST1684"/>
    <x v="268"/>
    <n v="195"/>
    <n v="15025.85"/>
    <n v="2047.71"/>
    <n v="12978.14"/>
    <x v="2"/>
    <x v="4"/>
    <x v="2"/>
    <x v="1"/>
  </r>
  <r>
    <s v="Anjali Gupta"/>
    <s v="CUST1685"/>
    <x v="206"/>
    <n v="9"/>
    <n v="1280.57"/>
    <n v="146.62"/>
    <n v="1133.95"/>
    <x v="2"/>
    <x v="3"/>
    <x v="0"/>
    <x v="0"/>
  </r>
  <r>
    <s v="Pooja Gupta"/>
    <s v="CUST1686"/>
    <x v="155"/>
    <n v="141"/>
    <n v="1269.92"/>
    <n v="357.24"/>
    <n v="912.68"/>
    <x v="0"/>
    <x v="7"/>
    <x v="3"/>
    <x v="1"/>
  </r>
  <r>
    <s v="Priya Yadav"/>
    <s v="CUST1687"/>
    <x v="28"/>
    <n v="69"/>
    <n v="13918.33"/>
    <n v="6261.54"/>
    <n v="7656.79"/>
    <x v="4"/>
    <x v="0"/>
    <x v="3"/>
    <x v="2"/>
  </r>
  <r>
    <s v="Pooja Mehta"/>
    <s v="CUST1688"/>
    <x v="252"/>
    <n v="6"/>
    <n v="155.30000000000001"/>
    <n v="47.16"/>
    <n v="108.14"/>
    <x v="0"/>
    <x v="2"/>
    <x v="3"/>
    <x v="2"/>
  </r>
  <r>
    <s v="Rahul Singh"/>
    <s v="CUST1689"/>
    <x v="102"/>
    <n v="163"/>
    <n v="7023.98"/>
    <n v="3480.93"/>
    <n v="3543.05"/>
    <x v="0"/>
    <x v="0"/>
    <x v="1"/>
    <x v="2"/>
  </r>
  <r>
    <s v="Vikas Verma"/>
    <s v="CUST1690"/>
    <x v="313"/>
    <n v="48"/>
    <n v="5788.79"/>
    <n v="1830.7"/>
    <n v="3958.09"/>
    <x v="1"/>
    <x v="2"/>
    <x v="0"/>
    <x v="3"/>
  </r>
  <r>
    <s v="Pooja Verma"/>
    <s v="CUST1691"/>
    <x v="3"/>
    <n v="57"/>
    <n v="6223.53"/>
    <n v="980.8"/>
    <n v="5242.7299999999996"/>
    <x v="3"/>
    <x v="3"/>
    <x v="0"/>
    <x v="1"/>
  </r>
  <r>
    <s v="Rohan Sharma"/>
    <s v="CUST1692"/>
    <x v="284"/>
    <n v="63"/>
    <n v="211.81"/>
    <n v="41.15"/>
    <n v="170.66"/>
    <x v="2"/>
    <x v="1"/>
    <x v="3"/>
    <x v="3"/>
  </r>
  <r>
    <s v="Rahul Verma"/>
    <s v="CUST1693"/>
    <x v="314"/>
    <n v="23"/>
    <n v="7742.12"/>
    <n v="2495.84"/>
    <n v="5246.28"/>
    <x v="4"/>
    <x v="3"/>
    <x v="3"/>
    <x v="2"/>
  </r>
  <r>
    <s v="Sneha Mehta"/>
    <s v="CUST1694"/>
    <x v="288"/>
    <n v="145"/>
    <n v="11174.02"/>
    <n v="1197.76"/>
    <n v="9976.26"/>
    <x v="0"/>
    <x v="4"/>
    <x v="2"/>
    <x v="1"/>
  </r>
  <r>
    <s v="Neha Gupta"/>
    <s v="CUST1695"/>
    <x v="315"/>
    <n v="43"/>
    <n v="7965.3"/>
    <n v="3246.83"/>
    <n v="4718.47"/>
    <x v="4"/>
    <x v="1"/>
    <x v="2"/>
    <x v="1"/>
  </r>
  <r>
    <s v="Neha Yadav"/>
    <s v="CUST1696"/>
    <x v="261"/>
    <n v="91"/>
    <n v="10461.15"/>
    <n v="4905.28"/>
    <n v="5555.87"/>
    <x v="0"/>
    <x v="7"/>
    <x v="0"/>
    <x v="3"/>
  </r>
  <r>
    <s v="Rahul Yadav"/>
    <s v="CUST1697"/>
    <x v="316"/>
    <n v="24"/>
    <n v="16042.95"/>
    <n v="2619.15"/>
    <n v="13423.8"/>
    <x v="4"/>
    <x v="3"/>
    <x v="2"/>
    <x v="3"/>
  </r>
  <r>
    <s v="Rohan Verma"/>
    <s v="CUST1698"/>
    <x v="103"/>
    <n v="166"/>
    <n v="15925.71"/>
    <n v="3340.85"/>
    <n v="12584.86"/>
    <x v="4"/>
    <x v="5"/>
    <x v="3"/>
    <x v="1"/>
  </r>
  <r>
    <s v="Karan Yadav"/>
    <s v="CUST1699"/>
    <x v="0"/>
    <n v="2"/>
    <n v="13759.27"/>
    <n v="3767.05"/>
    <n v="9992.2199999999993"/>
    <x v="0"/>
    <x v="5"/>
    <x v="0"/>
    <x v="0"/>
  </r>
  <r>
    <s v="Priya Mehta"/>
    <s v="CUST1700"/>
    <x v="317"/>
    <n v="141"/>
    <n v="11056.96"/>
    <n v="2298.39"/>
    <n v="8758.57"/>
    <x v="1"/>
    <x v="7"/>
    <x v="1"/>
    <x v="3"/>
  </r>
  <r>
    <s v="Amit Gupta"/>
    <s v="CUST1701"/>
    <x v="24"/>
    <n v="133"/>
    <n v="984.7"/>
    <n v="472.52"/>
    <n v="512.17999999999995"/>
    <x v="1"/>
    <x v="0"/>
    <x v="1"/>
    <x v="3"/>
  </r>
  <r>
    <s v="Amit Gupta"/>
    <s v="CUST1702"/>
    <x v="119"/>
    <n v="40"/>
    <n v="10219.549999999999"/>
    <n v="2731.14"/>
    <n v="7488.41"/>
    <x v="4"/>
    <x v="6"/>
    <x v="3"/>
    <x v="2"/>
  </r>
  <r>
    <s v="Rahul Patel"/>
    <s v="CUST1703"/>
    <x v="55"/>
    <n v="36"/>
    <n v="3445.62"/>
    <n v="683.62"/>
    <n v="2762"/>
    <x v="4"/>
    <x v="3"/>
    <x v="0"/>
    <x v="3"/>
  </r>
  <r>
    <s v="Karan Singh"/>
    <s v="CUST1704"/>
    <x v="149"/>
    <n v="76"/>
    <n v="10779.43"/>
    <n v="2693.68"/>
    <n v="8085.75"/>
    <x v="4"/>
    <x v="2"/>
    <x v="2"/>
    <x v="1"/>
  </r>
  <r>
    <s v="Vikas Patel"/>
    <s v="CUST1705"/>
    <x v="70"/>
    <n v="72"/>
    <n v="9796.77"/>
    <n v="3806"/>
    <n v="5990.77"/>
    <x v="4"/>
    <x v="2"/>
    <x v="0"/>
    <x v="1"/>
  </r>
  <r>
    <s v="Rohan Mehta"/>
    <s v="CUST1706"/>
    <x v="17"/>
    <n v="155"/>
    <n v="14239.75"/>
    <n v="3126.48"/>
    <n v="11113.27"/>
    <x v="4"/>
    <x v="3"/>
    <x v="2"/>
    <x v="1"/>
  </r>
  <r>
    <s v="Priya Sharma"/>
    <s v="CUST1707"/>
    <x v="133"/>
    <n v="183"/>
    <n v="13947.98"/>
    <n v="5752.05"/>
    <n v="8195.93"/>
    <x v="4"/>
    <x v="2"/>
    <x v="1"/>
    <x v="0"/>
  </r>
  <r>
    <s v="Anjali Verma"/>
    <s v="CUST1708"/>
    <x v="270"/>
    <n v="27"/>
    <n v="4949.62"/>
    <n v="1053.57"/>
    <n v="3896.05"/>
    <x v="3"/>
    <x v="2"/>
    <x v="0"/>
    <x v="0"/>
  </r>
  <r>
    <s v="Anjali Sharma"/>
    <s v="CUST1709"/>
    <x v="133"/>
    <n v="65"/>
    <n v="7977.87"/>
    <n v="3979.73"/>
    <n v="3998.14"/>
    <x v="3"/>
    <x v="4"/>
    <x v="2"/>
    <x v="0"/>
  </r>
  <r>
    <s v="Sneha Yadav"/>
    <s v="CUST1710"/>
    <x v="318"/>
    <n v="102"/>
    <n v="18071.560000000001"/>
    <n v="8342.17"/>
    <n v="9729.39"/>
    <x v="2"/>
    <x v="0"/>
    <x v="2"/>
    <x v="1"/>
  </r>
  <r>
    <s v="Rahul Verma"/>
    <s v="CUST1711"/>
    <x v="319"/>
    <n v="23"/>
    <n v="8372.64"/>
    <n v="1227.56"/>
    <n v="7145.08"/>
    <x v="3"/>
    <x v="7"/>
    <x v="3"/>
    <x v="0"/>
  </r>
  <r>
    <s v="Pooja Sharma"/>
    <s v="CUST1712"/>
    <x v="33"/>
    <n v="150"/>
    <n v="15006.58"/>
    <n v="4316.58"/>
    <n v="10690"/>
    <x v="3"/>
    <x v="3"/>
    <x v="3"/>
    <x v="3"/>
  </r>
  <r>
    <s v="Karan Joshi"/>
    <s v="CUST1713"/>
    <x v="250"/>
    <n v="159"/>
    <n v="7803.28"/>
    <n v="3395.36"/>
    <n v="4407.92"/>
    <x v="2"/>
    <x v="5"/>
    <x v="2"/>
    <x v="1"/>
  </r>
  <r>
    <s v="Rohan Yadav"/>
    <s v="CUST1714"/>
    <x v="91"/>
    <n v="129"/>
    <n v="1211.95"/>
    <n v="409.22"/>
    <n v="802.73"/>
    <x v="1"/>
    <x v="1"/>
    <x v="1"/>
    <x v="0"/>
  </r>
  <r>
    <s v="Rahul Gupta"/>
    <s v="CUST1715"/>
    <x v="275"/>
    <n v="180"/>
    <n v="7940.62"/>
    <n v="3484.43"/>
    <n v="4456.1899999999996"/>
    <x v="2"/>
    <x v="1"/>
    <x v="3"/>
    <x v="2"/>
  </r>
  <r>
    <s v="Rahul Joshi"/>
    <s v="CUST1716"/>
    <x v="61"/>
    <n v="74"/>
    <n v="15598.18"/>
    <n v="2912.35"/>
    <n v="12685.83"/>
    <x v="1"/>
    <x v="3"/>
    <x v="1"/>
    <x v="0"/>
  </r>
  <r>
    <s v="Rohan Singh"/>
    <s v="CUST1717"/>
    <x v="94"/>
    <n v="79"/>
    <n v="12132.72"/>
    <n v="5151.24"/>
    <n v="6981.48"/>
    <x v="4"/>
    <x v="1"/>
    <x v="3"/>
    <x v="1"/>
  </r>
  <r>
    <s v="Vikas Gupta"/>
    <s v="CUST1718"/>
    <x v="52"/>
    <n v="117"/>
    <n v="3876.48"/>
    <n v="625.65"/>
    <n v="3250.83"/>
    <x v="0"/>
    <x v="2"/>
    <x v="1"/>
    <x v="1"/>
  </r>
  <r>
    <s v="Amit Joshi"/>
    <s v="CUST1719"/>
    <x v="191"/>
    <n v="66"/>
    <n v="4407.2"/>
    <n v="1479.17"/>
    <n v="2928.03"/>
    <x v="4"/>
    <x v="4"/>
    <x v="3"/>
    <x v="2"/>
  </r>
  <r>
    <s v="Neha Patel"/>
    <s v="CUST1720"/>
    <x v="15"/>
    <n v="132"/>
    <n v="17017.990000000002"/>
    <n v="4178.04"/>
    <n v="12839.95"/>
    <x v="3"/>
    <x v="7"/>
    <x v="0"/>
    <x v="0"/>
  </r>
  <r>
    <s v="Neha Singh"/>
    <s v="CUST1721"/>
    <x v="167"/>
    <n v="80"/>
    <n v="18158.05"/>
    <n v="3913.31"/>
    <n v="14244.74"/>
    <x v="2"/>
    <x v="1"/>
    <x v="3"/>
    <x v="3"/>
  </r>
  <r>
    <s v="Priya Mehta"/>
    <s v="CUST1722"/>
    <x v="93"/>
    <n v="62"/>
    <n v="17758.490000000002"/>
    <n v="3763.62"/>
    <n v="13994.87"/>
    <x v="1"/>
    <x v="7"/>
    <x v="2"/>
    <x v="2"/>
  </r>
  <r>
    <s v="Rahul Mehta"/>
    <s v="CUST1723"/>
    <x v="310"/>
    <n v="61"/>
    <n v="4575.7700000000004"/>
    <n v="1810.65"/>
    <n v="2765.12"/>
    <x v="4"/>
    <x v="3"/>
    <x v="2"/>
    <x v="1"/>
  </r>
  <r>
    <s v="Amit Mehta"/>
    <s v="CUST1724"/>
    <x v="185"/>
    <n v="136"/>
    <n v="10040.209999999999"/>
    <n v="4907.7"/>
    <n v="5132.51"/>
    <x v="1"/>
    <x v="4"/>
    <x v="1"/>
    <x v="0"/>
  </r>
  <r>
    <s v="Pooja Joshi"/>
    <s v="CUST1725"/>
    <x v="117"/>
    <n v="85"/>
    <n v="15941.71"/>
    <n v="5411.4"/>
    <n v="10530.31"/>
    <x v="1"/>
    <x v="4"/>
    <x v="2"/>
    <x v="2"/>
  </r>
  <r>
    <s v="Priya Gupta"/>
    <s v="CUST1726"/>
    <x v="289"/>
    <n v="145"/>
    <n v="9496.5400000000009"/>
    <n v="1491.92"/>
    <n v="8004.62"/>
    <x v="0"/>
    <x v="1"/>
    <x v="1"/>
    <x v="1"/>
  </r>
  <r>
    <s v="Rohan Singh"/>
    <s v="CUST1727"/>
    <x v="171"/>
    <n v="33"/>
    <n v="1673.67"/>
    <n v="607.04"/>
    <n v="1066.6300000000001"/>
    <x v="1"/>
    <x v="3"/>
    <x v="0"/>
    <x v="2"/>
  </r>
  <r>
    <s v="Pooja Joshi"/>
    <s v="CUST1728"/>
    <x v="10"/>
    <n v="23"/>
    <n v="16313.84"/>
    <n v="6947.32"/>
    <n v="9366.52"/>
    <x v="0"/>
    <x v="2"/>
    <x v="3"/>
    <x v="2"/>
  </r>
  <r>
    <s v="Pooja Gupta"/>
    <s v="CUST1729"/>
    <x v="126"/>
    <n v="78"/>
    <n v="16900.37"/>
    <n v="7221.7"/>
    <n v="9678.67"/>
    <x v="4"/>
    <x v="3"/>
    <x v="1"/>
    <x v="2"/>
  </r>
  <r>
    <s v="Neha Singh"/>
    <s v="CUST1730"/>
    <x v="132"/>
    <n v="199"/>
    <n v="14376.35"/>
    <n v="1510.67"/>
    <n v="12865.68"/>
    <x v="1"/>
    <x v="2"/>
    <x v="1"/>
    <x v="1"/>
  </r>
  <r>
    <s v="Vikas Sharma"/>
    <s v="CUST1731"/>
    <x v="271"/>
    <n v="68"/>
    <n v="13048.24"/>
    <n v="3478.55"/>
    <n v="9569.69"/>
    <x v="4"/>
    <x v="2"/>
    <x v="1"/>
    <x v="1"/>
  </r>
  <r>
    <s v="Vikas Mehta"/>
    <s v="CUST1732"/>
    <x v="136"/>
    <n v="55"/>
    <n v="14396.05"/>
    <n v="6876.49"/>
    <n v="7519.56"/>
    <x v="2"/>
    <x v="1"/>
    <x v="2"/>
    <x v="0"/>
  </r>
  <r>
    <s v="Priya Patel"/>
    <s v="CUST1733"/>
    <x v="110"/>
    <n v="5"/>
    <n v="696.75"/>
    <n v="168.44"/>
    <n v="528.30999999999995"/>
    <x v="3"/>
    <x v="7"/>
    <x v="3"/>
    <x v="3"/>
  </r>
  <r>
    <s v="Neha Patel"/>
    <s v="CUST1734"/>
    <x v="60"/>
    <n v="95"/>
    <n v="14624.8"/>
    <n v="4699.63"/>
    <n v="9925.17"/>
    <x v="2"/>
    <x v="6"/>
    <x v="3"/>
    <x v="3"/>
  </r>
  <r>
    <s v="Priya Mehta"/>
    <s v="CUST1735"/>
    <x v="74"/>
    <n v="169"/>
    <n v="5659.27"/>
    <n v="800.76"/>
    <n v="4858.51"/>
    <x v="0"/>
    <x v="7"/>
    <x v="3"/>
    <x v="2"/>
  </r>
  <r>
    <s v="Sneha Sharma"/>
    <s v="CUST1736"/>
    <x v="143"/>
    <n v="128"/>
    <n v="3960.51"/>
    <n v="451.7"/>
    <n v="3508.81"/>
    <x v="3"/>
    <x v="1"/>
    <x v="3"/>
    <x v="3"/>
  </r>
  <r>
    <s v="Priya Yadav"/>
    <s v="CUST1737"/>
    <x v="187"/>
    <n v="116"/>
    <n v="2727.93"/>
    <n v="894.79"/>
    <n v="1833.14"/>
    <x v="1"/>
    <x v="1"/>
    <x v="2"/>
    <x v="3"/>
  </r>
  <r>
    <s v="Sneha Sharma"/>
    <s v="CUST1738"/>
    <x v="320"/>
    <n v="72"/>
    <n v="18229.43"/>
    <n v="4406.38"/>
    <n v="13823.05"/>
    <x v="3"/>
    <x v="4"/>
    <x v="2"/>
    <x v="0"/>
  </r>
  <r>
    <s v="Karan Patel"/>
    <s v="CUST1739"/>
    <x v="321"/>
    <n v="95"/>
    <n v="6577.12"/>
    <n v="1922.77"/>
    <n v="4654.3500000000004"/>
    <x v="3"/>
    <x v="3"/>
    <x v="0"/>
    <x v="3"/>
  </r>
  <r>
    <s v="Sneha Verma"/>
    <s v="CUST1740"/>
    <x v="68"/>
    <n v="33"/>
    <n v="1407.68"/>
    <n v="598.92999999999995"/>
    <n v="808.75"/>
    <x v="0"/>
    <x v="0"/>
    <x v="0"/>
    <x v="0"/>
  </r>
  <r>
    <s v="Rahul Joshi"/>
    <s v="CUST1741"/>
    <x v="99"/>
    <n v="147"/>
    <n v="13876.76"/>
    <n v="6253.32"/>
    <n v="7623.44"/>
    <x v="4"/>
    <x v="1"/>
    <x v="0"/>
    <x v="0"/>
  </r>
  <r>
    <s v="Neha Sharma"/>
    <s v="CUST1742"/>
    <x v="14"/>
    <n v="32"/>
    <n v="4042.5"/>
    <n v="1014.77"/>
    <n v="3027.73"/>
    <x v="1"/>
    <x v="2"/>
    <x v="1"/>
    <x v="3"/>
  </r>
  <r>
    <s v="Rahul Verma"/>
    <s v="CUST1743"/>
    <x v="237"/>
    <n v="186"/>
    <n v="12660.24"/>
    <n v="3875.86"/>
    <n v="8784.3799999999992"/>
    <x v="4"/>
    <x v="4"/>
    <x v="2"/>
    <x v="2"/>
  </r>
  <r>
    <s v="Pooja Mehta"/>
    <s v="CUST1744"/>
    <x v="65"/>
    <n v="169"/>
    <n v="13689.42"/>
    <n v="1864.25"/>
    <n v="11825.17"/>
    <x v="4"/>
    <x v="2"/>
    <x v="2"/>
    <x v="0"/>
  </r>
  <r>
    <s v="Priya Singh"/>
    <s v="CUST1745"/>
    <x v="322"/>
    <n v="155"/>
    <n v="12197.68"/>
    <n v="6091.89"/>
    <n v="6105.79"/>
    <x v="1"/>
    <x v="7"/>
    <x v="2"/>
    <x v="2"/>
  </r>
  <r>
    <s v="Priya Verma"/>
    <s v="CUST1746"/>
    <x v="106"/>
    <n v="109"/>
    <n v="8593.75"/>
    <n v="2553.11"/>
    <n v="6040.64"/>
    <x v="3"/>
    <x v="7"/>
    <x v="1"/>
    <x v="1"/>
  </r>
  <r>
    <s v="Rahul Yadav"/>
    <s v="CUST1747"/>
    <x v="15"/>
    <n v="131"/>
    <n v="3830.01"/>
    <n v="984.87"/>
    <n v="2845.14"/>
    <x v="3"/>
    <x v="2"/>
    <x v="2"/>
    <x v="0"/>
  </r>
  <r>
    <s v="Rahul Patel"/>
    <s v="CUST1748"/>
    <x v="70"/>
    <n v="126"/>
    <n v="2581.16"/>
    <n v="881.28"/>
    <n v="1699.88"/>
    <x v="1"/>
    <x v="0"/>
    <x v="2"/>
    <x v="1"/>
  </r>
  <r>
    <s v="Sneha Gupta"/>
    <s v="CUST1749"/>
    <x v="323"/>
    <n v="196"/>
    <n v="5316.55"/>
    <n v="830.38"/>
    <n v="4486.17"/>
    <x v="0"/>
    <x v="7"/>
    <x v="2"/>
    <x v="2"/>
  </r>
  <r>
    <s v="Sneha Joshi"/>
    <s v="CUST1750"/>
    <x v="39"/>
    <n v="38"/>
    <n v="4275.42"/>
    <n v="479.08"/>
    <n v="3796.34"/>
    <x v="4"/>
    <x v="2"/>
    <x v="2"/>
    <x v="3"/>
  </r>
  <r>
    <s v="Karan Sharma"/>
    <s v="CUST1751"/>
    <x v="14"/>
    <n v="28"/>
    <n v="15112.19"/>
    <n v="5790.77"/>
    <n v="9321.42"/>
    <x v="4"/>
    <x v="4"/>
    <x v="2"/>
    <x v="3"/>
  </r>
  <r>
    <s v="Neha Mehta"/>
    <s v="CUST1752"/>
    <x v="110"/>
    <n v="15"/>
    <n v="7602.84"/>
    <n v="1304.49"/>
    <n v="6298.35"/>
    <x v="2"/>
    <x v="4"/>
    <x v="2"/>
    <x v="2"/>
  </r>
  <r>
    <s v="Rahul Gupta"/>
    <s v="CUST1753"/>
    <x v="131"/>
    <n v="163"/>
    <n v="15828.08"/>
    <n v="4882.72"/>
    <n v="10945.36"/>
    <x v="4"/>
    <x v="5"/>
    <x v="0"/>
    <x v="1"/>
  </r>
  <r>
    <s v="Vikas Gupta"/>
    <s v="CUST1754"/>
    <x v="119"/>
    <n v="126"/>
    <n v="5588.02"/>
    <n v="943.99"/>
    <n v="4644.03"/>
    <x v="3"/>
    <x v="7"/>
    <x v="3"/>
    <x v="3"/>
  </r>
  <r>
    <s v="Karan Joshi"/>
    <s v="CUST1755"/>
    <x v="228"/>
    <n v="32"/>
    <n v="13098.7"/>
    <n v="4851.97"/>
    <n v="8246.73"/>
    <x v="3"/>
    <x v="5"/>
    <x v="2"/>
    <x v="0"/>
  </r>
  <r>
    <s v="Neha Gupta"/>
    <s v="CUST1756"/>
    <x v="63"/>
    <n v="15"/>
    <n v="10223.49"/>
    <n v="3938.81"/>
    <n v="6284.68"/>
    <x v="0"/>
    <x v="0"/>
    <x v="1"/>
    <x v="2"/>
  </r>
  <r>
    <s v="Rohan Patel"/>
    <s v="CUST1757"/>
    <x v="164"/>
    <n v="188"/>
    <n v="5609.29"/>
    <n v="1736.31"/>
    <n v="3872.98"/>
    <x v="1"/>
    <x v="4"/>
    <x v="3"/>
    <x v="1"/>
  </r>
  <r>
    <s v="Neha Patel"/>
    <s v="CUST1758"/>
    <x v="324"/>
    <n v="23"/>
    <n v="8619.57"/>
    <n v="1826.04"/>
    <n v="6793.53"/>
    <x v="3"/>
    <x v="5"/>
    <x v="3"/>
    <x v="2"/>
  </r>
  <r>
    <s v="Rohan Joshi"/>
    <s v="CUST1759"/>
    <x v="90"/>
    <n v="146"/>
    <n v="18673.57"/>
    <n v="8654.65"/>
    <n v="10018.92"/>
    <x v="0"/>
    <x v="0"/>
    <x v="3"/>
    <x v="0"/>
  </r>
  <r>
    <s v="Karan Yadav"/>
    <s v="CUST1760"/>
    <x v="314"/>
    <n v="48"/>
    <n v="1297.94"/>
    <n v="231.85"/>
    <n v="1066.0899999999999"/>
    <x v="4"/>
    <x v="3"/>
    <x v="3"/>
    <x v="3"/>
  </r>
  <r>
    <s v="Rohan Verma"/>
    <s v="CUST1761"/>
    <x v="241"/>
    <n v="4"/>
    <n v="1515.3"/>
    <n v="232.22"/>
    <n v="1283.08"/>
    <x v="0"/>
    <x v="5"/>
    <x v="2"/>
    <x v="1"/>
  </r>
  <r>
    <s v="Neha Joshi"/>
    <s v="CUST1762"/>
    <x v="189"/>
    <n v="52"/>
    <n v="11474.32"/>
    <n v="2286.15"/>
    <n v="9188.17"/>
    <x v="0"/>
    <x v="1"/>
    <x v="1"/>
    <x v="0"/>
  </r>
  <r>
    <s v="Rohan Sharma"/>
    <s v="CUST1763"/>
    <x v="152"/>
    <n v="134"/>
    <n v="9543.8700000000008"/>
    <n v="4488.7"/>
    <n v="5055.17"/>
    <x v="0"/>
    <x v="7"/>
    <x v="1"/>
    <x v="3"/>
  </r>
  <r>
    <s v="Amit Verma"/>
    <s v="CUST1764"/>
    <x v="325"/>
    <n v="113"/>
    <n v="13075.48"/>
    <n v="3007.62"/>
    <n v="10067.86"/>
    <x v="3"/>
    <x v="7"/>
    <x v="3"/>
    <x v="0"/>
  </r>
  <r>
    <s v="Karan Gupta"/>
    <s v="CUST1765"/>
    <x v="88"/>
    <n v="61"/>
    <n v="16829.14"/>
    <n v="2113.9499999999998"/>
    <n v="14715.19"/>
    <x v="2"/>
    <x v="6"/>
    <x v="2"/>
    <x v="1"/>
  </r>
  <r>
    <s v="Pooja Patel"/>
    <s v="CUST1766"/>
    <x v="102"/>
    <n v="198"/>
    <n v="7706.4"/>
    <n v="2901.41"/>
    <n v="4804.99"/>
    <x v="3"/>
    <x v="4"/>
    <x v="2"/>
    <x v="3"/>
  </r>
  <r>
    <s v="Amit Verma"/>
    <s v="CUST1767"/>
    <x v="100"/>
    <n v="41"/>
    <n v="2508.92"/>
    <n v="1184.96"/>
    <n v="1323.96"/>
    <x v="3"/>
    <x v="4"/>
    <x v="1"/>
    <x v="0"/>
  </r>
  <r>
    <s v="Vikas Joshi"/>
    <s v="CUST1768"/>
    <x v="285"/>
    <n v="164"/>
    <n v="9176.2900000000009"/>
    <n v="1205.17"/>
    <n v="7971.12"/>
    <x v="0"/>
    <x v="3"/>
    <x v="0"/>
    <x v="1"/>
  </r>
  <r>
    <s v="Neha Gupta"/>
    <s v="CUST1769"/>
    <x v="115"/>
    <n v="119"/>
    <n v="7973.3"/>
    <n v="3000.55"/>
    <n v="4972.75"/>
    <x v="0"/>
    <x v="7"/>
    <x v="1"/>
    <x v="2"/>
  </r>
  <r>
    <s v="Pooja Yadav"/>
    <s v="CUST1770"/>
    <x v="186"/>
    <n v="116"/>
    <n v="18474.810000000001"/>
    <n v="2698.7"/>
    <n v="15776.11"/>
    <x v="3"/>
    <x v="1"/>
    <x v="2"/>
    <x v="0"/>
  </r>
  <r>
    <s v="Anjali Gupta"/>
    <s v="CUST1771"/>
    <x v="326"/>
    <n v="9"/>
    <n v="5212.9399999999996"/>
    <n v="1917.06"/>
    <n v="3295.88"/>
    <x v="3"/>
    <x v="1"/>
    <x v="2"/>
    <x v="2"/>
  </r>
  <r>
    <s v="Anjali Singh"/>
    <s v="CUST1772"/>
    <x v="226"/>
    <n v="51"/>
    <n v="848.94"/>
    <n v="173.48"/>
    <n v="675.46"/>
    <x v="1"/>
    <x v="1"/>
    <x v="2"/>
    <x v="0"/>
  </r>
  <r>
    <s v="Sneha Patel"/>
    <s v="CUST1773"/>
    <x v="89"/>
    <n v="163"/>
    <n v="11352.11"/>
    <n v="4050.01"/>
    <n v="7302.1"/>
    <x v="2"/>
    <x v="1"/>
    <x v="2"/>
    <x v="2"/>
  </r>
  <r>
    <s v="Priya Sharma"/>
    <s v="CUST1774"/>
    <x v="239"/>
    <n v="95"/>
    <n v="11911.93"/>
    <n v="2530.02"/>
    <n v="9381.91"/>
    <x v="4"/>
    <x v="4"/>
    <x v="3"/>
    <x v="1"/>
  </r>
  <r>
    <s v="Neha Verma"/>
    <s v="CUST1775"/>
    <x v="99"/>
    <n v="106"/>
    <n v="13520.98"/>
    <n v="4453.45"/>
    <n v="9067.5300000000007"/>
    <x v="4"/>
    <x v="5"/>
    <x v="3"/>
    <x v="2"/>
  </r>
  <r>
    <s v="Karan Mehta"/>
    <s v="CUST1776"/>
    <x v="267"/>
    <n v="101"/>
    <n v="7038.75"/>
    <n v="2726.27"/>
    <n v="4312.4799999999996"/>
    <x v="0"/>
    <x v="0"/>
    <x v="3"/>
    <x v="2"/>
  </r>
  <r>
    <s v="Vikas Joshi"/>
    <s v="CUST1777"/>
    <x v="81"/>
    <n v="57"/>
    <n v="6217.09"/>
    <n v="2468.44"/>
    <n v="3748.65"/>
    <x v="3"/>
    <x v="6"/>
    <x v="0"/>
    <x v="0"/>
  </r>
  <r>
    <s v="Pooja Singh"/>
    <s v="CUST1778"/>
    <x v="327"/>
    <n v="156"/>
    <n v="4924.92"/>
    <n v="1072.28"/>
    <n v="3852.64"/>
    <x v="1"/>
    <x v="6"/>
    <x v="1"/>
    <x v="2"/>
  </r>
  <r>
    <s v="Priya Joshi"/>
    <s v="CUST1779"/>
    <x v="213"/>
    <n v="68"/>
    <n v="441.81"/>
    <n v="86.76"/>
    <n v="355.05"/>
    <x v="2"/>
    <x v="2"/>
    <x v="2"/>
    <x v="3"/>
  </r>
  <r>
    <s v="Rahul Mehta"/>
    <s v="CUST1780"/>
    <x v="215"/>
    <n v="108"/>
    <n v="2653.24"/>
    <n v="559.36"/>
    <n v="2093.88"/>
    <x v="4"/>
    <x v="6"/>
    <x v="0"/>
    <x v="3"/>
  </r>
  <r>
    <s v="Neha Patel"/>
    <s v="CUST1781"/>
    <x v="296"/>
    <n v="195"/>
    <n v="11463.04"/>
    <n v="5139.62"/>
    <n v="6323.42"/>
    <x v="4"/>
    <x v="5"/>
    <x v="1"/>
    <x v="1"/>
  </r>
  <r>
    <s v="Sneha Mehta"/>
    <s v="CUST1782"/>
    <x v="134"/>
    <n v="133"/>
    <n v="7020.18"/>
    <n v="2703.99"/>
    <n v="4316.1899999999996"/>
    <x v="0"/>
    <x v="4"/>
    <x v="3"/>
    <x v="0"/>
  </r>
  <r>
    <s v="Pooja Verma"/>
    <s v="CUST1783"/>
    <x v="80"/>
    <n v="33"/>
    <n v="842.12"/>
    <n v="417.64"/>
    <n v="424.48"/>
    <x v="1"/>
    <x v="6"/>
    <x v="1"/>
    <x v="2"/>
  </r>
  <r>
    <s v="Rohan Patel"/>
    <s v="CUST1784"/>
    <x v="300"/>
    <n v="186"/>
    <n v="12257.67"/>
    <n v="3350.89"/>
    <n v="8906.7800000000007"/>
    <x v="3"/>
    <x v="2"/>
    <x v="3"/>
    <x v="1"/>
  </r>
  <r>
    <s v="Neha Patel"/>
    <s v="CUST1785"/>
    <x v="287"/>
    <n v="188"/>
    <n v="17289.11"/>
    <n v="6339.44"/>
    <n v="10949.67"/>
    <x v="0"/>
    <x v="4"/>
    <x v="1"/>
    <x v="3"/>
  </r>
  <r>
    <s v="Anjali Mehta"/>
    <s v="CUST1786"/>
    <x v="328"/>
    <n v="174"/>
    <n v="16807.7"/>
    <n v="1923.86"/>
    <n v="14883.84"/>
    <x v="2"/>
    <x v="1"/>
    <x v="0"/>
    <x v="3"/>
  </r>
  <r>
    <s v="Amit Joshi"/>
    <s v="CUST1787"/>
    <x v="249"/>
    <n v="93"/>
    <n v="11095.75"/>
    <n v="4708.3599999999997"/>
    <n v="6387.39"/>
    <x v="1"/>
    <x v="1"/>
    <x v="1"/>
    <x v="3"/>
  </r>
  <r>
    <s v="Amit Patel"/>
    <s v="CUST1788"/>
    <x v="149"/>
    <n v="139"/>
    <n v="11059.53"/>
    <n v="5317.17"/>
    <n v="5742.36"/>
    <x v="4"/>
    <x v="6"/>
    <x v="2"/>
    <x v="3"/>
  </r>
  <r>
    <s v="Rohan Verma"/>
    <s v="CUST1789"/>
    <x v="79"/>
    <n v="190"/>
    <n v="2801.06"/>
    <n v="439.23"/>
    <n v="2361.83"/>
    <x v="4"/>
    <x v="6"/>
    <x v="1"/>
    <x v="2"/>
  </r>
  <r>
    <s v="Neha Joshi"/>
    <s v="CUST1790"/>
    <x v="172"/>
    <n v="54"/>
    <n v="13154.86"/>
    <n v="6478.94"/>
    <n v="6675.92"/>
    <x v="4"/>
    <x v="7"/>
    <x v="1"/>
    <x v="0"/>
  </r>
  <r>
    <s v="Karan Sharma"/>
    <s v="CUST1791"/>
    <x v="324"/>
    <n v="142"/>
    <n v="15850.25"/>
    <n v="1657.45"/>
    <n v="14192.8"/>
    <x v="1"/>
    <x v="2"/>
    <x v="3"/>
    <x v="0"/>
  </r>
  <r>
    <s v="Pooja Sharma"/>
    <s v="CUST1792"/>
    <x v="225"/>
    <n v="168"/>
    <n v="1884.44"/>
    <n v="442.72"/>
    <n v="1441.72"/>
    <x v="0"/>
    <x v="7"/>
    <x v="3"/>
    <x v="1"/>
  </r>
  <r>
    <s v="Sneha Joshi"/>
    <s v="CUST1793"/>
    <x v="320"/>
    <n v="10"/>
    <n v="6111.75"/>
    <n v="998.73"/>
    <n v="5113.0200000000004"/>
    <x v="3"/>
    <x v="2"/>
    <x v="2"/>
    <x v="2"/>
  </r>
  <r>
    <s v="Rahul Verma"/>
    <s v="CUST1794"/>
    <x v="315"/>
    <n v="144"/>
    <n v="12229.09"/>
    <n v="4743.2700000000004"/>
    <n v="7485.82"/>
    <x v="0"/>
    <x v="4"/>
    <x v="2"/>
    <x v="0"/>
  </r>
  <r>
    <s v="Anjali Verma"/>
    <s v="CUST1795"/>
    <x v="71"/>
    <n v="52"/>
    <n v="2756.18"/>
    <n v="282.20999999999998"/>
    <n v="2473.9699999999998"/>
    <x v="2"/>
    <x v="0"/>
    <x v="0"/>
    <x v="3"/>
  </r>
  <r>
    <s v="Rahul Verma"/>
    <s v="CUST1796"/>
    <x v="195"/>
    <n v="103"/>
    <n v="11514.98"/>
    <n v="5260.93"/>
    <n v="6254.05"/>
    <x v="4"/>
    <x v="3"/>
    <x v="2"/>
    <x v="1"/>
  </r>
  <r>
    <s v="Priya Singh"/>
    <s v="CUST1797"/>
    <x v="41"/>
    <n v="105"/>
    <n v="9422.08"/>
    <n v="4455.8100000000004"/>
    <n v="4966.2700000000004"/>
    <x v="3"/>
    <x v="1"/>
    <x v="1"/>
    <x v="2"/>
  </r>
  <r>
    <s v="Rahul Yadav"/>
    <s v="CUST1798"/>
    <x v="320"/>
    <n v="37"/>
    <n v="15540.52"/>
    <n v="3980.41"/>
    <n v="11560.11"/>
    <x v="1"/>
    <x v="4"/>
    <x v="2"/>
    <x v="1"/>
  </r>
  <r>
    <s v="Neha Joshi"/>
    <s v="CUST1799"/>
    <x v="327"/>
    <n v="95"/>
    <n v="4291.13"/>
    <n v="2011.27"/>
    <n v="2279.86"/>
    <x v="4"/>
    <x v="0"/>
    <x v="3"/>
    <x v="0"/>
  </r>
  <r>
    <s v="Neha Singh"/>
    <s v="CUST1800"/>
    <x v="173"/>
    <n v="56"/>
    <n v="5489.98"/>
    <n v="729.29"/>
    <n v="4760.6899999999996"/>
    <x v="4"/>
    <x v="3"/>
    <x v="2"/>
    <x v="2"/>
  </r>
  <r>
    <s v="Sneha Patel"/>
    <s v="CUST1801"/>
    <x v="229"/>
    <n v="149"/>
    <n v="16209.04"/>
    <n v="2936.02"/>
    <n v="13273.02"/>
    <x v="3"/>
    <x v="5"/>
    <x v="1"/>
    <x v="3"/>
  </r>
  <r>
    <s v="Neha Verma"/>
    <s v="CUST1802"/>
    <x v="183"/>
    <n v="14"/>
    <n v="17633.490000000002"/>
    <n v="8404.19"/>
    <n v="9229.2999999999993"/>
    <x v="0"/>
    <x v="6"/>
    <x v="1"/>
    <x v="1"/>
  </r>
  <r>
    <s v="Sneha Yadav"/>
    <s v="CUST1803"/>
    <x v="329"/>
    <n v="67"/>
    <n v="8337.01"/>
    <n v="2093.2600000000002"/>
    <n v="6243.75"/>
    <x v="2"/>
    <x v="2"/>
    <x v="3"/>
    <x v="1"/>
  </r>
  <r>
    <s v="Rohan Mehta"/>
    <s v="CUST1804"/>
    <x v="319"/>
    <n v="139"/>
    <n v="4625.0600000000004"/>
    <n v="698.57"/>
    <n v="3926.49"/>
    <x v="0"/>
    <x v="2"/>
    <x v="1"/>
    <x v="3"/>
  </r>
  <r>
    <s v="Anjali Patel"/>
    <s v="CUST1805"/>
    <x v="182"/>
    <n v="40"/>
    <n v="6401.49"/>
    <n v="3098.06"/>
    <n v="3303.43"/>
    <x v="2"/>
    <x v="4"/>
    <x v="1"/>
    <x v="0"/>
  </r>
  <r>
    <s v="Karan Joshi"/>
    <s v="CUST1806"/>
    <x v="308"/>
    <n v="66"/>
    <n v="18305.68"/>
    <n v="3846.34"/>
    <n v="14459.34"/>
    <x v="4"/>
    <x v="0"/>
    <x v="1"/>
    <x v="3"/>
  </r>
  <r>
    <s v="Priya Yadav"/>
    <s v="CUST1807"/>
    <x v="76"/>
    <n v="197"/>
    <n v="18815.72"/>
    <n v="3428.76"/>
    <n v="15386.96"/>
    <x v="3"/>
    <x v="2"/>
    <x v="0"/>
    <x v="1"/>
  </r>
  <r>
    <s v="Rahul Patel"/>
    <s v="CUST1808"/>
    <x v="314"/>
    <n v="118"/>
    <n v="19323.599999999999"/>
    <n v="9337.44"/>
    <n v="9986.16"/>
    <x v="1"/>
    <x v="1"/>
    <x v="0"/>
    <x v="1"/>
  </r>
  <r>
    <s v="Sneha Sharma"/>
    <s v="CUST1809"/>
    <x v="299"/>
    <n v="125"/>
    <n v="5897.83"/>
    <n v="2863.86"/>
    <n v="3033.97"/>
    <x v="4"/>
    <x v="2"/>
    <x v="3"/>
    <x v="1"/>
  </r>
  <r>
    <s v="Pooja Joshi"/>
    <s v="CUST1810"/>
    <x v="273"/>
    <n v="91"/>
    <n v="3646.24"/>
    <n v="1358.82"/>
    <n v="2287.42"/>
    <x v="3"/>
    <x v="7"/>
    <x v="0"/>
    <x v="3"/>
  </r>
  <r>
    <s v="Neha Verma"/>
    <s v="CUST1811"/>
    <x v="330"/>
    <n v="100"/>
    <n v="14993.92"/>
    <n v="5998.93"/>
    <n v="8994.99"/>
    <x v="2"/>
    <x v="7"/>
    <x v="2"/>
    <x v="3"/>
  </r>
  <r>
    <s v="Rahul Mehta"/>
    <s v="CUST1812"/>
    <x v="78"/>
    <n v="39"/>
    <n v="2972.41"/>
    <n v="1039.53"/>
    <n v="1932.88"/>
    <x v="0"/>
    <x v="4"/>
    <x v="3"/>
    <x v="0"/>
  </r>
  <r>
    <s v="Priya Singh"/>
    <s v="CUST1813"/>
    <x v="236"/>
    <n v="189"/>
    <n v="130"/>
    <n v="36.94"/>
    <n v="93.06"/>
    <x v="4"/>
    <x v="0"/>
    <x v="3"/>
    <x v="2"/>
  </r>
  <r>
    <s v="Vikas Yadav"/>
    <s v="CUST1814"/>
    <x v="58"/>
    <n v="79"/>
    <n v="10093.85"/>
    <n v="2953.2"/>
    <n v="7140.65"/>
    <x v="2"/>
    <x v="4"/>
    <x v="0"/>
    <x v="2"/>
  </r>
  <r>
    <s v="Sneha Sharma"/>
    <s v="CUST1815"/>
    <x v="274"/>
    <n v="43"/>
    <n v="305.45999999999998"/>
    <n v="107.01"/>
    <n v="198.45"/>
    <x v="0"/>
    <x v="4"/>
    <x v="0"/>
    <x v="2"/>
  </r>
  <r>
    <s v="Priya Yadav"/>
    <s v="CUST1816"/>
    <x v="241"/>
    <n v="66"/>
    <n v="12515.89"/>
    <n v="1733.33"/>
    <n v="10782.56"/>
    <x v="0"/>
    <x v="1"/>
    <x v="2"/>
    <x v="3"/>
  </r>
  <r>
    <s v="Pooja Mehta"/>
    <s v="CUST1817"/>
    <x v="270"/>
    <n v="60"/>
    <n v="5433.35"/>
    <n v="1733.56"/>
    <n v="3699.79"/>
    <x v="0"/>
    <x v="7"/>
    <x v="3"/>
    <x v="3"/>
  </r>
  <r>
    <s v="Neha Mehta"/>
    <s v="CUST1818"/>
    <x v="45"/>
    <n v="40"/>
    <n v="448.98"/>
    <n v="210.02"/>
    <n v="238.96"/>
    <x v="0"/>
    <x v="4"/>
    <x v="0"/>
    <x v="3"/>
  </r>
  <r>
    <s v="Pooja Verma"/>
    <s v="CUST1819"/>
    <x v="170"/>
    <n v="168"/>
    <n v="7440.82"/>
    <n v="1562.19"/>
    <n v="5878.63"/>
    <x v="4"/>
    <x v="2"/>
    <x v="3"/>
    <x v="1"/>
  </r>
  <r>
    <s v="Amit Mehta"/>
    <s v="CUST1820"/>
    <x v="236"/>
    <n v="106"/>
    <n v="4445.49"/>
    <n v="1953.11"/>
    <n v="2492.38"/>
    <x v="1"/>
    <x v="4"/>
    <x v="1"/>
    <x v="3"/>
  </r>
  <r>
    <s v="Rohan Singh"/>
    <s v="CUST1821"/>
    <x v="96"/>
    <n v="172"/>
    <n v="14432.01"/>
    <n v="6326.02"/>
    <n v="8105.99"/>
    <x v="0"/>
    <x v="2"/>
    <x v="3"/>
    <x v="3"/>
  </r>
  <r>
    <s v="Rahul Gupta"/>
    <s v="CUST1822"/>
    <x v="331"/>
    <n v="20"/>
    <n v="6770.97"/>
    <n v="2683.45"/>
    <n v="4087.52"/>
    <x v="2"/>
    <x v="3"/>
    <x v="3"/>
    <x v="1"/>
  </r>
  <r>
    <s v="Priya Singh"/>
    <s v="CUST1823"/>
    <x v="178"/>
    <n v="28"/>
    <n v="4538.3999999999996"/>
    <n v="1291.97"/>
    <n v="3246.43"/>
    <x v="3"/>
    <x v="3"/>
    <x v="3"/>
    <x v="3"/>
  </r>
  <r>
    <s v="Neha Patel"/>
    <s v="CUST1824"/>
    <x v="332"/>
    <n v="165"/>
    <n v="1765.79"/>
    <n v="282.17"/>
    <n v="1483.62"/>
    <x v="3"/>
    <x v="2"/>
    <x v="0"/>
    <x v="2"/>
  </r>
  <r>
    <s v="Vikas Patel"/>
    <s v="CUST1825"/>
    <x v="136"/>
    <n v="96"/>
    <n v="10812.7"/>
    <n v="1644.7"/>
    <n v="9168"/>
    <x v="2"/>
    <x v="1"/>
    <x v="1"/>
    <x v="0"/>
  </r>
  <r>
    <s v="Vikas Sharma"/>
    <s v="CUST1826"/>
    <x v="24"/>
    <n v="196"/>
    <n v="11698.7"/>
    <n v="3365.3"/>
    <n v="8333.4"/>
    <x v="1"/>
    <x v="3"/>
    <x v="1"/>
    <x v="2"/>
  </r>
  <r>
    <s v="Vikas Verma"/>
    <s v="CUST1827"/>
    <x v="137"/>
    <n v="1"/>
    <n v="947.35"/>
    <n v="326.55"/>
    <n v="620.79999999999995"/>
    <x v="2"/>
    <x v="7"/>
    <x v="1"/>
    <x v="0"/>
  </r>
  <r>
    <s v="Priya Mehta"/>
    <s v="CUST1828"/>
    <x v="333"/>
    <n v="84"/>
    <n v="15541.17"/>
    <n v="1804.25"/>
    <n v="13736.92"/>
    <x v="0"/>
    <x v="6"/>
    <x v="1"/>
    <x v="2"/>
  </r>
  <r>
    <s v="Amit Gupta"/>
    <s v="CUST1829"/>
    <x v="137"/>
    <n v="34"/>
    <n v="4432.46"/>
    <n v="1048.71"/>
    <n v="3383.75"/>
    <x v="3"/>
    <x v="2"/>
    <x v="1"/>
    <x v="3"/>
  </r>
  <r>
    <s v="Neha Patel"/>
    <s v="CUST1830"/>
    <x v="295"/>
    <n v="47"/>
    <n v="440.44"/>
    <n v="98.63"/>
    <n v="341.81"/>
    <x v="3"/>
    <x v="6"/>
    <x v="2"/>
    <x v="2"/>
  </r>
  <r>
    <s v="Karan Singh"/>
    <s v="CUST1831"/>
    <x v="139"/>
    <n v="29"/>
    <n v="5699.95"/>
    <n v="1742.82"/>
    <n v="3957.13"/>
    <x v="2"/>
    <x v="5"/>
    <x v="0"/>
    <x v="0"/>
  </r>
  <r>
    <s v="Pooja Yadav"/>
    <s v="CUST1832"/>
    <x v="249"/>
    <n v="195"/>
    <n v="8184.4"/>
    <n v="2097.14"/>
    <n v="6087.26"/>
    <x v="2"/>
    <x v="6"/>
    <x v="0"/>
    <x v="3"/>
  </r>
  <r>
    <s v="Karan Singh"/>
    <s v="CUST1833"/>
    <x v="214"/>
    <n v="189"/>
    <n v="11036.1"/>
    <n v="5266.37"/>
    <n v="5769.73"/>
    <x v="0"/>
    <x v="1"/>
    <x v="1"/>
    <x v="1"/>
  </r>
  <r>
    <s v="Neha Sharma"/>
    <s v="CUST1834"/>
    <x v="287"/>
    <n v="2"/>
    <n v="7021.93"/>
    <n v="2958.46"/>
    <n v="4063.47"/>
    <x v="4"/>
    <x v="4"/>
    <x v="2"/>
    <x v="0"/>
  </r>
  <r>
    <s v="Priya Patel"/>
    <s v="CUST1835"/>
    <x v="54"/>
    <n v="83"/>
    <n v="12672.99"/>
    <n v="4680.71"/>
    <n v="7992.28"/>
    <x v="4"/>
    <x v="6"/>
    <x v="2"/>
    <x v="3"/>
  </r>
  <r>
    <s v="Karan Sharma"/>
    <s v="CUST1836"/>
    <x v="193"/>
    <n v="142"/>
    <n v="13813.34"/>
    <n v="1796.26"/>
    <n v="12017.08"/>
    <x v="2"/>
    <x v="2"/>
    <x v="0"/>
    <x v="1"/>
  </r>
  <r>
    <s v="Sneha Gupta"/>
    <s v="CUST1837"/>
    <x v="141"/>
    <n v="179"/>
    <n v="8700.69"/>
    <n v="1487.35"/>
    <n v="7213.34"/>
    <x v="0"/>
    <x v="0"/>
    <x v="2"/>
    <x v="3"/>
  </r>
  <r>
    <s v="Karan Singh"/>
    <s v="CUST1838"/>
    <x v="334"/>
    <n v="157"/>
    <n v="17869.84"/>
    <n v="4123.1099999999997"/>
    <n v="13746.73"/>
    <x v="4"/>
    <x v="0"/>
    <x v="1"/>
    <x v="0"/>
  </r>
  <r>
    <s v="Amit Mehta"/>
    <s v="CUST1839"/>
    <x v="215"/>
    <n v="30"/>
    <n v="17677.13"/>
    <n v="2025.98"/>
    <n v="15651.15"/>
    <x v="0"/>
    <x v="2"/>
    <x v="1"/>
    <x v="0"/>
  </r>
  <r>
    <s v="Amit Singh"/>
    <s v="CUST1840"/>
    <x v="335"/>
    <n v="142"/>
    <n v="6163.59"/>
    <n v="1166.22"/>
    <n v="4997.37"/>
    <x v="3"/>
    <x v="5"/>
    <x v="2"/>
    <x v="3"/>
  </r>
  <r>
    <s v="Karan Verma"/>
    <s v="CUST1841"/>
    <x v="336"/>
    <n v="58"/>
    <n v="14366.24"/>
    <n v="6307.62"/>
    <n v="8058.62"/>
    <x v="2"/>
    <x v="0"/>
    <x v="3"/>
    <x v="3"/>
  </r>
  <r>
    <s v="Sneha Patel"/>
    <s v="CUST1842"/>
    <x v="144"/>
    <n v="123"/>
    <n v="6574.8"/>
    <n v="820.81"/>
    <n v="5753.99"/>
    <x v="3"/>
    <x v="1"/>
    <x v="1"/>
    <x v="0"/>
  </r>
  <r>
    <s v="Rohan Patel"/>
    <s v="CUST1843"/>
    <x v="119"/>
    <n v="12"/>
    <n v="8507.59"/>
    <n v="2112.7800000000002"/>
    <n v="6394.81"/>
    <x v="1"/>
    <x v="2"/>
    <x v="0"/>
    <x v="1"/>
  </r>
  <r>
    <s v="Vikas Singh"/>
    <s v="CUST1844"/>
    <x v="274"/>
    <n v="20"/>
    <n v="12461.28"/>
    <n v="3902.43"/>
    <n v="8558.85"/>
    <x v="0"/>
    <x v="1"/>
    <x v="0"/>
    <x v="0"/>
  </r>
  <r>
    <s v="Karan Patel"/>
    <s v="CUST1845"/>
    <x v="165"/>
    <n v="152"/>
    <n v="8438.09"/>
    <n v="1339.2"/>
    <n v="7098.89"/>
    <x v="4"/>
    <x v="6"/>
    <x v="3"/>
    <x v="0"/>
  </r>
  <r>
    <s v="Neha Sharma"/>
    <s v="CUST1846"/>
    <x v="128"/>
    <n v="188"/>
    <n v="3098.44"/>
    <n v="1064.8900000000001"/>
    <n v="2033.55"/>
    <x v="1"/>
    <x v="1"/>
    <x v="1"/>
    <x v="3"/>
  </r>
  <r>
    <s v="Pooja Mehta"/>
    <s v="CUST1847"/>
    <x v="152"/>
    <n v="25"/>
    <n v="2853.48"/>
    <n v="915.15"/>
    <n v="1938.33"/>
    <x v="1"/>
    <x v="2"/>
    <x v="3"/>
    <x v="2"/>
  </r>
  <r>
    <s v="Priya Joshi"/>
    <s v="CUST1848"/>
    <x v="337"/>
    <n v="112"/>
    <n v="12602.66"/>
    <n v="6255.8"/>
    <n v="6346.86"/>
    <x v="0"/>
    <x v="6"/>
    <x v="2"/>
    <x v="1"/>
  </r>
  <r>
    <s v="Sneha Joshi"/>
    <s v="CUST1849"/>
    <x v="170"/>
    <n v="122"/>
    <n v="2940.12"/>
    <n v="744.04"/>
    <n v="2196.08"/>
    <x v="0"/>
    <x v="6"/>
    <x v="0"/>
    <x v="0"/>
  </r>
  <r>
    <s v="Pooja Gupta"/>
    <s v="CUST1850"/>
    <x v="42"/>
    <n v="6"/>
    <n v="11292.47"/>
    <n v="3147.23"/>
    <n v="8145.24"/>
    <x v="2"/>
    <x v="7"/>
    <x v="3"/>
    <x v="0"/>
  </r>
  <r>
    <s v="Vikas Mehta"/>
    <s v="CUST1851"/>
    <x v="286"/>
    <n v="159"/>
    <n v="17027.099999999999"/>
    <n v="6577.73"/>
    <n v="10449.370000000001"/>
    <x v="1"/>
    <x v="5"/>
    <x v="2"/>
    <x v="2"/>
  </r>
  <r>
    <s v="Amit Gupta"/>
    <s v="CUST1852"/>
    <x v="254"/>
    <n v="63"/>
    <n v="5850.61"/>
    <n v="1852.69"/>
    <n v="3997.92"/>
    <x v="1"/>
    <x v="0"/>
    <x v="1"/>
    <x v="1"/>
  </r>
  <r>
    <s v="Rohan Joshi"/>
    <s v="CUST1853"/>
    <x v="338"/>
    <n v="150"/>
    <n v="10720.71"/>
    <n v="4223.01"/>
    <n v="6497.7"/>
    <x v="1"/>
    <x v="3"/>
    <x v="2"/>
    <x v="0"/>
  </r>
  <r>
    <s v="Rahul Mehta"/>
    <s v="CUST1854"/>
    <x v="67"/>
    <n v="31"/>
    <n v="16730.32"/>
    <n v="1762.81"/>
    <n v="14967.51"/>
    <x v="4"/>
    <x v="1"/>
    <x v="2"/>
    <x v="0"/>
  </r>
  <r>
    <s v="Rahul Gupta"/>
    <s v="CUST1855"/>
    <x v="70"/>
    <n v="75"/>
    <n v="11102.25"/>
    <n v="1546.62"/>
    <n v="9555.6299999999992"/>
    <x v="3"/>
    <x v="2"/>
    <x v="3"/>
    <x v="2"/>
  </r>
  <r>
    <s v="Anjali Patel"/>
    <s v="CUST1856"/>
    <x v="305"/>
    <n v="57"/>
    <n v="110.84"/>
    <n v="16.53"/>
    <n v="94.31"/>
    <x v="2"/>
    <x v="0"/>
    <x v="0"/>
    <x v="2"/>
  </r>
  <r>
    <s v="Sneha Joshi"/>
    <s v="CUST1857"/>
    <x v="247"/>
    <n v="139"/>
    <n v="11066.2"/>
    <n v="2793.75"/>
    <n v="8272.4500000000007"/>
    <x v="0"/>
    <x v="6"/>
    <x v="0"/>
    <x v="2"/>
  </r>
  <r>
    <s v="Rohan Singh"/>
    <s v="CUST1858"/>
    <x v="190"/>
    <n v="39"/>
    <n v="18516.54"/>
    <n v="5946.93"/>
    <n v="12569.61"/>
    <x v="1"/>
    <x v="3"/>
    <x v="0"/>
    <x v="1"/>
  </r>
  <r>
    <s v="Priya Sharma"/>
    <s v="CUST1859"/>
    <x v="321"/>
    <n v="89"/>
    <n v="14432.06"/>
    <n v="2830"/>
    <n v="11602.06"/>
    <x v="0"/>
    <x v="5"/>
    <x v="3"/>
    <x v="3"/>
  </r>
  <r>
    <s v="Rahul Mehta"/>
    <s v="CUST1860"/>
    <x v="261"/>
    <n v="75"/>
    <n v="2032.12"/>
    <n v="803.86"/>
    <n v="1228.26"/>
    <x v="2"/>
    <x v="0"/>
    <x v="1"/>
    <x v="2"/>
  </r>
  <r>
    <s v="Rohan Yadav"/>
    <s v="CUST1861"/>
    <x v="266"/>
    <n v="14"/>
    <n v="10102.81"/>
    <n v="3112.26"/>
    <n v="6990.55"/>
    <x v="3"/>
    <x v="5"/>
    <x v="1"/>
    <x v="3"/>
  </r>
  <r>
    <s v="Rohan Sharma"/>
    <s v="CUST1862"/>
    <x v="129"/>
    <n v="29"/>
    <n v="12657.37"/>
    <n v="5295.62"/>
    <n v="7361.75"/>
    <x v="1"/>
    <x v="5"/>
    <x v="0"/>
    <x v="3"/>
  </r>
  <r>
    <s v="Vikas Joshi"/>
    <s v="CUST1863"/>
    <x v="238"/>
    <n v="65"/>
    <n v="2717.38"/>
    <n v="711.62"/>
    <n v="2005.76"/>
    <x v="3"/>
    <x v="1"/>
    <x v="1"/>
    <x v="2"/>
  </r>
  <r>
    <s v="Anjali Gupta"/>
    <s v="CUST1864"/>
    <x v="157"/>
    <n v="103"/>
    <n v="16388.150000000001"/>
    <n v="5740.93"/>
    <n v="10647.22"/>
    <x v="1"/>
    <x v="3"/>
    <x v="1"/>
    <x v="3"/>
  </r>
  <r>
    <s v="Neha Patel"/>
    <s v="CUST1865"/>
    <x v="171"/>
    <n v="89"/>
    <n v="12264.51"/>
    <n v="3992.4"/>
    <n v="8272.11"/>
    <x v="0"/>
    <x v="2"/>
    <x v="3"/>
    <x v="0"/>
  </r>
  <r>
    <s v="Neha Verma"/>
    <s v="CUST1866"/>
    <x v="242"/>
    <n v="32"/>
    <n v="12218.87"/>
    <n v="4487.82"/>
    <n v="7731.05"/>
    <x v="4"/>
    <x v="6"/>
    <x v="1"/>
    <x v="1"/>
  </r>
  <r>
    <s v="Vikas Yadav"/>
    <s v="CUST1867"/>
    <x v="339"/>
    <n v="123"/>
    <n v="18025.25"/>
    <n v="6823.83"/>
    <n v="11201.42"/>
    <x v="1"/>
    <x v="4"/>
    <x v="3"/>
    <x v="3"/>
  </r>
  <r>
    <s v="Pooja Gupta"/>
    <s v="CUST1868"/>
    <x v="9"/>
    <n v="44"/>
    <n v="2018.14"/>
    <n v="343.82"/>
    <n v="1674.32"/>
    <x v="4"/>
    <x v="0"/>
    <x v="3"/>
    <x v="1"/>
  </r>
  <r>
    <s v="Sneha Patel"/>
    <s v="CUST1869"/>
    <x v="112"/>
    <n v="74"/>
    <n v="6727.04"/>
    <n v="2427.9299999999998"/>
    <n v="4299.1099999999997"/>
    <x v="3"/>
    <x v="2"/>
    <x v="0"/>
    <x v="1"/>
  </r>
  <r>
    <s v="Priya Gupta"/>
    <s v="CUST1870"/>
    <x v="312"/>
    <n v="169"/>
    <n v="3778.21"/>
    <n v="1750.97"/>
    <n v="2027.24"/>
    <x v="3"/>
    <x v="7"/>
    <x v="2"/>
    <x v="3"/>
  </r>
  <r>
    <s v="Sneha Yadav"/>
    <s v="CUST1871"/>
    <x v="25"/>
    <n v="109"/>
    <n v="15470.78"/>
    <n v="4418.01"/>
    <n v="11052.77"/>
    <x v="2"/>
    <x v="0"/>
    <x v="3"/>
    <x v="2"/>
  </r>
  <r>
    <s v="Anjali Mehta"/>
    <s v="CUST1872"/>
    <x v="46"/>
    <n v="47"/>
    <n v="11730.67"/>
    <n v="4432.91"/>
    <n v="7297.76"/>
    <x v="1"/>
    <x v="2"/>
    <x v="3"/>
    <x v="1"/>
  </r>
  <r>
    <s v="Rohan Patel"/>
    <s v="CUST1873"/>
    <x v="207"/>
    <n v="84"/>
    <n v="9836.15"/>
    <n v="2498.59"/>
    <n v="7337.56"/>
    <x v="0"/>
    <x v="5"/>
    <x v="0"/>
    <x v="2"/>
  </r>
  <r>
    <s v="Rahul Sharma"/>
    <s v="CUST1874"/>
    <x v="109"/>
    <n v="79"/>
    <n v="12025.8"/>
    <n v="4770.2700000000004"/>
    <n v="7255.53"/>
    <x v="0"/>
    <x v="6"/>
    <x v="3"/>
    <x v="0"/>
  </r>
  <r>
    <s v="Priya Mehta"/>
    <s v="CUST1875"/>
    <x v="75"/>
    <n v="55"/>
    <n v="7196.78"/>
    <n v="3192.07"/>
    <n v="4004.71"/>
    <x v="0"/>
    <x v="6"/>
    <x v="0"/>
    <x v="0"/>
  </r>
  <r>
    <s v="Amit Mehta"/>
    <s v="CUST1876"/>
    <x v="202"/>
    <n v="77"/>
    <n v="14076.32"/>
    <n v="1520.34"/>
    <n v="12555.98"/>
    <x v="0"/>
    <x v="0"/>
    <x v="3"/>
    <x v="2"/>
  </r>
  <r>
    <s v="Pooja Singh"/>
    <s v="CUST1877"/>
    <x v="290"/>
    <n v="86"/>
    <n v="4704.22"/>
    <n v="1391.42"/>
    <n v="3312.8"/>
    <x v="3"/>
    <x v="0"/>
    <x v="2"/>
    <x v="1"/>
  </r>
  <r>
    <s v="Karan Singh"/>
    <s v="CUST1878"/>
    <x v="287"/>
    <n v="22"/>
    <n v="17489.55"/>
    <n v="8264.5300000000007"/>
    <n v="9225.02"/>
    <x v="4"/>
    <x v="0"/>
    <x v="2"/>
    <x v="0"/>
  </r>
  <r>
    <s v="Rahul Yadav"/>
    <s v="CUST1879"/>
    <x v="106"/>
    <n v="137"/>
    <n v="17803.53"/>
    <n v="3118.57"/>
    <n v="14684.96"/>
    <x v="2"/>
    <x v="5"/>
    <x v="3"/>
    <x v="3"/>
  </r>
  <r>
    <s v="Sneha Yadav"/>
    <s v="CUST1880"/>
    <x v="115"/>
    <n v="3"/>
    <n v="5776.3"/>
    <n v="1606.15"/>
    <n v="4170.1499999999996"/>
    <x v="4"/>
    <x v="4"/>
    <x v="0"/>
    <x v="2"/>
  </r>
  <r>
    <s v="Neha Patel"/>
    <s v="CUST1881"/>
    <x v="136"/>
    <n v="178"/>
    <n v="6184.02"/>
    <n v="2283.85"/>
    <n v="3900.17"/>
    <x v="4"/>
    <x v="4"/>
    <x v="2"/>
    <x v="0"/>
  </r>
  <r>
    <s v="Karan Sharma"/>
    <s v="CUST1882"/>
    <x v="81"/>
    <n v="132"/>
    <n v="11334.05"/>
    <n v="5180.21"/>
    <n v="6153.84"/>
    <x v="0"/>
    <x v="7"/>
    <x v="2"/>
    <x v="2"/>
  </r>
  <r>
    <s v="Vikas Gupta"/>
    <s v="CUST1883"/>
    <x v="38"/>
    <n v="23"/>
    <n v="14730.89"/>
    <n v="4756.9399999999996"/>
    <n v="9973.9500000000007"/>
    <x v="0"/>
    <x v="2"/>
    <x v="1"/>
    <x v="1"/>
  </r>
  <r>
    <s v="Vikas Singh"/>
    <s v="CUST1884"/>
    <x v="243"/>
    <n v="102"/>
    <n v="2817.38"/>
    <n v="727.33"/>
    <n v="2090.0500000000002"/>
    <x v="1"/>
    <x v="1"/>
    <x v="1"/>
    <x v="2"/>
  </r>
  <r>
    <s v="Anjali Sharma"/>
    <s v="CUST1885"/>
    <x v="340"/>
    <n v="151"/>
    <n v="11544.8"/>
    <n v="2122.87"/>
    <n v="9421.93"/>
    <x v="3"/>
    <x v="5"/>
    <x v="0"/>
    <x v="2"/>
  </r>
  <r>
    <s v="Sneha Singh"/>
    <s v="CUST1886"/>
    <x v="303"/>
    <n v="5"/>
    <n v="10672.71"/>
    <n v="4337.59"/>
    <n v="6335.12"/>
    <x v="1"/>
    <x v="2"/>
    <x v="0"/>
    <x v="1"/>
  </r>
  <r>
    <s v="Karan Gupta"/>
    <s v="CUST1887"/>
    <x v="307"/>
    <n v="134"/>
    <n v="5881.14"/>
    <n v="2264.2600000000002"/>
    <n v="3616.88"/>
    <x v="1"/>
    <x v="1"/>
    <x v="3"/>
    <x v="2"/>
  </r>
  <r>
    <s v="Pooja Yadav"/>
    <s v="CUST1888"/>
    <x v="118"/>
    <n v="95"/>
    <n v="8817"/>
    <n v="2429.8200000000002"/>
    <n v="6387.18"/>
    <x v="1"/>
    <x v="7"/>
    <x v="3"/>
    <x v="2"/>
  </r>
  <r>
    <s v="Karan Verma"/>
    <s v="CUST1889"/>
    <x v="126"/>
    <n v="190"/>
    <n v="2312.12"/>
    <n v="608.24"/>
    <n v="1703.88"/>
    <x v="4"/>
    <x v="2"/>
    <x v="0"/>
    <x v="0"/>
  </r>
  <r>
    <s v="Pooja Yadav"/>
    <s v="CUST1890"/>
    <x v="264"/>
    <n v="138"/>
    <n v="12223.13"/>
    <n v="1724.96"/>
    <n v="10498.17"/>
    <x v="3"/>
    <x v="2"/>
    <x v="3"/>
    <x v="3"/>
  </r>
  <r>
    <s v="Pooja Yadav"/>
    <s v="CUST1891"/>
    <x v="77"/>
    <n v="119"/>
    <n v="386.34"/>
    <n v="142.46"/>
    <n v="243.88"/>
    <x v="2"/>
    <x v="6"/>
    <x v="3"/>
    <x v="2"/>
  </r>
  <r>
    <s v="Amit Joshi"/>
    <s v="CUST1892"/>
    <x v="340"/>
    <n v="53"/>
    <n v="8566.5400000000009"/>
    <n v="1677.16"/>
    <n v="6889.38"/>
    <x v="4"/>
    <x v="1"/>
    <x v="0"/>
    <x v="1"/>
  </r>
  <r>
    <s v="Neha Singh"/>
    <s v="CUST1893"/>
    <x v="90"/>
    <n v="8"/>
    <n v="4277.41"/>
    <n v="1278.47"/>
    <n v="2998.94"/>
    <x v="0"/>
    <x v="5"/>
    <x v="0"/>
    <x v="3"/>
  </r>
  <r>
    <s v="Pooja Yadav"/>
    <s v="CUST1894"/>
    <x v="81"/>
    <n v="21"/>
    <n v="5574.53"/>
    <n v="743.79"/>
    <n v="4830.74"/>
    <x v="2"/>
    <x v="3"/>
    <x v="0"/>
    <x v="3"/>
  </r>
  <r>
    <s v="Amit Yadav"/>
    <s v="CUST1895"/>
    <x v="98"/>
    <n v="148"/>
    <n v="1035.18"/>
    <n v="386.9"/>
    <n v="648.28"/>
    <x v="2"/>
    <x v="1"/>
    <x v="1"/>
    <x v="3"/>
  </r>
  <r>
    <s v="Priya Mehta"/>
    <s v="CUST1896"/>
    <x v="256"/>
    <n v="161"/>
    <n v="16598.27"/>
    <n v="6220.49"/>
    <n v="10377.780000000001"/>
    <x v="2"/>
    <x v="3"/>
    <x v="1"/>
    <x v="1"/>
  </r>
  <r>
    <s v="Anjali Singh"/>
    <s v="CUST1897"/>
    <x v="64"/>
    <n v="173"/>
    <n v="7951.82"/>
    <n v="1602.68"/>
    <n v="6349.14"/>
    <x v="3"/>
    <x v="5"/>
    <x v="2"/>
    <x v="1"/>
  </r>
  <r>
    <s v="Rahul Singh"/>
    <s v="CUST1898"/>
    <x v="174"/>
    <n v="33"/>
    <n v="17071.34"/>
    <n v="1811.21"/>
    <n v="15260.13"/>
    <x v="1"/>
    <x v="2"/>
    <x v="3"/>
    <x v="2"/>
  </r>
  <r>
    <s v="Amit Singh"/>
    <s v="CUST1899"/>
    <x v="50"/>
    <n v="110"/>
    <n v="941.02"/>
    <n v="448.28"/>
    <n v="492.74"/>
    <x v="2"/>
    <x v="4"/>
    <x v="0"/>
    <x v="1"/>
  </r>
  <r>
    <s v="Rahul Joshi"/>
    <s v="CUST1900"/>
    <x v="248"/>
    <n v="16"/>
    <n v="17598.46"/>
    <n v="6692.08"/>
    <n v="10906.38"/>
    <x v="0"/>
    <x v="0"/>
    <x v="1"/>
    <x v="1"/>
  </r>
  <r>
    <s v="Anjali Yadav"/>
    <s v="CUST1901"/>
    <x v="184"/>
    <n v="98"/>
    <n v="15174.77"/>
    <n v="6738.44"/>
    <n v="8436.33"/>
    <x v="0"/>
    <x v="5"/>
    <x v="2"/>
    <x v="2"/>
  </r>
  <r>
    <s v="Karan Gupta"/>
    <s v="CUST1902"/>
    <x v="54"/>
    <n v="63"/>
    <n v="4258.82"/>
    <n v="1717.17"/>
    <n v="2541.65"/>
    <x v="2"/>
    <x v="3"/>
    <x v="0"/>
    <x v="2"/>
  </r>
  <r>
    <s v="Karan Mehta"/>
    <s v="CUST1903"/>
    <x v="341"/>
    <n v="111"/>
    <n v="1897.92"/>
    <n v="468.51"/>
    <n v="1429.41"/>
    <x v="1"/>
    <x v="7"/>
    <x v="2"/>
    <x v="1"/>
  </r>
  <r>
    <s v="Anjali Gupta"/>
    <s v="CUST1904"/>
    <x v="56"/>
    <n v="97"/>
    <n v="4864.2299999999996"/>
    <n v="1483.89"/>
    <n v="3380.34"/>
    <x v="4"/>
    <x v="4"/>
    <x v="3"/>
    <x v="1"/>
  </r>
  <r>
    <s v="Amit Gupta"/>
    <s v="CUST1905"/>
    <x v="319"/>
    <n v="64"/>
    <n v="7918.46"/>
    <n v="1809.07"/>
    <n v="6109.39"/>
    <x v="3"/>
    <x v="2"/>
    <x v="2"/>
    <x v="0"/>
  </r>
  <r>
    <s v="Sneha Verma"/>
    <s v="CUST1906"/>
    <x v="304"/>
    <n v="8"/>
    <n v="17119.68"/>
    <n v="4829.79"/>
    <n v="12289.89"/>
    <x v="0"/>
    <x v="1"/>
    <x v="1"/>
    <x v="1"/>
  </r>
  <r>
    <s v="Anjali Singh"/>
    <s v="CUST1907"/>
    <x v="270"/>
    <n v="46"/>
    <n v="10472.68"/>
    <n v="3654.08"/>
    <n v="6818.6"/>
    <x v="1"/>
    <x v="6"/>
    <x v="0"/>
    <x v="0"/>
  </r>
  <r>
    <s v="Amit Sharma"/>
    <s v="CUST1908"/>
    <x v="179"/>
    <n v="160"/>
    <n v="19983.599999999999"/>
    <n v="6300.21"/>
    <n v="13683.39"/>
    <x v="1"/>
    <x v="0"/>
    <x v="3"/>
    <x v="2"/>
  </r>
  <r>
    <s v="Rohan Joshi"/>
    <s v="CUST1909"/>
    <x v="65"/>
    <n v="96"/>
    <n v="19270.36"/>
    <n v="9346.33"/>
    <n v="9924.0300000000007"/>
    <x v="2"/>
    <x v="3"/>
    <x v="2"/>
    <x v="0"/>
  </r>
  <r>
    <s v="Priya Sharma"/>
    <s v="CUST1910"/>
    <x v="200"/>
    <n v="37"/>
    <n v="9783.4699999999993"/>
    <n v="4075.67"/>
    <n v="5707.8"/>
    <x v="4"/>
    <x v="5"/>
    <x v="3"/>
    <x v="2"/>
  </r>
  <r>
    <s v="Vikas Yadav"/>
    <s v="CUST1911"/>
    <x v="232"/>
    <n v="136"/>
    <n v="15124.06"/>
    <n v="6171.12"/>
    <n v="8952.94"/>
    <x v="1"/>
    <x v="0"/>
    <x v="0"/>
    <x v="0"/>
  </r>
  <r>
    <s v="Pooja Sharma"/>
    <s v="CUST1912"/>
    <x v="40"/>
    <n v="127"/>
    <n v="8102.43"/>
    <n v="1798.18"/>
    <n v="6304.25"/>
    <x v="2"/>
    <x v="3"/>
    <x v="2"/>
    <x v="3"/>
  </r>
  <r>
    <s v="Karan Joshi"/>
    <s v="CUST1913"/>
    <x v="133"/>
    <n v="131"/>
    <n v="9141.4599999999991"/>
    <n v="3584.83"/>
    <n v="5556.63"/>
    <x v="1"/>
    <x v="4"/>
    <x v="0"/>
    <x v="3"/>
  </r>
  <r>
    <s v="Anjali Yadav"/>
    <s v="CUST1914"/>
    <x v="330"/>
    <n v="126"/>
    <n v="2553.39"/>
    <n v="1005.13"/>
    <n v="1548.26"/>
    <x v="4"/>
    <x v="3"/>
    <x v="1"/>
    <x v="1"/>
  </r>
  <r>
    <s v="Amit Gupta"/>
    <s v="CUST1915"/>
    <x v="246"/>
    <n v="70"/>
    <n v="15535.63"/>
    <n v="3009.77"/>
    <n v="12525.86"/>
    <x v="3"/>
    <x v="0"/>
    <x v="3"/>
    <x v="3"/>
  </r>
  <r>
    <s v="Pooja Patel"/>
    <s v="CUST1916"/>
    <x v="124"/>
    <n v="127"/>
    <n v="4190.37"/>
    <n v="1307.57"/>
    <n v="2882.8"/>
    <x v="1"/>
    <x v="0"/>
    <x v="2"/>
    <x v="3"/>
  </r>
  <r>
    <s v="Rohan Joshi"/>
    <s v="CUST1917"/>
    <x v="280"/>
    <n v="122"/>
    <n v="9045.19"/>
    <n v="1521.76"/>
    <n v="7523.43"/>
    <x v="3"/>
    <x v="0"/>
    <x v="0"/>
    <x v="1"/>
  </r>
  <r>
    <s v="Pooja Patel"/>
    <s v="CUST1918"/>
    <x v="252"/>
    <n v="50"/>
    <n v="10301.76"/>
    <n v="2526.34"/>
    <n v="7775.42"/>
    <x v="0"/>
    <x v="3"/>
    <x v="2"/>
    <x v="3"/>
  </r>
  <r>
    <s v="Rohan Verma"/>
    <s v="CUST1919"/>
    <x v="260"/>
    <n v="68"/>
    <n v="15771.73"/>
    <n v="1767.14"/>
    <n v="14004.59"/>
    <x v="1"/>
    <x v="5"/>
    <x v="2"/>
    <x v="3"/>
  </r>
  <r>
    <s v="Amit Sharma"/>
    <s v="CUST1920"/>
    <x v="148"/>
    <n v="168"/>
    <n v="7186.38"/>
    <n v="2265.65"/>
    <n v="4920.7299999999996"/>
    <x v="3"/>
    <x v="6"/>
    <x v="3"/>
    <x v="1"/>
  </r>
  <r>
    <s v="Rahul Sharma"/>
    <s v="CUST1921"/>
    <x v="21"/>
    <n v="177"/>
    <n v="9945.48"/>
    <n v="2619.38"/>
    <n v="7326.1"/>
    <x v="1"/>
    <x v="5"/>
    <x v="2"/>
    <x v="3"/>
  </r>
  <r>
    <s v="Vikas Mehta"/>
    <s v="CUST1922"/>
    <x v="160"/>
    <n v="62"/>
    <n v="16819.759999999998"/>
    <n v="4082.18"/>
    <n v="12737.58"/>
    <x v="3"/>
    <x v="7"/>
    <x v="3"/>
    <x v="1"/>
  </r>
  <r>
    <s v="Neha Verma"/>
    <s v="CUST1923"/>
    <x v="179"/>
    <n v="71"/>
    <n v="10925.32"/>
    <n v="3427.86"/>
    <n v="7497.46"/>
    <x v="2"/>
    <x v="7"/>
    <x v="2"/>
    <x v="0"/>
  </r>
  <r>
    <s v="Vikas Gupta"/>
    <s v="CUST1924"/>
    <x v="185"/>
    <n v="47"/>
    <n v="3631.38"/>
    <n v="1702.2"/>
    <n v="1929.18"/>
    <x v="0"/>
    <x v="6"/>
    <x v="2"/>
    <x v="3"/>
  </r>
  <r>
    <s v="Vikas Sharma"/>
    <s v="CUST1925"/>
    <x v="335"/>
    <n v="178"/>
    <n v="12949.15"/>
    <n v="5366.21"/>
    <n v="7582.94"/>
    <x v="0"/>
    <x v="5"/>
    <x v="0"/>
    <x v="1"/>
  </r>
  <r>
    <s v="Rahul Singh"/>
    <s v="CUST1926"/>
    <x v="79"/>
    <n v="98"/>
    <n v="10564.23"/>
    <n v="4862.8599999999997"/>
    <n v="5701.37"/>
    <x v="0"/>
    <x v="0"/>
    <x v="0"/>
    <x v="0"/>
  </r>
  <r>
    <s v="Rahul Verma"/>
    <s v="CUST1927"/>
    <x v="35"/>
    <n v="103"/>
    <n v="9028.15"/>
    <n v="2156.65"/>
    <n v="6871.5"/>
    <x v="3"/>
    <x v="2"/>
    <x v="0"/>
    <x v="1"/>
  </r>
  <r>
    <s v="Pooja Mehta"/>
    <s v="CUST1928"/>
    <x v="76"/>
    <n v="61"/>
    <n v="7879.38"/>
    <n v="1410.13"/>
    <n v="6469.25"/>
    <x v="4"/>
    <x v="5"/>
    <x v="3"/>
    <x v="3"/>
  </r>
  <r>
    <s v="Rohan Sharma"/>
    <s v="CUST1929"/>
    <x v="198"/>
    <n v="87"/>
    <n v="9350.44"/>
    <n v="2412.73"/>
    <n v="6937.71"/>
    <x v="3"/>
    <x v="3"/>
    <x v="0"/>
    <x v="0"/>
  </r>
  <r>
    <s v="Priya Verma"/>
    <s v="CUST1930"/>
    <x v="177"/>
    <n v="145"/>
    <n v="19317.37"/>
    <n v="9457.81"/>
    <n v="9859.56"/>
    <x v="0"/>
    <x v="0"/>
    <x v="1"/>
    <x v="1"/>
  </r>
  <r>
    <s v="Priya Sharma"/>
    <s v="CUST1931"/>
    <x v="261"/>
    <n v="116"/>
    <n v="3516.14"/>
    <n v="1626.53"/>
    <n v="1889.61"/>
    <x v="4"/>
    <x v="1"/>
    <x v="0"/>
    <x v="0"/>
  </r>
  <r>
    <s v="Amit Gupta"/>
    <s v="CUST1932"/>
    <x v="199"/>
    <n v="37"/>
    <n v="3794.19"/>
    <n v="1859.23"/>
    <n v="1934.96"/>
    <x v="1"/>
    <x v="4"/>
    <x v="3"/>
    <x v="0"/>
  </r>
  <r>
    <s v="Amit Yadav"/>
    <s v="CUST1933"/>
    <x v="204"/>
    <n v="146"/>
    <n v="3426.96"/>
    <n v="606.24"/>
    <n v="2820.72"/>
    <x v="3"/>
    <x v="7"/>
    <x v="0"/>
    <x v="0"/>
  </r>
  <r>
    <s v="Vikas Joshi"/>
    <s v="CUST1934"/>
    <x v="317"/>
    <n v="105"/>
    <n v="1170.49"/>
    <n v="127.18"/>
    <n v="1043.31"/>
    <x v="4"/>
    <x v="6"/>
    <x v="3"/>
    <x v="3"/>
  </r>
  <r>
    <s v="Neha Mehta"/>
    <s v="CUST1935"/>
    <x v="191"/>
    <n v="24"/>
    <n v="12994.12"/>
    <n v="6417.03"/>
    <n v="6577.09"/>
    <x v="1"/>
    <x v="2"/>
    <x v="2"/>
    <x v="2"/>
  </r>
  <r>
    <s v="Amit Verma"/>
    <s v="CUST1936"/>
    <x v="49"/>
    <n v="171"/>
    <n v="14635.46"/>
    <n v="3902.74"/>
    <n v="10732.72"/>
    <x v="1"/>
    <x v="7"/>
    <x v="1"/>
    <x v="3"/>
  </r>
  <r>
    <s v="Rohan Sharma"/>
    <s v="CUST1937"/>
    <x v="228"/>
    <n v="173"/>
    <n v="3734.37"/>
    <n v="908.87"/>
    <n v="2825.5"/>
    <x v="1"/>
    <x v="4"/>
    <x v="0"/>
    <x v="3"/>
  </r>
  <r>
    <s v="Neha Yadav"/>
    <s v="CUST1938"/>
    <x v="98"/>
    <n v="21"/>
    <n v="13065.76"/>
    <n v="3383.1"/>
    <n v="9682.66"/>
    <x v="1"/>
    <x v="3"/>
    <x v="2"/>
    <x v="2"/>
  </r>
  <r>
    <s v="Anjali Mehta"/>
    <s v="CUST1939"/>
    <x v="3"/>
    <n v="139"/>
    <n v="7080.04"/>
    <n v="2457.44"/>
    <n v="4622.6000000000004"/>
    <x v="4"/>
    <x v="5"/>
    <x v="0"/>
    <x v="1"/>
  </r>
  <r>
    <s v="Anjali Patel"/>
    <s v="CUST1940"/>
    <x v="140"/>
    <n v="111"/>
    <n v="10855.8"/>
    <n v="3670.98"/>
    <n v="7184.82"/>
    <x v="1"/>
    <x v="1"/>
    <x v="3"/>
    <x v="0"/>
  </r>
  <r>
    <s v="Karan Gupta"/>
    <s v="CUST1941"/>
    <x v="51"/>
    <n v="132"/>
    <n v="13521.84"/>
    <n v="6074.54"/>
    <n v="7447.3"/>
    <x v="0"/>
    <x v="1"/>
    <x v="0"/>
    <x v="1"/>
  </r>
  <r>
    <s v="Karan Joshi"/>
    <s v="CUST1942"/>
    <x v="250"/>
    <n v="117"/>
    <n v="5250.48"/>
    <n v="1551.68"/>
    <n v="3698.8"/>
    <x v="4"/>
    <x v="7"/>
    <x v="0"/>
    <x v="1"/>
  </r>
  <r>
    <s v="Pooja Sharma"/>
    <s v="CUST1943"/>
    <x v="121"/>
    <n v="75"/>
    <n v="12432.25"/>
    <n v="3395.23"/>
    <n v="9037.02"/>
    <x v="3"/>
    <x v="1"/>
    <x v="3"/>
    <x v="1"/>
  </r>
  <r>
    <s v="Rahul Gupta"/>
    <s v="CUST1944"/>
    <x v="251"/>
    <n v="189"/>
    <n v="14549.38"/>
    <n v="4195.54"/>
    <n v="10353.84"/>
    <x v="4"/>
    <x v="1"/>
    <x v="2"/>
    <x v="3"/>
  </r>
  <r>
    <s v="Anjali Singh"/>
    <s v="CUST1945"/>
    <x v="160"/>
    <n v="139"/>
    <n v="5453.41"/>
    <n v="1773.35"/>
    <n v="3680.06"/>
    <x v="0"/>
    <x v="3"/>
    <x v="2"/>
    <x v="1"/>
  </r>
  <r>
    <s v="Priya Gupta"/>
    <s v="CUST1946"/>
    <x v="120"/>
    <n v="71"/>
    <n v="8690.7000000000007"/>
    <n v="3830.74"/>
    <n v="4859.96"/>
    <x v="3"/>
    <x v="2"/>
    <x v="0"/>
    <x v="3"/>
  </r>
  <r>
    <s v="Priya Yadav"/>
    <s v="CUST1947"/>
    <x v="223"/>
    <n v="191"/>
    <n v="3052.85"/>
    <n v="1508.66"/>
    <n v="1544.19"/>
    <x v="1"/>
    <x v="3"/>
    <x v="2"/>
    <x v="3"/>
  </r>
  <r>
    <s v="Rahul Sharma"/>
    <s v="CUST1948"/>
    <x v="335"/>
    <n v="5"/>
    <n v="11016.02"/>
    <n v="3847.22"/>
    <n v="7168.8"/>
    <x v="1"/>
    <x v="1"/>
    <x v="1"/>
    <x v="3"/>
  </r>
  <r>
    <s v="Pooja Patel"/>
    <s v="CUST1949"/>
    <x v="236"/>
    <n v="2"/>
    <n v="166.84"/>
    <n v="48.64"/>
    <n v="118.2"/>
    <x v="2"/>
    <x v="5"/>
    <x v="0"/>
    <x v="2"/>
  </r>
  <r>
    <s v="Amit Gupta"/>
    <s v="CUST1950"/>
    <x v="31"/>
    <n v="1"/>
    <n v="560.54"/>
    <n v="66.16"/>
    <n v="494.38"/>
    <x v="3"/>
    <x v="1"/>
    <x v="2"/>
    <x v="3"/>
  </r>
  <r>
    <s v="Neha Yadav"/>
    <s v="CUST1951"/>
    <x v="141"/>
    <n v="117"/>
    <n v="14869.07"/>
    <n v="3973.18"/>
    <n v="10895.89"/>
    <x v="2"/>
    <x v="7"/>
    <x v="0"/>
    <x v="0"/>
  </r>
  <r>
    <s v="Rahul Mehta"/>
    <s v="CUST1952"/>
    <x v="175"/>
    <n v="140"/>
    <n v="19780.939999999999"/>
    <n v="2366.16"/>
    <n v="17414.78"/>
    <x v="2"/>
    <x v="1"/>
    <x v="1"/>
    <x v="2"/>
  </r>
  <r>
    <s v="Rohan Singh"/>
    <s v="CUST1953"/>
    <x v="163"/>
    <n v="13"/>
    <n v="558.85"/>
    <n v="146.03"/>
    <n v="412.82"/>
    <x v="2"/>
    <x v="6"/>
    <x v="2"/>
    <x v="3"/>
  </r>
  <r>
    <s v="Rohan Patel"/>
    <s v="CUST1954"/>
    <x v="241"/>
    <n v="186"/>
    <n v="16717.150000000001"/>
    <n v="1985.38"/>
    <n v="14731.77"/>
    <x v="3"/>
    <x v="5"/>
    <x v="0"/>
    <x v="2"/>
  </r>
  <r>
    <s v="Amit Mehta"/>
    <s v="CUST1955"/>
    <x v="205"/>
    <n v="67"/>
    <n v="6661.55"/>
    <n v="2953.67"/>
    <n v="3707.88"/>
    <x v="2"/>
    <x v="6"/>
    <x v="2"/>
    <x v="1"/>
  </r>
  <r>
    <s v="Priya Joshi"/>
    <s v="CUST1956"/>
    <x v="152"/>
    <n v="171"/>
    <n v="339.56"/>
    <n v="120.47"/>
    <n v="219.09"/>
    <x v="1"/>
    <x v="0"/>
    <x v="3"/>
    <x v="0"/>
  </r>
  <r>
    <s v="Rohan Sharma"/>
    <s v="CUST1957"/>
    <x v="38"/>
    <n v="83"/>
    <n v="7563.73"/>
    <n v="2042.95"/>
    <n v="5520.78"/>
    <x v="2"/>
    <x v="6"/>
    <x v="3"/>
    <x v="2"/>
  </r>
  <r>
    <s v="Rohan Gupta"/>
    <s v="CUST1958"/>
    <x v="74"/>
    <n v="38"/>
    <n v="14350.67"/>
    <n v="6627.19"/>
    <n v="7723.48"/>
    <x v="2"/>
    <x v="2"/>
    <x v="3"/>
    <x v="1"/>
  </r>
  <r>
    <s v="Neha Patel"/>
    <s v="CUST1959"/>
    <x v="181"/>
    <n v="130"/>
    <n v="3128.93"/>
    <n v="1392.03"/>
    <n v="1736.9"/>
    <x v="4"/>
    <x v="7"/>
    <x v="3"/>
    <x v="1"/>
  </r>
  <r>
    <s v="Neha Gupta"/>
    <s v="CUST1960"/>
    <x v="125"/>
    <n v="9"/>
    <n v="10664.48"/>
    <n v="3195.94"/>
    <n v="7468.54"/>
    <x v="3"/>
    <x v="7"/>
    <x v="3"/>
    <x v="2"/>
  </r>
  <r>
    <s v="Neha Yadav"/>
    <s v="CUST1961"/>
    <x v="44"/>
    <n v="92"/>
    <n v="12779.75"/>
    <n v="5405.05"/>
    <n v="7374.7"/>
    <x v="1"/>
    <x v="2"/>
    <x v="2"/>
    <x v="2"/>
  </r>
  <r>
    <s v="Sneha Sharma"/>
    <s v="CUST1962"/>
    <x v="342"/>
    <n v="76"/>
    <n v="1835.08"/>
    <n v="462.62"/>
    <n v="1372.46"/>
    <x v="2"/>
    <x v="2"/>
    <x v="3"/>
    <x v="1"/>
  </r>
  <r>
    <s v="Karan Patel"/>
    <s v="CUST1963"/>
    <x v="135"/>
    <n v="108"/>
    <n v="18771.54"/>
    <n v="4667.79"/>
    <n v="14103.75"/>
    <x v="1"/>
    <x v="4"/>
    <x v="0"/>
    <x v="2"/>
  </r>
  <r>
    <s v="Rohan Patel"/>
    <s v="CUST1964"/>
    <x v="116"/>
    <n v="16"/>
    <n v="9346.5"/>
    <n v="4026.87"/>
    <n v="5319.63"/>
    <x v="3"/>
    <x v="6"/>
    <x v="1"/>
    <x v="0"/>
  </r>
  <r>
    <s v="Rahul Sharma"/>
    <s v="CUST1965"/>
    <x v="274"/>
    <n v="33"/>
    <n v="11275"/>
    <n v="3281.6"/>
    <n v="7993.4"/>
    <x v="0"/>
    <x v="5"/>
    <x v="0"/>
    <x v="1"/>
  </r>
  <r>
    <s v="Neha Singh"/>
    <s v="CUST1966"/>
    <x v="343"/>
    <n v="146"/>
    <n v="14726.66"/>
    <n v="1913.11"/>
    <n v="12813.55"/>
    <x v="0"/>
    <x v="5"/>
    <x v="3"/>
    <x v="1"/>
  </r>
  <r>
    <s v="Neha Sharma"/>
    <s v="CUST1967"/>
    <x v="223"/>
    <n v="68"/>
    <n v="18935.43"/>
    <n v="4049.68"/>
    <n v="14885.75"/>
    <x v="3"/>
    <x v="7"/>
    <x v="1"/>
    <x v="0"/>
  </r>
  <r>
    <s v="Anjali Singh"/>
    <s v="CUST1968"/>
    <x v="258"/>
    <n v="198"/>
    <n v="17834.990000000002"/>
    <n v="2400.9699999999998"/>
    <n v="15434.02"/>
    <x v="1"/>
    <x v="6"/>
    <x v="1"/>
    <x v="1"/>
  </r>
  <r>
    <s v="Vikas Verma"/>
    <s v="CUST1969"/>
    <x v="162"/>
    <n v="113"/>
    <n v="8437.34"/>
    <n v="3480.36"/>
    <n v="4956.9799999999996"/>
    <x v="1"/>
    <x v="1"/>
    <x v="0"/>
    <x v="1"/>
  </r>
  <r>
    <s v="Pooja Patel"/>
    <s v="CUST1970"/>
    <x v="295"/>
    <n v="61"/>
    <n v="236.19"/>
    <n v="70.930000000000007"/>
    <n v="165.26"/>
    <x v="4"/>
    <x v="6"/>
    <x v="1"/>
    <x v="3"/>
  </r>
  <r>
    <s v="Vikas Singh"/>
    <s v="CUST1971"/>
    <x v="169"/>
    <n v="143"/>
    <n v="19225.939999999999"/>
    <n v="8974.1"/>
    <n v="10251.84"/>
    <x v="0"/>
    <x v="2"/>
    <x v="2"/>
    <x v="2"/>
  </r>
  <r>
    <s v="Amit Verma"/>
    <s v="CUST1972"/>
    <x v="330"/>
    <n v="118"/>
    <n v="13396.75"/>
    <n v="5716.27"/>
    <n v="7680.48"/>
    <x v="0"/>
    <x v="3"/>
    <x v="1"/>
    <x v="0"/>
  </r>
  <r>
    <s v="Rohan Mehta"/>
    <s v="CUST1973"/>
    <x v="61"/>
    <n v="103"/>
    <n v="19058.8"/>
    <n v="3004.23"/>
    <n v="16054.57"/>
    <x v="1"/>
    <x v="5"/>
    <x v="1"/>
    <x v="0"/>
  </r>
  <r>
    <s v="Karan Yadav"/>
    <s v="CUST1974"/>
    <x v="67"/>
    <n v="70"/>
    <n v="15823.13"/>
    <n v="6054.23"/>
    <n v="9768.9"/>
    <x v="0"/>
    <x v="5"/>
    <x v="2"/>
    <x v="1"/>
  </r>
  <r>
    <s v="Priya Mehta"/>
    <s v="CUST1975"/>
    <x v="262"/>
    <n v="10"/>
    <n v="8314.34"/>
    <n v="1055.42"/>
    <n v="7258.92"/>
    <x v="2"/>
    <x v="6"/>
    <x v="1"/>
    <x v="2"/>
  </r>
  <r>
    <s v="Neha Verma"/>
    <s v="CUST1976"/>
    <x v="253"/>
    <n v="81"/>
    <n v="17295.48"/>
    <n v="3032.28"/>
    <n v="14263.2"/>
    <x v="1"/>
    <x v="3"/>
    <x v="3"/>
    <x v="0"/>
  </r>
  <r>
    <s v="Rohan Verma"/>
    <s v="CUST1977"/>
    <x v="133"/>
    <n v="39"/>
    <n v="1828.92"/>
    <n v="336.06"/>
    <n v="1492.86"/>
    <x v="0"/>
    <x v="6"/>
    <x v="3"/>
    <x v="3"/>
  </r>
  <r>
    <s v="Anjali Joshi"/>
    <s v="CUST1978"/>
    <x v="125"/>
    <n v="45"/>
    <n v="442.12"/>
    <n v="150.38"/>
    <n v="291.74"/>
    <x v="1"/>
    <x v="6"/>
    <x v="0"/>
    <x v="1"/>
  </r>
  <r>
    <s v="Amit Yadav"/>
    <s v="CUST1979"/>
    <x v="23"/>
    <n v="51"/>
    <n v="10979.37"/>
    <n v="5136.99"/>
    <n v="5842.38"/>
    <x v="4"/>
    <x v="7"/>
    <x v="2"/>
    <x v="1"/>
  </r>
  <r>
    <s v="Rohan Singh"/>
    <s v="CUST1980"/>
    <x v="56"/>
    <n v="58"/>
    <n v="6813.53"/>
    <n v="1807.6"/>
    <n v="5005.93"/>
    <x v="1"/>
    <x v="2"/>
    <x v="0"/>
    <x v="2"/>
  </r>
  <r>
    <s v="Pooja Gupta"/>
    <s v="CUST1981"/>
    <x v="344"/>
    <n v="6"/>
    <n v="19862.14"/>
    <n v="6712.2"/>
    <n v="13149.94"/>
    <x v="3"/>
    <x v="4"/>
    <x v="0"/>
    <x v="1"/>
  </r>
  <r>
    <s v="Rahul Verma"/>
    <s v="CUST1982"/>
    <x v="165"/>
    <n v="42"/>
    <n v="16322.03"/>
    <n v="5738.37"/>
    <n v="10583.66"/>
    <x v="4"/>
    <x v="6"/>
    <x v="0"/>
    <x v="3"/>
  </r>
  <r>
    <s v="Priya Sharma"/>
    <s v="CUST1983"/>
    <x v="59"/>
    <n v="182"/>
    <n v="8088.83"/>
    <n v="3038.31"/>
    <n v="5050.5200000000004"/>
    <x v="2"/>
    <x v="1"/>
    <x v="0"/>
    <x v="3"/>
  </r>
  <r>
    <s v="Sneha Verma"/>
    <s v="CUST1984"/>
    <x v="261"/>
    <n v="183"/>
    <n v="14626.62"/>
    <n v="2209.8200000000002"/>
    <n v="12416.8"/>
    <x v="0"/>
    <x v="3"/>
    <x v="0"/>
    <x v="3"/>
  </r>
  <r>
    <s v="Neha Sharma"/>
    <s v="CUST1985"/>
    <x v="193"/>
    <n v="52"/>
    <n v="2190.19"/>
    <n v="703.73"/>
    <n v="1486.46"/>
    <x v="2"/>
    <x v="3"/>
    <x v="0"/>
    <x v="1"/>
  </r>
  <r>
    <s v="Vikas Sharma"/>
    <s v="CUST1986"/>
    <x v="4"/>
    <n v="54"/>
    <n v="6026.5"/>
    <n v="755.03"/>
    <n v="5271.47"/>
    <x v="3"/>
    <x v="0"/>
    <x v="0"/>
    <x v="0"/>
  </r>
  <r>
    <s v="Amit Yadav"/>
    <s v="CUST1987"/>
    <x v="287"/>
    <n v="167"/>
    <n v="11140.04"/>
    <n v="5366.88"/>
    <n v="5773.16"/>
    <x v="3"/>
    <x v="1"/>
    <x v="2"/>
    <x v="2"/>
  </r>
  <r>
    <s v="Pooja Sharma"/>
    <s v="CUST1988"/>
    <x v="299"/>
    <n v="130"/>
    <n v="5241.57"/>
    <n v="1400.89"/>
    <n v="3840.68"/>
    <x v="1"/>
    <x v="7"/>
    <x v="3"/>
    <x v="2"/>
  </r>
  <r>
    <s v="Rahul Patel"/>
    <s v="CUST1989"/>
    <x v="339"/>
    <n v="53"/>
    <n v="19168.27"/>
    <n v="6971.68"/>
    <n v="12196.59"/>
    <x v="1"/>
    <x v="2"/>
    <x v="0"/>
    <x v="1"/>
  </r>
  <r>
    <s v="Sneha Verma"/>
    <s v="CUST1990"/>
    <x v="331"/>
    <n v="136"/>
    <n v="13552.31"/>
    <n v="2238.19"/>
    <n v="11314.12"/>
    <x v="2"/>
    <x v="3"/>
    <x v="1"/>
    <x v="3"/>
  </r>
  <r>
    <s v="Sneha Sharma"/>
    <s v="CUST1991"/>
    <x v="195"/>
    <n v="59"/>
    <n v="9412.17"/>
    <n v="1146.43"/>
    <n v="8265.74"/>
    <x v="3"/>
    <x v="1"/>
    <x v="0"/>
    <x v="1"/>
  </r>
  <r>
    <s v="Pooja Yadav"/>
    <s v="CUST1992"/>
    <x v="218"/>
    <n v="34"/>
    <n v="17885.77"/>
    <n v="4100.5200000000004"/>
    <n v="13785.25"/>
    <x v="2"/>
    <x v="1"/>
    <x v="3"/>
    <x v="0"/>
  </r>
  <r>
    <s v="Sneha Patel"/>
    <s v="CUST1993"/>
    <x v="111"/>
    <n v="51"/>
    <n v="9754.7800000000007"/>
    <n v="1609.53"/>
    <n v="8145.25"/>
    <x v="3"/>
    <x v="7"/>
    <x v="1"/>
    <x v="1"/>
  </r>
  <r>
    <s v="Rahul Verma"/>
    <s v="CUST1994"/>
    <x v="53"/>
    <n v="74"/>
    <n v="10985.89"/>
    <n v="2532.31"/>
    <n v="8453.58"/>
    <x v="2"/>
    <x v="4"/>
    <x v="3"/>
    <x v="0"/>
  </r>
  <r>
    <s v="Karan Sharma"/>
    <s v="CUST1995"/>
    <x v="164"/>
    <n v="44"/>
    <n v="13061.5"/>
    <n v="3034.82"/>
    <n v="10026.68"/>
    <x v="1"/>
    <x v="0"/>
    <x v="2"/>
    <x v="3"/>
  </r>
  <r>
    <s v="Rohan Verma"/>
    <s v="CUST1996"/>
    <x v="285"/>
    <n v="32"/>
    <n v="7874.99"/>
    <n v="3817.63"/>
    <n v="4057.36"/>
    <x v="0"/>
    <x v="1"/>
    <x v="3"/>
    <x v="0"/>
  </r>
  <r>
    <s v="Vikas Gupta"/>
    <s v="CUST1997"/>
    <x v="325"/>
    <n v="121"/>
    <n v="496.47"/>
    <n v="89.2"/>
    <n v="407.27"/>
    <x v="1"/>
    <x v="5"/>
    <x v="1"/>
    <x v="1"/>
  </r>
  <r>
    <m/>
    <m/>
    <x v="345"/>
    <m/>
    <m/>
    <m/>
    <m/>
    <x v="5"/>
    <x v="8"/>
    <x v="4"/>
    <x v="4"/>
  </r>
  <r>
    <m/>
    <m/>
    <x v="345"/>
    <m/>
    <m/>
    <m/>
    <m/>
    <x v="5"/>
    <x v="8"/>
    <x v="4"/>
    <x v="4"/>
  </r>
  <r>
    <m/>
    <m/>
    <x v="345"/>
    <m/>
    <m/>
    <m/>
    <m/>
    <x v="5"/>
    <x v="8"/>
    <x v="4"/>
    <x v="4"/>
  </r>
  <r>
    <m/>
    <m/>
    <x v="345"/>
    <m/>
    <m/>
    <m/>
    <m/>
    <x v="5"/>
    <x v="8"/>
    <x v="4"/>
    <x v="4"/>
  </r>
  <r>
    <m/>
    <m/>
    <x v="345"/>
    <m/>
    <m/>
    <m/>
    <m/>
    <x v="5"/>
    <x v="8"/>
    <x v="4"/>
    <x v="4"/>
  </r>
  <r>
    <m/>
    <m/>
    <x v="345"/>
    <m/>
    <m/>
    <m/>
    <m/>
    <x v="5"/>
    <x v="8"/>
    <x v="4"/>
    <x v="4"/>
  </r>
  <r>
    <m/>
    <m/>
    <x v="345"/>
    <m/>
    <m/>
    <m/>
    <m/>
    <x v="5"/>
    <x v="8"/>
    <x v="4"/>
    <x v="4"/>
  </r>
  <r>
    <m/>
    <m/>
    <x v="345"/>
    <m/>
    <m/>
    <m/>
    <m/>
    <x v="5"/>
    <x v="8"/>
    <x v="4"/>
    <x v="4"/>
  </r>
  <r>
    <m/>
    <m/>
    <x v="345"/>
    <m/>
    <m/>
    <m/>
    <m/>
    <x v="5"/>
    <x v="8"/>
    <x v="4"/>
    <x v="4"/>
  </r>
  <r>
    <m/>
    <m/>
    <x v="345"/>
    <m/>
    <m/>
    <m/>
    <m/>
    <x v="5"/>
    <x v="8"/>
    <x v="4"/>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Sneha Gupta"/>
    <s v="CUST1000"/>
    <d v="2025-09-09T00:00:00"/>
    <n v="55"/>
    <n v="18265.38"/>
    <n v="4248.99"/>
    <n v="14016.39"/>
    <s v="LifeLine Pharma"/>
    <x v="0"/>
    <s v="Cash"/>
    <s v="Cancelled"/>
    <x v="0"/>
  </r>
  <r>
    <s v="Neha Mehta"/>
    <s v="CUST1001"/>
    <d v="2025-01-27T00:00:00"/>
    <n v="35"/>
    <n v="8057.68"/>
    <n v="2974.53"/>
    <n v="5083.1499999999996"/>
    <s v="HealthPlus"/>
    <x v="1"/>
    <s v="Bank Transfer"/>
    <s v="Delivered"/>
    <x v="0"/>
  </r>
  <r>
    <s v="Anjali Yadav"/>
    <s v="CUST1002"/>
    <d v="2025-04-18T00:00:00"/>
    <n v="190"/>
    <n v="19407.490000000002"/>
    <n v="9494.9500000000007"/>
    <n v="9912.5400000000009"/>
    <s v="CareMed"/>
    <x v="2"/>
    <s v="UPI"/>
    <s v="In Transit"/>
    <x v="1"/>
  </r>
  <r>
    <s v="Anjali Mehta"/>
    <s v="CUST1003"/>
    <d v="2025-01-10T00:00:00"/>
    <n v="1"/>
    <n v="12250.27"/>
    <n v="2441.8000000000002"/>
    <n v="9808.4699999999993"/>
    <s v="Apollo Pharma"/>
    <x v="0"/>
    <s v="UPI"/>
    <s v="Cancelled"/>
    <x v="1"/>
  </r>
  <r>
    <s v="Priya Sharma"/>
    <s v="CUST1004"/>
    <d v="2025-08-01T00:00:00"/>
    <n v="78"/>
    <n v="8764.4699999999993"/>
    <n v="3191.72"/>
    <n v="5572.75"/>
    <s v="MediCare Distributors"/>
    <x v="1"/>
    <s v="UPI"/>
    <s v="In Transit"/>
    <x v="2"/>
  </r>
  <r>
    <s v="Vikas Gupta"/>
    <s v="CUST1005"/>
    <d v="2025-08-16T00:00:00"/>
    <n v="124"/>
    <n v="793.05"/>
    <n v="92.47"/>
    <n v="700.58"/>
    <s v="LifeLine Pharma"/>
    <x v="2"/>
    <s v="UPI"/>
    <s v="Cancelled"/>
    <x v="3"/>
  </r>
  <r>
    <s v="Karan Patel"/>
    <s v="CUST1006"/>
    <d v="2025-11-01T00:00:00"/>
    <n v="22"/>
    <n v="6991.11"/>
    <n v="1446.68"/>
    <n v="5544.43"/>
    <s v="LifeLine Pharma"/>
    <x v="3"/>
    <s v="UPI"/>
    <s v="In Transit"/>
    <x v="2"/>
  </r>
  <r>
    <s v="Neha Gupta"/>
    <s v="CUST1007"/>
    <d v="2025-05-07T00:00:00"/>
    <n v="117"/>
    <n v="330.61"/>
    <n v="78.84"/>
    <n v="251.77"/>
    <s v="LifeLine Pharma"/>
    <x v="1"/>
    <s v="Cash"/>
    <s v="In Transit"/>
    <x v="0"/>
  </r>
  <r>
    <s v="Rohan Joshi"/>
    <s v="CUST1008"/>
    <d v="2025-06-21T00:00:00"/>
    <n v="163"/>
    <n v="2407.5700000000002"/>
    <n v="426.5"/>
    <n v="1981.07"/>
    <s v="LifeLine Pharma"/>
    <x v="4"/>
    <s v="Bank Transfer"/>
    <s v="In Transit"/>
    <x v="3"/>
  </r>
  <r>
    <s v="Karan Mehta"/>
    <s v="CUST1009"/>
    <d v="2025-08-06T00:00:00"/>
    <n v="46"/>
    <n v="19616.62"/>
    <n v="5636.16"/>
    <n v="13980.46"/>
    <s v="LifeLine Pharma"/>
    <x v="5"/>
    <s v="UPI"/>
    <s v="Delivered"/>
    <x v="3"/>
  </r>
  <r>
    <s v="Anjali Joshi"/>
    <s v="CUST1010"/>
    <d v="2025-04-24T00:00:00"/>
    <n v="132"/>
    <n v="16275.42"/>
    <n v="3400.72"/>
    <n v="12874.7"/>
    <s v="LifeLine Pharma"/>
    <x v="1"/>
    <s v="Cash"/>
    <s v="Cancelled"/>
    <x v="3"/>
  </r>
  <r>
    <s v="Vikas Sharma"/>
    <s v="CUST1011"/>
    <d v="2025-01-20T00:00:00"/>
    <n v="126"/>
    <n v="9258.99"/>
    <n v="4444.04"/>
    <n v="4814.95"/>
    <s v="CareMed"/>
    <x v="4"/>
    <s v="Card"/>
    <s v="Cancelled"/>
    <x v="2"/>
  </r>
  <r>
    <s v="Anjali Joshi"/>
    <s v="CUST1012"/>
    <d v="2025-04-23T00:00:00"/>
    <n v="7"/>
    <n v="10900.7"/>
    <n v="4671.05"/>
    <n v="6229.65"/>
    <s v="HealthPlus"/>
    <x v="1"/>
    <s v="Cash"/>
    <s v="Cancelled"/>
    <x v="2"/>
  </r>
  <r>
    <s v="Anjali Joshi"/>
    <s v="CUST1013"/>
    <d v="2025-11-06T00:00:00"/>
    <n v="10"/>
    <n v="11956"/>
    <n v="4269.51"/>
    <n v="7686.49"/>
    <s v="Apollo Pharma"/>
    <x v="1"/>
    <s v="UPI"/>
    <s v="Pending"/>
    <x v="2"/>
  </r>
  <r>
    <s v="Amit Patel"/>
    <s v="CUST1014"/>
    <d v="2025-03-22T00:00:00"/>
    <n v="187"/>
    <n v="2978.42"/>
    <n v="901.33"/>
    <n v="2077.09"/>
    <s v="HealthPlus"/>
    <x v="4"/>
    <s v="Bank Transfer"/>
    <s v="Pending"/>
    <x v="0"/>
  </r>
  <r>
    <s v="Karan Yadav"/>
    <s v="CUST1015"/>
    <d v="2025-07-21T00:00:00"/>
    <n v="20"/>
    <n v="6599.11"/>
    <n v="3198.49"/>
    <n v="3400.62"/>
    <s v="CareMed"/>
    <x v="5"/>
    <s v="Bank Transfer"/>
    <s v="Delivered"/>
    <x v="1"/>
  </r>
  <r>
    <s v="Anjali Joshi"/>
    <s v="CUST1016"/>
    <d v="2025-03-29T00:00:00"/>
    <n v="103"/>
    <n v="545.42999999999995"/>
    <n v="65.37"/>
    <n v="480.06"/>
    <s v="HealthPlus"/>
    <x v="5"/>
    <s v="Bank Transfer"/>
    <s v="Delivered"/>
    <x v="3"/>
  </r>
  <r>
    <s v="Priya Joshi"/>
    <s v="CUST1017"/>
    <d v="2025-02-13T00:00:00"/>
    <n v="158"/>
    <n v="10329.39"/>
    <n v="1635.17"/>
    <n v="8694.2199999999993"/>
    <s v="MediCare Distributors"/>
    <x v="3"/>
    <s v="Card"/>
    <s v="Cancelled"/>
    <x v="0"/>
  </r>
  <r>
    <s v="Priya Gupta"/>
    <s v="CUST1018"/>
    <d v="2025-08-30T00:00:00"/>
    <n v="192"/>
    <n v="13808.38"/>
    <n v="5878.43"/>
    <n v="7929.95"/>
    <s v="CareMed"/>
    <x v="3"/>
    <s v="Bank Transfer"/>
    <s v="Pending"/>
    <x v="4"/>
  </r>
  <r>
    <s v="Vikas Joshi"/>
    <s v="CUST1019"/>
    <d v="2025-11-20T00:00:00"/>
    <n v="105"/>
    <n v="4222.01"/>
    <n v="790.27"/>
    <n v="3431.74"/>
    <s v="MediCare Distributors"/>
    <x v="6"/>
    <s v="Card"/>
    <s v="Cancelled"/>
    <x v="0"/>
  </r>
  <r>
    <s v="Pooja Mehta"/>
    <s v="CUST1020"/>
    <d v="2025-09-10T00:00:00"/>
    <n v="57"/>
    <n v="4574.01"/>
    <n v="989.8"/>
    <n v="3584.21"/>
    <s v="MediCare Distributors"/>
    <x v="5"/>
    <s v="Card"/>
    <s v="Cancelled"/>
    <x v="0"/>
  </r>
  <r>
    <s v="Pooja Gupta"/>
    <s v="CUST1021"/>
    <d v="2025-07-08T00:00:00"/>
    <n v="153"/>
    <n v="6642.17"/>
    <n v="2287.46"/>
    <n v="4354.71"/>
    <s v="CareMed"/>
    <x v="3"/>
    <s v="Card"/>
    <s v="In Transit"/>
    <x v="3"/>
  </r>
  <r>
    <s v="Anjali Mehta"/>
    <s v="CUST1022"/>
    <d v="2025-11-07T00:00:00"/>
    <n v="114"/>
    <n v="3120.39"/>
    <n v="493.83"/>
    <n v="2626.56"/>
    <s v="LifeLine Pharma"/>
    <x v="0"/>
    <s v="UPI"/>
    <s v="Cancelled"/>
    <x v="4"/>
  </r>
  <r>
    <s v="Vikas Gupta"/>
    <s v="CUST1023"/>
    <d v="2025-03-20T00:00:00"/>
    <n v="170"/>
    <n v="17060.599999999999"/>
    <n v="1926.32"/>
    <n v="15134.28"/>
    <s v="LifeLine Pharma"/>
    <x v="4"/>
    <s v="Cash"/>
    <s v="Pending"/>
    <x v="3"/>
  </r>
  <r>
    <s v="Karan Mehta"/>
    <s v="CUST1024"/>
    <d v="2025-07-04T00:00:00"/>
    <n v="75"/>
    <n v="15042.06"/>
    <n v="4804.4399999999996"/>
    <n v="10237.620000000001"/>
    <s v="LifeLine Pharma"/>
    <x v="3"/>
    <s v="UPI"/>
    <s v="Pending"/>
    <x v="3"/>
  </r>
  <r>
    <s v="Pooja Mehta"/>
    <s v="CUST1025"/>
    <d v="2025-04-11T00:00:00"/>
    <n v="111"/>
    <n v="8366.32"/>
    <n v="1623.27"/>
    <n v="6743.05"/>
    <s v="HealthPlus"/>
    <x v="7"/>
    <s v="UPI"/>
    <s v="Cancelled"/>
    <x v="3"/>
  </r>
  <r>
    <s v="Karan Verma"/>
    <s v="CUST1026"/>
    <d v="2025-10-18T00:00:00"/>
    <n v="156"/>
    <n v="18981.5"/>
    <n v="8553.11"/>
    <n v="10428.39"/>
    <s v="LifeLine Pharma"/>
    <x v="0"/>
    <s v="UPI"/>
    <s v="Delivered"/>
    <x v="1"/>
  </r>
  <r>
    <s v="Pooja Joshi"/>
    <s v="CUST1027"/>
    <d v="2025-02-12T00:00:00"/>
    <n v="41"/>
    <n v="15360.81"/>
    <n v="1632.04"/>
    <n v="13728.77"/>
    <s v="LifeLine Pharma"/>
    <x v="1"/>
    <s v="Card"/>
    <s v="Pending"/>
    <x v="0"/>
  </r>
  <r>
    <s v="Rohan Joshi"/>
    <s v="CUST1028"/>
    <d v="2025-02-19T00:00:00"/>
    <n v="198"/>
    <n v="7327.18"/>
    <n v="3353.98"/>
    <n v="3973.2"/>
    <s v="HealthPlus"/>
    <x v="1"/>
    <s v="UPI"/>
    <s v="Cancelled"/>
    <x v="0"/>
  </r>
  <r>
    <s v="Sneha Yadav"/>
    <s v="CUST1029"/>
    <d v="2025-09-10T00:00:00"/>
    <n v="116"/>
    <n v="3223.66"/>
    <n v="485.69"/>
    <n v="2737.97"/>
    <s v="LifeLine Pharma"/>
    <x v="6"/>
    <s v="Cash"/>
    <s v="In Transit"/>
    <x v="0"/>
  </r>
  <r>
    <s v="Sneha Verma"/>
    <s v="CUST1030"/>
    <d v="2025-07-01T00:00:00"/>
    <n v="26"/>
    <n v="7728.73"/>
    <n v="1845.3"/>
    <n v="5883.43"/>
    <s v="LifeLine Pharma"/>
    <x v="1"/>
    <s v="UPI"/>
    <s v="Delivered"/>
    <x v="1"/>
  </r>
  <r>
    <s v="Pooja Singh"/>
    <s v="CUST1031"/>
    <d v="2025-12-09T00:00:00"/>
    <n v="157"/>
    <n v="12436.41"/>
    <n v="1249.06"/>
    <n v="11187.35"/>
    <s v="CareMed"/>
    <x v="1"/>
    <s v="Cash"/>
    <s v="In Transit"/>
    <x v="0"/>
  </r>
  <r>
    <s v="Pooja Singh"/>
    <s v="CUST1032"/>
    <d v="2025-03-12T00:00:00"/>
    <n v="146"/>
    <n v="12547.35"/>
    <n v="2838.9"/>
    <n v="9708.4500000000007"/>
    <s v="HealthPlus"/>
    <x v="3"/>
    <s v="Bank Transfer"/>
    <s v="Pending"/>
    <x v="3"/>
  </r>
  <r>
    <s v="Neha Yadav"/>
    <s v="CUST1033"/>
    <d v="2025-10-06T00:00:00"/>
    <n v="186"/>
    <n v="17505.54"/>
    <n v="7525.9"/>
    <n v="9979.64"/>
    <s v="MediCare Distributors"/>
    <x v="4"/>
    <s v="UPI"/>
    <s v="In Transit"/>
    <x v="3"/>
  </r>
  <r>
    <s v="Amit Sharma"/>
    <s v="CUST1034"/>
    <d v="2025-04-28T00:00:00"/>
    <n v="148"/>
    <n v="9277.4699999999993"/>
    <n v="3729.37"/>
    <n v="5548.1"/>
    <s v="CareMed"/>
    <x v="7"/>
    <s v="UPI"/>
    <s v="Pending"/>
    <x v="2"/>
  </r>
  <r>
    <s v="Sneha Patel"/>
    <s v="CUST1035"/>
    <d v="2025-04-18T00:00:00"/>
    <n v="155"/>
    <n v="16773.72"/>
    <n v="2535.61"/>
    <n v="14238.11"/>
    <s v="MediCare Distributors"/>
    <x v="0"/>
    <s v="Bank Transfer"/>
    <s v="Delivered"/>
    <x v="3"/>
  </r>
  <r>
    <s v="Rahul Sharma"/>
    <s v="CUST1036"/>
    <d v="2025-10-19T00:00:00"/>
    <n v="174"/>
    <n v="8186.3"/>
    <n v="2391.16"/>
    <n v="5795.14"/>
    <s v="LifeLine Pharma"/>
    <x v="1"/>
    <s v="Cash"/>
    <s v="Cancelled"/>
    <x v="1"/>
  </r>
  <r>
    <s v="Vikas Patel"/>
    <s v="CUST1037"/>
    <d v="2025-04-17T00:00:00"/>
    <n v="199"/>
    <n v="12178.84"/>
    <n v="1270.45"/>
    <n v="10908.39"/>
    <s v="Apollo Pharma"/>
    <x v="7"/>
    <s v="Bank Transfer"/>
    <s v="Delivered"/>
    <x v="1"/>
  </r>
  <r>
    <s v="Vikas Gupta"/>
    <s v="CUST1038"/>
    <d v="2025-08-17T00:00:00"/>
    <n v="186"/>
    <n v="15398.35"/>
    <n v="5461.04"/>
    <n v="9937.31"/>
    <s v="CareMed"/>
    <x v="7"/>
    <s v="Bank Transfer"/>
    <s v="Delivered"/>
    <x v="0"/>
  </r>
  <r>
    <s v="Amit Verma"/>
    <s v="CUST1039"/>
    <d v="2025-06-03T00:00:00"/>
    <n v="195"/>
    <n v="16522.05"/>
    <n v="3280.76"/>
    <n v="13241.29"/>
    <s v="Apollo Pharma"/>
    <x v="2"/>
    <s v="Card"/>
    <s v="Cancelled"/>
    <x v="4"/>
  </r>
  <r>
    <s v="Anjali Verma"/>
    <s v="CUST1040"/>
    <d v="2025-02-27T00:00:00"/>
    <n v="124"/>
    <n v="4280.6899999999996"/>
    <n v="1974.04"/>
    <n v="2306.65"/>
    <s v="Apollo Pharma"/>
    <x v="7"/>
    <s v="Bank Transfer"/>
    <s v="Pending"/>
    <x v="1"/>
  </r>
  <r>
    <s v="Vikas Mehta"/>
    <s v="CUST1041"/>
    <d v="2025-11-11T00:00:00"/>
    <n v="177"/>
    <n v="8948.9699999999993"/>
    <n v="1656.01"/>
    <n v="7292.96"/>
    <s v="HealthPlus"/>
    <x v="6"/>
    <s v="Cash"/>
    <s v="Pending"/>
    <x v="2"/>
  </r>
  <r>
    <s v="Neha Joshi"/>
    <s v="CUST1042"/>
    <d v="2025-03-05T00:00:00"/>
    <n v="57"/>
    <n v="17615.39"/>
    <n v="4836.91"/>
    <n v="12778.48"/>
    <s v="HealthPlus"/>
    <x v="6"/>
    <s v="UPI"/>
    <s v="In Transit"/>
    <x v="0"/>
  </r>
  <r>
    <s v="Sneha Yadav"/>
    <s v="CUST1043"/>
    <d v="2025-12-19T00:00:00"/>
    <n v="76"/>
    <n v="3173.38"/>
    <n v="564.61"/>
    <n v="2608.77"/>
    <s v="MediCare Distributors"/>
    <x v="2"/>
    <s v="Card"/>
    <s v="Cancelled"/>
    <x v="2"/>
  </r>
  <r>
    <s v="Vikas Singh"/>
    <s v="CUST1044"/>
    <d v="2025-11-16T00:00:00"/>
    <n v="55"/>
    <n v="11706.28"/>
    <n v="5158.43"/>
    <n v="6547.85"/>
    <s v="Apollo Pharma"/>
    <x v="6"/>
    <s v="Card"/>
    <s v="Cancelled"/>
    <x v="1"/>
  </r>
  <r>
    <s v="Sneha Verma"/>
    <s v="CUST1045"/>
    <d v="2025-06-04T00:00:00"/>
    <n v="165"/>
    <n v="3201.95"/>
    <n v="508.97"/>
    <n v="2692.98"/>
    <s v="HealthPlus"/>
    <x v="4"/>
    <s v="Bank Transfer"/>
    <s v="Cancelled"/>
    <x v="4"/>
  </r>
  <r>
    <s v="Neha Yadav"/>
    <s v="CUST1046"/>
    <d v="2025-08-31T00:00:00"/>
    <n v="124"/>
    <n v="17952.96"/>
    <n v="8874.27"/>
    <n v="9078.69"/>
    <s v="Apollo Pharma"/>
    <x v="4"/>
    <s v="UPI"/>
    <s v="In Transit"/>
    <x v="3"/>
  </r>
  <r>
    <s v="Priya Singh"/>
    <s v="CUST1047"/>
    <d v="2025-04-21T00:00:00"/>
    <n v="72"/>
    <n v="12211.96"/>
    <n v="2546.14"/>
    <n v="9665.82"/>
    <s v="Apollo Pharma"/>
    <x v="0"/>
    <s v="Card"/>
    <s v="Cancelled"/>
    <x v="1"/>
  </r>
  <r>
    <s v="Sneha Sharma"/>
    <s v="CUST1048"/>
    <d v="2025-06-01T00:00:00"/>
    <n v="135"/>
    <n v="17972.88"/>
    <n v="3656.56"/>
    <n v="14316.32"/>
    <s v="HealthPlus"/>
    <x v="3"/>
    <s v="Bank Transfer"/>
    <s v="Delivered"/>
    <x v="3"/>
  </r>
  <r>
    <s v="Anjali Patel"/>
    <s v="CUST1049"/>
    <d v="2025-12-31T00:00:00"/>
    <n v="142"/>
    <n v="19236.96"/>
    <n v="3104.03"/>
    <n v="16132.93"/>
    <s v="CareMed"/>
    <x v="5"/>
    <s v="Cash"/>
    <s v="Cancelled"/>
    <x v="1"/>
  </r>
  <r>
    <s v="Pooja Singh"/>
    <s v="CUST1050"/>
    <d v="2025-01-23T00:00:00"/>
    <n v="66"/>
    <n v="15965.67"/>
    <n v="6816.16"/>
    <n v="9149.51"/>
    <s v="MediCare Distributors"/>
    <x v="0"/>
    <s v="Bank Transfer"/>
    <s v="Pending"/>
    <x v="4"/>
  </r>
  <r>
    <s v="Rahul Joshi"/>
    <s v="CUST1051"/>
    <d v="2025-05-30T00:00:00"/>
    <n v="72"/>
    <n v="1918.05"/>
    <n v="813.24"/>
    <n v="1104.81"/>
    <s v="Apollo Pharma"/>
    <x v="2"/>
    <s v="Card"/>
    <s v="Delivered"/>
    <x v="0"/>
  </r>
  <r>
    <s v="Priya Singh"/>
    <s v="CUST1052"/>
    <d v="2025-08-24T00:00:00"/>
    <n v="150"/>
    <n v="15257.44"/>
    <n v="4715.88"/>
    <n v="10541.56"/>
    <s v="Apollo Pharma"/>
    <x v="3"/>
    <s v="Card"/>
    <s v="Delivered"/>
    <x v="2"/>
  </r>
  <r>
    <s v="Priya Yadav"/>
    <s v="CUST1053"/>
    <d v="2025-12-31T00:00:00"/>
    <n v="114"/>
    <n v="1759.39"/>
    <n v="740.78"/>
    <n v="1018.61"/>
    <s v="CareMed"/>
    <x v="0"/>
    <s v="Bank Transfer"/>
    <s v="In Transit"/>
    <x v="4"/>
  </r>
  <r>
    <s v="Pooja Sharma"/>
    <s v="CUST1054"/>
    <d v="2025-08-20T00:00:00"/>
    <n v="111"/>
    <n v="17236.669999999998"/>
    <n v="7849.41"/>
    <n v="9387.26"/>
    <s v="LifeLine Pharma"/>
    <x v="0"/>
    <s v="Bank Transfer"/>
    <s v="Delivered"/>
    <x v="4"/>
  </r>
  <r>
    <s v="Vikas Gupta"/>
    <s v="CUST1055"/>
    <d v="2025-06-17T00:00:00"/>
    <n v="70"/>
    <n v="9902.84"/>
    <n v="4252.1499999999996"/>
    <n v="5650.69"/>
    <s v="CareMed"/>
    <x v="7"/>
    <s v="Card"/>
    <s v="In Transit"/>
    <x v="1"/>
  </r>
  <r>
    <s v="Vikas Singh"/>
    <s v="CUST1056"/>
    <d v="2025-11-24T00:00:00"/>
    <n v="71"/>
    <n v="13589.07"/>
    <n v="4060.08"/>
    <n v="9528.99"/>
    <s v="LifeLine Pharma"/>
    <x v="5"/>
    <s v="UPI"/>
    <s v="Cancelled"/>
    <x v="0"/>
  </r>
  <r>
    <s v="Rahul Mehta"/>
    <s v="CUST1057"/>
    <d v="2025-08-31T00:00:00"/>
    <n v="121"/>
    <n v="9966.18"/>
    <n v="4270.33"/>
    <n v="5695.85"/>
    <s v="LifeLine Pharma"/>
    <x v="6"/>
    <s v="Cash"/>
    <s v="Cancelled"/>
    <x v="3"/>
  </r>
  <r>
    <s v="Anjali Verma"/>
    <s v="CUST1058"/>
    <d v="2025-09-07T00:00:00"/>
    <n v="200"/>
    <n v="2263.36"/>
    <n v="921.82"/>
    <n v="1341.54"/>
    <s v="HealthPlus"/>
    <x v="6"/>
    <s v="Card"/>
    <s v="Cancelled"/>
    <x v="2"/>
  </r>
  <r>
    <s v="Amit Joshi"/>
    <s v="CUST1059"/>
    <d v="2025-09-22T00:00:00"/>
    <n v="54"/>
    <n v="11463.07"/>
    <n v="5022.67"/>
    <n v="6440.4"/>
    <s v="MediCare Distributors"/>
    <x v="0"/>
    <s v="Bank Transfer"/>
    <s v="Pending"/>
    <x v="2"/>
  </r>
  <r>
    <s v="Neha Verma"/>
    <s v="CUST1060"/>
    <d v="2025-03-27T00:00:00"/>
    <n v="133"/>
    <n v="19624.97"/>
    <n v="4682.59"/>
    <n v="14942.38"/>
    <s v="LifeLine Pharma"/>
    <x v="6"/>
    <s v="UPI"/>
    <s v="In Transit"/>
    <x v="0"/>
  </r>
  <r>
    <s v="Sneha Joshi"/>
    <s v="CUST1061"/>
    <d v="2025-07-11T00:00:00"/>
    <n v="38"/>
    <n v="6194.02"/>
    <n v="1296.51"/>
    <n v="4897.51"/>
    <s v="HealthPlus"/>
    <x v="7"/>
    <s v="Card"/>
    <s v="Cancelled"/>
    <x v="1"/>
  </r>
  <r>
    <s v="Pooja Gupta"/>
    <s v="CUST1062"/>
    <d v="2025-05-22T00:00:00"/>
    <n v="107"/>
    <n v="212.88"/>
    <n v="26.4"/>
    <n v="186.48"/>
    <s v="Apollo Pharma"/>
    <x v="1"/>
    <s v="Card"/>
    <s v="Pending"/>
    <x v="1"/>
  </r>
  <r>
    <s v="Sneha Joshi"/>
    <s v="CUST1063"/>
    <d v="2025-10-17T00:00:00"/>
    <n v="181"/>
    <n v="4124.04"/>
    <n v="969.88"/>
    <n v="3154.16"/>
    <s v="HealthPlus"/>
    <x v="6"/>
    <s v="Card"/>
    <s v="Delivered"/>
    <x v="4"/>
  </r>
  <r>
    <s v="Anjali Gupta"/>
    <s v="CUST1064"/>
    <d v="2025-09-12T00:00:00"/>
    <n v="98"/>
    <n v="6581.13"/>
    <n v="1816.46"/>
    <n v="4764.67"/>
    <s v="MediCare Distributors"/>
    <x v="0"/>
    <s v="Bank Transfer"/>
    <s v="In Transit"/>
    <x v="0"/>
  </r>
  <r>
    <s v="Amit Patel"/>
    <s v="CUST1065"/>
    <d v="2025-05-24T00:00:00"/>
    <n v="42"/>
    <n v="6577.11"/>
    <n v="2026.58"/>
    <n v="4550.53"/>
    <s v="CareMed"/>
    <x v="7"/>
    <s v="Cash"/>
    <s v="Cancelled"/>
    <x v="0"/>
  </r>
  <r>
    <s v="Sneha Singh"/>
    <s v="CUST1066"/>
    <d v="2025-04-08T00:00:00"/>
    <n v="156"/>
    <n v="11763.68"/>
    <n v="5602.73"/>
    <n v="6160.95"/>
    <s v="Apollo Pharma"/>
    <x v="4"/>
    <s v="Card"/>
    <s v="In Transit"/>
    <x v="3"/>
  </r>
  <r>
    <s v="Sneha Joshi"/>
    <s v="CUST1067"/>
    <d v="2025-12-24T00:00:00"/>
    <n v="121"/>
    <n v="2772.27"/>
    <n v="554.65"/>
    <n v="2217.62"/>
    <s v="HealthPlus"/>
    <x v="1"/>
    <s v="UPI"/>
    <s v="Pending"/>
    <x v="0"/>
  </r>
  <r>
    <s v="Pooja Joshi"/>
    <s v="CUST1068"/>
    <d v="2025-03-08T00:00:00"/>
    <n v="52"/>
    <n v="11280.54"/>
    <n v="3662.74"/>
    <n v="7617.8"/>
    <s v="HealthPlus"/>
    <x v="6"/>
    <s v="Card"/>
    <s v="Delivered"/>
    <x v="4"/>
  </r>
  <r>
    <s v="Neha Patel"/>
    <s v="CUST1069"/>
    <d v="2025-07-22T00:00:00"/>
    <n v="180"/>
    <n v="14256.91"/>
    <n v="5338.01"/>
    <n v="8918.9"/>
    <s v="HealthPlus"/>
    <x v="7"/>
    <s v="UPI"/>
    <s v="Pending"/>
    <x v="1"/>
  </r>
  <r>
    <s v="Anjali Yadav"/>
    <s v="CUST1070"/>
    <d v="2025-11-13T00:00:00"/>
    <n v="118"/>
    <n v="7307.86"/>
    <n v="3072.27"/>
    <n v="4235.59"/>
    <s v="HealthPlus"/>
    <x v="6"/>
    <s v="Cash"/>
    <s v="Pending"/>
    <x v="4"/>
  </r>
  <r>
    <s v="Amit Gupta"/>
    <s v="CUST1071"/>
    <d v="2025-05-30T00:00:00"/>
    <n v="102"/>
    <n v="16140.69"/>
    <n v="2917.61"/>
    <n v="13223.08"/>
    <s v="CareMed"/>
    <x v="3"/>
    <s v="Card"/>
    <s v="Delivered"/>
    <x v="4"/>
  </r>
  <r>
    <s v="Pooja Gupta"/>
    <s v="CUST1072"/>
    <d v="2025-03-04T00:00:00"/>
    <n v="130"/>
    <n v="17474.310000000001"/>
    <n v="6451.03"/>
    <n v="11023.28"/>
    <s v="CareMed"/>
    <x v="7"/>
    <s v="Card"/>
    <s v="In Transit"/>
    <x v="4"/>
  </r>
  <r>
    <s v="Amit Patel"/>
    <s v="CUST1073"/>
    <d v="2025-01-13T00:00:00"/>
    <n v="24"/>
    <n v="19487.13"/>
    <n v="3659"/>
    <n v="15828.13"/>
    <s v="CareMed"/>
    <x v="2"/>
    <s v="Cash"/>
    <s v="Cancelled"/>
    <x v="0"/>
  </r>
  <r>
    <s v="Pooja Singh"/>
    <s v="CUST1074"/>
    <d v="2025-11-10T00:00:00"/>
    <n v="19"/>
    <n v="15365.59"/>
    <n v="5034.09"/>
    <n v="10331.5"/>
    <s v="HealthPlus"/>
    <x v="7"/>
    <s v="Bank Transfer"/>
    <s v="Pending"/>
    <x v="3"/>
  </r>
  <r>
    <s v="Anjali Patel"/>
    <s v="CUST1075"/>
    <d v="2025-10-16T00:00:00"/>
    <n v="166"/>
    <n v="11546.95"/>
    <n v="3676.33"/>
    <n v="7870.62"/>
    <s v="LifeLine Pharma"/>
    <x v="3"/>
    <s v="Bank Transfer"/>
    <s v="In Transit"/>
    <x v="1"/>
  </r>
  <r>
    <s v="Rahul Gupta"/>
    <s v="CUST1076"/>
    <d v="2025-01-28T00:00:00"/>
    <n v="3"/>
    <n v="4582.08"/>
    <n v="1508.15"/>
    <n v="3073.93"/>
    <s v="HealthPlus"/>
    <x v="0"/>
    <s v="Card"/>
    <s v="Cancelled"/>
    <x v="2"/>
  </r>
  <r>
    <s v="Priya Mehta"/>
    <s v="CUST1077"/>
    <d v="2025-06-10T00:00:00"/>
    <n v="148"/>
    <n v="3136.84"/>
    <n v="598.52"/>
    <n v="2538.3200000000002"/>
    <s v="MediCare Distributors"/>
    <x v="6"/>
    <s v="UPI"/>
    <s v="Delivered"/>
    <x v="3"/>
  </r>
  <r>
    <s v="Rahul Sharma"/>
    <s v="CUST1078"/>
    <d v="2025-09-11T00:00:00"/>
    <n v="33"/>
    <n v="10847.52"/>
    <n v="1281.48"/>
    <n v="9566.0400000000009"/>
    <s v="HealthPlus"/>
    <x v="4"/>
    <s v="UPI"/>
    <s v="Pending"/>
    <x v="2"/>
  </r>
  <r>
    <s v="Priya Joshi"/>
    <s v="CUST1079"/>
    <d v="2025-09-30T00:00:00"/>
    <n v="109"/>
    <n v="19820.97"/>
    <n v="8063.34"/>
    <n v="11757.63"/>
    <s v="MediCare Distributors"/>
    <x v="4"/>
    <s v="Cash"/>
    <s v="Pending"/>
    <x v="2"/>
  </r>
  <r>
    <s v="Sneha Patel"/>
    <s v="CUST1080"/>
    <d v="2025-06-27T00:00:00"/>
    <n v="7"/>
    <n v="8934.65"/>
    <n v="1808.58"/>
    <n v="7126.07"/>
    <s v="MediCare Distributors"/>
    <x v="1"/>
    <s v="Cash"/>
    <s v="Cancelled"/>
    <x v="4"/>
  </r>
  <r>
    <s v="Sneha Gupta"/>
    <s v="CUST1081"/>
    <d v="2025-07-15T00:00:00"/>
    <n v="53"/>
    <n v="15442.58"/>
    <n v="4075.5"/>
    <n v="11367.08"/>
    <s v="Apollo Pharma"/>
    <x v="5"/>
    <s v="UPI"/>
    <s v="Delivered"/>
    <x v="1"/>
  </r>
  <r>
    <s v="Neha Singh"/>
    <s v="CUST1082"/>
    <d v="2025-08-28T00:00:00"/>
    <n v="126"/>
    <n v="14838.78"/>
    <n v="5292.16"/>
    <n v="9546.6200000000008"/>
    <s v="HealthPlus"/>
    <x v="1"/>
    <s v="UPI"/>
    <s v="Pending"/>
    <x v="2"/>
  </r>
  <r>
    <s v="Amit Mehta"/>
    <s v="CUST1083"/>
    <d v="2025-06-29T00:00:00"/>
    <n v="66"/>
    <n v="10223.83"/>
    <n v="1247.73"/>
    <n v="8976.1"/>
    <s v="Apollo Pharma"/>
    <x v="3"/>
    <s v="Bank Transfer"/>
    <s v="Cancelled"/>
    <x v="3"/>
  </r>
  <r>
    <s v="Rohan Patel"/>
    <s v="CUST1084"/>
    <d v="2025-07-05T00:00:00"/>
    <n v="93"/>
    <n v="18920.060000000001"/>
    <n v="3129.12"/>
    <n v="15790.94"/>
    <s v="LifeLine Pharma"/>
    <x v="6"/>
    <s v="UPI"/>
    <s v="Delivered"/>
    <x v="3"/>
  </r>
  <r>
    <s v="Rohan Yadav"/>
    <s v="CUST1085"/>
    <d v="2025-04-10T00:00:00"/>
    <n v="71"/>
    <n v="14619.62"/>
    <n v="2062.35"/>
    <n v="12557.27"/>
    <s v="Apollo Pharma"/>
    <x v="2"/>
    <s v="UPI"/>
    <s v="Pending"/>
    <x v="2"/>
  </r>
  <r>
    <s v="Pooja Sharma"/>
    <s v="CUST1086"/>
    <d v="2025-09-21T00:00:00"/>
    <n v="133"/>
    <n v="3199.59"/>
    <n v="710.22"/>
    <n v="2489.37"/>
    <s v="Apollo Pharma"/>
    <x v="3"/>
    <s v="UPI"/>
    <s v="In Transit"/>
    <x v="2"/>
  </r>
  <r>
    <s v="Anjali Gupta"/>
    <s v="CUST1087"/>
    <d v="2025-02-22T00:00:00"/>
    <n v="41"/>
    <n v="8442.86"/>
    <n v="3631.65"/>
    <n v="4811.21"/>
    <s v="CareMed"/>
    <x v="2"/>
    <s v="UPI"/>
    <s v="In Transit"/>
    <x v="1"/>
  </r>
  <r>
    <s v="Amit Verma"/>
    <s v="CUST1088"/>
    <d v="2025-06-25T00:00:00"/>
    <n v="128"/>
    <n v="4161.13"/>
    <n v="1408.7"/>
    <n v="2752.43"/>
    <s v="HealthPlus"/>
    <x v="6"/>
    <s v="Card"/>
    <s v="Delivered"/>
    <x v="4"/>
  </r>
  <r>
    <s v="Rahul Mehta"/>
    <s v="CUST1089"/>
    <d v="2025-02-16T00:00:00"/>
    <n v="121"/>
    <n v="781.03"/>
    <n v="118.08"/>
    <n v="662.95"/>
    <s v="LifeLine Pharma"/>
    <x v="3"/>
    <s v="Bank Transfer"/>
    <s v="Pending"/>
    <x v="3"/>
  </r>
  <r>
    <s v="Neha Patel"/>
    <s v="CUST1090"/>
    <d v="2025-12-03T00:00:00"/>
    <n v="90"/>
    <n v="17954.060000000001"/>
    <n v="8315.43"/>
    <n v="9638.6299999999992"/>
    <s v="Apollo Pharma"/>
    <x v="5"/>
    <s v="Bank Transfer"/>
    <s v="Cancelled"/>
    <x v="0"/>
  </r>
  <r>
    <s v="Rohan Yadav"/>
    <s v="CUST1091"/>
    <d v="2025-10-15T00:00:00"/>
    <n v="155"/>
    <n v="16207.56"/>
    <n v="8099.1"/>
    <n v="8108.46"/>
    <s v="LifeLine Pharma"/>
    <x v="7"/>
    <s v="Card"/>
    <s v="Pending"/>
    <x v="0"/>
  </r>
  <r>
    <s v="Anjali Mehta"/>
    <s v="CUST1092"/>
    <d v="2025-11-05T00:00:00"/>
    <n v="172"/>
    <n v="14354.67"/>
    <n v="4433.93"/>
    <n v="9920.74"/>
    <s v="CareMed"/>
    <x v="0"/>
    <s v="UPI"/>
    <s v="Pending"/>
    <x v="4"/>
  </r>
  <r>
    <s v="Karan Verma"/>
    <s v="CUST1093"/>
    <d v="2025-05-04T00:00:00"/>
    <n v="37"/>
    <n v="4588.4799999999996"/>
    <n v="2143.39"/>
    <n v="2445.09"/>
    <s v="Apollo Pharma"/>
    <x v="1"/>
    <s v="Card"/>
    <s v="Delivered"/>
    <x v="0"/>
  </r>
  <r>
    <s v="Priya Singh"/>
    <s v="CUST1094"/>
    <d v="2025-02-27T00:00:00"/>
    <n v="48"/>
    <n v="14627.6"/>
    <n v="5552"/>
    <n v="9075.6"/>
    <s v="LifeLine Pharma"/>
    <x v="6"/>
    <s v="UPI"/>
    <s v="In Transit"/>
    <x v="4"/>
  </r>
  <r>
    <s v="Rohan Mehta"/>
    <s v="CUST1095"/>
    <d v="2025-01-31T00:00:00"/>
    <n v="38"/>
    <n v="11629.43"/>
    <n v="1467.06"/>
    <n v="10162.370000000001"/>
    <s v="Apollo Pharma"/>
    <x v="1"/>
    <s v="Cash"/>
    <s v="Pending"/>
    <x v="4"/>
  </r>
  <r>
    <s v="Neha Sharma"/>
    <s v="CUST1096"/>
    <d v="2025-01-14T00:00:00"/>
    <n v="163"/>
    <n v="778.87"/>
    <n v="141.83000000000001"/>
    <n v="637.04"/>
    <s v="MediCare Distributors"/>
    <x v="1"/>
    <s v="Card"/>
    <s v="Delivered"/>
    <x v="1"/>
  </r>
  <r>
    <s v="Pooja Yadav"/>
    <s v="CUST1097"/>
    <d v="2025-09-14T00:00:00"/>
    <n v="89"/>
    <n v="3836.19"/>
    <n v="583.83000000000004"/>
    <n v="3252.36"/>
    <s v="CareMed"/>
    <x v="1"/>
    <s v="Bank Transfer"/>
    <s v="Pending"/>
    <x v="4"/>
  </r>
  <r>
    <s v="Sneha Joshi"/>
    <s v="CUST1098"/>
    <d v="2025-01-06T00:00:00"/>
    <n v="113"/>
    <n v="2444.6"/>
    <n v="949.18"/>
    <n v="1495.42"/>
    <s v="CareMed"/>
    <x v="4"/>
    <s v="Card"/>
    <s v="Pending"/>
    <x v="0"/>
  </r>
  <r>
    <s v="Vikas Mehta"/>
    <s v="CUST1099"/>
    <d v="2025-02-01T00:00:00"/>
    <n v="125"/>
    <n v="15462.96"/>
    <n v="4909.08"/>
    <n v="10553.88"/>
    <s v="Apollo Pharma"/>
    <x v="4"/>
    <s v="Card"/>
    <s v="Delivered"/>
    <x v="0"/>
  </r>
  <r>
    <s v="Anjali Gupta"/>
    <s v="CUST1100"/>
    <d v="2025-07-27T00:00:00"/>
    <n v="7"/>
    <n v="19298.599999999999"/>
    <n v="8674.89"/>
    <n v="10623.71"/>
    <s v="MediCare Distributors"/>
    <x v="7"/>
    <s v="Cash"/>
    <s v="Delivered"/>
    <x v="4"/>
  </r>
  <r>
    <s v="Karan Joshi"/>
    <s v="CUST1101"/>
    <d v="2025-06-12T00:00:00"/>
    <n v="89"/>
    <n v="6209.91"/>
    <n v="2021.54"/>
    <n v="4188.37"/>
    <s v="Apollo Pharma"/>
    <x v="2"/>
    <s v="Bank Transfer"/>
    <s v="Pending"/>
    <x v="3"/>
  </r>
  <r>
    <s v="Neha Singh"/>
    <s v="CUST1102"/>
    <d v="2025-02-12T00:00:00"/>
    <n v="5"/>
    <n v="4053.67"/>
    <n v="819.5"/>
    <n v="3234.17"/>
    <s v="CareMed"/>
    <x v="2"/>
    <s v="Cash"/>
    <s v="In Transit"/>
    <x v="1"/>
  </r>
  <r>
    <s v="Karan Singh"/>
    <s v="CUST1103"/>
    <d v="2025-11-12T00:00:00"/>
    <n v="136"/>
    <n v="3418.39"/>
    <n v="1492.13"/>
    <n v="1926.26"/>
    <s v="MediCare Distributors"/>
    <x v="0"/>
    <s v="UPI"/>
    <s v="Cancelled"/>
    <x v="0"/>
  </r>
  <r>
    <s v="Priya Joshi"/>
    <s v="CUST1104"/>
    <d v="2025-10-17T00:00:00"/>
    <n v="103"/>
    <n v="6000.28"/>
    <n v="837.74"/>
    <n v="5162.54"/>
    <s v="LifeLine Pharma"/>
    <x v="7"/>
    <s v="Bank Transfer"/>
    <s v="In Transit"/>
    <x v="1"/>
  </r>
  <r>
    <s v="Neha Joshi"/>
    <s v="CUST1105"/>
    <d v="2025-09-04T00:00:00"/>
    <n v="20"/>
    <n v="5101.45"/>
    <n v="1416.66"/>
    <n v="3684.79"/>
    <s v="HealthPlus"/>
    <x v="0"/>
    <s v="Cash"/>
    <s v="Delivered"/>
    <x v="4"/>
  </r>
  <r>
    <s v="Rohan Verma"/>
    <s v="CUST1106"/>
    <d v="2025-05-06T00:00:00"/>
    <n v="124"/>
    <n v="16466.580000000002"/>
    <n v="3197.2"/>
    <n v="13269.38"/>
    <s v="MediCare Distributors"/>
    <x v="1"/>
    <s v="UPI"/>
    <s v="Cancelled"/>
    <x v="3"/>
  </r>
  <r>
    <s v="Rohan Singh"/>
    <s v="CUST1107"/>
    <d v="2025-11-30T00:00:00"/>
    <n v="90"/>
    <n v="1503.58"/>
    <n v="172.4"/>
    <n v="1331.18"/>
    <s v="HealthPlus"/>
    <x v="2"/>
    <s v="Bank Transfer"/>
    <s v="Delivered"/>
    <x v="2"/>
  </r>
  <r>
    <s v="Pooja Verma"/>
    <s v="CUST1108"/>
    <d v="2025-11-12T00:00:00"/>
    <n v="114"/>
    <n v="2933.93"/>
    <n v="1143.68"/>
    <n v="1790.25"/>
    <s v="HealthPlus"/>
    <x v="3"/>
    <s v="Cash"/>
    <s v="In Transit"/>
    <x v="0"/>
  </r>
  <r>
    <s v="Karan Patel"/>
    <s v="CUST1109"/>
    <d v="2025-06-27T00:00:00"/>
    <n v="161"/>
    <n v="12009.09"/>
    <n v="4889.2299999999996"/>
    <n v="7119.86"/>
    <s v="LifeLine Pharma"/>
    <x v="6"/>
    <s v="Cash"/>
    <s v="Cancelled"/>
    <x v="4"/>
  </r>
  <r>
    <s v="Neha Patel"/>
    <s v="CUST1110"/>
    <d v="2025-10-26T00:00:00"/>
    <n v="185"/>
    <n v="6893.41"/>
    <n v="2696.42"/>
    <n v="4196.99"/>
    <s v="Apollo Pharma"/>
    <x v="1"/>
    <s v="Card"/>
    <s v="Delivered"/>
    <x v="0"/>
  </r>
  <r>
    <s v="Sneha Gupta"/>
    <s v="CUST1111"/>
    <d v="2025-06-03T00:00:00"/>
    <n v="44"/>
    <n v="17537.22"/>
    <n v="3918.26"/>
    <n v="13618.96"/>
    <s v="LifeLine Pharma"/>
    <x v="6"/>
    <s v="UPI"/>
    <s v="Delivered"/>
    <x v="4"/>
  </r>
  <r>
    <s v="Amit Mehta"/>
    <s v="CUST1112"/>
    <d v="2025-02-26T00:00:00"/>
    <n v="171"/>
    <n v="9941.18"/>
    <n v="2180.6999999999998"/>
    <n v="7760.48"/>
    <s v="LifeLine Pharma"/>
    <x v="1"/>
    <s v="Cash"/>
    <s v="Delivered"/>
    <x v="4"/>
  </r>
  <r>
    <s v="Vikas Joshi"/>
    <s v="CUST1113"/>
    <d v="2025-08-01T00:00:00"/>
    <n v="164"/>
    <n v="10205.69"/>
    <n v="3389.74"/>
    <n v="6815.95"/>
    <s v="HealthPlus"/>
    <x v="4"/>
    <s v="Cash"/>
    <s v="Delivered"/>
    <x v="3"/>
  </r>
  <r>
    <s v="Amit Yadav"/>
    <s v="CUST1114"/>
    <d v="2025-07-27T00:00:00"/>
    <n v="150"/>
    <n v="9950.02"/>
    <n v="2622.49"/>
    <n v="7327.53"/>
    <s v="HealthPlus"/>
    <x v="5"/>
    <s v="Bank Transfer"/>
    <s v="Cancelled"/>
    <x v="4"/>
  </r>
  <r>
    <s v="Pooja Gupta"/>
    <s v="CUST1115"/>
    <d v="2025-06-06T00:00:00"/>
    <n v="155"/>
    <n v="2245.17"/>
    <n v="369.82"/>
    <n v="1875.35"/>
    <s v="Apollo Pharma"/>
    <x v="5"/>
    <s v="Cash"/>
    <s v="Pending"/>
    <x v="2"/>
  </r>
  <r>
    <s v="Anjali Gupta"/>
    <s v="CUST1116"/>
    <d v="2025-08-12T00:00:00"/>
    <n v="101"/>
    <n v="14393.95"/>
    <n v="6967.45"/>
    <n v="7426.5"/>
    <s v="LifeLine Pharma"/>
    <x v="7"/>
    <s v="Cash"/>
    <s v="Cancelled"/>
    <x v="3"/>
  </r>
  <r>
    <s v="Rohan Sharma"/>
    <s v="CUST1117"/>
    <d v="2025-03-06T00:00:00"/>
    <n v="146"/>
    <n v="3696.68"/>
    <n v="916.01"/>
    <n v="2780.67"/>
    <s v="HealthPlus"/>
    <x v="5"/>
    <s v="Card"/>
    <s v="Cancelled"/>
    <x v="3"/>
  </r>
  <r>
    <s v="Rahul Yadav"/>
    <s v="CUST1118"/>
    <d v="2025-10-20T00:00:00"/>
    <n v="92"/>
    <n v="16385.53"/>
    <n v="5937.79"/>
    <n v="10447.74"/>
    <s v="MediCare Distributors"/>
    <x v="6"/>
    <s v="Bank Transfer"/>
    <s v="Delivered"/>
    <x v="2"/>
  </r>
  <r>
    <s v="Anjali Yadav"/>
    <s v="CUST1119"/>
    <d v="2025-07-19T00:00:00"/>
    <n v="163"/>
    <n v="5337.16"/>
    <n v="974.26"/>
    <n v="4362.8999999999996"/>
    <s v="MediCare Distributors"/>
    <x v="4"/>
    <s v="Bank Transfer"/>
    <s v="In Transit"/>
    <x v="0"/>
  </r>
  <r>
    <s v="Neha Yadav"/>
    <s v="CUST1120"/>
    <d v="2025-09-28T00:00:00"/>
    <n v="86"/>
    <n v="7100.91"/>
    <n v="2021.67"/>
    <n v="5079.24"/>
    <s v="MediCare Distributors"/>
    <x v="4"/>
    <s v="Card"/>
    <s v="Delivered"/>
    <x v="2"/>
  </r>
  <r>
    <s v="Amit Gupta"/>
    <s v="CUST1121"/>
    <d v="2025-02-28T00:00:00"/>
    <n v="160"/>
    <n v="9994.1299999999992"/>
    <n v="4252.7299999999996"/>
    <n v="5741.4"/>
    <s v="LifeLine Pharma"/>
    <x v="0"/>
    <s v="Card"/>
    <s v="Cancelled"/>
    <x v="0"/>
  </r>
  <r>
    <s v="Anjali Mehta"/>
    <s v="CUST1122"/>
    <d v="2025-07-22T00:00:00"/>
    <n v="113"/>
    <n v="17926.03"/>
    <n v="3551"/>
    <n v="14375.03"/>
    <s v="MediCare Distributors"/>
    <x v="4"/>
    <s v="Cash"/>
    <s v="Delivered"/>
    <x v="3"/>
  </r>
  <r>
    <s v="Priya Joshi"/>
    <s v="CUST1123"/>
    <d v="2025-05-01T00:00:00"/>
    <n v="180"/>
    <n v="12881.92"/>
    <n v="4914.6899999999996"/>
    <n v="7967.23"/>
    <s v="CareMed"/>
    <x v="2"/>
    <s v="Bank Transfer"/>
    <s v="Delivered"/>
    <x v="4"/>
  </r>
  <r>
    <s v="Priya Patel"/>
    <s v="CUST1124"/>
    <d v="2025-02-03T00:00:00"/>
    <n v="183"/>
    <n v="11999.59"/>
    <n v="1790.66"/>
    <n v="10208.93"/>
    <s v="LifeLine Pharma"/>
    <x v="6"/>
    <s v="UPI"/>
    <s v="In Transit"/>
    <x v="0"/>
  </r>
  <r>
    <s v="Karan Mehta"/>
    <s v="CUST1125"/>
    <d v="2025-02-14T00:00:00"/>
    <n v="35"/>
    <n v="18433.04"/>
    <n v="8452.4599999999991"/>
    <n v="9980.58"/>
    <s v="HealthPlus"/>
    <x v="5"/>
    <s v="Card"/>
    <s v="Pending"/>
    <x v="0"/>
  </r>
  <r>
    <s v="Sneha Sharma"/>
    <s v="CUST1126"/>
    <d v="2025-07-16T00:00:00"/>
    <n v="141"/>
    <n v="3184.74"/>
    <n v="327.8"/>
    <n v="2856.94"/>
    <s v="Apollo Pharma"/>
    <x v="7"/>
    <s v="UPI"/>
    <s v="Pending"/>
    <x v="2"/>
  </r>
  <r>
    <s v="Priya Singh"/>
    <s v="CUST1127"/>
    <d v="2025-07-10T00:00:00"/>
    <n v="166"/>
    <n v="16249.35"/>
    <n v="7179.76"/>
    <n v="9069.59"/>
    <s v="HealthPlus"/>
    <x v="0"/>
    <s v="Cash"/>
    <s v="Cancelled"/>
    <x v="3"/>
  </r>
  <r>
    <s v="Sneha Gupta"/>
    <s v="CUST1128"/>
    <d v="2025-08-06T00:00:00"/>
    <n v="142"/>
    <n v="19967.61"/>
    <n v="8448.3799999999992"/>
    <n v="11519.23"/>
    <s v="MediCare Distributors"/>
    <x v="1"/>
    <s v="Bank Transfer"/>
    <s v="In Transit"/>
    <x v="3"/>
  </r>
  <r>
    <s v="Anjali Joshi"/>
    <s v="CUST1129"/>
    <d v="2025-06-08T00:00:00"/>
    <n v="95"/>
    <n v="7353.84"/>
    <n v="954.51"/>
    <n v="6399.33"/>
    <s v="MediCare Distributors"/>
    <x v="4"/>
    <s v="Card"/>
    <s v="Delivered"/>
    <x v="1"/>
  </r>
  <r>
    <s v="Neha Mehta"/>
    <s v="CUST1130"/>
    <d v="2025-11-01T00:00:00"/>
    <n v="180"/>
    <n v="5013.22"/>
    <n v="1427.21"/>
    <n v="3586.01"/>
    <s v="MediCare Distributors"/>
    <x v="5"/>
    <s v="Bank Transfer"/>
    <s v="In Transit"/>
    <x v="4"/>
  </r>
  <r>
    <s v="Amit Singh"/>
    <s v="CUST1131"/>
    <d v="2025-07-07T00:00:00"/>
    <n v="90"/>
    <n v="14379.53"/>
    <n v="3480.04"/>
    <n v="10899.49"/>
    <s v="CareMed"/>
    <x v="0"/>
    <s v="Bank Transfer"/>
    <s v="In Transit"/>
    <x v="2"/>
  </r>
  <r>
    <s v="Pooja Sharma"/>
    <s v="CUST1132"/>
    <d v="2025-02-04T00:00:00"/>
    <n v="159"/>
    <n v="8813.6299999999992"/>
    <n v="2323.0500000000002"/>
    <n v="6490.58"/>
    <s v="Apollo Pharma"/>
    <x v="2"/>
    <s v="Cash"/>
    <s v="Cancelled"/>
    <x v="1"/>
  </r>
  <r>
    <s v="Karan Sharma"/>
    <s v="CUST1133"/>
    <d v="2025-10-17T00:00:00"/>
    <n v="123"/>
    <n v="17364.79"/>
    <n v="7655.23"/>
    <n v="9709.56"/>
    <s v="HealthPlus"/>
    <x v="5"/>
    <s v="Card"/>
    <s v="In Transit"/>
    <x v="2"/>
  </r>
  <r>
    <s v="Rahul Yadav"/>
    <s v="CUST1134"/>
    <d v="2025-12-31T00:00:00"/>
    <n v="181"/>
    <n v="15310.87"/>
    <n v="6838.71"/>
    <n v="8472.16"/>
    <s v="LifeLine Pharma"/>
    <x v="0"/>
    <s v="Bank Transfer"/>
    <s v="In Transit"/>
    <x v="3"/>
  </r>
  <r>
    <s v="Karan Joshi"/>
    <s v="CUST1135"/>
    <d v="2025-02-07T00:00:00"/>
    <n v="60"/>
    <n v="11440.16"/>
    <n v="1711.59"/>
    <n v="9728.57"/>
    <s v="LifeLine Pharma"/>
    <x v="2"/>
    <s v="Card"/>
    <s v="Delivered"/>
    <x v="0"/>
  </r>
  <r>
    <s v="Pooja Sharma"/>
    <s v="CUST1136"/>
    <d v="2025-03-17T00:00:00"/>
    <n v="194"/>
    <n v="7231.16"/>
    <n v="3269.4"/>
    <n v="3961.76"/>
    <s v="Apollo Pharma"/>
    <x v="5"/>
    <s v="Bank Transfer"/>
    <s v="Pending"/>
    <x v="2"/>
  </r>
  <r>
    <s v="Priya Singh"/>
    <s v="CUST1137"/>
    <d v="2025-07-04T00:00:00"/>
    <n v="199"/>
    <n v="15200.54"/>
    <n v="6509.84"/>
    <n v="8690.7000000000007"/>
    <s v="MediCare Distributors"/>
    <x v="3"/>
    <s v="Bank Transfer"/>
    <s v="Delivered"/>
    <x v="3"/>
  </r>
  <r>
    <s v="Anjali Patel"/>
    <s v="CUST1138"/>
    <d v="2025-12-02T00:00:00"/>
    <n v="104"/>
    <n v="11522.66"/>
    <n v="1387.19"/>
    <n v="10135.469999999999"/>
    <s v="LifeLine Pharma"/>
    <x v="1"/>
    <s v="Bank Transfer"/>
    <s v="Cancelled"/>
    <x v="2"/>
  </r>
  <r>
    <s v="Neha Mehta"/>
    <s v="CUST1139"/>
    <d v="2025-10-13T00:00:00"/>
    <n v="25"/>
    <n v="6292.79"/>
    <n v="2699.83"/>
    <n v="3592.96"/>
    <s v="LifeLine Pharma"/>
    <x v="6"/>
    <s v="Bank Transfer"/>
    <s v="Delivered"/>
    <x v="1"/>
  </r>
  <r>
    <s v="Neha Joshi"/>
    <s v="CUST1140"/>
    <d v="2025-08-15T00:00:00"/>
    <n v="52"/>
    <n v="4610.1400000000003"/>
    <n v="487.5"/>
    <n v="4122.6400000000003"/>
    <s v="Apollo Pharma"/>
    <x v="4"/>
    <s v="Bank Transfer"/>
    <s v="Delivered"/>
    <x v="0"/>
  </r>
  <r>
    <s v="Karan Joshi"/>
    <s v="CUST1141"/>
    <d v="2025-03-01T00:00:00"/>
    <n v="156"/>
    <n v="1311.93"/>
    <n v="363.6"/>
    <n v="948.33"/>
    <s v="HealthPlus"/>
    <x v="5"/>
    <s v="UPI"/>
    <s v="Delivered"/>
    <x v="1"/>
  </r>
  <r>
    <s v="Karan Sharma"/>
    <s v="CUST1142"/>
    <d v="2025-08-14T00:00:00"/>
    <n v="84"/>
    <n v="7756.6"/>
    <n v="3792.5"/>
    <n v="3964.1"/>
    <s v="CareMed"/>
    <x v="4"/>
    <s v="Cash"/>
    <s v="Pending"/>
    <x v="2"/>
  </r>
  <r>
    <s v="Priya Yadav"/>
    <s v="CUST1143"/>
    <d v="2025-10-07T00:00:00"/>
    <n v="138"/>
    <n v="4445.6400000000003"/>
    <n v="1608.88"/>
    <n v="2836.76"/>
    <s v="MediCare Distributors"/>
    <x v="4"/>
    <s v="UPI"/>
    <s v="Cancelled"/>
    <x v="4"/>
  </r>
  <r>
    <s v="Neha Verma"/>
    <s v="CUST1144"/>
    <d v="2025-09-08T00:00:00"/>
    <n v="114"/>
    <n v="703.8"/>
    <n v="340.98"/>
    <n v="362.82"/>
    <s v="CareMed"/>
    <x v="5"/>
    <s v="Card"/>
    <s v="In Transit"/>
    <x v="4"/>
  </r>
  <r>
    <s v="Amit Mehta"/>
    <s v="CUST1145"/>
    <d v="2025-01-16T00:00:00"/>
    <n v="47"/>
    <n v="11843.12"/>
    <n v="5128.6099999999997"/>
    <n v="6714.51"/>
    <s v="Apollo Pharma"/>
    <x v="7"/>
    <s v="UPI"/>
    <s v="Pending"/>
    <x v="3"/>
  </r>
  <r>
    <s v="Pooja Mehta"/>
    <s v="CUST1146"/>
    <d v="2025-09-30T00:00:00"/>
    <n v="169"/>
    <n v="11004.81"/>
    <n v="3790.74"/>
    <n v="7214.07"/>
    <s v="LifeLine Pharma"/>
    <x v="5"/>
    <s v="Cash"/>
    <s v="In Transit"/>
    <x v="1"/>
  </r>
  <r>
    <s v="Priya Mehta"/>
    <s v="CUST1147"/>
    <d v="2025-07-17T00:00:00"/>
    <n v="62"/>
    <n v="19211.7"/>
    <n v="5834.45"/>
    <n v="13377.25"/>
    <s v="LifeLine Pharma"/>
    <x v="3"/>
    <s v="Card"/>
    <s v="Delivered"/>
    <x v="1"/>
  </r>
  <r>
    <s v="Sneha Patel"/>
    <s v="CUST1148"/>
    <d v="2025-09-06T00:00:00"/>
    <n v="24"/>
    <n v="13303.9"/>
    <n v="4946.1099999999997"/>
    <n v="8357.7900000000009"/>
    <s v="CareMed"/>
    <x v="1"/>
    <s v="UPI"/>
    <s v="In Transit"/>
    <x v="4"/>
  </r>
  <r>
    <s v="Anjali Verma"/>
    <s v="CUST1149"/>
    <d v="2025-03-05T00:00:00"/>
    <n v="196"/>
    <n v="4041.03"/>
    <n v="494.22"/>
    <n v="3546.81"/>
    <s v="LifeLine Pharma"/>
    <x v="1"/>
    <s v="Bank Transfer"/>
    <s v="Cancelled"/>
    <x v="1"/>
  </r>
  <r>
    <s v="Amit Yadav"/>
    <s v="CUST1150"/>
    <d v="2025-05-22T00:00:00"/>
    <n v="126"/>
    <n v="2175.94"/>
    <n v="599.47"/>
    <n v="1576.47"/>
    <s v="CareMed"/>
    <x v="1"/>
    <s v="Card"/>
    <s v="Cancelled"/>
    <x v="0"/>
  </r>
  <r>
    <s v="Vikas Sharma"/>
    <s v="CUST1151"/>
    <d v="2025-09-23T00:00:00"/>
    <n v="11"/>
    <n v="3842.77"/>
    <n v="1784.29"/>
    <n v="2058.48"/>
    <s v="CareMed"/>
    <x v="2"/>
    <s v="Card"/>
    <s v="Delivered"/>
    <x v="1"/>
  </r>
  <r>
    <s v="Karan Sharma"/>
    <s v="CUST1152"/>
    <d v="2025-06-16T00:00:00"/>
    <n v="78"/>
    <n v="7759.54"/>
    <n v="2787.95"/>
    <n v="4971.59"/>
    <s v="CareMed"/>
    <x v="3"/>
    <s v="Bank Transfer"/>
    <s v="Pending"/>
    <x v="0"/>
  </r>
  <r>
    <s v="Karan Mehta"/>
    <s v="CUST1153"/>
    <d v="2025-05-08T00:00:00"/>
    <n v="179"/>
    <n v="989.94"/>
    <n v="410.04"/>
    <n v="579.9"/>
    <s v="LifeLine Pharma"/>
    <x v="2"/>
    <s v="UPI"/>
    <s v="In Transit"/>
    <x v="2"/>
  </r>
  <r>
    <s v="Amit Singh"/>
    <s v="CUST1154"/>
    <d v="2025-08-21T00:00:00"/>
    <n v="53"/>
    <n v="11465.79"/>
    <n v="2921.41"/>
    <n v="8544.3799999999992"/>
    <s v="Apollo Pharma"/>
    <x v="1"/>
    <s v="UPI"/>
    <s v="Delivered"/>
    <x v="2"/>
  </r>
  <r>
    <s v="Vikas Sharma"/>
    <s v="CUST1155"/>
    <d v="2025-11-07T00:00:00"/>
    <n v="169"/>
    <n v="16291.39"/>
    <n v="2728.46"/>
    <n v="13562.93"/>
    <s v="MediCare Distributors"/>
    <x v="1"/>
    <s v="UPI"/>
    <s v="In Transit"/>
    <x v="3"/>
  </r>
  <r>
    <s v="Rohan Sharma"/>
    <s v="CUST1156"/>
    <d v="2025-10-19T00:00:00"/>
    <n v="37"/>
    <n v="12015.16"/>
    <n v="3019.34"/>
    <n v="8995.82"/>
    <s v="HealthPlus"/>
    <x v="1"/>
    <s v="Card"/>
    <s v="Pending"/>
    <x v="4"/>
  </r>
  <r>
    <s v="Vikas Gupta"/>
    <s v="CUST1157"/>
    <d v="2025-03-04T00:00:00"/>
    <n v="3"/>
    <n v="8376.16"/>
    <n v="2802.19"/>
    <n v="5573.97"/>
    <s v="HealthPlus"/>
    <x v="0"/>
    <s v="Bank Transfer"/>
    <s v="In Transit"/>
    <x v="0"/>
  </r>
  <r>
    <s v="Pooja Sharma"/>
    <s v="CUST1158"/>
    <d v="2025-01-14T00:00:00"/>
    <n v="178"/>
    <n v="7969.82"/>
    <n v="1766.11"/>
    <n v="6203.71"/>
    <s v="LifeLine Pharma"/>
    <x v="2"/>
    <s v="UPI"/>
    <s v="Delivered"/>
    <x v="3"/>
  </r>
  <r>
    <s v="Amit Patel"/>
    <s v="CUST1159"/>
    <d v="2025-05-14T00:00:00"/>
    <n v="126"/>
    <n v="1423.36"/>
    <n v="405.98"/>
    <n v="1017.38"/>
    <s v="MediCare Distributors"/>
    <x v="6"/>
    <s v="Bank Transfer"/>
    <s v="In Transit"/>
    <x v="3"/>
  </r>
  <r>
    <s v="Karan Joshi"/>
    <s v="CUST1160"/>
    <d v="2025-04-19T00:00:00"/>
    <n v="146"/>
    <n v="5303.83"/>
    <n v="1037.45"/>
    <n v="4266.38"/>
    <s v="LifeLine Pharma"/>
    <x v="0"/>
    <s v="Cash"/>
    <s v="Cancelled"/>
    <x v="1"/>
  </r>
  <r>
    <s v="Priya Verma"/>
    <s v="CUST1161"/>
    <d v="2025-10-03T00:00:00"/>
    <n v="10"/>
    <n v="9432.24"/>
    <n v="4303.58"/>
    <n v="5128.66"/>
    <s v="MediCare Distributors"/>
    <x v="3"/>
    <s v="Bank Transfer"/>
    <s v="Pending"/>
    <x v="1"/>
  </r>
  <r>
    <s v="Amit Patel"/>
    <s v="CUST1162"/>
    <d v="2025-03-29T00:00:00"/>
    <n v="112"/>
    <n v="12344.88"/>
    <n v="4009.08"/>
    <n v="8335.7999999999993"/>
    <s v="MediCare Distributors"/>
    <x v="7"/>
    <s v="Cash"/>
    <s v="Pending"/>
    <x v="2"/>
  </r>
  <r>
    <s v="Priya Mehta"/>
    <s v="CUST1163"/>
    <d v="2025-11-03T00:00:00"/>
    <n v="146"/>
    <n v="382.8"/>
    <n v="168.02"/>
    <n v="214.78"/>
    <s v="HealthPlus"/>
    <x v="2"/>
    <s v="Card"/>
    <s v="Cancelled"/>
    <x v="0"/>
  </r>
  <r>
    <s v="Priya Sharma"/>
    <s v="CUST1164"/>
    <d v="2025-09-17T00:00:00"/>
    <n v="98"/>
    <n v="3146.64"/>
    <n v="1206.04"/>
    <n v="1940.6"/>
    <s v="Apollo Pharma"/>
    <x v="0"/>
    <s v="UPI"/>
    <s v="Pending"/>
    <x v="0"/>
  </r>
  <r>
    <s v="Anjali Yadav"/>
    <s v="CUST1165"/>
    <d v="2025-11-19T00:00:00"/>
    <n v="113"/>
    <n v="1480.72"/>
    <n v="594.79"/>
    <n v="885.93"/>
    <s v="CareMed"/>
    <x v="6"/>
    <s v="UPI"/>
    <s v="Pending"/>
    <x v="1"/>
  </r>
  <r>
    <s v="Karan Mehta"/>
    <s v="CUST1166"/>
    <d v="2025-06-04T00:00:00"/>
    <n v="29"/>
    <n v="13726.78"/>
    <n v="4612.6099999999997"/>
    <n v="9114.17"/>
    <s v="CareMed"/>
    <x v="3"/>
    <s v="UPI"/>
    <s v="In Transit"/>
    <x v="1"/>
  </r>
  <r>
    <s v="Anjali Sharma"/>
    <s v="CUST1167"/>
    <d v="2025-08-10T00:00:00"/>
    <n v="27"/>
    <n v="13717.9"/>
    <n v="6826.57"/>
    <n v="6891.33"/>
    <s v="Apollo Pharma"/>
    <x v="3"/>
    <s v="Bank Transfer"/>
    <s v="Delivered"/>
    <x v="3"/>
  </r>
  <r>
    <s v="Priya Sharma"/>
    <s v="CUST1168"/>
    <d v="2025-11-26T00:00:00"/>
    <n v="140"/>
    <n v="1571.09"/>
    <n v="377.78"/>
    <n v="1193.31"/>
    <s v="LifeLine Pharma"/>
    <x v="1"/>
    <s v="Card"/>
    <s v="Cancelled"/>
    <x v="2"/>
  </r>
  <r>
    <s v="Sneha Singh"/>
    <s v="CUST1169"/>
    <d v="2025-03-14T00:00:00"/>
    <n v="126"/>
    <n v="12290.91"/>
    <n v="4448.59"/>
    <n v="7842.32"/>
    <s v="LifeLine Pharma"/>
    <x v="7"/>
    <s v="UPI"/>
    <s v="Cancelled"/>
    <x v="4"/>
  </r>
  <r>
    <s v="Karan Mehta"/>
    <s v="CUST1170"/>
    <d v="2025-07-15T00:00:00"/>
    <n v="37"/>
    <n v="5808.58"/>
    <n v="1205.9100000000001"/>
    <n v="4602.67"/>
    <s v="LifeLine Pharma"/>
    <x v="6"/>
    <s v="UPI"/>
    <s v="In Transit"/>
    <x v="0"/>
  </r>
  <r>
    <s v="Rahul Gupta"/>
    <s v="CUST1171"/>
    <d v="2025-05-03T00:00:00"/>
    <n v="77"/>
    <n v="2965.28"/>
    <n v="937.11"/>
    <n v="2028.17"/>
    <s v="CareMed"/>
    <x v="0"/>
    <s v="Bank Transfer"/>
    <s v="Pending"/>
    <x v="0"/>
  </r>
  <r>
    <s v="Anjali Singh"/>
    <s v="CUST1172"/>
    <d v="2025-01-07T00:00:00"/>
    <n v="108"/>
    <n v="17684.07"/>
    <n v="5584.05"/>
    <n v="12100.02"/>
    <s v="LifeLine Pharma"/>
    <x v="7"/>
    <s v="Bank Transfer"/>
    <s v="Cancelled"/>
    <x v="3"/>
  </r>
  <r>
    <s v="Anjali Mehta"/>
    <s v="CUST1173"/>
    <d v="2025-05-17T00:00:00"/>
    <n v="171"/>
    <n v="8037.77"/>
    <n v="1693.37"/>
    <n v="6344.4"/>
    <s v="MediCare Distributors"/>
    <x v="0"/>
    <s v="UPI"/>
    <s v="Pending"/>
    <x v="1"/>
  </r>
  <r>
    <s v="Pooja Singh"/>
    <s v="CUST1174"/>
    <d v="2025-07-06T00:00:00"/>
    <n v="169"/>
    <n v="15704.1"/>
    <n v="5569.21"/>
    <n v="10134.89"/>
    <s v="LifeLine Pharma"/>
    <x v="1"/>
    <s v="Card"/>
    <s v="In Transit"/>
    <x v="2"/>
  </r>
  <r>
    <s v="Priya Gupta"/>
    <s v="CUST1175"/>
    <d v="2025-06-27T00:00:00"/>
    <n v="121"/>
    <n v="2262.14"/>
    <n v="540.89"/>
    <n v="1721.25"/>
    <s v="HealthPlus"/>
    <x v="1"/>
    <s v="Cash"/>
    <s v="Pending"/>
    <x v="1"/>
  </r>
  <r>
    <s v="Priya Mehta"/>
    <s v="CUST1176"/>
    <d v="2025-08-16T00:00:00"/>
    <n v="41"/>
    <n v="13227.06"/>
    <n v="1655.38"/>
    <n v="11571.68"/>
    <s v="LifeLine Pharma"/>
    <x v="2"/>
    <s v="Bank Transfer"/>
    <s v="Delivered"/>
    <x v="3"/>
  </r>
  <r>
    <s v="Priya Gupta"/>
    <s v="CUST1177"/>
    <d v="2025-08-05T00:00:00"/>
    <n v="171"/>
    <n v="3529.58"/>
    <n v="376.07"/>
    <n v="3153.51"/>
    <s v="CareMed"/>
    <x v="2"/>
    <s v="Bank Transfer"/>
    <s v="Pending"/>
    <x v="1"/>
  </r>
  <r>
    <s v="Neha Gupta"/>
    <s v="CUST1178"/>
    <d v="2025-11-15T00:00:00"/>
    <n v="120"/>
    <n v="4989.3999999999996"/>
    <n v="1020.9"/>
    <n v="3968.5"/>
    <s v="LifeLine Pharma"/>
    <x v="4"/>
    <s v="Cash"/>
    <s v="Delivered"/>
    <x v="1"/>
  </r>
  <r>
    <s v="Amit Patel"/>
    <s v="CUST1179"/>
    <d v="2025-01-26T00:00:00"/>
    <n v="3"/>
    <n v="18411.419999999998"/>
    <n v="2802.49"/>
    <n v="15608.93"/>
    <s v="HealthPlus"/>
    <x v="5"/>
    <s v="Card"/>
    <s v="In Transit"/>
    <x v="0"/>
  </r>
  <r>
    <s v="Priya Verma"/>
    <s v="CUST1180"/>
    <d v="2025-01-04T00:00:00"/>
    <n v="79"/>
    <n v="16829.5"/>
    <n v="5971.51"/>
    <n v="10857.99"/>
    <s v="HealthPlus"/>
    <x v="7"/>
    <s v="Bank Transfer"/>
    <s v="In Transit"/>
    <x v="1"/>
  </r>
  <r>
    <s v="Neha Joshi"/>
    <s v="CUST1181"/>
    <d v="2025-05-22T00:00:00"/>
    <n v="26"/>
    <n v="16066.48"/>
    <n v="7006.19"/>
    <n v="9060.2900000000009"/>
    <s v="MediCare Distributors"/>
    <x v="2"/>
    <s v="Bank Transfer"/>
    <s v="Delivered"/>
    <x v="0"/>
  </r>
  <r>
    <s v="Karan Gupta"/>
    <s v="CUST1182"/>
    <d v="2025-10-15T00:00:00"/>
    <n v="144"/>
    <n v="11091.19"/>
    <n v="3462.37"/>
    <n v="7628.82"/>
    <s v="HealthPlus"/>
    <x v="0"/>
    <s v="Cash"/>
    <s v="Pending"/>
    <x v="2"/>
  </r>
  <r>
    <s v="Sneha Patel"/>
    <s v="CUST1183"/>
    <d v="2025-10-04T00:00:00"/>
    <n v="11"/>
    <n v="2798.41"/>
    <n v="972.78"/>
    <n v="1825.63"/>
    <s v="LifeLine Pharma"/>
    <x v="7"/>
    <s v="UPI"/>
    <s v="Delivered"/>
    <x v="0"/>
  </r>
  <r>
    <s v="Pooja Mehta"/>
    <s v="CUST1184"/>
    <d v="2025-02-08T00:00:00"/>
    <n v="150"/>
    <n v="11481.01"/>
    <n v="3686.17"/>
    <n v="7794.84"/>
    <s v="Apollo Pharma"/>
    <x v="7"/>
    <s v="Card"/>
    <s v="In Transit"/>
    <x v="1"/>
  </r>
  <r>
    <s v="Amit Mehta"/>
    <s v="CUST1185"/>
    <d v="2025-12-12T00:00:00"/>
    <n v="46"/>
    <n v="2785.37"/>
    <n v="1058.32"/>
    <n v="1727.05"/>
    <s v="LifeLine Pharma"/>
    <x v="2"/>
    <s v="Cash"/>
    <s v="Pending"/>
    <x v="3"/>
  </r>
  <r>
    <s v="Anjali Joshi"/>
    <s v="CUST1186"/>
    <d v="2025-06-30T00:00:00"/>
    <n v="22"/>
    <n v="7158.77"/>
    <n v="762.92"/>
    <n v="6395.85"/>
    <s v="LifeLine Pharma"/>
    <x v="3"/>
    <s v="Bank Transfer"/>
    <s v="Pending"/>
    <x v="4"/>
  </r>
  <r>
    <s v="Anjali Joshi"/>
    <s v="CUST1187"/>
    <d v="2025-08-28T00:00:00"/>
    <n v="132"/>
    <n v="5676.89"/>
    <n v="1656.67"/>
    <n v="4020.22"/>
    <s v="Apollo Pharma"/>
    <x v="7"/>
    <s v="Card"/>
    <s v="Pending"/>
    <x v="2"/>
  </r>
  <r>
    <s v="Rahul Singh"/>
    <s v="CUST1188"/>
    <d v="2025-11-17T00:00:00"/>
    <n v="79"/>
    <n v="5335.96"/>
    <n v="541.79999999999995"/>
    <n v="4794.16"/>
    <s v="HealthPlus"/>
    <x v="3"/>
    <s v="Card"/>
    <s v="Cancelled"/>
    <x v="1"/>
  </r>
  <r>
    <s v="Amit Mehta"/>
    <s v="CUST1189"/>
    <d v="2025-01-18T00:00:00"/>
    <n v="9"/>
    <n v="2699.93"/>
    <n v="293.48"/>
    <n v="2406.4499999999998"/>
    <s v="CareMed"/>
    <x v="3"/>
    <s v="Cash"/>
    <s v="In Transit"/>
    <x v="2"/>
  </r>
  <r>
    <s v="Rohan Singh"/>
    <s v="CUST1190"/>
    <d v="2025-01-19T00:00:00"/>
    <n v="98"/>
    <n v="7829.1"/>
    <n v="1737.16"/>
    <n v="6091.94"/>
    <s v="HealthPlus"/>
    <x v="1"/>
    <s v="Card"/>
    <s v="In Transit"/>
    <x v="3"/>
  </r>
  <r>
    <s v="Karan Gupta"/>
    <s v="CUST1191"/>
    <d v="2025-11-24T00:00:00"/>
    <n v="182"/>
    <n v="6908.36"/>
    <n v="848.61"/>
    <n v="6059.75"/>
    <s v="HealthPlus"/>
    <x v="0"/>
    <s v="Bank Transfer"/>
    <s v="In Transit"/>
    <x v="1"/>
  </r>
  <r>
    <s v="Vikas Patel"/>
    <s v="CUST1192"/>
    <d v="2025-10-27T00:00:00"/>
    <n v="172"/>
    <n v="1787.43"/>
    <n v="417.38"/>
    <n v="1370.05"/>
    <s v="HealthPlus"/>
    <x v="5"/>
    <s v="Cash"/>
    <s v="Pending"/>
    <x v="2"/>
  </r>
  <r>
    <s v="Amit Singh"/>
    <s v="CUST1193"/>
    <d v="2025-03-17T00:00:00"/>
    <n v="46"/>
    <n v="7530.43"/>
    <n v="3301.32"/>
    <n v="4229.1099999999997"/>
    <s v="MediCare Distributors"/>
    <x v="5"/>
    <s v="Cash"/>
    <s v="Delivered"/>
    <x v="1"/>
  </r>
  <r>
    <s v="Rahul Mehta"/>
    <s v="CUST1194"/>
    <d v="2025-12-25T00:00:00"/>
    <n v="19"/>
    <n v="3209.25"/>
    <n v="800.87"/>
    <n v="2408.38"/>
    <s v="LifeLine Pharma"/>
    <x v="4"/>
    <s v="Cash"/>
    <s v="Delivered"/>
    <x v="3"/>
  </r>
  <r>
    <s v="Rahul Verma"/>
    <s v="CUST1195"/>
    <d v="2025-02-27T00:00:00"/>
    <n v="191"/>
    <n v="18538.580000000002"/>
    <n v="7893.17"/>
    <n v="10645.41"/>
    <s v="Apollo Pharma"/>
    <x v="3"/>
    <s v="Bank Transfer"/>
    <s v="Pending"/>
    <x v="4"/>
  </r>
  <r>
    <s v="Priya Sharma"/>
    <s v="CUST1196"/>
    <d v="2025-10-26T00:00:00"/>
    <n v="21"/>
    <n v="7799.33"/>
    <n v="1948.42"/>
    <n v="5850.91"/>
    <s v="MediCare Distributors"/>
    <x v="7"/>
    <s v="UPI"/>
    <s v="Cancelled"/>
    <x v="2"/>
  </r>
  <r>
    <s v="Pooja Verma"/>
    <s v="CUST1197"/>
    <d v="2025-12-10T00:00:00"/>
    <n v="74"/>
    <n v="14658.14"/>
    <n v="3859.12"/>
    <n v="10799.02"/>
    <s v="Apollo Pharma"/>
    <x v="7"/>
    <s v="UPI"/>
    <s v="Delivered"/>
    <x v="4"/>
  </r>
  <r>
    <s v="Amit Verma"/>
    <s v="CUST1198"/>
    <d v="2025-01-30T00:00:00"/>
    <n v="68"/>
    <n v="2963.47"/>
    <n v="839.26"/>
    <n v="2124.21"/>
    <s v="MediCare Distributors"/>
    <x v="5"/>
    <s v="Cash"/>
    <s v="Pending"/>
    <x v="0"/>
  </r>
  <r>
    <s v="Neha Mehta"/>
    <s v="CUST1199"/>
    <d v="2025-12-18T00:00:00"/>
    <n v="59"/>
    <n v="3332.23"/>
    <n v="819.33"/>
    <n v="2512.9"/>
    <s v="CareMed"/>
    <x v="6"/>
    <s v="Bank Transfer"/>
    <s v="In Transit"/>
    <x v="3"/>
  </r>
  <r>
    <s v="Priya Gupta"/>
    <s v="CUST1200"/>
    <d v="2025-01-22T00:00:00"/>
    <n v="89"/>
    <n v="14735.32"/>
    <n v="4240.53"/>
    <n v="10494.79"/>
    <s v="HealthPlus"/>
    <x v="6"/>
    <s v="UPI"/>
    <s v="Delivered"/>
    <x v="1"/>
  </r>
  <r>
    <s v="Rahul Patel"/>
    <s v="CUST1201"/>
    <d v="2025-07-26T00:00:00"/>
    <n v="89"/>
    <n v="18063.599999999999"/>
    <n v="8595.35"/>
    <n v="9468.25"/>
    <s v="LifeLine Pharma"/>
    <x v="5"/>
    <s v="Bank Transfer"/>
    <s v="Delivered"/>
    <x v="1"/>
  </r>
  <r>
    <s v="Amit Mehta"/>
    <s v="CUST1202"/>
    <d v="2025-05-09T00:00:00"/>
    <n v="198"/>
    <n v="18335.03"/>
    <n v="6516.42"/>
    <n v="11818.61"/>
    <s v="CareMed"/>
    <x v="5"/>
    <s v="Card"/>
    <s v="In Transit"/>
    <x v="4"/>
  </r>
  <r>
    <s v="Sneha Mehta"/>
    <s v="CUST1203"/>
    <d v="2025-09-05T00:00:00"/>
    <n v="123"/>
    <n v="7471.82"/>
    <n v="2838.55"/>
    <n v="4633.2700000000004"/>
    <s v="LifeLine Pharma"/>
    <x v="4"/>
    <s v="UPI"/>
    <s v="Pending"/>
    <x v="0"/>
  </r>
  <r>
    <s v="Pooja Verma"/>
    <s v="CUST1204"/>
    <d v="2025-07-05T00:00:00"/>
    <n v="177"/>
    <n v="7122.61"/>
    <n v="2236.66"/>
    <n v="4885.95"/>
    <s v="LifeLine Pharma"/>
    <x v="4"/>
    <s v="Bank Transfer"/>
    <s v="Cancelled"/>
    <x v="4"/>
  </r>
  <r>
    <s v="Sneha Yadav"/>
    <s v="CUST1205"/>
    <d v="2025-09-18T00:00:00"/>
    <n v="37"/>
    <n v="14783.4"/>
    <n v="5111.72"/>
    <n v="9671.68"/>
    <s v="Apollo Pharma"/>
    <x v="2"/>
    <s v="Card"/>
    <s v="Cancelled"/>
    <x v="1"/>
  </r>
  <r>
    <s v="Neha Gupta"/>
    <s v="CUST1206"/>
    <d v="2025-02-16T00:00:00"/>
    <n v="4"/>
    <n v="8744.19"/>
    <n v="1513.08"/>
    <n v="7231.11"/>
    <s v="MediCare Distributors"/>
    <x v="2"/>
    <s v="UPI"/>
    <s v="Pending"/>
    <x v="2"/>
  </r>
  <r>
    <s v="Amit Sharma"/>
    <s v="CUST1207"/>
    <d v="2025-09-08T00:00:00"/>
    <n v="121"/>
    <n v="3083.01"/>
    <n v="1125.53"/>
    <n v="1957.48"/>
    <s v="Apollo Pharma"/>
    <x v="7"/>
    <s v="Bank Transfer"/>
    <s v="Pending"/>
    <x v="2"/>
  </r>
  <r>
    <s v="Vikas Joshi"/>
    <s v="CUST1208"/>
    <d v="2025-12-02T00:00:00"/>
    <n v="49"/>
    <n v="9782.0400000000009"/>
    <n v="2059.1999999999998"/>
    <n v="7722.84"/>
    <s v="LifeLine Pharma"/>
    <x v="1"/>
    <s v="UPI"/>
    <s v="Cancelled"/>
    <x v="3"/>
  </r>
  <r>
    <s v="Rahul Mehta"/>
    <s v="CUST1209"/>
    <d v="2025-07-11T00:00:00"/>
    <n v="18"/>
    <n v="19063.71"/>
    <n v="4148.08"/>
    <n v="14915.63"/>
    <s v="CareMed"/>
    <x v="6"/>
    <s v="UPI"/>
    <s v="Pending"/>
    <x v="3"/>
  </r>
  <r>
    <s v="Karan Yadav"/>
    <s v="CUST1210"/>
    <d v="2025-09-13T00:00:00"/>
    <n v="56"/>
    <n v="8385.27"/>
    <n v="4149.1400000000003"/>
    <n v="4236.13"/>
    <s v="HealthPlus"/>
    <x v="2"/>
    <s v="Card"/>
    <s v="In Transit"/>
    <x v="2"/>
  </r>
  <r>
    <s v="Pooja Gupta"/>
    <s v="CUST1211"/>
    <d v="2025-09-20T00:00:00"/>
    <n v="32"/>
    <n v="12022.4"/>
    <n v="3464.2"/>
    <n v="8558.2000000000007"/>
    <s v="HealthPlus"/>
    <x v="4"/>
    <s v="UPI"/>
    <s v="In Transit"/>
    <x v="4"/>
  </r>
  <r>
    <s v="Pooja Yadav"/>
    <s v="CUST1212"/>
    <d v="2025-01-18T00:00:00"/>
    <n v="5"/>
    <n v="8996.86"/>
    <n v="2997.75"/>
    <n v="5999.11"/>
    <s v="MediCare Distributors"/>
    <x v="4"/>
    <s v="UPI"/>
    <s v="In Transit"/>
    <x v="3"/>
  </r>
  <r>
    <s v="Sneha Joshi"/>
    <s v="CUST1213"/>
    <d v="2025-12-19T00:00:00"/>
    <n v="88"/>
    <n v="11586.67"/>
    <n v="4258.9799999999996"/>
    <n v="7327.69"/>
    <s v="MediCare Distributors"/>
    <x v="2"/>
    <s v="Card"/>
    <s v="Pending"/>
    <x v="3"/>
  </r>
  <r>
    <s v="Pooja Singh"/>
    <s v="CUST1214"/>
    <d v="2025-01-02T00:00:00"/>
    <n v="64"/>
    <n v="9822.9"/>
    <n v="3065.72"/>
    <n v="6757.18"/>
    <s v="Apollo Pharma"/>
    <x v="4"/>
    <s v="Cash"/>
    <s v="Cancelled"/>
    <x v="3"/>
  </r>
  <r>
    <s v="Neha Mehta"/>
    <s v="CUST1215"/>
    <d v="2025-03-06T00:00:00"/>
    <n v="136"/>
    <n v="9869.7199999999993"/>
    <n v="2555.86"/>
    <n v="7313.86"/>
    <s v="HealthPlus"/>
    <x v="5"/>
    <s v="Bank Transfer"/>
    <s v="Cancelled"/>
    <x v="0"/>
  </r>
  <r>
    <s v="Priya Joshi"/>
    <s v="CUST1216"/>
    <d v="2025-10-22T00:00:00"/>
    <n v="37"/>
    <n v="7339.27"/>
    <n v="1386.36"/>
    <n v="5952.91"/>
    <s v="LifeLine Pharma"/>
    <x v="0"/>
    <s v="UPI"/>
    <s v="Delivered"/>
    <x v="3"/>
  </r>
  <r>
    <s v="Anjali Mehta"/>
    <s v="CUST1217"/>
    <d v="2025-10-06T00:00:00"/>
    <n v="159"/>
    <n v="9702.81"/>
    <n v="4284.29"/>
    <n v="5418.52"/>
    <s v="HealthPlus"/>
    <x v="4"/>
    <s v="Bank Transfer"/>
    <s v="In Transit"/>
    <x v="4"/>
  </r>
  <r>
    <s v="Pooja Singh"/>
    <s v="CUST1218"/>
    <d v="2025-12-11T00:00:00"/>
    <n v="166"/>
    <n v="3845.08"/>
    <n v="501.85"/>
    <n v="3343.23"/>
    <s v="CareMed"/>
    <x v="5"/>
    <s v="Card"/>
    <s v="Delivered"/>
    <x v="4"/>
  </r>
  <r>
    <s v="Priya Joshi"/>
    <s v="CUST1219"/>
    <d v="2025-08-11T00:00:00"/>
    <n v="97"/>
    <n v="8517.5300000000007"/>
    <n v="1469.83"/>
    <n v="7047.7"/>
    <s v="Apollo Pharma"/>
    <x v="6"/>
    <s v="Card"/>
    <s v="Pending"/>
    <x v="1"/>
  </r>
  <r>
    <s v="Neha Joshi"/>
    <s v="CUST1220"/>
    <d v="2025-05-11T00:00:00"/>
    <n v="8"/>
    <n v="13067.54"/>
    <n v="2548.83"/>
    <n v="10518.71"/>
    <s v="Apollo Pharma"/>
    <x v="4"/>
    <s v="Bank Transfer"/>
    <s v="Pending"/>
    <x v="4"/>
  </r>
  <r>
    <s v="Sneha Gupta"/>
    <s v="CUST1221"/>
    <d v="2025-11-03T00:00:00"/>
    <n v="41"/>
    <n v="11917.52"/>
    <n v="2343.17"/>
    <n v="9574.35"/>
    <s v="Apollo Pharma"/>
    <x v="6"/>
    <s v="Bank Transfer"/>
    <s v="In Transit"/>
    <x v="2"/>
  </r>
  <r>
    <s v="Priya Yadav"/>
    <s v="CUST1222"/>
    <d v="2025-02-25T00:00:00"/>
    <n v="42"/>
    <n v="11770.96"/>
    <n v="4365.6000000000004"/>
    <n v="7405.36"/>
    <s v="Apollo Pharma"/>
    <x v="5"/>
    <s v="Cash"/>
    <s v="In Transit"/>
    <x v="0"/>
  </r>
  <r>
    <s v="Karan Yadav"/>
    <s v="CUST1223"/>
    <d v="2025-02-16T00:00:00"/>
    <n v="37"/>
    <n v="6373.85"/>
    <n v="1349.98"/>
    <n v="5023.87"/>
    <s v="CareMed"/>
    <x v="3"/>
    <s v="Bank Transfer"/>
    <s v="In Transit"/>
    <x v="1"/>
  </r>
  <r>
    <s v="Rohan Verma"/>
    <s v="CUST1224"/>
    <d v="2025-07-06T00:00:00"/>
    <n v="157"/>
    <n v="16737.86"/>
    <n v="8137.72"/>
    <n v="8600.14"/>
    <s v="HealthPlus"/>
    <x v="4"/>
    <s v="Cash"/>
    <s v="Delivered"/>
    <x v="4"/>
  </r>
  <r>
    <s v="Neha Yadav"/>
    <s v="CUST1225"/>
    <d v="2025-11-23T00:00:00"/>
    <n v="18"/>
    <n v="2884.24"/>
    <n v="1324.15"/>
    <n v="1560.09"/>
    <s v="MediCare Distributors"/>
    <x v="0"/>
    <s v="Cash"/>
    <s v="In Transit"/>
    <x v="3"/>
  </r>
  <r>
    <s v="Anjali Mehta"/>
    <s v="CUST1226"/>
    <d v="2025-02-19T00:00:00"/>
    <n v="106"/>
    <n v="6937.1"/>
    <n v="3275.49"/>
    <n v="3661.61"/>
    <s v="LifeLine Pharma"/>
    <x v="3"/>
    <s v="Bank Transfer"/>
    <s v="Cancelled"/>
    <x v="4"/>
  </r>
  <r>
    <s v="Neha Patel"/>
    <s v="CUST1227"/>
    <d v="2025-10-04T00:00:00"/>
    <n v="54"/>
    <n v="9025.11"/>
    <n v="4096.5"/>
    <n v="4928.6099999999997"/>
    <s v="HealthPlus"/>
    <x v="0"/>
    <s v="UPI"/>
    <s v="Delivered"/>
    <x v="3"/>
  </r>
  <r>
    <s v="Karan Sharma"/>
    <s v="CUST1228"/>
    <d v="2025-12-03T00:00:00"/>
    <n v="165"/>
    <n v="16873.57"/>
    <n v="6914.65"/>
    <n v="9958.92"/>
    <s v="Apollo Pharma"/>
    <x v="3"/>
    <s v="UPI"/>
    <s v="Pending"/>
    <x v="4"/>
  </r>
  <r>
    <s v="Neha Verma"/>
    <s v="CUST1229"/>
    <d v="2025-09-23T00:00:00"/>
    <n v="82"/>
    <n v="6526.71"/>
    <n v="1289.77"/>
    <n v="5236.9399999999996"/>
    <s v="LifeLine Pharma"/>
    <x v="3"/>
    <s v="Card"/>
    <s v="Cancelled"/>
    <x v="0"/>
  </r>
  <r>
    <s v="Rahul Gupta"/>
    <s v="CUST1230"/>
    <d v="2025-08-15T00:00:00"/>
    <n v="18"/>
    <n v="898.59"/>
    <n v="237.35"/>
    <n v="661.24"/>
    <s v="MediCare Distributors"/>
    <x v="0"/>
    <s v="Bank Transfer"/>
    <s v="Delivered"/>
    <x v="1"/>
  </r>
  <r>
    <s v="Anjali Patel"/>
    <s v="CUST1231"/>
    <d v="2025-12-26T00:00:00"/>
    <n v="95"/>
    <n v="10232.06"/>
    <n v="1722.93"/>
    <n v="8509.1299999999992"/>
    <s v="LifeLine Pharma"/>
    <x v="0"/>
    <s v="UPI"/>
    <s v="Delivered"/>
    <x v="3"/>
  </r>
  <r>
    <s v="Pooja Joshi"/>
    <s v="CUST1232"/>
    <d v="2025-01-18T00:00:00"/>
    <n v="143"/>
    <n v="7548.58"/>
    <n v="2601.48"/>
    <n v="4947.1000000000004"/>
    <s v="MediCare Distributors"/>
    <x v="6"/>
    <s v="Card"/>
    <s v="Pending"/>
    <x v="0"/>
  </r>
  <r>
    <s v="Anjali Joshi"/>
    <s v="CUST1233"/>
    <d v="2025-05-04T00:00:00"/>
    <n v="31"/>
    <n v="13044.21"/>
    <n v="4165.54"/>
    <n v="8878.67"/>
    <s v="LifeLine Pharma"/>
    <x v="1"/>
    <s v="UPI"/>
    <s v="Pending"/>
    <x v="1"/>
  </r>
  <r>
    <s v="Amit Sharma"/>
    <s v="CUST1234"/>
    <d v="2025-09-26T00:00:00"/>
    <n v="28"/>
    <n v="14881.99"/>
    <n v="2236.86"/>
    <n v="12645.13"/>
    <s v="MediCare Distributors"/>
    <x v="6"/>
    <s v="UPI"/>
    <s v="In Transit"/>
    <x v="0"/>
  </r>
  <r>
    <s v="Anjali Yadav"/>
    <s v="CUST1235"/>
    <d v="2025-01-03T00:00:00"/>
    <n v="166"/>
    <n v="12559.74"/>
    <n v="3432.09"/>
    <n v="9127.65"/>
    <s v="HealthPlus"/>
    <x v="0"/>
    <s v="Cash"/>
    <s v="In Transit"/>
    <x v="1"/>
  </r>
  <r>
    <s v="Rahul Singh"/>
    <s v="CUST1236"/>
    <d v="2025-05-13T00:00:00"/>
    <n v="47"/>
    <n v="17221.12"/>
    <n v="7189.11"/>
    <n v="10032.01"/>
    <s v="LifeLine Pharma"/>
    <x v="4"/>
    <s v="Bank Transfer"/>
    <s v="Cancelled"/>
    <x v="1"/>
  </r>
  <r>
    <s v="Pooja Verma"/>
    <s v="CUST1237"/>
    <d v="2025-04-15T00:00:00"/>
    <n v="123"/>
    <n v="11260.51"/>
    <n v="4345.01"/>
    <n v="6915.5"/>
    <s v="MediCare Distributors"/>
    <x v="5"/>
    <s v="Cash"/>
    <s v="Delivered"/>
    <x v="0"/>
  </r>
  <r>
    <s v="Rahul Sharma"/>
    <s v="CUST1238"/>
    <d v="2025-06-22T00:00:00"/>
    <n v="71"/>
    <n v="18610.169999999998"/>
    <n v="7046.21"/>
    <n v="11563.96"/>
    <s v="LifeLine Pharma"/>
    <x v="2"/>
    <s v="Cash"/>
    <s v="Delivered"/>
    <x v="0"/>
  </r>
  <r>
    <s v="Anjali Singh"/>
    <s v="CUST1239"/>
    <d v="2025-02-04T00:00:00"/>
    <n v="49"/>
    <n v="19421.71"/>
    <n v="3947.68"/>
    <n v="15474.03"/>
    <s v="HealthPlus"/>
    <x v="5"/>
    <s v="Card"/>
    <s v="Cancelled"/>
    <x v="1"/>
  </r>
  <r>
    <s v="Rahul Joshi"/>
    <s v="CUST1240"/>
    <d v="2025-05-13T00:00:00"/>
    <n v="9"/>
    <n v="17980.580000000002"/>
    <n v="6817.88"/>
    <n v="11162.7"/>
    <s v="HealthPlus"/>
    <x v="7"/>
    <s v="UPI"/>
    <s v="Delivered"/>
    <x v="4"/>
  </r>
  <r>
    <s v="Rahul Yadav"/>
    <s v="CUST1241"/>
    <d v="2025-05-21T00:00:00"/>
    <n v="4"/>
    <n v="2340.48"/>
    <n v="491.68"/>
    <n v="1848.8"/>
    <s v="LifeLine Pharma"/>
    <x v="6"/>
    <s v="Card"/>
    <s v="Delivered"/>
    <x v="4"/>
  </r>
  <r>
    <s v="Pooja Yadav"/>
    <s v="CUST1242"/>
    <d v="2025-07-24T00:00:00"/>
    <n v="188"/>
    <n v="13866.85"/>
    <n v="5738.24"/>
    <n v="8128.61"/>
    <s v="LifeLine Pharma"/>
    <x v="1"/>
    <s v="Cash"/>
    <s v="Delivered"/>
    <x v="4"/>
  </r>
  <r>
    <s v="Sneha Gupta"/>
    <s v="CUST1243"/>
    <d v="2025-04-30T00:00:00"/>
    <n v="120"/>
    <n v="8307.24"/>
    <n v="920.75"/>
    <n v="7386.49"/>
    <s v="CareMed"/>
    <x v="3"/>
    <s v="Cash"/>
    <s v="In Transit"/>
    <x v="2"/>
  </r>
  <r>
    <s v="Vikas Yadav"/>
    <s v="CUST1244"/>
    <d v="2025-12-30T00:00:00"/>
    <n v="69"/>
    <n v="585.82000000000005"/>
    <n v="229.18"/>
    <n v="356.64"/>
    <s v="MediCare Distributors"/>
    <x v="0"/>
    <s v="Bank Transfer"/>
    <s v="Delivered"/>
    <x v="4"/>
  </r>
  <r>
    <s v="Rahul Gupta"/>
    <s v="CUST1245"/>
    <d v="2025-10-06T00:00:00"/>
    <n v="180"/>
    <n v="9821.7000000000007"/>
    <n v="4001.28"/>
    <n v="5820.42"/>
    <s v="Apollo Pharma"/>
    <x v="6"/>
    <s v="Card"/>
    <s v="Delivered"/>
    <x v="0"/>
  </r>
  <r>
    <s v="Pooja Mehta"/>
    <s v="CUST1246"/>
    <d v="2025-03-27T00:00:00"/>
    <n v="121"/>
    <n v="10937.36"/>
    <n v="3835.66"/>
    <n v="7101.7"/>
    <s v="HealthPlus"/>
    <x v="2"/>
    <s v="Card"/>
    <s v="In Transit"/>
    <x v="1"/>
  </r>
  <r>
    <s v="Rohan Verma"/>
    <s v="CUST1247"/>
    <d v="2025-12-07T00:00:00"/>
    <n v="103"/>
    <n v="7504.99"/>
    <n v="799.99"/>
    <n v="6705"/>
    <s v="HealthPlus"/>
    <x v="2"/>
    <s v="Bank Transfer"/>
    <s v="Cancelled"/>
    <x v="4"/>
  </r>
  <r>
    <s v="Anjali Gupta"/>
    <s v="CUST1248"/>
    <d v="2025-05-05T00:00:00"/>
    <n v="155"/>
    <n v="5138.6899999999996"/>
    <n v="2286.4299999999998"/>
    <n v="2852.26"/>
    <s v="HealthPlus"/>
    <x v="7"/>
    <s v="Bank Transfer"/>
    <s v="Pending"/>
    <x v="3"/>
  </r>
  <r>
    <s v="Rahul Mehta"/>
    <s v="CUST1249"/>
    <d v="2025-05-08T00:00:00"/>
    <n v="161"/>
    <n v="2986.5"/>
    <n v="1085.1199999999999"/>
    <n v="1901.38"/>
    <s v="MediCare Distributors"/>
    <x v="2"/>
    <s v="UPI"/>
    <s v="Cancelled"/>
    <x v="4"/>
  </r>
  <r>
    <s v="Amit Gupta"/>
    <s v="CUST1250"/>
    <d v="2025-04-23T00:00:00"/>
    <n v="129"/>
    <n v="10925.54"/>
    <n v="3192.14"/>
    <n v="7733.4"/>
    <s v="CareMed"/>
    <x v="3"/>
    <s v="Card"/>
    <s v="Pending"/>
    <x v="3"/>
  </r>
  <r>
    <s v="Priya Mehta"/>
    <s v="CUST1251"/>
    <d v="2025-09-08T00:00:00"/>
    <n v="30"/>
    <n v="6577.2"/>
    <n v="1087.95"/>
    <n v="5489.25"/>
    <s v="HealthPlus"/>
    <x v="1"/>
    <s v="Bank Transfer"/>
    <s v="Pending"/>
    <x v="3"/>
  </r>
  <r>
    <s v="Pooja Mehta"/>
    <s v="CUST1252"/>
    <d v="2025-03-16T00:00:00"/>
    <n v="105"/>
    <n v="13787.24"/>
    <n v="1445.18"/>
    <n v="12342.06"/>
    <s v="MediCare Distributors"/>
    <x v="7"/>
    <s v="UPI"/>
    <s v="Pending"/>
    <x v="2"/>
  </r>
  <r>
    <s v="Rahul Patel"/>
    <s v="CUST1253"/>
    <d v="2025-10-25T00:00:00"/>
    <n v="37"/>
    <n v="18325.29"/>
    <n v="4068.67"/>
    <n v="14256.62"/>
    <s v="HealthPlus"/>
    <x v="0"/>
    <s v="Bank Transfer"/>
    <s v="In Transit"/>
    <x v="1"/>
  </r>
  <r>
    <s v="Priya Patel"/>
    <s v="CUST1254"/>
    <d v="2025-12-15T00:00:00"/>
    <n v="49"/>
    <n v="567.76"/>
    <n v="276.82"/>
    <n v="290.94"/>
    <s v="Apollo Pharma"/>
    <x v="0"/>
    <s v="UPI"/>
    <s v="Delivered"/>
    <x v="3"/>
  </r>
  <r>
    <s v="Amit Joshi"/>
    <s v="CUST1255"/>
    <d v="2025-08-28T00:00:00"/>
    <n v="31"/>
    <n v="8496.16"/>
    <n v="3033.08"/>
    <n v="5463.08"/>
    <s v="LifeLine Pharma"/>
    <x v="3"/>
    <s v="Card"/>
    <s v="In Transit"/>
    <x v="3"/>
  </r>
  <r>
    <s v="Rohan Mehta"/>
    <s v="CUST1256"/>
    <d v="2025-02-23T00:00:00"/>
    <n v="78"/>
    <n v="8627.6299999999992"/>
    <n v="2278.7600000000002"/>
    <n v="6348.87"/>
    <s v="LifeLine Pharma"/>
    <x v="3"/>
    <s v="Bank Transfer"/>
    <s v="Delivered"/>
    <x v="3"/>
  </r>
  <r>
    <s v="Sneha Mehta"/>
    <s v="CUST1257"/>
    <d v="2025-01-07T00:00:00"/>
    <n v="8"/>
    <n v="5190.07"/>
    <n v="1611.83"/>
    <n v="3578.24"/>
    <s v="LifeLine Pharma"/>
    <x v="5"/>
    <s v="Bank Transfer"/>
    <s v="In Transit"/>
    <x v="0"/>
  </r>
  <r>
    <s v="Sneha Sharma"/>
    <s v="CUST1258"/>
    <d v="2025-08-06T00:00:00"/>
    <n v="10"/>
    <n v="19259.09"/>
    <n v="3782.1"/>
    <n v="15476.99"/>
    <s v="Apollo Pharma"/>
    <x v="7"/>
    <s v="Card"/>
    <s v="Delivered"/>
    <x v="3"/>
  </r>
  <r>
    <s v="Amit Singh"/>
    <s v="CUST1259"/>
    <d v="2025-04-25T00:00:00"/>
    <n v="184"/>
    <n v="12662.85"/>
    <n v="5855.27"/>
    <n v="6807.58"/>
    <s v="LifeLine Pharma"/>
    <x v="4"/>
    <s v="UPI"/>
    <s v="Cancelled"/>
    <x v="4"/>
  </r>
  <r>
    <s v="Rahul Mehta"/>
    <s v="CUST1260"/>
    <d v="2025-08-24T00:00:00"/>
    <n v="142"/>
    <n v="15565.56"/>
    <n v="2461.59"/>
    <n v="13103.97"/>
    <s v="MediCare Distributors"/>
    <x v="1"/>
    <s v="Cash"/>
    <s v="Delivered"/>
    <x v="4"/>
  </r>
  <r>
    <s v="Neha Sharma"/>
    <s v="CUST1261"/>
    <d v="2025-04-02T00:00:00"/>
    <n v="114"/>
    <n v="1475.08"/>
    <n v="630.61"/>
    <n v="844.47"/>
    <s v="HealthPlus"/>
    <x v="1"/>
    <s v="Cash"/>
    <s v="In Transit"/>
    <x v="3"/>
  </r>
  <r>
    <s v="Pooja Patel"/>
    <s v="CUST1262"/>
    <d v="2025-07-23T00:00:00"/>
    <n v="133"/>
    <n v="9872.8700000000008"/>
    <n v="1373.27"/>
    <n v="8499.6"/>
    <s v="HealthPlus"/>
    <x v="2"/>
    <s v="Cash"/>
    <s v="In Transit"/>
    <x v="1"/>
  </r>
  <r>
    <s v="Pooja Mehta"/>
    <s v="CUST1263"/>
    <d v="2025-04-20T00:00:00"/>
    <n v="29"/>
    <n v="13767.47"/>
    <n v="1549.86"/>
    <n v="12217.61"/>
    <s v="Apollo Pharma"/>
    <x v="0"/>
    <s v="Bank Transfer"/>
    <s v="Cancelled"/>
    <x v="3"/>
  </r>
  <r>
    <s v="Priya Sharma"/>
    <s v="CUST1264"/>
    <d v="2025-11-01T00:00:00"/>
    <n v="199"/>
    <n v="14916.16"/>
    <n v="3556.78"/>
    <n v="11359.38"/>
    <s v="MediCare Distributors"/>
    <x v="1"/>
    <s v="Cash"/>
    <s v="In Transit"/>
    <x v="4"/>
  </r>
  <r>
    <s v="Neha Singh"/>
    <s v="CUST1265"/>
    <d v="2025-01-20T00:00:00"/>
    <n v="175"/>
    <n v="11713.04"/>
    <n v="3545.06"/>
    <n v="8167.98"/>
    <s v="LifeLine Pharma"/>
    <x v="5"/>
    <s v="Cash"/>
    <s v="Pending"/>
    <x v="2"/>
  </r>
  <r>
    <s v="Neha Verma"/>
    <s v="CUST1266"/>
    <d v="2025-01-08T00:00:00"/>
    <n v="155"/>
    <n v="11299.14"/>
    <n v="3669.52"/>
    <n v="7629.62"/>
    <s v="HealthPlus"/>
    <x v="1"/>
    <s v="Cash"/>
    <s v="In Transit"/>
    <x v="1"/>
  </r>
  <r>
    <s v="Karan Patel"/>
    <s v="CUST1267"/>
    <d v="2025-07-29T00:00:00"/>
    <n v="122"/>
    <n v="767.38"/>
    <n v="249.77"/>
    <n v="517.61"/>
    <s v="LifeLine Pharma"/>
    <x v="5"/>
    <s v="Cash"/>
    <s v="Delivered"/>
    <x v="0"/>
  </r>
  <r>
    <s v="Vikas Mehta"/>
    <s v="CUST1268"/>
    <d v="2025-10-12T00:00:00"/>
    <n v="103"/>
    <n v="10191.56"/>
    <n v="4104.21"/>
    <n v="6087.35"/>
    <s v="MediCare Distributors"/>
    <x v="5"/>
    <s v="Cash"/>
    <s v="Pending"/>
    <x v="4"/>
  </r>
  <r>
    <s v="Amit Verma"/>
    <s v="CUST1269"/>
    <d v="2025-08-10T00:00:00"/>
    <n v="51"/>
    <n v="8977.43"/>
    <n v="910.24"/>
    <n v="8067.19"/>
    <s v="HealthPlus"/>
    <x v="6"/>
    <s v="Bank Transfer"/>
    <s v="Delivered"/>
    <x v="1"/>
  </r>
  <r>
    <s v="Neha Gupta"/>
    <s v="CUST1270"/>
    <d v="2025-09-12T00:00:00"/>
    <n v="144"/>
    <n v="891.14"/>
    <n v="373.41"/>
    <n v="517.73"/>
    <s v="HealthPlus"/>
    <x v="2"/>
    <s v="Bank Transfer"/>
    <s v="Delivered"/>
    <x v="2"/>
  </r>
  <r>
    <s v="Anjali Sharma"/>
    <s v="CUST1271"/>
    <d v="2025-08-27T00:00:00"/>
    <n v="4"/>
    <n v="2343.7800000000002"/>
    <n v="547.59"/>
    <n v="1796.19"/>
    <s v="CareMed"/>
    <x v="3"/>
    <s v="Card"/>
    <s v="Pending"/>
    <x v="0"/>
  </r>
  <r>
    <s v="Anjali Singh"/>
    <s v="CUST1272"/>
    <d v="2025-03-21T00:00:00"/>
    <n v="55"/>
    <n v="3854.47"/>
    <n v="1195.26"/>
    <n v="2659.21"/>
    <s v="LifeLine Pharma"/>
    <x v="0"/>
    <s v="Cash"/>
    <s v="Pending"/>
    <x v="3"/>
  </r>
  <r>
    <s v="Rohan Patel"/>
    <s v="CUST1273"/>
    <d v="2025-10-05T00:00:00"/>
    <n v="171"/>
    <n v="2626.42"/>
    <n v="777.56"/>
    <n v="1848.86"/>
    <s v="Apollo Pharma"/>
    <x v="7"/>
    <s v="Cash"/>
    <s v="Pending"/>
    <x v="1"/>
  </r>
  <r>
    <s v="Priya Gupta"/>
    <s v="CUST1274"/>
    <d v="2025-01-02T00:00:00"/>
    <n v="93"/>
    <n v="18758.41"/>
    <n v="3166.6"/>
    <n v="15591.81"/>
    <s v="LifeLine Pharma"/>
    <x v="3"/>
    <s v="Bank Transfer"/>
    <s v="Delivered"/>
    <x v="3"/>
  </r>
  <r>
    <s v="Anjali Gupta"/>
    <s v="CUST1275"/>
    <d v="2025-10-31T00:00:00"/>
    <n v="50"/>
    <n v="13465.95"/>
    <n v="1719.44"/>
    <n v="11746.51"/>
    <s v="LifeLine Pharma"/>
    <x v="7"/>
    <s v="UPI"/>
    <s v="Pending"/>
    <x v="3"/>
  </r>
  <r>
    <s v="Sneha Gupta"/>
    <s v="CUST1276"/>
    <d v="2025-04-22T00:00:00"/>
    <n v="194"/>
    <n v="12743.35"/>
    <n v="5141.4799999999996"/>
    <n v="7601.87"/>
    <s v="CareMed"/>
    <x v="6"/>
    <s v="Bank Transfer"/>
    <s v="Delivered"/>
    <x v="3"/>
  </r>
  <r>
    <s v="Rohan Sharma"/>
    <s v="CUST1277"/>
    <d v="2025-01-12T00:00:00"/>
    <n v="17"/>
    <n v="11277.56"/>
    <n v="2460.88"/>
    <n v="8816.68"/>
    <s v="MediCare Distributors"/>
    <x v="3"/>
    <s v="Card"/>
    <s v="In Transit"/>
    <x v="0"/>
  </r>
  <r>
    <s v="Rohan Joshi"/>
    <s v="CUST1278"/>
    <d v="2025-01-11T00:00:00"/>
    <n v="167"/>
    <n v="16155.55"/>
    <n v="2151.1999999999998"/>
    <n v="14004.35"/>
    <s v="HealthPlus"/>
    <x v="4"/>
    <s v="Card"/>
    <s v="Cancelled"/>
    <x v="3"/>
  </r>
  <r>
    <s v="Karan Yadav"/>
    <s v="CUST1279"/>
    <d v="2025-01-14T00:00:00"/>
    <n v="194"/>
    <n v="17436.07"/>
    <n v="3916.48"/>
    <n v="13519.59"/>
    <s v="CareMed"/>
    <x v="2"/>
    <s v="Bank Transfer"/>
    <s v="In Transit"/>
    <x v="0"/>
  </r>
  <r>
    <s v="Amit Yadav"/>
    <s v="CUST1280"/>
    <d v="2025-07-12T00:00:00"/>
    <n v="137"/>
    <n v="10388.25"/>
    <n v="2570.61"/>
    <n v="7817.64"/>
    <s v="HealthPlus"/>
    <x v="6"/>
    <s v="Card"/>
    <s v="In Transit"/>
    <x v="0"/>
  </r>
  <r>
    <s v="Pooja Singh"/>
    <s v="CUST1281"/>
    <d v="2025-06-03T00:00:00"/>
    <n v="83"/>
    <n v="18153.63"/>
    <n v="4966.72"/>
    <n v="13186.91"/>
    <s v="HealthPlus"/>
    <x v="6"/>
    <s v="UPI"/>
    <s v="In Transit"/>
    <x v="0"/>
  </r>
  <r>
    <s v="Karan Gupta"/>
    <s v="CUST1282"/>
    <d v="2025-04-21T00:00:00"/>
    <n v="68"/>
    <n v="11995.43"/>
    <n v="2784.45"/>
    <n v="9210.98"/>
    <s v="MediCare Distributors"/>
    <x v="2"/>
    <s v="Card"/>
    <s v="Pending"/>
    <x v="0"/>
  </r>
  <r>
    <s v="Anjali Mehta"/>
    <s v="CUST1283"/>
    <d v="2025-01-31T00:00:00"/>
    <n v="119"/>
    <n v="11676.81"/>
    <n v="5028.43"/>
    <n v="6648.38"/>
    <s v="HealthPlus"/>
    <x v="0"/>
    <s v="UPI"/>
    <s v="In Transit"/>
    <x v="4"/>
  </r>
  <r>
    <s v="Neha Yadav"/>
    <s v="CUST1284"/>
    <d v="2025-12-22T00:00:00"/>
    <n v="63"/>
    <n v="7893.44"/>
    <n v="1682.75"/>
    <n v="6210.69"/>
    <s v="CareMed"/>
    <x v="7"/>
    <s v="Card"/>
    <s v="Pending"/>
    <x v="4"/>
  </r>
  <r>
    <s v="Vikas Patel"/>
    <s v="CUST1285"/>
    <d v="2025-05-11T00:00:00"/>
    <n v="32"/>
    <n v="19333.62"/>
    <n v="3378.63"/>
    <n v="15954.99"/>
    <s v="LifeLine Pharma"/>
    <x v="3"/>
    <s v="Cash"/>
    <s v="Pending"/>
    <x v="0"/>
  </r>
  <r>
    <s v="Vikas Yadav"/>
    <s v="CUST1286"/>
    <d v="2025-12-15T00:00:00"/>
    <n v="141"/>
    <n v="11713.31"/>
    <n v="4558.3900000000003"/>
    <n v="7154.92"/>
    <s v="CareMed"/>
    <x v="1"/>
    <s v="UPI"/>
    <s v="In Transit"/>
    <x v="3"/>
  </r>
  <r>
    <s v="Rahul Gupta"/>
    <s v="CUST1287"/>
    <d v="2025-09-04T00:00:00"/>
    <n v="126"/>
    <n v="11945.91"/>
    <n v="3696.69"/>
    <n v="8249.2199999999993"/>
    <s v="LifeLine Pharma"/>
    <x v="4"/>
    <s v="Cash"/>
    <s v="Pending"/>
    <x v="3"/>
  </r>
  <r>
    <s v="Neha Patel"/>
    <s v="CUST1288"/>
    <d v="2025-01-16T00:00:00"/>
    <n v="195"/>
    <n v="16045.87"/>
    <n v="7673.12"/>
    <n v="8372.75"/>
    <s v="Apollo Pharma"/>
    <x v="6"/>
    <s v="Cash"/>
    <s v="In Transit"/>
    <x v="2"/>
  </r>
  <r>
    <s v="Neha Patel"/>
    <s v="CUST1289"/>
    <d v="2025-09-10T00:00:00"/>
    <n v="176"/>
    <n v="8522.9500000000007"/>
    <n v="4125.32"/>
    <n v="4397.63"/>
    <s v="CareMed"/>
    <x v="3"/>
    <s v="Cash"/>
    <s v="Delivered"/>
    <x v="4"/>
  </r>
  <r>
    <s v="Anjali Joshi"/>
    <s v="CUST1290"/>
    <d v="2025-05-23T00:00:00"/>
    <n v="111"/>
    <n v="4889.54"/>
    <n v="2013.63"/>
    <n v="2875.91"/>
    <s v="CareMed"/>
    <x v="6"/>
    <s v="Card"/>
    <s v="Pending"/>
    <x v="0"/>
  </r>
  <r>
    <s v="Neha Sharma"/>
    <s v="CUST1291"/>
    <d v="2025-06-30T00:00:00"/>
    <n v="150"/>
    <n v="6402.68"/>
    <n v="2638.23"/>
    <n v="3764.45"/>
    <s v="LifeLine Pharma"/>
    <x v="0"/>
    <s v="Cash"/>
    <s v="Pending"/>
    <x v="4"/>
  </r>
  <r>
    <s v="Amit Joshi"/>
    <s v="CUST1292"/>
    <d v="2025-04-26T00:00:00"/>
    <n v="125"/>
    <n v="2578.81"/>
    <n v="1035.45"/>
    <n v="1543.36"/>
    <s v="LifeLine Pharma"/>
    <x v="0"/>
    <s v="UPI"/>
    <s v="Cancelled"/>
    <x v="1"/>
  </r>
  <r>
    <s v="Pooja Verma"/>
    <s v="CUST1293"/>
    <d v="2025-02-24T00:00:00"/>
    <n v="57"/>
    <n v="5661.47"/>
    <n v="2823.56"/>
    <n v="2837.91"/>
    <s v="HealthPlus"/>
    <x v="1"/>
    <s v="Bank Transfer"/>
    <s v="Cancelled"/>
    <x v="1"/>
  </r>
  <r>
    <s v="Priya Singh"/>
    <s v="CUST1294"/>
    <d v="2025-01-14T00:00:00"/>
    <n v="21"/>
    <n v="8229.84"/>
    <n v="2652.86"/>
    <n v="5576.98"/>
    <s v="MediCare Distributors"/>
    <x v="1"/>
    <s v="Bank Transfer"/>
    <s v="Delivered"/>
    <x v="1"/>
  </r>
  <r>
    <s v="Karan Joshi"/>
    <s v="CUST1295"/>
    <d v="2025-07-16T00:00:00"/>
    <n v="173"/>
    <n v="9881.24"/>
    <n v="1819.78"/>
    <n v="8061.46"/>
    <s v="CareMed"/>
    <x v="4"/>
    <s v="Card"/>
    <s v="Delivered"/>
    <x v="3"/>
  </r>
  <r>
    <s v="Sneha Gupta"/>
    <s v="CUST1296"/>
    <d v="2025-05-10T00:00:00"/>
    <n v="156"/>
    <n v="4188.84"/>
    <n v="1852.28"/>
    <n v="2336.56"/>
    <s v="Apollo Pharma"/>
    <x v="1"/>
    <s v="UPI"/>
    <s v="Cancelled"/>
    <x v="0"/>
  </r>
  <r>
    <s v="Priya Singh"/>
    <s v="CUST1297"/>
    <d v="2025-05-28T00:00:00"/>
    <n v="91"/>
    <n v="8161.54"/>
    <n v="3268.65"/>
    <n v="4892.8900000000003"/>
    <s v="HealthPlus"/>
    <x v="0"/>
    <s v="Bank Transfer"/>
    <s v="Cancelled"/>
    <x v="4"/>
  </r>
  <r>
    <s v="Rahul Singh"/>
    <s v="CUST1298"/>
    <d v="2025-01-06T00:00:00"/>
    <n v="179"/>
    <n v="1387.43"/>
    <n v="297.98"/>
    <n v="1089.45"/>
    <s v="Apollo Pharma"/>
    <x v="1"/>
    <s v="Card"/>
    <s v="In Transit"/>
    <x v="2"/>
  </r>
  <r>
    <s v="Rohan Sharma"/>
    <s v="CUST1299"/>
    <d v="2025-06-29T00:00:00"/>
    <n v="112"/>
    <n v="14511.15"/>
    <n v="1978.23"/>
    <n v="12532.92"/>
    <s v="Apollo Pharma"/>
    <x v="1"/>
    <s v="Card"/>
    <s v="In Transit"/>
    <x v="3"/>
  </r>
  <r>
    <s v="Priya Joshi"/>
    <s v="CUST1300"/>
    <d v="2025-08-04T00:00:00"/>
    <n v="67"/>
    <n v="9622.76"/>
    <n v="4162.6499999999996"/>
    <n v="5460.11"/>
    <s v="CareMed"/>
    <x v="0"/>
    <s v="Cash"/>
    <s v="Cancelled"/>
    <x v="0"/>
  </r>
  <r>
    <s v="Anjali Sharma"/>
    <s v="CUST1301"/>
    <d v="2025-10-22T00:00:00"/>
    <n v="59"/>
    <n v="1890.45"/>
    <n v="252.68"/>
    <n v="1637.77"/>
    <s v="Apollo Pharma"/>
    <x v="3"/>
    <s v="Card"/>
    <s v="Delivered"/>
    <x v="0"/>
  </r>
  <r>
    <s v="Karan Joshi"/>
    <s v="CUST1302"/>
    <d v="2025-03-31T00:00:00"/>
    <n v="39"/>
    <n v="5933.74"/>
    <n v="929.22"/>
    <n v="5004.5200000000004"/>
    <s v="HealthPlus"/>
    <x v="2"/>
    <s v="UPI"/>
    <s v="Cancelled"/>
    <x v="1"/>
  </r>
  <r>
    <s v="Vikas Verma"/>
    <s v="CUST1303"/>
    <d v="2025-08-03T00:00:00"/>
    <n v="18"/>
    <n v="4713.13"/>
    <n v="2182.61"/>
    <n v="2530.52"/>
    <s v="Apollo Pharma"/>
    <x v="2"/>
    <s v="Card"/>
    <s v="Cancelled"/>
    <x v="3"/>
  </r>
  <r>
    <s v="Rohan Verma"/>
    <s v="CUST1304"/>
    <d v="2025-05-02T00:00:00"/>
    <n v="5"/>
    <n v="16173.8"/>
    <n v="6822.85"/>
    <n v="9350.9500000000007"/>
    <s v="Apollo Pharma"/>
    <x v="5"/>
    <s v="Cash"/>
    <s v="In Transit"/>
    <x v="0"/>
  </r>
  <r>
    <s v="Neha Patel"/>
    <s v="CUST1305"/>
    <d v="2025-11-26T00:00:00"/>
    <n v="119"/>
    <n v="11113.43"/>
    <n v="3916.68"/>
    <n v="7196.75"/>
    <s v="MediCare Distributors"/>
    <x v="2"/>
    <s v="UPI"/>
    <s v="Pending"/>
    <x v="1"/>
  </r>
  <r>
    <s v="Rahul Mehta"/>
    <s v="CUST1306"/>
    <d v="2025-05-14T00:00:00"/>
    <n v="197"/>
    <n v="5519.52"/>
    <n v="964.14"/>
    <n v="4555.38"/>
    <s v="CareMed"/>
    <x v="3"/>
    <s v="Bank Transfer"/>
    <s v="Pending"/>
    <x v="4"/>
  </r>
  <r>
    <s v="Neha Sharma"/>
    <s v="CUST1307"/>
    <d v="2025-08-29T00:00:00"/>
    <n v="40"/>
    <n v="16946.09"/>
    <n v="6833.17"/>
    <n v="10112.92"/>
    <s v="CareMed"/>
    <x v="4"/>
    <s v="Card"/>
    <s v="Cancelled"/>
    <x v="1"/>
  </r>
  <r>
    <s v="Priya Yadav"/>
    <s v="CUST1308"/>
    <d v="2025-02-02T00:00:00"/>
    <n v="182"/>
    <n v="2286.54"/>
    <n v="916.25"/>
    <n v="1370.29"/>
    <s v="CareMed"/>
    <x v="3"/>
    <s v="Cash"/>
    <s v="Cancelled"/>
    <x v="4"/>
  </r>
  <r>
    <s v="Neha Sharma"/>
    <s v="CUST1309"/>
    <d v="2025-04-14T00:00:00"/>
    <n v="118"/>
    <n v="10624.97"/>
    <n v="3230.18"/>
    <n v="7394.79"/>
    <s v="LifeLine Pharma"/>
    <x v="1"/>
    <s v="Bank Transfer"/>
    <s v="In Transit"/>
    <x v="3"/>
  </r>
  <r>
    <s v="Pooja Gupta"/>
    <s v="CUST1310"/>
    <d v="2025-12-08T00:00:00"/>
    <n v="65"/>
    <n v="10517.06"/>
    <n v="3543.5"/>
    <n v="6973.56"/>
    <s v="CareMed"/>
    <x v="7"/>
    <s v="UPI"/>
    <s v="Delivered"/>
    <x v="0"/>
  </r>
  <r>
    <s v="Priya Patel"/>
    <s v="CUST1311"/>
    <d v="2025-06-07T00:00:00"/>
    <n v="95"/>
    <n v="16854.73"/>
    <n v="7648.43"/>
    <n v="9206.2999999999993"/>
    <s v="LifeLine Pharma"/>
    <x v="1"/>
    <s v="Bank Transfer"/>
    <s v="In Transit"/>
    <x v="3"/>
  </r>
  <r>
    <s v="Anjali Sharma"/>
    <s v="CUST1312"/>
    <d v="2025-04-17T00:00:00"/>
    <n v="125"/>
    <n v="4054.19"/>
    <n v="2001.08"/>
    <n v="2053.11"/>
    <s v="LifeLine Pharma"/>
    <x v="2"/>
    <s v="Bank Transfer"/>
    <s v="Pending"/>
    <x v="3"/>
  </r>
  <r>
    <s v="Vikas Gupta"/>
    <s v="CUST1313"/>
    <d v="2025-08-02T00:00:00"/>
    <n v="37"/>
    <n v="425.92"/>
    <n v="174.27"/>
    <n v="251.65"/>
    <s v="LifeLine Pharma"/>
    <x v="6"/>
    <s v="Bank Transfer"/>
    <s v="Cancelled"/>
    <x v="4"/>
  </r>
  <r>
    <s v="Sneha Yadav"/>
    <s v="CUST1314"/>
    <d v="2025-08-14T00:00:00"/>
    <n v="53"/>
    <n v="9319.66"/>
    <n v="3109.78"/>
    <n v="6209.88"/>
    <s v="Apollo Pharma"/>
    <x v="0"/>
    <s v="UPI"/>
    <s v="Delivered"/>
    <x v="4"/>
  </r>
  <r>
    <s v="Vikas Mehta"/>
    <s v="CUST1315"/>
    <d v="2025-10-09T00:00:00"/>
    <n v="90"/>
    <n v="9355.2800000000007"/>
    <n v="3231.1"/>
    <n v="6124.18"/>
    <s v="LifeLine Pharma"/>
    <x v="5"/>
    <s v="Card"/>
    <s v="In Transit"/>
    <x v="4"/>
  </r>
  <r>
    <s v="Karan Yadav"/>
    <s v="CUST1316"/>
    <d v="2025-02-27T00:00:00"/>
    <n v="123"/>
    <n v="1448.34"/>
    <n v="532.15"/>
    <n v="916.19"/>
    <s v="HealthPlus"/>
    <x v="2"/>
    <s v="Cash"/>
    <s v="Delivered"/>
    <x v="4"/>
  </r>
  <r>
    <s v="Neha Joshi"/>
    <s v="CUST1317"/>
    <d v="2025-12-04T00:00:00"/>
    <n v="7"/>
    <n v="10239.18"/>
    <n v="2536.5500000000002"/>
    <n v="7702.63"/>
    <s v="HealthPlus"/>
    <x v="3"/>
    <s v="Bank Transfer"/>
    <s v="Cancelled"/>
    <x v="0"/>
  </r>
  <r>
    <s v="Anjali Yadav"/>
    <s v="CUST1318"/>
    <d v="2025-11-29T00:00:00"/>
    <n v="160"/>
    <n v="6598.24"/>
    <n v="2327.94"/>
    <n v="4270.3"/>
    <s v="CareMed"/>
    <x v="5"/>
    <s v="Bank Transfer"/>
    <s v="Cancelled"/>
    <x v="4"/>
  </r>
  <r>
    <s v="Rohan Sharma"/>
    <s v="CUST1319"/>
    <d v="2025-02-01T00:00:00"/>
    <n v="200"/>
    <n v="11005"/>
    <n v="2205.6799999999998"/>
    <n v="8799.32"/>
    <s v="CareMed"/>
    <x v="5"/>
    <s v="UPI"/>
    <s v="Cancelled"/>
    <x v="3"/>
  </r>
  <r>
    <s v="Anjali Yadav"/>
    <s v="CUST1320"/>
    <d v="2025-01-10T00:00:00"/>
    <n v="185"/>
    <n v="12740.57"/>
    <n v="5636.68"/>
    <n v="7103.89"/>
    <s v="MediCare Distributors"/>
    <x v="5"/>
    <s v="Bank Transfer"/>
    <s v="In Transit"/>
    <x v="2"/>
  </r>
  <r>
    <s v="Rohan Singh"/>
    <s v="CUST1321"/>
    <d v="2025-07-29T00:00:00"/>
    <n v="12"/>
    <n v="6127.91"/>
    <n v="726.62"/>
    <n v="5401.29"/>
    <s v="MediCare Distributors"/>
    <x v="1"/>
    <s v="UPI"/>
    <s v="Cancelled"/>
    <x v="2"/>
  </r>
  <r>
    <s v="Neha Gupta"/>
    <s v="CUST1322"/>
    <d v="2025-07-02T00:00:00"/>
    <n v="146"/>
    <n v="5177.4399999999996"/>
    <n v="691.56"/>
    <n v="4485.88"/>
    <s v="Apollo Pharma"/>
    <x v="5"/>
    <s v="UPI"/>
    <s v="Delivered"/>
    <x v="4"/>
  </r>
  <r>
    <s v="Vikas Yadav"/>
    <s v="CUST1323"/>
    <d v="2025-09-17T00:00:00"/>
    <n v="17"/>
    <n v="4459.9799999999996"/>
    <n v="597.4"/>
    <n v="3862.58"/>
    <s v="MediCare Distributors"/>
    <x v="7"/>
    <s v="Cash"/>
    <s v="Delivered"/>
    <x v="4"/>
  </r>
  <r>
    <s v="Sneha Mehta"/>
    <s v="CUST1324"/>
    <d v="2025-05-22T00:00:00"/>
    <n v="187"/>
    <n v="19591.22"/>
    <n v="3129.94"/>
    <n v="16461.28"/>
    <s v="HealthPlus"/>
    <x v="4"/>
    <s v="Card"/>
    <s v="Pending"/>
    <x v="4"/>
  </r>
  <r>
    <s v="Pooja Joshi"/>
    <s v="CUST1325"/>
    <d v="2025-11-20T00:00:00"/>
    <n v="153"/>
    <n v="15588.09"/>
    <n v="6264.56"/>
    <n v="9323.5300000000007"/>
    <s v="Apollo Pharma"/>
    <x v="1"/>
    <s v="Bank Transfer"/>
    <s v="In Transit"/>
    <x v="4"/>
  </r>
  <r>
    <s v="Anjali Joshi"/>
    <s v="CUST1326"/>
    <d v="2025-10-01T00:00:00"/>
    <n v="186"/>
    <n v="19827.13"/>
    <n v="9506.82"/>
    <n v="10320.31"/>
    <s v="CareMed"/>
    <x v="6"/>
    <s v="Card"/>
    <s v="Delivered"/>
    <x v="3"/>
  </r>
  <r>
    <s v="Neha Singh"/>
    <s v="CUST1327"/>
    <d v="2025-05-14T00:00:00"/>
    <n v="57"/>
    <n v="17626.849999999999"/>
    <n v="7059.64"/>
    <n v="10567.21"/>
    <s v="MediCare Distributors"/>
    <x v="5"/>
    <s v="Card"/>
    <s v="Cancelled"/>
    <x v="3"/>
  </r>
  <r>
    <s v="Rohan Gupta"/>
    <s v="CUST1328"/>
    <d v="2025-02-16T00:00:00"/>
    <n v="85"/>
    <n v="6051.78"/>
    <n v="2438.88"/>
    <n v="3612.9"/>
    <s v="CareMed"/>
    <x v="7"/>
    <s v="Cash"/>
    <s v="In Transit"/>
    <x v="2"/>
  </r>
  <r>
    <s v="Rahul Gupta"/>
    <s v="CUST1329"/>
    <d v="2025-11-18T00:00:00"/>
    <n v="111"/>
    <n v="3165.51"/>
    <n v="983.62"/>
    <n v="2181.89"/>
    <s v="Apollo Pharma"/>
    <x v="4"/>
    <s v="Card"/>
    <s v="Delivered"/>
    <x v="0"/>
  </r>
  <r>
    <s v="Vikas Singh"/>
    <s v="CUST1330"/>
    <d v="2025-08-09T00:00:00"/>
    <n v="126"/>
    <n v="18563.93"/>
    <n v="6338.88"/>
    <n v="12225.05"/>
    <s v="MediCare Distributors"/>
    <x v="1"/>
    <s v="Bank Transfer"/>
    <s v="Pending"/>
    <x v="4"/>
  </r>
  <r>
    <s v="Vikas Singh"/>
    <s v="CUST1331"/>
    <d v="2025-11-19T00:00:00"/>
    <n v="43"/>
    <n v="6788.61"/>
    <n v="1770.52"/>
    <n v="5018.09"/>
    <s v="CareMed"/>
    <x v="1"/>
    <s v="Cash"/>
    <s v="Delivered"/>
    <x v="0"/>
  </r>
  <r>
    <s v="Amit Patel"/>
    <s v="CUST1332"/>
    <d v="2025-07-21T00:00:00"/>
    <n v="189"/>
    <n v="268.95"/>
    <n v="76.34"/>
    <n v="192.61"/>
    <s v="LifeLine Pharma"/>
    <x v="5"/>
    <s v="UPI"/>
    <s v="Delivered"/>
    <x v="1"/>
  </r>
  <r>
    <s v="Rahul Yadav"/>
    <s v="CUST1333"/>
    <d v="2025-11-26T00:00:00"/>
    <n v="9"/>
    <n v="2756.32"/>
    <n v="293.60000000000002"/>
    <n v="2462.7199999999998"/>
    <s v="HealthPlus"/>
    <x v="4"/>
    <s v="Cash"/>
    <s v="Delivered"/>
    <x v="2"/>
  </r>
  <r>
    <s v="Neha Joshi"/>
    <s v="CUST1334"/>
    <d v="2025-06-13T00:00:00"/>
    <n v="26"/>
    <n v="874.95"/>
    <n v="233.48"/>
    <n v="641.47"/>
    <s v="Apollo Pharma"/>
    <x v="3"/>
    <s v="UPI"/>
    <s v="Pending"/>
    <x v="3"/>
  </r>
  <r>
    <s v="Rohan Yadav"/>
    <s v="CUST1335"/>
    <d v="2025-05-07T00:00:00"/>
    <n v="69"/>
    <n v="11908.07"/>
    <n v="3022.58"/>
    <n v="8885.49"/>
    <s v="CareMed"/>
    <x v="5"/>
    <s v="Card"/>
    <s v="Pending"/>
    <x v="4"/>
  </r>
  <r>
    <s v="Amit Yadav"/>
    <s v="CUST1336"/>
    <d v="2025-05-06T00:00:00"/>
    <n v="67"/>
    <n v="3232.14"/>
    <n v="612.72"/>
    <n v="2619.42"/>
    <s v="CareMed"/>
    <x v="5"/>
    <s v="Bank Transfer"/>
    <s v="Pending"/>
    <x v="4"/>
  </r>
  <r>
    <s v="Vikas Sharma"/>
    <s v="CUST1337"/>
    <d v="2025-03-14T00:00:00"/>
    <n v="87"/>
    <n v="13333.67"/>
    <n v="2960.56"/>
    <n v="10373.11"/>
    <s v="LifeLine Pharma"/>
    <x v="4"/>
    <s v="Card"/>
    <s v="In Transit"/>
    <x v="1"/>
  </r>
  <r>
    <s v="Rohan Gupta"/>
    <s v="CUST1338"/>
    <d v="2025-11-28T00:00:00"/>
    <n v="61"/>
    <n v="15905.72"/>
    <n v="2563.2199999999998"/>
    <n v="13342.5"/>
    <s v="HealthPlus"/>
    <x v="0"/>
    <s v="UPI"/>
    <s v="Cancelled"/>
    <x v="4"/>
  </r>
  <r>
    <s v="Neha Verma"/>
    <s v="CUST1339"/>
    <d v="2025-06-03T00:00:00"/>
    <n v="21"/>
    <n v="1269.0899999999999"/>
    <n v="190.29"/>
    <n v="1078.8"/>
    <s v="MediCare Distributors"/>
    <x v="5"/>
    <s v="Bank Transfer"/>
    <s v="Pending"/>
    <x v="1"/>
  </r>
  <r>
    <s v="Neha Patel"/>
    <s v="CUST1340"/>
    <d v="2025-01-12T00:00:00"/>
    <n v="198"/>
    <n v="6721.29"/>
    <n v="2500.4499999999998"/>
    <n v="4220.84"/>
    <s v="MediCare Distributors"/>
    <x v="7"/>
    <s v="Bank Transfer"/>
    <s v="Cancelled"/>
    <x v="2"/>
  </r>
  <r>
    <s v="Amit Joshi"/>
    <s v="CUST1341"/>
    <d v="2025-12-03T00:00:00"/>
    <n v="54"/>
    <n v="17922.23"/>
    <n v="4257.0200000000004"/>
    <n v="13665.21"/>
    <s v="HealthPlus"/>
    <x v="2"/>
    <s v="Bank Transfer"/>
    <s v="Pending"/>
    <x v="1"/>
  </r>
  <r>
    <s v="Anjali Patel"/>
    <s v="CUST1342"/>
    <d v="2025-03-28T00:00:00"/>
    <n v="9"/>
    <n v="16838.310000000001"/>
    <n v="3006.46"/>
    <n v="13831.85"/>
    <s v="LifeLine Pharma"/>
    <x v="2"/>
    <s v="Bank Transfer"/>
    <s v="Cancelled"/>
    <x v="1"/>
  </r>
  <r>
    <s v="Rohan Mehta"/>
    <s v="CUST1343"/>
    <d v="2025-12-02T00:00:00"/>
    <n v="35"/>
    <n v="16334.05"/>
    <n v="3297.64"/>
    <n v="13036.41"/>
    <s v="LifeLine Pharma"/>
    <x v="4"/>
    <s v="UPI"/>
    <s v="Delivered"/>
    <x v="1"/>
  </r>
  <r>
    <s v="Neha Joshi"/>
    <s v="CUST1344"/>
    <d v="2025-04-02T00:00:00"/>
    <n v="24"/>
    <n v="9789.19"/>
    <n v="1024.46"/>
    <n v="8764.73"/>
    <s v="MediCare Distributors"/>
    <x v="3"/>
    <s v="UPI"/>
    <s v="Pending"/>
    <x v="4"/>
  </r>
  <r>
    <s v="Karan Yadav"/>
    <s v="CUST1345"/>
    <d v="2025-07-14T00:00:00"/>
    <n v="52"/>
    <n v="14443.61"/>
    <n v="4807.58"/>
    <n v="9636.0300000000007"/>
    <s v="Apollo Pharma"/>
    <x v="4"/>
    <s v="Card"/>
    <s v="In Transit"/>
    <x v="2"/>
  </r>
  <r>
    <s v="Anjali Sharma"/>
    <s v="CUST1346"/>
    <d v="2025-01-30T00:00:00"/>
    <n v="124"/>
    <n v="15454.2"/>
    <n v="1735.36"/>
    <n v="13718.84"/>
    <s v="MediCare Distributors"/>
    <x v="0"/>
    <s v="UPI"/>
    <s v="In Transit"/>
    <x v="2"/>
  </r>
  <r>
    <s v="Karan Joshi"/>
    <s v="CUST1347"/>
    <d v="2025-06-28T00:00:00"/>
    <n v="101"/>
    <n v="17802.77"/>
    <n v="1825.63"/>
    <n v="15977.14"/>
    <s v="CareMed"/>
    <x v="0"/>
    <s v="Bank Transfer"/>
    <s v="Delivered"/>
    <x v="4"/>
  </r>
  <r>
    <s v="Sneha Joshi"/>
    <s v="CUST1348"/>
    <d v="2025-12-26T00:00:00"/>
    <n v="194"/>
    <n v="9183.08"/>
    <n v="3546.56"/>
    <n v="5636.52"/>
    <s v="Apollo Pharma"/>
    <x v="1"/>
    <s v="Cash"/>
    <s v="Cancelled"/>
    <x v="3"/>
  </r>
  <r>
    <s v="Rohan Yadav"/>
    <s v="CUST1349"/>
    <d v="2025-03-13T00:00:00"/>
    <n v="147"/>
    <n v="4695.8100000000004"/>
    <n v="1755.9"/>
    <n v="2939.91"/>
    <s v="CareMed"/>
    <x v="0"/>
    <s v="Bank Transfer"/>
    <s v="In Transit"/>
    <x v="3"/>
  </r>
  <r>
    <s v="Vikas Sharma"/>
    <s v="CUST1350"/>
    <d v="2025-10-15T00:00:00"/>
    <n v="59"/>
    <n v="13401.8"/>
    <n v="3594.02"/>
    <n v="9807.7800000000007"/>
    <s v="LifeLine Pharma"/>
    <x v="6"/>
    <s v="Cash"/>
    <s v="Pending"/>
    <x v="0"/>
  </r>
  <r>
    <s v="Rahul Singh"/>
    <s v="CUST1351"/>
    <d v="2025-02-23T00:00:00"/>
    <n v="116"/>
    <n v="4855.7"/>
    <n v="2423.48"/>
    <n v="2432.2199999999998"/>
    <s v="Apollo Pharma"/>
    <x v="5"/>
    <s v="Card"/>
    <s v="Cancelled"/>
    <x v="3"/>
  </r>
  <r>
    <s v="Rahul Joshi"/>
    <s v="CUST1352"/>
    <d v="2025-03-25T00:00:00"/>
    <n v="154"/>
    <n v="13299.95"/>
    <n v="4007.88"/>
    <n v="9292.07"/>
    <s v="CareMed"/>
    <x v="0"/>
    <s v="Card"/>
    <s v="Delivered"/>
    <x v="4"/>
  </r>
  <r>
    <s v="Priya Gupta"/>
    <s v="CUST1353"/>
    <d v="2025-02-17T00:00:00"/>
    <n v="186"/>
    <n v="6638.89"/>
    <n v="1872"/>
    <n v="4766.8900000000003"/>
    <s v="MediCare Distributors"/>
    <x v="3"/>
    <s v="Bank Transfer"/>
    <s v="Delivered"/>
    <x v="3"/>
  </r>
  <r>
    <s v="Anjali Singh"/>
    <s v="CUST1354"/>
    <d v="2025-09-18T00:00:00"/>
    <n v="6"/>
    <n v="2079.25"/>
    <n v="265.24"/>
    <n v="1814.01"/>
    <s v="HealthPlus"/>
    <x v="2"/>
    <s v="Card"/>
    <s v="In Transit"/>
    <x v="1"/>
  </r>
  <r>
    <s v="Rohan Verma"/>
    <s v="CUST1355"/>
    <d v="2025-02-13T00:00:00"/>
    <n v="53"/>
    <n v="14610.32"/>
    <n v="5192.92"/>
    <n v="9417.4"/>
    <s v="HealthPlus"/>
    <x v="6"/>
    <s v="Cash"/>
    <s v="Delivered"/>
    <x v="2"/>
  </r>
  <r>
    <s v="Neha Patel"/>
    <s v="CUST1356"/>
    <d v="2025-06-01T00:00:00"/>
    <n v="62"/>
    <n v="1413.05"/>
    <n v="271.11"/>
    <n v="1141.94"/>
    <s v="HealthPlus"/>
    <x v="2"/>
    <s v="Cash"/>
    <s v="Cancelled"/>
    <x v="1"/>
  </r>
  <r>
    <s v="Anjali Patel"/>
    <s v="CUST1357"/>
    <d v="2025-04-22T00:00:00"/>
    <n v="197"/>
    <n v="16720.310000000001"/>
    <n v="4784.74"/>
    <n v="11935.57"/>
    <s v="CareMed"/>
    <x v="5"/>
    <s v="Bank Transfer"/>
    <s v="In Transit"/>
    <x v="0"/>
  </r>
  <r>
    <s v="Amit Mehta"/>
    <s v="CUST1358"/>
    <d v="2025-02-03T00:00:00"/>
    <n v="24"/>
    <n v="7129.48"/>
    <n v="2458.58"/>
    <n v="4670.8999999999996"/>
    <s v="MediCare Distributors"/>
    <x v="6"/>
    <s v="Cash"/>
    <s v="Delivered"/>
    <x v="4"/>
  </r>
  <r>
    <s v="Amit Verma"/>
    <s v="CUST1359"/>
    <d v="2025-01-11T00:00:00"/>
    <n v="88"/>
    <n v="3290.76"/>
    <n v="572.30999999999995"/>
    <n v="2718.45"/>
    <s v="CareMed"/>
    <x v="0"/>
    <s v="Bank Transfer"/>
    <s v="In Transit"/>
    <x v="1"/>
  </r>
  <r>
    <s v="Rahul Mehta"/>
    <s v="CUST1360"/>
    <d v="2025-06-22T00:00:00"/>
    <n v="194"/>
    <n v="8704.7900000000009"/>
    <n v="1541.53"/>
    <n v="7163.26"/>
    <s v="LifeLine Pharma"/>
    <x v="0"/>
    <s v="UPI"/>
    <s v="Pending"/>
    <x v="0"/>
  </r>
  <r>
    <s v="Pooja Yadav"/>
    <s v="CUST1361"/>
    <d v="2025-07-19T00:00:00"/>
    <n v="151"/>
    <n v="14979.91"/>
    <n v="7089.09"/>
    <n v="7890.82"/>
    <s v="MediCare Distributors"/>
    <x v="7"/>
    <s v="Bank Transfer"/>
    <s v="Cancelled"/>
    <x v="1"/>
  </r>
  <r>
    <s v="Anjali Mehta"/>
    <s v="CUST1362"/>
    <d v="2025-10-18T00:00:00"/>
    <n v="11"/>
    <n v="823.95"/>
    <n v="349.99"/>
    <n v="473.96"/>
    <s v="CareMed"/>
    <x v="4"/>
    <s v="Cash"/>
    <s v="In Transit"/>
    <x v="1"/>
  </r>
  <r>
    <s v="Anjali Gupta"/>
    <s v="CUST1363"/>
    <d v="2025-06-05T00:00:00"/>
    <n v="2"/>
    <n v="19394.72"/>
    <n v="3010.01"/>
    <n v="16384.71"/>
    <s v="Apollo Pharma"/>
    <x v="2"/>
    <s v="Cash"/>
    <s v="Delivered"/>
    <x v="2"/>
  </r>
  <r>
    <s v="Pooja Verma"/>
    <s v="CUST1364"/>
    <d v="2025-08-07T00:00:00"/>
    <n v="127"/>
    <n v="11116.34"/>
    <n v="3105.44"/>
    <n v="8010.9"/>
    <s v="HealthPlus"/>
    <x v="5"/>
    <s v="Cash"/>
    <s v="In Transit"/>
    <x v="3"/>
  </r>
  <r>
    <s v="Priya Joshi"/>
    <s v="CUST1365"/>
    <d v="2025-07-23T00:00:00"/>
    <n v="109"/>
    <n v="5939.68"/>
    <n v="929.78"/>
    <n v="5009.8999999999996"/>
    <s v="Apollo Pharma"/>
    <x v="6"/>
    <s v="UPI"/>
    <s v="In Transit"/>
    <x v="0"/>
  </r>
  <r>
    <s v="Rohan Verma"/>
    <s v="CUST1366"/>
    <d v="2025-09-14T00:00:00"/>
    <n v="88"/>
    <n v="17009.77"/>
    <n v="1828.14"/>
    <n v="15181.63"/>
    <s v="CareMed"/>
    <x v="4"/>
    <s v="Cash"/>
    <s v="Cancelled"/>
    <x v="0"/>
  </r>
  <r>
    <s v="Vikas Joshi"/>
    <s v="CUST1367"/>
    <d v="2025-10-07T00:00:00"/>
    <n v="6"/>
    <n v="620.34"/>
    <n v="239.41"/>
    <n v="380.93"/>
    <s v="MediCare Distributors"/>
    <x v="5"/>
    <s v="UPI"/>
    <s v="Delivered"/>
    <x v="1"/>
  </r>
  <r>
    <s v="Anjali Patel"/>
    <s v="CUST1368"/>
    <d v="2025-04-01T00:00:00"/>
    <n v="68"/>
    <n v="15383.18"/>
    <n v="5732.93"/>
    <n v="9650.25"/>
    <s v="Apollo Pharma"/>
    <x v="2"/>
    <s v="UPI"/>
    <s v="Delivered"/>
    <x v="2"/>
  </r>
  <r>
    <s v="Priya Sharma"/>
    <s v="CUST1369"/>
    <d v="2025-03-10T00:00:00"/>
    <n v="80"/>
    <n v="16845.2"/>
    <n v="4715.25"/>
    <n v="12129.95"/>
    <s v="CareMed"/>
    <x v="5"/>
    <s v="Card"/>
    <s v="In Transit"/>
    <x v="1"/>
  </r>
  <r>
    <s v="Amit Gupta"/>
    <s v="CUST1370"/>
    <d v="2025-11-22T00:00:00"/>
    <n v="11"/>
    <n v="6306.65"/>
    <n v="938.52"/>
    <n v="5368.13"/>
    <s v="Apollo Pharma"/>
    <x v="4"/>
    <s v="Card"/>
    <s v="Delivered"/>
    <x v="0"/>
  </r>
  <r>
    <s v="Neha Patel"/>
    <s v="CUST1371"/>
    <d v="2025-02-07T00:00:00"/>
    <n v="151"/>
    <n v="179.79"/>
    <n v="25.79"/>
    <n v="154"/>
    <s v="Apollo Pharma"/>
    <x v="7"/>
    <s v="Card"/>
    <s v="Cancelled"/>
    <x v="3"/>
  </r>
  <r>
    <s v="Karan Patel"/>
    <s v="CUST1372"/>
    <d v="2025-09-10T00:00:00"/>
    <n v="41"/>
    <n v="11857.99"/>
    <n v="3267.16"/>
    <n v="8590.83"/>
    <s v="MediCare Distributors"/>
    <x v="5"/>
    <s v="Card"/>
    <s v="Pending"/>
    <x v="3"/>
  </r>
  <r>
    <s v="Neha Patel"/>
    <s v="CUST1373"/>
    <d v="2025-03-14T00:00:00"/>
    <n v="5"/>
    <n v="9459.2800000000007"/>
    <n v="1972.26"/>
    <n v="7487.02"/>
    <s v="MediCare Distributors"/>
    <x v="2"/>
    <s v="UPI"/>
    <s v="Cancelled"/>
    <x v="2"/>
  </r>
  <r>
    <s v="Rahul Joshi"/>
    <s v="CUST1374"/>
    <d v="2025-12-03T00:00:00"/>
    <n v="187"/>
    <n v="15547.62"/>
    <n v="6607.43"/>
    <n v="8940.19"/>
    <s v="CareMed"/>
    <x v="0"/>
    <s v="Cash"/>
    <s v="Cancelled"/>
    <x v="3"/>
  </r>
  <r>
    <s v="Priya Gupta"/>
    <s v="CUST1375"/>
    <d v="2025-09-27T00:00:00"/>
    <n v="136"/>
    <n v="5924.86"/>
    <n v="2639.62"/>
    <n v="3285.24"/>
    <s v="CareMed"/>
    <x v="1"/>
    <s v="Card"/>
    <s v="In Transit"/>
    <x v="3"/>
  </r>
  <r>
    <s v="Priya Patel"/>
    <s v="CUST1376"/>
    <d v="2025-10-19T00:00:00"/>
    <n v="108"/>
    <n v="5174.49"/>
    <n v="1334.49"/>
    <n v="3840"/>
    <s v="Apollo Pharma"/>
    <x v="5"/>
    <s v="Bank Transfer"/>
    <s v="Pending"/>
    <x v="0"/>
  </r>
  <r>
    <s v="Vikas Verma"/>
    <s v="CUST1377"/>
    <d v="2025-02-25T00:00:00"/>
    <n v="48"/>
    <n v="16307.48"/>
    <n v="4369.07"/>
    <n v="11938.41"/>
    <s v="MediCare Distributors"/>
    <x v="2"/>
    <s v="Cash"/>
    <s v="Pending"/>
    <x v="2"/>
  </r>
  <r>
    <s v="Priya Sharma"/>
    <s v="CUST1378"/>
    <d v="2025-12-05T00:00:00"/>
    <n v="19"/>
    <n v="13712.96"/>
    <n v="6127.16"/>
    <n v="7585.8"/>
    <s v="MediCare Distributors"/>
    <x v="6"/>
    <s v="Cash"/>
    <s v="Delivered"/>
    <x v="4"/>
  </r>
  <r>
    <s v="Priya Patel"/>
    <s v="CUST1379"/>
    <d v="2025-07-01T00:00:00"/>
    <n v="179"/>
    <n v="373.82"/>
    <n v="170.92"/>
    <n v="202.9"/>
    <s v="MediCare Distributors"/>
    <x v="7"/>
    <s v="UPI"/>
    <s v="Pending"/>
    <x v="3"/>
  </r>
  <r>
    <s v="Amit Mehta"/>
    <s v="CUST1380"/>
    <d v="2025-12-21T00:00:00"/>
    <n v="106"/>
    <n v="7636.62"/>
    <n v="2233.36"/>
    <n v="5403.26"/>
    <s v="HealthPlus"/>
    <x v="7"/>
    <s v="UPI"/>
    <s v="Pending"/>
    <x v="0"/>
  </r>
  <r>
    <s v="Priya Gupta"/>
    <s v="CUST1381"/>
    <d v="2025-10-04T00:00:00"/>
    <n v="49"/>
    <n v="17412.03"/>
    <n v="2729.42"/>
    <n v="14682.61"/>
    <s v="MediCare Distributors"/>
    <x v="7"/>
    <s v="Bank Transfer"/>
    <s v="In Transit"/>
    <x v="0"/>
  </r>
  <r>
    <s v="Rohan Sharma"/>
    <s v="CUST1382"/>
    <d v="2025-10-01T00:00:00"/>
    <n v="1"/>
    <n v="8722.5400000000009"/>
    <n v="3807.89"/>
    <n v="4914.6499999999996"/>
    <s v="Apollo Pharma"/>
    <x v="7"/>
    <s v="Card"/>
    <s v="Pending"/>
    <x v="4"/>
  </r>
  <r>
    <s v="Rohan Patel"/>
    <s v="CUST1383"/>
    <d v="2025-08-03T00:00:00"/>
    <n v="37"/>
    <n v="5740.58"/>
    <n v="2463.7199999999998"/>
    <n v="3276.86"/>
    <s v="Apollo Pharma"/>
    <x v="7"/>
    <s v="Cash"/>
    <s v="Cancelled"/>
    <x v="3"/>
  </r>
  <r>
    <s v="Anjali Joshi"/>
    <s v="CUST1384"/>
    <d v="2025-02-17T00:00:00"/>
    <n v="58"/>
    <n v="9041.93"/>
    <n v="2031.07"/>
    <n v="7010.86"/>
    <s v="HealthPlus"/>
    <x v="7"/>
    <s v="Bank Transfer"/>
    <s v="In Transit"/>
    <x v="2"/>
  </r>
  <r>
    <s v="Neha Yadav"/>
    <s v="CUST1385"/>
    <d v="2025-12-24T00:00:00"/>
    <n v="113"/>
    <n v="18105.650000000001"/>
    <n v="8928.65"/>
    <n v="9177"/>
    <s v="MediCare Distributors"/>
    <x v="7"/>
    <s v="Bank Transfer"/>
    <s v="Pending"/>
    <x v="4"/>
  </r>
  <r>
    <s v="Karan Verma"/>
    <s v="CUST1386"/>
    <d v="2025-12-19T00:00:00"/>
    <n v="69"/>
    <n v="14452.73"/>
    <n v="4208.47"/>
    <n v="10244.26"/>
    <s v="Apollo Pharma"/>
    <x v="6"/>
    <s v="Card"/>
    <s v="Cancelled"/>
    <x v="2"/>
  </r>
  <r>
    <s v="Rahul Patel"/>
    <s v="CUST1387"/>
    <d v="2025-07-24T00:00:00"/>
    <n v="28"/>
    <n v="4900.3900000000003"/>
    <n v="1895.84"/>
    <n v="3004.55"/>
    <s v="MediCare Distributors"/>
    <x v="2"/>
    <s v="Bank Transfer"/>
    <s v="Delivered"/>
    <x v="2"/>
  </r>
  <r>
    <s v="Neha Sharma"/>
    <s v="CUST1388"/>
    <d v="2025-02-28T00:00:00"/>
    <n v="197"/>
    <n v="13823.79"/>
    <n v="3849.25"/>
    <n v="9974.5400000000009"/>
    <s v="CareMed"/>
    <x v="4"/>
    <s v="Cash"/>
    <s v="Cancelled"/>
    <x v="0"/>
  </r>
  <r>
    <s v="Priya Verma"/>
    <s v="CUST1389"/>
    <d v="2025-01-04T00:00:00"/>
    <n v="188"/>
    <n v="6196.13"/>
    <n v="1204.1300000000001"/>
    <n v="4992"/>
    <s v="HealthPlus"/>
    <x v="6"/>
    <s v="UPI"/>
    <s v="Cancelled"/>
    <x v="1"/>
  </r>
  <r>
    <s v="Pooja Mehta"/>
    <s v="CUST1390"/>
    <d v="2025-05-14T00:00:00"/>
    <n v="98"/>
    <n v="9489.9"/>
    <n v="3999.92"/>
    <n v="5489.98"/>
    <s v="MediCare Distributors"/>
    <x v="4"/>
    <s v="Cash"/>
    <s v="In Transit"/>
    <x v="1"/>
  </r>
  <r>
    <s v="Anjali Yadav"/>
    <s v="CUST1391"/>
    <d v="2025-06-01T00:00:00"/>
    <n v="62"/>
    <n v="10696.47"/>
    <n v="3238.25"/>
    <n v="7458.22"/>
    <s v="LifeLine Pharma"/>
    <x v="3"/>
    <s v="Cash"/>
    <s v="Delivered"/>
    <x v="1"/>
  </r>
  <r>
    <s v="Pooja Verma"/>
    <s v="CUST1392"/>
    <d v="2025-10-20T00:00:00"/>
    <n v="106"/>
    <n v="17344.38"/>
    <n v="7250.23"/>
    <n v="10094.15"/>
    <s v="LifeLine Pharma"/>
    <x v="5"/>
    <s v="Cash"/>
    <s v="Cancelled"/>
    <x v="2"/>
  </r>
  <r>
    <s v="Neha Singh"/>
    <s v="CUST1393"/>
    <d v="2025-05-29T00:00:00"/>
    <n v="55"/>
    <n v="4447.5600000000004"/>
    <n v="2051.4699999999998"/>
    <n v="2396.09"/>
    <s v="HealthPlus"/>
    <x v="3"/>
    <s v="Bank Transfer"/>
    <s v="Delivered"/>
    <x v="0"/>
  </r>
  <r>
    <s v="Vikas Yadav"/>
    <s v="CUST1394"/>
    <d v="2025-08-25T00:00:00"/>
    <n v="24"/>
    <n v="6882.2"/>
    <n v="2789.47"/>
    <n v="4092.73"/>
    <s v="Apollo Pharma"/>
    <x v="5"/>
    <s v="Card"/>
    <s v="Pending"/>
    <x v="1"/>
  </r>
  <r>
    <s v="Rahul Yadav"/>
    <s v="CUST1395"/>
    <d v="2025-06-03T00:00:00"/>
    <n v="71"/>
    <n v="10867.4"/>
    <n v="2576.46"/>
    <n v="8290.94"/>
    <s v="Apollo Pharma"/>
    <x v="7"/>
    <s v="UPI"/>
    <s v="Cancelled"/>
    <x v="0"/>
  </r>
  <r>
    <s v="Anjali Patel"/>
    <s v="CUST1396"/>
    <d v="2025-10-22T00:00:00"/>
    <n v="129"/>
    <n v="11699.3"/>
    <n v="1521.79"/>
    <n v="10177.51"/>
    <s v="HealthPlus"/>
    <x v="3"/>
    <s v="Bank Transfer"/>
    <s v="In Transit"/>
    <x v="3"/>
  </r>
  <r>
    <s v="Anjali Yadav"/>
    <s v="CUST1397"/>
    <d v="2025-01-22T00:00:00"/>
    <n v="179"/>
    <n v="3369.46"/>
    <n v="688.85"/>
    <n v="2680.61"/>
    <s v="CareMed"/>
    <x v="3"/>
    <s v="Card"/>
    <s v="Pending"/>
    <x v="2"/>
  </r>
  <r>
    <s v="Neha Verma"/>
    <s v="CUST1398"/>
    <d v="2025-04-20T00:00:00"/>
    <n v="189"/>
    <n v="999.56"/>
    <n v="428.05"/>
    <n v="571.51"/>
    <s v="MediCare Distributors"/>
    <x v="0"/>
    <s v="UPI"/>
    <s v="In Transit"/>
    <x v="4"/>
  </r>
  <r>
    <s v="Sneha Sharma"/>
    <s v="CUST1399"/>
    <d v="2025-01-01T00:00:00"/>
    <n v="116"/>
    <n v="4589.9399999999996"/>
    <n v="2048"/>
    <n v="2541.94"/>
    <s v="Apollo Pharma"/>
    <x v="0"/>
    <s v="Card"/>
    <s v="In Transit"/>
    <x v="0"/>
  </r>
  <r>
    <s v="Rohan Verma"/>
    <s v="CUST1400"/>
    <d v="2025-09-17T00:00:00"/>
    <n v="17"/>
    <n v="16689.03"/>
    <n v="7282.63"/>
    <n v="9406.4"/>
    <s v="LifeLine Pharma"/>
    <x v="3"/>
    <s v="UPI"/>
    <s v="In Transit"/>
    <x v="1"/>
  </r>
  <r>
    <s v="Rahul Verma"/>
    <s v="CUST1401"/>
    <d v="2025-11-30T00:00:00"/>
    <n v="108"/>
    <n v="2259.64"/>
    <n v="438.9"/>
    <n v="1820.74"/>
    <s v="MediCare Distributors"/>
    <x v="5"/>
    <s v="UPI"/>
    <s v="Cancelled"/>
    <x v="4"/>
  </r>
  <r>
    <s v="Amit Gupta"/>
    <s v="CUST1402"/>
    <d v="2025-04-17T00:00:00"/>
    <n v="180"/>
    <n v="16270.73"/>
    <n v="6403.25"/>
    <n v="9867.48"/>
    <s v="CareMed"/>
    <x v="4"/>
    <s v="Bank Transfer"/>
    <s v="Pending"/>
    <x v="4"/>
  </r>
  <r>
    <s v="Pooja Singh"/>
    <s v="CUST1403"/>
    <d v="2025-10-18T00:00:00"/>
    <n v="109"/>
    <n v="3525.49"/>
    <n v="582.85"/>
    <n v="2942.64"/>
    <s v="LifeLine Pharma"/>
    <x v="6"/>
    <s v="Card"/>
    <s v="In Transit"/>
    <x v="2"/>
  </r>
  <r>
    <s v="Pooja Singh"/>
    <s v="CUST1404"/>
    <d v="2025-06-29T00:00:00"/>
    <n v="198"/>
    <n v="16728.91"/>
    <n v="7051.1"/>
    <n v="9677.81"/>
    <s v="HealthPlus"/>
    <x v="1"/>
    <s v="Bank Transfer"/>
    <s v="Delivered"/>
    <x v="2"/>
  </r>
  <r>
    <s v="Pooja Patel"/>
    <s v="CUST1405"/>
    <d v="2025-09-25T00:00:00"/>
    <n v="178"/>
    <n v="2622.9"/>
    <n v="1255.01"/>
    <n v="1367.89"/>
    <s v="CareMed"/>
    <x v="5"/>
    <s v="Bank Transfer"/>
    <s v="Cancelled"/>
    <x v="0"/>
  </r>
  <r>
    <s v="Pooja Verma"/>
    <s v="CUST1406"/>
    <d v="2025-12-14T00:00:00"/>
    <n v="133"/>
    <n v="3677.87"/>
    <n v="550.5"/>
    <n v="3127.37"/>
    <s v="MediCare Distributors"/>
    <x v="0"/>
    <s v="Cash"/>
    <s v="Delivered"/>
    <x v="0"/>
  </r>
  <r>
    <s v="Priya Patel"/>
    <s v="CUST1407"/>
    <d v="2025-01-09T00:00:00"/>
    <n v="135"/>
    <n v="10797.57"/>
    <n v="4277.3100000000004"/>
    <n v="6520.26"/>
    <s v="HealthPlus"/>
    <x v="2"/>
    <s v="UPI"/>
    <s v="Delivered"/>
    <x v="0"/>
  </r>
  <r>
    <s v="Rohan Yadav"/>
    <s v="CUST1408"/>
    <d v="2025-05-04T00:00:00"/>
    <n v="36"/>
    <n v="16077.11"/>
    <n v="6620.5"/>
    <n v="9456.61"/>
    <s v="Apollo Pharma"/>
    <x v="2"/>
    <s v="Bank Transfer"/>
    <s v="Delivered"/>
    <x v="3"/>
  </r>
  <r>
    <s v="Rohan Patel"/>
    <s v="CUST1409"/>
    <d v="2025-01-21T00:00:00"/>
    <n v="195"/>
    <n v="6504.66"/>
    <n v="2823.97"/>
    <n v="3680.69"/>
    <s v="HealthPlus"/>
    <x v="4"/>
    <s v="Cash"/>
    <s v="Delivered"/>
    <x v="0"/>
  </r>
  <r>
    <s v="Rahul Sharma"/>
    <s v="CUST1410"/>
    <d v="2025-08-08T00:00:00"/>
    <n v="171"/>
    <n v="13848.58"/>
    <n v="2144.39"/>
    <n v="11704.19"/>
    <s v="Apollo Pharma"/>
    <x v="5"/>
    <s v="Card"/>
    <s v="Pending"/>
    <x v="3"/>
  </r>
  <r>
    <s v="Pooja Patel"/>
    <s v="CUST1411"/>
    <d v="2025-01-27T00:00:00"/>
    <n v="177"/>
    <n v="3889.4"/>
    <n v="461.92"/>
    <n v="3427.48"/>
    <s v="Apollo Pharma"/>
    <x v="7"/>
    <s v="Card"/>
    <s v="Delivered"/>
    <x v="1"/>
  </r>
  <r>
    <s v="Pooja Sharma"/>
    <s v="CUST1412"/>
    <d v="2025-08-21T00:00:00"/>
    <n v="39"/>
    <n v="19769.22"/>
    <n v="7410.74"/>
    <n v="12358.48"/>
    <s v="Apollo Pharma"/>
    <x v="6"/>
    <s v="Card"/>
    <s v="In Transit"/>
    <x v="0"/>
  </r>
  <r>
    <s v="Neha Patel"/>
    <s v="CUST1413"/>
    <d v="2025-09-01T00:00:00"/>
    <n v="38"/>
    <n v="12046.93"/>
    <n v="3246"/>
    <n v="8800.93"/>
    <s v="LifeLine Pharma"/>
    <x v="6"/>
    <s v="Bank Transfer"/>
    <s v="Delivered"/>
    <x v="4"/>
  </r>
  <r>
    <s v="Neha Verma"/>
    <s v="CUST1414"/>
    <d v="2025-10-12T00:00:00"/>
    <n v="196"/>
    <n v="5850.65"/>
    <n v="1470.49"/>
    <n v="4380.16"/>
    <s v="Apollo Pharma"/>
    <x v="4"/>
    <s v="Bank Transfer"/>
    <s v="Cancelled"/>
    <x v="2"/>
  </r>
  <r>
    <s v="Rahul Gupta"/>
    <s v="CUST1415"/>
    <d v="2025-10-03T00:00:00"/>
    <n v="7"/>
    <n v="978.51"/>
    <n v="470.13"/>
    <n v="508.38"/>
    <s v="HealthPlus"/>
    <x v="0"/>
    <s v="Bank Transfer"/>
    <s v="In Transit"/>
    <x v="3"/>
  </r>
  <r>
    <s v="Anjali Patel"/>
    <s v="CUST1416"/>
    <d v="2025-07-19T00:00:00"/>
    <n v="186"/>
    <n v="10366.23"/>
    <n v="2985.33"/>
    <n v="7380.9"/>
    <s v="LifeLine Pharma"/>
    <x v="1"/>
    <s v="Cash"/>
    <s v="Pending"/>
    <x v="3"/>
  </r>
  <r>
    <s v="Rohan Verma"/>
    <s v="CUST1417"/>
    <d v="2025-09-13T00:00:00"/>
    <n v="69"/>
    <n v="10282.48"/>
    <n v="1066.6300000000001"/>
    <n v="9215.85"/>
    <s v="HealthPlus"/>
    <x v="3"/>
    <s v="Card"/>
    <s v="In Transit"/>
    <x v="3"/>
  </r>
  <r>
    <s v="Neha Gupta"/>
    <s v="CUST1418"/>
    <d v="2025-02-07T00:00:00"/>
    <n v="11"/>
    <n v="11095.61"/>
    <n v="5373.04"/>
    <n v="5722.57"/>
    <s v="LifeLine Pharma"/>
    <x v="3"/>
    <s v="Bank Transfer"/>
    <s v="Pending"/>
    <x v="3"/>
  </r>
  <r>
    <s v="Priya Gupta"/>
    <s v="CUST1419"/>
    <d v="2025-01-13T00:00:00"/>
    <n v="158"/>
    <n v="11209.42"/>
    <n v="2833.33"/>
    <n v="8376.09"/>
    <s v="Apollo Pharma"/>
    <x v="2"/>
    <s v="UPI"/>
    <s v="Delivered"/>
    <x v="4"/>
  </r>
  <r>
    <s v="Rahul Joshi"/>
    <s v="CUST1420"/>
    <d v="2025-01-31T00:00:00"/>
    <n v="13"/>
    <n v="18569.96"/>
    <n v="2857.91"/>
    <n v="15712.05"/>
    <s v="HealthPlus"/>
    <x v="5"/>
    <s v="Cash"/>
    <s v="In Transit"/>
    <x v="2"/>
  </r>
  <r>
    <s v="Vikas Verma"/>
    <s v="CUST1421"/>
    <d v="2025-03-14T00:00:00"/>
    <n v="122"/>
    <n v="10019.1"/>
    <n v="1278.8399999999999"/>
    <n v="8740.26"/>
    <s v="CareMed"/>
    <x v="0"/>
    <s v="Bank Transfer"/>
    <s v="Pending"/>
    <x v="1"/>
  </r>
  <r>
    <s v="Karan Patel"/>
    <s v="CUST1422"/>
    <d v="2025-03-09T00:00:00"/>
    <n v="69"/>
    <n v="4920.32"/>
    <n v="1135.6099999999999"/>
    <n v="3784.71"/>
    <s v="MediCare Distributors"/>
    <x v="1"/>
    <s v="Card"/>
    <s v="Pending"/>
    <x v="1"/>
  </r>
  <r>
    <s v="Karan Joshi"/>
    <s v="CUST1423"/>
    <d v="2025-11-14T00:00:00"/>
    <n v="77"/>
    <n v="3256"/>
    <n v="1311.89"/>
    <n v="1944.11"/>
    <s v="LifeLine Pharma"/>
    <x v="2"/>
    <s v="Card"/>
    <s v="Cancelled"/>
    <x v="4"/>
  </r>
  <r>
    <s v="Priya Patel"/>
    <s v="CUST1424"/>
    <d v="2025-08-17T00:00:00"/>
    <n v="200"/>
    <n v="5111.8100000000004"/>
    <n v="1611.31"/>
    <n v="3500.5"/>
    <s v="Apollo Pharma"/>
    <x v="1"/>
    <s v="Card"/>
    <s v="Cancelled"/>
    <x v="0"/>
  </r>
  <r>
    <s v="Neha Mehta"/>
    <s v="CUST1425"/>
    <d v="2025-05-16T00:00:00"/>
    <n v="96"/>
    <n v="15177.39"/>
    <n v="2329.59"/>
    <n v="12847.8"/>
    <s v="Apollo Pharma"/>
    <x v="2"/>
    <s v="Bank Transfer"/>
    <s v="Pending"/>
    <x v="0"/>
  </r>
  <r>
    <s v="Anjali Mehta"/>
    <s v="CUST1426"/>
    <d v="2025-02-26T00:00:00"/>
    <n v="175"/>
    <n v="3820.41"/>
    <n v="1617.3"/>
    <n v="2203.11"/>
    <s v="Apollo Pharma"/>
    <x v="5"/>
    <s v="Bank Transfer"/>
    <s v="Cancelled"/>
    <x v="3"/>
  </r>
  <r>
    <s v="Vikas Gupta"/>
    <s v="CUST1427"/>
    <d v="2025-04-09T00:00:00"/>
    <n v="72"/>
    <n v="17275.38"/>
    <n v="5092.92"/>
    <n v="12182.46"/>
    <s v="CareMed"/>
    <x v="3"/>
    <s v="UPI"/>
    <s v="Delivered"/>
    <x v="1"/>
  </r>
  <r>
    <s v="Anjali Singh"/>
    <s v="CUST1428"/>
    <d v="2025-09-09T00:00:00"/>
    <n v="179"/>
    <n v="10069.299999999999"/>
    <n v="4315.88"/>
    <n v="5753.42"/>
    <s v="HealthPlus"/>
    <x v="4"/>
    <s v="UPI"/>
    <s v="Cancelled"/>
    <x v="4"/>
  </r>
  <r>
    <s v="Pooja Sharma"/>
    <s v="CUST1429"/>
    <d v="2025-07-06T00:00:00"/>
    <n v="177"/>
    <n v="6864.59"/>
    <n v="2636.84"/>
    <n v="4227.75"/>
    <s v="Apollo Pharma"/>
    <x v="6"/>
    <s v="UPI"/>
    <s v="Pending"/>
    <x v="3"/>
  </r>
  <r>
    <s v="Priya Singh"/>
    <s v="CUST1430"/>
    <d v="2025-05-04T00:00:00"/>
    <n v="91"/>
    <n v="3967.15"/>
    <n v="1148.55"/>
    <n v="2818.6"/>
    <s v="CareMed"/>
    <x v="4"/>
    <s v="Cash"/>
    <s v="Cancelled"/>
    <x v="4"/>
  </r>
  <r>
    <s v="Priya Verma"/>
    <s v="CUST1431"/>
    <d v="2025-03-13T00:00:00"/>
    <n v="27"/>
    <n v="1892.15"/>
    <n v="407.72"/>
    <n v="1484.43"/>
    <s v="LifeLine Pharma"/>
    <x v="7"/>
    <s v="Cash"/>
    <s v="Delivered"/>
    <x v="3"/>
  </r>
  <r>
    <s v="Pooja Singh"/>
    <s v="CUST1432"/>
    <d v="2025-09-10T00:00:00"/>
    <n v="152"/>
    <n v="1919.23"/>
    <n v="438.52"/>
    <n v="1480.71"/>
    <s v="LifeLine Pharma"/>
    <x v="0"/>
    <s v="UPI"/>
    <s v="Cancelled"/>
    <x v="3"/>
  </r>
  <r>
    <s v="Anjali Singh"/>
    <s v="CUST1433"/>
    <d v="2025-11-30T00:00:00"/>
    <n v="105"/>
    <n v="17110.79"/>
    <n v="3604.49"/>
    <n v="13506.3"/>
    <s v="Apollo Pharma"/>
    <x v="7"/>
    <s v="Card"/>
    <s v="Cancelled"/>
    <x v="3"/>
  </r>
  <r>
    <s v="Amit Yadav"/>
    <s v="CUST1434"/>
    <d v="2025-01-28T00:00:00"/>
    <n v="105"/>
    <n v="15600.38"/>
    <n v="3305.5"/>
    <n v="12294.88"/>
    <s v="CareMed"/>
    <x v="3"/>
    <s v="Cash"/>
    <s v="Pending"/>
    <x v="2"/>
  </r>
  <r>
    <s v="Priya Sharma"/>
    <s v="CUST1435"/>
    <d v="2025-11-28T00:00:00"/>
    <n v="8"/>
    <n v="11763.2"/>
    <n v="4307.2700000000004"/>
    <n v="7455.93"/>
    <s v="LifeLine Pharma"/>
    <x v="5"/>
    <s v="UPI"/>
    <s v="Delivered"/>
    <x v="2"/>
  </r>
  <r>
    <s v="Priya Gupta"/>
    <s v="CUST1436"/>
    <d v="2025-12-15T00:00:00"/>
    <n v="121"/>
    <n v="12772.99"/>
    <n v="3845.43"/>
    <n v="8927.56"/>
    <s v="HealthPlus"/>
    <x v="5"/>
    <s v="Bank Transfer"/>
    <s v="Delivered"/>
    <x v="2"/>
  </r>
  <r>
    <s v="Pooja Singh"/>
    <s v="CUST1437"/>
    <d v="2025-11-14T00:00:00"/>
    <n v="95"/>
    <n v="12233.88"/>
    <n v="4424.79"/>
    <n v="7809.09"/>
    <s v="Apollo Pharma"/>
    <x v="5"/>
    <s v="Card"/>
    <s v="Delivered"/>
    <x v="1"/>
  </r>
  <r>
    <s v="Amit Joshi"/>
    <s v="CUST1438"/>
    <d v="2025-06-20T00:00:00"/>
    <n v="139"/>
    <n v="5915.65"/>
    <n v="2410.39"/>
    <n v="3505.26"/>
    <s v="CareMed"/>
    <x v="7"/>
    <s v="Card"/>
    <s v="Delivered"/>
    <x v="2"/>
  </r>
  <r>
    <s v="Pooja Verma"/>
    <s v="CUST1439"/>
    <d v="2025-05-24T00:00:00"/>
    <n v="105"/>
    <n v="3974.65"/>
    <n v="691.67"/>
    <n v="3282.98"/>
    <s v="MediCare Distributors"/>
    <x v="0"/>
    <s v="UPI"/>
    <s v="Delivered"/>
    <x v="3"/>
  </r>
  <r>
    <s v="Priya Yadav"/>
    <s v="CUST1440"/>
    <d v="2025-08-28T00:00:00"/>
    <n v="86"/>
    <n v="6820.12"/>
    <n v="3200.7"/>
    <n v="3619.42"/>
    <s v="HealthPlus"/>
    <x v="3"/>
    <s v="Card"/>
    <s v="Pending"/>
    <x v="2"/>
  </r>
  <r>
    <s v="Karan Gupta"/>
    <s v="CUST1441"/>
    <d v="2025-09-16T00:00:00"/>
    <n v="11"/>
    <n v="16608.7"/>
    <n v="4115.78"/>
    <n v="12492.92"/>
    <s v="HealthPlus"/>
    <x v="0"/>
    <s v="Bank Transfer"/>
    <s v="Cancelled"/>
    <x v="4"/>
  </r>
  <r>
    <s v="Rohan Gupta"/>
    <s v="CUST1442"/>
    <d v="2025-08-09T00:00:00"/>
    <n v="191"/>
    <n v="1022.53"/>
    <n v="227.54"/>
    <n v="794.99"/>
    <s v="Apollo Pharma"/>
    <x v="2"/>
    <s v="Bank Transfer"/>
    <s v="Delivered"/>
    <x v="2"/>
  </r>
  <r>
    <s v="Rahul Singh"/>
    <s v="CUST1443"/>
    <d v="2025-11-08T00:00:00"/>
    <n v="134"/>
    <n v="17710.25"/>
    <n v="6295.48"/>
    <n v="11414.77"/>
    <s v="LifeLine Pharma"/>
    <x v="5"/>
    <s v="Cash"/>
    <s v="Cancelled"/>
    <x v="1"/>
  </r>
  <r>
    <s v="Neha Yadav"/>
    <s v="CUST1444"/>
    <d v="2025-08-21T00:00:00"/>
    <n v="83"/>
    <n v="18812.150000000001"/>
    <n v="7804.38"/>
    <n v="11007.77"/>
    <s v="MediCare Distributors"/>
    <x v="0"/>
    <s v="Card"/>
    <s v="In Transit"/>
    <x v="0"/>
  </r>
  <r>
    <s v="Anjali Sharma"/>
    <s v="CUST1445"/>
    <d v="2025-02-08T00:00:00"/>
    <n v="111"/>
    <n v="10230.61"/>
    <n v="4364.7700000000004"/>
    <n v="5865.84"/>
    <s v="CareMed"/>
    <x v="5"/>
    <s v="Bank Transfer"/>
    <s v="Cancelled"/>
    <x v="2"/>
  </r>
  <r>
    <s v="Rohan Verma"/>
    <s v="CUST1446"/>
    <d v="2025-03-29T00:00:00"/>
    <n v="54"/>
    <n v="19680.009999999998"/>
    <n v="3295.29"/>
    <n v="16384.72"/>
    <s v="HealthPlus"/>
    <x v="3"/>
    <s v="Cash"/>
    <s v="Pending"/>
    <x v="1"/>
  </r>
  <r>
    <s v="Vikas Sharma"/>
    <s v="CUST1447"/>
    <d v="2025-02-27T00:00:00"/>
    <n v="136"/>
    <n v="19704.419999999998"/>
    <n v="3702.51"/>
    <n v="16001.91"/>
    <s v="HealthPlus"/>
    <x v="6"/>
    <s v="UPI"/>
    <s v="Cancelled"/>
    <x v="1"/>
  </r>
  <r>
    <s v="Karan Verma"/>
    <s v="CUST1448"/>
    <d v="2025-03-27T00:00:00"/>
    <n v="12"/>
    <n v="4318.0200000000004"/>
    <n v="1044.73"/>
    <n v="3273.29"/>
    <s v="CareMed"/>
    <x v="5"/>
    <s v="Cash"/>
    <s v="Delivered"/>
    <x v="2"/>
  </r>
  <r>
    <s v="Anjali Yadav"/>
    <s v="CUST1449"/>
    <d v="2025-07-04T00:00:00"/>
    <n v="178"/>
    <n v="459.28"/>
    <n v="78.58"/>
    <n v="380.7"/>
    <s v="CareMed"/>
    <x v="4"/>
    <s v="Cash"/>
    <s v="In Transit"/>
    <x v="2"/>
  </r>
  <r>
    <s v="Vikas Verma"/>
    <s v="CUST1450"/>
    <d v="2025-03-23T00:00:00"/>
    <n v="183"/>
    <n v="19907.73"/>
    <n v="2055.3200000000002"/>
    <n v="17852.41"/>
    <s v="CareMed"/>
    <x v="2"/>
    <s v="Bank Transfer"/>
    <s v="Cancelled"/>
    <x v="3"/>
  </r>
  <r>
    <s v="Pooja Gupta"/>
    <s v="CUST1451"/>
    <d v="2025-03-11T00:00:00"/>
    <n v="169"/>
    <n v="5998.59"/>
    <n v="1673.13"/>
    <n v="4325.46"/>
    <s v="CareMed"/>
    <x v="7"/>
    <s v="Cash"/>
    <s v="In Transit"/>
    <x v="1"/>
  </r>
  <r>
    <s v="Neha Mehta"/>
    <s v="CUST1452"/>
    <d v="2025-10-07T00:00:00"/>
    <n v="99"/>
    <n v="12771.86"/>
    <n v="3480.27"/>
    <n v="9291.59"/>
    <s v="MediCare Distributors"/>
    <x v="4"/>
    <s v="Cash"/>
    <s v="In Transit"/>
    <x v="0"/>
  </r>
  <r>
    <s v="Rahul Joshi"/>
    <s v="CUST1453"/>
    <d v="2025-05-18T00:00:00"/>
    <n v="159"/>
    <n v="15866.74"/>
    <n v="2495.3000000000002"/>
    <n v="13371.44"/>
    <s v="MediCare Distributors"/>
    <x v="0"/>
    <s v="Cash"/>
    <s v="Pending"/>
    <x v="4"/>
  </r>
  <r>
    <s v="Priya Joshi"/>
    <s v="CUST1454"/>
    <d v="2025-01-23T00:00:00"/>
    <n v="37"/>
    <n v="15547.75"/>
    <n v="5100.4399999999996"/>
    <n v="10447.31"/>
    <s v="CareMed"/>
    <x v="3"/>
    <s v="Bank Transfer"/>
    <s v="Delivered"/>
    <x v="0"/>
  </r>
  <r>
    <s v="Karan Yadav"/>
    <s v="CUST1455"/>
    <d v="2025-04-03T00:00:00"/>
    <n v="102"/>
    <n v="12840.77"/>
    <n v="4072.16"/>
    <n v="8768.61"/>
    <s v="LifeLine Pharma"/>
    <x v="3"/>
    <s v="Bank Transfer"/>
    <s v="Pending"/>
    <x v="1"/>
  </r>
  <r>
    <s v="Priya Joshi"/>
    <s v="CUST1456"/>
    <d v="2025-12-17T00:00:00"/>
    <n v="186"/>
    <n v="4639.3999999999996"/>
    <n v="1193.75"/>
    <n v="3445.65"/>
    <s v="HealthPlus"/>
    <x v="4"/>
    <s v="UPI"/>
    <s v="Pending"/>
    <x v="3"/>
  </r>
  <r>
    <s v="Karan Sharma"/>
    <s v="CUST1457"/>
    <d v="2025-08-26T00:00:00"/>
    <n v="73"/>
    <n v="16577.47"/>
    <n v="2339.08"/>
    <n v="14238.39"/>
    <s v="LifeLine Pharma"/>
    <x v="5"/>
    <s v="UPI"/>
    <s v="Cancelled"/>
    <x v="0"/>
  </r>
  <r>
    <s v="Anjali Sharma"/>
    <s v="CUST1458"/>
    <d v="2025-10-05T00:00:00"/>
    <n v="38"/>
    <n v="8184"/>
    <n v="1593.9"/>
    <n v="6590.1"/>
    <s v="CareMed"/>
    <x v="2"/>
    <s v="Bank Transfer"/>
    <s v="In Transit"/>
    <x v="3"/>
  </r>
  <r>
    <s v="Amit Gupta"/>
    <s v="CUST1459"/>
    <d v="2025-08-25T00:00:00"/>
    <n v="97"/>
    <n v="6959.88"/>
    <n v="1725.07"/>
    <n v="5234.8100000000004"/>
    <s v="MediCare Distributors"/>
    <x v="3"/>
    <s v="Bank Transfer"/>
    <s v="Cancelled"/>
    <x v="3"/>
  </r>
  <r>
    <s v="Amit Verma"/>
    <s v="CUST1460"/>
    <d v="2025-10-18T00:00:00"/>
    <n v="49"/>
    <n v="16163.93"/>
    <n v="6053.75"/>
    <n v="10110.18"/>
    <s v="HealthPlus"/>
    <x v="5"/>
    <s v="Card"/>
    <s v="Pending"/>
    <x v="4"/>
  </r>
  <r>
    <s v="Vikas Gupta"/>
    <s v="CUST1461"/>
    <d v="2025-12-10T00:00:00"/>
    <n v="39"/>
    <n v="4887.96"/>
    <n v="887.1"/>
    <n v="4000.86"/>
    <s v="HealthPlus"/>
    <x v="6"/>
    <s v="Cash"/>
    <s v="Delivered"/>
    <x v="3"/>
  </r>
  <r>
    <s v="Neha Yadav"/>
    <s v="CUST1462"/>
    <d v="2025-07-05T00:00:00"/>
    <n v="58"/>
    <n v="119.47"/>
    <n v="27.83"/>
    <n v="91.64"/>
    <s v="CareMed"/>
    <x v="1"/>
    <s v="Bank Transfer"/>
    <s v="Cancelled"/>
    <x v="3"/>
  </r>
  <r>
    <s v="Amit Sharma"/>
    <s v="CUST1463"/>
    <d v="2025-08-18T00:00:00"/>
    <n v="196"/>
    <n v="7805.03"/>
    <n v="3271.69"/>
    <n v="4533.34"/>
    <s v="Apollo Pharma"/>
    <x v="0"/>
    <s v="Card"/>
    <s v="Delivered"/>
    <x v="0"/>
  </r>
  <r>
    <s v="Rahul Patel"/>
    <s v="CUST1464"/>
    <d v="2025-04-21T00:00:00"/>
    <n v="136"/>
    <n v="1214.1300000000001"/>
    <n v="292.22000000000003"/>
    <n v="921.91"/>
    <s v="Apollo Pharma"/>
    <x v="6"/>
    <s v="Cash"/>
    <s v="In Transit"/>
    <x v="1"/>
  </r>
  <r>
    <s v="Rahul Yadav"/>
    <s v="CUST1465"/>
    <d v="2025-11-07T00:00:00"/>
    <n v="199"/>
    <n v="3626.07"/>
    <n v="899.94"/>
    <n v="2726.13"/>
    <s v="MediCare Distributors"/>
    <x v="7"/>
    <s v="Bank Transfer"/>
    <s v="Pending"/>
    <x v="4"/>
  </r>
  <r>
    <s v="Rahul Mehta"/>
    <s v="CUST1466"/>
    <d v="2025-03-27T00:00:00"/>
    <n v="164"/>
    <n v="5668.02"/>
    <n v="2795.88"/>
    <n v="2872.14"/>
    <s v="LifeLine Pharma"/>
    <x v="7"/>
    <s v="Bank Transfer"/>
    <s v="In Transit"/>
    <x v="1"/>
  </r>
  <r>
    <s v="Rohan Verma"/>
    <s v="CUST1467"/>
    <d v="2025-11-05T00:00:00"/>
    <n v="183"/>
    <n v="18864.330000000002"/>
    <n v="2750.91"/>
    <n v="16113.42"/>
    <s v="LifeLine Pharma"/>
    <x v="1"/>
    <s v="UPI"/>
    <s v="Pending"/>
    <x v="4"/>
  </r>
  <r>
    <s v="Anjali Sharma"/>
    <s v="CUST1468"/>
    <d v="2025-02-06T00:00:00"/>
    <n v="24"/>
    <n v="14942.67"/>
    <n v="4530.0600000000004"/>
    <n v="10412.61"/>
    <s v="LifeLine Pharma"/>
    <x v="1"/>
    <s v="Cash"/>
    <s v="Pending"/>
    <x v="0"/>
  </r>
  <r>
    <s v="Pooja Patel"/>
    <s v="CUST1469"/>
    <d v="2025-12-31T00:00:00"/>
    <n v="200"/>
    <n v="5344.56"/>
    <n v="1822.97"/>
    <n v="3521.59"/>
    <s v="CareMed"/>
    <x v="6"/>
    <s v="Cash"/>
    <s v="Pending"/>
    <x v="0"/>
  </r>
  <r>
    <s v="Priya Singh"/>
    <s v="CUST1470"/>
    <d v="2025-04-09T00:00:00"/>
    <n v="60"/>
    <n v="1874.82"/>
    <n v="837.92"/>
    <n v="1036.9000000000001"/>
    <s v="HealthPlus"/>
    <x v="4"/>
    <s v="UPI"/>
    <s v="Pending"/>
    <x v="0"/>
  </r>
  <r>
    <s v="Anjali Gupta"/>
    <s v="CUST1471"/>
    <d v="2025-12-12T00:00:00"/>
    <n v="120"/>
    <n v="10939.24"/>
    <n v="5123.28"/>
    <n v="5815.96"/>
    <s v="Apollo Pharma"/>
    <x v="0"/>
    <s v="UPI"/>
    <s v="Delivered"/>
    <x v="2"/>
  </r>
  <r>
    <s v="Amit Verma"/>
    <s v="CUST1472"/>
    <d v="2025-10-12T00:00:00"/>
    <n v="98"/>
    <n v="2341.14"/>
    <n v="467.91"/>
    <n v="1873.23"/>
    <s v="MediCare Distributors"/>
    <x v="4"/>
    <s v="UPI"/>
    <s v="Cancelled"/>
    <x v="1"/>
  </r>
  <r>
    <s v="Sneha Mehta"/>
    <s v="CUST1473"/>
    <d v="2025-11-24T00:00:00"/>
    <n v="32"/>
    <n v="3888.71"/>
    <n v="1248.29"/>
    <n v="2640.42"/>
    <s v="CareMed"/>
    <x v="6"/>
    <s v="Card"/>
    <s v="In Transit"/>
    <x v="0"/>
  </r>
  <r>
    <s v="Pooja Sharma"/>
    <s v="CUST1474"/>
    <d v="2025-11-28T00:00:00"/>
    <n v="44"/>
    <n v="17304.7"/>
    <n v="6416.43"/>
    <n v="10888.27"/>
    <s v="MediCare Distributors"/>
    <x v="1"/>
    <s v="Card"/>
    <s v="Delivered"/>
    <x v="3"/>
  </r>
  <r>
    <s v="Amit Gupta"/>
    <s v="CUST1475"/>
    <d v="2025-02-20T00:00:00"/>
    <n v="73"/>
    <n v="19899.080000000002"/>
    <n v="8067.03"/>
    <n v="11832.05"/>
    <s v="MediCare Distributors"/>
    <x v="6"/>
    <s v="Cash"/>
    <s v="Cancelled"/>
    <x v="2"/>
  </r>
  <r>
    <s v="Sneha Patel"/>
    <s v="CUST1476"/>
    <d v="2025-03-30T00:00:00"/>
    <n v="119"/>
    <n v="14844.24"/>
    <n v="4455.3"/>
    <n v="10388.94"/>
    <s v="CareMed"/>
    <x v="2"/>
    <s v="UPI"/>
    <s v="Delivered"/>
    <x v="4"/>
  </r>
  <r>
    <s v="Rahul Verma"/>
    <s v="CUST1477"/>
    <d v="2025-08-03T00:00:00"/>
    <n v="24"/>
    <n v="17575.810000000001"/>
    <n v="2500.92"/>
    <n v="15074.89"/>
    <s v="CareMed"/>
    <x v="2"/>
    <s v="Cash"/>
    <s v="Pending"/>
    <x v="4"/>
  </r>
  <r>
    <s v="Vikas Gupta"/>
    <s v="CUST1478"/>
    <d v="2025-04-16T00:00:00"/>
    <n v="147"/>
    <n v="10967.89"/>
    <n v="2261.37"/>
    <n v="8706.52"/>
    <s v="LifeLine Pharma"/>
    <x v="7"/>
    <s v="UPI"/>
    <s v="Cancelled"/>
    <x v="4"/>
  </r>
  <r>
    <s v="Priya Singh"/>
    <s v="CUST1479"/>
    <d v="2025-07-17T00:00:00"/>
    <n v="132"/>
    <n v="3626.61"/>
    <n v="824.65"/>
    <n v="2801.96"/>
    <s v="HealthPlus"/>
    <x v="1"/>
    <s v="Cash"/>
    <s v="In Transit"/>
    <x v="0"/>
  </r>
  <r>
    <s v="Priya Yadav"/>
    <s v="CUST1480"/>
    <d v="2025-01-30T00:00:00"/>
    <n v="6"/>
    <n v="9907.24"/>
    <n v="2168.42"/>
    <n v="7738.82"/>
    <s v="CareMed"/>
    <x v="1"/>
    <s v="Bank Transfer"/>
    <s v="Delivered"/>
    <x v="1"/>
  </r>
  <r>
    <s v="Sneha Yadav"/>
    <s v="CUST1481"/>
    <d v="2025-09-08T00:00:00"/>
    <n v="16"/>
    <n v="8112.92"/>
    <n v="1011.86"/>
    <n v="7101.06"/>
    <s v="MediCare Distributors"/>
    <x v="1"/>
    <s v="UPI"/>
    <s v="Delivered"/>
    <x v="3"/>
  </r>
  <r>
    <s v="Anjali Sharma"/>
    <s v="CUST1482"/>
    <d v="2025-03-04T00:00:00"/>
    <n v="139"/>
    <n v="2958.23"/>
    <n v="699.43"/>
    <n v="2258.8000000000002"/>
    <s v="MediCare Distributors"/>
    <x v="2"/>
    <s v="UPI"/>
    <s v="In Transit"/>
    <x v="2"/>
  </r>
  <r>
    <s v="Anjali Verma"/>
    <s v="CUST1483"/>
    <d v="2025-05-03T00:00:00"/>
    <n v="101"/>
    <n v="13607.07"/>
    <n v="3213.69"/>
    <n v="10393.379999999999"/>
    <s v="Apollo Pharma"/>
    <x v="4"/>
    <s v="Bank Transfer"/>
    <s v="Delivered"/>
    <x v="2"/>
  </r>
  <r>
    <s v="Vikas Gupta"/>
    <s v="CUST1484"/>
    <d v="2025-08-11T00:00:00"/>
    <n v="39"/>
    <n v="14676.54"/>
    <n v="4268.8900000000003"/>
    <n v="10407.65"/>
    <s v="MediCare Distributors"/>
    <x v="5"/>
    <s v="UPI"/>
    <s v="In Transit"/>
    <x v="3"/>
  </r>
  <r>
    <s v="Pooja Gupta"/>
    <s v="CUST1485"/>
    <d v="2025-05-29T00:00:00"/>
    <n v="194"/>
    <n v="11924.01"/>
    <n v="5773.92"/>
    <n v="6150.09"/>
    <s v="CareMed"/>
    <x v="6"/>
    <s v="UPI"/>
    <s v="Cancelled"/>
    <x v="3"/>
  </r>
  <r>
    <s v="Pooja Joshi"/>
    <s v="CUST1486"/>
    <d v="2025-09-01T00:00:00"/>
    <n v="140"/>
    <n v="17374.75"/>
    <n v="2063.52"/>
    <n v="15311.23"/>
    <s v="MediCare Distributors"/>
    <x v="3"/>
    <s v="Card"/>
    <s v="Delivered"/>
    <x v="0"/>
  </r>
  <r>
    <s v="Pooja Singh"/>
    <s v="CUST1487"/>
    <d v="2025-02-16T00:00:00"/>
    <n v="139"/>
    <n v="8719.7000000000007"/>
    <n v="1851.41"/>
    <n v="6868.29"/>
    <s v="HealthPlus"/>
    <x v="6"/>
    <s v="UPI"/>
    <s v="In Transit"/>
    <x v="1"/>
  </r>
  <r>
    <s v="Pooja Mehta"/>
    <s v="CUST1488"/>
    <d v="2025-09-24T00:00:00"/>
    <n v="157"/>
    <n v="10292.89"/>
    <n v="2554.63"/>
    <n v="7738.26"/>
    <s v="Apollo Pharma"/>
    <x v="6"/>
    <s v="Card"/>
    <s v="Cancelled"/>
    <x v="1"/>
  </r>
  <r>
    <s v="Karan Yadav"/>
    <s v="CUST1489"/>
    <d v="2025-01-23T00:00:00"/>
    <n v="193"/>
    <n v="18267.080000000002"/>
    <n v="4053.24"/>
    <n v="14213.84"/>
    <s v="LifeLine Pharma"/>
    <x v="5"/>
    <s v="Card"/>
    <s v="Pending"/>
    <x v="2"/>
  </r>
  <r>
    <s v="Priya Gupta"/>
    <s v="CUST1490"/>
    <d v="2025-08-18T00:00:00"/>
    <n v="100"/>
    <n v="9604.27"/>
    <n v="2730.42"/>
    <n v="6873.85"/>
    <s v="MediCare Distributors"/>
    <x v="3"/>
    <s v="Bank Transfer"/>
    <s v="In Transit"/>
    <x v="3"/>
  </r>
  <r>
    <s v="Rohan Patel"/>
    <s v="CUST1491"/>
    <d v="2025-01-01T00:00:00"/>
    <n v="17"/>
    <n v="14416.23"/>
    <n v="3380.94"/>
    <n v="11035.29"/>
    <s v="LifeLine Pharma"/>
    <x v="7"/>
    <s v="Bank Transfer"/>
    <s v="Cancelled"/>
    <x v="3"/>
  </r>
  <r>
    <s v="Karan Verma"/>
    <s v="CUST1492"/>
    <d v="2025-05-06T00:00:00"/>
    <n v="148"/>
    <n v="18314.830000000002"/>
    <n v="5451.92"/>
    <n v="12862.91"/>
    <s v="MediCare Distributors"/>
    <x v="2"/>
    <s v="Card"/>
    <s v="Pending"/>
    <x v="0"/>
  </r>
  <r>
    <s v="Sneha Sharma"/>
    <s v="CUST1493"/>
    <d v="2025-11-04T00:00:00"/>
    <n v="165"/>
    <n v="10689.6"/>
    <n v="2430.5500000000002"/>
    <n v="8259.0499999999993"/>
    <s v="Apollo Pharma"/>
    <x v="1"/>
    <s v="UPI"/>
    <s v="Pending"/>
    <x v="0"/>
  </r>
  <r>
    <s v="Anjali Sharma"/>
    <s v="CUST1494"/>
    <d v="2025-09-04T00:00:00"/>
    <n v="69"/>
    <n v="17672.11"/>
    <n v="4145.38"/>
    <n v="13526.73"/>
    <s v="HealthPlus"/>
    <x v="1"/>
    <s v="Bank Transfer"/>
    <s v="In Transit"/>
    <x v="4"/>
  </r>
  <r>
    <s v="Sneha Sharma"/>
    <s v="CUST1495"/>
    <d v="2025-04-17T00:00:00"/>
    <n v="173"/>
    <n v="2584.0300000000002"/>
    <n v="1003.02"/>
    <n v="1581.01"/>
    <s v="CareMed"/>
    <x v="2"/>
    <s v="Card"/>
    <s v="In Transit"/>
    <x v="1"/>
  </r>
  <r>
    <s v="Vikas Joshi"/>
    <s v="CUST1496"/>
    <d v="2025-03-14T00:00:00"/>
    <n v="135"/>
    <n v="7924.15"/>
    <n v="2080.58"/>
    <n v="5843.57"/>
    <s v="MediCare Distributors"/>
    <x v="2"/>
    <s v="Card"/>
    <s v="In Transit"/>
    <x v="0"/>
  </r>
  <r>
    <s v="Neha Singh"/>
    <s v="CUST1497"/>
    <d v="2025-07-14T00:00:00"/>
    <n v="35"/>
    <n v="13702.16"/>
    <n v="2798.75"/>
    <n v="10903.41"/>
    <s v="HealthPlus"/>
    <x v="1"/>
    <s v="UPI"/>
    <s v="Pending"/>
    <x v="3"/>
  </r>
  <r>
    <s v="Karan Patel"/>
    <s v="CUST1498"/>
    <d v="2025-09-16T00:00:00"/>
    <n v="104"/>
    <n v="3371.99"/>
    <n v="1578.62"/>
    <n v="1793.37"/>
    <s v="HealthPlus"/>
    <x v="2"/>
    <s v="Card"/>
    <s v="Cancelled"/>
    <x v="3"/>
  </r>
  <r>
    <s v="Neha Mehta"/>
    <s v="CUST1499"/>
    <d v="2025-06-07T00:00:00"/>
    <n v="43"/>
    <n v="19375.7"/>
    <n v="8355.91"/>
    <n v="11019.79"/>
    <s v="CareMed"/>
    <x v="0"/>
    <s v="UPI"/>
    <s v="In Transit"/>
    <x v="1"/>
  </r>
  <r>
    <s v="Karan Mehta"/>
    <s v="CUST1500"/>
    <d v="2025-03-25T00:00:00"/>
    <n v="58"/>
    <n v="17222.96"/>
    <n v="2138.54"/>
    <n v="15084.42"/>
    <s v="Apollo Pharma"/>
    <x v="1"/>
    <s v="Card"/>
    <s v="In Transit"/>
    <x v="1"/>
  </r>
  <r>
    <s v="Rahul Yadav"/>
    <s v="CUST1501"/>
    <d v="2025-05-20T00:00:00"/>
    <n v="68"/>
    <n v="19129.55"/>
    <n v="2298.7800000000002"/>
    <n v="16830.77"/>
    <s v="CareMed"/>
    <x v="4"/>
    <s v="Cash"/>
    <s v="In Transit"/>
    <x v="0"/>
  </r>
  <r>
    <s v="Sneha Joshi"/>
    <s v="CUST1502"/>
    <d v="2025-07-02T00:00:00"/>
    <n v="67"/>
    <n v="4561.71"/>
    <n v="1926.58"/>
    <n v="2635.13"/>
    <s v="CareMed"/>
    <x v="5"/>
    <s v="Cash"/>
    <s v="Delivered"/>
    <x v="4"/>
  </r>
  <r>
    <s v="Sneha Yadav"/>
    <s v="CUST1503"/>
    <d v="2025-08-31T00:00:00"/>
    <n v="13"/>
    <n v="4063.04"/>
    <n v="677.68"/>
    <n v="3385.36"/>
    <s v="HealthPlus"/>
    <x v="0"/>
    <s v="Card"/>
    <s v="Delivered"/>
    <x v="0"/>
  </r>
  <r>
    <s v="Amit Mehta"/>
    <s v="CUST1504"/>
    <d v="2025-03-11T00:00:00"/>
    <n v="101"/>
    <n v="6220.85"/>
    <n v="2301.1"/>
    <n v="3919.75"/>
    <s v="LifeLine Pharma"/>
    <x v="5"/>
    <s v="Card"/>
    <s v="In Transit"/>
    <x v="0"/>
  </r>
  <r>
    <s v="Priya Patel"/>
    <s v="CUST1505"/>
    <d v="2025-01-11T00:00:00"/>
    <n v="187"/>
    <n v="3552.84"/>
    <n v="896.2"/>
    <n v="2656.64"/>
    <s v="MediCare Distributors"/>
    <x v="1"/>
    <s v="Bank Transfer"/>
    <s v="Delivered"/>
    <x v="3"/>
  </r>
  <r>
    <s v="Priya Gupta"/>
    <s v="CUST1506"/>
    <d v="2025-08-18T00:00:00"/>
    <n v="82"/>
    <n v="1011.26"/>
    <n v="117.39"/>
    <n v="893.87"/>
    <s v="HealthPlus"/>
    <x v="2"/>
    <s v="Cash"/>
    <s v="In Transit"/>
    <x v="0"/>
  </r>
  <r>
    <s v="Amit Sharma"/>
    <s v="CUST1507"/>
    <d v="2025-03-29T00:00:00"/>
    <n v="91"/>
    <n v="3628.76"/>
    <n v="1258.55"/>
    <n v="2370.21"/>
    <s v="CareMed"/>
    <x v="5"/>
    <s v="Bank Transfer"/>
    <s v="Delivered"/>
    <x v="2"/>
  </r>
  <r>
    <s v="Pooja Verma"/>
    <s v="CUST1508"/>
    <d v="2025-10-16T00:00:00"/>
    <n v="123"/>
    <n v="233.86"/>
    <n v="83.16"/>
    <n v="150.69999999999999"/>
    <s v="MediCare Distributors"/>
    <x v="4"/>
    <s v="Bank Transfer"/>
    <s v="Pending"/>
    <x v="0"/>
  </r>
  <r>
    <s v="Neha Mehta"/>
    <s v="CUST1509"/>
    <d v="2025-06-30T00:00:00"/>
    <n v="199"/>
    <n v="8620.2199999999993"/>
    <n v="4108.8500000000004"/>
    <n v="4511.37"/>
    <s v="HealthPlus"/>
    <x v="1"/>
    <s v="Bank Transfer"/>
    <s v="Cancelled"/>
    <x v="3"/>
  </r>
  <r>
    <s v="Vikas Joshi"/>
    <s v="CUST1510"/>
    <d v="2025-07-14T00:00:00"/>
    <n v="36"/>
    <n v="9904.9699999999993"/>
    <n v="3613.77"/>
    <n v="6291.2"/>
    <s v="HealthPlus"/>
    <x v="6"/>
    <s v="Card"/>
    <s v="Cancelled"/>
    <x v="1"/>
  </r>
  <r>
    <s v="Anjali Mehta"/>
    <s v="CUST1511"/>
    <d v="2025-12-02T00:00:00"/>
    <n v="183"/>
    <n v="16847.37"/>
    <n v="6482.65"/>
    <n v="10364.719999999999"/>
    <s v="CareMed"/>
    <x v="2"/>
    <s v="Card"/>
    <s v="Delivered"/>
    <x v="1"/>
  </r>
  <r>
    <s v="Amit Gupta"/>
    <s v="CUST1512"/>
    <d v="2025-02-09T00:00:00"/>
    <n v="7"/>
    <n v="2808.89"/>
    <n v="448.28"/>
    <n v="2360.61"/>
    <s v="Apollo Pharma"/>
    <x v="3"/>
    <s v="UPI"/>
    <s v="In Transit"/>
    <x v="4"/>
  </r>
  <r>
    <s v="Anjali Singh"/>
    <s v="CUST1513"/>
    <d v="2025-06-19T00:00:00"/>
    <n v="166"/>
    <n v="17580.310000000001"/>
    <n v="8278.58"/>
    <n v="9301.73"/>
    <s v="MediCare Distributors"/>
    <x v="2"/>
    <s v="Cash"/>
    <s v="In Transit"/>
    <x v="0"/>
  </r>
  <r>
    <s v="Anjali Patel"/>
    <s v="CUST1514"/>
    <d v="2025-06-27T00:00:00"/>
    <n v="2"/>
    <n v="6547.13"/>
    <n v="2015.13"/>
    <n v="4532"/>
    <s v="CareMed"/>
    <x v="0"/>
    <s v="Bank Transfer"/>
    <s v="Pending"/>
    <x v="4"/>
  </r>
  <r>
    <s v="Amit Joshi"/>
    <s v="CUST1515"/>
    <d v="2025-02-13T00:00:00"/>
    <n v="73"/>
    <n v="17037.330000000002"/>
    <n v="4942.24"/>
    <n v="12095.09"/>
    <s v="LifeLine Pharma"/>
    <x v="1"/>
    <s v="Bank Transfer"/>
    <s v="Pending"/>
    <x v="0"/>
  </r>
  <r>
    <s v="Sneha Singh"/>
    <s v="CUST1516"/>
    <d v="2025-07-22T00:00:00"/>
    <n v="115"/>
    <n v="17987.490000000002"/>
    <n v="3318.13"/>
    <n v="14669.36"/>
    <s v="HealthPlus"/>
    <x v="1"/>
    <s v="UPI"/>
    <s v="Delivered"/>
    <x v="0"/>
  </r>
  <r>
    <s v="Neha Mehta"/>
    <s v="CUST1517"/>
    <d v="2025-07-29T00:00:00"/>
    <n v="190"/>
    <n v="14103.32"/>
    <n v="1865.92"/>
    <n v="12237.4"/>
    <s v="HealthPlus"/>
    <x v="0"/>
    <s v="Cash"/>
    <s v="Pending"/>
    <x v="4"/>
  </r>
  <r>
    <s v="Neha Patel"/>
    <s v="CUST1518"/>
    <d v="2025-11-21T00:00:00"/>
    <n v="35"/>
    <n v="3889.43"/>
    <n v="1846.83"/>
    <n v="2042.6"/>
    <s v="MediCare Distributors"/>
    <x v="2"/>
    <s v="Cash"/>
    <s v="In Transit"/>
    <x v="2"/>
  </r>
  <r>
    <s v="Pooja Patel"/>
    <s v="CUST1519"/>
    <d v="2025-12-29T00:00:00"/>
    <n v="97"/>
    <n v="14792.1"/>
    <n v="2156.79"/>
    <n v="12635.31"/>
    <s v="CareMed"/>
    <x v="0"/>
    <s v="Bank Transfer"/>
    <s v="In Transit"/>
    <x v="0"/>
  </r>
  <r>
    <s v="Sneha Verma"/>
    <s v="CUST1520"/>
    <d v="2025-04-15T00:00:00"/>
    <n v="184"/>
    <n v="11099.65"/>
    <n v="4018.04"/>
    <n v="7081.61"/>
    <s v="CareMed"/>
    <x v="2"/>
    <s v="Bank Transfer"/>
    <s v="Cancelled"/>
    <x v="0"/>
  </r>
  <r>
    <s v="Karan Patel"/>
    <s v="CUST1521"/>
    <d v="2025-12-22T00:00:00"/>
    <n v="117"/>
    <n v="3621.13"/>
    <n v="1548.88"/>
    <n v="2072.25"/>
    <s v="HealthPlus"/>
    <x v="7"/>
    <s v="Bank Transfer"/>
    <s v="In Transit"/>
    <x v="2"/>
  </r>
  <r>
    <s v="Vikas Mehta"/>
    <s v="CUST1522"/>
    <d v="2025-06-28T00:00:00"/>
    <n v="161"/>
    <n v="5386.04"/>
    <n v="2400.7399999999998"/>
    <n v="2985.3"/>
    <s v="MediCare Distributors"/>
    <x v="3"/>
    <s v="Card"/>
    <s v="Pending"/>
    <x v="4"/>
  </r>
  <r>
    <s v="Pooja Patel"/>
    <s v="CUST1523"/>
    <d v="2025-03-26T00:00:00"/>
    <n v="199"/>
    <n v="17112.099999999999"/>
    <n v="3477.85"/>
    <n v="13634.25"/>
    <s v="LifeLine Pharma"/>
    <x v="0"/>
    <s v="Cash"/>
    <s v="Cancelled"/>
    <x v="2"/>
  </r>
  <r>
    <s v="Rahul Verma"/>
    <s v="CUST1524"/>
    <d v="2025-12-14T00:00:00"/>
    <n v="113"/>
    <n v="19210.98"/>
    <n v="4645.83"/>
    <n v="14565.15"/>
    <s v="MediCare Distributors"/>
    <x v="5"/>
    <s v="Bank Transfer"/>
    <s v="Pending"/>
    <x v="3"/>
  </r>
  <r>
    <s v="Priya Yadav"/>
    <s v="CUST1525"/>
    <d v="2025-07-27T00:00:00"/>
    <n v="184"/>
    <n v="14593.24"/>
    <n v="1892.48"/>
    <n v="12700.76"/>
    <s v="CareMed"/>
    <x v="2"/>
    <s v="Cash"/>
    <s v="In Transit"/>
    <x v="0"/>
  </r>
  <r>
    <s v="Neha Verma"/>
    <s v="CUST1526"/>
    <d v="2025-05-02T00:00:00"/>
    <n v="148"/>
    <n v="19108.34"/>
    <n v="2601.4699999999998"/>
    <n v="16506.87"/>
    <s v="MediCare Distributors"/>
    <x v="1"/>
    <s v="UPI"/>
    <s v="Delivered"/>
    <x v="4"/>
  </r>
  <r>
    <s v="Rohan Mehta"/>
    <s v="CUST1527"/>
    <d v="2025-04-21T00:00:00"/>
    <n v="150"/>
    <n v="1599.72"/>
    <n v="605.85"/>
    <n v="993.87"/>
    <s v="CareMed"/>
    <x v="2"/>
    <s v="UPI"/>
    <s v="Pending"/>
    <x v="4"/>
  </r>
  <r>
    <s v="Anjali Mehta"/>
    <s v="CUST1528"/>
    <d v="2025-01-22T00:00:00"/>
    <n v="63"/>
    <n v="15808.1"/>
    <n v="2493.2600000000002"/>
    <n v="13314.84"/>
    <s v="CareMed"/>
    <x v="0"/>
    <s v="Card"/>
    <s v="In Transit"/>
    <x v="4"/>
  </r>
  <r>
    <s v="Vikas Gupta"/>
    <s v="CUST1529"/>
    <d v="2025-04-01T00:00:00"/>
    <n v="126"/>
    <n v="14523.24"/>
    <n v="4571.76"/>
    <n v="9951.48"/>
    <s v="LifeLine Pharma"/>
    <x v="0"/>
    <s v="UPI"/>
    <s v="Cancelled"/>
    <x v="3"/>
  </r>
  <r>
    <s v="Vikas Singh"/>
    <s v="CUST1530"/>
    <d v="2025-09-13T00:00:00"/>
    <n v="147"/>
    <n v="6719.22"/>
    <n v="1033.5999999999999"/>
    <n v="5685.62"/>
    <s v="CareMed"/>
    <x v="7"/>
    <s v="Cash"/>
    <s v="Pending"/>
    <x v="3"/>
  </r>
  <r>
    <s v="Sneha Yadav"/>
    <s v="CUST1531"/>
    <d v="2025-12-08T00:00:00"/>
    <n v="48"/>
    <n v="11463.76"/>
    <n v="3713.61"/>
    <n v="7750.15"/>
    <s v="MediCare Distributors"/>
    <x v="3"/>
    <s v="Card"/>
    <s v="Pending"/>
    <x v="4"/>
  </r>
  <r>
    <s v="Pooja Yadav"/>
    <s v="CUST1532"/>
    <d v="2025-02-08T00:00:00"/>
    <n v="135"/>
    <n v="18222.2"/>
    <n v="3872.11"/>
    <n v="14350.09"/>
    <s v="MediCare Distributors"/>
    <x v="7"/>
    <s v="Card"/>
    <s v="Pending"/>
    <x v="2"/>
  </r>
  <r>
    <s v="Pooja Singh"/>
    <s v="CUST1533"/>
    <d v="2025-08-27T00:00:00"/>
    <n v="39"/>
    <n v="658.76"/>
    <n v="151.46"/>
    <n v="507.3"/>
    <s v="Apollo Pharma"/>
    <x v="2"/>
    <s v="Card"/>
    <s v="Cancelled"/>
    <x v="4"/>
  </r>
  <r>
    <s v="Rahul Singh"/>
    <s v="CUST1534"/>
    <d v="2025-01-16T00:00:00"/>
    <n v="10"/>
    <n v="17679.09"/>
    <n v="6963.36"/>
    <n v="10715.73"/>
    <s v="CareMed"/>
    <x v="7"/>
    <s v="Bank Transfer"/>
    <s v="Cancelled"/>
    <x v="4"/>
  </r>
  <r>
    <s v="Anjali Singh"/>
    <s v="CUST1535"/>
    <d v="2025-09-20T00:00:00"/>
    <n v="190"/>
    <n v="14468.69"/>
    <n v="2149.96"/>
    <n v="12318.73"/>
    <s v="CareMed"/>
    <x v="4"/>
    <s v="UPI"/>
    <s v="Pending"/>
    <x v="2"/>
  </r>
  <r>
    <s v="Karan Gupta"/>
    <s v="CUST1536"/>
    <d v="2025-06-08T00:00:00"/>
    <n v="193"/>
    <n v="15827.69"/>
    <n v="2762.81"/>
    <n v="13064.88"/>
    <s v="Apollo Pharma"/>
    <x v="0"/>
    <s v="Cash"/>
    <s v="In Transit"/>
    <x v="4"/>
  </r>
  <r>
    <s v="Vikas Singh"/>
    <s v="CUST1537"/>
    <d v="2025-03-26T00:00:00"/>
    <n v="166"/>
    <n v="1732"/>
    <n v="469.26"/>
    <n v="1262.74"/>
    <s v="CareMed"/>
    <x v="4"/>
    <s v="Cash"/>
    <s v="Cancelled"/>
    <x v="4"/>
  </r>
  <r>
    <s v="Amit Mehta"/>
    <s v="CUST1538"/>
    <d v="2025-07-27T00:00:00"/>
    <n v="54"/>
    <n v="17452.93"/>
    <n v="4743.59"/>
    <n v="12709.34"/>
    <s v="Apollo Pharma"/>
    <x v="3"/>
    <s v="UPI"/>
    <s v="Pending"/>
    <x v="4"/>
  </r>
  <r>
    <s v="Pooja Mehta"/>
    <s v="CUST1539"/>
    <d v="2025-04-08T00:00:00"/>
    <n v="7"/>
    <n v="1940.25"/>
    <n v="815.81"/>
    <n v="1124.44"/>
    <s v="HealthPlus"/>
    <x v="0"/>
    <s v="Cash"/>
    <s v="Pending"/>
    <x v="1"/>
  </r>
  <r>
    <s v="Rahul Gupta"/>
    <s v="CUST1540"/>
    <d v="2025-01-29T00:00:00"/>
    <n v="22"/>
    <n v="4287.3"/>
    <n v="1125.8699999999999"/>
    <n v="3161.43"/>
    <s v="Apollo Pharma"/>
    <x v="5"/>
    <s v="UPI"/>
    <s v="Cancelled"/>
    <x v="2"/>
  </r>
  <r>
    <s v="Rahul Verma"/>
    <s v="CUST1541"/>
    <d v="2025-03-24T00:00:00"/>
    <n v="39"/>
    <n v="2399.64"/>
    <n v="1048.73"/>
    <n v="1350.91"/>
    <s v="LifeLine Pharma"/>
    <x v="1"/>
    <s v="Bank Transfer"/>
    <s v="Pending"/>
    <x v="2"/>
  </r>
  <r>
    <s v="Rahul Patel"/>
    <s v="CUST1542"/>
    <d v="2025-02-17T00:00:00"/>
    <n v="198"/>
    <n v="14945.82"/>
    <n v="6939.42"/>
    <n v="8006.4"/>
    <s v="Apollo Pharma"/>
    <x v="1"/>
    <s v="Bank Transfer"/>
    <s v="Delivered"/>
    <x v="0"/>
  </r>
  <r>
    <s v="Neha Verma"/>
    <s v="CUST1543"/>
    <d v="2025-07-18T00:00:00"/>
    <n v="31"/>
    <n v="12388.41"/>
    <n v="6036.04"/>
    <n v="6352.37"/>
    <s v="MediCare Distributors"/>
    <x v="4"/>
    <s v="Bank Transfer"/>
    <s v="Pending"/>
    <x v="4"/>
  </r>
  <r>
    <s v="Priya Singh"/>
    <s v="CUST1544"/>
    <d v="2025-06-09T00:00:00"/>
    <n v="76"/>
    <n v="11480.49"/>
    <n v="3758.95"/>
    <n v="7721.54"/>
    <s v="HealthPlus"/>
    <x v="0"/>
    <s v="Cash"/>
    <s v="Pending"/>
    <x v="1"/>
  </r>
  <r>
    <s v="Sneha Joshi"/>
    <s v="CUST1545"/>
    <d v="2025-03-05T00:00:00"/>
    <n v="134"/>
    <n v="2162.23"/>
    <n v="420.03"/>
    <n v="1742.2"/>
    <s v="HealthPlus"/>
    <x v="2"/>
    <s v="Cash"/>
    <s v="Delivered"/>
    <x v="2"/>
  </r>
  <r>
    <s v="Vikas Sharma"/>
    <s v="CUST1546"/>
    <d v="2025-11-20T00:00:00"/>
    <n v="143"/>
    <n v="13692.53"/>
    <n v="3421.22"/>
    <n v="10271.31"/>
    <s v="MediCare Distributors"/>
    <x v="4"/>
    <s v="Cash"/>
    <s v="In Transit"/>
    <x v="3"/>
  </r>
  <r>
    <s v="Neha Verma"/>
    <s v="CUST1547"/>
    <d v="2025-11-04T00:00:00"/>
    <n v="74"/>
    <n v="7573.98"/>
    <n v="3735.14"/>
    <n v="3838.84"/>
    <s v="CareMed"/>
    <x v="0"/>
    <s v="Card"/>
    <s v="In Transit"/>
    <x v="0"/>
  </r>
  <r>
    <s v="Rohan Patel"/>
    <s v="CUST1548"/>
    <d v="2025-08-29T00:00:00"/>
    <n v="190"/>
    <n v="14746.07"/>
    <n v="7365.74"/>
    <n v="7380.33"/>
    <s v="MediCare Distributors"/>
    <x v="4"/>
    <s v="UPI"/>
    <s v="Cancelled"/>
    <x v="0"/>
  </r>
  <r>
    <s v="Rahul Patel"/>
    <s v="CUST1549"/>
    <d v="2025-12-08T00:00:00"/>
    <n v="117"/>
    <n v="2461.14"/>
    <n v="959.39"/>
    <n v="1501.75"/>
    <s v="LifeLine Pharma"/>
    <x v="4"/>
    <s v="Card"/>
    <s v="In Transit"/>
    <x v="3"/>
  </r>
  <r>
    <s v="Rohan Joshi"/>
    <s v="CUST1550"/>
    <d v="2025-09-26T00:00:00"/>
    <n v="34"/>
    <n v="4319.05"/>
    <n v="2112.81"/>
    <n v="2206.2399999999998"/>
    <s v="Apollo Pharma"/>
    <x v="2"/>
    <s v="Cash"/>
    <s v="Pending"/>
    <x v="0"/>
  </r>
  <r>
    <s v="Sneha Sharma"/>
    <s v="CUST1551"/>
    <d v="2025-03-05T00:00:00"/>
    <n v="32"/>
    <n v="7300.27"/>
    <n v="3177.21"/>
    <n v="4123.0600000000004"/>
    <s v="MediCare Distributors"/>
    <x v="7"/>
    <s v="Card"/>
    <s v="Delivered"/>
    <x v="1"/>
  </r>
  <r>
    <s v="Neha Sharma"/>
    <s v="CUST1552"/>
    <d v="2025-05-18T00:00:00"/>
    <n v="185"/>
    <n v="14458.8"/>
    <n v="6735.64"/>
    <n v="7723.16"/>
    <s v="LifeLine Pharma"/>
    <x v="3"/>
    <s v="Bank Transfer"/>
    <s v="Pending"/>
    <x v="4"/>
  </r>
  <r>
    <s v="Neha Verma"/>
    <s v="CUST1553"/>
    <d v="2025-10-30T00:00:00"/>
    <n v="136"/>
    <n v="13036.88"/>
    <n v="1819.32"/>
    <n v="11217.56"/>
    <s v="HealthPlus"/>
    <x v="4"/>
    <s v="Card"/>
    <s v="Pending"/>
    <x v="1"/>
  </r>
  <r>
    <s v="Rahul Singh"/>
    <s v="CUST1554"/>
    <d v="2025-01-03T00:00:00"/>
    <n v="182"/>
    <n v="17342.439999999999"/>
    <n v="8446.58"/>
    <n v="8895.86"/>
    <s v="Apollo Pharma"/>
    <x v="5"/>
    <s v="Cash"/>
    <s v="In Transit"/>
    <x v="2"/>
  </r>
  <r>
    <s v="Rohan Yadav"/>
    <s v="CUST1555"/>
    <d v="2025-05-19T00:00:00"/>
    <n v="197"/>
    <n v="12832.79"/>
    <n v="4524.5"/>
    <n v="8308.2900000000009"/>
    <s v="HealthPlus"/>
    <x v="5"/>
    <s v="Card"/>
    <s v="Cancelled"/>
    <x v="0"/>
  </r>
  <r>
    <s v="Pooja Mehta"/>
    <s v="CUST1556"/>
    <d v="2025-05-18T00:00:00"/>
    <n v="73"/>
    <n v="8560.89"/>
    <n v="3689.8"/>
    <n v="4871.09"/>
    <s v="MediCare Distributors"/>
    <x v="6"/>
    <s v="Bank Transfer"/>
    <s v="Delivered"/>
    <x v="0"/>
  </r>
  <r>
    <s v="Neha Joshi"/>
    <s v="CUST1557"/>
    <d v="2025-12-20T00:00:00"/>
    <n v="112"/>
    <n v="154.37"/>
    <n v="74.459999999999994"/>
    <n v="79.91"/>
    <s v="Apollo Pharma"/>
    <x v="5"/>
    <s v="Cash"/>
    <s v="Delivered"/>
    <x v="4"/>
  </r>
  <r>
    <s v="Priya Sharma"/>
    <s v="CUST1558"/>
    <d v="2025-04-05T00:00:00"/>
    <n v="189"/>
    <n v="15871.35"/>
    <n v="4419.58"/>
    <n v="11451.77"/>
    <s v="Apollo Pharma"/>
    <x v="7"/>
    <s v="Bank Transfer"/>
    <s v="In Transit"/>
    <x v="1"/>
  </r>
  <r>
    <s v="Amit Yadav"/>
    <s v="CUST1559"/>
    <d v="2025-07-12T00:00:00"/>
    <n v="109"/>
    <n v="10373.969999999999"/>
    <n v="2928.06"/>
    <n v="7445.91"/>
    <s v="CareMed"/>
    <x v="5"/>
    <s v="Card"/>
    <s v="Cancelled"/>
    <x v="4"/>
  </r>
  <r>
    <s v="Amit Verma"/>
    <s v="CUST1560"/>
    <d v="2025-01-19T00:00:00"/>
    <n v="8"/>
    <n v="17381.810000000001"/>
    <n v="7938.75"/>
    <n v="9443.06"/>
    <s v="HealthPlus"/>
    <x v="3"/>
    <s v="Bank Transfer"/>
    <s v="Delivered"/>
    <x v="3"/>
  </r>
  <r>
    <s v="Priya Sharma"/>
    <s v="CUST1561"/>
    <d v="2025-12-25T00:00:00"/>
    <n v="116"/>
    <n v="2123.16"/>
    <n v="1015.82"/>
    <n v="1107.3399999999999"/>
    <s v="MediCare Distributors"/>
    <x v="4"/>
    <s v="Cash"/>
    <s v="Delivered"/>
    <x v="2"/>
  </r>
  <r>
    <s v="Vikas Mehta"/>
    <s v="CUST1562"/>
    <d v="2025-03-02T00:00:00"/>
    <n v="71"/>
    <n v="9891.4599999999991"/>
    <n v="4156.41"/>
    <n v="5735.05"/>
    <s v="LifeLine Pharma"/>
    <x v="2"/>
    <s v="Cash"/>
    <s v="Pending"/>
    <x v="3"/>
  </r>
  <r>
    <s v="Rahul Sharma"/>
    <s v="CUST1563"/>
    <d v="2025-01-28T00:00:00"/>
    <n v="112"/>
    <n v="3716.34"/>
    <n v="1067.79"/>
    <n v="2648.55"/>
    <s v="CareMed"/>
    <x v="4"/>
    <s v="Bank Transfer"/>
    <s v="Cancelled"/>
    <x v="1"/>
  </r>
  <r>
    <s v="Rohan Joshi"/>
    <s v="CUST1564"/>
    <d v="2025-04-25T00:00:00"/>
    <n v="8"/>
    <n v="4170.78"/>
    <n v="1149.04"/>
    <n v="3021.74"/>
    <s v="HealthPlus"/>
    <x v="0"/>
    <s v="UPI"/>
    <s v="Cancelled"/>
    <x v="0"/>
  </r>
  <r>
    <s v="Neha Yadav"/>
    <s v="CUST1565"/>
    <d v="2025-10-08T00:00:00"/>
    <n v="112"/>
    <n v="17803.77"/>
    <n v="5791.15"/>
    <n v="12012.62"/>
    <s v="MediCare Distributors"/>
    <x v="5"/>
    <s v="Card"/>
    <s v="Delivered"/>
    <x v="0"/>
  </r>
  <r>
    <s v="Karan Singh"/>
    <s v="CUST1566"/>
    <d v="2025-02-19T00:00:00"/>
    <n v="36"/>
    <n v="14019.6"/>
    <n v="4346.0600000000004"/>
    <n v="9673.5400000000009"/>
    <s v="Apollo Pharma"/>
    <x v="3"/>
    <s v="Card"/>
    <s v="Cancelled"/>
    <x v="4"/>
  </r>
  <r>
    <s v="Rohan Gupta"/>
    <s v="CUST1567"/>
    <d v="2025-03-02T00:00:00"/>
    <n v="80"/>
    <n v="19305.11"/>
    <n v="4812.09"/>
    <n v="14493.02"/>
    <s v="Apollo Pharma"/>
    <x v="5"/>
    <s v="Cash"/>
    <s v="Delivered"/>
    <x v="2"/>
  </r>
  <r>
    <s v="Sneha Yadav"/>
    <s v="CUST1568"/>
    <d v="2025-04-27T00:00:00"/>
    <n v="120"/>
    <n v="2574.04"/>
    <n v="1027.23"/>
    <n v="1546.81"/>
    <s v="Apollo Pharma"/>
    <x v="6"/>
    <s v="UPI"/>
    <s v="Delivered"/>
    <x v="3"/>
  </r>
  <r>
    <s v="Pooja Joshi"/>
    <s v="CUST1569"/>
    <d v="2025-02-17T00:00:00"/>
    <n v="1"/>
    <n v="6369.43"/>
    <n v="1483.54"/>
    <n v="4885.8900000000003"/>
    <s v="Apollo Pharma"/>
    <x v="4"/>
    <s v="UPI"/>
    <s v="Delivered"/>
    <x v="3"/>
  </r>
  <r>
    <s v="Vikas Sharma"/>
    <s v="CUST1570"/>
    <d v="2025-11-22T00:00:00"/>
    <n v="151"/>
    <n v="6022.81"/>
    <n v="1011.52"/>
    <n v="5011.29"/>
    <s v="LifeLine Pharma"/>
    <x v="1"/>
    <s v="Bank Transfer"/>
    <s v="Pending"/>
    <x v="3"/>
  </r>
  <r>
    <s v="Amit Singh"/>
    <s v="CUST1571"/>
    <d v="2025-03-30T00:00:00"/>
    <n v="152"/>
    <n v="8836.4500000000007"/>
    <n v="3993.09"/>
    <n v="4843.3599999999997"/>
    <s v="LifeLine Pharma"/>
    <x v="1"/>
    <s v="Card"/>
    <s v="Delivered"/>
    <x v="3"/>
  </r>
  <r>
    <s v="Rohan Gupta"/>
    <s v="CUST1572"/>
    <d v="2025-07-31T00:00:00"/>
    <n v="39"/>
    <n v="4404.04"/>
    <n v="1697.04"/>
    <n v="2707"/>
    <s v="Apollo Pharma"/>
    <x v="7"/>
    <s v="Bank Transfer"/>
    <s v="In Transit"/>
    <x v="0"/>
  </r>
  <r>
    <s v="Priya Singh"/>
    <s v="CUST1573"/>
    <d v="2025-12-14T00:00:00"/>
    <n v="45"/>
    <n v="15267.68"/>
    <n v="4965.7"/>
    <n v="10301.98"/>
    <s v="MediCare Distributors"/>
    <x v="6"/>
    <s v="Cash"/>
    <s v="Cancelled"/>
    <x v="3"/>
  </r>
  <r>
    <s v="Rahul Patel"/>
    <s v="CUST1574"/>
    <d v="2025-01-16T00:00:00"/>
    <n v="68"/>
    <n v="3386.34"/>
    <n v="1109.6500000000001"/>
    <n v="2276.69"/>
    <s v="MediCare Distributors"/>
    <x v="3"/>
    <s v="UPI"/>
    <s v="Cancelled"/>
    <x v="2"/>
  </r>
  <r>
    <s v="Rahul Yadav"/>
    <s v="CUST1575"/>
    <d v="2025-08-26T00:00:00"/>
    <n v="139"/>
    <n v="16900.59"/>
    <n v="7735.8"/>
    <n v="9164.7900000000009"/>
    <s v="LifeLine Pharma"/>
    <x v="3"/>
    <s v="UPI"/>
    <s v="Delivered"/>
    <x v="4"/>
  </r>
  <r>
    <s v="Vikas Patel"/>
    <s v="CUST1576"/>
    <d v="2025-09-06T00:00:00"/>
    <n v="22"/>
    <n v="4780.6899999999996"/>
    <n v="1081.69"/>
    <n v="3699"/>
    <s v="CareMed"/>
    <x v="7"/>
    <s v="UPI"/>
    <s v="Delivered"/>
    <x v="3"/>
  </r>
  <r>
    <s v="Amit Yadav"/>
    <s v="CUST1577"/>
    <d v="2025-12-10T00:00:00"/>
    <n v="188"/>
    <n v="16741.98"/>
    <n v="4998.1499999999996"/>
    <n v="11743.83"/>
    <s v="CareMed"/>
    <x v="6"/>
    <s v="Cash"/>
    <s v="Delivered"/>
    <x v="0"/>
  </r>
  <r>
    <s v="Karan Gupta"/>
    <s v="CUST1578"/>
    <d v="2025-04-28T00:00:00"/>
    <n v="78"/>
    <n v="10748.57"/>
    <n v="4683.3"/>
    <n v="6065.27"/>
    <s v="Apollo Pharma"/>
    <x v="7"/>
    <s v="Card"/>
    <s v="Pending"/>
    <x v="0"/>
  </r>
  <r>
    <s v="Pooja Yadav"/>
    <s v="CUST1579"/>
    <d v="2025-12-31T00:00:00"/>
    <n v="96"/>
    <n v="8809.59"/>
    <n v="4364.1499999999996"/>
    <n v="4445.4399999999996"/>
    <s v="MediCare Distributors"/>
    <x v="3"/>
    <s v="Cash"/>
    <s v="In Transit"/>
    <x v="1"/>
  </r>
  <r>
    <s v="Karan Sharma"/>
    <s v="CUST1580"/>
    <d v="2025-01-06T00:00:00"/>
    <n v="122"/>
    <n v="6471.94"/>
    <n v="1510.33"/>
    <n v="4961.6099999999997"/>
    <s v="MediCare Distributors"/>
    <x v="0"/>
    <s v="Bank Transfer"/>
    <s v="Delivered"/>
    <x v="2"/>
  </r>
  <r>
    <s v="Vikas Gupta"/>
    <s v="CUST1581"/>
    <d v="2025-05-04T00:00:00"/>
    <n v="196"/>
    <n v="12994.24"/>
    <n v="6060.34"/>
    <n v="6933.9"/>
    <s v="MediCare Distributors"/>
    <x v="7"/>
    <s v="Card"/>
    <s v="Pending"/>
    <x v="1"/>
  </r>
  <r>
    <s v="Pooja Gupta"/>
    <s v="CUST1582"/>
    <d v="2025-11-26T00:00:00"/>
    <n v="130"/>
    <n v="3093.7"/>
    <n v="648.19000000000005"/>
    <n v="2445.5100000000002"/>
    <s v="LifeLine Pharma"/>
    <x v="7"/>
    <s v="Cash"/>
    <s v="In Transit"/>
    <x v="1"/>
  </r>
  <r>
    <s v="Rahul Mehta"/>
    <s v="CUST1583"/>
    <d v="2025-11-01T00:00:00"/>
    <n v="183"/>
    <n v="2446.4899999999998"/>
    <n v="337.89"/>
    <n v="2108.6"/>
    <s v="Apollo Pharma"/>
    <x v="1"/>
    <s v="Cash"/>
    <s v="In Transit"/>
    <x v="0"/>
  </r>
  <r>
    <s v="Rohan Sharma"/>
    <s v="CUST1584"/>
    <d v="2025-11-27T00:00:00"/>
    <n v="142"/>
    <n v="12882.3"/>
    <n v="5528.93"/>
    <n v="7353.37"/>
    <s v="HealthPlus"/>
    <x v="0"/>
    <s v="Card"/>
    <s v="Cancelled"/>
    <x v="0"/>
  </r>
  <r>
    <s v="Anjali Patel"/>
    <s v="CUST1585"/>
    <d v="2025-04-07T00:00:00"/>
    <n v="118"/>
    <n v="11662.57"/>
    <n v="1824.06"/>
    <n v="9838.51"/>
    <s v="LifeLine Pharma"/>
    <x v="2"/>
    <s v="Card"/>
    <s v="Delivered"/>
    <x v="4"/>
  </r>
  <r>
    <s v="Pooja Gupta"/>
    <s v="CUST1586"/>
    <d v="2025-01-31T00:00:00"/>
    <n v="164"/>
    <n v="5732.5"/>
    <n v="1467.92"/>
    <n v="4264.58"/>
    <s v="LifeLine Pharma"/>
    <x v="0"/>
    <s v="Card"/>
    <s v="Cancelled"/>
    <x v="3"/>
  </r>
  <r>
    <s v="Rahul Joshi"/>
    <s v="CUST1587"/>
    <d v="2025-07-18T00:00:00"/>
    <n v="131"/>
    <n v="6316.63"/>
    <n v="2994.69"/>
    <n v="3321.94"/>
    <s v="Apollo Pharma"/>
    <x v="2"/>
    <s v="Card"/>
    <s v="Delivered"/>
    <x v="0"/>
  </r>
  <r>
    <s v="Rohan Verma"/>
    <s v="CUST1588"/>
    <d v="2025-07-31T00:00:00"/>
    <n v="92"/>
    <n v="11641.95"/>
    <n v="4688.6400000000003"/>
    <n v="6953.31"/>
    <s v="LifeLine Pharma"/>
    <x v="6"/>
    <s v="UPI"/>
    <s v="Delivered"/>
    <x v="3"/>
  </r>
  <r>
    <s v="Karan Singh"/>
    <s v="CUST1589"/>
    <d v="2025-06-19T00:00:00"/>
    <n v="137"/>
    <n v="8062.6"/>
    <n v="1784.45"/>
    <n v="6278.15"/>
    <s v="MediCare Distributors"/>
    <x v="3"/>
    <s v="Bank Transfer"/>
    <s v="Pending"/>
    <x v="0"/>
  </r>
  <r>
    <s v="Vikas Gupta"/>
    <s v="CUST1590"/>
    <d v="2025-06-13T00:00:00"/>
    <n v="39"/>
    <n v="19812.84"/>
    <n v="3939.62"/>
    <n v="15873.22"/>
    <s v="LifeLine Pharma"/>
    <x v="5"/>
    <s v="Bank Transfer"/>
    <s v="Delivered"/>
    <x v="1"/>
  </r>
  <r>
    <s v="Pooja Patel"/>
    <s v="CUST1591"/>
    <d v="2025-11-01T00:00:00"/>
    <n v="77"/>
    <n v="1569.68"/>
    <n v="157.78"/>
    <n v="1411.9"/>
    <s v="Apollo Pharma"/>
    <x v="0"/>
    <s v="Card"/>
    <s v="Pending"/>
    <x v="1"/>
  </r>
  <r>
    <s v="Priya Gupta"/>
    <s v="CUST1592"/>
    <d v="2025-10-23T00:00:00"/>
    <n v="60"/>
    <n v="4345.54"/>
    <n v="921.75"/>
    <n v="3423.79"/>
    <s v="Apollo Pharma"/>
    <x v="4"/>
    <s v="UPI"/>
    <s v="Pending"/>
    <x v="1"/>
  </r>
  <r>
    <s v="Rahul Joshi"/>
    <s v="CUST1593"/>
    <d v="2025-11-03T00:00:00"/>
    <n v="143"/>
    <n v="10269.77"/>
    <n v="3489.22"/>
    <n v="6780.55"/>
    <s v="Apollo Pharma"/>
    <x v="2"/>
    <s v="Card"/>
    <s v="In Transit"/>
    <x v="2"/>
  </r>
  <r>
    <s v="Vikas Yadav"/>
    <s v="CUST1594"/>
    <d v="2025-07-17T00:00:00"/>
    <n v="68"/>
    <n v="2578.9299999999998"/>
    <n v="1189.03"/>
    <n v="1389.9"/>
    <s v="HealthPlus"/>
    <x v="3"/>
    <s v="UPI"/>
    <s v="In Transit"/>
    <x v="0"/>
  </r>
  <r>
    <s v="Vikas Sharma"/>
    <s v="CUST1595"/>
    <d v="2025-06-17T00:00:00"/>
    <n v="146"/>
    <n v="8386.18"/>
    <n v="1358.13"/>
    <n v="7028.05"/>
    <s v="LifeLine Pharma"/>
    <x v="7"/>
    <s v="Cash"/>
    <s v="Pending"/>
    <x v="1"/>
  </r>
  <r>
    <s v="Vikas Sharma"/>
    <s v="CUST1596"/>
    <d v="2025-12-07T00:00:00"/>
    <n v="139"/>
    <n v="19132.88"/>
    <n v="3983.57"/>
    <n v="15149.31"/>
    <s v="LifeLine Pharma"/>
    <x v="7"/>
    <s v="UPI"/>
    <s v="Delivered"/>
    <x v="4"/>
  </r>
  <r>
    <s v="Vikas Patel"/>
    <s v="CUST1597"/>
    <d v="2025-05-18T00:00:00"/>
    <n v="70"/>
    <n v="8332.6200000000008"/>
    <n v="1340.58"/>
    <n v="6992.04"/>
    <s v="Apollo Pharma"/>
    <x v="0"/>
    <s v="Card"/>
    <s v="Pending"/>
    <x v="3"/>
  </r>
  <r>
    <s v="Rohan Gupta"/>
    <s v="CUST1598"/>
    <d v="2025-02-21T00:00:00"/>
    <n v="140"/>
    <n v="8501.48"/>
    <n v="1995.58"/>
    <n v="6505.9"/>
    <s v="CareMed"/>
    <x v="0"/>
    <s v="Bank Transfer"/>
    <s v="Cancelled"/>
    <x v="3"/>
  </r>
  <r>
    <s v="Vikas Gupta"/>
    <s v="CUST1599"/>
    <d v="2025-05-04T00:00:00"/>
    <n v="80"/>
    <n v="13804.91"/>
    <n v="2116.39"/>
    <n v="11688.52"/>
    <s v="HealthPlus"/>
    <x v="4"/>
    <s v="Card"/>
    <s v="In Transit"/>
    <x v="3"/>
  </r>
  <r>
    <s v="Rahul Patel"/>
    <s v="CUST1600"/>
    <d v="2025-11-01T00:00:00"/>
    <n v="158"/>
    <n v="2781.88"/>
    <n v="724.28"/>
    <n v="2057.6"/>
    <s v="MediCare Distributors"/>
    <x v="3"/>
    <s v="Bank Transfer"/>
    <s v="In Transit"/>
    <x v="2"/>
  </r>
  <r>
    <s v="Priya Gupta"/>
    <s v="CUST1601"/>
    <d v="2025-08-07T00:00:00"/>
    <n v="12"/>
    <n v="7090.09"/>
    <n v="3345.43"/>
    <n v="3744.66"/>
    <s v="Apollo Pharma"/>
    <x v="1"/>
    <s v="Cash"/>
    <s v="Pending"/>
    <x v="1"/>
  </r>
  <r>
    <s v="Pooja Gupta"/>
    <s v="CUST1602"/>
    <d v="2025-06-11T00:00:00"/>
    <n v="108"/>
    <n v="6356.32"/>
    <n v="2133.7199999999998"/>
    <n v="4222.6000000000004"/>
    <s v="MediCare Distributors"/>
    <x v="5"/>
    <s v="Card"/>
    <s v="In Transit"/>
    <x v="0"/>
  </r>
  <r>
    <s v="Anjali Sharma"/>
    <s v="CUST1603"/>
    <d v="2025-11-28T00:00:00"/>
    <n v="125"/>
    <n v="252.8"/>
    <n v="123.89"/>
    <n v="128.91"/>
    <s v="CareMed"/>
    <x v="6"/>
    <s v="UPI"/>
    <s v="In Transit"/>
    <x v="0"/>
  </r>
  <r>
    <s v="Karan Joshi"/>
    <s v="CUST1604"/>
    <d v="2025-11-11T00:00:00"/>
    <n v="13"/>
    <n v="5937.02"/>
    <n v="2074.79"/>
    <n v="3862.23"/>
    <s v="LifeLine Pharma"/>
    <x v="6"/>
    <s v="Bank Transfer"/>
    <s v="Cancelled"/>
    <x v="4"/>
  </r>
  <r>
    <s v="Sneha Gupta"/>
    <s v="CUST1605"/>
    <d v="2025-11-21T00:00:00"/>
    <n v="84"/>
    <n v="15804.64"/>
    <n v="6245.17"/>
    <n v="9559.4699999999993"/>
    <s v="Apollo Pharma"/>
    <x v="6"/>
    <s v="Card"/>
    <s v="Cancelled"/>
    <x v="0"/>
  </r>
  <r>
    <s v="Anjali Yadav"/>
    <s v="CUST1606"/>
    <d v="2025-04-09T00:00:00"/>
    <n v="114"/>
    <n v="6864.34"/>
    <n v="981.7"/>
    <n v="5882.64"/>
    <s v="CareMed"/>
    <x v="7"/>
    <s v="Card"/>
    <s v="In Transit"/>
    <x v="4"/>
  </r>
  <r>
    <s v="Priya Singh"/>
    <s v="CUST1607"/>
    <d v="2025-06-08T00:00:00"/>
    <n v="130"/>
    <n v="16124.77"/>
    <n v="7876.04"/>
    <n v="8248.73"/>
    <s v="MediCare Distributors"/>
    <x v="0"/>
    <s v="Card"/>
    <s v="In Transit"/>
    <x v="0"/>
  </r>
  <r>
    <s v="Rohan Gupta"/>
    <s v="CUST1608"/>
    <d v="2025-07-20T00:00:00"/>
    <n v="34"/>
    <n v="17100.34"/>
    <n v="7289.36"/>
    <n v="9810.98"/>
    <s v="LifeLine Pharma"/>
    <x v="4"/>
    <s v="Card"/>
    <s v="Delivered"/>
    <x v="2"/>
  </r>
  <r>
    <s v="Amit Gupta"/>
    <s v="CUST1609"/>
    <d v="2025-01-25T00:00:00"/>
    <n v="86"/>
    <n v="12112.64"/>
    <n v="4374.97"/>
    <n v="7737.67"/>
    <s v="Apollo Pharma"/>
    <x v="3"/>
    <s v="Bank Transfer"/>
    <s v="Pending"/>
    <x v="1"/>
  </r>
  <r>
    <s v="Neha Patel"/>
    <s v="CUST1610"/>
    <d v="2025-02-07T00:00:00"/>
    <n v="39"/>
    <n v="5952.84"/>
    <n v="682.72"/>
    <n v="5270.12"/>
    <s v="LifeLine Pharma"/>
    <x v="1"/>
    <s v="Bank Transfer"/>
    <s v="Cancelled"/>
    <x v="1"/>
  </r>
  <r>
    <s v="Vikas Gupta"/>
    <s v="CUST1611"/>
    <d v="2025-06-02T00:00:00"/>
    <n v="196"/>
    <n v="6388.5"/>
    <n v="3022.19"/>
    <n v="3366.31"/>
    <s v="Apollo Pharma"/>
    <x v="5"/>
    <s v="Cash"/>
    <s v="Pending"/>
    <x v="2"/>
  </r>
  <r>
    <s v="Vikas Patel"/>
    <s v="CUST1612"/>
    <d v="2025-10-17T00:00:00"/>
    <n v="96"/>
    <n v="18223.310000000001"/>
    <n v="2902.7"/>
    <n v="15320.61"/>
    <s v="HealthPlus"/>
    <x v="1"/>
    <s v="Cash"/>
    <s v="Delivered"/>
    <x v="1"/>
  </r>
  <r>
    <s v="Karan Sharma"/>
    <s v="CUST1613"/>
    <d v="2025-07-28T00:00:00"/>
    <n v="122"/>
    <n v="11817.32"/>
    <n v="1266.92"/>
    <n v="10550.4"/>
    <s v="LifeLine Pharma"/>
    <x v="7"/>
    <s v="UPI"/>
    <s v="Pending"/>
    <x v="4"/>
  </r>
  <r>
    <s v="Amit Verma"/>
    <s v="CUST1614"/>
    <d v="2025-01-25T00:00:00"/>
    <n v="153"/>
    <n v="17661.32"/>
    <n v="6298.98"/>
    <n v="11362.34"/>
    <s v="Apollo Pharma"/>
    <x v="6"/>
    <s v="Bank Transfer"/>
    <s v="Pending"/>
    <x v="2"/>
  </r>
  <r>
    <s v="Rohan Joshi"/>
    <s v="CUST1615"/>
    <d v="2025-04-26T00:00:00"/>
    <n v="164"/>
    <n v="16258.58"/>
    <n v="7634.12"/>
    <n v="8624.4599999999991"/>
    <s v="Apollo Pharma"/>
    <x v="2"/>
    <s v="Cash"/>
    <s v="Pending"/>
    <x v="4"/>
  </r>
  <r>
    <s v="Karan Joshi"/>
    <s v="CUST1616"/>
    <d v="2025-01-07T00:00:00"/>
    <n v="189"/>
    <n v="15218.47"/>
    <n v="4695.07"/>
    <n v="10523.4"/>
    <s v="MediCare Distributors"/>
    <x v="1"/>
    <s v="Card"/>
    <s v="Cancelled"/>
    <x v="0"/>
  </r>
  <r>
    <s v="Karan Sharma"/>
    <s v="CUST1617"/>
    <d v="2025-03-06T00:00:00"/>
    <n v="142"/>
    <n v="7072.05"/>
    <n v="1219.22"/>
    <n v="5852.83"/>
    <s v="MediCare Distributors"/>
    <x v="4"/>
    <s v="Card"/>
    <s v="Pending"/>
    <x v="4"/>
  </r>
  <r>
    <s v="Vikas Verma"/>
    <s v="CUST1618"/>
    <d v="2025-12-04T00:00:00"/>
    <n v="172"/>
    <n v="11194.09"/>
    <n v="2233.54"/>
    <n v="8960.5499999999993"/>
    <s v="CareMed"/>
    <x v="4"/>
    <s v="Card"/>
    <s v="In Transit"/>
    <x v="1"/>
  </r>
  <r>
    <s v="Vikas Sharma"/>
    <s v="CUST1619"/>
    <d v="2025-10-21T00:00:00"/>
    <n v="174"/>
    <n v="18897"/>
    <n v="7525.05"/>
    <n v="11371.95"/>
    <s v="HealthPlus"/>
    <x v="6"/>
    <s v="Bank Transfer"/>
    <s v="In Transit"/>
    <x v="3"/>
  </r>
  <r>
    <s v="Neha Singh"/>
    <s v="CUST1620"/>
    <d v="2025-11-16T00:00:00"/>
    <n v="29"/>
    <n v="2884.88"/>
    <n v="1219.0899999999999"/>
    <n v="1665.79"/>
    <s v="LifeLine Pharma"/>
    <x v="6"/>
    <s v="Bank Transfer"/>
    <s v="Delivered"/>
    <x v="1"/>
  </r>
  <r>
    <s v="Sneha Yadav"/>
    <s v="CUST1621"/>
    <d v="2025-08-14T00:00:00"/>
    <n v="102"/>
    <n v="15306.73"/>
    <n v="6166.19"/>
    <n v="9140.5400000000009"/>
    <s v="HealthPlus"/>
    <x v="2"/>
    <s v="Bank Transfer"/>
    <s v="Pending"/>
    <x v="3"/>
  </r>
  <r>
    <s v="Rahul Singh"/>
    <s v="CUST1622"/>
    <d v="2025-06-28T00:00:00"/>
    <n v="138"/>
    <n v="7652.19"/>
    <n v="3306.62"/>
    <n v="4345.57"/>
    <s v="Apollo Pharma"/>
    <x v="7"/>
    <s v="Card"/>
    <s v="Delivered"/>
    <x v="2"/>
  </r>
  <r>
    <s v="Karan Sharma"/>
    <s v="CUST1623"/>
    <d v="2025-11-14T00:00:00"/>
    <n v="18"/>
    <n v="12174.14"/>
    <n v="4202.3900000000003"/>
    <n v="7971.75"/>
    <s v="MediCare Distributors"/>
    <x v="3"/>
    <s v="Card"/>
    <s v="In Transit"/>
    <x v="4"/>
  </r>
  <r>
    <s v="Priya Sharma"/>
    <s v="CUST1624"/>
    <d v="2025-08-11T00:00:00"/>
    <n v="156"/>
    <n v="19887.169999999998"/>
    <n v="2156.88"/>
    <n v="17730.29"/>
    <s v="HealthPlus"/>
    <x v="2"/>
    <s v="Card"/>
    <s v="Pending"/>
    <x v="0"/>
  </r>
  <r>
    <s v="Anjali Singh"/>
    <s v="CUST1625"/>
    <d v="2025-06-25T00:00:00"/>
    <n v="4"/>
    <n v="811.7"/>
    <n v="106.87"/>
    <n v="704.83"/>
    <s v="Apollo Pharma"/>
    <x v="5"/>
    <s v="Bank Transfer"/>
    <s v="Cancelled"/>
    <x v="2"/>
  </r>
  <r>
    <s v="Sneha Joshi"/>
    <s v="CUST1626"/>
    <d v="2025-01-22T00:00:00"/>
    <n v="18"/>
    <n v="16866.95"/>
    <n v="6103.54"/>
    <n v="10763.41"/>
    <s v="MediCare Distributors"/>
    <x v="6"/>
    <s v="Card"/>
    <s v="In Transit"/>
    <x v="0"/>
  </r>
  <r>
    <s v="Anjali Joshi"/>
    <s v="CUST1627"/>
    <d v="2025-10-09T00:00:00"/>
    <n v="110"/>
    <n v="1164.4000000000001"/>
    <n v="334.54"/>
    <n v="829.86"/>
    <s v="CareMed"/>
    <x v="4"/>
    <s v="Cash"/>
    <s v="Cancelled"/>
    <x v="3"/>
  </r>
  <r>
    <s v="Pooja Singh"/>
    <s v="CUST1628"/>
    <d v="2025-01-28T00:00:00"/>
    <n v="181"/>
    <n v="15707.14"/>
    <n v="7180.34"/>
    <n v="8526.7999999999993"/>
    <s v="HealthPlus"/>
    <x v="0"/>
    <s v="Cash"/>
    <s v="Pending"/>
    <x v="2"/>
  </r>
  <r>
    <s v="Karan Yadav"/>
    <s v="CUST1629"/>
    <d v="2025-07-26T00:00:00"/>
    <n v="132"/>
    <n v="13255.3"/>
    <n v="1992.89"/>
    <n v="11262.41"/>
    <s v="LifeLine Pharma"/>
    <x v="1"/>
    <s v="UPI"/>
    <s v="Delivered"/>
    <x v="2"/>
  </r>
  <r>
    <s v="Vikas Mehta"/>
    <s v="CUST1630"/>
    <d v="2025-09-29T00:00:00"/>
    <n v="149"/>
    <n v="14091.24"/>
    <n v="2325"/>
    <n v="11766.24"/>
    <s v="Apollo Pharma"/>
    <x v="6"/>
    <s v="Bank Transfer"/>
    <s v="Pending"/>
    <x v="0"/>
  </r>
  <r>
    <s v="Vikas Gupta"/>
    <s v="CUST1631"/>
    <d v="2025-03-27T00:00:00"/>
    <n v="10"/>
    <n v="16223.45"/>
    <n v="2518.87"/>
    <n v="13704.58"/>
    <s v="CareMed"/>
    <x v="1"/>
    <s v="Card"/>
    <s v="Pending"/>
    <x v="2"/>
  </r>
  <r>
    <s v="Vikas Verma"/>
    <s v="CUST1632"/>
    <d v="2025-01-14T00:00:00"/>
    <n v="143"/>
    <n v="13009.08"/>
    <n v="3421.95"/>
    <n v="9587.1299999999992"/>
    <s v="MediCare Distributors"/>
    <x v="0"/>
    <s v="UPI"/>
    <s v="Delivered"/>
    <x v="2"/>
  </r>
  <r>
    <s v="Neha Patel"/>
    <s v="CUST1633"/>
    <d v="2025-10-10T00:00:00"/>
    <n v="169"/>
    <n v="11039.14"/>
    <n v="5386.73"/>
    <n v="5652.41"/>
    <s v="MediCare Distributors"/>
    <x v="0"/>
    <s v="UPI"/>
    <s v="Delivered"/>
    <x v="2"/>
  </r>
  <r>
    <s v="Pooja Singh"/>
    <s v="CUST1634"/>
    <d v="2025-05-30T00:00:00"/>
    <n v="38"/>
    <n v="2510.42"/>
    <n v="435.59"/>
    <n v="2074.83"/>
    <s v="Apollo Pharma"/>
    <x v="2"/>
    <s v="UPI"/>
    <s v="Pending"/>
    <x v="0"/>
  </r>
  <r>
    <s v="Rahul Sharma"/>
    <s v="CUST1635"/>
    <d v="2025-05-09T00:00:00"/>
    <n v="178"/>
    <n v="10488.23"/>
    <n v="3308.79"/>
    <n v="7179.44"/>
    <s v="LifeLine Pharma"/>
    <x v="5"/>
    <s v="Cash"/>
    <s v="Delivered"/>
    <x v="3"/>
  </r>
  <r>
    <s v="Karan Yadav"/>
    <s v="CUST1636"/>
    <d v="2025-08-05T00:00:00"/>
    <n v="99"/>
    <n v="2521.88"/>
    <n v="708.41"/>
    <n v="1813.47"/>
    <s v="HealthPlus"/>
    <x v="0"/>
    <s v="Card"/>
    <s v="Cancelled"/>
    <x v="1"/>
  </r>
  <r>
    <s v="Amit Joshi"/>
    <s v="CUST1637"/>
    <d v="2025-08-11T00:00:00"/>
    <n v="186"/>
    <n v="4781.1099999999997"/>
    <n v="1332.91"/>
    <n v="3448.2"/>
    <s v="HealthPlus"/>
    <x v="0"/>
    <s v="Cash"/>
    <s v="Delivered"/>
    <x v="1"/>
  </r>
  <r>
    <s v="Sneha Joshi"/>
    <s v="CUST1638"/>
    <d v="2025-02-13T00:00:00"/>
    <n v="193"/>
    <n v="15352.04"/>
    <n v="4296.54"/>
    <n v="11055.5"/>
    <s v="MediCare Distributors"/>
    <x v="0"/>
    <s v="Card"/>
    <s v="In Transit"/>
    <x v="3"/>
  </r>
  <r>
    <s v="Rohan Mehta"/>
    <s v="CUST1639"/>
    <d v="2025-03-09T00:00:00"/>
    <n v="26"/>
    <n v="793.9"/>
    <n v="333.9"/>
    <n v="460"/>
    <s v="Apollo Pharma"/>
    <x v="7"/>
    <s v="Bank Transfer"/>
    <s v="Pending"/>
    <x v="0"/>
  </r>
  <r>
    <s v="Rahul Mehta"/>
    <s v="CUST1640"/>
    <d v="2025-09-11T00:00:00"/>
    <n v="72"/>
    <n v="18874.82"/>
    <n v="2246.13"/>
    <n v="16628.689999999999"/>
    <s v="CareMed"/>
    <x v="1"/>
    <s v="Bank Transfer"/>
    <s v="Delivered"/>
    <x v="4"/>
  </r>
  <r>
    <s v="Anjali Sharma"/>
    <s v="CUST1641"/>
    <d v="2025-08-29T00:00:00"/>
    <n v="12"/>
    <n v="8774.64"/>
    <n v="974.18"/>
    <n v="7800.46"/>
    <s v="LifeLine Pharma"/>
    <x v="1"/>
    <s v="Card"/>
    <s v="Delivered"/>
    <x v="2"/>
  </r>
  <r>
    <s v="Amit Sharma"/>
    <s v="CUST1642"/>
    <d v="2025-12-21T00:00:00"/>
    <n v="101"/>
    <n v="18331.18"/>
    <n v="6972.51"/>
    <n v="11358.67"/>
    <s v="Apollo Pharma"/>
    <x v="5"/>
    <s v="UPI"/>
    <s v="In Transit"/>
    <x v="0"/>
  </r>
  <r>
    <s v="Rahul Yadav"/>
    <s v="CUST1643"/>
    <d v="2025-03-10T00:00:00"/>
    <n v="83"/>
    <n v="2101.37"/>
    <n v="534.49"/>
    <n v="1566.88"/>
    <s v="CareMed"/>
    <x v="6"/>
    <s v="Bank Transfer"/>
    <s v="Delivered"/>
    <x v="1"/>
  </r>
  <r>
    <s v="Karan Sharma"/>
    <s v="CUST1644"/>
    <d v="2025-03-11T00:00:00"/>
    <n v="198"/>
    <n v="11277.79"/>
    <n v="4760.82"/>
    <n v="6516.97"/>
    <s v="LifeLine Pharma"/>
    <x v="0"/>
    <s v="Card"/>
    <s v="Pending"/>
    <x v="1"/>
  </r>
  <r>
    <s v="Rohan Gupta"/>
    <s v="CUST1645"/>
    <d v="2025-12-21T00:00:00"/>
    <n v="100"/>
    <n v="12177.97"/>
    <n v="2265.5300000000002"/>
    <n v="9912.44"/>
    <s v="CareMed"/>
    <x v="0"/>
    <s v="Bank Transfer"/>
    <s v="Delivered"/>
    <x v="4"/>
  </r>
  <r>
    <s v="Sneha Yadav"/>
    <s v="CUST1646"/>
    <d v="2025-07-20T00:00:00"/>
    <n v="158"/>
    <n v="1545.69"/>
    <n v="753.9"/>
    <n v="791.79"/>
    <s v="CareMed"/>
    <x v="1"/>
    <s v="UPI"/>
    <s v="In Transit"/>
    <x v="4"/>
  </r>
  <r>
    <s v="Sneha Patel"/>
    <s v="CUST1647"/>
    <d v="2025-07-12T00:00:00"/>
    <n v="117"/>
    <n v="17946.16"/>
    <n v="8805.2900000000009"/>
    <n v="9140.8700000000008"/>
    <s v="CareMed"/>
    <x v="0"/>
    <s v="UPI"/>
    <s v="Delivered"/>
    <x v="2"/>
  </r>
  <r>
    <s v="Amit Verma"/>
    <s v="CUST1648"/>
    <d v="2025-05-31T00:00:00"/>
    <n v="180"/>
    <n v="15303.61"/>
    <n v="5457.23"/>
    <n v="9846.3799999999992"/>
    <s v="CareMed"/>
    <x v="2"/>
    <s v="Bank Transfer"/>
    <s v="Delivered"/>
    <x v="1"/>
  </r>
  <r>
    <s v="Vikas Patel"/>
    <s v="CUST1649"/>
    <d v="2025-10-23T00:00:00"/>
    <n v="2"/>
    <n v="15244.94"/>
    <n v="1644.02"/>
    <n v="13600.92"/>
    <s v="CareMed"/>
    <x v="4"/>
    <s v="UPI"/>
    <s v="Delivered"/>
    <x v="4"/>
  </r>
  <r>
    <s v="Sneha Mehta"/>
    <s v="CUST1650"/>
    <d v="2025-11-24T00:00:00"/>
    <n v="131"/>
    <n v="6355.66"/>
    <n v="744.03"/>
    <n v="5611.63"/>
    <s v="LifeLine Pharma"/>
    <x v="7"/>
    <s v="Bank Transfer"/>
    <s v="In Transit"/>
    <x v="2"/>
  </r>
  <r>
    <s v="Amit Verma"/>
    <s v="CUST1651"/>
    <d v="2025-09-17T00:00:00"/>
    <n v="76"/>
    <n v="7763.42"/>
    <n v="3307.6"/>
    <n v="4455.82"/>
    <s v="Apollo Pharma"/>
    <x v="5"/>
    <s v="UPI"/>
    <s v="In Transit"/>
    <x v="3"/>
  </r>
  <r>
    <s v="Amit Gupta"/>
    <s v="CUST1652"/>
    <d v="2025-12-30T00:00:00"/>
    <n v="112"/>
    <n v="5398.8"/>
    <n v="2348.0100000000002"/>
    <n v="3050.79"/>
    <s v="CareMed"/>
    <x v="7"/>
    <s v="Card"/>
    <s v="Delivered"/>
    <x v="0"/>
  </r>
  <r>
    <s v="Sneha Sharma"/>
    <s v="CUST1653"/>
    <d v="2025-11-11T00:00:00"/>
    <n v="182"/>
    <n v="17644.66"/>
    <n v="2375.59"/>
    <n v="15269.07"/>
    <s v="HealthPlus"/>
    <x v="4"/>
    <s v="Card"/>
    <s v="Pending"/>
    <x v="3"/>
  </r>
  <r>
    <s v="Amit Mehta"/>
    <s v="CUST1654"/>
    <d v="2025-06-24T00:00:00"/>
    <n v="76"/>
    <n v="7519.68"/>
    <n v="1252.96"/>
    <n v="6266.72"/>
    <s v="Apollo Pharma"/>
    <x v="4"/>
    <s v="Bank Transfer"/>
    <s v="Pending"/>
    <x v="3"/>
  </r>
  <r>
    <s v="Rahul Verma"/>
    <s v="CUST1655"/>
    <d v="2025-01-06T00:00:00"/>
    <n v="94"/>
    <n v="9989.2000000000007"/>
    <n v="4994.3599999999997"/>
    <n v="4994.84"/>
    <s v="CareMed"/>
    <x v="3"/>
    <s v="Cash"/>
    <s v="Delivered"/>
    <x v="1"/>
  </r>
  <r>
    <s v="Rohan Singh"/>
    <s v="CUST1656"/>
    <d v="2025-03-26T00:00:00"/>
    <n v="88"/>
    <n v="8259.17"/>
    <n v="988.99"/>
    <n v="7270.18"/>
    <s v="LifeLine Pharma"/>
    <x v="2"/>
    <s v="UPI"/>
    <s v="Pending"/>
    <x v="1"/>
  </r>
  <r>
    <s v="Vikas Yadav"/>
    <s v="CUST1657"/>
    <d v="2025-10-12T00:00:00"/>
    <n v="129"/>
    <n v="3342.8"/>
    <n v="922.63"/>
    <n v="2420.17"/>
    <s v="HealthPlus"/>
    <x v="6"/>
    <s v="Cash"/>
    <s v="Delivered"/>
    <x v="2"/>
  </r>
  <r>
    <s v="Amit Yadav"/>
    <s v="CUST1658"/>
    <d v="2025-04-01T00:00:00"/>
    <n v="167"/>
    <n v="18911.87"/>
    <n v="3276.84"/>
    <n v="15635.03"/>
    <s v="MediCare Distributors"/>
    <x v="2"/>
    <s v="Card"/>
    <s v="Cancelled"/>
    <x v="1"/>
  </r>
  <r>
    <s v="Priya Patel"/>
    <s v="CUST1659"/>
    <d v="2025-04-30T00:00:00"/>
    <n v="108"/>
    <n v="1542.51"/>
    <n v="190.29"/>
    <n v="1352.22"/>
    <s v="CareMed"/>
    <x v="4"/>
    <s v="Cash"/>
    <s v="Cancelled"/>
    <x v="3"/>
  </r>
  <r>
    <s v="Amit Sharma"/>
    <s v="CUST1660"/>
    <d v="2025-10-03T00:00:00"/>
    <n v="90"/>
    <n v="18865.13"/>
    <n v="4591.92"/>
    <n v="14273.21"/>
    <s v="Apollo Pharma"/>
    <x v="5"/>
    <s v="Cash"/>
    <s v="In Transit"/>
    <x v="2"/>
  </r>
  <r>
    <s v="Rahul Verma"/>
    <s v="CUST1661"/>
    <d v="2025-07-07T00:00:00"/>
    <n v="28"/>
    <n v="19622.990000000002"/>
    <n v="4655.07"/>
    <n v="14967.92"/>
    <s v="HealthPlus"/>
    <x v="2"/>
    <s v="Bank Transfer"/>
    <s v="Delivered"/>
    <x v="1"/>
  </r>
  <r>
    <s v="Rahul Mehta"/>
    <s v="CUST1662"/>
    <d v="2025-10-11T00:00:00"/>
    <n v="113"/>
    <n v="1159.48"/>
    <n v="315.60000000000002"/>
    <n v="843.88"/>
    <s v="MediCare Distributors"/>
    <x v="3"/>
    <s v="Cash"/>
    <s v="Cancelled"/>
    <x v="0"/>
  </r>
  <r>
    <s v="Amit Gupta"/>
    <s v="CUST1663"/>
    <d v="2025-08-19T00:00:00"/>
    <n v="81"/>
    <n v="13641.66"/>
    <n v="6795.71"/>
    <n v="6845.95"/>
    <s v="LifeLine Pharma"/>
    <x v="6"/>
    <s v="Cash"/>
    <s v="In Transit"/>
    <x v="3"/>
  </r>
  <r>
    <s v="Karan Mehta"/>
    <s v="CUST1664"/>
    <d v="2025-10-11T00:00:00"/>
    <n v="76"/>
    <n v="4617.37"/>
    <n v="1115.82"/>
    <n v="3501.55"/>
    <s v="CareMed"/>
    <x v="7"/>
    <s v="Bank Transfer"/>
    <s v="Pending"/>
    <x v="2"/>
  </r>
  <r>
    <s v="Rohan Mehta"/>
    <s v="CUST1665"/>
    <d v="2025-11-05T00:00:00"/>
    <n v="153"/>
    <n v="5216.1099999999997"/>
    <n v="612.27"/>
    <n v="4603.84"/>
    <s v="Apollo Pharma"/>
    <x v="1"/>
    <s v="Cash"/>
    <s v="Pending"/>
    <x v="2"/>
  </r>
  <r>
    <s v="Sneha Singh"/>
    <s v="CUST1666"/>
    <d v="2025-10-17T00:00:00"/>
    <n v="80"/>
    <n v="16237.64"/>
    <n v="7582.05"/>
    <n v="8655.59"/>
    <s v="Apollo Pharma"/>
    <x v="3"/>
    <s v="Card"/>
    <s v="In Transit"/>
    <x v="2"/>
  </r>
  <r>
    <s v="Rahul Verma"/>
    <s v="CUST1667"/>
    <d v="2025-12-17T00:00:00"/>
    <n v="199"/>
    <n v="11273.46"/>
    <n v="2882.52"/>
    <n v="8390.94"/>
    <s v="MediCare Distributors"/>
    <x v="2"/>
    <s v="Cash"/>
    <s v="Cancelled"/>
    <x v="0"/>
  </r>
  <r>
    <s v="Vikas Singh"/>
    <s v="CUST1668"/>
    <d v="2025-03-19T00:00:00"/>
    <n v="187"/>
    <n v="7262.87"/>
    <n v="2887.62"/>
    <n v="4375.25"/>
    <s v="MediCare Distributors"/>
    <x v="4"/>
    <s v="UPI"/>
    <s v="Cancelled"/>
    <x v="3"/>
  </r>
  <r>
    <s v="Karan Sharma"/>
    <s v="CUST1669"/>
    <d v="2025-12-12T00:00:00"/>
    <n v="70"/>
    <n v="19582.37"/>
    <n v="6380.55"/>
    <n v="13201.82"/>
    <s v="LifeLine Pharma"/>
    <x v="7"/>
    <s v="UPI"/>
    <s v="Pending"/>
    <x v="4"/>
  </r>
  <r>
    <s v="Vikas Joshi"/>
    <s v="CUST1670"/>
    <d v="2025-05-30T00:00:00"/>
    <n v="129"/>
    <n v="3985.12"/>
    <n v="1508.54"/>
    <n v="2476.58"/>
    <s v="MediCare Distributors"/>
    <x v="4"/>
    <s v="UPI"/>
    <s v="Cancelled"/>
    <x v="1"/>
  </r>
  <r>
    <s v="Vikas Gupta"/>
    <s v="CUST1671"/>
    <d v="2025-10-29T00:00:00"/>
    <n v="139"/>
    <n v="1043.9100000000001"/>
    <n v="382.49"/>
    <n v="661.42"/>
    <s v="LifeLine Pharma"/>
    <x v="7"/>
    <s v="Card"/>
    <s v="Delivered"/>
    <x v="3"/>
  </r>
  <r>
    <s v="Rohan Mehta"/>
    <s v="CUST1672"/>
    <d v="2025-06-07T00:00:00"/>
    <n v="159"/>
    <n v="6777.71"/>
    <n v="3171.8"/>
    <n v="3605.91"/>
    <s v="LifeLine Pharma"/>
    <x v="2"/>
    <s v="UPI"/>
    <s v="Pending"/>
    <x v="4"/>
  </r>
  <r>
    <s v="Rahul Sharma"/>
    <s v="CUST1673"/>
    <d v="2025-12-20T00:00:00"/>
    <n v="86"/>
    <n v="18056.04"/>
    <n v="6683.97"/>
    <n v="11372.07"/>
    <s v="Apollo Pharma"/>
    <x v="7"/>
    <s v="Card"/>
    <s v="Delivered"/>
    <x v="3"/>
  </r>
  <r>
    <s v="Pooja Patel"/>
    <s v="CUST1674"/>
    <d v="2025-03-21T00:00:00"/>
    <n v="26"/>
    <n v="19025.740000000002"/>
    <n v="1927.07"/>
    <n v="17098.669999999998"/>
    <s v="LifeLine Pharma"/>
    <x v="1"/>
    <s v="Cash"/>
    <s v="Delivered"/>
    <x v="3"/>
  </r>
  <r>
    <s v="Neha Mehta"/>
    <s v="CUST1675"/>
    <d v="2025-01-17T00:00:00"/>
    <n v="76"/>
    <n v="14112.78"/>
    <n v="4543.2700000000004"/>
    <n v="9569.51"/>
    <s v="LifeLine Pharma"/>
    <x v="3"/>
    <s v="UPI"/>
    <s v="Pending"/>
    <x v="3"/>
  </r>
  <r>
    <s v="Rahul Gupta"/>
    <s v="CUST1676"/>
    <d v="2025-04-26T00:00:00"/>
    <n v="159"/>
    <n v="7481.89"/>
    <n v="3041.22"/>
    <n v="4440.67"/>
    <s v="HealthPlus"/>
    <x v="5"/>
    <s v="UPI"/>
    <s v="Delivered"/>
    <x v="0"/>
  </r>
  <r>
    <s v="Amit Verma"/>
    <s v="CUST1677"/>
    <d v="2025-10-14T00:00:00"/>
    <n v="113"/>
    <n v="18032.23"/>
    <n v="3354.47"/>
    <n v="14677.76"/>
    <s v="CareMed"/>
    <x v="4"/>
    <s v="Cash"/>
    <s v="Delivered"/>
    <x v="1"/>
  </r>
  <r>
    <s v="Neha Gupta"/>
    <s v="CUST1678"/>
    <d v="2025-04-18T00:00:00"/>
    <n v="180"/>
    <n v="18387.560000000001"/>
    <n v="8613.18"/>
    <n v="9774.3799999999992"/>
    <s v="Apollo Pharma"/>
    <x v="4"/>
    <s v="UPI"/>
    <s v="Pending"/>
    <x v="2"/>
  </r>
  <r>
    <s v="Anjali Joshi"/>
    <s v="CUST1679"/>
    <d v="2025-06-12T00:00:00"/>
    <n v="163"/>
    <n v="17822.88"/>
    <n v="6489.07"/>
    <n v="11333.81"/>
    <s v="LifeLine Pharma"/>
    <x v="6"/>
    <s v="Cash"/>
    <s v="Cancelled"/>
    <x v="3"/>
  </r>
  <r>
    <s v="Amit Yadav"/>
    <s v="CUST1680"/>
    <d v="2025-09-24T00:00:00"/>
    <n v="49"/>
    <n v="16906.04"/>
    <n v="5317.32"/>
    <n v="11588.72"/>
    <s v="CareMed"/>
    <x v="3"/>
    <s v="Card"/>
    <s v="In Transit"/>
    <x v="4"/>
  </r>
  <r>
    <s v="Rahul Singh"/>
    <s v="CUST1681"/>
    <d v="2025-08-25T00:00:00"/>
    <n v="193"/>
    <n v="16601.75"/>
    <n v="7981.16"/>
    <n v="8620.59"/>
    <s v="LifeLine Pharma"/>
    <x v="6"/>
    <s v="UPI"/>
    <s v="In Transit"/>
    <x v="2"/>
  </r>
  <r>
    <s v="Rahul Singh"/>
    <s v="CUST1682"/>
    <d v="2025-01-22T00:00:00"/>
    <n v="149"/>
    <n v="2458.5"/>
    <n v="956.42"/>
    <n v="1502.08"/>
    <s v="MediCare Distributors"/>
    <x v="3"/>
    <s v="UPI"/>
    <s v="Cancelled"/>
    <x v="2"/>
  </r>
  <r>
    <s v="Rahul Joshi"/>
    <s v="CUST1683"/>
    <d v="2025-12-09T00:00:00"/>
    <n v="19"/>
    <n v="10900.95"/>
    <n v="2717.12"/>
    <n v="8183.83"/>
    <s v="Apollo Pharma"/>
    <x v="0"/>
    <s v="Card"/>
    <s v="Pending"/>
    <x v="0"/>
  </r>
  <r>
    <s v="Karan Mehta"/>
    <s v="CUST1684"/>
    <d v="2025-08-18T00:00:00"/>
    <n v="195"/>
    <n v="15025.85"/>
    <n v="2047.71"/>
    <n v="12978.14"/>
    <s v="CareMed"/>
    <x v="4"/>
    <s v="UPI"/>
    <s v="Delivered"/>
    <x v="4"/>
  </r>
  <r>
    <s v="Anjali Gupta"/>
    <s v="CUST1685"/>
    <d v="2025-07-12T00:00:00"/>
    <n v="9"/>
    <n v="1280.57"/>
    <n v="146.62"/>
    <n v="1133.95"/>
    <s v="CareMed"/>
    <x v="3"/>
    <s v="Cash"/>
    <s v="Cancelled"/>
    <x v="0"/>
  </r>
  <r>
    <s v="Pooja Gupta"/>
    <s v="CUST1686"/>
    <d v="2025-01-18T00:00:00"/>
    <n v="141"/>
    <n v="1269.92"/>
    <n v="357.24"/>
    <n v="912.68"/>
    <s v="LifeLine Pharma"/>
    <x v="7"/>
    <s v="Card"/>
    <s v="Delivered"/>
    <x v="3"/>
  </r>
  <r>
    <s v="Priya Yadav"/>
    <s v="CUST1687"/>
    <d v="2025-02-19T00:00:00"/>
    <n v="69"/>
    <n v="13918.33"/>
    <n v="6261.54"/>
    <n v="7656.79"/>
    <s v="MediCare Distributors"/>
    <x v="0"/>
    <s v="Card"/>
    <s v="In Transit"/>
    <x v="1"/>
  </r>
  <r>
    <s v="Pooja Mehta"/>
    <s v="CUST1688"/>
    <d v="2025-01-21T00:00:00"/>
    <n v="6"/>
    <n v="155.30000000000001"/>
    <n v="47.16"/>
    <n v="108.14"/>
    <s v="LifeLine Pharma"/>
    <x v="2"/>
    <s v="Card"/>
    <s v="In Transit"/>
    <x v="4"/>
  </r>
  <r>
    <s v="Rahul Singh"/>
    <s v="CUST1689"/>
    <d v="2025-06-06T00:00:00"/>
    <n v="163"/>
    <n v="7023.98"/>
    <n v="3480.93"/>
    <n v="3543.05"/>
    <s v="LifeLine Pharma"/>
    <x v="0"/>
    <s v="Bank Transfer"/>
    <s v="In Transit"/>
    <x v="0"/>
  </r>
  <r>
    <s v="Vikas Verma"/>
    <s v="CUST1690"/>
    <d v="2025-12-27T00:00:00"/>
    <n v="48"/>
    <n v="5788.79"/>
    <n v="1830.7"/>
    <n v="3958.09"/>
    <s v="HealthPlus"/>
    <x v="2"/>
    <s v="Cash"/>
    <s v="Pending"/>
    <x v="2"/>
  </r>
  <r>
    <s v="Pooja Verma"/>
    <s v="CUST1691"/>
    <d v="2025-01-10T00:00:00"/>
    <n v="57"/>
    <n v="6223.53"/>
    <n v="980.8"/>
    <n v="5242.7299999999996"/>
    <s v="Apollo Pharma"/>
    <x v="3"/>
    <s v="Cash"/>
    <s v="Delivered"/>
    <x v="4"/>
  </r>
  <r>
    <s v="Rohan Sharma"/>
    <s v="CUST1692"/>
    <d v="2025-06-09T00:00:00"/>
    <n v="63"/>
    <n v="211.81"/>
    <n v="41.15"/>
    <n v="170.66"/>
    <s v="CareMed"/>
    <x v="1"/>
    <s v="Card"/>
    <s v="Pending"/>
    <x v="2"/>
  </r>
  <r>
    <s v="Rahul Verma"/>
    <s v="CUST1693"/>
    <d v="2025-12-01T00:00:00"/>
    <n v="23"/>
    <n v="7742.12"/>
    <n v="2495.84"/>
    <n v="5246.28"/>
    <s v="MediCare Distributors"/>
    <x v="3"/>
    <s v="Card"/>
    <s v="In Transit"/>
    <x v="3"/>
  </r>
  <r>
    <s v="Sneha Mehta"/>
    <s v="CUST1694"/>
    <d v="2025-04-05T00:00:00"/>
    <n v="145"/>
    <n v="11174.02"/>
    <n v="1197.76"/>
    <n v="9976.26"/>
    <s v="LifeLine Pharma"/>
    <x v="4"/>
    <s v="UPI"/>
    <s v="Delivered"/>
    <x v="1"/>
  </r>
  <r>
    <s v="Neha Gupta"/>
    <s v="CUST1695"/>
    <d v="2025-09-03T00:00:00"/>
    <n v="43"/>
    <n v="7965.3"/>
    <n v="3246.83"/>
    <n v="4718.47"/>
    <s v="MediCare Distributors"/>
    <x v="1"/>
    <s v="UPI"/>
    <s v="Delivered"/>
    <x v="3"/>
  </r>
  <r>
    <s v="Neha Yadav"/>
    <s v="CUST1696"/>
    <d v="2025-11-08T00:00:00"/>
    <n v="91"/>
    <n v="10461.15"/>
    <n v="4905.28"/>
    <n v="5555.87"/>
    <s v="LifeLine Pharma"/>
    <x v="7"/>
    <s v="Cash"/>
    <s v="Pending"/>
    <x v="3"/>
  </r>
  <r>
    <s v="Rahul Yadav"/>
    <s v="CUST1697"/>
    <d v="2025-01-05T00:00:00"/>
    <n v="24"/>
    <n v="16042.95"/>
    <n v="2619.15"/>
    <n v="13423.8"/>
    <s v="MediCare Distributors"/>
    <x v="3"/>
    <s v="UPI"/>
    <s v="Pending"/>
    <x v="3"/>
  </r>
  <r>
    <s v="Rohan Verma"/>
    <s v="CUST1698"/>
    <d v="2025-08-12T00:00:00"/>
    <n v="166"/>
    <n v="15925.71"/>
    <n v="3340.85"/>
    <n v="12584.86"/>
    <s v="MediCare Distributors"/>
    <x v="5"/>
    <s v="Card"/>
    <s v="Delivered"/>
    <x v="1"/>
  </r>
  <r>
    <s v="Karan Yadav"/>
    <s v="CUST1699"/>
    <d v="2025-09-09T00:00:00"/>
    <n v="2"/>
    <n v="13759.27"/>
    <n v="3767.05"/>
    <n v="9992.2199999999993"/>
    <s v="LifeLine Pharma"/>
    <x v="5"/>
    <s v="Cash"/>
    <s v="Cancelled"/>
    <x v="3"/>
  </r>
  <r>
    <s v="Priya Mehta"/>
    <s v="CUST1700"/>
    <d v="2025-04-06T00:00:00"/>
    <n v="141"/>
    <n v="11056.96"/>
    <n v="2298.39"/>
    <n v="8758.57"/>
    <s v="HealthPlus"/>
    <x v="7"/>
    <s v="Bank Transfer"/>
    <s v="Pending"/>
    <x v="3"/>
  </r>
  <r>
    <s v="Amit Gupta"/>
    <s v="CUST1701"/>
    <d v="2025-07-04T00:00:00"/>
    <n v="133"/>
    <n v="984.7"/>
    <n v="472.52"/>
    <n v="512.17999999999995"/>
    <s v="HealthPlus"/>
    <x v="0"/>
    <s v="Bank Transfer"/>
    <s v="Pending"/>
    <x v="1"/>
  </r>
  <r>
    <s v="Amit Gupta"/>
    <s v="CUST1702"/>
    <d v="2025-12-02T00:00:00"/>
    <n v="40"/>
    <n v="10219.549999999999"/>
    <n v="2731.14"/>
    <n v="7488.41"/>
    <s v="MediCare Distributors"/>
    <x v="6"/>
    <s v="Card"/>
    <s v="In Transit"/>
    <x v="1"/>
  </r>
  <r>
    <s v="Rahul Patel"/>
    <s v="CUST1703"/>
    <d v="2025-09-22T00:00:00"/>
    <n v="36"/>
    <n v="3445.62"/>
    <n v="683.62"/>
    <n v="2762"/>
    <s v="MediCare Distributors"/>
    <x v="3"/>
    <s v="Cash"/>
    <s v="Pending"/>
    <x v="3"/>
  </r>
  <r>
    <s v="Karan Singh"/>
    <s v="CUST1704"/>
    <d v="2025-01-04T00:00:00"/>
    <n v="76"/>
    <n v="10779.43"/>
    <n v="2693.68"/>
    <n v="8085.75"/>
    <s v="MediCare Distributors"/>
    <x v="2"/>
    <s v="UPI"/>
    <s v="Delivered"/>
    <x v="3"/>
  </r>
  <r>
    <s v="Vikas Patel"/>
    <s v="CUST1705"/>
    <d v="2025-10-16T00:00:00"/>
    <n v="72"/>
    <n v="9796.77"/>
    <n v="3806"/>
    <n v="5990.77"/>
    <s v="MediCare Distributors"/>
    <x v="2"/>
    <s v="Cash"/>
    <s v="Delivered"/>
    <x v="3"/>
  </r>
  <r>
    <s v="Rohan Mehta"/>
    <s v="CUST1706"/>
    <d v="2025-02-13T00:00:00"/>
    <n v="155"/>
    <n v="14239.75"/>
    <n v="3126.48"/>
    <n v="11113.27"/>
    <s v="MediCare Distributors"/>
    <x v="3"/>
    <s v="UPI"/>
    <s v="Delivered"/>
    <x v="0"/>
  </r>
  <r>
    <s v="Priya Sharma"/>
    <s v="CUST1707"/>
    <d v="2025-05-14T00:00:00"/>
    <n v="183"/>
    <n v="13947.98"/>
    <n v="5752.05"/>
    <n v="8195.93"/>
    <s v="MediCare Distributors"/>
    <x v="2"/>
    <s v="Bank Transfer"/>
    <s v="Cancelled"/>
    <x v="1"/>
  </r>
  <r>
    <s v="Anjali Verma"/>
    <s v="CUST1708"/>
    <d v="2025-02-20T00:00:00"/>
    <n v="27"/>
    <n v="4949.62"/>
    <n v="1053.57"/>
    <n v="3896.05"/>
    <s v="Apollo Pharma"/>
    <x v="2"/>
    <s v="Cash"/>
    <s v="Cancelled"/>
    <x v="3"/>
  </r>
  <r>
    <s v="Anjali Sharma"/>
    <s v="CUST1709"/>
    <d v="2025-05-14T00:00:00"/>
    <n v="65"/>
    <n v="7977.87"/>
    <n v="3979.73"/>
    <n v="3998.14"/>
    <s v="Apollo Pharma"/>
    <x v="4"/>
    <s v="UPI"/>
    <s v="Cancelled"/>
    <x v="3"/>
  </r>
  <r>
    <s v="Sneha Yadav"/>
    <s v="CUST1710"/>
    <d v="2025-06-14T00:00:00"/>
    <n v="102"/>
    <n v="18071.560000000001"/>
    <n v="8342.17"/>
    <n v="9729.39"/>
    <s v="CareMed"/>
    <x v="0"/>
    <s v="UPI"/>
    <s v="Delivered"/>
    <x v="4"/>
  </r>
  <r>
    <s v="Rahul Verma"/>
    <s v="CUST1711"/>
    <d v="2025-07-30T00:00:00"/>
    <n v="23"/>
    <n v="8372.64"/>
    <n v="1227.56"/>
    <n v="7145.08"/>
    <s v="Apollo Pharma"/>
    <x v="7"/>
    <s v="Card"/>
    <s v="Cancelled"/>
    <x v="4"/>
  </r>
  <r>
    <s v="Pooja Sharma"/>
    <s v="CUST1712"/>
    <d v="2025-04-28T00:00:00"/>
    <n v="150"/>
    <n v="15006.58"/>
    <n v="4316.58"/>
    <n v="10690"/>
    <s v="Apollo Pharma"/>
    <x v="3"/>
    <s v="Card"/>
    <s v="Pending"/>
    <x v="4"/>
  </r>
  <r>
    <s v="Karan Joshi"/>
    <s v="CUST1713"/>
    <d v="2025-12-14T00:00:00"/>
    <n v="159"/>
    <n v="7803.28"/>
    <n v="3395.36"/>
    <n v="4407.92"/>
    <s v="CareMed"/>
    <x v="5"/>
    <s v="UPI"/>
    <s v="Delivered"/>
    <x v="4"/>
  </r>
  <r>
    <s v="Rohan Yadav"/>
    <s v="CUST1714"/>
    <d v="2025-09-14T00:00:00"/>
    <n v="129"/>
    <n v="1211.95"/>
    <n v="409.22"/>
    <n v="802.73"/>
    <s v="HealthPlus"/>
    <x v="1"/>
    <s v="Bank Transfer"/>
    <s v="Cancelled"/>
    <x v="1"/>
  </r>
  <r>
    <s v="Rahul Gupta"/>
    <s v="CUST1715"/>
    <d v="2025-05-20T00:00:00"/>
    <n v="180"/>
    <n v="7940.62"/>
    <n v="3484.43"/>
    <n v="4456.1899999999996"/>
    <s v="CareMed"/>
    <x v="1"/>
    <s v="Card"/>
    <s v="In Transit"/>
    <x v="2"/>
  </r>
  <r>
    <s v="Rahul Joshi"/>
    <s v="CUST1716"/>
    <d v="2025-05-24T00:00:00"/>
    <n v="74"/>
    <n v="15598.18"/>
    <n v="2912.35"/>
    <n v="12685.83"/>
    <s v="HealthPlus"/>
    <x v="3"/>
    <s v="Bank Transfer"/>
    <s v="Cancelled"/>
    <x v="0"/>
  </r>
  <r>
    <s v="Rohan Singh"/>
    <s v="CUST1717"/>
    <d v="2025-07-27T00:00:00"/>
    <n v="79"/>
    <n v="12132.72"/>
    <n v="5151.24"/>
    <n v="6981.48"/>
    <s v="MediCare Distributors"/>
    <x v="1"/>
    <s v="Card"/>
    <s v="Delivered"/>
    <x v="0"/>
  </r>
  <r>
    <s v="Vikas Gupta"/>
    <s v="CUST1718"/>
    <d v="2025-06-17T00:00:00"/>
    <n v="117"/>
    <n v="3876.48"/>
    <n v="625.65"/>
    <n v="3250.83"/>
    <s v="LifeLine Pharma"/>
    <x v="2"/>
    <s v="Bank Transfer"/>
    <s v="Delivered"/>
    <x v="3"/>
  </r>
  <r>
    <s v="Amit Joshi"/>
    <s v="CUST1719"/>
    <d v="2025-02-23T00:00:00"/>
    <n v="66"/>
    <n v="4407.2"/>
    <n v="1479.17"/>
    <n v="2928.03"/>
    <s v="MediCare Distributors"/>
    <x v="4"/>
    <s v="Card"/>
    <s v="In Transit"/>
    <x v="1"/>
  </r>
  <r>
    <s v="Neha Patel"/>
    <s v="CUST1720"/>
    <d v="2025-07-21T00:00:00"/>
    <n v="132"/>
    <n v="17017.990000000002"/>
    <n v="4178.04"/>
    <n v="12839.95"/>
    <s v="Apollo Pharma"/>
    <x v="7"/>
    <s v="Cash"/>
    <s v="Cancelled"/>
    <x v="0"/>
  </r>
  <r>
    <s v="Neha Singh"/>
    <s v="CUST1721"/>
    <d v="2025-09-13T00:00:00"/>
    <n v="80"/>
    <n v="18158.05"/>
    <n v="3913.31"/>
    <n v="14244.74"/>
    <s v="CareMed"/>
    <x v="1"/>
    <s v="Card"/>
    <s v="Pending"/>
    <x v="0"/>
  </r>
  <r>
    <s v="Priya Mehta"/>
    <s v="CUST1722"/>
    <d v="2025-02-01T00:00:00"/>
    <n v="62"/>
    <n v="17758.490000000002"/>
    <n v="3763.62"/>
    <n v="13994.87"/>
    <s v="HealthPlus"/>
    <x v="7"/>
    <s v="UPI"/>
    <s v="In Transit"/>
    <x v="4"/>
  </r>
  <r>
    <s v="Rahul Mehta"/>
    <s v="CUST1723"/>
    <d v="2025-10-29T00:00:00"/>
    <n v="61"/>
    <n v="4575.7700000000004"/>
    <n v="1810.65"/>
    <n v="2765.12"/>
    <s v="MediCare Distributors"/>
    <x v="3"/>
    <s v="UPI"/>
    <s v="Delivered"/>
    <x v="2"/>
  </r>
  <r>
    <s v="Amit Mehta"/>
    <s v="CUST1724"/>
    <d v="2025-12-30T00:00:00"/>
    <n v="136"/>
    <n v="10040.209999999999"/>
    <n v="4907.7"/>
    <n v="5132.51"/>
    <s v="HealthPlus"/>
    <x v="4"/>
    <s v="Bank Transfer"/>
    <s v="Cancelled"/>
    <x v="3"/>
  </r>
  <r>
    <s v="Pooja Joshi"/>
    <s v="CUST1725"/>
    <d v="2025-02-07T00:00:00"/>
    <n v="85"/>
    <n v="15941.71"/>
    <n v="5411.4"/>
    <n v="10530.31"/>
    <s v="HealthPlus"/>
    <x v="4"/>
    <s v="UPI"/>
    <s v="In Transit"/>
    <x v="3"/>
  </r>
  <r>
    <s v="Priya Gupta"/>
    <s v="CUST1726"/>
    <d v="2025-03-02T00:00:00"/>
    <n v="145"/>
    <n v="9496.5400000000009"/>
    <n v="1491.92"/>
    <n v="8004.62"/>
    <s v="LifeLine Pharma"/>
    <x v="1"/>
    <s v="Bank Transfer"/>
    <s v="Delivered"/>
    <x v="4"/>
  </r>
  <r>
    <s v="Rohan Singh"/>
    <s v="CUST1727"/>
    <d v="2025-12-11T00:00:00"/>
    <n v="33"/>
    <n v="1673.67"/>
    <n v="607.04"/>
    <n v="1066.6300000000001"/>
    <s v="HealthPlus"/>
    <x v="3"/>
    <s v="Cash"/>
    <s v="In Transit"/>
    <x v="1"/>
  </r>
  <r>
    <s v="Pooja Joshi"/>
    <s v="CUST1728"/>
    <d v="2025-04-24T00:00:00"/>
    <n v="23"/>
    <n v="16313.84"/>
    <n v="6947.32"/>
    <n v="9366.52"/>
    <s v="LifeLine Pharma"/>
    <x v="2"/>
    <s v="Card"/>
    <s v="In Transit"/>
    <x v="1"/>
  </r>
  <r>
    <s v="Pooja Gupta"/>
    <s v="CUST1729"/>
    <d v="2025-01-16T00:00:00"/>
    <n v="78"/>
    <n v="16900.37"/>
    <n v="7221.7"/>
    <n v="9678.67"/>
    <s v="MediCare Distributors"/>
    <x v="3"/>
    <s v="Bank Transfer"/>
    <s v="In Transit"/>
    <x v="1"/>
  </r>
  <r>
    <s v="Neha Singh"/>
    <s v="CUST1730"/>
    <d v="2025-08-21T00:00:00"/>
    <n v="199"/>
    <n v="14376.35"/>
    <n v="1510.67"/>
    <n v="12865.68"/>
    <s v="HealthPlus"/>
    <x v="2"/>
    <s v="Bank Transfer"/>
    <s v="Delivered"/>
    <x v="1"/>
  </r>
  <r>
    <s v="Vikas Sharma"/>
    <s v="CUST1731"/>
    <d v="2025-03-30T00:00:00"/>
    <n v="68"/>
    <n v="13048.24"/>
    <n v="3478.55"/>
    <n v="9569.69"/>
    <s v="MediCare Distributors"/>
    <x v="2"/>
    <s v="Bank Transfer"/>
    <s v="Delivered"/>
    <x v="3"/>
  </r>
  <r>
    <s v="Vikas Mehta"/>
    <s v="CUST1732"/>
    <d v="2025-11-03T00:00:00"/>
    <n v="55"/>
    <n v="14396.05"/>
    <n v="6876.49"/>
    <n v="7519.56"/>
    <s v="CareMed"/>
    <x v="1"/>
    <s v="UPI"/>
    <s v="Cancelled"/>
    <x v="1"/>
  </r>
  <r>
    <s v="Priya Patel"/>
    <s v="CUST1733"/>
    <d v="2025-02-03T00:00:00"/>
    <n v="5"/>
    <n v="696.75"/>
    <n v="168.44"/>
    <n v="528.30999999999995"/>
    <s v="Apollo Pharma"/>
    <x v="7"/>
    <s v="Card"/>
    <s v="Pending"/>
    <x v="3"/>
  </r>
  <r>
    <s v="Neha Patel"/>
    <s v="CUST1734"/>
    <d v="2025-09-12T00:00:00"/>
    <n v="95"/>
    <n v="14624.8"/>
    <n v="4699.63"/>
    <n v="9925.17"/>
    <s v="CareMed"/>
    <x v="6"/>
    <s v="Card"/>
    <s v="Pending"/>
    <x v="0"/>
  </r>
  <r>
    <s v="Priya Mehta"/>
    <s v="CUST1735"/>
    <d v="2025-09-30T00:00:00"/>
    <n v="169"/>
    <n v="5659.27"/>
    <n v="800.76"/>
    <n v="4858.51"/>
    <s v="LifeLine Pharma"/>
    <x v="7"/>
    <s v="Card"/>
    <s v="In Transit"/>
    <x v="1"/>
  </r>
  <r>
    <s v="Sneha Sharma"/>
    <s v="CUST1736"/>
    <d v="2025-01-07T00:00:00"/>
    <n v="128"/>
    <n v="3960.51"/>
    <n v="451.7"/>
    <n v="3508.81"/>
    <s v="Apollo Pharma"/>
    <x v="1"/>
    <s v="Card"/>
    <s v="Pending"/>
    <x v="1"/>
  </r>
  <r>
    <s v="Priya Yadav"/>
    <s v="CUST1737"/>
    <d v="2025-05-05T00:00:00"/>
    <n v="116"/>
    <n v="2727.93"/>
    <n v="894.79"/>
    <n v="1833.14"/>
    <s v="HealthPlus"/>
    <x v="1"/>
    <s v="UPI"/>
    <s v="Pending"/>
    <x v="2"/>
  </r>
  <r>
    <s v="Sneha Sharma"/>
    <s v="CUST1738"/>
    <d v="2025-10-24T00:00:00"/>
    <n v="72"/>
    <n v="18229.43"/>
    <n v="4406.38"/>
    <n v="13823.05"/>
    <s v="Apollo Pharma"/>
    <x v="4"/>
    <s v="UPI"/>
    <s v="Cancelled"/>
    <x v="4"/>
  </r>
  <r>
    <s v="Karan Patel"/>
    <s v="CUST1739"/>
    <d v="2025-05-26T00:00:00"/>
    <n v="95"/>
    <n v="6577.12"/>
    <n v="1922.77"/>
    <n v="4654.3500000000004"/>
    <s v="Apollo Pharma"/>
    <x v="3"/>
    <s v="Cash"/>
    <s v="Pending"/>
    <x v="3"/>
  </r>
  <r>
    <s v="Sneha Verma"/>
    <s v="CUST1740"/>
    <d v="2025-01-13T00:00:00"/>
    <n v="33"/>
    <n v="1407.68"/>
    <n v="598.92999999999995"/>
    <n v="808.75"/>
    <s v="LifeLine Pharma"/>
    <x v="0"/>
    <s v="Cash"/>
    <s v="Cancelled"/>
    <x v="3"/>
  </r>
  <r>
    <s v="Rahul Joshi"/>
    <s v="CUST1741"/>
    <d v="2025-11-30T00:00:00"/>
    <n v="147"/>
    <n v="13876.76"/>
    <n v="6253.32"/>
    <n v="7623.44"/>
    <s v="MediCare Distributors"/>
    <x v="1"/>
    <s v="Cash"/>
    <s v="Cancelled"/>
    <x v="0"/>
  </r>
  <r>
    <s v="Neha Sharma"/>
    <s v="CUST1742"/>
    <d v="2025-03-22T00:00:00"/>
    <n v="32"/>
    <n v="4042.5"/>
    <n v="1014.77"/>
    <n v="3027.73"/>
    <s v="HealthPlus"/>
    <x v="2"/>
    <s v="Bank Transfer"/>
    <s v="Pending"/>
    <x v="1"/>
  </r>
  <r>
    <s v="Rahul Verma"/>
    <s v="CUST1743"/>
    <d v="2025-02-17T00:00:00"/>
    <n v="186"/>
    <n v="12660.24"/>
    <n v="3875.86"/>
    <n v="8784.3799999999992"/>
    <s v="MediCare Distributors"/>
    <x v="4"/>
    <s v="UPI"/>
    <s v="In Transit"/>
    <x v="0"/>
  </r>
  <r>
    <s v="Pooja Mehta"/>
    <s v="CUST1744"/>
    <d v="2025-07-22T00:00:00"/>
    <n v="169"/>
    <n v="13689.42"/>
    <n v="1864.25"/>
    <n v="11825.17"/>
    <s v="MediCare Distributors"/>
    <x v="2"/>
    <s v="UPI"/>
    <s v="Cancelled"/>
    <x v="3"/>
  </r>
  <r>
    <s v="Priya Singh"/>
    <s v="CUST1745"/>
    <d v="2025-03-18T00:00:00"/>
    <n v="155"/>
    <n v="12197.68"/>
    <n v="6091.89"/>
    <n v="6105.79"/>
    <s v="HealthPlus"/>
    <x v="7"/>
    <s v="UPI"/>
    <s v="In Transit"/>
    <x v="1"/>
  </r>
  <r>
    <s v="Priya Verma"/>
    <s v="CUST1746"/>
    <d v="2025-07-19T00:00:00"/>
    <n v="109"/>
    <n v="8593.75"/>
    <n v="2553.11"/>
    <n v="6040.64"/>
    <s v="Apollo Pharma"/>
    <x v="7"/>
    <s v="Bank Transfer"/>
    <s v="Delivered"/>
    <x v="2"/>
  </r>
  <r>
    <s v="Rahul Yadav"/>
    <s v="CUST1747"/>
    <d v="2025-07-21T00:00:00"/>
    <n v="131"/>
    <n v="3830.01"/>
    <n v="984.87"/>
    <n v="2845.14"/>
    <s v="Apollo Pharma"/>
    <x v="2"/>
    <s v="UPI"/>
    <s v="Cancelled"/>
    <x v="0"/>
  </r>
  <r>
    <s v="Rahul Patel"/>
    <s v="CUST1748"/>
    <d v="2025-10-16T00:00:00"/>
    <n v="126"/>
    <n v="2581.16"/>
    <n v="881.28"/>
    <n v="1699.88"/>
    <s v="HealthPlus"/>
    <x v="0"/>
    <s v="UPI"/>
    <s v="Delivered"/>
    <x v="4"/>
  </r>
  <r>
    <s v="Sneha Gupta"/>
    <s v="CUST1749"/>
    <d v="2025-09-02T00:00:00"/>
    <n v="196"/>
    <n v="5316.55"/>
    <n v="830.38"/>
    <n v="4486.17"/>
    <s v="LifeLine Pharma"/>
    <x v="7"/>
    <s v="UPI"/>
    <s v="In Transit"/>
    <x v="1"/>
  </r>
  <r>
    <s v="Sneha Joshi"/>
    <s v="CUST1750"/>
    <d v="2025-11-11T00:00:00"/>
    <n v="38"/>
    <n v="4275.42"/>
    <n v="479.08"/>
    <n v="3796.34"/>
    <s v="MediCare Distributors"/>
    <x v="2"/>
    <s v="UPI"/>
    <s v="Pending"/>
    <x v="0"/>
  </r>
  <r>
    <s v="Karan Sharma"/>
    <s v="CUST1751"/>
    <d v="2025-03-22T00:00:00"/>
    <n v="28"/>
    <n v="15112.19"/>
    <n v="5790.77"/>
    <n v="9321.42"/>
    <s v="MediCare Distributors"/>
    <x v="4"/>
    <s v="UPI"/>
    <s v="Pending"/>
    <x v="2"/>
  </r>
  <r>
    <s v="Neha Mehta"/>
    <s v="CUST1752"/>
    <d v="2025-02-03T00:00:00"/>
    <n v="15"/>
    <n v="7602.84"/>
    <n v="1304.49"/>
    <n v="6298.35"/>
    <s v="CareMed"/>
    <x v="4"/>
    <s v="UPI"/>
    <s v="In Transit"/>
    <x v="0"/>
  </r>
  <r>
    <s v="Rahul Gupta"/>
    <s v="CUST1753"/>
    <d v="2025-05-08T00:00:00"/>
    <n v="163"/>
    <n v="15828.08"/>
    <n v="4882.72"/>
    <n v="10945.36"/>
    <s v="MediCare Distributors"/>
    <x v="5"/>
    <s v="Cash"/>
    <s v="Delivered"/>
    <x v="4"/>
  </r>
  <r>
    <s v="Vikas Gupta"/>
    <s v="CUST1754"/>
    <d v="2025-12-02T00:00:00"/>
    <n v="126"/>
    <n v="5588.02"/>
    <n v="943.99"/>
    <n v="4644.03"/>
    <s v="Apollo Pharma"/>
    <x v="7"/>
    <s v="Card"/>
    <s v="Pending"/>
    <x v="4"/>
  </r>
  <r>
    <s v="Karan Joshi"/>
    <s v="CUST1755"/>
    <d v="2025-11-18T00:00:00"/>
    <n v="32"/>
    <n v="13098.7"/>
    <n v="4851.97"/>
    <n v="8246.73"/>
    <s v="Apollo Pharma"/>
    <x v="5"/>
    <s v="UPI"/>
    <s v="Cancelled"/>
    <x v="1"/>
  </r>
  <r>
    <s v="Neha Gupta"/>
    <s v="CUST1756"/>
    <d v="2025-12-24T00:00:00"/>
    <n v="15"/>
    <n v="10223.49"/>
    <n v="3938.81"/>
    <n v="6284.68"/>
    <s v="LifeLine Pharma"/>
    <x v="0"/>
    <s v="Bank Transfer"/>
    <s v="In Transit"/>
    <x v="3"/>
  </r>
  <r>
    <s v="Rohan Patel"/>
    <s v="CUST1757"/>
    <d v="2025-05-09T00:00:00"/>
    <n v="188"/>
    <n v="5609.29"/>
    <n v="1736.31"/>
    <n v="3872.98"/>
    <s v="HealthPlus"/>
    <x v="4"/>
    <s v="Card"/>
    <s v="Delivered"/>
    <x v="1"/>
  </r>
  <r>
    <s v="Neha Patel"/>
    <s v="CUST1758"/>
    <d v="2025-10-02T00:00:00"/>
    <n v="23"/>
    <n v="8619.57"/>
    <n v="1826.04"/>
    <n v="6793.53"/>
    <s v="Apollo Pharma"/>
    <x v="5"/>
    <s v="Card"/>
    <s v="In Transit"/>
    <x v="2"/>
  </r>
  <r>
    <s v="Rohan Joshi"/>
    <s v="CUST1759"/>
    <d v="2025-01-14T00:00:00"/>
    <n v="146"/>
    <n v="18673.57"/>
    <n v="8654.65"/>
    <n v="10018.92"/>
    <s v="LifeLine Pharma"/>
    <x v="0"/>
    <s v="Card"/>
    <s v="Cancelled"/>
    <x v="4"/>
  </r>
  <r>
    <s v="Karan Yadav"/>
    <s v="CUST1760"/>
    <d v="2025-12-01T00:00:00"/>
    <n v="48"/>
    <n v="1297.94"/>
    <n v="231.85"/>
    <n v="1066.0899999999999"/>
    <s v="MediCare Distributors"/>
    <x v="3"/>
    <s v="Card"/>
    <s v="Pending"/>
    <x v="2"/>
  </r>
  <r>
    <s v="Rohan Verma"/>
    <s v="CUST1761"/>
    <d v="2025-03-10T00:00:00"/>
    <n v="4"/>
    <n v="1515.3"/>
    <n v="232.22"/>
    <n v="1283.08"/>
    <s v="LifeLine Pharma"/>
    <x v="5"/>
    <s v="UPI"/>
    <s v="Delivered"/>
    <x v="3"/>
  </r>
  <r>
    <s v="Neha Joshi"/>
    <s v="CUST1762"/>
    <d v="2025-10-25T00:00:00"/>
    <n v="52"/>
    <n v="11474.32"/>
    <n v="2286.15"/>
    <n v="9188.17"/>
    <s v="LifeLine Pharma"/>
    <x v="1"/>
    <s v="Bank Transfer"/>
    <s v="Cancelled"/>
    <x v="3"/>
  </r>
  <r>
    <s v="Rohan Sharma"/>
    <s v="CUST1763"/>
    <d v="2025-12-12T00:00:00"/>
    <n v="134"/>
    <n v="9543.8700000000008"/>
    <n v="4488.7"/>
    <n v="5055.17"/>
    <s v="LifeLine Pharma"/>
    <x v="7"/>
    <s v="Bank Transfer"/>
    <s v="Pending"/>
    <x v="1"/>
  </r>
  <r>
    <s v="Amit Verma"/>
    <s v="CUST1764"/>
    <d v="2025-11-09T00:00:00"/>
    <n v="113"/>
    <n v="13075.48"/>
    <n v="3007.62"/>
    <n v="10067.86"/>
    <s v="Apollo Pharma"/>
    <x v="7"/>
    <s v="Card"/>
    <s v="Cancelled"/>
    <x v="0"/>
  </r>
  <r>
    <s v="Karan Gupta"/>
    <s v="CUST1765"/>
    <d v="2025-05-04T00:00:00"/>
    <n v="61"/>
    <n v="16829.14"/>
    <n v="2113.9499999999998"/>
    <n v="14715.19"/>
    <s v="CareMed"/>
    <x v="6"/>
    <s v="UPI"/>
    <s v="Delivered"/>
    <x v="0"/>
  </r>
  <r>
    <s v="Pooja Patel"/>
    <s v="CUST1766"/>
    <d v="2025-06-06T00:00:00"/>
    <n v="198"/>
    <n v="7706.4"/>
    <n v="2901.41"/>
    <n v="4804.99"/>
    <s v="Apollo Pharma"/>
    <x v="4"/>
    <s v="UPI"/>
    <s v="Pending"/>
    <x v="2"/>
  </r>
  <r>
    <s v="Amit Verma"/>
    <s v="CUST1767"/>
    <d v="2025-10-26T00:00:00"/>
    <n v="41"/>
    <n v="2508.92"/>
    <n v="1184.96"/>
    <n v="1323.96"/>
    <s v="Apollo Pharma"/>
    <x v="4"/>
    <s v="Bank Transfer"/>
    <s v="Cancelled"/>
    <x v="3"/>
  </r>
  <r>
    <s v="Vikas Joshi"/>
    <s v="CUST1768"/>
    <d v="2025-10-30T00:00:00"/>
    <n v="164"/>
    <n v="9176.2900000000009"/>
    <n v="1205.17"/>
    <n v="7971.12"/>
    <s v="LifeLine Pharma"/>
    <x v="3"/>
    <s v="Cash"/>
    <s v="Delivered"/>
    <x v="3"/>
  </r>
  <r>
    <s v="Neha Gupta"/>
    <s v="CUST1769"/>
    <d v="2025-07-07T00:00:00"/>
    <n v="119"/>
    <n v="7973.3"/>
    <n v="3000.55"/>
    <n v="4972.75"/>
    <s v="LifeLine Pharma"/>
    <x v="7"/>
    <s v="Bank Transfer"/>
    <s v="In Transit"/>
    <x v="2"/>
  </r>
  <r>
    <s v="Pooja Yadav"/>
    <s v="CUST1770"/>
    <d v="2025-12-07T00:00:00"/>
    <n v="116"/>
    <n v="18474.810000000001"/>
    <n v="2698.7"/>
    <n v="15776.11"/>
    <s v="Apollo Pharma"/>
    <x v="1"/>
    <s v="UPI"/>
    <s v="Cancelled"/>
    <x v="4"/>
  </r>
  <r>
    <s v="Anjali Gupta"/>
    <s v="CUST1771"/>
    <d v="2025-08-23T00:00:00"/>
    <n v="9"/>
    <n v="5212.9399999999996"/>
    <n v="1917.06"/>
    <n v="3295.88"/>
    <s v="Apollo Pharma"/>
    <x v="1"/>
    <s v="UPI"/>
    <s v="In Transit"/>
    <x v="1"/>
  </r>
  <r>
    <s v="Anjali Singh"/>
    <s v="CUST1772"/>
    <d v="2025-07-02T00:00:00"/>
    <n v="51"/>
    <n v="848.94"/>
    <n v="173.48"/>
    <n v="675.46"/>
    <s v="HealthPlus"/>
    <x v="1"/>
    <s v="UPI"/>
    <s v="Cancelled"/>
    <x v="4"/>
  </r>
  <r>
    <s v="Sneha Patel"/>
    <s v="CUST1773"/>
    <d v="2025-01-31T00:00:00"/>
    <n v="163"/>
    <n v="11352.11"/>
    <n v="4050.01"/>
    <n v="7302.1"/>
    <s v="CareMed"/>
    <x v="1"/>
    <s v="UPI"/>
    <s v="In Transit"/>
    <x v="2"/>
  </r>
  <r>
    <s v="Priya Sharma"/>
    <s v="CUST1774"/>
    <d v="2025-08-07T00:00:00"/>
    <n v="95"/>
    <n v="11911.93"/>
    <n v="2530.02"/>
    <n v="9381.91"/>
    <s v="MediCare Distributors"/>
    <x v="4"/>
    <s v="Card"/>
    <s v="Delivered"/>
    <x v="4"/>
  </r>
  <r>
    <s v="Neha Verma"/>
    <s v="CUST1775"/>
    <d v="2025-11-30T00:00:00"/>
    <n v="106"/>
    <n v="13520.98"/>
    <n v="4453.45"/>
    <n v="9067.5300000000007"/>
    <s v="MediCare Distributors"/>
    <x v="5"/>
    <s v="Card"/>
    <s v="In Transit"/>
    <x v="4"/>
  </r>
  <r>
    <s v="Karan Mehta"/>
    <s v="CUST1776"/>
    <d v="2025-08-26T00:00:00"/>
    <n v="101"/>
    <n v="7038.75"/>
    <n v="2726.27"/>
    <n v="4312.4799999999996"/>
    <s v="LifeLine Pharma"/>
    <x v="0"/>
    <s v="Card"/>
    <s v="In Transit"/>
    <x v="2"/>
  </r>
  <r>
    <s v="Vikas Joshi"/>
    <s v="CUST1777"/>
    <d v="2025-09-21T00:00:00"/>
    <n v="57"/>
    <n v="6217.09"/>
    <n v="2468.44"/>
    <n v="3748.65"/>
    <s v="Apollo Pharma"/>
    <x v="6"/>
    <s v="Cash"/>
    <s v="Cancelled"/>
    <x v="2"/>
  </r>
  <r>
    <s v="Pooja Singh"/>
    <s v="CUST1778"/>
    <d v="2025-10-28T00:00:00"/>
    <n v="156"/>
    <n v="4924.92"/>
    <n v="1072.28"/>
    <n v="3852.64"/>
    <s v="HealthPlus"/>
    <x v="6"/>
    <s v="Bank Transfer"/>
    <s v="In Transit"/>
    <x v="3"/>
  </r>
  <r>
    <s v="Priya Joshi"/>
    <s v="CUST1779"/>
    <d v="2025-08-04T00:00:00"/>
    <n v="68"/>
    <n v="441.81"/>
    <n v="86.76"/>
    <n v="355.05"/>
    <s v="CareMed"/>
    <x v="2"/>
    <s v="UPI"/>
    <s v="Pending"/>
    <x v="4"/>
  </r>
  <r>
    <s v="Rahul Mehta"/>
    <s v="CUST1780"/>
    <d v="2025-08-03T00:00:00"/>
    <n v="108"/>
    <n v="2653.24"/>
    <n v="559.36"/>
    <n v="2093.88"/>
    <s v="MediCare Distributors"/>
    <x v="6"/>
    <s v="Cash"/>
    <s v="Pending"/>
    <x v="1"/>
  </r>
  <r>
    <s v="Neha Patel"/>
    <s v="CUST1781"/>
    <d v="2025-02-21T00:00:00"/>
    <n v="195"/>
    <n v="11463.04"/>
    <n v="5139.62"/>
    <n v="6323.42"/>
    <s v="MediCare Distributors"/>
    <x v="5"/>
    <s v="Bank Transfer"/>
    <s v="Delivered"/>
    <x v="4"/>
  </r>
  <r>
    <s v="Sneha Mehta"/>
    <s v="CUST1782"/>
    <d v="2025-04-19T00:00:00"/>
    <n v="133"/>
    <n v="7020.18"/>
    <n v="2703.99"/>
    <n v="4316.1899999999996"/>
    <s v="LifeLine Pharma"/>
    <x v="4"/>
    <s v="Card"/>
    <s v="Cancelled"/>
    <x v="0"/>
  </r>
  <r>
    <s v="Pooja Verma"/>
    <s v="CUST1783"/>
    <d v="2025-04-10T00:00:00"/>
    <n v="33"/>
    <n v="842.12"/>
    <n v="417.64"/>
    <n v="424.48"/>
    <s v="HealthPlus"/>
    <x v="6"/>
    <s v="Bank Transfer"/>
    <s v="In Transit"/>
    <x v="2"/>
  </r>
  <r>
    <s v="Rohan Patel"/>
    <s v="CUST1784"/>
    <d v="2025-06-02T00:00:00"/>
    <n v="186"/>
    <n v="12257.67"/>
    <n v="3350.89"/>
    <n v="8906.7800000000007"/>
    <s v="Apollo Pharma"/>
    <x v="2"/>
    <s v="Card"/>
    <s v="Delivered"/>
    <x v="4"/>
  </r>
  <r>
    <s v="Neha Patel"/>
    <s v="CUST1785"/>
    <d v="2025-12-20T00:00:00"/>
    <n v="188"/>
    <n v="17289.11"/>
    <n v="6339.44"/>
    <n v="10949.67"/>
    <s v="LifeLine Pharma"/>
    <x v="4"/>
    <s v="Bank Transfer"/>
    <s v="Pending"/>
    <x v="0"/>
  </r>
  <r>
    <s v="Anjali Mehta"/>
    <s v="CUST1786"/>
    <d v="2025-05-27T00:00:00"/>
    <n v="174"/>
    <n v="16807.7"/>
    <n v="1923.86"/>
    <n v="14883.84"/>
    <s v="CareMed"/>
    <x v="1"/>
    <s v="Cash"/>
    <s v="Pending"/>
    <x v="1"/>
  </r>
  <r>
    <s v="Amit Joshi"/>
    <s v="CUST1787"/>
    <d v="2025-09-25T00:00:00"/>
    <n v="93"/>
    <n v="11095.75"/>
    <n v="4708.3599999999997"/>
    <n v="6387.39"/>
    <s v="HealthPlus"/>
    <x v="1"/>
    <s v="Bank Transfer"/>
    <s v="Pending"/>
    <x v="1"/>
  </r>
  <r>
    <s v="Amit Patel"/>
    <s v="CUST1788"/>
    <d v="2025-01-04T00:00:00"/>
    <n v="139"/>
    <n v="11059.53"/>
    <n v="5317.17"/>
    <n v="5742.36"/>
    <s v="MediCare Distributors"/>
    <x v="6"/>
    <s v="UPI"/>
    <s v="Pending"/>
    <x v="1"/>
  </r>
  <r>
    <s v="Rohan Verma"/>
    <s v="CUST1789"/>
    <d v="2025-07-05T00:00:00"/>
    <n v="190"/>
    <n v="2801.06"/>
    <n v="439.23"/>
    <n v="2361.83"/>
    <s v="MediCare Distributors"/>
    <x v="6"/>
    <s v="Bank Transfer"/>
    <s v="In Transit"/>
    <x v="0"/>
  </r>
  <r>
    <s v="Neha Joshi"/>
    <s v="CUST1790"/>
    <d v="2025-08-11T00:00:00"/>
    <n v="54"/>
    <n v="13154.86"/>
    <n v="6478.94"/>
    <n v="6675.92"/>
    <s v="MediCare Distributors"/>
    <x v="7"/>
    <s v="Bank Transfer"/>
    <s v="Cancelled"/>
    <x v="2"/>
  </r>
  <r>
    <s v="Karan Sharma"/>
    <s v="CUST1791"/>
    <d v="2025-10-02T00:00:00"/>
    <n v="142"/>
    <n v="15850.25"/>
    <n v="1657.45"/>
    <n v="14192.8"/>
    <s v="HealthPlus"/>
    <x v="2"/>
    <s v="Card"/>
    <s v="Cancelled"/>
    <x v="0"/>
  </r>
  <r>
    <s v="Pooja Sharma"/>
    <s v="CUST1792"/>
    <d v="2025-11-29T00:00:00"/>
    <n v="168"/>
    <n v="1884.44"/>
    <n v="442.72"/>
    <n v="1441.72"/>
    <s v="LifeLine Pharma"/>
    <x v="7"/>
    <s v="Card"/>
    <s v="Delivered"/>
    <x v="1"/>
  </r>
  <r>
    <s v="Sneha Joshi"/>
    <s v="CUST1793"/>
    <d v="2025-10-24T00:00:00"/>
    <n v="10"/>
    <n v="6111.75"/>
    <n v="998.73"/>
    <n v="5113.0200000000004"/>
    <s v="Apollo Pharma"/>
    <x v="2"/>
    <s v="UPI"/>
    <s v="In Transit"/>
    <x v="3"/>
  </r>
  <r>
    <s v="Rahul Verma"/>
    <s v="CUST1794"/>
    <d v="2025-09-03T00:00:00"/>
    <n v="144"/>
    <n v="12229.09"/>
    <n v="4743.2700000000004"/>
    <n v="7485.82"/>
    <s v="LifeLine Pharma"/>
    <x v="4"/>
    <s v="UPI"/>
    <s v="Cancelled"/>
    <x v="2"/>
  </r>
  <r>
    <s v="Anjali Verma"/>
    <s v="CUST1795"/>
    <d v="2025-01-28T00:00:00"/>
    <n v="52"/>
    <n v="2756.18"/>
    <n v="282.20999999999998"/>
    <n v="2473.9699999999998"/>
    <s v="CareMed"/>
    <x v="0"/>
    <s v="Cash"/>
    <s v="Pending"/>
    <x v="4"/>
  </r>
  <r>
    <s v="Rahul Verma"/>
    <s v="CUST1796"/>
    <d v="2025-04-20T00:00:00"/>
    <n v="103"/>
    <n v="11514.98"/>
    <n v="5260.93"/>
    <n v="6254.05"/>
    <s v="MediCare Distributors"/>
    <x v="3"/>
    <s v="UPI"/>
    <s v="Delivered"/>
    <x v="1"/>
  </r>
  <r>
    <s v="Priya Singh"/>
    <s v="CUST1797"/>
    <d v="2025-12-19T00:00:00"/>
    <n v="105"/>
    <n v="9422.08"/>
    <n v="4455.8100000000004"/>
    <n v="4966.2700000000004"/>
    <s v="Apollo Pharma"/>
    <x v="1"/>
    <s v="Bank Transfer"/>
    <s v="In Transit"/>
    <x v="0"/>
  </r>
  <r>
    <s v="Rahul Yadav"/>
    <s v="CUST1798"/>
    <d v="2025-10-24T00:00:00"/>
    <n v="37"/>
    <n v="15540.52"/>
    <n v="3980.41"/>
    <n v="11560.11"/>
    <s v="HealthPlus"/>
    <x v="4"/>
    <s v="UPI"/>
    <s v="Delivered"/>
    <x v="4"/>
  </r>
  <r>
    <s v="Neha Joshi"/>
    <s v="CUST1799"/>
    <d v="2025-10-28T00:00:00"/>
    <n v="95"/>
    <n v="4291.13"/>
    <n v="2011.27"/>
    <n v="2279.86"/>
    <s v="MediCare Distributors"/>
    <x v="0"/>
    <s v="Card"/>
    <s v="Cancelled"/>
    <x v="0"/>
  </r>
  <r>
    <s v="Neha Singh"/>
    <s v="CUST1800"/>
    <d v="2025-05-11T00:00:00"/>
    <n v="56"/>
    <n v="5489.98"/>
    <n v="729.29"/>
    <n v="4760.6899999999996"/>
    <s v="MediCare Distributors"/>
    <x v="3"/>
    <s v="UPI"/>
    <s v="In Transit"/>
    <x v="2"/>
  </r>
  <r>
    <s v="Sneha Patel"/>
    <s v="CUST1801"/>
    <d v="2025-08-09T00:00:00"/>
    <n v="149"/>
    <n v="16209.04"/>
    <n v="2936.02"/>
    <n v="13273.02"/>
    <s v="Apollo Pharma"/>
    <x v="5"/>
    <s v="Bank Transfer"/>
    <s v="Pending"/>
    <x v="4"/>
  </r>
  <r>
    <s v="Neha Verma"/>
    <s v="CUST1802"/>
    <d v="2025-07-24T00:00:00"/>
    <n v="14"/>
    <n v="17633.490000000002"/>
    <n v="8404.19"/>
    <n v="9229.2999999999993"/>
    <s v="LifeLine Pharma"/>
    <x v="6"/>
    <s v="Bank Transfer"/>
    <s v="Delivered"/>
    <x v="3"/>
  </r>
  <r>
    <s v="Sneha Yadav"/>
    <s v="CUST1803"/>
    <d v="2025-02-05T00:00:00"/>
    <n v="67"/>
    <n v="8337.01"/>
    <n v="2093.2600000000002"/>
    <n v="6243.75"/>
    <s v="CareMed"/>
    <x v="2"/>
    <s v="Card"/>
    <s v="Delivered"/>
    <x v="3"/>
  </r>
  <r>
    <s v="Rohan Mehta"/>
    <s v="CUST1804"/>
    <d v="2025-07-30T00:00:00"/>
    <n v="139"/>
    <n v="4625.0600000000004"/>
    <n v="698.57"/>
    <n v="3926.49"/>
    <s v="LifeLine Pharma"/>
    <x v="2"/>
    <s v="Bank Transfer"/>
    <s v="Pending"/>
    <x v="0"/>
  </r>
  <r>
    <s v="Anjali Patel"/>
    <s v="CUST1805"/>
    <d v="2025-05-21T00:00:00"/>
    <n v="40"/>
    <n v="6401.49"/>
    <n v="3098.06"/>
    <n v="3303.43"/>
    <s v="CareMed"/>
    <x v="4"/>
    <s v="Bank Transfer"/>
    <s v="Cancelled"/>
    <x v="3"/>
  </r>
  <r>
    <s v="Karan Joshi"/>
    <s v="CUST1806"/>
    <d v="2025-08-19T00:00:00"/>
    <n v="66"/>
    <n v="18305.68"/>
    <n v="3846.34"/>
    <n v="14459.34"/>
    <s v="MediCare Distributors"/>
    <x v="0"/>
    <s v="Bank Transfer"/>
    <s v="Pending"/>
    <x v="1"/>
  </r>
  <r>
    <s v="Priya Yadav"/>
    <s v="CUST1807"/>
    <d v="2025-07-15T00:00:00"/>
    <n v="197"/>
    <n v="18815.72"/>
    <n v="3428.76"/>
    <n v="15386.96"/>
    <s v="Apollo Pharma"/>
    <x v="2"/>
    <s v="Cash"/>
    <s v="Delivered"/>
    <x v="0"/>
  </r>
  <r>
    <s v="Rahul Patel"/>
    <s v="CUST1808"/>
    <d v="2025-12-01T00:00:00"/>
    <n v="118"/>
    <n v="19323.599999999999"/>
    <n v="9337.44"/>
    <n v="9986.16"/>
    <s v="HealthPlus"/>
    <x v="1"/>
    <s v="Cash"/>
    <s v="Delivered"/>
    <x v="0"/>
  </r>
  <r>
    <s v="Sneha Sharma"/>
    <s v="CUST1809"/>
    <d v="2025-01-25T00:00:00"/>
    <n v="125"/>
    <n v="5897.83"/>
    <n v="2863.86"/>
    <n v="3033.97"/>
    <s v="MediCare Distributors"/>
    <x v="2"/>
    <s v="Card"/>
    <s v="Delivered"/>
    <x v="2"/>
  </r>
  <r>
    <s v="Pooja Joshi"/>
    <s v="CUST1810"/>
    <d v="2025-09-24T00:00:00"/>
    <n v="91"/>
    <n v="3646.24"/>
    <n v="1358.82"/>
    <n v="2287.42"/>
    <s v="Apollo Pharma"/>
    <x v="7"/>
    <s v="Cash"/>
    <s v="Pending"/>
    <x v="3"/>
  </r>
  <r>
    <s v="Neha Verma"/>
    <s v="CUST1811"/>
    <d v="2025-04-29T00:00:00"/>
    <n v="100"/>
    <n v="14993.92"/>
    <n v="5998.93"/>
    <n v="8994.99"/>
    <s v="CareMed"/>
    <x v="7"/>
    <s v="UPI"/>
    <s v="Pending"/>
    <x v="1"/>
  </r>
  <r>
    <s v="Rahul Mehta"/>
    <s v="CUST1812"/>
    <d v="2025-06-29T00:00:00"/>
    <n v="39"/>
    <n v="2972.41"/>
    <n v="1039.53"/>
    <n v="1932.88"/>
    <s v="LifeLine Pharma"/>
    <x v="4"/>
    <s v="Card"/>
    <s v="Cancelled"/>
    <x v="0"/>
  </r>
  <r>
    <s v="Priya Singh"/>
    <s v="CUST1813"/>
    <d v="2025-03-25T00:00:00"/>
    <n v="189"/>
    <n v="130"/>
    <n v="36.94"/>
    <n v="93.06"/>
    <s v="MediCare Distributors"/>
    <x v="0"/>
    <s v="Card"/>
    <s v="In Transit"/>
    <x v="0"/>
  </r>
  <r>
    <s v="Vikas Yadav"/>
    <s v="CUST1814"/>
    <d v="2025-05-22T00:00:00"/>
    <n v="79"/>
    <n v="10093.85"/>
    <n v="2953.2"/>
    <n v="7140.65"/>
    <s v="CareMed"/>
    <x v="4"/>
    <s v="Cash"/>
    <s v="In Transit"/>
    <x v="1"/>
  </r>
  <r>
    <s v="Sneha Sharma"/>
    <s v="CUST1815"/>
    <d v="2025-11-04T00:00:00"/>
    <n v="43"/>
    <n v="305.45999999999998"/>
    <n v="107.01"/>
    <n v="198.45"/>
    <s v="LifeLine Pharma"/>
    <x v="4"/>
    <s v="Cash"/>
    <s v="In Transit"/>
    <x v="0"/>
  </r>
  <r>
    <s v="Priya Yadav"/>
    <s v="CUST1816"/>
    <d v="2025-03-10T00:00:00"/>
    <n v="66"/>
    <n v="12515.89"/>
    <n v="1733.33"/>
    <n v="10782.56"/>
    <s v="LifeLine Pharma"/>
    <x v="1"/>
    <s v="UPI"/>
    <s v="Pending"/>
    <x v="0"/>
  </r>
  <r>
    <s v="Pooja Mehta"/>
    <s v="CUST1817"/>
    <d v="2025-02-20T00:00:00"/>
    <n v="60"/>
    <n v="5433.35"/>
    <n v="1733.56"/>
    <n v="3699.79"/>
    <s v="LifeLine Pharma"/>
    <x v="7"/>
    <s v="Card"/>
    <s v="Pending"/>
    <x v="2"/>
  </r>
  <r>
    <s v="Neha Mehta"/>
    <s v="CUST1818"/>
    <d v="2025-04-21T00:00:00"/>
    <n v="40"/>
    <n v="448.98"/>
    <n v="210.02"/>
    <n v="238.96"/>
    <s v="LifeLine Pharma"/>
    <x v="4"/>
    <s v="Cash"/>
    <s v="Pending"/>
    <x v="1"/>
  </r>
  <r>
    <s v="Pooja Verma"/>
    <s v="CUST1819"/>
    <d v="2025-10-22T00:00:00"/>
    <n v="168"/>
    <n v="7440.82"/>
    <n v="1562.19"/>
    <n v="5878.63"/>
    <s v="MediCare Distributors"/>
    <x v="2"/>
    <s v="Card"/>
    <s v="Delivered"/>
    <x v="3"/>
  </r>
  <r>
    <s v="Amit Mehta"/>
    <s v="CUST1820"/>
    <d v="2025-03-25T00:00:00"/>
    <n v="106"/>
    <n v="4445.49"/>
    <n v="1953.11"/>
    <n v="2492.38"/>
    <s v="HealthPlus"/>
    <x v="4"/>
    <s v="Bank Transfer"/>
    <s v="Pending"/>
    <x v="2"/>
  </r>
  <r>
    <s v="Rohan Singh"/>
    <s v="CUST1821"/>
    <d v="2025-11-12T00:00:00"/>
    <n v="172"/>
    <n v="14432.01"/>
    <n v="6326.02"/>
    <n v="8105.99"/>
    <s v="LifeLine Pharma"/>
    <x v="2"/>
    <s v="Card"/>
    <s v="Pending"/>
    <x v="0"/>
  </r>
  <r>
    <s v="Rahul Gupta"/>
    <s v="CUST1822"/>
    <d v="2025-05-12T00:00:00"/>
    <n v="20"/>
    <n v="6770.97"/>
    <n v="2683.45"/>
    <n v="4087.52"/>
    <s v="CareMed"/>
    <x v="3"/>
    <s v="Card"/>
    <s v="Delivered"/>
    <x v="1"/>
  </r>
  <r>
    <s v="Priya Singh"/>
    <s v="CUST1823"/>
    <d v="2025-01-03T00:00:00"/>
    <n v="28"/>
    <n v="4538.3999999999996"/>
    <n v="1291.97"/>
    <n v="3246.43"/>
    <s v="Apollo Pharma"/>
    <x v="3"/>
    <s v="Card"/>
    <s v="Pending"/>
    <x v="2"/>
  </r>
  <r>
    <s v="Neha Patel"/>
    <s v="CUST1824"/>
    <d v="2025-06-18T00:00:00"/>
    <n v="165"/>
    <n v="1765.79"/>
    <n v="282.17"/>
    <n v="1483.62"/>
    <s v="Apollo Pharma"/>
    <x v="2"/>
    <s v="Cash"/>
    <s v="In Transit"/>
    <x v="4"/>
  </r>
  <r>
    <s v="Vikas Patel"/>
    <s v="CUST1825"/>
    <d v="2025-11-03T00:00:00"/>
    <n v="96"/>
    <n v="10812.7"/>
    <n v="1644.7"/>
    <n v="9168"/>
    <s v="CareMed"/>
    <x v="1"/>
    <s v="Bank Transfer"/>
    <s v="Cancelled"/>
    <x v="1"/>
  </r>
  <r>
    <s v="Vikas Sharma"/>
    <s v="CUST1826"/>
    <d v="2025-07-04T00:00:00"/>
    <n v="196"/>
    <n v="11698.7"/>
    <n v="3365.3"/>
    <n v="8333.4"/>
    <s v="HealthPlus"/>
    <x v="3"/>
    <s v="Bank Transfer"/>
    <s v="In Transit"/>
    <x v="4"/>
  </r>
  <r>
    <s v="Vikas Verma"/>
    <s v="CUST1827"/>
    <d v="2025-09-17T00:00:00"/>
    <n v="1"/>
    <n v="947.35"/>
    <n v="326.55"/>
    <n v="620.79999999999995"/>
    <s v="CareMed"/>
    <x v="7"/>
    <s v="Bank Transfer"/>
    <s v="Cancelled"/>
    <x v="3"/>
  </r>
  <r>
    <s v="Priya Mehta"/>
    <s v="CUST1828"/>
    <d v="2025-04-13T00:00:00"/>
    <n v="84"/>
    <n v="15541.17"/>
    <n v="1804.25"/>
    <n v="13736.92"/>
    <s v="LifeLine Pharma"/>
    <x v="6"/>
    <s v="Bank Transfer"/>
    <s v="In Transit"/>
    <x v="1"/>
  </r>
  <r>
    <s v="Amit Gupta"/>
    <s v="CUST1829"/>
    <d v="2025-09-17T00:00:00"/>
    <n v="34"/>
    <n v="4432.46"/>
    <n v="1048.71"/>
    <n v="3383.75"/>
    <s v="Apollo Pharma"/>
    <x v="2"/>
    <s v="Bank Transfer"/>
    <s v="Pending"/>
    <x v="3"/>
  </r>
  <r>
    <s v="Neha Patel"/>
    <s v="CUST1830"/>
    <d v="2025-10-23T00:00:00"/>
    <n v="47"/>
    <n v="440.44"/>
    <n v="98.63"/>
    <n v="341.81"/>
    <s v="Apollo Pharma"/>
    <x v="6"/>
    <s v="UPI"/>
    <s v="In Transit"/>
    <x v="2"/>
  </r>
  <r>
    <s v="Karan Singh"/>
    <s v="CUST1831"/>
    <d v="2025-08-10T00:00:00"/>
    <n v="29"/>
    <n v="5699.95"/>
    <n v="1742.82"/>
    <n v="3957.13"/>
    <s v="CareMed"/>
    <x v="5"/>
    <s v="Cash"/>
    <s v="Cancelled"/>
    <x v="1"/>
  </r>
  <r>
    <s v="Pooja Yadav"/>
    <s v="CUST1832"/>
    <d v="2025-09-25T00:00:00"/>
    <n v="195"/>
    <n v="8184.4"/>
    <n v="2097.14"/>
    <n v="6087.26"/>
    <s v="CareMed"/>
    <x v="6"/>
    <s v="Cash"/>
    <s v="Pending"/>
    <x v="3"/>
  </r>
  <r>
    <s v="Karan Singh"/>
    <s v="CUST1833"/>
    <d v="2025-03-31T00:00:00"/>
    <n v="189"/>
    <n v="11036.1"/>
    <n v="5266.37"/>
    <n v="5769.73"/>
    <s v="LifeLine Pharma"/>
    <x v="1"/>
    <s v="Bank Transfer"/>
    <s v="Delivered"/>
    <x v="0"/>
  </r>
  <r>
    <s v="Neha Sharma"/>
    <s v="CUST1834"/>
    <d v="2025-12-20T00:00:00"/>
    <n v="2"/>
    <n v="7021.93"/>
    <n v="2958.46"/>
    <n v="4063.47"/>
    <s v="MediCare Distributors"/>
    <x v="4"/>
    <s v="UPI"/>
    <s v="Cancelled"/>
    <x v="2"/>
  </r>
  <r>
    <s v="Priya Patel"/>
    <s v="CUST1835"/>
    <d v="2025-09-07T00:00:00"/>
    <n v="83"/>
    <n v="12672.99"/>
    <n v="4680.71"/>
    <n v="7992.28"/>
    <s v="MediCare Distributors"/>
    <x v="6"/>
    <s v="UPI"/>
    <s v="Pending"/>
    <x v="4"/>
  </r>
  <r>
    <s v="Karan Sharma"/>
    <s v="CUST1836"/>
    <d v="2025-04-02T00:00:00"/>
    <n v="142"/>
    <n v="13813.34"/>
    <n v="1796.26"/>
    <n v="12017.08"/>
    <s v="CareMed"/>
    <x v="2"/>
    <s v="Cash"/>
    <s v="Delivered"/>
    <x v="0"/>
  </r>
  <r>
    <s v="Sneha Gupta"/>
    <s v="CUST1837"/>
    <d v="2025-03-14T00:00:00"/>
    <n v="179"/>
    <n v="8700.69"/>
    <n v="1487.35"/>
    <n v="7213.34"/>
    <s v="LifeLine Pharma"/>
    <x v="0"/>
    <s v="UPI"/>
    <s v="Pending"/>
    <x v="1"/>
  </r>
  <r>
    <s v="Karan Singh"/>
    <s v="CUST1838"/>
    <d v="2025-04-04T00:00:00"/>
    <n v="157"/>
    <n v="17869.84"/>
    <n v="4123.1099999999997"/>
    <n v="13746.73"/>
    <s v="MediCare Distributors"/>
    <x v="0"/>
    <s v="Bank Transfer"/>
    <s v="Cancelled"/>
    <x v="2"/>
  </r>
  <r>
    <s v="Amit Mehta"/>
    <s v="CUST1839"/>
    <d v="2025-08-03T00:00:00"/>
    <n v="30"/>
    <n v="17677.13"/>
    <n v="2025.98"/>
    <n v="15651.15"/>
    <s v="LifeLine Pharma"/>
    <x v="2"/>
    <s v="Bank Transfer"/>
    <s v="Cancelled"/>
    <x v="1"/>
  </r>
  <r>
    <s v="Amit Singh"/>
    <s v="CUST1840"/>
    <d v="2025-01-24T00:00:00"/>
    <n v="142"/>
    <n v="6163.59"/>
    <n v="1166.22"/>
    <n v="4997.37"/>
    <s v="Apollo Pharma"/>
    <x v="5"/>
    <s v="UPI"/>
    <s v="Pending"/>
    <x v="0"/>
  </r>
  <r>
    <s v="Karan Verma"/>
    <s v="CUST1841"/>
    <d v="2025-07-13T00:00:00"/>
    <n v="58"/>
    <n v="14366.24"/>
    <n v="6307.62"/>
    <n v="8058.62"/>
    <s v="CareMed"/>
    <x v="0"/>
    <s v="Card"/>
    <s v="Pending"/>
    <x v="0"/>
  </r>
  <r>
    <s v="Sneha Patel"/>
    <s v="CUST1842"/>
    <d v="2025-05-17T00:00:00"/>
    <n v="123"/>
    <n v="6574.8"/>
    <n v="820.81"/>
    <n v="5753.99"/>
    <s v="Apollo Pharma"/>
    <x v="1"/>
    <s v="Bank Transfer"/>
    <s v="Cancelled"/>
    <x v="1"/>
  </r>
  <r>
    <s v="Rohan Patel"/>
    <s v="CUST1843"/>
    <d v="2025-12-02T00:00:00"/>
    <n v="12"/>
    <n v="8507.59"/>
    <n v="2112.7800000000002"/>
    <n v="6394.81"/>
    <s v="HealthPlus"/>
    <x v="2"/>
    <s v="Cash"/>
    <s v="Delivered"/>
    <x v="3"/>
  </r>
  <r>
    <s v="Vikas Singh"/>
    <s v="CUST1844"/>
    <d v="2025-11-04T00:00:00"/>
    <n v="20"/>
    <n v="12461.28"/>
    <n v="3902.43"/>
    <n v="8558.85"/>
    <s v="LifeLine Pharma"/>
    <x v="1"/>
    <s v="Cash"/>
    <s v="Cancelled"/>
    <x v="2"/>
  </r>
  <r>
    <s v="Karan Patel"/>
    <s v="CUST1845"/>
    <d v="2025-09-05T00:00:00"/>
    <n v="152"/>
    <n v="8438.09"/>
    <n v="1339.2"/>
    <n v="7098.89"/>
    <s v="MediCare Distributors"/>
    <x v="6"/>
    <s v="Card"/>
    <s v="Cancelled"/>
    <x v="0"/>
  </r>
  <r>
    <s v="Neha Sharma"/>
    <s v="CUST1846"/>
    <d v="2025-09-06T00:00:00"/>
    <n v="188"/>
    <n v="3098.44"/>
    <n v="1064.8900000000001"/>
    <n v="2033.55"/>
    <s v="HealthPlus"/>
    <x v="1"/>
    <s v="Bank Transfer"/>
    <s v="Pending"/>
    <x v="3"/>
  </r>
  <r>
    <s v="Pooja Mehta"/>
    <s v="CUST1847"/>
    <d v="2025-12-12T00:00:00"/>
    <n v="25"/>
    <n v="2853.48"/>
    <n v="915.15"/>
    <n v="1938.33"/>
    <s v="HealthPlus"/>
    <x v="2"/>
    <s v="Card"/>
    <s v="In Transit"/>
    <x v="3"/>
  </r>
  <r>
    <s v="Priya Joshi"/>
    <s v="CUST1848"/>
    <d v="2025-08-13T00:00:00"/>
    <n v="112"/>
    <n v="12602.66"/>
    <n v="6255.8"/>
    <n v="6346.86"/>
    <s v="LifeLine Pharma"/>
    <x v="6"/>
    <s v="UPI"/>
    <s v="Delivered"/>
    <x v="4"/>
  </r>
  <r>
    <s v="Sneha Joshi"/>
    <s v="CUST1849"/>
    <d v="2025-10-22T00:00:00"/>
    <n v="122"/>
    <n v="2940.12"/>
    <n v="744.04"/>
    <n v="2196.08"/>
    <s v="LifeLine Pharma"/>
    <x v="6"/>
    <s v="Cash"/>
    <s v="Cancelled"/>
    <x v="3"/>
  </r>
  <r>
    <s v="Pooja Gupta"/>
    <s v="CUST1850"/>
    <d v="2025-11-16T00:00:00"/>
    <n v="6"/>
    <n v="11292.47"/>
    <n v="3147.23"/>
    <n v="8145.24"/>
    <s v="CareMed"/>
    <x v="7"/>
    <s v="Card"/>
    <s v="Cancelled"/>
    <x v="3"/>
  </r>
  <r>
    <s v="Vikas Mehta"/>
    <s v="CUST1851"/>
    <d v="2025-05-19T00:00:00"/>
    <n v="159"/>
    <n v="17027.099999999999"/>
    <n v="6577.73"/>
    <n v="10449.370000000001"/>
    <s v="HealthPlus"/>
    <x v="5"/>
    <s v="UPI"/>
    <s v="In Transit"/>
    <x v="3"/>
  </r>
  <r>
    <s v="Amit Gupta"/>
    <s v="CUST1852"/>
    <d v="2025-09-01T00:00:00"/>
    <n v="63"/>
    <n v="5850.61"/>
    <n v="1852.69"/>
    <n v="3997.92"/>
    <s v="HealthPlus"/>
    <x v="0"/>
    <s v="Bank Transfer"/>
    <s v="Delivered"/>
    <x v="1"/>
  </r>
  <r>
    <s v="Rohan Joshi"/>
    <s v="CUST1853"/>
    <d v="2025-08-22T00:00:00"/>
    <n v="150"/>
    <n v="10720.71"/>
    <n v="4223.01"/>
    <n v="6497.7"/>
    <s v="HealthPlus"/>
    <x v="3"/>
    <s v="UPI"/>
    <s v="Cancelled"/>
    <x v="0"/>
  </r>
  <r>
    <s v="Rahul Mehta"/>
    <s v="CUST1854"/>
    <d v="2025-03-04T00:00:00"/>
    <n v="31"/>
    <n v="16730.32"/>
    <n v="1762.81"/>
    <n v="14967.51"/>
    <s v="MediCare Distributors"/>
    <x v="1"/>
    <s v="UPI"/>
    <s v="Cancelled"/>
    <x v="4"/>
  </r>
  <r>
    <s v="Rahul Gupta"/>
    <s v="CUST1855"/>
    <d v="2025-10-16T00:00:00"/>
    <n v="75"/>
    <n v="11102.25"/>
    <n v="1546.62"/>
    <n v="9555.6299999999992"/>
    <s v="Apollo Pharma"/>
    <x v="2"/>
    <s v="Card"/>
    <s v="In Transit"/>
    <x v="1"/>
  </r>
  <r>
    <s v="Anjali Patel"/>
    <s v="CUST1856"/>
    <d v="2025-05-31T00:00:00"/>
    <n v="57"/>
    <n v="110.84"/>
    <n v="16.53"/>
    <n v="94.31"/>
    <s v="CareMed"/>
    <x v="0"/>
    <s v="Cash"/>
    <s v="In Transit"/>
    <x v="1"/>
  </r>
  <r>
    <s v="Sneha Joshi"/>
    <s v="CUST1857"/>
    <d v="2025-08-25T00:00:00"/>
    <n v="139"/>
    <n v="11066.2"/>
    <n v="2793.75"/>
    <n v="8272.4500000000007"/>
    <s v="LifeLine Pharma"/>
    <x v="6"/>
    <s v="Cash"/>
    <s v="In Transit"/>
    <x v="1"/>
  </r>
  <r>
    <s v="Rohan Singh"/>
    <s v="CUST1858"/>
    <d v="2025-12-15T00:00:00"/>
    <n v="39"/>
    <n v="18516.54"/>
    <n v="5946.93"/>
    <n v="12569.61"/>
    <s v="HealthPlus"/>
    <x v="3"/>
    <s v="Cash"/>
    <s v="Delivered"/>
    <x v="1"/>
  </r>
  <r>
    <s v="Priya Sharma"/>
    <s v="CUST1859"/>
    <d v="2025-05-26T00:00:00"/>
    <n v="89"/>
    <n v="14432.06"/>
    <n v="2830"/>
    <n v="11602.06"/>
    <s v="LifeLine Pharma"/>
    <x v="5"/>
    <s v="Card"/>
    <s v="Pending"/>
    <x v="4"/>
  </r>
  <r>
    <s v="Rahul Mehta"/>
    <s v="CUST1860"/>
    <d v="2025-11-08T00:00:00"/>
    <n v="75"/>
    <n v="2032.12"/>
    <n v="803.86"/>
    <n v="1228.26"/>
    <s v="CareMed"/>
    <x v="0"/>
    <s v="Bank Transfer"/>
    <s v="In Transit"/>
    <x v="1"/>
  </r>
  <r>
    <s v="Rohan Yadav"/>
    <s v="CUST1861"/>
    <d v="2025-12-17T00:00:00"/>
    <n v="14"/>
    <n v="10102.81"/>
    <n v="3112.26"/>
    <n v="6990.55"/>
    <s v="Apollo Pharma"/>
    <x v="5"/>
    <s v="Bank Transfer"/>
    <s v="Pending"/>
    <x v="1"/>
  </r>
  <r>
    <s v="Rohan Sharma"/>
    <s v="CUST1862"/>
    <d v="2025-09-23T00:00:00"/>
    <n v="29"/>
    <n v="12657.37"/>
    <n v="5295.62"/>
    <n v="7361.75"/>
    <s v="HealthPlus"/>
    <x v="5"/>
    <s v="Cash"/>
    <s v="Pending"/>
    <x v="3"/>
  </r>
  <r>
    <s v="Vikas Joshi"/>
    <s v="CUST1863"/>
    <d v="2025-06-05T00:00:00"/>
    <n v="65"/>
    <n v="2717.38"/>
    <n v="711.62"/>
    <n v="2005.76"/>
    <s v="Apollo Pharma"/>
    <x v="1"/>
    <s v="Bank Transfer"/>
    <s v="In Transit"/>
    <x v="1"/>
  </r>
  <r>
    <s v="Anjali Gupta"/>
    <s v="CUST1864"/>
    <d v="2025-10-27T00:00:00"/>
    <n v="103"/>
    <n v="16388.150000000001"/>
    <n v="5740.93"/>
    <n v="10647.22"/>
    <s v="HealthPlus"/>
    <x v="3"/>
    <s v="Bank Transfer"/>
    <s v="Pending"/>
    <x v="4"/>
  </r>
  <r>
    <s v="Neha Patel"/>
    <s v="CUST1865"/>
    <d v="2025-12-11T00:00:00"/>
    <n v="89"/>
    <n v="12264.51"/>
    <n v="3992.4"/>
    <n v="8272.11"/>
    <s v="LifeLine Pharma"/>
    <x v="2"/>
    <s v="Card"/>
    <s v="Cancelled"/>
    <x v="3"/>
  </r>
  <r>
    <s v="Neha Verma"/>
    <s v="CUST1866"/>
    <d v="2025-11-22T00:00:00"/>
    <n v="32"/>
    <n v="12218.87"/>
    <n v="4487.82"/>
    <n v="7731.05"/>
    <s v="MediCare Distributors"/>
    <x v="6"/>
    <s v="Bank Transfer"/>
    <s v="Delivered"/>
    <x v="4"/>
  </r>
  <r>
    <s v="Vikas Yadav"/>
    <s v="CUST1867"/>
    <d v="2025-01-15T00:00:00"/>
    <n v="123"/>
    <n v="18025.25"/>
    <n v="6823.83"/>
    <n v="11201.42"/>
    <s v="HealthPlus"/>
    <x v="4"/>
    <s v="Card"/>
    <s v="Pending"/>
    <x v="3"/>
  </r>
  <r>
    <s v="Pooja Gupta"/>
    <s v="CUST1868"/>
    <d v="2025-08-06T00:00:00"/>
    <n v="44"/>
    <n v="2018.14"/>
    <n v="343.82"/>
    <n v="1674.32"/>
    <s v="MediCare Distributors"/>
    <x v="0"/>
    <s v="Card"/>
    <s v="Delivered"/>
    <x v="1"/>
  </r>
  <r>
    <s v="Sneha Patel"/>
    <s v="CUST1869"/>
    <d v="2025-07-16T00:00:00"/>
    <n v="74"/>
    <n v="6727.04"/>
    <n v="2427.9299999999998"/>
    <n v="4299.1099999999997"/>
    <s v="Apollo Pharma"/>
    <x v="2"/>
    <s v="Cash"/>
    <s v="Delivered"/>
    <x v="3"/>
  </r>
  <r>
    <s v="Priya Gupta"/>
    <s v="CUST1870"/>
    <d v="2025-10-14T00:00:00"/>
    <n v="169"/>
    <n v="3778.21"/>
    <n v="1750.97"/>
    <n v="2027.24"/>
    <s v="Apollo Pharma"/>
    <x v="7"/>
    <s v="UPI"/>
    <s v="Pending"/>
    <x v="1"/>
  </r>
  <r>
    <s v="Sneha Yadav"/>
    <s v="CUST1871"/>
    <d v="2025-04-11T00:00:00"/>
    <n v="109"/>
    <n v="15470.78"/>
    <n v="4418.01"/>
    <n v="11052.77"/>
    <s v="CareMed"/>
    <x v="0"/>
    <s v="Card"/>
    <s v="In Transit"/>
    <x v="4"/>
  </r>
  <r>
    <s v="Anjali Mehta"/>
    <s v="CUST1872"/>
    <d v="2025-06-01T00:00:00"/>
    <n v="47"/>
    <n v="11730.67"/>
    <n v="4432.91"/>
    <n v="7297.76"/>
    <s v="HealthPlus"/>
    <x v="2"/>
    <s v="Card"/>
    <s v="Delivered"/>
    <x v="3"/>
  </r>
  <r>
    <s v="Rohan Patel"/>
    <s v="CUST1873"/>
    <d v="2025-12-22T00:00:00"/>
    <n v="84"/>
    <n v="9836.15"/>
    <n v="2498.59"/>
    <n v="7337.56"/>
    <s v="LifeLine Pharma"/>
    <x v="5"/>
    <s v="Cash"/>
    <s v="In Transit"/>
    <x v="3"/>
  </r>
  <r>
    <s v="Rahul Sharma"/>
    <s v="CUST1874"/>
    <d v="2025-05-01T00:00:00"/>
    <n v="79"/>
    <n v="12025.8"/>
    <n v="4770.2700000000004"/>
    <n v="7255.53"/>
    <s v="LifeLine Pharma"/>
    <x v="6"/>
    <s v="Card"/>
    <s v="Cancelled"/>
    <x v="1"/>
  </r>
  <r>
    <s v="Priya Mehta"/>
    <s v="CUST1875"/>
    <d v="2025-06-27T00:00:00"/>
    <n v="55"/>
    <n v="7196.78"/>
    <n v="3192.07"/>
    <n v="4004.71"/>
    <s v="LifeLine Pharma"/>
    <x v="6"/>
    <s v="Cash"/>
    <s v="Cancelled"/>
    <x v="1"/>
  </r>
  <r>
    <s v="Amit Mehta"/>
    <s v="CUST1876"/>
    <d v="2025-10-31T00:00:00"/>
    <n v="77"/>
    <n v="14076.32"/>
    <n v="1520.34"/>
    <n v="12555.98"/>
    <s v="LifeLine Pharma"/>
    <x v="0"/>
    <s v="Card"/>
    <s v="In Transit"/>
    <x v="2"/>
  </r>
  <r>
    <s v="Pooja Singh"/>
    <s v="CUST1877"/>
    <d v="2025-10-08T00:00:00"/>
    <n v="86"/>
    <n v="4704.22"/>
    <n v="1391.42"/>
    <n v="3312.8"/>
    <s v="Apollo Pharma"/>
    <x v="0"/>
    <s v="UPI"/>
    <s v="Delivered"/>
    <x v="1"/>
  </r>
  <r>
    <s v="Karan Singh"/>
    <s v="CUST1878"/>
    <d v="2025-12-20T00:00:00"/>
    <n v="22"/>
    <n v="17489.55"/>
    <n v="8264.5300000000007"/>
    <n v="9225.02"/>
    <s v="MediCare Distributors"/>
    <x v="0"/>
    <s v="UPI"/>
    <s v="Cancelled"/>
    <x v="1"/>
  </r>
  <r>
    <s v="Rahul Yadav"/>
    <s v="CUST1879"/>
    <d v="2025-07-19T00:00:00"/>
    <n v="137"/>
    <n v="17803.53"/>
    <n v="3118.57"/>
    <n v="14684.96"/>
    <s v="CareMed"/>
    <x v="5"/>
    <s v="Card"/>
    <s v="Pending"/>
    <x v="1"/>
  </r>
  <r>
    <s v="Sneha Yadav"/>
    <s v="CUST1880"/>
    <d v="2025-07-07T00:00:00"/>
    <n v="3"/>
    <n v="5776.3"/>
    <n v="1606.15"/>
    <n v="4170.1499999999996"/>
    <s v="MediCare Distributors"/>
    <x v="4"/>
    <s v="Cash"/>
    <s v="In Transit"/>
    <x v="0"/>
  </r>
  <r>
    <s v="Neha Patel"/>
    <s v="CUST1881"/>
    <d v="2025-11-03T00:00:00"/>
    <n v="178"/>
    <n v="6184.02"/>
    <n v="2283.85"/>
    <n v="3900.17"/>
    <s v="MediCare Distributors"/>
    <x v="4"/>
    <s v="UPI"/>
    <s v="Cancelled"/>
    <x v="0"/>
  </r>
  <r>
    <s v="Karan Sharma"/>
    <s v="CUST1882"/>
    <d v="2025-09-21T00:00:00"/>
    <n v="132"/>
    <n v="11334.05"/>
    <n v="5180.21"/>
    <n v="6153.84"/>
    <s v="LifeLine Pharma"/>
    <x v="7"/>
    <s v="UPI"/>
    <s v="In Transit"/>
    <x v="4"/>
  </r>
  <r>
    <s v="Vikas Gupta"/>
    <s v="CUST1883"/>
    <d v="2025-02-27T00:00:00"/>
    <n v="23"/>
    <n v="14730.89"/>
    <n v="4756.9399999999996"/>
    <n v="9973.9500000000007"/>
    <s v="LifeLine Pharma"/>
    <x v="2"/>
    <s v="Bank Transfer"/>
    <s v="Delivered"/>
    <x v="3"/>
  </r>
  <r>
    <s v="Vikas Singh"/>
    <s v="CUST1884"/>
    <d v="2025-09-27T00:00:00"/>
    <n v="102"/>
    <n v="2817.38"/>
    <n v="727.33"/>
    <n v="2090.0500000000002"/>
    <s v="HealthPlus"/>
    <x v="1"/>
    <s v="Bank Transfer"/>
    <s v="In Transit"/>
    <x v="0"/>
  </r>
  <r>
    <s v="Anjali Sharma"/>
    <s v="CUST1885"/>
    <d v="2025-02-15T00:00:00"/>
    <n v="151"/>
    <n v="11544.8"/>
    <n v="2122.87"/>
    <n v="9421.93"/>
    <s v="Apollo Pharma"/>
    <x v="5"/>
    <s v="Cash"/>
    <s v="In Transit"/>
    <x v="0"/>
  </r>
  <r>
    <s v="Sneha Singh"/>
    <s v="CUST1886"/>
    <d v="2025-09-29T00:00:00"/>
    <n v="5"/>
    <n v="10672.71"/>
    <n v="4337.59"/>
    <n v="6335.12"/>
    <s v="HealthPlus"/>
    <x v="2"/>
    <s v="Cash"/>
    <s v="Delivered"/>
    <x v="3"/>
  </r>
  <r>
    <s v="Karan Gupta"/>
    <s v="CUST1887"/>
    <d v="2025-10-11T00:00:00"/>
    <n v="134"/>
    <n v="5881.14"/>
    <n v="2264.2600000000002"/>
    <n v="3616.88"/>
    <s v="HealthPlus"/>
    <x v="1"/>
    <s v="Card"/>
    <s v="In Transit"/>
    <x v="0"/>
  </r>
  <r>
    <s v="Pooja Yadav"/>
    <s v="CUST1888"/>
    <d v="2025-03-17T00:00:00"/>
    <n v="95"/>
    <n v="8817"/>
    <n v="2429.8200000000002"/>
    <n v="6387.18"/>
    <s v="HealthPlus"/>
    <x v="7"/>
    <s v="Card"/>
    <s v="In Transit"/>
    <x v="2"/>
  </r>
  <r>
    <s v="Karan Verma"/>
    <s v="CUST1889"/>
    <d v="2025-01-16T00:00:00"/>
    <n v="190"/>
    <n v="2312.12"/>
    <n v="608.24"/>
    <n v="1703.88"/>
    <s v="MediCare Distributors"/>
    <x v="2"/>
    <s v="Cash"/>
    <s v="Cancelled"/>
    <x v="2"/>
  </r>
  <r>
    <s v="Pooja Yadav"/>
    <s v="CUST1890"/>
    <d v="2025-05-18T00:00:00"/>
    <n v="138"/>
    <n v="12223.13"/>
    <n v="1724.96"/>
    <n v="10498.17"/>
    <s v="Apollo Pharma"/>
    <x v="2"/>
    <s v="Card"/>
    <s v="Pending"/>
    <x v="3"/>
  </r>
  <r>
    <s v="Pooja Yadav"/>
    <s v="CUST1891"/>
    <d v="2025-08-28T00:00:00"/>
    <n v="119"/>
    <n v="386.34"/>
    <n v="142.46"/>
    <n v="243.88"/>
    <s v="CareMed"/>
    <x v="6"/>
    <s v="Card"/>
    <s v="In Transit"/>
    <x v="1"/>
  </r>
  <r>
    <s v="Amit Joshi"/>
    <s v="CUST1892"/>
    <d v="2025-02-15T00:00:00"/>
    <n v="53"/>
    <n v="8566.5400000000009"/>
    <n v="1677.16"/>
    <n v="6889.38"/>
    <s v="MediCare Distributors"/>
    <x v="1"/>
    <s v="Cash"/>
    <s v="Delivered"/>
    <x v="4"/>
  </r>
  <r>
    <s v="Neha Singh"/>
    <s v="CUST1893"/>
    <d v="2025-01-14T00:00:00"/>
    <n v="8"/>
    <n v="4277.41"/>
    <n v="1278.47"/>
    <n v="2998.94"/>
    <s v="LifeLine Pharma"/>
    <x v="5"/>
    <s v="Cash"/>
    <s v="Pending"/>
    <x v="0"/>
  </r>
  <r>
    <s v="Pooja Yadav"/>
    <s v="CUST1894"/>
    <d v="2025-09-21T00:00:00"/>
    <n v="21"/>
    <n v="5574.53"/>
    <n v="743.79"/>
    <n v="4830.74"/>
    <s v="CareMed"/>
    <x v="3"/>
    <s v="Cash"/>
    <s v="Pending"/>
    <x v="1"/>
  </r>
  <r>
    <s v="Amit Yadav"/>
    <s v="CUST1895"/>
    <d v="2025-05-06T00:00:00"/>
    <n v="148"/>
    <n v="1035.18"/>
    <n v="386.9"/>
    <n v="648.28"/>
    <s v="CareMed"/>
    <x v="1"/>
    <s v="Bank Transfer"/>
    <s v="Pending"/>
    <x v="3"/>
  </r>
  <r>
    <s v="Priya Mehta"/>
    <s v="CUST1896"/>
    <d v="2025-11-14T00:00:00"/>
    <n v="161"/>
    <n v="16598.27"/>
    <n v="6220.49"/>
    <n v="10377.780000000001"/>
    <s v="CareMed"/>
    <x v="3"/>
    <s v="Bank Transfer"/>
    <s v="Delivered"/>
    <x v="0"/>
  </r>
  <r>
    <s v="Anjali Singh"/>
    <s v="CUST1897"/>
    <d v="2025-03-08T00:00:00"/>
    <n v="173"/>
    <n v="7951.82"/>
    <n v="1602.68"/>
    <n v="6349.14"/>
    <s v="Apollo Pharma"/>
    <x v="5"/>
    <s v="UPI"/>
    <s v="Delivered"/>
    <x v="1"/>
  </r>
  <r>
    <s v="Rahul Singh"/>
    <s v="CUST1898"/>
    <d v="2025-02-25T00:00:00"/>
    <n v="33"/>
    <n v="17071.34"/>
    <n v="1811.21"/>
    <n v="15260.13"/>
    <s v="HealthPlus"/>
    <x v="2"/>
    <s v="Card"/>
    <s v="In Transit"/>
    <x v="3"/>
  </r>
  <r>
    <s v="Amit Singh"/>
    <s v="CUST1899"/>
    <d v="2025-08-24T00:00:00"/>
    <n v="110"/>
    <n v="941.02"/>
    <n v="448.28"/>
    <n v="492.74"/>
    <s v="CareMed"/>
    <x v="4"/>
    <s v="Cash"/>
    <s v="Delivered"/>
    <x v="0"/>
  </r>
  <r>
    <s v="Rahul Joshi"/>
    <s v="CUST1900"/>
    <d v="2025-01-01T00:00:00"/>
    <n v="16"/>
    <n v="17598.46"/>
    <n v="6692.08"/>
    <n v="10906.38"/>
    <s v="LifeLine Pharma"/>
    <x v="0"/>
    <s v="Bank Transfer"/>
    <s v="Delivered"/>
    <x v="3"/>
  </r>
  <r>
    <s v="Anjali Yadav"/>
    <s v="CUST1901"/>
    <d v="2025-04-30T00:00:00"/>
    <n v="98"/>
    <n v="15174.77"/>
    <n v="6738.44"/>
    <n v="8436.33"/>
    <s v="LifeLine Pharma"/>
    <x v="5"/>
    <s v="UPI"/>
    <s v="In Transit"/>
    <x v="3"/>
  </r>
  <r>
    <s v="Karan Gupta"/>
    <s v="CUST1902"/>
    <d v="2025-09-07T00:00:00"/>
    <n v="63"/>
    <n v="4258.82"/>
    <n v="1717.17"/>
    <n v="2541.65"/>
    <s v="CareMed"/>
    <x v="3"/>
    <s v="Cash"/>
    <s v="In Transit"/>
    <x v="4"/>
  </r>
  <r>
    <s v="Karan Mehta"/>
    <s v="CUST1903"/>
    <d v="2025-12-28T00:00:00"/>
    <n v="111"/>
    <n v="1897.92"/>
    <n v="468.51"/>
    <n v="1429.41"/>
    <s v="HealthPlus"/>
    <x v="7"/>
    <s v="UPI"/>
    <s v="Delivered"/>
    <x v="2"/>
  </r>
  <r>
    <s v="Anjali Gupta"/>
    <s v="CUST1904"/>
    <d v="2025-03-27T00:00:00"/>
    <n v="97"/>
    <n v="4864.2299999999996"/>
    <n v="1483.89"/>
    <n v="3380.34"/>
    <s v="MediCare Distributors"/>
    <x v="4"/>
    <s v="Card"/>
    <s v="Delivered"/>
    <x v="0"/>
  </r>
  <r>
    <s v="Amit Gupta"/>
    <s v="CUST1905"/>
    <d v="2025-07-30T00:00:00"/>
    <n v="64"/>
    <n v="7918.46"/>
    <n v="1809.07"/>
    <n v="6109.39"/>
    <s v="Apollo Pharma"/>
    <x v="2"/>
    <s v="UPI"/>
    <s v="Cancelled"/>
    <x v="2"/>
  </r>
  <r>
    <s v="Sneha Verma"/>
    <s v="CUST1906"/>
    <d v="2025-10-10T00:00:00"/>
    <n v="8"/>
    <n v="17119.68"/>
    <n v="4829.79"/>
    <n v="12289.89"/>
    <s v="LifeLine Pharma"/>
    <x v="1"/>
    <s v="Bank Transfer"/>
    <s v="Delivered"/>
    <x v="1"/>
  </r>
  <r>
    <s v="Anjali Singh"/>
    <s v="CUST1907"/>
    <d v="2025-02-20T00:00:00"/>
    <n v="46"/>
    <n v="10472.68"/>
    <n v="3654.08"/>
    <n v="6818.6"/>
    <s v="HealthPlus"/>
    <x v="6"/>
    <s v="Cash"/>
    <s v="Cancelled"/>
    <x v="0"/>
  </r>
  <r>
    <s v="Amit Sharma"/>
    <s v="CUST1908"/>
    <d v="2025-05-13T00:00:00"/>
    <n v="160"/>
    <n v="19983.599999999999"/>
    <n v="6300.21"/>
    <n v="13683.39"/>
    <s v="HealthPlus"/>
    <x v="0"/>
    <s v="Card"/>
    <s v="In Transit"/>
    <x v="1"/>
  </r>
  <r>
    <s v="Rohan Joshi"/>
    <s v="CUST1909"/>
    <d v="2025-07-22T00:00:00"/>
    <n v="96"/>
    <n v="19270.36"/>
    <n v="9346.33"/>
    <n v="9924.0300000000007"/>
    <s v="CareMed"/>
    <x v="3"/>
    <s v="UPI"/>
    <s v="Cancelled"/>
    <x v="1"/>
  </r>
  <r>
    <s v="Priya Sharma"/>
    <s v="CUST1910"/>
    <d v="2025-03-21T00:00:00"/>
    <n v="37"/>
    <n v="9783.4699999999993"/>
    <n v="4075.67"/>
    <n v="5707.8"/>
    <s v="MediCare Distributors"/>
    <x v="5"/>
    <s v="Card"/>
    <s v="In Transit"/>
    <x v="2"/>
  </r>
  <r>
    <s v="Vikas Yadav"/>
    <s v="CUST1911"/>
    <d v="2025-03-28T00:00:00"/>
    <n v="136"/>
    <n v="15124.06"/>
    <n v="6171.12"/>
    <n v="8952.94"/>
    <s v="HealthPlus"/>
    <x v="0"/>
    <s v="Cash"/>
    <s v="Cancelled"/>
    <x v="0"/>
  </r>
  <r>
    <s v="Pooja Sharma"/>
    <s v="CUST1912"/>
    <d v="2025-03-05T00:00:00"/>
    <n v="127"/>
    <n v="8102.43"/>
    <n v="1798.18"/>
    <n v="6304.25"/>
    <s v="CareMed"/>
    <x v="3"/>
    <s v="UPI"/>
    <s v="Pending"/>
    <x v="4"/>
  </r>
  <r>
    <s v="Karan Joshi"/>
    <s v="CUST1913"/>
    <d v="2025-05-14T00:00:00"/>
    <n v="131"/>
    <n v="9141.4599999999991"/>
    <n v="3584.83"/>
    <n v="5556.63"/>
    <s v="HealthPlus"/>
    <x v="4"/>
    <s v="Cash"/>
    <s v="Pending"/>
    <x v="2"/>
  </r>
  <r>
    <s v="Anjali Yadav"/>
    <s v="CUST1914"/>
    <d v="2025-04-29T00:00:00"/>
    <n v="126"/>
    <n v="2553.39"/>
    <n v="1005.13"/>
    <n v="1548.26"/>
    <s v="MediCare Distributors"/>
    <x v="3"/>
    <s v="Bank Transfer"/>
    <s v="Delivered"/>
    <x v="4"/>
  </r>
  <r>
    <s v="Amit Gupta"/>
    <s v="CUST1915"/>
    <d v="2025-05-29T00:00:00"/>
    <n v="70"/>
    <n v="15535.63"/>
    <n v="3009.77"/>
    <n v="12525.86"/>
    <s v="Apollo Pharma"/>
    <x v="0"/>
    <s v="Card"/>
    <s v="Pending"/>
    <x v="3"/>
  </r>
  <r>
    <s v="Pooja Patel"/>
    <s v="CUST1916"/>
    <d v="2025-10-07T00:00:00"/>
    <n v="127"/>
    <n v="4190.37"/>
    <n v="1307.57"/>
    <n v="2882.8"/>
    <s v="HealthPlus"/>
    <x v="0"/>
    <s v="UPI"/>
    <s v="Pending"/>
    <x v="0"/>
  </r>
  <r>
    <s v="Rohan Joshi"/>
    <s v="CUST1917"/>
    <d v="2025-03-26T00:00:00"/>
    <n v="122"/>
    <n v="9045.19"/>
    <n v="1521.76"/>
    <n v="7523.43"/>
    <s v="Apollo Pharma"/>
    <x v="0"/>
    <s v="Cash"/>
    <s v="Delivered"/>
    <x v="3"/>
  </r>
  <r>
    <s v="Pooja Patel"/>
    <s v="CUST1918"/>
    <d v="2025-01-21T00:00:00"/>
    <n v="50"/>
    <n v="10301.76"/>
    <n v="2526.34"/>
    <n v="7775.42"/>
    <s v="LifeLine Pharma"/>
    <x v="3"/>
    <s v="UPI"/>
    <s v="Pending"/>
    <x v="1"/>
  </r>
  <r>
    <s v="Rohan Verma"/>
    <s v="CUST1919"/>
    <d v="2025-09-16T00:00:00"/>
    <n v="68"/>
    <n v="15771.73"/>
    <n v="1767.14"/>
    <n v="14004.59"/>
    <s v="HealthPlus"/>
    <x v="5"/>
    <s v="UPI"/>
    <s v="Pending"/>
    <x v="2"/>
  </r>
  <r>
    <s v="Amit Sharma"/>
    <s v="CUST1920"/>
    <d v="2025-01-26T00:00:00"/>
    <n v="168"/>
    <n v="7186.38"/>
    <n v="2265.65"/>
    <n v="4920.7299999999996"/>
    <s v="Apollo Pharma"/>
    <x v="6"/>
    <s v="Card"/>
    <s v="Delivered"/>
    <x v="0"/>
  </r>
  <r>
    <s v="Rahul Sharma"/>
    <s v="CUST1921"/>
    <d v="2025-07-08T00:00:00"/>
    <n v="177"/>
    <n v="9945.48"/>
    <n v="2619.38"/>
    <n v="7326.1"/>
    <s v="HealthPlus"/>
    <x v="5"/>
    <s v="UPI"/>
    <s v="Pending"/>
    <x v="2"/>
  </r>
  <r>
    <s v="Vikas Mehta"/>
    <s v="CUST1922"/>
    <d v="2025-01-30T00:00:00"/>
    <n v="62"/>
    <n v="16819.759999999998"/>
    <n v="4082.18"/>
    <n v="12737.58"/>
    <s v="Apollo Pharma"/>
    <x v="7"/>
    <s v="Card"/>
    <s v="Delivered"/>
    <x v="2"/>
  </r>
  <r>
    <s v="Neha Verma"/>
    <s v="CUST1923"/>
    <d v="2025-05-13T00:00:00"/>
    <n v="71"/>
    <n v="10925.32"/>
    <n v="3427.86"/>
    <n v="7497.46"/>
    <s v="CareMed"/>
    <x v="7"/>
    <s v="UPI"/>
    <s v="Cancelled"/>
    <x v="1"/>
  </r>
  <r>
    <s v="Vikas Gupta"/>
    <s v="CUST1924"/>
    <d v="2025-12-30T00:00:00"/>
    <n v="47"/>
    <n v="3631.38"/>
    <n v="1702.2"/>
    <n v="1929.18"/>
    <s v="LifeLine Pharma"/>
    <x v="6"/>
    <s v="UPI"/>
    <s v="Pending"/>
    <x v="0"/>
  </r>
  <r>
    <s v="Vikas Sharma"/>
    <s v="CUST1925"/>
    <d v="2025-01-24T00:00:00"/>
    <n v="178"/>
    <n v="12949.15"/>
    <n v="5366.21"/>
    <n v="7582.94"/>
    <s v="LifeLine Pharma"/>
    <x v="5"/>
    <s v="Cash"/>
    <s v="Delivered"/>
    <x v="0"/>
  </r>
  <r>
    <s v="Rahul Singh"/>
    <s v="CUST1926"/>
    <d v="2025-07-05T00:00:00"/>
    <n v="98"/>
    <n v="10564.23"/>
    <n v="4862.8599999999997"/>
    <n v="5701.37"/>
    <s v="LifeLine Pharma"/>
    <x v="0"/>
    <s v="Cash"/>
    <s v="Cancelled"/>
    <x v="4"/>
  </r>
  <r>
    <s v="Rahul Verma"/>
    <s v="CUST1927"/>
    <d v="2025-04-17T00:00:00"/>
    <n v="103"/>
    <n v="9028.15"/>
    <n v="2156.65"/>
    <n v="6871.5"/>
    <s v="Apollo Pharma"/>
    <x v="2"/>
    <s v="Cash"/>
    <s v="Delivered"/>
    <x v="1"/>
  </r>
  <r>
    <s v="Pooja Mehta"/>
    <s v="CUST1928"/>
    <d v="2025-07-15T00:00:00"/>
    <n v="61"/>
    <n v="7879.38"/>
    <n v="1410.13"/>
    <n v="6469.25"/>
    <s v="MediCare Distributors"/>
    <x v="5"/>
    <s v="Card"/>
    <s v="Pending"/>
    <x v="0"/>
  </r>
  <r>
    <s v="Rohan Sharma"/>
    <s v="CUST1929"/>
    <d v="2025-10-12T00:00:00"/>
    <n v="87"/>
    <n v="9350.44"/>
    <n v="2412.73"/>
    <n v="6937.71"/>
    <s v="Apollo Pharma"/>
    <x v="3"/>
    <s v="Cash"/>
    <s v="Cancelled"/>
    <x v="4"/>
  </r>
  <r>
    <s v="Priya Verma"/>
    <s v="CUST1930"/>
    <d v="2025-09-26T00:00:00"/>
    <n v="145"/>
    <n v="19317.37"/>
    <n v="9457.81"/>
    <n v="9859.56"/>
    <s v="LifeLine Pharma"/>
    <x v="0"/>
    <s v="Bank Transfer"/>
    <s v="Delivered"/>
    <x v="1"/>
  </r>
  <r>
    <s v="Priya Sharma"/>
    <s v="CUST1931"/>
    <d v="2025-11-08T00:00:00"/>
    <n v="116"/>
    <n v="3516.14"/>
    <n v="1626.53"/>
    <n v="1889.61"/>
    <s v="MediCare Distributors"/>
    <x v="1"/>
    <s v="Cash"/>
    <s v="Cancelled"/>
    <x v="4"/>
  </r>
  <r>
    <s v="Amit Gupta"/>
    <s v="CUST1932"/>
    <d v="2025-08-27T00:00:00"/>
    <n v="37"/>
    <n v="3794.19"/>
    <n v="1859.23"/>
    <n v="1934.96"/>
    <s v="HealthPlus"/>
    <x v="4"/>
    <s v="Card"/>
    <s v="Cancelled"/>
    <x v="3"/>
  </r>
  <r>
    <s v="Amit Yadav"/>
    <s v="CUST1933"/>
    <d v="2025-01-12T00:00:00"/>
    <n v="146"/>
    <n v="3426.96"/>
    <n v="606.24"/>
    <n v="2820.72"/>
    <s v="Apollo Pharma"/>
    <x v="7"/>
    <s v="Cash"/>
    <s v="Cancelled"/>
    <x v="4"/>
  </r>
  <r>
    <s v="Vikas Joshi"/>
    <s v="CUST1934"/>
    <d v="2025-04-06T00:00:00"/>
    <n v="105"/>
    <n v="1170.49"/>
    <n v="127.18"/>
    <n v="1043.31"/>
    <s v="MediCare Distributors"/>
    <x v="6"/>
    <s v="Card"/>
    <s v="Pending"/>
    <x v="2"/>
  </r>
  <r>
    <s v="Neha Mehta"/>
    <s v="CUST1935"/>
    <d v="2025-02-23T00:00:00"/>
    <n v="24"/>
    <n v="12994.12"/>
    <n v="6417.03"/>
    <n v="6577.09"/>
    <s v="HealthPlus"/>
    <x v="2"/>
    <s v="UPI"/>
    <s v="In Transit"/>
    <x v="1"/>
  </r>
  <r>
    <s v="Amit Verma"/>
    <s v="CUST1936"/>
    <d v="2025-05-30T00:00:00"/>
    <n v="171"/>
    <n v="14635.46"/>
    <n v="3902.74"/>
    <n v="10732.72"/>
    <s v="HealthPlus"/>
    <x v="7"/>
    <s v="Bank Transfer"/>
    <s v="Pending"/>
    <x v="4"/>
  </r>
  <r>
    <s v="Rohan Sharma"/>
    <s v="CUST1937"/>
    <d v="2025-11-18T00:00:00"/>
    <n v="173"/>
    <n v="3734.37"/>
    <n v="908.87"/>
    <n v="2825.5"/>
    <s v="HealthPlus"/>
    <x v="4"/>
    <s v="Cash"/>
    <s v="Pending"/>
    <x v="1"/>
  </r>
  <r>
    <s v="Neha Yadav"/>
    <s v="CUST1938"/>
    <d v="2025-05-06T00:00:00"/>
    <n v="21"/>
    <n v="13065.76"/>
    <n v="3383.1"/>
    <n v="9682.66"/>
    <s v="HealthPlus"/>
    <x v="3"/>
    <s v="UPI"/>
    <s v="In Transit"/>
    <x v="1"/>
  </r>
  <r>
    <s v="Anjali Mehta"/>
    <s v="CUST1939"/>
    <d v="2025-01-10T00:00:00"/>
    <n v="139"/>
    <n v="7080.04"/>
    <n v="2457.44"/>
    <n v="4622.6000000000004"/>
    <s v="MediCare Distributors"/>
    <x v="5"/>
    <s v="Cash"/>
    <s v="Delivered"/>
    <x v="2"/>
  </r>
  <r>
    <s v="Anjali Patel"/>
    <s v="CUST1940"/>
    <d v="2025-11-26T00:00:00"/>
    <n v="111"/>
    <n v="10855.8"/>
    <n v="3670.98"/>
    <n v="7184.82"/>
    <s v="HealthPlus"/>
    <x v="1"/>
    <s v="Card"/>
    <s v="Cancelled"/>
    <x v="4"/>
  </r>
  <r>
    <s v="Karan Gupta"/>
    <s v="CUST1941"/>
    <d v="2025-08-20T00:00:00"/>
    <n v="132"/>
    <n v="13521.84"/>
    <n v="6074.54"/>
    <n v="7447.3"/>
    <s v="LifeLine Pharma"/>
    <x v="1"/>
    <s v="Cash"/>
    <s v="Delivered"/>
    <x v="4"/>
  </r>
  <r>
    <s v="Karan Joshi"/>
    <s v="CUST1942"/>
    <d v="2025-12-14T00:00:00"/>
    <n v="117"/>
    <n v="5250.48"/>
    <n v="1551.68"/>
    <n v="3698.8"/>
    <s v="MediCare Distributors"/>
    <x v="7"/>
    <s v="Cash"/>
    <s v="Delivered"/>
    <x v="0"/>
  </r>
  <r>
    <s v="Pooja Sharma"/>
    <s v="CUST1943"/>
    <d v="2025-08-15T00:00:00"/>
    <n v="75"/>
    <n v="12432.25"/>
    <n v="3395.23"/>
    <n v="9037.02"/>
    <s v="Apollo Pharma"/>
    <x v="1"/>
    <s v="Card"/>
    <s v="Delivered"/>
    <x v="3"/>
  </r>
  <r>
    <s v="Rahul Gupta"/>
    <s v="CUST1944"/>
    <d v="2025-01-09T00:00:00"/>
    <n v="189"/>
    <n v="14549.38"/>
    <n v="4195.54"/>
    <n v="10353.84"/>
    <s v="MediCare Distributors"/>
    <x v="1"/>
    <s v="UPI"/>
    <s v="Pending"/>
    <x v="1"/>
  </r>
  <r>
    <s v="Anjali Singh"/>
    <s v="CUST1945"/>
    <d v="2025-01-30T00:00:00"/>
    <n v="139"/>
    <n v="5453.41"/>
    <n v="1773.35"/>
    <n v="3680.06"/>
    <s v="LifeLine Pharma"/>
    <x v="3"/>
    <s v="UPI"/>
    <s v="Delivered"/>
    <x v="4"/>
  </r>
  <r>
    <s v="Priya Gupta"/>
    <s v="CUST1946"/>
    <d v="2025-10-13T00:00:00"/>
    <n v="71"/>
    <n v="8690.7000000000007"/>
    <n v="3830.74"/>
    <n v="4859.96"/>
    <s v="Apollo Pharma"/>
    <x v="2"/>
    <s v="Cash"/>
    <s v="Pending"/>
    <x v="2"/>
  </r>
  <r>
    <s v="Priya Yadav"/>
    <s v="CUST1947"/>
    <d v="2025-10-09T00:00:00"/>
    <n v="191"/>
    <n v="3052.85"/>
    <n v="1508.66"/>
    <n v="1544.19"/>
    <s v="HealthPlus"/>
    <x v="3"/>
    <s v="UPI"/>
    <s v="Pending"/>
    <x v="1"/>
  </r>
  <r>
    <s v="Rahul Sharma"/>
    <s v="CUST1948"/>
    <d v="2025-01-24T00:00:00"/>
    <n v="5"/>
    <n v="11016.02"/>
    <n v="3847.22"/>
    <n v="7168.8"/>
    <s v="HealthPlus"/>
    <x v="1"/>
    <s v="Bank Transfer"/>
    <s v="Pending"/>
    <x v="4"/>
  </r>
  <r>
    <s v="Pooja Patel"/>
    <s v="CUST1949"/>
    <d v="2025-03-25T00:00:00"/>
    <n v="2"/>
    <n v="166.84"/>
    <n v="48.64"/>
    <n v="118.2"/>
    <s v="CareMed"/>
    <x v="5"/>
    <s v="Cash"/>
    <s v="In Transit"/>
    <x v="1"/>
  </r>
  <r>
    <s v="Amit Gupta"/>
    <s v="CUST1950"/>
    <d v="2025-03-12T00:00:00"/>
    <n v="1"/>
    <n v="560.54"/>
    <n v="66.16"/>
    <n v="494.38"/>
    <s v="Apollo Pharma"/>
    <x v="1"/>
    <s v="UPI"/>
    <s v="Pending"/>
    <x v="0"/>
  </r>
  <r>
    <s v="Neha Yadav"/>
    <s v="CUST1951"/>
    <d v="2025-03-14T00:00:00"/>
    <n v="117"/>
    <n v="14869.07"/>
    <n v="3973.18"/>
    <n v="10895.89"/>
    <s v="CareMed"/>
    <x v="7"/>
    <s v="Cash"/>
    <s v="Cancelled"/>
    <x v="1"/>
  </r>
  <r>
    <s v="Rahul Mehta"/>
    <s v="CUST1952"/>
    <d v="2025-11-23T00:00:00"/>
    <n v="140"/>
    <n v="19780.939999999999"/>
    <n v="2366.16"/>
    <n v="17414.78"/>
    <s v="CareMed"/>
    <x v="1"/>
    <s v="Bank Transfer"/>
    <s v="In Transit"/>
    <x v="3"/>
  </r>
  <r>
    <s v="Rohan Singh"/>
    <s v="CUST1953"/>
    <d v="2025-07-26T00:00:00"/>
    <n v="13"/>
    <n v="558.85"/>
    <n v="146.03"/>
    <n v="412.82"/>
    <s v="CareMed"/>
    <x v="6"/>
    <s v="UPI"/>
    <s v="Pending"/>
    <x v="4"/>
  </r>
  <r>
    <s v="Rohan Patel"/>
    <s v="CUST1954"/>
    <d v="2025-03-10T00:00:00"/>
    <n v="186"/>
    <n v="16717.150000000001"/>
    <n v="1985.38"/>
    <n v="14731.77"/>
    <s v="Apollo Pharma"/>
    <x v="5"/>
    <s v="Cash"/>
    <s v="In Transit"/>
    <x v="3"/>
  </r>
  <r>
    <s v="Amit Mehta"/>
    <s v="CUST1955"/>
    <d v="2025-01-11T00:00:00"/>
    <n v="67"/>
    <n v="6661.55"/>
    <n v="2953.67"/>
    <n v="3707.88"/>
    <s v="CareMed"/>
    <x v="6"/>
    <s v="UPI"/>
    <s v="Delivered"/>
    <x v="3"/>
  </r>
  <r>
    <s v="Priya Joshi"/>
    <s v="CUST1956"/>
    <d v="2025-12-12T00:00:00"/>
    <n v="171"/>
    <n v="339.56"/>
    <n v="120.47"/>
    <n v="219.09"/>
    <s v="HealthPlus"/>
    <x v="0"/>
    <s v="Card"/>
    <s v="Cancelled"/>
    <x v="4"/>
  </r>
  <r>
    <s v="Rohan Sharma"/>
    <s v="CUST1957"/>
    <d v="2025-02-27T00:00:00"/>
    <n v="83"/>
    <n v="7563.73"/>
    <n v="2042.95"/>
    <n v="5520.78"/>
    <s v="CareMed"/>
    <x v="6"/>
    <s v="Card"/>
    <s v="In Transit"/>
    <x v="3"/>
  </r>
  <r>
    <s v="Rohan Gupta"/>
    <s v="CUST1958"/>
    <d v="2025-09-30T00:00:00"/>
    <n v="38"/>
    <n v="14350.67"/>
    <n v="6627.19"/>
    <n v="7723.48"/>
    <s v="CareMed"/>
    <x v="2"/>
    <s v="Card"/>
    <s v="Delivered"/>
    <x v="0"/>
  </r>
  <r>
    <s v="Neha Patel"/>
    <s v="CUST1959"/>
    <d v="2025-06-22T00:00:00"/>
    <n v="130"/>
    <n v="3128.93"/>
    <n v="1392.03"/>
    <n v="1736.9"/>
    <s v="MediCare Distributors"/>
    <x v="7"/>
    <s v="Card"/>
    <s v="Delivered"/>
    <x v="3"/>
  </r>
  <r>
    <s v="Neha Gupta"/>
    <s v="CUST1960"/>
    <d v="2025-09-08T00:00:00"/>
    <n v="9"/>
    <n v="10664.48"/>
    <n v="3195.94"/>
    <n v="7468.54"/>
    <s v="Apollo Pharma"/>
    <x v="7"/>
    <s v="Card"/>
    <s v="In Transit"/>
    <x v="4"/>
  </r>
  <r>
    <s v="Neha Yadav"/>
    <s v="CUST1961"/>
    <d v="2025-08-31T00:00:00"/>
    <n v="92"/>
    <n v="12779.75"/>
    <n v="5405.05"/>
    <n v="7374.7"/>
    <s v="HealthPlus"/>
    <x v="2"/>
    <s v="UPI"/>
    <s v="In Transit"/>
    <x v="3"/>
  </r>
  <r>
    <s v="Sneha Sharma"/>
    <s v="CUST1962"/>
    <d v="2025-11-25T00:00:00"/>
    <n v="76"/>
    <n v="1835.08"/>
    <n v="462.62"/>
    <n v="1372.46"/>
    <s v="CareMed"/>
    <x v="2"/>
    <s v="Card"/>
    <s v="Delivered"/>
    <x v="0"/>
  </r>
  <r>
    <s v="Karan Patel"/>
    <s v="CUST1963"/>
    <d v="2025-10-03T00:00:00"/>
    <n v="108"/>
    <n v="18771.54"/>
    <n v="4667.79"/>
    <n v="14103.75"/>
    <s v="HealthPlus"/>
    <x v="4"/>
    <s v="Cash"/>
    <s v="In Transit"/>
    <x v="3"/>
  </r>
  <r>
    <s v="Rohan Patel"/>
    <s v="CUST1964"/>
    <d v="2025-02-04T00:00:00"/>
    <n v="16"/>
    <n v="9346.5"/>
    <n v="4026.87"/>
    <n v="5319.63"/>
    <s v="Apollo Pharma"/>
    <x v="6"/>
    <s v="Bank Transfer"/>
    <s v="Cancelled"/>
    <x v="3"/>
  </r>
  <r>
    <s v="Rahul Sharma"/>
    <s v="CUST1965"/>
    <d v="2025-11-04T00:00:00"/>
    <n v="33"/>
    <n v="11275"/>
    <n v="3281.6"/>
    <n v="7993.4"/>
    <s v="LifeLine Pharma"/>
    <x v="5"/>
    <s v="Cash"/>
    <s v="Delivered"/>
    <x v="3"/>
  </r>
  <r>
    <s v="Neha Singh"/>
    <s v="CUST1966"/>
    <d v="2025-07-09T00:00:00"/>
    <n v="146"/>
    <n v="14726.66"/>
    <n v="1913.11"/>
    <n v="12813.55"/>
    <s v="LifeLine Pharma"/>
    <x v="5"/>
    <s v="Card"/>
    <s v="Delivered"/>
    <x v="2"/>
  </r>
  <r>
    <s v="Neha Sharma"/>
    <s v="CUST1967"/>
    <d v="2025-10-09T00:00:00"/>
    <n v="68"/>
    <n v="18935.43"/>
    <n v="4049.68"/>
    <n v="14885.75"/>
    <s v="Apollo Pharma"/>
    <x v="7"/>
    <s v="Bank Transfer"/>
    <s v="Cancelled"/>
    <x v="1"/>
  </r>
  <r>
    <s v="Anjali Singh"/>
    <s v="CUST1968"/>
    <d v="2025-04-09T00:00:00"/>
    <n v="198"/>
    <n v="17834.990000000002"/>
    <n v="2400.9699999999998"/>
    <n v="15434.02"/>
    <s v="HealthPlus"/>
    <x v="6"/>
    <s v="Bank Transfer"/>
    <s v="Delivered"/>
    <x v="2"/>
  </r>
  <r>
    <s v="Vikas Verma"/>
    <s v="CUST1969"/>
    <d v="2025-01-22T00:00:00"/>
    <n v="113"/>
    <n v="8437.34"/>
    <n v="3480.36"/>
    <n v="4956.9799999999996"/>
    <s v="HealthPlus"/>
    <x v="1"/>
    <s v="Cash"/>
    <s v="Delivered"/>
    <x v="1"/>
  </r>
  <r>
    <s v="Pooja Patel"/>
    <s v="CUST1970"/>
    <d v="2025-10-23T00:00:00"/>
    <n v="61"/>
    <n v="236.19"/>
    <n v="70.930000000000007"/>
    <n v="165.26"/>
    <s v="MediCare Distributors"/>
    <x v="6"/>
    <s v="Bank Transfer"/>
    <s v="Pending"/>
    <x v="0"/>
  </r>
  <r>
    <s v="Vikas Singh"/>
    <s v="CUST1971"/>
    <d v="2025-01-02T00:00:00"/>
    <n v="143"/>
    <n v="19225.939999999999"/>
    <n v="8974.1"/>
    <n v="10251.84"/>
    <s v="LifeLine Pharma"/>
    <x v="2"/>
    <s v="UPI"/>
    <s v="In Transit"/>
    <x v="1"/>
  </r>
  <r>
    <s v="Amit Verma"/>
    <s v="CUST1972"/>
    <d v="2025-04-29T00:00:00"/>
    <n v="118"/>
    <n v="13396.75"/>
    <n v="5716.27"/>
    <n v="7680.48"/>
    <s v="LifeLine Pharma"/>
    <x v="3"/>
    <s v="Bank Transfer"/>
    <s v="Cancelled"/>
    <x v="0"/>
  </r>
  <r>
    <s v="Rohan Mehta"/>
    <s v="CUST1973"/>
    <d v="2025-05-24T00:00:00"/>
    <n v="103"/>
    <n v="19058.8"/>
    <n v="3004.23"/>
    <n v="16054.57"/>
    <s v="HealthPlus"/>
    <x v="5"/>
    <s v="Bank Transfer"/>
    <s v="Cancelled"/>
    <x v="2"/>
  </r>
  <r>
    <s v="Karan Yadav"/>
    <s v="CUST1974"/>
    <d v="2025-03-04T00:00:00"/>
    <n v="70"/>
    <n v="15823.13"/>
    <n v="6054.23"/>
    <n v="9768.9"/>
    <s v="LifeLine Pharma"/>
    <x v="5"/>
    <s v="UPI"/>
    <s v="Delivered"/>
    <x v="4"/>
  </r>
  <r>
    <s v="Priya Mehta"/>
    <s v="CUST1975"/>
    <d v="2025-03-23T00:00:00"/>
    <n v="10"/>
    <n v="8314.34"/>
    <n v="1055.42"/>
    <n v="7258.92"/>
    <s v="CareMed"/>
    <x v="6"/>
    <s v="Bank Transfer"/>
    <s v="In Transit"/>
    <x v="3"/>
  </r>
  <r>
    <s v="Neha Verma"/>
    <s v="CUST1976"/>
    <d v="2025-08-08T00:00:00"/>
    <n v="81"/>
    <n v="17295.48"/>
    <n v="3032.28"/>
    <n v="14263.2"/>
    <s v="HealthPlus"/>
    <x v="3"/>
    <s v="Card"/>
    <s v="Cancelled"/>
    <x v="1"/>
  </r>
  <r>
    <s v="Rohan Verma"/>
    <s v="CUST1977"/>
    <d v="2025-05-14T00:00:00"/>
    <n v="39"/>
    <n v="1828.92"/>
    <n v="336.06"/>
    <n v="1492.86"/>
    <s v="LifeLine Pharma"/>
    <x v="6"/>
    <s v="Card"/>
    <s v="Pending"/>
    <x v="4"/>
  </r>
  <r>
    <s v="Anjali Joshi"/>
    <s v="CUST1978"/>
    <d v="2025-09-08T00:00:00"/>
    <n v="45"/>
    <n v="442.12"/>
    <n v="150.38"/>
    <n v="291.74"/>
    <s v="HealthPlus"/>
    <x v="6"/>
    <s v="Cash"/>
    <s v="Delivered"/>
    <x v="0"/>
  </r>
  <r>
    <s v="Amit Yadav"/>
    <s v="CUST1979"/>
    <d v="2025-03-20T00:00:00"/>
    <n v="51"/>
    <n v="10979.37"/>
    <n v="5136.99"/>
    <n v="5842.38"/>
    <s v="MediCare Distributors"/>
    <x v="7"/>
    <s v="UPI"/>
    <s v="Delivered"/>
    <x v="1"/>
  </r>
  <r>
    <s v="Rohan Singh"/>
    <s v="CUST1980"/>
    <d v="2025-03-27T00:00:00"/>
    <n v="58"/>
    <n v="6813.53"/>
    <n v="1807.6"/>
    <n v="5005.93"/>
    <s v="HealthPlus"/>
    <x v="2"/>
    <s v="Cash"/>
    <s v="In Transit"/>
    <x v="3"/>
  </r>
  <r>
    <s v="Pooja Gupta"/>
    <s v="CUST1981"/>
    <d v="2025-07-25T00:00:00"/>
    <n v="6"/>
    <n v="19862.14"/>
    <n v="6712.2"/>
    <n v="13149.94"/>
    <s v="Apollo Pharma"/>
    <x v="4"/>
    <s v="Cash"/>
    <s v="Delivered"/>
    <x v="4"/>
  </r>
  <r>
    <s v="Rahul Verma"/>
    <s v="CUST1982"/>
    <d v="2025-09-05T00:00:00"/>
    <n v="42"/>
    <n v="16322.03"/>
    <n v="5738.37"/>
    <n v="10583.66"/>
    <s v="MediCare Distributors"/>
    <x v="6"/>
    <s v="Cash"/>
    <s v="Pending"/>
    <x v="2"/>
  </r>
  <r>
    <s v="Priya Sharma"/>
    <s v="CUST1983"/>
    <d v="2025-10-17T00:00:00"/>
    <n v="182"/>
    <n v="8088.83"/>
    <n v="3038.31"/>
    <n v="5050.5200000000004"/>
    <s v="CareMed"/>
    <x v="1"/>
    <s v="Cash"/>
    <s v="Pending"/>
    <x v="2"/>
  </r>
  <r>
    <s v="Sneha Verma"/>
    <s v="CUST1984"/>
    <d v="2025-11-08T00:00:00"/>
    <n v="183"/>
    <n v="14626.62"/>
    <n v="2209.8200000000002"/>
    <n v="12416.8"/>
    <s v="LifeLine Pharma"/>
    <x v="3"/>
    <s v="Cash"/>
    <s v="Pending"/>
    <x v="4"/>
  </r>
  <r>
    <s v="Neha Sharma"/>
    <s v="CUST1985"/>
    <d v="2025-04-02T00:00:00"/>
    <n v="52"/>
    <n v="2190.19"/>
    <n v="703.73"/>
    <n v="1486.46"/>
    <s v="CareMed"/>
    <x v="3"/>
    <s v="Cash"/>
    <s v="Delivered"/>
    <x v="1"/>
  </r>
  <r>
    <s v="Vikas Sharma"/>
    <s v="CUST1986"/>
    <d v="2025-08-01T00:00:00"/>
    <n v="54"/>
    <n v="6026.5"/>
    <n v="755.03"/>
    <n v="5271.47"/>
    <s v="Apollo Pharma"/>
    <x v="0"/>
    <s v="Cash"/>
    <s v="Cancelled"/>
    <x v="3"/>
  </r>
  <r>
    <s v="Amit Yadav"/>
    <s v="CUST1987"/>
    <d v="2025-12-20T00:00:00"/>
    <n v="167"/>
    <n v="11140.04"/>
    <n v="5366.88"/>
    <n v="5773.16"/>
    <s v="Apollo Pharma"/>
    <x v="1"/>
    <s v="UPI"/>
    <s v="In Transit"/>
    <x v="2"/>
  </r>
  <r>
    <s v="Pooja Sharma"/>
    <s v="CUST1988"/>
    <d v="2025-01-25T00:00:00"/>
    <n v="130"/>
    <n v="5241.57"/>
    <n v="1400.89"/>
    <n v="3840.68"/>
    <s v="HealthPlus"/>
    <x v="7"/>
    <s v="Card"/>
    <s v="In Transit"/>
    <x v="2"/>
  </r>
  <r>
    <s v="Rahul Patel"/>
    <s v="CUST1989"/>
    <d v="2025-01-15T00:00:00"/>
    <n v="53"/>
    <n v="19168.27"/>
    <n v="6971.68"/>
    <n v="12196.59"/>
    <s v="HealthPlus"/>
    <x v="2"/>
    <s v="Cash"/>
    <s v="Delivered"/>
    <x v="0"/>
  </r>
  <r>
    <s v="Sneha Verma"/>
    <s v="CUST1990"/>
    <d v="2025-05-12T00:00:00"/>
    <n v="136"/>
    <n v="13552.31"/>
    <n v="2238.19"/>
    <n v="11314.12"/>
    <s v="CareMed"/>
    <x v="3"/>
    <s v="Bank Transfer"/>
    <s v="Pending"/>
    <x v="3"/>
  </r>
  <r>
    <s v="Sneha Sharma"/>
    <s v="CUST1991"/>
    <d v="2025-04-20T00:00:00"/>
    <n v="59"/>
    <n v="9412.17"/>
    <n v="1146.43"/>
    <n v="8265.74"/>
    <s v="Apollo Pharma"/>
    <x v="1"/>
    <s v="Cash"/>
    <s v="Delivered"/>
    <x v="0"/>
  </r>
  <r>
    <s v="Pooja Yadav"/>
    <s v="CUST1992"/>
    <d v="2025-02-02T00:00:00"/>
    <n v="34"/>
    <n v="17885.77"/>
    <n v="4100.5200000000004"/>
    <n v="13785.25"/>
    <s v="CareMed"/>
    <x v="1"/>
    <s v="Card"/>
    <s v="Cancelled"/>
    <x v="0"/>
  </r>
  <r>
    <s v="Sneha Patel"/>
    <s v="CUST1993"/>
    <d v="2025-02-14T00:00:00"/>
    <n v="51"/>
    <n v="9754.7800000000007"/>
    <n v="1609.53"/>
    <n v="8145.25"/>
    <s v="Apollo Pharma"/>
    <x v="7"/>
    <s v="Bank Transfer"/>
    <s v="Delivered"/>
    <x v="0"/>
  </r>
  <r>
    <s v="Rahul Verma"/>
    <s v="CUST1994"/>
    <d v="2025-11-24T00:00:00"/>
    <n v="74"/>
    <n v="10985.89"/>
    <n v="2532.31"/>
    <n v="8453.58"/>
    <s v="CareMed"/>
    <x v="4"/>
    <s v="Card"/>
    <s v="Cancelled"/>
    <x v="4"/>
  </r>
  <r>
    <s v="Karan Sharma"/>
    <s v="CUST1995"/>
    <d v="2025-05-09T00:00:00"/>
    <n v="44"/>
    <n v="13061.5"/>
    <n v="3034.82"/>
    <n v="10026.68"/>
    <s v="HealthPlus"/>
    <x v="0"/>
    <s v="UPI"/>
    <s v="Pending"/>
    <x v="3"/>
  </r>
  <r>
    <s v="Rohan Verma"/>
    <s v="CUST1996"/>
    <d v="2025-10-30T00:00:00"/>
    <n v="32"/>
    <n v="7874.99"/>
    <n v="3817.63"/>
    <n v="4057.36"/>
    <s v="LifeLine Pharma"/>
    <x v="1"/>
    <s v="Card"/>
    <s v="Cancelled"/>
    <x v="2"/>
  </r>
  <r>
    <s v="Vikas Gupta"/>
    <s v="CUST1997"/>
    <d v="2025-11-09T00:00:00"/>
    <n v="121"/>
    <n v="496.47"/>
    <n v="89.2"/>
    <n v="407.27"/>
    <s v="HealthPlus"/>
    <x v="5"/>
    <s v="Bank Transfer"/>
    <s v="Delivered"/>
    <x v="4"/>
  </r>
  <r>
    <m/>
    <m/>
    <m/>
    <m/>
    <m/>
    <m/>
    <m/>
    <m/>
    <x v="8"/>
    <m/>
    <m/>
    <x v="3"/>
  </r>
  <r>
    <m/>
    <m/>
    <m/>
    <m/>
    <m/>
    <m/>
    <m/>
    <m/>
    <x v="8"/>
    <m/>
    <m/>
    <x v="1"/>
  </r>
  <r>
    <m/>
    <m/>
    <m/>
    <m/>
    <m/>
    <m/>
    <m/>
    <m/>
    <x v="8"/>
    <m/>
    <m/>
    <x v="2"/>
  </r>
  <r>
    <m/>
    <m/>
    <m/>
    <m/>
    <m/>
    <m/>
    <m/>
    <m/>
    <x v="8"/>
    <m/>
    <m/>
    <x v="2"/>
  </r>
  <r>
    <m/>
    <m/>
    <m/>
    <m/>
    <m/>
    <m/>
    <m/>
    <m/>
    <x v="8"/>
    <m/>
    <m/>
    <x v="3"/>
  </r>
  <r>
    <m/>
    <m/>
    <m/>
    <m/>
    <m/>
    <m/>
    <m/>
    <m/>
    <x v="8"/>
    <m/>
    <m/>
    <x v="0"/>
  </r>
  <r>
    <m/>
    <m/>
    <m/>
    <m/>
    <m/>
    <m/>
    <m/>
    <m/>
    <x v="8"/>
    <m/>
    <m/>
    <x v="1"/>
  </r>
  <r>
    <m/>
    <m/>
    <m/>
    <m/>
    <m/>
    <m/>
    <m/>
    <m/>
    <x v="8"/>
    <m/>
    <m/>
    <x v="3"/>
  </r>
  <r>
    <m/>
    <m/>
    <m/>
    <m/>
    <m/>
    <m/>
    <m/>
    <m/>
    <x v="8"/>
    <m/>
    <m/>
    <x v="1"/>
  </r>
  <r>
    <m/>
    <m/>
    <m/>
    <m/>
    <m/>
    <m/>
    <m/>
    <m/>
    <x v="8"/>
    <m/>
    <m/>
    <x v="2"/>
  </r>
  <r>
    <m/>
    <m/>
    <m/>
    <m/>
    <m/>
    <m/>
    <m/>
    <m/>
    <x v="8"/>
    <m/>
    <m/>
    <x v="0"/>
  </r>
  <r>
    <m/>
    <m/>
    <m/>
    <m/>
    <m/>
    <m/>
    <m/>
    <m/>
    <x v="8"/>
    <m/>
    <m/>
    <x v="0"/>
  </r>
  <r>
    <m/>
    <m/>
    <m/>
    <m/>
    <m/>
    <m/>
    <m/>
    <m/>
    <x v="8"/>
    <m/>
    <m/>
    <x v="4"/>
  </r>
  <r>
    <m/>
    <m/>
    <m/>
    <m/>
    <m/>
    <m/>
    <m/>
    <m/>
    <x v="8"/>
    <m/>
    <m/>
    <x v="2"/>
  </r>
  <r>
    <m/>
    <m/>
    <m/>
    <m/>
    <m/>
    <m/>
    <m/>
    <m/>
    <x v="8"/>
    <m/>
    <m/>
    <x v="1"/>
  </r>
  <r>
    <m/>
    <m/>
    <m/>
    <m/>
    <m/>
    <m/>
    <m/>
    <m/>
    <x v="8"/>
    <m/>
    <m/>
    <x v="0"/>
  </r>
  <r>
    <m/>
    <m/>
    <m/>
    <m/>
    <m/>
    <m/>
    <m/>
    <m/>
    <x v="8"/>
    <m/>
    <m/>
    <x v="0"/>
  </r>
  <r>
    <m/>
    <m/>
    <m/>
    <m/>
    <m/>
    <m/>
    <m/>
    <m/>
    <x v="8"/>
    <m/>
    <m/>
    <x v="0"/>
  </r>
  <r>
    <m/>
    <m/>
    <m/>
    <m/>
    <m/>
    <m/>
    <m/>
    <m/>
    <x v="8"/>
    <m/>
    <m/>
    <x v="1"/>
  </r>
  <r>
    <m/>
    <m/>
    <m/>
    <m/>
    <m/>
    <m/>
    <m/>
    <m/>
    <x v="8"/>
    <m/>
    <m/>
    <x v="2"/>
  </r>
  <r>
    <m/>
    <m/>
    <m/>
    <m/>
    <m/>
    <m/>
    <m/>
    <m/>
    <x v="8"/>
    <m/>
    <m/>
    <x v="2"/>
  </r>
  <r>
    <m/>
    <m/>
    <m/>
    <m/>
    <m/>
    <m/>
    <m/>
    <m/>
    <x v="8"/>
    <m/>
    <m/>
    <x v="1"/>
  </r>
  <r>
    <m/>
    <m/>
    <m/>
    <m/>
    <m/>
    <m/>
    <m/>
    <m/>
    <x v="8"/>
    <m/>
    <m/>
    <x v="3"/>
  </r>
  <r>
    <m/>
    <m/>
    <m/>
    <m/>
    <m/>
    <m/>
    <m/>
    <m/>
    <x v="8"/>
    <m/>
    <m/>
    <x v="1"/>
  </r>
  <r>
    <m/>
    <m/>
    <m/>
    <m/>
    <m/>
    <m/>
    <m/>
    <m/>
    <x v="8"/>
    <m/>
    <m/>
    <x v="0"/>
  </r>
  <r>
    <m/>
    <m/>
    <m/>
    <m/>
    <m/>
    <m/>
    <m/>
    <m/>
    <x v="8"/>
    <m/>
    <m/>
    <x v="1"/>
  </r>
  <r>
    <m/>
    <m/>
    <m/>
    <m/>
    <m/>
    <m/>
    <m/>
    <m/>
    <x v="8"/>
    <m/>
    <m/>
    <x v="3"/>
  </r>
  <r>
    <m/>
    <m/>
    <m/>
    <m/>
    <m/>
    <m/>
    <m/>
    <m/>
    <x v="8"/>
    <m/>
    <m/>
    <x v="0"/>
  </r>
  <r>
    <m/>
    <m/>
    <m/>
    <m/>
    <m/>
    <m/>
    <m/>
    <m/>
    <x v="8"/>
    <m/>
    <m/>
    <x v="2"/>
  </r>
  <r>
    <m/>
    <m/>
    <m/>
    <m/>
    <m/>
    <m/>
    <m/>
    <m/>
    <x v="8"/>
    <m/>
    <m/>
    <x v="1"/>
  </r>
  <r>
    <m/>
    <m/>
    <m/>
    <m/>
    <m/>
    <m/>
    <m/>
    <m/>
    <x v="8"/>
    <m/>
    <m/>
    <x v="4"/>
  </r>
  <r>
    <m/>
    <m/>
    <m/>
    <m/>
    <m/>
    <m/>
    <m/>
    <m/>
    <x v="8"/>
    <m/>
    <m/>
    <x v="1"/>
  </r>
  <r>
    <m/>
    <m/>
    <m/>
    <m/>
    <m/>
    <m/>
    <m/>
    <m/>
    <x v="8"/>
    <m/>
    <m/>
    <x v="3"/>
  </r>
  <r>
    <m/>
    <m/>
    <m/>
    <m/>
    <m/>
    <m/>
    <m/>
    <m/>
    <x v="8"/>
    <m/>
    <m/>
    <x v="1"/>
  </r>
  <r>
    <m/>
    <m/>
    <m/>
    <m/>
    <m/>
    <m/>
    <m/>
    <m/>
    <x v="8"/>
    <m/>
    <m/>
    <x v="0"/>
  </r>
  <r>
    <m/>
    <m/>
    <m/>
    <m/>
    <m/>
    <m/>
    <m/>
    <m/>
    <x v="8"/>
    <m/>
    <m/>
    <x v="2"/>
  </r>
  <r>
    <m/>
    <m/>
    <m/>
    <m/>
    <m/>
    <m/>
    <m/>
    <m/>
    <x v="8"/>
    <m/>
    <m/>
    <x v="2"/>
  </r>
  <r>
    <m/>
    <m/>
    <m/>
    <m/>
    <m/>
    <m/>
    <m/>
    <m/>
    <x v="8"/>
    <m/>
    <m/>
    <x v="2"/>
  </r>
  <r>
    <m/>
    <m/>
    <m/>
    <m/>
    <m/>
    <m/>
    <m/>
    <m/>
    <x v="8"/>
    <m/>
    <m/>
    <x v="1"/>
  </r>
  <r>
    <m/>
    <m/>
    <m/>
    <m/>
    <m/>
    <m/>
    <m/>
    <m/>
    <x v="8"/>
    <m/>
    <m/>
    <x v="0"/>
  </r>
  <r>
    <m/>
    <m/>
    <m/>
    <m/>
    <m/>
    <m/>
    <m/>
    <m/>
    <x v="8"/>
    <m/>
    <m/>
    <x v="4"/>
  </r>
  <r>
    <m/>
    <m/>
    <m/>
    <m/>
    <m/>
    <m/>
    <m/>
    <m/>
    <x v="8"/>
    <m/>
    <m/>
    <x v="4"/>
  </r>
  <r>
    <m/>
    <m/>
    <m/>
    <m/>
    <m/>
    <m/>
    <m/>
    <m/>
    <x v="8"/>
    <m/>
    <m/>
    <x v="3"/>
  </r>
  <r>
    <m/>
    <m/>
    <m/>
    <m/>
    <m/>
    <m/>
    <m/>
    <m/>
    <x v="8"/>
    <m/>
    <m/>
    <x v="4"/>
  </r>
  <r>
    <m/>
    <m/>
    <m/>
    <m/>
    <m/>
    <m/>
    <m/>
    <m/>
    <x v="8"/>
    <m/>
    <m/>
    <x v="0"/>
  </r>
  <r>
    <m/>
    <m/>
    <m/>
    <m/>
    <m/>
    <m/>
    <m/>
    <m/>
    <x v="8"/>
    <m/>
    <m/>
    <x v="0"/>
  </r>
  <r>
    <m/>
    <m/>
    <m/>
    <m/>
    <m/>
    <m/>
    <m/>
    <m/>
    <x v="8"/>
    <m/>
    <m/>
    <x v="2"/>
  </r>
  <r>
    <m/>
    <m/>
    <m/>
    <m/>
    <m/>
    <m/>
    <m/>
    <m/>
    <x v="8"/>
    <m/>
    <m/>
    <x v="2"/>
  </r>
  <r>
    <m/>
    <m/>
    <m/>
    <m/>
    <m/>
    <m/>
    <m/>
    <m/>
    <x v="8"/>
    <m/>
    <m/>
    <x v="1"/>
  </r>
  <r>
    <m/>
    <m/>
    <m/>
    <m/>
    <m/>
    <m/>
    <m/>
    <m/>
    <x v="8"/>
    <m/>
    <m/>
    <x v="4"/>
  </r>
  <r>
    <m/>
    <m/>
    <m/>
    <m/>
    <m/>
    <m/>
    <m/>
    <m/>
    <x v="8"/>
    <m/>
    <m/>
    <x v="3"/>
  </r>
  <r>
    <m/>
    <m/>
    <m/>
    <m/>
    <m/>
    <m/>
    <m/>
    <m/>
    <x v="8"/>
    <m/>
    <m/>
    <x v="2"/>
  </r>
  <r>
    <m/>
    <m/>
    <m/>
    <m/>
    <m/>
    <m/>
    <m/>
    <m/>
    <x v="8"/>
    <m/>
    <m/>
    <x v="1"/>
  </r>
  <r>
    <m/>
    <m/>
    <m/>
    <m/>
    <m/>
    <m/>
    <m/>
    <m/>
    <x v="8"/>
    <m/>
    <m/>
    <x v="2"/>
  </r>
  <r>
    <m/>
    <m/>
    <m/>
    <m/>
    <m/>
    <m/>
    <m/>
    <m/>
    <x v="8"/>
    <m/>
    <m/>
    <x v="3"/>
  </r>
  <r>
    <m/>
    <m/>
    <m/>
    <m/>
    <m/>
    <m/>
    <m/>
    <m/>
    <x v="8"/>
    <m/>
    <m/>
    <x v="1"/>
  </r>
  <r>
    <m/>
    <m/>
    <m/>
    <m/>
    <m/>
    <m/>
    <m/>
    <m/>
    <x v="8"/>
    <m/>
    <m/>
    <x v="0"/>
  </r>
  <r>
    <m/>
    <m/>
    <m/>
    <m/>
    <m/>
    <m/>
    <m/>
    <m/>
    <x v="8"/>
    <m/>
    <m/>
    <x v="1"/>
  </r>
  <r>
    <m/>
    <m/>
    <m/>
    <m/>
    <m/>
    <m/>
    <m/>
    <m/>
    <x v="8"/>
    <m/>
    <m/>
    <x v="2"/>
  </r>
  <r>
    <m/>
    <m/>
    <m/>
    <m/>
    <m/>
    <m/>
    <m/>
    <m/>
    <x v="8"/>
    <m/>
    <m/>
    <x v="3"/>
  </r>
  <r>
    <m/>
    <m/>
    <m/>
    <m/>
    <m/>
    <m/>
    <m/>
    <m/>
    <x v="8"/>
    <m/>
    <m/>
    <x v="0"/>
  </r>
  <r>
    <m/>
    <m/>
    <m/>
    <m/>
    <m/>
    <m/>
    <m/>
    <m/>
    <x v="8"/>
    <m/>
    <m/>
    <x v="0"/>
  </r>
  <r>
    <m/>
    <m/>
    <m/>
    <m/>
    <m/>
    <m/>
    <m/>
    <m/>
    <x v="8"/>
    <m/>
    <m/>
    <x v="4"/>
  </r>
  <r>
    <m/>
    <m/>
    <m/>
    <m/>
    <m/>
    <m/>
    <m/>
    <m/>
    <x v="8"/>
    <m/>
    <m/>
    <x v="3"/>
  </r>
  <r>
    <m/>
    <m/>
    <m/>
    <m/>
    <m/>
    <m/>
    <m/>
    <m/>
    <x v="8"/>
    <m/>
    <m/>
    <x v="2"/>
  </r>
  <r>
    <m/>
    <m/>
    <m/>
    <m/>
    <m/>
    <m/>
    <m/>
    <m/>
    <x v="8"/>
    <m/>
    <m/>
    <x v="2"/>
  </r>
  <r>
    <m/>
    <m/>
    <m/>
    <m/>
    <m/>
    <m/>
    <m/>
    <m/>
    <x v="8"/>
    <m/>
    <m/>
    <x v="2"/>
  </r>
  <r>
    <m/>
    <m/>
    <m/>
    <m/>
    <m/>
    <m/>
    <m/>
    <m/>
    <x v="8"/>
    <m/>
    <m/>
    <x v="0"/>
  </r>
  <r>
    <m/>
    <m/>
    <m/>
    <m/>
    <m/>
    <m/>
    <m/>
    <m/>
    <x v="8"/>
    <m/>
    <m/>
    <x v="1"/>
  </r>
  <r>
    <m/>
    <m/>
    <m/>
    <m/>
    <m/>
    <m/>
    <m/>
    <m/>
    <x v="8"/>
    <m/>
    <m/>
    <x v="0"/>
  </r>
  <r>
    <m/>
    <m/>
    <m/>
    <m/>
    <m/>
    <m/>
    <m/>
    <m/>
    <x v="8"/>
    <m/>
    <m/>
    <x v="2"/>
  </r>
  <r>
    <m/>
    <m/>
    <m/>
    <m/>
    <m/>
    <m/>
    <m/>
    <m/>
    <x v="8"/>
    <m/>
    <m/>
    <x v="0"/>
  </r>
  <r>
    <m/>
    <m/>
    <m/>
    <m/>
    <m/>
    <m/>
    <m/>
    <m/>
    <x v="8"/>
    <m/>
    <m/>
    <x v="4"/>
  </r>
  <r>
    <m/>
    <m/>
    <m/>
    <m/>
    <m/>
    <m/>
    <m/>
    <m/>
    <x v="8"/>
    <m/>
    <m/>
    <x v="4"/>
  </r>
  <r>
    <m/>
    <m/>
    <m/>
    <m/>
    <m/>
    <m/>
    <m/>
    <m/>
    <x v="8"/>
    <m/>
    <m/>
    <x v="4"/>
  </r>
  <r>
    <m/>
    <m/>
    <m/>
    <m/>
    <m/>
    <m/>
    <m/>
    <m/>
    <x v="8"/>
    <m/>
    <m/>
    <x v="2"/>
  </r>
  <r>
    <m/>
    <m/>
    <m/>
    <m/>
    <m/>
    <m/>
    <m/>
    <m/>
    <x v="8"/>
    <m/>
    <m/>
    <x v="3"/>
  </r>
  <r>
    <m/>
    <m/>
    <m/>
    <m/>
    <m/>
    <m/>
    <m/>
    <m/>
    <x v="8"/>
    <m/>
    <m/>
    <x v="4"/>
  </r>
  <r>
    <m/>
    <m/>
    <m/>
    <m/>
    <m/>
    <m/>
    <m/>
    <m/>
    <x v="8"/>
    <m/>
    <m/>
    <x v="3"/>
  </r>
  <r>
    <m/>
    <m/>
    <m/>
    <m/>
    <m/>
    <m/>
    <m/>
    <m/>
    <x v="8"/>
    <m/>
    <m/>
    <x v="1"/>
  </r>
  <r>
    <m/>
    <m/>
    <m/>
    <m/>
    <m/>
    <m/>
    <m/>
    <m/>
    <x v="8"/>
    <m/>
    <m/>
    <x v="2"/>
  </r>
  <r>
    <m/>
    <m/>
    <m/>
    <m/>
    <m/>
    <m/>
    <m/>
    <m/>
    <x v="8"/>
    <m/>
    <m/>
    <x v="0"/>
  </r>
  <r>
    <m/>
    <m/>
    <m/>
    <m/>
    <m/>
    <m/>
    <m/>
    <m/>
    <x v="8"/>
    <m/>
    <m/>
    <x v="0"/>
  </r>
  <r>
    <m/>
    <m/>
    <m/>
    <m/>
    <m/>
    <m/>
    <m/>
    <m/>
    <x v="8"/>
    <m/>
    <m/>
    <x v="0"/>
  </r>
  <r>
    <m/>
    <m/>
    <m/>
    <m/>
    <m/>
    <m/>
    <m/>
    <m/>
    <x v="8"/>
    <m/>
    <m/>
    <x v="2"/>
  </r>
  <r>
    <m/>
    <m/>
    <m/>
    <m/>
    <m/>
    <m/>
    <m/>
    <m/>
    <x v="8"/>
    <m/>
    <m/>
    <x v="4"/>
  </r>
  <r>
    <m/>
    <m/>
    <m/>
    <m/>
    <m/>
    <m/>
    <m/>
    <m/>
    <x v="8"/>
    <m/>
    <m/>
    <x v="3"/>
  </r>
  <r>
    <m/>
    <m/>
    <m/>
    <m/>
    <m/>
    <m/>
    <m/>
    <m/>
    <x v="8"/>
    <m/>
    <m/>
    <x v="2"/>
  </r>
  <r>
    <m/>
    <m/>
    <m/>
    <m/>
    <m/>
    <m/>
    <m/>
    <m/>
    <x v="8"/>
    <m/>
    <m/>
    <x v="0"/>
  </r>
  <r>
    <m/>
    <m/>
    <m/>
    <m/>
    <m/>
    <m/>
    <m/>
    <m/>
    <x v="8"/>
    <m/>
    <m/>
    <x v="1"/>
  </r>
  <r>
    <m/>
    <m/>
    <m/>
    <m/>
    <m/>
    <m/>
    <m/>
    <m/>
    <x v="8"/>
    <m/>
    <m/>
    <x v="1"/>
  </r>
  <r>
    <m/>
    <m/>
    <m/>
    <m/>
    <m/>
    <m/>
    <m/>
    <m/>
    <x v="8"/>
    <m/>
    <m/>
    <x v="0"/>
  </r>
  <r>
    <m/>
    <m/>
    <m/>
    <m/>
    <m/>
    <m/>
    <m/>
    <m/>
    <x v="8"/>
    <m/>
    <m/>
    <x v="4"/>
  </r>
  <r>
    <m/>
    <m/>
    <m/>
    <m/>
    <m/>
    <m/>
    <m/>
    <m/>
    <x v="8"/>
    <m/>
    <m/>
    <x v="2"/>
  </r>
  <r>
    <m/>
    <m/>
    <m/>
    <m/>
    <m/>
    <m/>
    <m/>
    <m/>
    <x v="8"/>
    <m/>
    <m/>
    <x v="1"/>
  </r>
  <r>
    <m/>
    <m/>
    <m/>
    <m/>
    <m/>
    <m/>
    <m/>
    <m/>
    <x v="8"/>
    <m/>
    <m/>
    <x v="0"/>
  </r>
  <r>
    <m/>
    <m/>
    <m/>
    <m/>
    <m/>
    <m/>
    <m/>
    <m/>
    <x v="8"/>
    <m/>
    <m/>
    <x v="3"/>
  </r>
  <r>
    <m/>
    <m/>
    <m/>
    <m/>
    <m/>
    <m/>
    <m/>
    <m/>
    <x v="8"/>
    <m/>
    <m/>
    <x v="1"/>
  </r>
  <r>
    <m/>
    <m/>
    <m/>
    <m/>
    <m/>
    <m/>
    <m/>
    <m/>
    <x v="8"/>
    <m/>
    <m/>
    <x v="2"/>
  </r>
  <r>
    <m/>
    <m/>
    <m/>
    <m/>
    <m/>
    <m/>
    <m/>
    <m/>
    <x v="8"/>
    <m/>
    <m/>
    <x v="1"/>
  </r>
  <r>
    <m/>
    <m/>
    <m/>
    <m/>
    <m/>
    <m/>
    <m/>
    <m/>
    <x v="8"/>
    <m/>
    <m/>
    <x v="0"/>
  </r>
  <r>
    <m/>
    <m/>
    <m/>
    <m/>
    <m/>
    <m/>
    <m/>
    <m/>
    <x v="8"/>
    <m/>
    <m/>
    <x v="1"/>
  </r>
  <r>
    <m/>
    <m/>
    <m/>
    <m/>
    <m/>
    <m/>
    <m/>
    <m/>
    <x v="8"/>
    <m/>
    <m/>
    <x v="2"/>
  </r>
  <r>
    <m/>
    <m/>
    <m/>
    <m/>
    <m/>
    <m/>
    <m/>
    <m/>
    <x v="8"/>
    <m/>
    <m/>
    <x v="4"/>
  </r>
  <r>
    <m/>
    <m/>
    <m/>
    <m/>
    <m/>
    <m/>
    <m/>
    <m/>
    <x v="8"/>
    <m/>
    <m/>
    <x v="1"/>
  </r>
  <r>
    <m/>
    <m/>
    <m/>
    <m/>
    <m/>
    <m/>
    <m/>
    <m/>
    <x v="8"/>
    <m/>
    <m/>
    <x v="3"/>
  </r>
  <r>
    <m/>
    <m/>
    <m/>
    <m/>
    <m/>
    <m/>
    <m/>
    <m/>
    <x v="8"/>
    <m/>
    <m/>
    <x v="2"/>
  </r>
  <r>
    <m/>
    <m/>
    <m/>
    <m/>
    <m/>
    <m/>
    <m/>
    <m/>
    <x v="8"/>
    <m/>
    <m/>
    <x v="2"/>
  </r>
  <r>
    <m/>
    <m/>
    <m/>
    <m/>
    <m/>
    <m/>
    <m/>
    <m/>
    <x v="8"/>
    <m/>
    <m/>
    <x v="2"/>
  </r>
  <r>
    <m/>
    <m/>
    <m/>
    <m/>
    <m/>
    <m/>
    <m/>
    <m/>
    <x v="8"/>
    <m/>
    <m/>
    <x v="4"/>
  </r>
  <r>
    <m/>
    <m/>
    <m/>
    <m/>
    <m/>
    <m/>
    <m/>
    <m/>
    <x v="8"/>
    <m/>
    <m/>
    <x v="0"/>
  </r>
  <r>
    <m/>
    <m/>
    <m/>
    <m/>
    <m/>
    <m/>
    <m/>
    <m/>
    <x v="8"/>
    <m/>
    <m/>
    <x v="1"/>
  </r>
  <r>
    <m/>
    <m/>
    <m/>
    <m/>
    <m/>
    <m/>
    <m/>
    <m/>
    <x v="8"/>
    <m/>
    <m/>
    <x v="4"/>
  </r>
  <r>
    <m/>
    <m/>
    <m/>
    <m/>
    <m/>
    <m/>
    <m/>
    <m/>
    <x v="8"/>
    <m/>
    <m/>
    <x v="1"/>
  </r>
  <r>
    <m/>
    <m/>
    <m/>
    <m/>
    <m/>
    <m/>
    <m/>
    <m/>
    <x v="8"/>
    <m/>
    <m/>
    <x v="4"/>
  </r>
  <r>
    <m/>
    <m/>
    <m/>
    <m/>
    <m/>
    <m/>
    <m/>
    <m/>
    <x v="8"/>
    <m/>
    <m/>
    <x v="2"/>
  </r>
  <r>
    <m/>
    <m/>
    <m/>
    <m/>
    <m/>
    <m/>
    <m/>
    <m/>
    <x v="8"/>
    <m/>
    <m/>
    <x v="1"/>
  </r>
  <r>
    <m/>
    <m/>
    <m/>
    <m/>
    <m/>
    <m/>
    <m/>
    <m/>
    <x v="8"/>
    <m/>
    <m/>
    <x v="2"/>
  </r>
  <r>
    <m/>
    <m/>
    <m/>
    <m/>
    <m/>
    <m/>
    <m/>
    <m/>
    <x v="8"/>
    <m/>
    <m/>
    <x v="0"/>
  </r>
  <r>
    <m/>
    <m/>
    <m/>
    <m/>
    <m/>
    <m/>
    <m/>
    <m/>
    <x v="8"/>
    <m/>
    <m/>
    <x v="2"/>
  </r>
  <r>
    <m/>
    <m/>
    <m/>
    <m/>
    <m/>
    <m/>
    <m/>
    <m/>
    <x v="8"/>
    <m/>
    <m/>
    <x v="2"/>
  </r>
  <r>
    <m/>
    <m/>
    <m/>
    <m/>
    <m/>
    <m/>
    <m/>
    <m/>
    <x v="8"/>
    <m/>
    <m/>
    <x v="2"/>
  </r>
  <r>
    <m/>
    <m/>
    <m/>
    <m/>
    <m/>
    <m/>
    <m/>
    <m/>
    <x v="8"/>
    <m/>
    <m/>
    <x v="4"/>
  </r>
  <r>
    <m/>
    <m/>
    <m/>
    <m/>
    <m/>
    <m/>
    <m/>
    <m/>
    <x v="8"/>
    <m/>
    <m/>
    <x v="2"/>
  </r>
  <r>
    <m/>
    <m/>
    <m/>
    <m/>
    <m/>
    <m/>
    <m/>
    <m/>
    <x v="8"/>
    <m/>
    <m/>
    <x v="2"/>
  </r>
  <r>
    <m/>
    <m/>
    <m/>
    <m/>
    <m/>
    <m/>
    <m/>
    <m/>
    <x v="8"/>
    <m/>
    <m/>
    <x v="3"/>
  </r>
  <r>
    <m/>
    <m/>
    <m/>
    <m/>
    <m/>
    <m/>
    <m/>
    <m/>
    <x v="8"/>
    <m/>
    <m/>
    <x v="3"/>
  </r>
  <r>
    <m/>
    <m/>
    <m/>
    <m/>
    <m/>
    <m/>
    <m/>
    <m/>
    <x v="8"/>
    <m/>
    <m/>
    <x v="0"/>
  </r>
  <r>
    <m/>
    <m/>
    <m/>
    <m/>
    <m/>
    <m/>
    <m/>
    <m/>
    <x v="8"/>
    <m/>
    <m/>
    <x v="1"/>
  </r>
  <r>
    <m/>
    <m/>
    <m/>
    <m/>
    <m/>
    <m/>
    <m/>
    <m/>
    <x v="8"/>
    <m/>
    <m/>
    <x v="0"/>
  </r>
  <r>
    <m/>
    <m/>
    <m/>
    <m/>
    <m/>
    <m/>
    <m/>
    <m/>
    <x v="8"/>
    <m/>
    <m/>
    <x v="2"/>
  </r>
  <r>
    <m/>
    <m/>
    <m/>
    <m/>
    <m/>
    <m/>
    <m/>
    <m/>
    <x v="8"/>
    <m/>
    <m/>
    <x v="4"/>
  </r>
  <r>
    <m/>
    <m/>
    <m/>
    <m/>
    <m/>
    <m/>
    <m/>
    <m/>
    <x v="8"/>
    <m/>
    <m/>
    <x v="2"/>
  </r>
  <r>
    <m/>
    <m/>
    <m/>
    <m/>
    <m/>
    <m/>
    <m/>
    <m/>
    <x v="8"/>
    <m/>
    <m/>
    <x v="0"/>
  </r>
  <r>
    <m/>
    <m/>
    <m/>
    <m/>
    <m/>
    <m/>
    <m/>
    <m/>
    <x v="8"/>
    <m/>
    <m/>
    <x v="1"/>
  </r>
  <r>
    <m/>
    <m/>
    <m/>
    <m/>
    <m/>
    <m/>
    <m/>
    <m/>
    <x v="8"/>
    <m/>
    <m/>
    <x v="4"/>
  </r>
  <r>
    <m/>
    <m/>
    <m/>
    <m/>
    <m/>
    <m/>
    <m/>
    <m/>
    <x v="8"/>
    <m/>
    <m/>
    <x v="2"/>
  </r>
  <r>
    <m/>
    <m/>
    <m/>
    <m/>
    <m/>
    <m/>
    <m/>
    <m/>
    <x v="8"/>
    <m/>
    <m/>
    <x v="2"/>
  </r>
  <r>
    <m/>
    <m/>
    <m/>
    <m/>
    <m/>
    <m/>
    <m/>
    <m/>
    <x v="8"/>
    <m/>
    <m/>
    <x v="1"/>
  </r>
  <r>
    <m/>
    <m/>
    <m/>
    <m/>
    <m/>
    <m/>
    <m/>
    <m/>
    <x v="8"/>
    <m/>
    <m/>
    <x v="3"/>
  </r>
  <r>
    <m/>
    <m/>
    <m/>
    <m/>
    <m/>
    <m/>
    <m/>
    <m/>
    <x v="8"/>
    <m/>
    <m/>
    <x v="1"/>
  </r>
  <r>
    <m/>
    <m/>
    <m/>
    <m/>
    <m/>
    <m/>
    <m/>
    <m/>
    <x v="8"/>
    <m/>
    <m/>
    <x v="3"/>
  </r>
  <r>
    <m/>
    <m/>
    <m/>
    <m/>
    <m/>
    <m/>
    <m/>
    <m/>
    <x v="8"/>
    <m/>
    <m/>
    <x v="2"/>
  </r>
  <r>
    <m/>
    <m/>
    <m/>
    <m/>
    <m/>
    <m/>
    <m/>
    <m/>
    <x v="8"/>
    <m/>
    <m/>
    <x v="2"/>
  </r>
  <r>
    <m/>
    <m/>
    <m/>
    <m/>
    <m/>
    <m/>
    <m/>
    <m/>
    <x v="8"/>
    <m/>
    <m/>
    <x v="1"/>
  </r>
  <r>
    <m/>
    <m/>
    <m/>
    <m/>
    <m/>
    <m/>
    <m/>
    <m/>
    <x v="8"/>
    <m/>
    <m/>
    <x v="1"/>
  </r>
  <r>
    <m/>
    <m/>
    <m/>
    <m/>
    <m/>
    <m/>
    <m/>
    <m/>
    <x v="8"/>
    <m/>
    <m/>
    <x v="3"/>
  </r>
  <r>
    <m/>
    <m/>
    <m/>
    <m/>
    <m/>
    <m/>
    <m/>
    <m/>
    <x v="8"/>
    <m/>
    <m/>
    <x v="4"/>
  </r>
  <r>
    <m/>
    <m/>
    <m/>
    <m/>
    <m/>
    <m/>
    <m/>
    <m/>
    <x v="8"/>
    <m/>
    <m/>
    <x v="3"/>
  </r>
  <r>
    <m/>
    <m/>
    <m/>
    <m/>
    <m/>
    <m/>
    <m/>
    <m/>
    <x v="8"/>
    <m/>
    <m/>
    <x v="2"/>
  </r>
  <r>
    <m/>
    <m/>
    <m/>
    <m/>
    <m/>
    <m/>
    <m/>
    <m/>
    <x v="8"/>
    <m/>
    <m/>
    <x v="0"/>
  </r>
  <r>
    <m/>
    <m/>
    <m/>
    <m/>
    <m/>
    <m/>
    <m/>
    <m/>
    <x v="8"/>
    <m/>
    <m/>
    <x v="2"/>
  </r>
  <r>
    <m/>
    <m/>
    <m/>
    <m/>
    <m/>
    <m/>
    <m/>
    <m/>
    <x v="8"/>
    <m/>
    <m/>
    <x v="2"/>
  </r>
  <r>
    <m/>
    <m/>
    <m/>
    <m/>
    <m/>
    <m/>
    <m/>
    <m/>
    <x v="8"/>
    <m/>
    <m/>
    <x v="4"/>
  </r>
  <r>
    <m/>
    <m/>
    <m/>
    <m/>
    <m/>
    <m/>
    <m/>
    <m/>
    <x v="8"/>
    <m/>
    <m/>
    <x v="3"/>
  </r>
  <r>
    <m/>
    <m/>
    <m/>
    <m/>
    <m/>
    <m/>
    <m/>
    <m/>
    <x v="8"/>
    <m/>
    <m/>
    <x v="2"/>
  </r>
  <r>
    <m/>
    <m/>
    <m/>
    <m/>
    <m/>
    <m/>
    <m/>
    <m/>
    <x v="8"/>
    <m/>
    <m/>
    <x v="1"/>
  </r>
  <r>
    <m/>
    <m/>
    <m/>
    <m/>
    <m/>
    <m/>
    <m/>
    <m/>
    <x v="8"/>
    <m/>
    <m/>
    <x v="4"/>
  </r>
  <r>
    <m/>
    <m/>
    <m/>
    <m/>
    <m/>
    <m/>
    <m/>
    <m/>
    <x v="8"/>
    <m/>
    <m/>
    <x v="3"/>
  </r>
  <r>
    <m/>
    <m/>
    <m/>
    <m/>
    <m/>
    <m/>
    <m/>
    <m/>
    <x v="8"/>
    <m/>
    <m/>
    <x v="2"/>
  </r>
  <r>
    <m/>
    <m/>
    <m/>
    <m/>
    <m/>
    <m/>
    <m/>
    <m/>
    <x v="8"/>
    <m/>
    <m/>
    <x v="2"/>
  </r>
  <r>
    <m/>
    <m/>
    <m/>
    <m/>
    <m/>
    <m/>
    <m/>
    <m/>
    <x v="8"/>
    <m/>
    <m/>
    <x v="1"/>
  </r>
  <r>
    <m/>
    <m/>
    <m/>
    <m/>
    <m/>
    <m/>
    <m/>
    <m/>
    <x v="8"/>
    <m/>
    <m/>
    <x v="1"/>
  </r>
  <r>
    <m/>
    <m/>
    <m/>
    <m/>
    <m/>
    <m/>
    <m/>
    <m/>
    <x v="8"/>
    <m/>
    <m/>
    <x v="2"/>
  </r>
  <r>
    <m/>
    <m/>
    <m/>
    <m/>
    <m/>
    <m/>
    <m/>
    <m/>
    <x v="8"/>
    <m/>
    <m/>
    <x v="4"/>
  </r>
  <r>
    <m/>
    <m/>
    <m/>
    <m/>
    <m/>
    <m/>
    <m/>
    <m/>
    <x v="8"/>
    <m/>
    <m/>
    <x v="3"/>
  </r>
  <r>
    <m/>
    <m/>
    <m/>
    <m/>
    <m/>
    <m/>
    <m/>
    <m/>
    <x v="8"/>
    <m/>
    <m/>
    <x v="2"/>
  </r>
  <r>
    <m/>
    <m/>
    <m/>
    <m/>
    <m/>
    <m/>
    <m/>
    <m/>
    <x v="8"/>
    <m/>
    <m/>
    <x v="4"/>
  </r>
  <r>
    <m/>
    <m/>
    <m/>
    <m/>
    <m/>
    <m/>
    <m/>
    <m/>
    <x v="8"/>
    <m/>
    <m/>
    <x v="4"/>
  </r>
  <r>
    <m/>
    <m/>
    <m/>
    <m/>
    <m/>
    <m/>
    <m/>
    <m/>
    <x v="8"/>
    <m/>
    <m/>
    <x v="0"/>
  </r>
  <r>
    <m/>
    <m/>
    <m/>
    <m/>
    <m/>
    <m/>
    <m/>
    <m/>
    <x v="8"/>
    <m/>
    <m/>
    <x v="1"/>
  </r>
  <r>
    <m/>
    <m/>
    <m/>
    <m/>
    <m/>
    <m/>
    <m/>
    <m/>
    <x v="8"/>
    <m/>
    <m/>
    <x v="0"/>
  </r>
  <r>
    <m/>
    <m/>
    <m/>
    <m/>
    <m/>
    <m/>
    <m/>
    <m/>
    <x v="8"/>
    <m/>
    <m/>
    <x v="3"/>
  </r>
  <r>
    <m/>
    <m/>
    <m/>
    <m/>
    <m/>
    <m/>
    <m/>
    <m/>
    <x v="8"/>
    <m/>
    <m/>
    <x v="4"/>
  </r>
  <r>
    <m/>
    <m/>
    <m/>
    <m/>
    <m/>
    <m/>
    <m/>
    <m/>
    <x v="8"/>
    <m/>
    <m/>
    <x v="4"/>
  </r>
  <r>
    <m/>
    <m/>
    <m/>
    <m/>
    <m/>
    <m/>
    <m/>
    <m/>
    <x v="8"/>
    <m/>
    <m/>
    <x v="3"/>
  </r>
  <r>
    <m/>
    <m/>
    <m/>
    <m/>
    <m/>
    <m/>
    <m/>
    <m/>
    <x v="8"/>
    <m/>
    <m/>
    <x v="4"/>
  </r>
  <r>
    <m/>
    <m/>
    <m/>
    <m/>
    <m/>
    <m/>
    <m/>
    <m/>
    <x v="8"/>
    <m/>
    <m/>
    <x v="4"/>
  </r>
  <r>
    <m/>
    <m/>
    <m/>
    <m/>
    <m/>
    <m/>
    <m/>
    <m/>
    <x v="8"/>
    <m/>
    <m/>
    <x v="3"/>
  </r>
  <r>
    <m/>
    <m/>
    <m/>
    <m/>
    <m/>
    <m/>
    <m/>
    <m/>
    <x v="8"/>
    <m/>
    <m/>
    <x v="1"/>
  </r>
  <r>
    <m/>
    <m/>
    <m/>
    <m/>
    <m/>
    <m/>
    <m/>
    <m/>
    <x v="8"/>
    <m/>
    <m/>
    <x v="3"/>
  </r>
  <r>
    <m/>
    <m/>
    <m/>
    <m/>
    <m/>
    <m/>
    <m/>
    <m/>
    <x v="8"/>
    <m/>
    <m/>
    <x v="2"/>
  </r>
  <r>
    <m/>
    <m/>
    <m/>
    <m/>
    <m/>
    <m/>
    <m/>
    <m/>
    <x v="8"/>
    <m/>
    <m/>
    <x v="4"/>
  </r>
  <r>
    <m/>
    <m/>
    <m/>
    <m/>
    <m/>
    <m/>
    <m/>
    <m/>
    <x v="8"/>
    <m/>
    <m/>
    <x v="1"/>
  </r>
  <r>
    <m/>
    <m/>
    <m/>
    <m/>
    <m/>
    <m/>
    <m/>
    <m/>
    <x v="8"/>
    <m/>
    <m/>
    <x v="2"/>
  </r>
  <r>
    <m/>
    <m/>
    <m/>
    <m/>
    <m/>
    <m/>
    <m/>
    <m/>
    <x v="8"/>
    <m/>
    <m/>
    <x v="4"/>
  </r>
  <r>
    <m/>
    <m/>
    <m/>
    <m/>
    <m/>
    <m/>
    <m/>
    <m/>
    <x v="8"/>
    <m/>
    <m/>
    <x v="1"/>
  </r>
  <r>
    <m/>
    <m/>
    <m/>
    <m/>
    <m/>
    <m/>
    <m/>
    <m/>
    <x v="8"/>
    <m/>
    <m/>
    <x v="0"/>
  </r>
  <r>
    <m/>
    <m/>
    <m/>
    <m/>
    <m/>
    <m/>
    <m/>
    <m/>
    <x v="8"/>
    <m/>
    <m/>
    <x v="1"/>
  </r>
  <r>
    <m/>
    <m/>
    <m/>
    <m/>
    <m/>
    <m/>
    <m/>
    <m/>
    <x v="8"/>
    <m/>
    <m/>
    <x v="1"/>
  </r>
  <r>
    <m/>
    <m/>
    <m/>
    <m/>
    <m/>
    <m/>
    <m/>
    <m/>
    <x v="8"/>
    <m/>
    <m/>
    <x v="1"/>
  </r>
  <r>
    <m/>
    <m/>
    <m/>
    <m/>
    <m/>
    <m/>
    <m/>
    <m/>
    <x v="8"/>
    <m/>
    <m/>
    <x v="1"/>
  </r>
  <r>
    <m/>
    <m/>
    <m/>
    <m/>
    <m/>
    <m/>
    <m/>
    <m/>
    <x v="8"/>
    <m/>
    <m/>
    <x v="4"/>
  </r>
  <r>
    <m/>
    <m/>
    <m/>
    <m/>
    <m/>
    <m/>
    <m/>
    <m/>
    <x v="8"/>
    <m/>
    <m/>
    <x v="0"/>
  </r>
  <r>
    <m/>
    <m/>
    <m/>
    <m/>
    <m/>
    <m/>
    <m/>
    <m/>
    <x v="8"/>
    <m/>
    <m/>
    <x v="2"/>
  </r>
  <r>
    <m/>
    <m/>
    <m/>
    <m/>
    <m/>
    <m/>
    <m/>
    <m/>
    <x v="8"/>
    <m/>
    <m/>
    <x v="4"/>
  </r>
  <r>
    <m/>
    <m/>
    <m/>
    <m/>
    <m/>
    <m/>
    <m/>
    <m/>
    <x v="8"/>
    <m/>
    <m/>
    <x v="4"/>
  </r>
  <r>
    <m/>
    <m/>
    <m/>
    <m/>
    <m/>
    <m/>
    <m/>
    <m/>
    <x v="8"/>
    <m/>
    <m/>
    <x v="1"/>
  </r>
  <r>
    <m/>
    <m/>
    <m/>
    <m/>
    <m/>
    <m/>
    <m/>
    <m/>
    <x v="8"/>
    <m/>
    <m/>
    <x v="1"/>
  </r>
  <r>
    <m/>
    <m/>
    <m/>
    <m/>
    <m/>
    <m/>
    <m/>
    <m/>
    <x v="8"/>
    <m/>
    <m/>
    <x v="4"/>
  </r>
  <r>
    <m/>
    <m/>
    <m/>
    <m/>
    <m/>
    <m/>
    <m/>
    <m/>
    <x v="8"/>
    <m/>
    <m/>
    <x v="3"/>
  </r>
  <r>
    <m/>
    <m/>
    <m/>
    <m/>
    <m/>
    <m/>
    <m/>
    <m/>
    <x v="8"/>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4CC9F-F497-4254-BEA6-7D00BC918E44}" name="PivotTable2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B41" firstHeaderRow="1" firstDataRow="1" firstDataCol="1"/>
  <pivotFields count="12">
    <pivotField showAll="0">
      <items count="21">
        <item x="14"/>
        <item x="2"/>
        <item x="9"/>
        <item x="16"/>
        <item x="4"/>
        <item x="12"/>
        <item x="7"/>
        <item x="19"/>
        <item x="15"/>
        <item x="17"/>
        <item x="5"/>
        <item x="13"/>
        <item x="6"/>
        <item x="18"/>
        <item x="0"/>
        <item x="8"/>
        <item x="3"/>
        <item x="11"/>
        <item x="1"/>
        <item x="10"/>
        <item t="default"/>
      </items>
    </pivotField>
    <pivotField axis="axisRow" showAll="0">
      <items count="6">
        <item x="4"/>
        <item x="3"/>
        <item x="2"/>
        <item x="1"/>
        <item x="0"/>
        <item t="default"/>
      </items>
    </pivotField>
    <pivotField showAll="0"/>
    <pivotField showAll="0">
      <items count="4">
        <item x="0"/>
        <item x="1"/>
        <item x="2"/>
        <item t="default"/>
      </items>
    </pivotField>
    <pivotField dataField="1" showAll="0"/>
    <pivotField showAll="0"/>
    <pivotField showAll="0"/>
    <pivotField showAll="0"/>
    <pivotField showAll="0"/>
    <pivotField showAll="0"/>
    <pivotField showAll="0">
      <items count="6">
        <item x="2"/>
        <item x="0"/>
        <item x="3"/>
        <item x="4"/>
        <item x="1"/>
        <item t="default"/>
      </items>
    </pivotField>
    <pivotField showAll="0"/>
  </pivotFields>
  <rowFields count="1">
    <field x="1"/>
  </rowFields>
  <rowItems count="6">
    <i>
      <x/>
    </i>
    <i>
      <x v="1"/>
    </i>
    <i>
      <x v="2"/>
    </i>
    <i>
      <x v="3"/>
    </i>
    <i>
      <x v="4"/>
    </i>
    <i t="grand">
      <x/>
    </i>
  </rowItems>
  <colItems count="1">
    <i/>
  </colItems>
  <dataFields count="1">
    <dataField name="Average of Monthly Production" fld="4" subtotal="average" baseField="1" baseItem="0" numFmtId="1"/>
  </dataFields>
  <formats count="3">
    <format dxfId="8">
      <pivotArea outline="0" collapsedLevelsAreSubtotals="1" fieldPosition="0"/>
    </format>
    <format dxfId="7">
      <pivotArea dataOnly="0" labelOnly="1" outline="0" axis="axisValues" fieldPosition="0"/>
    </format>
    <format dxfId="3">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E322F-59E1-4572-92D3-A32720CD3C27}" name="PivotTable2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1" firstHeaderRow="1" firstDataRow="1" firstDataCol="1"/>
  <pivotFields count="12">
    <pivotField dataField="1" showAll="0">
      <items count="21">
        <item x="14"/>
        <item x="2"/>
        <item x="9"/>
        <item x="16"/>
        <item x="4"/>
        <item x="12"/>
        <item x="7"/>
        <item x="19"/>
        <item x="15"/>
        <item x="17"/>
        <item x="5"/>
        <item x="13"/>
        <item x="6"/>
        <item x="18"/>
        <item x="0"/>
        <item x="8"/>
        <item x="3"/>
        <item x="11"/>
        <item x="1"/>
        <item x="10"/>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6">
        <item x="2"/>
        <item x="0"/>
        <item x="3"/>
        <item x="4"/>
        <item x="1"/>
        <item t="default"/>
      </items>
    </pivotField>
    <pivotField showAll="0"/>
  </pivotFields>
  <rowFields count="1">
    <field x="3"/>
  </rowFields>
  <rowItems count="4">
    <i>
      <x/>
    </i>
    <i>
      <x v="1"/>
    </i>
    <i>
      <x v="2"/>
    </i>
    <i t="grand">
      <x/>
    </i>
  </rowItems>
  <colItems count="1">
    <i/>
  </colItems>
  <dataFields count="1">
    <dataField name="Count of Medicine Name" fld="0"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28F6AE-9CBB-4BB4-B3F2-124AC384E200}" name="PivotTable2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2"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items count="6">
        <item x="2"/>
        <item x="0"/>
        <item x="3"/>
        <item x="4"/>
        <item x="1"/>
        <item t="default"/>
      </items>
    </pivotField>
    <pivotField showAll="0"/>
  </pivotFields>
  <rowFields count="1">
    <field x="10"/>
  </rowFields>
  <rowItems count="6">
    <i>
      <x/>
    </i>
    <i>
      <x v="1"/>
    </i>
    <i>
      <x v="2"/>
    </i>
    <i>
      <x v="3"/>
    </i>
    <i>
      <x v="4"/>
    </i>
    <i t="grand">
      <x/>
    </i>
  </rowItems>
  <colItems count="1">
    <i/>
  </colItems>
  <dataFields count="1">
    <dataField name="Sum of Stock"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01096-ED96-41C1-B810-9D4B8C520C0E}" name="PivotTable1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2">
    <pivotField showAll="0"/>
    <pivotField axis="axisRow" showAll="0">
      <items count="6">
        <item x="4"/>
        <item x="3"/>
        <item x="2"/>
        <item x="1"/>
        <item x="0"/>
        <item t="default"/>
      </items>
    </pivotField>
    <pivotField dataField="1" showAll="0"/>
    <pivotField showAll="0"/>
    <pivotField showAll="0"/>
    <pivotField showAll="0"/>
    <pivotField showAll="0"/>
    <pivotField showAll="0"/>
    <pivotField showAll="0"/>
    <pivotField showAll="0"/>
    <pivotField showAll="0">
      <items count="6">
        <item x="2"/>
        <item x="0"/>
        <item x="3"/>
        <item x="4"/>
        <item x="1"/>
        <item t="default"/>
      </items>
    </pivotField>
    <pivotField showAll="0"/>
  </pivotFields>
  <rowFields count="1">
    <field x="1"/>
  </rowFields>
  <rowItems count="6">
    <i>
      <x/>
    </i>
    <i>
      <x v="1"/>
    </i>
    <i>
      <x v="2"/>
    </i>
    <i>
      <x v="3"/>
    </i>
    <i>
      <x v="4"/>
    </i>
    <i t="grand">
      <x/>
    </i>
  </rowItems>
  <colItems count="1">
    <i/>
  </colItems>
  <dataFields count="1">
    <dataField name="Sum of Stock"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112DF0-7C17-4E34-940E-E25327DDEE5F}" name="PivotTable1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8:B214" firstHeaderRow="1" firstDataRow="1" firstDataCol="1"/>
  <pivotFields count="13">
    <pivotField dataField="1"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showAll="0"/>
    <pivotField showAll="0"/>
    <pivotField showAll="0"/>
    <pivotField showAll="0">
      <items count="10">
        <item x="3"/>
        <item x="6"/>
        <item x="4"/>
        <item x="2"/>
        <item x="1"/>
        <item x="5"/>
        <item x="0"/>
        <item x="7"/>
        <item x="8"/>
        <item t="default"/>
      </items>
    </pivotField>
    <pivotField showAll="0"/>
    <pivotField axis="axisRow" showAll="0">
      <items count="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
    <i>
      <x/>
    </i>
    <i>
      <x v="1"/>
    </i>
    <i>
      <x v="2"/>
    </i>
    <i>
      <x v="3"/>
    </i>
    <i>
      <x v="4"/>
    </i>
    <i t="grand">
      <x/>
    </i>
  </rowItems>
  <colItems count="1">
    <i/>
  </colItems>
  <dataFields count="1">
    <dataField name="Count of Customer Name"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8D00B4-F77D-4F93-8F27-87898648C958}" name="PivotTable1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8:B205"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dataField="1" showAll="0"/>
    <pivotField showAll="0"/>
    <pivotField showAll="0"/>
    <pivotField showAll="0"/>
    <pivotField axis="axisRow" showAll="0">
      <items count="7">
        <item x="3"/>
        <item x="2"/>
        <item x="1"/>
        <item x="0"/>
        <item x="4"/>
        <item x="5"/>
        <item t="default"/>
      </items>
    </pivotField>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BC23F0-4550-4D6C-80E6-16DB0AEC0A90}" name="PivotTable1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1:B195"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dataField="1" showAll="0"/>
    <pivotField showAll="0"/>
    <pivotField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Quantity"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2261C3-DA25-499D-91D3-41ADE2DD7EFA}" name="PivotTable1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2:B176"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dataField="1" showAll="0"/>
    <pivotField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Average of Price" fld="4"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D53733-DB97-4A16-A7B1-B19C23021BFC}" name="PivotTable1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4:B158"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showAll="0"/>
    <pivotField dataField="1"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Expens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1F5D50-9EC5-4328-B104-417AF4C82CBB}" name="PivotTable1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7:B141"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dataField="1" showAll="0"/>
    <pivotField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Count of Price" fld="4" subtotal="count" baseField="12"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4A6590-ACC3-4201-A95E-12115FBC3C78}" name="PivotTable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B121"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dataField="1" showAll="0"/>
    <pivotField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DB2B89-4F19-4ACD-9FC9-E48FD056E94D}" name="PivotTable1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6:B102" firstHeaderRow="1" firstDataRow="1" firstDataCol="1"/>
  <pivotFields count="13">
    <pivotField dataField="1"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showAll="0"/>
    <pivotField showAll="0"/>
    <pivotField showAll="0"/>
    <pivotField showAll="0">
      <items count="10">
        <item x="3"/>
        <item x="6"/>
        <item x="4"/>
        <item x="2"/>
        <item x="1"/>
        <item x="5"/>
        <item x="0"/>
        <item x="7"/>
        <item x="8"/>
        <item t="default"/>
      </items>
    </pivotField>
    <pivotField axis="axisRow" showAll="0">
      <items count="6">
        <item x="1"/>
        <item x="3"/>
        <item x="0"/>
        <item x="2"/>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Items count="1">
    <i/>
  </colItems>
  <dataFields count="1">
    <dataField name="Count of Customer Name" fld="0" subtotal="count" baseField="9" baseItem="0" numFmtId="1"/>
  </dataFields>
  <formats count="2">
    <format dxfId="12">
      <pivotArea outline="0" collapsedLevelsAreSubtotals="1" fieldPosition="0"/>
    </format>
    <format dxfId="13">
      <pivotArea dataOnly="0" labelOnly="1" outline="0" axis="axisValues" fieldPosition="0"/>
    </format>
  </formats>
  <chartFormats count="7">
    <chartFormat chart="9"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9" count="1" selected="0">
            <x v="0"/>
          </reference>
        </references>
      </pivotArea>
    </chartFormat>
    <chartFormat chart="11" format="9">
      <pivotArea type="data" outline="0" fieldPosition="0">
        <references count="2">
          <reference field="4294967294" count="1" selected="0">
            <x v="0"/>
          </reference>
          <reference field="9" count="1" selected="0">
            <x v="1"/>
          </reference>
        </references>
      </pivotArea>
    </chartFormat>
    <chartFormat chart="11" format="10">
      <pivotArea type="data" outline="0" fieldPosition="0">
        <references count="2">
          <reference field="4294967294" count="1" selected="0">
            <x v="0"/>
          </reference>
          <reference field="9" count="1" selected="0">
            <x v="2"/>
          </reference>
        </references>
      </pivotArea>
    </chartFormat>
    <chartFormat chart="11" format="11">
      <pivotArea type="data" outline="0" fieldPosition="0">
        <references count="2">
          <reference field="4294967294" count="1" selected="0">
            <x v="0"/>
          </reference>
          <reference field="9" count="1" selected="0">
            <x v="3"/>
          </reference>
        </references>
      </pivotArea>
    </chartFormat>
    <chartFormat chart="11"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88668A-04E9-49E9-B736-504C7B907C65}"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3" firstHeaderRow="0" firstDataRow="1" firstDataCol="0"/>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dataField="1" showAll="0"/>
    <pivotField dataField="1"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um of Profit" fld="5" baseField="0" baseItem="0"/>
    <dataField name="Sum of Expens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C62F3F-2250-4602-B723-1BB51ACDBDDB}" name="PivotTable1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7:B94"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dataField="1" showAll="0"/>
    <pivotField showAll="0"/>
    <pivotField axis="axisRow" showAll="0">
      <items count="7">
        <item x="3"/>
        <item x="2"/>
        <item x="1"/>
        <item x="0"/>
        <item x="4"/>
        <item x="5"/>
        <item t="default"/>
      </items>
    </pivotField>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7">
    <i>
      <x/>
    </i>
    <i>
      <x v="1"/>
    </i>
    <i>
      <x v="2"/>
    </i>
    <i>
      <x v="3"/>
    </i>
    <i>
      <x v="4"/>
    </i>
    <i>
      <x v="5"/>
    </i>
    <i t="grand">
      <x/>
    </i>
  </rowItems>
  <colItems count="1">
    <i/>
  </colItems>
  <dataFields count="1">
    <dataField name="Sum of Profit" fld="5" baseField="0" baseItem="0" numFmtId="164"/>
  </dataFields>
  <formats count="1">
    <format dxfId="1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0D5927-F589-42AC-B7F2-4C1806A8C5EF}"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8"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dataField="1"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8BBFDA9-5F76-42BF-95C6-86373FDF3070}"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dataField="1" showAll="0"/>
    <pivotField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F472A9-42FC-4209-81D0-5B2282596B76}" name="PivotTable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7:M17"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dataField="1" showAll="0"/>
    <pivotField showAll="0"/>
    <pivotField showAll="0"/>
    <pivotField axis="axisRow"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i>
    <i>
      <x v="1"/>
    </i>
    <i>
      <x v="2"/>
    </i>
    <i>
      <x v="3"/>
    </i>
    <i>
      <x v="4"/>
    </i>
    <i>
      <x v="5"/>
    </i>
    <i>
      <x v="6"/>
    </i>
    <i>
      <x v="7"/>
    </i>
    <i>
      <x v="8"/>
    </i>
    <i t="grand">
      <x/>
    </i>
  </rowItems>
  <colItems count="1">
    <i/>
  </colItems>
  <dataFields count="1">
    <dataField name="Sum of Profit" fld="5" baseField="0" baseItem="0" numFmtId="10">
      <extLst>
        <ext xmlns:x14="http://schemas.microsoft.com/office/spreadsheetml/2009/9/main" uri="{E15A36E0-9728-4e99-A89B-3F7291B0FE68}">
          <x14:dataField pivotShowAs="percentOfParentRow"/>
        </ext>
      </extLst>
    </dataField>
  </dataFields>
  <chartFormats count="10">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3"/>
          </reference>
        </references>
      </pivotArea>
    </chartFormat>
    <chartFormat chart="3" format="14">
      <pivotArea type="data" outline="0" fieldPosition="0">
        <references count="2">
          <reference field="4294967294" count="1" selected="0">
            <x v="0"/>
          </reference>
          <reference field="8" count="1" selected="0">
            <x v="4"/>
          </reference>
        </references>
      </pivotArea>
    </chartFormat>
    <chartFormat chart="3" format="15">
      <pivotArea type="data" outline="0" fieldPosition="0">
        <references count="2">
          <reference field="4294967294" count="1" selected="0">
            <x v="0"/>
          </reference>
          <reference field="8" count="1" selected="0">
            <x v="5"/>
          </reference>
        </references>
      </pivotArea>
    </chartFormat>
    <chartFormat chart="3" format="16">
      <pivotArea type="data" outline="0" fieldPosition="0">
        <references count="2">
          <reference field="4294967294" count="1" selected="0">
            <x v="0"/>
          </reference>
          <reference field="8" count="1" selected="0">
            <x v="6"/>
          </reference>
        </references>
      </pivotArea>
    </chartFormat>
    <chartFormat chart="3" format="17">
      <pivotArea type="data" outline="0" fieldPosition="0">
        <references count="2">
          <reference field="4294967294" count="1" selected="0">
            <x v="0"/>
          </reference>
          <reference field="8" count="1" selected="0">
            <x v="7"/>
          </reference>
        </references>
      </pivotArea>
    </chartFormat>
    <chartFormat chart="3" format="18">
      <pivotArea type="data" outline="0" fieldPosition="0">
        <references count="2">
          <reference field="4294967294" count="1" selected="0">
            <x v="0"/>
          </reference>
          <reference field="8" count="1" selected="0">
            <x v="8"/>
          </reference>
        </references>
      </pivotArea>
    </chartFormat>
    <chartFormat chart="3"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489E9CD-B468-4170-8F1F-C5F8AB381666}" name="PivotTable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H35"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dataField="1"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Min of Profit" fld="5" subtotal="min"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78C54F0-4831-4104-BC39-370E3DE405B5}" name="PivotTable8"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6:B82" firstHeaderRow="1" firstDataRow="1" firstDataCol="1"/>
  <pivotFields count="12">
    <pivotField showAll="0"/>
    <pivotField showAll="0"/>
    <pivotField showAll="0"/>
    <pivotField dataField="1" showAll="0"/>
    <pivotField showAll="0"/>
    <pivotField showAll="0"/>
    <pivotField showAll="0"/>
    <pivotField showAll="0"/>
    <pivotField showAll="0">
      <items count="10">
        <item h="1" x="3"/>
        <item h="1" x="6"/>
        <item h="1" x="4"/>
        <item x="2"/>
        <item h="1" x="1"/>
        <item h="1" x="5"/>
        <item h="1" x="0"/>
        <item h="1" x="7"/>
        <item h="1" x="8"/>
        <item t="default"/>
      </items>
    </pivotField>
    <pivotField showAll="0"/>
    <pivotField showAll="0"/>
    <pivotField axis="axisRow" showAll="0">
      <items count="6">
        <item x="4"/>
        <item x="3"/>
        <item x="2"/>
        <item x="1"/>
        <item x="0"/>
        <item t="default"/>
      </items>
    </pivotField>
  </pivotFields>
  <rowFields count="1">
    <field x="11"/>
  </rowFields>
  <rowItems count="6">
    <i>
      <x/>
    </i>
    <i>
      <x v="1"/>
    </i>
    <i>
      <x v="2"/>
    </i>
    <i>
      <x v="3"/>
    </i>
    <i>
      <x v="4"/>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AAF2B2-9360-4F2D-A755-541BFEF1AA5C}" name="PivotTable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35" firstHeaderRow="1" firstDataRow="1" firstDataCol="1"/>
  <pivotFields count="13">
    <pivotField showAll="0"/>
    <pivotField showAll="0"/>
    <pivotField showAll="0">
      <items count="347">
        <item x="248"/>
        <item x="169"/>
        <item x="178"/>
        <item x="149"/>
        <item x="316"/>
        <item x="92"/>
        <item x="143"/>
        <item x="196"/>
        <item x="251"/>
        <item x="3"/>
        <item x="205"/>
        <item x="204"/>
        <item x="68"/>
        <item x="90"/>
        <item x="339"/>
        <item x="126"/>
        <item x="311"/>
        <item x="155"/>
        <item x="156"/>
        <item x="11"/>
        <item x="252"/>
        <item x="162"/>
        <item x="48"/>
        <item x="335"/>
        <item x="299"/>
        <item x="148"/>
        <item x="1"/>
        <item x="71"/>
        <item x="281"/>
        <item x="160"/>
        <item x="89"/>
        <item x="93"/>
        <item x="218"/>
        <item x="110"/>
        <item x="116"/>
        <item x="329"/>
        <item x="269"/>
        <item x="117"/>
        <item x="151"/>
        <item x="276"/>
        <item x="27"/>
        <item x="17"/>
        <item x="111"/>
        <item x="340"/>
        <item x="84"/>
        <item x="237"/>
        <item x="28"/>
        <item x="270"/>
        <item x="296"/>
        <item x="82"/>
        <item x="191"/>
        <item x="210"/>
        <item x="174"/>
        <item x="101"/>
        <item x="38"/>
        <item x="108"/>
        <item x="122"/>
        <item x="289"/>
        <item x="67"/>
        <item x="40"/>
        <item x="104"/>
        <item x="64"/>
        <item x="255"/>
        <item x="241"/>
        <item x="263"/>
        <item x="31"/>
        <item x="235"/>
        <item x="141"/>
        <item x="188"/>
        <item x="118"/>
        <item x="322"/>
        <item x="309"/>
        <item x="23"/>
        <item x="200"/>
        <item x="14"/>
        <item x="262"/>
        <item x="282"/>
        <item x="236"/>
        <item x="280"/>
        <item x="56"/>
        <item x="232"/>
        <item x="16"/>
        <item x="271"/>
        <item x="214"/>
        <item x="240"/>
        <item x="193"/>
        <item x="265"/>
        <item x="334"/>
        <item x="288"/>
        <item x="317"/>
        <item x="294"/>
        <item x="62"/>
        <item x="258"/>
        <item x="80"/>
        <item x="25"/>
        <item x="333"/>
        <item x="219"/>
        <item x="180"/>
        <item x="272"/>
        <item x="35"/>
        <item x="2"/>
        <item x="134"/>
        <item x="195"/>
        <item x="45"/>
        <item x="203"/>
        <item x="12"/>
        <item x="10"/>
        <item x="192"/>
        <item x="209"/>
        <item x="291"/>
        <item x="33"/>
        <item x="330"/>
        <item x="184"/>
        <item x="109"/>
        <item x="216"/>
        <item x="142"/>
        <item x="88"/>
        <item x="187"/>
        <item x="98"/>
        <item x="7"/>
        <item x="131"/>
        <item x="164"/>
        <item x="211"/>
        <item x="173"/>
        <item x="331"/>
        <item x="179"/>
        <item x="133"/>
        <item x="257"/>
        <item x="144"/>
        <item x="264"/>
        <item x="286"/>
        <item x="275"/>
        <item x="182"/>
        <item x="58"/>
        <item x="208"/>
        <item x="61"/>
        <item x="321"/>
        <item x="328"/>
        <item x="212"/>
        <item x="246"/>
        <item x="49"/>
        <item x="305"/>
        <item x="46"/>
        <item x="300"/>
        <item x="37"/>
        <item x="43"/>
        <item x="238"/>
        <item x="102"/>
        <item x="221"/>
        <item x="114"/>
        <item x="284"/>
        <item x="72"/>
        <item x="297"/>
        <item x="95"/>
        <item x="230"/>
        <item x="318"/>
        <item x="130"/>
        <item x="52"/>
        <item x="332"/>
        <item x="277"/>
        <item x="259"/>
        <item x="8"/>
        <item x="181"/>
        <item x="306"/>
        <item x="83"/>
        <item x="75"/>
        <item x="234"/>
        <item x="78"/>
        <item x="153"/>
        <item x="29"/>
        <item x="226"/>
        <item x="24"/>
        <item x="79"/>
        <item x="145"/>
        <item x="115"/>
        <item x="21"/>
        <item x="343"/>
        <item x="113"/>
        <item x="57"/>
        <item x="206"/>
        <item x="336"/>
        <item x="233"/>
        <item x="76"/>
        <item x="112"/>
        <item x="127"/>
        <item x="283"/>
        <item x="106"/>
        <item x="298"/>
        <item x="15"/>
        <item x="65"/>
        <item x="194"/>
        <item x="183"/>
        <item x="344"/>
        <item x="163"/>
        <item x="94"/>
        <item x="301"/>
        <item x="197"/>
        <item x="319"/>
        <item x="292"/>
        <item x="4"/>
        <item x="222"/>
        <item x="215"/>
        <item x="213"/>
        <item x="146"/>
        <item x="9"/>
        <item x="239"/>
        <item x="253"/>
        <item x="229"/>
        <item x="139"/>
        <item x="172"/>
        <item x="103"/>
        <item x="337"/>
        <item x="123"/>
        <item x="121"/>
        <item x="5"/>
        <item x="36"/>
        <item x="268"/>
        <item x="308"/>
        <item x="51"/>
        <item x="132"/>
        <item x="338"/>
        <item x="326"/>
        <item x="50"/>
        <item x="247"/>
        <item x="267"/>
        <item x="199"/>
        <item x="77"/>
        <item x="217"/>
        <item x="18"/>
        <item x="44"/>
        <item x="254"/>
        <item x="323"/>
        <item x="315"/>
        <item x="97"/>
        <item x="165"/>
        <item x="128"/>
        <item x="54"/>
        <item x="125"/>
        <item x="0"/>
        <item x="20"/>
        <item x="73"/>
        <item x="60"/>
        <item x="167"/>
        <item x="91"/>
        <item x="260"/>
        <item x="137"/>
        <item x="166"/>
        <item x="168"/>
        <item x="81"/>
        <item x="55"/>
        <item x="129"/>
        <item x="273"/>
        <item x="249"/>
        <item x="177"/>
        <item x="243"/>
        <item x="107"/>
        <item x="303"/>
        <item x="74"/>
        <item x="227"/>
        <item x="324"/>
        <item x="135"/>
        <item x="150"/>
        <item x="201"/>
        <item x="32"/>
        <item x="124"/>
        <item x="290"/>
        <item x="223"/>
        <item x="304"/>
        <item x="307"/>
        <item x="198"/>
        <item x="120"/>
        <item x="312"/>
        <item x="86"/>
        <item x="70"/>
        <item x="59"/>
        <item x="26"/>
        <item x="34"/>
        <item x="105"/>
        <item x="302"/>
        <item x="170"/>
        <item x="295"/>
        <item x="320"/>
        <item x="189"/>
        <item x="100"/>
        <item x="157"/>
        <item x="327"/>
        <item x="310"/>
        <item x="285"/>
        <item x="202"/>
        <item x="6"/>
        <item x="136"/>
        <item x="274"/>
        <item x="87"/>
        <item x="13"/>
        <item x="22"/>
        <item x="261"/>
        <item x="325"/>
        <item x="69"/>
        <item x="39"/>
        <item x="96"/>
        <item x="66"/>
        <item x="256"/>
        <item x="147"/>
        <item x="42"/>
        <item x="154"/>
        <item x="228"/>
        <item x="138"/>
        <item x="19"/>
        <item x="278"/>
        <item x="242"/>
        <item x="175"/>
        <item x="53"/>
        <item x="342"/>
        <item x="140"/>
        <item x="293"/>
        <item x="231"/>
        <item x="225"/>
        <item x="99"/>
        <item x="314"/>
        <item x="119"/>
        <item x="85"/>
        <item x="224"/>
        <item x="244"/>
        <item x="186"/>
        <item x="220"/>
        <item x="30"/>
        <item x="159"/>
        <item x="171"/>
        <item x="152"/>
        <item x="250"/>
        <item x="190"/>
        <item x="266"/>
        <item x="161"/>
        <item x="41"/>
        <item x="287"/>
        <item x="245"/>
        <item x="207"/>
        <item x="63"/>
        <item x="158"/>
        <item x="176"/>
        <item x="313"/>
        <item x="341"/>
        <item x="279"/>
        <item x="185"/>
        <item x="47"/>
        <item x="345"/>
        <item t="default"/>
      </items>
    </pivotField>
    <pivotField showAll="0"/>
    <pivotField showAll="0"/>
    <pivotField dataField="1" showAll="0"/>
    <pivotField showAll="0"/>
    <pivotField showAll="0"/>
    <pivotField showAll="0">
      <items count="10">
        <item x="3"/>
        <item x="6"/>
        <item x="4"/>
        <item x="2"/>
        <item x="1"/>
        <item x="5"/>
        <item x="0"/>
        <item x="7"/>
        <item x="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Max of Profit" fld="5" subtotal="max"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8B3D0A4-C3AD-4D2A-B508-95978159BA53}" name="PivotTable7"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3:C69" firstHeaderRow="0" firstDataRow="1" firstDataCol="1"/>
  <pivotFields count="12">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6">
        <item x="4"/>
        <item x="3"/>
        <item x="2"/>
        <item x="1"/>
        <item x="0"/>
        <item t="default"/>
      </items>
    </pivotField>
  </pivotFields>
  <rowFields count="1">
    <field x="11"/>
  </rowFields>
  <rowItems count="6">
    <i>
      <x/>
    </i>
    <i>
      <x v="1"/>
    </i>
    <i>
      <x v="2"/>
    </i>
    <i>
      <x v="3"/>
    </i>
    <i>
      <x v="4"/>
    </i>
    <i t="grand">
      <x/>
    </i>
  </rowItems>
  <colFields count="1">
    <field x="-2"/>
  </colFields>
  <colItems count="2">
    <i>
      <x/>
    </i>
    <i i="1">
      <x v="1"/>
    </i>
  </colItems>
  <dataFields count="2">
    <dataField name="Sum of Profit" fld="5" baseField="0" baseItem="0"/>
    <dataField name="Sum of Expense" fld="6"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s_Date" xr10:uid="{554BC90D-1783-4593-9D23-12D0D23964F1}" sourceName="Months (Sales Date)">
  <pivotTables>
    <pivotTable tabId="5" name="PivotTable2"/>
    <pivotTable tabId="5" name="PivotTable3"/>
    <pivotTable tabId="5" name="PivotTable4"/>
    <pivotTable tabId="5" name="PivotTable5"/>
    <pivotTable tabId="5" name="PivotTable1"/>
    <pivotTable tabId="5" name="PivotTable9"/>
    <pivotTable tabId="5" name="PivotTable10"/>
    <pivotTable tabId="5" name="PivotTable11"/>
    <pivotTable tabId="5" name="PivotTable6"/>
    <pivotTable tabId="5" name="PivotTable12"/>
    <pivotTable tabId="5" name="PivotTable13"/>
    <pivotTable tabId="5" name="PivotTable14"/>
    <pivotTable tabId="5" name="PivotTable15"/>
    <pivotTable tabId="5" name="PivotTable16"/>
    <pivotTable tabId="5" name="PivotTable17"/>
  </pivotTables>
  <data>
    <tabular pivotCacheId="14156342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99F0091-BE79-46C1-9FD9-F73772A92A04}" sourceName="City">
  <pivotTables>
    <pivotTable tabId="5" name="PivotTable1"/>
    <pivotTable tabId="5" name="PivotTable2"/>
    <pivotTable tabId="5" name="PivotTable3"/>
    <pivotTable tabId="5" name="PivotTable4"/>
    <pivotTable tabId="5" name="PivotTable5"/>
    <pivotTable tabId="5" name="PivotTable9"/>
    <pivotTable tabId="5" name="PivotTable10"/>
    <pivotTable tabId="5" name="PivotTable11"/>
    <pivotTable tabId="5" name="PivotTable6"/>
    <pivotTable tabId="5" name="PivotTable12"/>
    <pivotTable tabId="5" name="PivotTable13"/>
    <pivotTable tabId="5" name="PivotTable14"/>
    <pivotTable tabId="5" name="PivotTable15"/>
    <pivotTable tabId="5" name="PivotTable16"/>
    <pivotTable tabId="5" name="PivotTable17"/>
  </pivotTables>
  <data>
    <tabular pivotCacheId="141563423">
      <items count="9">
        <i x="3" s="1"/>
        <i x="6" s="1"/>
        <i x="4" s="1"/>
        <i x="2" s="1"/>
        <i x="1" s="1"/>
        <i x="5" s="1"/>
        <i x="0" s="1"/>
        <i x="7" s="1"/>
        <i x="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253B0A2B-84BB-4BF8-9AC1-BA9AF1B5F42E}" sourceName="City">
  <pivotTables>
    <pivotTable tabId="5" name="PivotTable8"/>
  </pivotTables>
  <data>
    <tabular pivotCacheId="844838949">
      <items count="9">
        <i x="3"/>
        <i x="6"/>
        <i x="4"/>
        <i x="2" s="1"/>
        <i x="1"/>
        <i x="5"/>
        <i x="0"/>
        <i x="7"/>
        <i x="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551E4581-F106-45B3-A3FB-11E91EAC0D33}" sourceName="Warehouse">
  <pivotTables>
    <pivotTable tabId="4" name="PivotTable18"/>
    <pivotTable tabId="4" name="PivotTable22"/>
    <pivotTable tabId="4" name="PivotTable23"/>
  </pivotTables>
  <data>
    <tabular pivotCacheId="428318784">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79A6A58-BFFD-4A00-B956-891DD67E0B62}" cache="Slicer_City1" caption="City" startItem="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s Date) 1" xr10:uid="{B47E7776-BF80-4E88-945B-C6469A789A06}" cache="Slicer_Months__Sales_Date" caption="Months (Sales Date)" columnCount="6" style="SlicerStyleDark6 2" rowHeight="234950"/>
  <slicer name="City 2" xr10:uid="{09B16B29-6CA3-44C0-8E04-39CA337868B0}" cache="Slicer_City" caption="City" style="SlicerStyleDark6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F79C6826-76F9-4AEE-8D1C-0BFCA6492C9D}" cache="Slicer_Warehouse" caption="Warehouse" columnCount="3" style="SlicerStyleDark6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s Date)" xr10:uid="{8642AC02-EA0A-4328-A6C3-E55448190A44}" cache="Slicer_Months__Sales_Date" caption="Months (Sales Date)" columnCount="6" style="SlicerStyleDark6 2" rowHeight="234950"/>
  <slicer name="City" xr10:uid="{7C93DF6E-327F-4FF7-939D-297B27CDF8ED}" cache="Slicer_City" caption="City" style="SlicerStyleDark6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openxmlformats.org/officeDocument/2006/relationships/drawing" Target="../drawings/drawing1.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ivotTable" Target="../pivotTables/pivotTable21.xml"/><Relationship Id="rId2" Type="http://schemas.openxmlformats.org/officeDocument/2006/relationships/pivotTable" Target="../pivotTables/pivotTable6.xml"/><Relationship Id="rId16" Type="http://schemas.openxmlformats.org/officeDocument/2006/relationships/pivotTable" Target="../pivotTables/pivotTable20.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19"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1"/>
  <sheetViews>
    <sheetView zoomScale="68" workbookViewId="0">
      <selection activeCell="N21" sqref="N21"/>
    </sheetView>
  </sheetViews>
  <sheetFormatPr defaultRowHeight="14.4" x14ac:dyDescent="0.3"/>
  <cols>
    <col min="1" max="7" width="22" customWidth="1"/>
    <col min="8" max="8" width="22" style="4" customWidth="1"/>
    <col min="9" max="12" width="22" customWidth="1"/>
  </cols>
  <sheetData>
    <row r="1" spans="1:12" x14ac:dyDescent="0.3">
      <c r="A1" s="1" t="s">
        <v>0</v>
      </c>
      <c r="B1" s="1" t="s">
        <v>1</v>
      </c>
      <c r="C1" s="1" t="s">
        <v>2</v>
      </c>
      <c r="D1" s="11" t="s">
        <v>3579</v>
      </c>
      <c r="E1" s="1" t="s">
        <v>3</v>
      </c>
      <c r="F1" s="1" t="s">
        <v>4</v>
      </c>
      <c r="G1" s="1" t="s">
        <v>5</v>
      </c>
      <c r="H1" s="10" t="s">
        <v>6</v>
      </c>
      <c r="I1" s="10" t="s">
        <v>7</v>
      </c>
      <c r="J1" s="1" t="s">
        <v>8</v>
      </c>
      <c r="K1" s="1" t="s">
        <v>9</v>
      </c>
      <c r="L1" s="1" t="s">
        <v>10</v>
      </c>
    </row>
    <row r="2" spans="1:12" x14ac:dyDescent="0.3">
      <c r="A2" t="s">
        <v>11</v>
      </c>
      <c r="B2" t="s">
        <v>12</v>
      </c>
      <c r="C2">
        <v>5006</v>
      </c>
      <c r="D2" t="str">
        <f>IF(C2&lt;1000,"Low",IF(C2&lt;=3000,"Medium","Full"))</f>
        <v>Full</v>
      </c>
      <c r="E2">
        <v>9024</v>
      </c>
      <c r="F2">
        <v>70.849999999999994</v>
      </c>
      <c r="G2">
        <v>152.85</v>
      </c>
      <c r="H2" s="4" t="s">
        <v>13</v>
      </c>
      <c r="I2" t="s">
        <v>14</v>
      </c>
      <c r="J2" t="s">
        <v>15</v>
      </c>
      <c r="K2" t="s">
        <v>16</v>
      </c>
      <c r="L2">
        <v>40.299999999999997</v>
      </c>
    </row>
    <row r="3" spans="1:12" x14ac:dyDescent="0.3">
      <c r="A3" t="s">
        <v>17</v>
      </c>
      <c r="B3" t="s">
        <v>12</v>
      </c>
      <c r="C3">
        <v>4082</v>
      </c>
      <c r="D3" t="str">
        <f t="shared" ref="D3:D66" si="0">IF(C3&lt;1000,"Low",IF(C3&lt;=3000,"Medium","Full"))</f>
        <v>Full</v>
      </c>
      <c r="E3">
        <v>8623</v>
      </c>
      <c r="F3">
        <v>154.08000000000001</v>
      </c>
      <c r="G3">
        <v>190.21</v>
      </c>
      <c r="H3" s="4" t="s">
        <v>18</v>
      </c>
      <c r="I3" t="s">
        <v>19</v>
      </c>
      <c r="J3" t="s">
        <v>20</v>
      </c>
      <c r="K3" t="s">
        <v>21</v>
      </c>
      <c r="L3">
        <v>75.22</v>
      </c>
    </row>
    <row r="4" spans="1:12" x14ac:dyDescent="0.3">
      <c r="A4" t="s">
        <v>22</v>
      </c>
      <c r="B4" t="s">
        <v>23</v>
      </c>
      <c r="C4">
        <v>606</v>
      </c>
      <c r="D4" t="str">
        <f t="shared" si="0"/>
        <v>Low</v>
      </c>
      <c r="E4">
        <v>6231</v>
      </c>
      <c r="F4">
        <v>210.95</v>
      </c>
      <c r="G4">
        <v>346.45</v>
      </c>
      <c r="H4" s="4" t="s">
        <v>24</v>
      </c>
      <c r="I4" t="s">
        <v>25</v>
      </c>
      <c r="J4" t="s">
        <v>26</v>
      </c>
      <c r="K4" t="s">
        <v>27</v>
      </c>
      <c r="L4">
        <v>92.21</v>
      </c>
    </row>
    <row r="5" spans="1:12" x14ac:dyDescent="0.3">
      <c r="A5" t="s">
        <v>11</v>
      </c>
      <c r="B5" t="s">
        <v>23</v>
      </c>
      <c r="C5">
        <v>6135</v>
      </c>
      <c r="D5" t="str">
        <f t="shared" si="0"/>
        <v>Full</v>
      </c>
      <c r="E5">
        <v>20782</v>
      </c>
      <c r="F5">
        <v>83.03</v>
      </c>
      <c r="G5">
        <v>104.33</v>
      </c>
      <c r="H5" s="4" t="s">
        <v>28</v>
      </c>
      <c r="I5" t="s">
        <v>29</v>
      </c>
      <c r="J5" t="s">
        <v>30</v>
      </c>
      <c r="K5" t="s">
        <v>21</v>
      </c>
      <c r="L5">
        <v>35.83</v>
      </c>
    </row>
    <row r="6" spans="1:12" x14ac:dyDescent="0.3">
      <c r="A6" t="s">
        <v>31</v>
      </c>
      <c r="B6" t="s">
        <v>32</v>
      </c>
      <c r="C6">
        <v>6425</v>
      </c>
      <c r="D6" t="str">
        <f t="shared" si="0"/>
        <v>Full</v>
      </c>
      <c r="E6">
        <v>19918</v>
      </c>
      <c r="F6">
        <v>61.73</v>
      </c>
      <c r="G6">
        <v>79.66</v>
      </c>
      <c r="H6" s="4" t="s">
        <v>33</v>
      </c>
      <c r="I6" t="s">
        <v>34</v>
      </c>
      <c r="J6" t="s">
        <v>35</v>
      </c>
      <c r="K6" t="s">
        <v>27</v>
      </c>
      <c r="L6">
        <v>45.81</v>
      </c>
    </row>
    <row r="7" spans="1:12" x14ac:dyDescent="0.3">
      <c r="A7" t="s">
        <v>11</v>
      </c>
      <c r="B7" t="s">
        <v>36</v>
      </c>
      <c r="C7">
        <v>5054</v>
      </c>
      <c r="D7" t="str">
        <f t="shared" si="0"/>
        <v>Full</v>
      </c>
      <c r="E7">
        <v>15857</v>
      </c>
      <c r="F7">
        <v>192.53</v>
      </c>
      <c r="G7">
        <v>322.35000000000002</v>
      </c>
      <c r="H7" s="4" t="s">
        <v>37</v>
      </c>
      <c r="I7" t="s">
        <v>38</v>
      </c>
      <c r="J7" t="s">
        <v>39</v>
      </c>
      <c r="K7" t="s">
        <v>40</v>
      </c>
      <c r="L7">
        <v>131.06</v>
      </c>
    </row>
    <row r="8" spans="1:12" x14ac:dyDescent="0.3">
      <c r="A8" t="s">
        <v>41</v>
      </c>
      <c r="B8" t="s">
        <v>32</v>
      </c>
      <c r="C8">
        <v>3303</v>
      </c>
      <c r="D8" t="str">
        <f t="shared" si="0"/>
        <v>Full</v>
      </c>
      <c r="E8">
        <v>18502</v>
      </c>
      <c r="F8">
        <v>220.09</v>
      </c>
      <c r="G8">
        <v>310.86</v>
      </c>
      <c r="H8" s="4" t="s">
        <v>42</v>
      </c>
      <c r="I8" t="s">
        <v>43</v>
      </c>
      <c r="J8" t="s">
        <v>44</v>
      </c>
      <c r="K8" t="s">
        <v>16</v>
      </c>
      <c r="L8">
        <v>107.37</v>
      </c>
    </row>
    <row r="9" spans="1:12" x14ac:dyDescent="0.3">
      <c r="A9" t="s">
        <v>45</v>
      </c>
      <c r="B9" t="s">
        <v>12</v>
      </c>
      <c r="C9">
        <v>4252</v>
      </c>
      <c r="D9" t="str">
        <f t="shared" si="0"/>
        <v>Full</v>
      </c>
      <c r="E9">
        <v>2051</v>
      </c>
      <c r="F9">
        <v>242.49</v>
      </c>
      <c r="G9">
        <v>417.45</v>
      </c>
      <c r="H9" s="4" t="s">
        <v>46</v>
      </c>
      <c r="I9" t="s">
        <v>47</v>
      </c>
      <c r="J9" t="s">
        <v>48</v>
      </c>
      <c r="K9" t="s">
        <v>40</v>
      </c>
      <c r="L9">
        <v>117.62</v>
      </c>
    </row>
    <row r="10" spans="1:12" x14ac:dyDescent="0.3">
      <c r="A10" t="s">
        <v>49</v>
      </c>
      <c r="B10" t="s">
        <v>36</v>
      </c>
      <c r="C10">
        <v>8017</v>
      </c>
      <c r="D10" t="str">
        <f t="shared" si="0"/>
        <v>Full</v>
      </c>
      <c r="E10">
        <v>5681</v>
      </c>
      <c r="F10">
        <v>83.14</v>
      </c>
      <c r="G10">
        <v>126.42</v>
      </c>
      <c r="H10" s="4" t="s">
        <v>50</v>
      </c>
      <c r="I10" t="s">
        <v>51</v>
      </c>
      <c r="J10" t="s">
        <v>52</v>
      </c>
      <c r="K10" t="s">
        <v>16</v>
      </c>
      <c r="L10">
        <v>47.5</v>
      </c>
    </row>
    <row r="11" spans="1:12" x14ac:dyDescent="0.3">
      <c r="A11" t="s">
        <v>22</v>
      </c>
      <c r="B11" t="s">
        <v>36</v>
      </c>
      <c r="C11">
        <v>6430</v>
      </c>
      <c r="D11" t="str">
        <f t="shared" si="0"/>
        <v>Full</v>
      </c>
      <c r="E11">
        <v>8186</v>
      </c>
      <c r="F11">
        <v>299.20999999999998</v>
      </c>
      <c r="G11">
        <v>412.86</v>
      </c>
      <c r="H11" s="4" t="s">
        <v>53</v>
      </c>
      <c r="I11" t="s">
        <v>54</v>
      </c>
      <c r="J11" t="s">
        <v>55</v>
      </c>
      <c r="K11" t="s">
        <v>27</v>
      </c>
      <c r="L11">
        <v>137.97999999999999</v>
      </c>
    </row>
    <row r="12" spans="1:12" x14ac:dyDescent="0.3">
      <c r="A12" t="s">
        <v>56</v>
      </c>
      <c r="B12" t="s">
        <v>36</v>
      </c>
      <c r="C12">
        <v>1540</v>
      </c>
      <c r="D12" t="str">
        <f t="shared" si="0"/>
        <v>Medium</v>
      </c>
      <c r="E12">
        <v>13608</v>
      </c>
      <c r="F12">
        <v>117.58</v>
      </c>
      <c r="G12">
        <v>293.36</v>
      </c>
      <c r="H12" s="4" t="s">
        <v>57</v>
      </c>
      <c r="I12" t="s">
        <v>58</v>
      </c>
      <c r="J12" t="s">
        <v>59</v>
      </c>
      <c r="K12" t="s">
        <v>27</v>
      </c>
      <c r="L12">
        <v>79.03</v>
      </c>
    </row>
    <row r="13" spans="1:12" x14ac:dyDescent="0.3">
      <c r="A13" t="s">
        <v>11</v>
      </c>
      <c r="B13" t="s">
        <v>32</v>
      </c>
      <c r="C13">
        <v>4871</v>
      </c>
      <c r="D13" t="str">
        <f t="shared" si="0"/>
        <v>Full</v>
      </c>
      <c r="E13">
        <v>22003</v>
      </c>
      <c r="F13">
        <v>105.35</v>
      </c>
      <c r="G13">
        <v>166.62</v>
      </c>
      <c r="H13" s="4" t="s">
        <v>60</v>
      </c>
      <c r="I13" t="s">
        <v>61</v>
      </c>
      <c r="J13" t="s">
        <v>62</v>
      </c>
      <c r="K13" t="s">
        <v>40</v>
      </c>
      <c r="L13">
        <v>83.1</v>
      </c>
    </row>
    <row r="14" spans="1:12" x14ac:dyDescent="0.3">
      <c r="A14" t="s">
        <v>56</v>
      </c>
      <c r="B14" t="s">
        <v>32</v>
      </c>
      <c r="C14">
        <v>2243</v>
      </c>
      <c r="D14" t="str">
        <f t="shared" si="0"/>
        <v>Medium</v>
      </c>
      <c r="E14">
        <v>21489</v>
      </c>
      <c r="F14">
        <v>93.04</v>
      </c>
      <c r="G14">
        <v>188.93</v>
      </c>
      <c r="H14" s="4" t="s">
        <v>63</v>
      </c>
      <c r="I14" t="s">
        <v>64</v>
      </c>
      <c r="J14" t="s">
        <v>65</v>
      </c>
      <c r="K14" t="s">
        <v>40</v>
      </c>
      <c r="L14">
        <v>65.59</v>
      </c>
    </row>
    <row r="15" spans="1:12" x14ac:dyDescent="0.3">
      <c r="A15" t="s">
        <v>66</v>
      </c>
      <c r="B15" t="s">
        <v>32</v>
      </c>
      <c r="C15">
        <v>509</v>
      </c>
      <c r="D15" t="str">
        <f t="shared" si="0"/>
        <v>Low</v>
      </c>
      <c r="E15">
        <v>20626</v>
      </c>
      <c r="F15">
        <v>100.63</v>
      </c>
      <c r="G15">
        <v>123.3</v>
      </c>
      <c r="H15" s="4" t="s">
        <v>67</v>
      </c>
      <c r="I15" t="s">
        <v>68</v>
      </c>
      <c r="J15" t="s">
        <v>69</v>
      </c>
      <c r="K15" t="s">
        <v>27</v>
      </c>
      <c r="L15">
        <v>49.95</v>
      </c>
    </row>
    <row r="16" spans="1:12" x14ac:dyDescent="0.3">
      <c r="A16" t="s">
        <v>22</v>
      </c>
      <c r="B16" t="s">
        <v>12</v>
      </c>
      <c r="C16">
        <v>1903</v>
      </c>
      <c r="D16" t="str">
        <f t="shared" si="0"/>
        <v>Medium</v>
      </c>
      <c r="E16">
        <v>24983</v>
      </c>
      <c r="F16">
        <v>148.37</v>
      </c>
      <c r="G16">
        <v>191.39</v>
      </c>
      <c r="H16" s="4" t="s">
        <v>70</v>
      </c>
      <c r="I16" t="s">
        <v>71</v>
      </c>
      <c r="J16" t="s">
        <v>72</v>
      </c>
      <c r="K16" t="s">
        <v>21</v>
      </c>
      <c r="L16">
        <v>115.54</v>
      </c>
    </row>
    <row r="17" spans="1:12" x14ac:dyDescent="0.3">
      <c r="A17" t="s">
        <v>56</v>
      </c>
      <c r="B17" t="s">
        <v>23</v>
      </c>
      <c r="C17">
        <v>9145</v>
      </c>
      <c r="D17" t="str">
        <f t="shared" si="0"/>
        <v>Full</v>
      </c>
      <c r="E17">
        <v>20876</v>
      </c>
      <c r="F17">
        <v>129.83000000000001</v>
      </c>
      <c r="G17">
        <v>191.54</v>
      </c>
      <c r="H17" s="4" t="s">
        <v>73</v>
      </c>
      <c r="I17" t="s">
        <v>74</v>
      </c>
      <c r="J17" t="s">
        <v>75</v>
      </c>
      <c r="K17" t="s">
        <v>40</v>
      </c>
      <c r="L17">
        <v>72.650000000000006</v>
      </c>
    </row>
    <row r="18" spans="1:12" x14ac:dyDescent="0.3">
      <c r="A18" t="s">
        <v>76</v>
      </c>
      <c r="B18" t="s">
        <v>36</v>
      </c>
      <c r="C18">
        <v>8979</v>
      </c>
      <c r="D18" t="str">
        <f t="shared" si="0"/>
        <v>Full</v>
      </c>
      <c r="E18">
        <v>15794</v>
      </c>
      <c r="F18">
        <v>40.700000000000003</v>
      </c>
      <c r="G18">
        <v>60.73</v>
      </c>
      <c r="H18" s="4" t="s">
        <v>77</v>
      </c>
      <c r="I18" t="s">
        <v>78</v>
      </c>
      <c r="J18" t="s">
        <v>79</v>
      </c>
      <c r="K18" t="s">
        <v>16</v>
      </c>
      <c r="L18">
        <v>20.03</v>
      </c>
    </row>
    <row r="19" spans="1:12" x14ac:dyDescent="0.3">
      <c r="A19" t="s">
        <v>80</v>
      </c>
      <c r="B19" t="s">
        <v>12</v>
      </c>
      <c r="C19">
        <v>1663</v>
      </c>
      <c r="D19" t="str">
        <f t="shared" si="0"/>
        <v>Medium</v>
      </c>
      <c r="E19">
        <v>24194</v>
      </c>
      <c r="F19">
        <v>191.18</v>
      </c>
      <c r="G19">
        <v>286.32</v>
      </c>
      <c r="H19" s="4" t="s">
        <v>81</v>
      </c>
      <c r="I19" t="s">
        <v>82</v>
      </c>
      <c r="J19" t="s">
        <v>83</v>
      </c>
      <c r="K19" t="s">
        <v>16</v>
      </c>
      <c r="L19">
        <v>94.67</v>
      </c>
    </row>
    <row r="20" spans="1:12" x14ac:dyDescent="0.3">
      <c r="A20" t="s">
        <v>49</v>
      </c>
      <c r="B20" t="s">
        <v>84</v>
      </c>
      <c r="C20">
        <v>9334</v>
      </c>
      <c r="D20" t="str">
        <f t="shared" si="0"/>
        <v>Full</v>
      </c>
      <c r="E20">
        <v>5335</v>
      </c>
      <c r="F20">
        <v>218.39</v>
      </c>
      <c r="G20">
        <v>512.58000000000004</v>
      </c>
      <c r="H20" s="4" t="s">
        <v>85</v>
      </c>
      <c r="I20" t="s">
        <v>86</v>
      </c>
      <c r="J20" t="s">
        <v>87</v>
      </c>
      <c r="K20" t="s">
        <v>21</v>
      </c>
      <c r="L20">
        <v>157.9</v>
      </c>
    </row>
    <row r="21" spans="1:12" x14ac:dyDescent="0.3">
      <c r="A21" t="s">
        <v>88</v>
      </c>
      <c r="B21" t="s">
        <v>12</v>
      </c>
      <c r="C21">
        <v>2088</v>
      </c>
      <c r="D21" t="str">
        <f t="shared" si="0"/>
        <v>Medium</v>
      </c>
      <c r="E21">
        <v>22593</v>
      </c>
      <c r="F21">
        <v>132.16</v>
      </c>
      <c r="G21">
        <v>231.37</v>
      </c>
      <c r="H21" s="4" t="s">
        <v>89</v>
      </c>
      <c r="I21" t="s">
        <v>90</v>
      </c>
      <c r="J21" t="s">
        <v>91</v>
      </c>
      <c r="K21" t="s">
        <v>27</v>
      </c>
      <c r="L21">
        <v>56.07</v>
      </c>
    </row>
    <row r="22" spans="1:12" x14ac:dyDescent="0.3">
      <c r="A22" t="s">
        <v>45</v>
      </c>
      <c r="B22" t="s">
        <v>12</v>
      </c>
      <c r="C22">
        <v>4573</v>
      </c>
      <c r="D22" t="str">
        <f t="shared" si="0"/>
        <v>Full</v>
      </c>
      <c r="E22">
        <v>7278</v>
      </c>
      <c r="F22">
        <v>61.11</v>
      </c>
      <c r="G22">
        <v>108.97</v>
      </c>
      <c r="H22" s="4" t="s">
        <v>92</v>
      </c>
      <c r="I22" t="s">
        <v>93</v>
      </c>
      <c r="J22" t="s">
        <v>94</v>
      </c>
      <c r="K22" t="s">
        <v>21</v>
      </c>
      <c r="L22">
        <v>30.55</v>
      </c>
    </row>
    <row r="23" spans="1:12" x14ac:dyDescent="0.3">
      <c r="A23" t="s">
        <v>41</v>
      </c>
      <c r="B23" t="s">
        <v>36</v>
      </c>
      <c r="C23">
        <v>9516</v>
      </c>
      <c r="D23" t="str">
        <f t="shared" si="0"/>
        <v>Full</v>
      </c>
      <c r="E23">
        <v>4208</v>
      </c>
      <c r="F23">
        <v>19.920000000000002</v>
      </c>
      <c r="G23">
        <v>49.78</v>
      </c>
      <c r="H23" s="4" t="s">
        <v>95</v>
      </c>
      <c r="I23" t="s">
        <v>96</v>
      </c>
      <c r="J23" t="s">
        <v>97</v>
      </c>
      <c r="K23" t="s">
        <v>98</v>
      </c>
      <c r="L23">
        <v>11.21</v>
      </c>
    </row>
    <row r="24" spans="1:12" x14ac:dyDescent="0.3">
      <c r="A24" t="s">
        <v>49</v>
      </c>
      <c r="B24" t="s">
        <v>84</v>
      </c>
      <c r="C24">
        <v>7070</v>
      </c>
      <c r="D24" t="str">
        <f t="shared" si="0"/>
        <v>Full</v>
      </c>
      <c r="E24">
        <v>2921</v>
      </c>
      <c r="F24">
        <v>53.57</v>
      </c>
      <c r="G24">
        <v>64.430000000000007</v>
      </c>
      <c r="H24" s="4" t="s">
        <v>99</v>
      </c>
      <c r="I24" t="s">
        <v>100</v>
      </c>
      <c r="J24" t="s">
        <v>101</v>
      </c>
      <c r="K24" t="s">
        <v>40</v>
      </c>
      <c r="L24">
        <v>30.49</v>
      </c>
    </row>
    <row r="25" spans="1:12" x14ac:dyDescent="0.3">
      <c r="A25" t="s">
        <v>66</v>
      </c>
      <c r="B25" t="s">
        <v>36</v>
      </c>
      <c r="C25">
        <v>3036</v>
      </c>
      <c r="D25" t="str">
        <f t="shared" si="0"/>
        <v>Full</v>
      </c>
      <c r="E25">
        <v>7222</v>
      </c>
      <c r="F25">
        <v>92.53</v>
      </c>
      <c r="G25">
        <v>227.56</v>
      </c>
      <c r="H25" s="4" t="s">
        <v>102</v>
      </c>
      <c r="I25" t="s">
        <v>103</v>
      </c>
      <c r="J25" t="s">
        <v>104</v>
      </c>
      <c r="K25" t="s">
        <v>40</v>
      </c>
      <c r="L25">
        <v>39.130000000000003</v>
      </c>
    </row>
    <row r="26" spans="1:12" x14ac:dyDescent="0.3">
      <c r="A26" t="s">
        <v>22</v>
      </c>
      <c r="B26" t="s">
        <v>36</v>
      </c>
      <c r="C26">
        <v>8738</v>
      </c>
      <c r="D26" t="str">
        <f t="shared" si="0"/>
        <v>Full</v>
      </c>
      <c r="E26">
        <v>18403</v>
      </c>
      <c r="F26">
        <v>51.44</v>
      </c>
      <c r="G26">
        <v>125.98</v>
      </c>
      <c r="H26" s="4" t="s">
        <v>105</v>
      </c>
      <c r="I26" t="s">
        <v>106</v>
      </c>
      <c r="J26" t="s">
        <v>107</v>
      </c>
      <c r="K26" t="s">
        <v>16</v>
      </c>
      <c r="L26">
        <v>21.97</v>
      </c>
    </row>
    <row r="27" spans="1:12" x14ac:dyDescent="0.3">
      <c r="A27" t="s">
        <v>80</v>
      </c>
      <c r="B27" t="s">
        <v>36</v>
      </c>
      <c r="C27">
        <v>2464</v>
      </c>
      <c r="D27" t="str">
        <f t="shared" si="0"/>
        <v>Medium</v>
      </c>
      <c r="E27">
        <v>19667</v>
      </c>
      <c r="F27">
        <v>77.63</v>
      </c>
      <c r="G27">
        <v>153.15</v>
      </c>
      <c r="H27" s="4" t="s">
        <v>108</v>
      </c>
      <c r="I27" t="s">
        <v>109</v>
      </c>
      <c r="J27" t="s">
        <v>110</v>
      </c>
      <c r="K27" t="s">
        <v>16</v>
      </c>
      <c r="L27">
        <v>48.6</v>
      </c>
    </row>
    <row r="28" spans="1:12" x14ac:dyDescent="0.3">
      <c r="A28" t="s">
        <v>45</v>
      </c>
      <c r="B28" t="s">
        <v>23</v>
      </c>
      <c r="C28">
        <v>3846</v>
      </c>
      <c r="D28" t="str">
        <f t="shared" si="0"/>
        <v>Full</v>
      </c>
      <c r="E28">
        <v>22945</v>
      </c>
      <c r="F28">
        <v>216.28</v>
      </c>
      <c r="G28">
        <v>326.64999999999998</v>
      </c>
      <c r="H28" s="4" t="s">
        <v>111</v>
      </c>
      <c r="I28" t="s">
        <v>112</v>
      </c>
      <c r="J28" t="s">
        <v>113</v>
      </c>
      <c r="K28" t="s">
        <v>40</v>
      </c>
      <c r="L28">
        <v>126.07</v>
      </c>
    </row>
    <row r="29" spans="1:12" x14ac:dyDescent="0.3">
      <c r="A29" t="s">
        <v>41</v>
      </c>
      <c r="B29" t="s">
        <v>12</v>
      </c>
      <c r="C29">
        <v>8008</v>
      </c>
      <c r="D29" t="str">
        <f t="shared" si="0"/>
        <v>Full</v>
      </c>
      <c r="E29">
        <v>21354</v>
      </c>
      <c r="F29">
        <v>299.54000000000002</v>
      </c>
      <c r="G29">
        <v>747.33</v>
      </c>
      <c r="H29" s="4" t="s">
        <v>114</v>
      </c>
      <c r="I29" t="s">
        <v>61</v>
      </c>
      <c r="J29" t="s">
        <v>115</v>
      </c>
      <c r="K29" t="s">
        <v>16</v>
      </c>
      <c r="L29">
        <v>151.59</v>
      </c>
    </row>
    <row r="30" spans="1:12" x14ac:dyDescent="0.3">
      <c r="A30" t="s">
        <v>76</v>
      </c>
      <c r="B30" t="s">
        <v>12</v>
      </c>
      <c r="C30">
        <v>4502</v>
      </c>
      <c r="D30" t="str">
        <f t="shared" si="0"/>
        <v>Full</v>
      </c>
      <c r="E30">
        <v>13108</v>
      </c>
      <c r="F30">
        <v>89.07</v>
      </c>
      <c r="G30">
        <v>157.62</v>
      </c>
      <c r="H30" s="4" t="s">
        <v>116</v>
      </c>
      <c r="I30" t="s">
        <v>117</v>
      </c>
      <c r="J30" t="s">
        <v>118</v>
      </c>
      <c r="K30" t="s">
        <v>16</v>
      </c>
      <c r="L30">
        <v>70.680000000000007</v>
      </c>
    </row>
    <row r="31" spans="1:12" x14ac:dyDescent="0.3">
      <c r="A31" t="s">
        <v>119</v>
      </c>
      <c r="B31" t="s">
        <v>12</v>
      </c>
      <c r="C31">
        <v>9586</v>
      </c>
      <c r="D31" t="str">
        <f t="shared" si="0"/>
        <v>Full</v>
      </c>
      <c r="E31">
        <v>10810</v>
      </c>
      <c r="F31">
        <v>279.87</v>
      </c>
      <c r="G31">
        <v>373.53</v>
      </c>
      <c r="H31" s="4" t="s">
        <v>120</v>
      </c>
      <c r="I31" t="s">
        <v>121</v>
      </c>
      <c r="J31" t="s">
        <v>122</v>
      </c>
      <c r="K31" t="s">
        <v>27</v>
      </c>
      <c r="L31">
        <v>195.06</v>
      </c>
    </row>
    <row r="32" spans="1:12" x14ac:dyDescent="0.3">
      <c r="A32" t="s">
        <v>123</v>
      </c>
      <c r="B32" t="s">
        <v>23</v>
      </c>
      <c r="C32">
        <v>5116</v>
      </c>
      <c r="D32" t="str">
        <f t="shared" si="0"/>
        <v>Full</v>
      </c>
      <c r="E32">
        <v>20819</v>
      </c>
      <c r="F32">
        <v>67.14</v>
      </c>
      <c r="G32">
        <v>110.5</v>
      </c>
      <c r="H32" s="4" t="s">
        <v>124</v>
      </c>
      <c r="I32" t="s">
        <v>125</v>
      </c>
      <c r="J32" t="s">
        <v>126</v>
      </c>
      <c r="K32" t="s">
        <v>21</v>
      </c>
      <c r="L32">
        <v>33.6</v>
      </c>
    </row>
    <row r="33" spans="1:12" x14ac:dyDescent="0.3">
      <c r="A33" t="s">
        <v>127</v>
      </c>
      <c r="B33" t="s">
        <v>12</v>
      </c>
      <c r="C33">
        <v>7439</v>
      </c>
      <c r="D33" t="str">
        <f t="shared" si="0"/>
        <v>Full</v>
      </c>
      <c r="E33">
        <v>10066</v>
      </c>
      <c r="F33">
        <v>18.010000000000002</v>
      </c>
      <c r="G33">
        <v>29.42</v>
      </c>
      <c r="H33" s="4" t="s">
        <v>128</v>
      </c>
      <c r="I33" t="s">
        <v>129</v>
      </c>
      <c r="J33" t="s">
        <v>130</v>
      </c>
      <c r="K33" t="s">
        <v>98</v>
      </c>
      <c r="L33">
        <v>12.54</v>
      </c>
    </row>
    <row r="34" spans="1:12" x14ac:dyDescent="0.3">
      <c r="A34" t="s">
        <v>66</v>
      </c>
      <c r="B34" t="s">
        <v>36</v>
      </c>
      <c r="C34">
        <v>9689</v>
      </c>
      <c r="D34" t="str">
        <f t="shared" si="0"/>
        <v>Full</v>
      </c>
      <c r="E34">
        <v>1316</v>
      </c>
      <c r="F34">
        <v>38</v>
      </c>
      <c r="G34">
        <v>92.29</v>
      </c>
      <c r="H34" s="4" t="s">
        <v>131</v>
      </c>
      <c r="I34" t="s">
        <v>132</v>
      </c>
      <c r="J34" t="s">
        <v>133</v>
      </c>
      <c r="K34" t="s">
        <v>40</v>
      </c>
      <c r="L34">
        <v>24.05</v>
      </c>
    </row>
    <row r="35" spans="1:12" x14ac:dyDescent="0.3">
      <c r="A35" t="s">
        <v>123</v>
      </c>
      <c r="B35" t="s">
        <v>36</v>
      </c>
      <c r="C35">
        <v>2588</v>
      </c>
      <c r="D35" t="str">
        <f t="shared" si="0"/>
        <v>Medium</v>
      </c>
      <c r="E35">
        <v>2370</v>
      </c>
      <c r="F35">
        <v>95.94</v>
      </c>
      <c r="G35">
        <v>227.25</v>
      </c>
      <c r="H35" s="4" t="s">
        <v>134</v>
      </c>
      <c r="I35" t="s">
        <v>135</v>
      </c>
      <c r="J35" t="s">
        <v>136</v>
      </c>
      <c r="K35" t="s">
        <v>98</v>
      </c>
      <c r="L35">
        <v>63.97</v>
      </c>
    </row>
    <row r="36" spans="1:12" x14ac:dyDescent="0.3">
      <c r="A36" t="s">
        <v>76</v>
      </c>
      <c r="B36" t="s">
        <v>32</v>
      </c>
      <c r="C36">
        <v>7158</v>
      </c>
      <c r="D36" t="str">
        <f t="shared" si="0"/>
        <v>Full</v>
      </c>
      <c r="E36">
        <v>21337</v>
      </c>
      <c r="F36">
        <v>226.1</v>
      </c>
      <c r="G36">
        <v>543.42999999999995</v>
      </c>
      <c r="H36" s="4" t="s">
        <v>137</v>
      </c>
      <c r="I36" t="s">
        <v>138</v>
      </c>
      <c r="J36" t="s">
        <v>139</v>
      </c>
      <c r="K36" t="s">
        <v>21</v>
      </c>
      <c r="L36">
        <v>92.68</v>
      </c>
    </row>
    <row r="37" spans="1:12" x14ac:dyDescent="0.3">
      <c r="A37" t="s">
        <v>45</v>
      </c>
      <c r="B37" t="s">
        <v>36</v>
      </c>
      <c r="C37">
        <v>4565</v>
      </c>
      <c r="D37" t="str">
        <f t="shared" si="0"/>
        <v>Full</v>
      </c>
      <c r="E37">
        <v>9742</v>
      </c>
      <c r="F37">
        <v>51.96</v>
      </c>
      <c r="G37">
        <v>109.72</v>
      </c>
      <c r="H37" s="4" t="s">
        <v>140</v>
      </c>
      <c r="I37" t="s">
        <v>141</v>
      </c>
      <c r="J37" t="s">
        <v>142</v>
      </c>
      <c r="K37" t="s">
        <v>98</v>
      </c>
      <c r="L37">
        <v>24.93</v>
      </c>
    </row>
    <row r="38" spans="1:12" x14ac:dyDescent="0.3">
      <c r="A38" t="s">
        <v>143</v>
      </c>
      <c r="B38" t="s">
        <v>23</v>
      </c>
      <c r="C38">
        <v>5500</v>
      </c>
      <c r="D38" t="str">
        <f t="shared" si="0"/>
        <v>Full</v>
      </c>
      <c r="E38">
        <v>8457</v>
      </c>
      <c r="F38">
        <v>70.760000000000005</v>
      </c>
      <c r="G38">
        <v>145.63</v>
      </c>
      <c r="H38" s="4" t="s">
        <v>144</v>
      </c>
      <c r="I38" t="s">
        <v>145</v>
      </c>
      <c r="J38" t="s">
        <v>146</v>
      </c>
      <c r="K38" t="s">
        <v>27</v>
      </c>
      <c r="L38">
        <v>55.67</v>
      </c>
    </row>
    <row r="39" spans="1:12" x14ac:dyDescent="0.3">
      <c r="A39" t="s">
        <v>147</v>
      </c>
      <c r="B39" t="s">
        <v>23</v>
      </c>
      <c r="C39">
        <v>8846</v>
      </c>
      <c r="D39" t="str">
        <f t="shared" si="0"/>
        <v>Full</v>
      </c>
      <c r="E39">
        <v>14096</v>
      </c>
      <c r="F39">
        <v>205.46</v>
      </c>
      <c r="G39">
        <v>471.89</v>
      </c>
      <c r="H39" s="4" t="s">
        <v>148</v>
      </c>
      <c r="I39" t="s">
        <v>78</v>
      </c>
      <c r="J39" t="s">
        <v>149</v>
      </c>
      <c r="K39" t="s">
        <v>40</v>
      </c>
      <c r="L39">
        <v>96.86</v>
      </c>
    </row>
    <row r="40" spans="1:12" x14ac:dyDescent="0.3">
      <c r="A40" t="s">
        <v>147</v>
      </c>
      <c r="B40" t="s">
        <v>12</v>
      </c>
      <c r="C40">
        <v>2276</v>
      </c>
      <c r="D40" t="str">
        <f t="shared" si="0"/>
        <v>Medium</v>
      </c>
      <c r="E40">
        <v>20548</v>
      </c>
      <c r="F40">
        <v>133.19999999999999</v>
      </c>
      <c r="G40">
        <v>285.99</v>
      </c>
      <c r="H40" s="4" t="s">
        <v>150</v>
      </c>
      <c r="I40" t="s">
        <v>151</v>
      </c>
      <c r="J40" t="s">
        <v>152</v>
      </c>
      <c r="K40" t="s">
        <v>16</v>
      </c>
      <c r="L40">
        <v>59.44</v>
      </c>
    </row>
    <row r="41" spans="1:12" x14ac:dyDescent="0.3">
      <c r="A41" t="s">
        <v>22</v>
      </c>
      <c r="B41" t="s">
        <v>84</v>
      </c>
      <c r="C41">
        <v>4673</v>
      </c>
      <c r="D41" t="str">
        <f t="shared" si="0"/>
        <v>Full</v>
      </c>
      <c r="E41">
        <v>2454</v>
      </c>
      <c r="F41">
        <v>214.09</v>
      </c>
      <c r="G41">
        <v>257.38</v>
      </c>
      <c r="H41" s="4" t="s">
        <v>153</v>
      </c>
      <c r="I41" t="s">
        <v>154</v>
      </c>
      <c r="J41" t="s">
        <v>155</v>
      </c>
      <c r="K41" t="s">
        <v>98</v>
      </c>
      <c r="L41">
        <v>116.83</v>
      </c>
    </row>
    <row r="42" spans="1:12" x14ac:dyDescent="0.3">
      <c r="A42" t="s">
        <v>41</v>
      </c>
      <c r="B42" t="s">
        <v>23</v>
      </c>
      <c r="C42">
        <v>5643</v>
      </c>
      <c r="D42" t="str">
        <f t="shared" si="0"/>
        <v>Full</v>
      </c>
      <c r="E42">
        <v>22737</v>
      </c>
      <c r="F42">
        <v>255.16</v>
      </c>
      <c r="G42">
        <v>544.94000000000005</v>
      </c>
      <c r="H42" s="4" t="s">
        <v>156</v>
      </c>
      <c r="I42" t="s">
        <v>64</v>
      </c>
      <c r="J42" t="s">
        <v>157</v>
      </c>
      <c r="K42" t="s">
        <v>21</v>
      </c>
      <c r="L42">
        <v>135.36000000000001</v>
      </c>
    </row>
    <row r="43" spans="1:12" x14ac:dyDescent="0.3">
      <c r="A43" t="s">
        <v>31</v>
      </c>
      <c r="B43" t="s">
        <v>32</v>
      </c>
      <c r="C43">
        <v>2585</v>
      </c>
      <c r="D43" t="str">
        <f t="shared" si="0"/>
        <v>Medium</v>
      </c>
      <c r="E43">
        <v>7286</v>
      </c>
      <c r="F43">
        <v>129.03</v>
      </c>
      <c r="G43">
        <v>312.57</v>
      </c>
      <c r="H43" s="4" t="s">
        <v>158</v>
      </c>
      <c r="I43" t="s">
        <v>159</v>
      </c>
      <c r="J43" t="s">
        <v>160</v>
      </c>
      <c r="K43" t="s">
        <v>16</v>
      </c>
      <c r="L43">
        <v>67.14</v>
      </c>
    </row>
    <row r="44" spans="1:12" x14ac:dyDescent="0.3">
      <c r="A44" t="s">
        <v>66</v>
      </c>
      <c r="B44" t="s">
        <v>12</v>
      </c>
      <c r="C44">
        <v>5478</v>
      </c>
      <c r="D44" t="str">
        <f t="shared" si="0"/>
        <v>Full</v>
      </c>
      <c r="E44">
        <v>10401</v>
      </c>
      <c r="F44">
        <v>67</v>
      </c>
      <c r="G44">
        <v>148.84</v>
      </c>
      <c r="H44" s="4" t="s">
        <v>161</v>
      </c>
      <c r="I44" t="s">
        <v>162</v>
      </c>
      <c r="J44" t="s">
        <v>163</v>
      </c>
      <c r="K44" t="s">
        <v>21</v>
      </c>
      <c r="L44">
        <v>38.64</v>
      </c>
    </row>
    <row r="45" spans="1:12" x14ac:dyDescent="0.3">
      <c r="A45" t="s">
        <v>88</v>
      </c>
      <c r="B45" t="s">
        <v>32</v>
      </c>
      <c r="C45">
        <v>8252</v>
      </c>
      <c r="D45" t="str">
        <f t="shared" si="0"/>
        <v>Full</v>
      </c>
      <c r="E45">
        <v>6560</v>
      </c>
      <c r="F45">
        <v>199.36</v>
      </c>
      <c r="G45">
        <v>312.77999999999997</v>
      </c>
      <c r="H45" s="4" t="s">
        <v>164</v>
      </c>
      <c r="I45" t="s">
        <v>165</v>
      </c>
      <c r="J45" t="s">
        <v>166</v>
      </c>
      <c r="K45" t="s">
        <v>40</v>
      </c>
      <c r="L45">
        <v>87.19</v>
      </c>
    </row>
    <row r="46" spans="1:12" x14ac:dyDescent="0.3">
      <c r="A46" t="s">
        <v>80</v>
      </c>
      <c r="B46" t="s">
        <v>23</v>
      </c>
      <c r="C46">
        <v>4180</v>
      </c>
      <c r="D46" t="str">
        <f t="shared" si="0"/>
        <v>Full</v>
      </c>
      <c r="E46">
        <v>7525</v>
      </c>
      <c r="F46">
        <v>48.47</v>
      </c>
      <c r="G46">
        <v>61.08</v>
      </c>
      <c r="H46" s="4" t="s">
        <v>167</v>
      </c>
      <c r="I46" t="s">
        <v>168</v>
      </c>
      <c r="J46" t="s">
        <v>169</v>
      </c>
      <c r="K46" t="s">
        <v>21</v>
      </c>
      <c r="L46">
        <v>27.42</v>
      </c>
    </row>
    <row r="47" spans="1:12" x14ac:dyDescent="0.3">
      <c r="A47" t="s">
        <v>22</v>
      </c>
      <c r="B47" t="s">
        <v>84</v>
      </c>
      <c r="C47">
        <v>6791</v>
      </c>
      <c r="D47" t="str">
        <f t="shared" si="0"/>
        <v>Full</v>
      </c>
      <c r="E47">
        <v>17199</v>
      </c>
      <c r="F47">
        <v>122.9</v>
      </c>
      <c r="G47">
        <v>171.06</v>
      </c>
      <c r="H47" s="4" t="s">
        <v>170</v>
      </c>
      <c r="I47" t="s">
        <v>171</v>
      </c>
      <c r="J47" t="s">
        <v>172</v>
      </c>
      <c r="K47" t="s">
        <v>98</v>
      </c>
      <c r="L47">
        <v>57.81</v>
      </c>
    </row>
    <row r="48" spans="1:12" x14ac:dyDescent="0.3">
      <c r="A48" t="s">
        <v>119</v>
      </c>
      <c r="B48" t="s">
        <v>36</v>
      </c>
      <c r="C48">
        <v>1322</v>
      </c>
      <c r="D48" t="str">
        <f t="shared" si="0"/>
        <v>Medium</v>
      </c>
      <c r="E48">
        <v>19265</v>
      </c>
      <c r="F48">
        <v>78.510000000000005</v>
      </c>
      <c r="G48">
        <v>180.8</v>
      </c>
      <c r="H48" s="4" t="s">
        <v>173</v>
      </c>
      <c r="I48" t="s">
        <v>174</v>
      </c>
      <c r="J48" t="s">
        <v>175</v>
      </c>
      <c r="K48" t="s">
        <v>16</v>
      </c>
      <c r="L48">
        <v>62.43</v>
      </c>
    </row>
    <row r="49" spans="1:12" x14ac:dyDescent="0.3">
      <c r="A49" t="s">
        <v>176</v>
      </c>
      <c r="B49" t="s">
        <v>23</v>
      </c>
      <c r="C49">
        <v>7751</v>
      </c>
      <c r="D49" t="str">
        <f t="shared" si="0"/>
        <v>Full</v>
      </c>
      <c r="E49">
        <v>21075</v>
      </c>
      <c r="F49">
        <v>245.43</v>
      </c>
      <c r="G49">
        <v>579.12</v>
      </c>
      <c r="H49" s="4" t="s">
        <v>177</v>
      </c>
      <c r="I49" t="s">
        <v>178</v>
      </c>
      <c r="J49" t="s">
        <v>179</v>
      </c>
      <c r="K49" t="s">
        <v>98</v>
      </c>
      <c r="L49">
        <v>171.18</v>
      </c>
    </row>
    <row r="50" spans="1:12" x14ac:dyDescent="0.3">
      <c r="A50" t="s">
        <v>49</v>
      </c>
      <c r="B50" t="s">
        <v>36</v>
      </c>
      <c r="C50">
        <v>4746</v>
      </c>
      <c r="D50" t="str">
        <f t="shared" si="0"/>
        <v>Full</v>
      </c>
      <c r="E50">
        <v>9101</v>
      </c>
      <c r="F50">
        <v>252.76</v>
      </c>
      <c r="G50">
        <v>394.43</v>
      </c>
      <c r="H50" s="4" t="s">
        <v>180</v>
      </c>
      <c r="I50" t="s">
        <v>181</v>
      </c>
      <c r="J50" t="s">
        <v>182</v>
      </c>
      <c r="K50" t="s">
        <v>98</v>
      </c>
      <c r="L50">
        <v>128.87</v>
      </c>
    </row>
    <row r="51" spans="1:12" x14ac:dyDescent="0.3">
      <c r="A51" t="s">
        <v>41</v>
      </c>
      <c r="B51" t="s">
        <v>23</v>
      </c>
      <c r="C51">
        <v>4341</v>
      </c>
      <c r="D51" t="str">
        <f t="shared" si="0"/>
        <v>Full</v>
      </c>
      <c r="E51">
        <v>9903</v>
      </c>
      <c r="F51">
        <v>104.08</v>
      </c>
      <c r="G51">
        <v>245.73</v>
      </c>
      <c r="H51" s="4" t="s">
        <v>105</v>
      </c>
      <c r="I51" t="s">
        <v>183</v>
      </c>
      <c r="J51" t="s">
        <v>184</v>
      </c>
      <c r="K51" t="s">
        <v>98</v>
      </c>
      <c r="L51">
        <v>57.58</v>
      </c>
    </row>
    <row r="52" spans="1:12" x14ac:dyDescent="0.3">
      <c r="A52" t="s">
        <v>123</v>
      </c>
      <c r="B52" t="s">
        <v>84</v>
      </c>
      <c r="C52">
        <v>1552</v>
      </c>
      <c r="D52" t="str">
        <f t="shared" si="0"/>
        <v>Medium</v>
      </c>
      <c r="E52">
        <v>14594</v>
      </c>
      <c r="F52">
        <v>125.24</v>
      </c>
      <c r="G52">
        <v>238.63</v>
      </c>
      <c r="H52" s="4" t="s">
        <v>185</v>
      </c>
      <c r="I52" t="s">
        <v>186</v>
      </c>
      <c r="J52" t="s">
        <v>187</v>
      </c>
      <c r="K52" t="s">
        <v>21</v>
      </c>
      <c r="L52">
        <v>69.61</v>
      </c>
    </row>
    <row r="53" spans="1:12" x14ac:dyDescent="0.3">
      <c r="A53" t="s">
        <v>22</v>
      </c>
      <c r="B53" t="s">
        <v>12</v>
      </c>
      <c r="C53">
        <v>9932</v>
      </c>
      <c r="D53" t="str">
        <f t="shared" si="0"/>
        <v>Full</v>
      </c>
      <c r="E53">
        <v>13464</v>
      </c>
      <c r="F53">
        <v>145.71</v>
      </c>
      <c r="G53">
        <v>353.43</v>
      </c>
      <c r="H53" s="4" t="s">
        <v>188</v>
      </c>
      <c r="I53" t="s">
        <v>189</v>
      </c>
      <c r="J53" t="s">
        <v>190</v>
      </c>
      <c r="K53" t="s">
        <v>16</v>
      </c>
      <c r="L53">
        <v>101.85</v>
      </c>
    </row>
    <row r="54" spans="1:12" x14ac:dyDescent="0.3">
      <c r="A54" t="s">
        <v>66</v>
      </c>
      <c r="B54" t="s">
        <v>32</v>
      </c>
      <c r="C54">
        <v>4113</v>
      </c>
      <c r="D54" t="str">
        <f t="shared" si="0"/>
        <v>Full</v>
      </c>
      <c r="E54">
        <v>16998</v>
      </c>
      <c r="F54">
        <v>69.73</v>
      </c>
      <c r="G54">
        <v>123.18</v>
      </c>
      <c r="H54" s="4" t="s">
        <v>191</v>
      </c>
      <c r="I54" t="s">
        <v>192</v>
      </c>
      <c r="J54" t="s">
        <v>193</v>
      </c>
      <c r="K54" t="s">
        <v>21</v>
      </c>
      <c r="L54">
        <v>48.09</v>
      </c>
    </row>
    <row r="55" spans="1:12" x14ac:dyDescent="0.3">
      <c r="A55" t="s">
        <v>143</v>
      </c>
      <c r="B55" t="s">
        <v>84</v>
      </c>
      <c r="C55">
        <v>9251</v>
      </c>
      <c r="D55" t="str">
        <f t="shared" si="0"/>
        <v>Full</v>
      </c>
      <c r="E55">
        <v>1883</v>
      </c>
      <c r="F55">
        <v>272.54000000000002</v>
      </c>
      <c r="G55">
        <v>536.76</v>
      </c>
      <c r="H55" s="4" t="s">
        <v>194</v>
      </c>
      <c r="I55" t="s">
        <v>195</v>
      </c>
      <c r="J55" t="s">
        <v>196</v>
      </c>
      <c r="K55" t="s">
        <v>21</v>
      </c>
      <c r="L55">
        <v>123.81</v>
      </c>
    </row>
    <row r="56" spans="1:12" x14ac:dyDescent="0.3">
      <c r="A56" t="s">
        <v>143</v>
      </c>
      <c r="B56" t="s">
        <v>84</v>
      </c>
      <c r="C56">
        <v>1323</v>
      </c>
      <c r="D56" t="str">
        <f t="shared" si="0"/>
        <v>Medium</v>
      </c>
      <c r="E56">
        <v>9524</v>
      </c>
      <c r="F56">
        <v>116.84</v>
      </c>
      <c r="G56">
        <v>172.36</v>
      </c>
      <c r="H56" s="4" t="s">
        <v>197</v>
      </c>
      <c r="I56" t="s">
        <v>198</v>
      </c>
      <c r="J56" t="s">
        <v>199</v>
      </c>
      <c r="K56" t="s">
        <v>40</v>
      </c>
      <c r="L56">
        <v>81.88</v>
      </c>
    </row>
    <row r="57" spans="1:12" x14ac:dyDescent="0.3">
      <c r="A57" t="s">
        <v>200</v>
      </c>
      <c r="B57" t="s">
        <v>23</v>
      </c>
      <c r="C57">
        <v>1841</v>
      </c>
      <c r="D57" t="str">
        <f t="shared" si="0"/>
        <v>Medium</v>
      </c>
      <c r="E57">
        <v>16411</v>
      </c>
      <c r="F57">
        <v>10.72</v>
      </c>
      <c r="G57">
        <v>20.38</v>
      </c>
      <c r="H57" s="4" t="s">
        <v>201</v>
      </c>
      <c r="I57" t="s">
        <v>202</v>
      </c>
      <c r="J57" t="s">
        <v>203</v>
      </c>
      <c r="K57" t="s">
        <v>27</v>
      </c>
      <c r="L57">
        <v>7.64</v>
      </c>
    </row>
    <row r="58" spans="1:12" x14ac:dyDescent="0.3">
      <c r="A58" t="s">
        <v>127</v>
      </c>
      <c r="B58" t="s">
        <v>12</v>
      </c>
      <c r="C58">
        <v>4551</v>
      </c>
      <c r="D58" t="str">
        <f t="shared" si="0"/>
        <v>Full</v>
      </c>
      <c r="E58">
        <v>7532</v>
      </c>
      <c r="F58">
        <v>252.57</v>
      </c>
      <c r="G58">
        <v>507.09</v>
      </c>
      <c r="H58" s="4" t="s">
        <v>204</v>
      </c>
      <c r="I58" t="s">
        <v>205</v>
      </c>
      <c r="J58" t="s">
        <v>206</v>
      </c>
      <c r="K58" t="s">
        <v>27</v>
      </c>
      <c r="L58">
        <v>158</v>
      </c>
    </row>
    <row r="59" spans="1:12" x14ac:dyDescent="0.3">
      <c r="A59" t="s">
        <v>88</v>
      </c>
      <c r="B59" t="s">
        <v>36</v>
      </c>
      <c r="C59">
        <v>4698</v>
      </c>
      <c r="D59" t="str">
        <f t="shared" si="0"/>
        <v>Full</v>
      </c>
      <c r="E59">
        <v>13087</v>
      </c>
      <c r="F59">
        <v>54.5</v>
      </c>
      <c r="G59">
        <v>108.42</v>
      </c>
      <c r="H59" s="4" t="s">
        <v>207</v>
      </c>
      <c r="I59" t="s">
        <v>124</v>
      </c>
      <c r="J59" t="s">
        <v>208</v>
      </c>
      <c r="K59" t="s">
        <v>27</v>
      </c>
      <c r="L59">
        <v>34.42</v>
      </c>
    </row>
    <row r="60" spans="1:12" x14ac:dyDescent="0.3">
      <c r="A60" t="s">
        <v>31</v>
      </c>
      <c r="B60" t="s">
        <v>32</v>
      </c>
      <c r="C60">
        <v>6649</v>
      </c>
      <c r="D60" t="str">
        <f t="shared" si="0"/>
        <v>Full</v>
      </c>
      <c r="E60">
        <v>13997</v>
      </c>
      <c r="F60">
        <v>282.73</v>
      </c>
      <c r="G60">
        <v>412.17</v>
      </c>
      <c r="H60" s="4" t="s">
        <v>209</v>
      </c>
      <c r="I60" t="s">
        <v>210</v>
      </c>
      <c r="J60" t="s">
        <v>211</v>
      </c>
      <c r="K60" t="s">
        <v>98</v>
      </c>
      <c r="L60">
        <v>124.62</v>
      </c>
    </row>
    <row r="61" spans="1:12" x14ac:dyDescent="0.3">
      <c r="A61" t="s">
        <v>31</v>
      </c>
      <c r="B61" t="s">
        <v>32</v>
      </c>
      <c r="C61">
        <v>2483</v>
      </c>
      <c r="D61" t="str">
        <f t="shared" si="0"/>
        <v>Medium</v>
      </c>
      <c r="E61">
        <v>19544</v>
      </c>
      <c r="F61">
        <v>235.88</v>
      </c>
      <c r="G61">
        <v>389.52</v>
      </c>
      <c r="H61" s="4" t="s">
        <v>212</v>
      </c>
      <c r="I61" t="s">
        <v>213</v>
      </c>
      <c r="J61" t="s">
        <v>214</v>
      </c>
      <c r="K61" t="s">
        <v>27</v>
      </c>
      <c r="L61">
        <v>142.09</v>
      </c>
    </row>
    <row r="62" spans="1:12" x14ac:dyDescent="0.3">
      <c r="A62" t="s">
        <v>45</v>
      </c>
      <c r="B62" t="s">
        <v>12</v>
      </c>
      <c r="C62">
        <v>7382</v>
      </c>
      <c r="D62" t="str">
        <f t="shared" si="0"/>
        <v>Full</v>
      </c>
      <c r="E62">
        <v>17062</v>
      </c>
      <c r="F62">
        <v>36.130000000000003</v>
      </c>
      <c r="G62">
        <v>88.48</v>
      </c>
      <c r="H62" s="4" t="s">
        <v>215</v>
      </c>
      <c r="I62" t="s">
        <v>216</v>
      </c>
      <c r="J62" t="s">
        <v>217</v>
      </c>
      <c r="K62" t="s">
        <v>21</v>
      </c>
      <c r="L62">
        <v>17</v>
      </c>
    </row>
    <row r="63" spans="1:12" x14ac:dyDescent="0.3">
      <c r="A63" t="s">
        <v>119</v>
      </c>
      <c r="B63" t="s">
        <v>23</v>
      </c>
      <c r="C63">
        <v>9317</v>
      </c>
      <c r="D63" t="str">
        <f t="shared" si="0"/>
        <v>Full</v>
      </c>
      <c r="E63">
        <v>16843</v>
      </c>
      <c r="F63">
        <v>142.13999999999999</v>
      </c>
      <c r="G63">
        <v>323.14999999999998</v>
      </c>
      <c r="H63" s="4" t="s">
        <v>209</v>
      </c>
      <c r="I63" t="s">
        <v>218</v>
      </c>
      <c r="J63" t="s">
        <v>219</v>
      </c>
      <c r="K63" t="s">
        <v>98</v>
      </c>
      <c r="L63">
        <v>104.09</v>
      </c>
    </row>
    <row r="64" spans="1:12" x14ac:dyDescent="0.3">
      <c r="A64" t="s">
        <v>41</v>
      </c>
      <c r="B64" t="s">
        <v>23</v>
      </c>
      <c r="C64">
        <v>7885</v>
      </c>
      <c r="D64" t="str">
        <f t="shared" si="0"/>
        <v>Full</v>
      </c>
      <c r="E64">
        <v>8990</v>
      </c>
      <c r="F64">
        <v>226.39</v>
      </c>
      <c r="G64">
        <v>439.38</v>
      </c>
      <c r="H64" s="4" t="s">
        <v>220</v>
      </c>
      <c r="I64" t="s">
        <v>221</v>
      </c>
      <c r="J64" t="s">
        <v>222</v>
      </c>
      <c r="K64" t="s">
        <v>27</v>
      </c>
      <c r="L64">
        <v>135.32</v>
      </c>
    </row>
    <row r="65" spans="1:12" x14ac:dyDescent="0.3">
      <c r="A65" t="s">
        <v>45</v>
      </c>
      <c r="B65" t="s">
        <v>84</v>
      </c>
      <c r="C65">
        <v>8488</v>
      </c>
      <c r="D65" t="str">
        <f t="shared" si="0"/>
        <v>Full</v>
      </c>
      <c r="E65">
        <v>7950</v>
      </c>
      <c r="F65">
        <v>109.67</v>
      </c>
      <c r="G65">
        <v>168.44</v>
      </c>
      <c r="H65" s="4" t="s">
        <v>223</v>
      </c>
      <c r="I65" t="s">
        <v>224</v>
      </c>
      <c r="J65" t="s">
        <v>225</v>
      </c>
      <c r="K65" t="s">
        <v>16</v>
      </c>
      <c r="L65">
        <v>44.31</v>
      </c>
    </row>
    <row r="66" spans="1:12" x14ac:dyDescent="0.3">
      <c r="A66" t="s">
        <v>88</v>
      </c>
      <c r="B66" t="s">
        <v>12</v>
      </c>
      <c r="C66">
        <v>4454</v>
      </c>
      <c r="D66" t="str">
        <f t="shared" si="0"/>
        <v>Full</v>
      </c>
      <c r="E66">
        <v>24595</v>
      </c>
      <c r="F66">
        <v>124.9</v>
      </c>
      <c r="G66">
        <v>240.02</v>
      </c>
      <c r="H66" s="4" t="s">
        <v>226</v>
      </c>
      <c r="I66" t="s">
        <v>227</v>
      </c>
      <c r="J66" t="s">
        <v>228</v>
      </c>
      <c r="K66" t="s">
        <v>21</v>
      </c>
      <c r="L66">
        <v>72.349999999999994</v>
      </c>
    </row>
    <row r="67" spans="1:12" x14ac:dyDescent="0.3">
      <c r="A67" t="s">
        <v>17</v>
      </c>
      <c r="B67" t="s">
        <v>12</v>
      </c>
      <c r="C67">
        <v>5320</v>
      </c>
      <c r="D67" t="str">
        <f t="shared" ref="D67:D130" si="1">IF(C67&lt;1000,"Low",IF(C67&lt;=3000,"Medium","Full"))</f>
        <v>Full</v>
      </c>
      <c r="E67">
        <v>8261</v>
      </c>
      <c r="F67">
        <v>124.3</v>
      </c>
      <c r="G67">
        <v>188.48</v>
      </c>
      <c r="H67" s="4" t="s">
        <v>164</v>
      </c>
      <c r="I67" t="s">
        <v>229</v>
      </c>
      <c r="J67" t="s">
        <v>230</v>
      </c>
      <c r="K67" t="s">
        <v>21</v>
      </c>
      <c r="L67">
        <v>77.239999999999995</v>
      </c>
    </row>
    <row r="68" spans="1:12" x14ac:dyDescent="0.3">
      <c r="A68" t="s">
        <v>76</v>
      </c>
      <c r="B68" t="s">
        <v>36</v>
      </c>
      <c r="C68">
        <v>9517</v>
      </c>
      <c r="D68" t="str">
        <f t="shared" si="1"/>
        <v>Full</v>
      </c>
      <c r="E68">
        <v>11839</v>
      </c>
      <c r="F68">
        <v>108.78</v>
      </c>
      <c r="G68">
        <v>194.7</v>
      </c>
      <c r="H68" s="4" t="s">
        <v>231</v>
      </c>
      <c r="I68" t="s">
        <v>232</v>
      </c>
      <c r="J68" t="s">
        <v>233</v>
      </c>
      <c r="K68" t="s">
        <v>27</v>
      </c>
      <c r="L68">
        <v>74.900000000000006</v>
      </c>
    </row>
    <row r="69" spans="1:12" x14ac:dyDescent="0.3">
      <c r="A69" t="s">
        <v>45</v>
      </c>
      <c r="B69" t="s">
        <v>12</v>
      </c>
      <c r="C69">
        <v>9279</v>
      </c>
      <c r="D69" t="str">
        <f t="shared" si="1"/>
        <v>Full</v>
      </c>
      <c r="E69">
        <v>23615</v>
      </c>
      <c r="F69">
        <v>59.62</v>
      </c>
      <c r="G69">
        <v>88.32</v>
      </c>
      <c r="H69" s="4" t="s">
        <v>234</v>
      </c>
      <c r="I69" t="s">
        <v>235</v>
      </c>
      <c r="J69" t="s">
        <v>236</v>
      </c>
      <c r="K69" t="s">
        <v>16</v>
      </c>
      <c r="L69">
        <v>38.08</v>
      </c>
    </row>
    <row r="70" spans="1:12" x14ac:dyDescent="0.3">
      <c r="A70" t="s">
        <v>11</v>
      </c>
      <c r="B70" t="s">
        <v>84</v>
      </c>
      <c r="C70">
        <v>5353</v>
      </c>
      <c r="D70" t="str">
        <f t="shared" si="1"/>
        <v>Full</v>
      </c>
      <c r="E70">
        <v>8454</v>
      </c>
      <c r="F70">
        <v>111.46</v>
      </c>
      <c r="G70">
        <v>177.55</v>
      </c>
      <c r="H70" s="4" t="s">
        <v>237</v>
      </c>
      <c r="I70" t="s">
        <v>238</v>
      </c>
      <c r="J70" t="s">
        <v>239</v>
      </c>
      <c r="K70" t="s">
        <v>27</v>
      </c>
      <c r="L70">
        <v>88.02</v>
      </c>
    </row>
    <row r="71" spans="1:12" x14ac:dyDescent="0.3">
      <c r="A71" t="s">
        <v>66</v>
      </c>
      <c r="B71" t="s">
        <v>23</v>
      </c>
      <c r="C71">
        <v>2568</v>
      </c>
      <c r="D71" t="str">
        <f t="shared" si="1"/>
        <v>Medium</v>
      </c>
      <c r="E71">
        <v>21901</v>
      </c>
      <c r="F71">
        <v>261.2</v>
      </c>
      <c r="G71">
        <v>480.12</v>
      </c>
      <c r="H71" s="4" t="s">
        <v>240</v>
      </c>
      <c r="I71" t="s">
        <v>241</v>
      </c>
      <c r="J71" t="s">
        <v>242</v>
      </c>
      <c r="K71" t="s">
        <v>21</v>
      </c>
      <c r="L71">
        <v>154.5</v>
      </c>
    </row>
    <row r="72" spans="1:12" x14ac:dyDescent="0.3">
      <c r="A72" t="s">
        <v>45</v>
      </c>
      <c r="B72" t="s">
        <v>84</v>
      </c>
      <c r="C72">
        <v>1341</v>
      </c>
      <c r="D72" t="str">
        <f t="shared" si="1"/>
        <v>Medium</v>
      </c>
      <c r="E72">
        <v>9273</v>
      </c>
      <c r="F72">
        <v>282.61</v>
      </c>
      <c r="G72">
        <v>514.65</v>
      </c>
      <c r="H72" s="4" t="s">
        <v>243</v>
      </c>
      <c r="I72" t="s">
        <v>244</v>
      </c>
      <c r="J72" t="s">
        <v>245</v>
      </c>
      <c r="K72" t="s">
        <v>27</v>
      </c>
      <c r="L72">
        <v>178.27</v>
      </c>
    </row>
    <row r="73" spans="1:12" x14ac:dyDescent="0.3">
      <c r="A73" t="s">
        <v>127</v>
      </c>
      <c r="B73" t="s">
        <v>84</v>
      </c>
      <c r="C73">
        <v>2944</v>
      </c>
      <c r="D73" t="str">
        <f t="shared" si="1"/>
        <v>Medium</v>
      </c>
      <c r="E73">
        <v>19443</v>
      </c>
      <c r="F73">
        <v>284.99</v>
      </c>
      <c r="G73">
        <v>373.55</v>
      </c>
      <c r="H73" s="4" t="s">
        <v>246</v>
      </c>
      <c r="I73" t="s">
        <v>247</v>
      </c>
      <c r="J73" t="s">
        <v>248</v>
      </c>
      <c r="K73" t="s">
        <v>21</v>
      </c>
      <c r="L73">
        <v>183.11</v>
      </c>
    </row>
    <row r="74" spans="1:12" x14ac:dyDescent="0.3">
      <c r="A74" t="s">
        <v>176</v>
      </c>
      <c r="B74" t="s">
        <v>84</v>
      </c>
      <c r="C74">
        <v>9061</v>
      </c>
      <c r="D74" t="str">
        <f t="shared" si="1"/>
        <v>Full</v>
      </c>
      <c r="E74">
        <v>13464</v>
      </c>
      <c r="F74">
        <v>137.9</v>
      </c>
      <c r="G74">
        <v>244.85</v>
      </c>
      <c r="H74" s="4" t="s">
        <v>249</v>
      </c>
      <c r="I74" t="s">
        <v>250</v>
      </c>
      <c r="J74" t="s">
        <v>251</v>
      </c>
      <c r="K74" t="s">
        <v>16</v>
      </c>
      <c r="L74">
        <v>89.42</v>
      </c>
    </row>
    <row r="75" spans="1:12" x14ac:dyDescent="0.3">
      <c r="A75" t="s">
        <v>176</v>
      </c>
      <c r="B75" t="s">
        <v>12</v>
      </c>
      <c r="C75">
        <v>3904</v>
      </c>
      <c r="D75" t="str">
        <f t="shared" si="1"/>
        <v>Full</v>
      </c>
      <c r="E75">
        <v>21496</v>
      </c>
      <c r="F75">
        <v>67.25</v>
      </c>
      <c r="G75">
        <v>138.44</v>
      </c>
      <c r="H75" s="4" t="s">
        <v>252</v>
      </c>
      <c r="I75" t="s">
        <v>253</v>
      </c>
      <c r="J75" t="s">
        <v>254</v>
      </c>
      <c r="K75" t="s">
        <v>16</v>
      </c>
      <c r="L75">
        <v>28.92</v>
      </c>
    </row>
    <row r="76" spans="1:12" x14ac:dyDescent="0.3">
      <c r="A76" t="s">
        <v>17</v>
      </c>
      <c r="B76" t="s">
        <v>36</v>
      </c>
      <c r="C76">
        <v>7881</v>
      </c>
      <c r="D76" t="str">
        <f t="shared" si="1"/>
        <v>Full</v>
      </c>
      <c r="E76">
        <v>23589</v>
      </c>
      <c r="F76">
        <v>180.17</v>
      </c>
      <c r="G76">
        <v>284.42</v>
      </c>
      <c r="H76" s="4" t="s">
        <v>255</v>
      </c>
      <c r="I76" t="s">
        <v>256</v>
      </c>
      <c r="J76" t="s">
        <v>257</v>
      </c>
      <c r="K76" t="s">
        <v>21</v>
      </c>
      <c r="L76">
        <v>77.2</v>
      </c>
    </row>
    <row r="77" spans="1:12" x14ac:dyDescent="0.3">
      <c r="A77" t="s">
        <v>80</v>
      </c>
      <c r="B77" t="s">
        <v>23</v>
      </c>
      <c r="C77">
        <v>3741</v>
      </c>
      <c r="D77" t="str">
        <f t="shared" si="1"/>
        <v>Full</v>
      </c>
      <c r="E77">
        <v>14930</v>
      </c>
      <c r="F77">
        <v>38.86</v>
      </c>
      <c r="G77">
        <v>57.99</v>
      </c>
      <c r="H77" s="4" t="s">
        <v>131</v>
      </c>
      <c r="I77" t="s">
        <v>258</v>
      </c>
      <c r="J77" t="s">
        <v>259</v>
      </c>
      <c r="K77" t="s">
        <v>27</v>
      </c>
      <c r="L77">
        <v>16.47</v>
      </c>
    </row>
    <row r="78" spans="1:12" x14ac:dyDescent="0.3">
      <c r="A78" t="s">
        <v>31</v>
      </c>
      <c r="B78" t="s">
        <v>32</v>
      </c>
      <c r="C78">
        <v>9825</v>
      </c>
      <c r="D78" t="str">
        <f t="shared" si="1"/>
        <v>Full</v>
      </c>
      <c r="E78">
        <v>10457</v>
      </c>
      <c r="F78">
        <v>134.55000000000001</v>
      </c>
      <c r="G78">
        <v>243.44</v>
      </c>
      <c r="H78" s="4" t="s">
        <v>260</v>
      </c>
      <c r="I78" t="s">
        <v>261</v>
      </c>
      <c r="J78" t="s">
        <v>262</v>
      </c>
      <c r="K78" t="s">
        <v>40</v>
      </c>
      <c r="L78">
        <v>80.760000000000005</v>
      </c>
    </row>
    <row r="79" spans="1:12" x14ac:dyDescent="0.3">
      <c r="A79" t="s">
        <v>49</v>
      </c>
      <c r="B79" t="s">
        <v>36</v>
      </c>
      <c r="C79">
        <v>1817</v>
      </c>
      <c r="D79" t="str">
        <f t="shared" si="1"/>
        <v>Medium</v>
      </c>
      <c r="E79">
        <v>20596</v>
      </c>
      <c r="F79">
        <v>16.760000000000002</v>
      </c>
      <c r="G79">
        <v>29.53</v>
      </c>
      <c r="H79" s="4" t="s">
        <v>263</v>
      </c>
      <c r="I79" t="s">
        <v>264</v>
      </c>
      <c r="J79" t="s">
        <v>265</v>
      </c>
      <c r="K79" t="s">
        <v>27</v>
      </c>
      <c r="L79">
        <v>7.32</v>
      </c>
    </row>
    <row r="80" spans="1:12" x14ac:dyDescent="0.3">
      <c r="A80" t="s">
        <v>22</v>
      </c>
      <c r="B80" t="s">
        <v>32</v>
      </c>
      <c r="C80">
        <v>839</v>
      </c>
      <c r="D80" t="str">
        <f t="shared" si="1"/>
        <v>Low</v>
      </c>
      <c r="E80">
        <v>23029</v>
      </c>
      <c r="F80">
        <v>247.32</v>
      </c>
      <c r="G80">
        <v>482.06</v>
      </c>
      <c r="H80" s="4" t="s">
        <v>266</v>
      </c>
      <c r="I80" t="s">
        <v>267</v>
      </c>
      <c r="J80" t="s">
        <v>268</v>
      </c>
      <c r="K80" t="s">
        <v>21</v>
      </c>
      <c r="L80">
        <v>189.55</v>
      </c>
    </row>
    <row r="81" spans="1:12" x14ac:dyDescent="0.3">
      <c r="A81" t="s">
        <v>56</v>
      </c>
      <c r="B81" t="s">
        <v>32</v>
      </c>
      <c r="C81">
        <v>7641</v>
      </c>
      <c r="D81" t="str">
        <f t="shared" si="1"/>
        <v>Full</v>
      </c>
      <c r="E81">
        <v>21800</v>
      </c>
      <c r="F81">
        <v>245.2</v>
      </c>
      <c r="G81">
        <v>603.14</v>
      </c>
      <c r="H81" s="4" t="s">
        <v>269</v>
      </c>
      <c r="I81" t="s">
        <v>270</v>
      </c>
      <c r="J81" t="s">
        <v>271</v>
      </c>
      <c r="K81" t="s">
        <v>40</v>
      </c>
      <c r="L81">
        <v>129.57</v>
      </c>
    </row>
    <row r="82" spans="1:12" x14ac:dyDescent="0.3">
      <c r="A82" t="s">
        <v>11</v>
      </c>
      <c r="B82" t="s">
        <v>84</v>
      </c>
      <c r="C82">
        <v>5903</v>
      </c>
      <c r="D82" t="str">
        <f t="shared" si="1"/>
        <v>Full</v>
      </c>
      <c r="E82">
        <v>14488</v>
      </c>
      <c r="F82">
        <v>209.63</v>
      </c>
      <c r="G82">
        <v>330.1</v>
      </c>
      <c r="H82" s="4" t="s">
        <v>272</v>
      </c>
      <c r="I82" t="s">
        <v>273</v>
      </c>
      <c r="J82" t="s">
        <v>274</v>
      </c>
      <c r="K82" t="s">
        <v>21</v>
      </c>
      <c r="L82">
        <v>91.24</v>
      </c>
    </row>
    <row r="83" spans="1:12" x14ac:dyDescent="0.3">
      <c r="A83" t="s">
        <v>147</v>
      </c>
      <c r="B83" t="s">
        <v>23</v>
      </c>
      <c r="C83">
        <v>2399</v>
      </c>
      <c r="D83" t="str">
        <f t="shared" si="1"/>
        <v>Medium</v>
      </c>
      <c r="E83">
        <v>14244</v>
      </c>
      <c r="F83">
        <v>260.14999999999998</v>
      </c>
      <c r="G83">
        <v>591.16999999999996</v>
      </c>
      <c r="H83" s="4" t="s">
        <v>275</v>
      </c>
      <c r="I83" t="s">
        <v>276</v>
      </c>
      <c r="J83" t="s">
        <v>277</v>
      </c>
      <c r="K83" t="s">
        <v>21</v>
      </c>
      <c r="L83">
        <v>147.06</v>
      </c>
    </row>
    <row r="84" spans="1:12" x14ac:dyDescent="0.3">
      <c r="A84" t="s">
        <v>88</v>
      </c>
      <c r="B84" t="s">
        <v>32</v>
      </c>
      <c r="C84">
        <v>6427</v>
      </c>
      <c r="D84" t="str">
        <f t="shared" si="1"/>
        <v>Full</v>
      </c>
      <c r="E84">
        <v>21402</v>
      </c>
      <c r="F84">
        <v>228.15</v>
      </c>
      <c r="G84">
        <v>459.27</v>
      </c>
      <c r="H84" s="4" t="s">
        <v>278</v>
      </c>
      <c r="I84" t="s">
        <v>279</v>
      </c>
      <c r="J84" t="s">
        <v>280</v>
      </c>
      <c r="K84" t="s">
        <v>16</v>
      </c>
      <c r="L84">
        <v>103.22</v>
      </c>
    </row>
    <row r="85" spans="1:12" x14ac:dyDescent="0.3">
      <c r="A85" t="s">
        <v>31</v>
      </c>
      <c r="B85" t="s">
        <v>36</v>
      </c>
      <c r="C85">
        <v>8441</v>
      </c>
      <c r="D85" t="str">
        <f t="shared" si="1"/>
        <v>Full</v>
      </c>
      <c r="E85">
        <v>4978</v>
      </c>
      <c r="F85">
        <v>13.52</v>
      </c>
      <c r="G85">
        <v>27.3</v>
      </c>
      <c r="H85" s="4" t="s">
        <v>281</v>
      </c>
      <c r="I85" t="s">
        <v>282</v>
      </c>
      <c r="J85" t="s">
        <v>283</v>
      </c>
      <c r="K85" t="s">
        <v>40</v>
      </c>
      <c r="L85">
        <v>8.39</v>
      </c>
    </row>
    <row r="86" spans="1:12" x14ac:dyDescent="0.3">
      <c r="A86" t="s">
        <v>66</v>
      </c>
      <c r="B86" t="s">
        <v>36</v>
      </c>
      <c r="C86">
        <v>2027</v>
      </c>
      <c r="D86" t="str">
        <f t="shared" si="1"/>
        <v>Medium</v>
      </c>
      <c r="E86">
        <v>8362</v>
      </c>
      <c r="F86">
        <v>297.72000000000003</v>
      </c>
      <c r="G86">
        <v>710.6</v>
      </c>
      <c r="H86" s="4" t="s">
        <v>284</v>
      </c>
      <c r="I86" t="s">
        <v>285</v>
      </c>
      <c r="J86" t="s">
        <v>286</v>
      </c>
      <c r="K86" t="s">
        <v>98</v>
      </c>
      <c r="L86">
        <v>178.44</v>
      </c>
    </row>
    <row r="87" spans="1:12" x14ac:dyDescent="0.3">
      <c r="A87" t="s">
        <v>31</v>
      </c>
      <c r="B87" t="s">
        <v>32</v>
      </c>
      <c r="C87">
        <v>4979</v>
      </c>
      <c r="D87" t="str">
        <f t="shared" si="1"/>
        <v>Full</v>
      </c>
      <c r="E87">
        <v>14614</v>
      </c>
      <c r="F87">
        <v>251.24</v>
      </c>
      <c r="G87">
        <v>621.65</v>
      </c>
      <c r="H87" s="4" t="s">
        <v>287</v>
      </c>
      <c r="I87" t="s">
        <v>288</v>
      </c>
      <c r="J87" t="s">
        <v>289</v>
      </c>
      <c r="K87" t="s">
        <v>98</v>
      </c>
      <c r="L87">
        <v>139.04</v>
      </c>
    </row>
    <row r="88" spans="1:12" x14ac:dyDescent="0.3">
      <c r="A88" t="s">
        <v>176</v>
      </c>
      <c r="B88" t="s">
        <v>32</v>
      </c>
      <c r="C88">
        <v>2736</v>
      </c>
      <c r="D88" t="str">
        <f t="shared" si="1"/>
        <v>Medium</v>
      </c>
      <c r="E88">
        <v>3287</v>
      </c>
      <c r="F88">
        <v>86.49</v>
      </c>
      <c r="G88">
        <v>192.61</v>
      </c>
      <c r="H88" s="4" t="s">
        <v>290</v>
      </c>
      <c r="I88" t="s">
        <v>291</v>
      </c>
      <c r="J88" t="s">
        <v>292</v>
      </c>
      <c r="K88" t="s">
        <v>40</v>
      </c>
      <c r="L88">
        <v>62.98</v>
      </c>
    </row>
    <row r="89" spans="1:12" x14ac:dyDescent="0.3">
      <c r="A89" t="s">
        <v>31</v>
      </c>
      <c r="B89" t="s">
        <v>23</v>
      </c>
      <c r="C89">
        <v>8522</v>
      </c>
      <c r="D89" t="str">
        <f t="shared" si="1"/>
        <v>Full</v>
      </c>
      <c r="E89">
        <v>5869</v>
      </c>
      <c r="F89">
        <v>136.72999999999999</v>
      </c>
      <c r="G89">
        <v>250.17</v>
      </c>
      <c r="H89" s="4" t="s">
        <v>293</v>
      </c>
      <c r="I89" t="s">
        <v>294</v>
      </c>
      <c r="J89" t="s">
        <v>295</v>
      </c>
      <c r="K89" t="s">
        <v>21</v>
      </c>
      <c r="L89">
        <v>79.599999999999994</v>
      </c>
    </row>
    <row r="90" spans="1:12" x14ac:dyDescent="0.3">
      <c r="A90" t="s">
        <v>45</v>
      </c>
      <c r="B90" t="s">
        <v>84</v>
      </c>
      <c r="C90">
        <v>4412</v>
      </c>
      <c r="D90" t="str">
        <f t="shared" si="1"/>
        <v>Full</v>
      </c>
      <c r="E90">
        <v>19736</v>
      </c>
      <c r="F90">
        <v>117.98</v>
      </c>
      <c r="G90">
        <v>272.87</v>
      </c>
      <c r="H90" s="4" t="s">
        <v>296</v>
      </c>
      <c r="I90" t="s">
        <v>297</v>
      </c>
      <c r="J90" t="s">
        <v>298</v>
      </c>
      <c r="K90" t="s">
        <v>21</v>
      </c>
      <c r="L90">
        <v>80.47</v>
      </c>
    </row>
    <row r="91" spans="1:12" x14ac:dyDescent="0.3">
      <c r="A91" t="s">
        <v>299</v>
      </c>
      <c r="B91" t="s">
        <v>36</v>
      </c>
      <c r="C91">
        <v>2992</v>
      </c>
      <c r="D91" t="str">
        <f t="shared" si="1"/>
        <v>Medium</v>
      </c>
      <c r="E91">
        <v>17230</v>
      </c>
      <c r="F91">
        <v>289.62</v>
      </c>
      <c r="G91">
        <v>395.08</v>
      </c>
      <c r="H91" s="4" t="s">
        <v>300</v>
      </c>
      <c r="I91" t="s">
        <v>301</v>
      </c>
      <c r="J91" t="s">
        <v>302</v>
      </c>
      <c r="K91" t="s">
        <v>21</v>
      </c>
      <c r="L91">
        <v>127.4</v>
      </c>
    </row>
    <row r="92" spans="1:12" x14ac:dyDescent="0.3">
      <c r="A92" t="s">
        <v>143</v>
      </c>
      <c r="B92" t="s">
        <v>12</v>
      </c>
      <c r="C92">
        <v>2861</v>
      </c>
      <c r="D92" t="str">
        <f t="shared" si="1"/>
        <v>Medium</v>
      </c>
      <c r="E92">
        <v>14434</v>
      </c>
      <c r="F92">
        <v>261.93</v>
      </c>
      <c r="G92">
        <v>644.6</v>
      </c>
      <c r="H92" s="4" t="s">
        <v>303</v>
      </c>
      <c r="I92" t="s">
        <v>304</v>
      </c>
      <c r="J92" t="s">
        <v>305</v>
      </c>
      <c r="K92" t="s">
        <v>40</v>
      </c>
      <c r="L92">
        <v>170.07</v>
      </c>
    </row>
    <row r="93" spans="1:12" x14ac:dyDescent="0.3">
      <c r="A93" t="s">
        <v>299</v>
      </c>
      <c r="B93" t="s">
        <v>12</v>
      </c>
      <c r="C93">
        <v>5883</v>
      </c>
      <c r="D93" t="str">
        <f t="shared" si="1"/>
        <v>Full</v>
      </c>
      <c r="E93">
        <v>23097</v>
      </c>
      <c r="F93">
        <v>258.51</v>
      </c>
      <c r="G93">
        <v>437.92</v>
      </c>
      <c r="H93" s="4" t="s">
        <v>306</v>
      </c>
      <c r="I93" t="s">
        <v>307</v>
      </c>
      <c r="J93" t="s">
        <v>308</v>
      </c>
      <c r="K93" t="s">
        <v>16</v>
      </c>
      <c r="L93">
        <v>107.12</v>
      </c>
    </row>
    <row r="94" spans="1:12" x14ac:dyDescent="0.3">
      <c r="A94" t="s">
        <v>41</v>
      </c>
      <c r="B94" t="s">
        <v>84</v>
      </c>
      <c r="C94">
        <v>5208</v>
      </c>
      <c r="D94" t="str">
        <f t="shared" si="1"/>
        <v>Full</v>
      </c>
      <c r="E94">
        <v>8454</v>
      </c>
      <c r="F94">
        <v>225.3</v>
      </c>
      <c r="G94">
        <v>397.47</v>
      </c>
      <c r="H94" s="4" t="s">
        <v>309</v>
      </c>
      <c r="I94" t="s">
        <v>310</v>
      </c>
      <c r="J94" t="s">
        <v>311</v>
      </c>
      <c r="K94" t="s">
        <v>21</v>
      </c>
      <c r="L94">
        <v>105.11</v>
      </c>
    </row>
    <row r="95" spans="1:12" x14ac:dyDescent="0.3">
      <c r="A95" t="s">
        <v>31</v>
      </c>
      <c r="B95" t="s">
        <v>12</v>
      </c>
      <c r="C95">
        <v>1253</v>
      </c>
      <c r="D95" t="str">
        <f t="shared" si="1"/>
        <v>Medium</v>
      </c>
      <c r="E95">
        <v>11629</v>
      </c>
      <c r="F95">
        <v>239.86</v>
      </c>
      <c r="G95">
        <v>379.31</v>
      </c>
      <c r="H95" s="4" t="s">
        <v>312</v>
      </c>
      <c r="I95" t="s">
        <v>313</v>
      </c>
      <c r="J95" t="s">
        <v>314</v>
      </c>
      <c r="K95" t="s">
        <v>98</v>
      </c>
      <c r="L95">
        <v>146.91</v>
      </c>
    </row>
    <row r="96" spans="1:12" x14ac:dyDescent="0.3">
      <c r="A96" t="s">
        <v>22</v>
      </c>
      <c r="B96" t="s">
        <v>84</v>
      </c>
      <c r="C96">
        <v>3285</v>
      </c>
      <c r="D96" t="str">
        <f t="shared" si="1"/>
        <v>Full</v>
      </c>
      <c r="E96">
        <v>6736</v>
      </c>
      <c r="F96">
        <v>28.3</v>
      </c>
      <c r="G96">
        <v>66</v>
      </c>
      <c r="H96" s="4" t="s">
        <v>108</v>
      </c>
      <c r="I96" t="s">
        <v>315</v>
      </c>
      <c r="J96" t="s">
        <v>316</v>
      </c>
      <c r="K96" t="s">
        <v>21</v>
      </c>
      <c r="L96">
        <v>21.65</v>
      </c>
    </row>
    <row r="97" spans="1:12" x14ac:dyDescent="0.3">
      <c r="A97" t="s">
        <v>123</v>
      </c>
      <c r="B97" t="s">
        <v>84</v>
      </c>
      <c r="C97">
        <v>8055</v>
      </c>
      <c r="D97" t="str">
        <f t="shared" si="1"/>
        <v>Full</v>
      </c>
      <c r="E97">
        <v>21902</v>
      </c>
      <c r="F97">
        <v>79.92</v>
      </c>
      <c r="G97">
        <v>122.43</v>
      </c>
      <c r="H97" s="4" t="s">
        <v>317</v>
      </c>
      <c r="I97" t="s">
        <v>318</v>
      </c>
      <c r="J97" t="s">
        <v>319</v>
      </c>
      <c r="K97" t="s">
        <v>16</v>
      </c>
      <c r="L97">
        <v>37.020000000000003</v>
      </c>
    </row>
    <row r="98" spans="1:12" x14ac:dyDescent="0.3">
      <c r="A98" t="s">
        <v>143</v>
      </c>
      <c r="B98" t="s">
        <v>23</v>
      </c>
      <c r="C98">
        <v>5401</v>
      </c>
      <c r="D98" t="str">
        <f t="shared" si="1"/>
        <v>Full</v>
      </c>
      <c r="E98">
        <v>21936</v>
      </c>
      <c r="F98">
        <v>288.8</v>
      </c>
      <c r="G98">
        <v>605.73</v>
      </c>
      <c r="H98" s="4" t="s">
        <v>173</v>
      </c>
      <c r="I98" t="s">
        <v>320</v>
      </c>
      <c r="J98" t="s">
        <v>321</v>
      </c>
      <c r="K98" t="s">
        <v>21</v>
      </c>
      <c r="L98">
        <v>214.1</v>
      </c>
    </row>
    <row r="99" spans="1:12" x14ac:dyDescent="0.3">
      <c r="A99" t="s">
        <v>11</v>
      </c>
      <c r="B99" t="s">
        <v>84</v>
      </c>
      <c r="C99">
        <v>6748</v>
      </c>
      <c r="D99" t="str">
        <f t="shared" si="1"/>
        <v>Full</v>
      </c>
      <c r="E99">
        <v>19740</v>
      </c>
      <c r="F99">
        <v>110.89</v>
      </c>
      <c r="G99">
        <v>175.72</v>
      </c>
      <c r="H99" s="4" t="s">
        <v>322</v>
      </c>
      <c r="I99" t="s">
        <v>323</v>
      </c>
      <c r="J99" t="s">
        <v>324</v>
      </c>
      <c r="K99" t="s">
        <v>21</v>
      </c>
      <c r="L99">
        <v>56.53</v>
      </c>
    </row>
    <row r="100" spans="1:12" x14ac:dyDescent="0.3">
      <c r="A100" t="s">
        <v>22</v>
      </c>
      <c r="B100" t="s">
        <v>12</v>
      </c>
      <c r="C100">
        <v>8638</v>
      </c>
      <c r="D100" t="str">
        <f t="shared" si="1"/>
        <v>Full</v>
      </c>
      <c r="E100">
        <v>10378</v>
      </c>
      <c r="F100">
        <v>233.84</v>
      </c>
      <c r="G100">
        <v>350.56</v>
      </c>
      <c r="H100" s="4" t="s">
        <v>325</v>
      </c>
      <c r="I100" t="s">
        <v>326</v>
      </c>
      <c r="J100" t="s">
        <v>327</v>
      </c>
      <c r="K100" t="s">
        <v>98</v>
      </c>
      <c r="L100">
        <v>151.61000000000001</v>
      </c>
    </row>
    <row r="101" spans="1:12" x14ac:dyDescent="0.3">
      <c r="A101" t="s">
        <v>123</v>
      </c>
      <c r="B101" t="s">
        <v>12</v>
      </c>
      <c r="C101">
        <v>1145</v>
      </c>
      <c r="D101" t="str">
        <f t="shared" si="1"/>
        <v>Medium</v>
      </c>
      <c r="E101">
        <v>11123</v>
      </c>
      <c r="F101">
        <v>237.64</v>
      </c>
      <c r="G101">
        <v>295.48</v>
      </c>
      <c r="H101" s="4" t="s">
        <v>328</v>
      </c>
      <c r="I101" t="s">
        <v>329</v>
      </c>
      <c r="J101" t="s">
        <v>330</v>
      </c>
      <c r="K101" t="s">
        <v>40</v>
      </c>
      <c r="L101">
        <v>126.11</v>
      </c>
    </row>
    <row r="102" spans="1:12" x14ac:dyDescent="0.3">
      <c r="A102" t="s">
        <v>200</v>
      </c>
      <c r="B102" t="s">
        <v>84</v>
      </c>
      <c r="C102">
        <v>3789</v>
      </c>
      <c r="D102" t="str">
        <f t="shared" si="1"/>
        <v>Full</v>
      </c>
      <c r="E102">
        <v>5330</v>
      </c>
      <c r="F102">
        <v>237.02</v>
      </c>
      <c r="G102">
        <v>554.48</v>
      </c>
      <c r="H102" s="4" t="s">
        <v>331</v>
      </c>
      <c r="I102" t="s">
        <v>332</v>
      </c>
      <c r="J102" t="s">
        <v>333</v>
      </c>
      <c r="K102" t="s">
        <v>40</v>
      </c>
      <c r="L102">
        <v>173.54</v>
      </c>
    </row>
    <row r="103" spans="1:12" x14ac:dyDescent="0.3">
      <c r="A103" t="s">
        <v>147</v>
      </c>
      <c r="B103" t="s">
        <v>36</v>
      </c>
      <c r="C103">
        <v>5335</v>
      </c>
      <c r="D103" t="str">
        <f t="shared" si="1"/>
        <v>Full</v>
      </c>
      <c r="E103">
        <v>12099</v>
      </c>
      <c r="F103">
        <v>242.25</v>
      </c>
      <c r="G103">
        <v>438.19</v>
      </c>
      <c r="H103" s="4" t="s">
        <v>334</v>
      </c>
      <c r="I103" t="s">
        <v>335</v>
      </c>
      <c r="J103" t="s">
        <v>336</v>
      </c>
      <c r="K103" t="s">
        <v>21</v>
      </c>
      <c r="L103">
        <v>190.63</v>
      </c>
    </row>
    <row r="104" spans="1:12" x14ac:dyDescent="0.3">
      <c r="A104" t="s">
        <v>66</v>
      </c>
      <c r="B104" t="s">
        <v>23</v>
      </c>
      <c r="C104">
        <v>1979</v>
      </c>
      <c r="D104" t="str">
        <f t="shared" si="1"/>
        <v>Medium</v>
      </c>
      <c r="E104">
        <v>13929</v>
      </c>
      <c r="F104">
        <v>9.11</v>
      </c>
      <c r="G104">
        <v>17.29</v>
      </c>
      <c r="H104" s="4" t="s">
        <v>337</v>
      </c>
      <c r="I104" t="s">
        <v>338</v>
      </c>
      <c r="J104" t="s">
        <v>339</v>
      </c>
      <c r="K104" t="s">
        <v>40</v>
      </c>
      <c r="L104">
        <v>5.77</v>
      </c>
    </row>
    <row r="105" spans="1:12" x14ac:dyDescent="0.3">
      <c r="A105" t="s">
        <v>76</v>
      </c>
      <c r="B105" t="s">
        <v>12</v>
      </c>
      <c r="C105">
        <v>4330</v>
      </c>
      <c r="D105" t="str">
        <f t="shared" si="1"/>
        <v>Full</v>
      </c>
      <c r="E105">
        <v>16449</v>
      </c>
      <c r="F105">
        <v>12.38</v>
      </c>
      <c r="G105">
        <v>29.09</v>
      </c>
      <c r="H105" s="4" t="s">
        <v>50</v>
      </c>
      <c r="I105" t="s">
        <v>340</v>
      </c>
      <c r="J105" t="s">
        <v>341</v>
      </c>
      <c r="K105" t="s">
        <v>98</v>
      </c>
      <c r="L105">
        <v>8.16</v>
      </c>
    </row>
    <row r="106" spans="1:12" x14ac:dyDescent="0.3">
      <c r="A106" t="s">
        <v>143</v>
      </c>
      <c r="B106" t="s">
        <v>23</v>
      </c>
      <c r="C106">
        <v>7189</v>
      </c>
      <c r="D106" t="str">
        <f t="shared" si="1"/>
        <v>Full</v>
      </c>
      <c r="E106">
        <v>4823</v>
      </c>
      <c r="F106">
        <v>46.23</v>
      </c>
      <c r="G106">
        <v>112.35</v>
      </c>
      <c r="H106" s="4" t="s">
        <v>260</v>
      </c>
      <c r="I106" t="s">
        <v>342</v>
      </c>
      <c r="J106" t="s">
        <v>343</v>
      </c>
      <c r="K106" t="s">
        <v>27</v>
      </c>
      <c r="L106">
        <v>22.83</v>
      </c>
    </row>
    <row r="107" spans="1:12" x14ac:dyDescent="0.3">
      <c r="A107" t="s">
        <v>66</v>
      </c>
      <c r="B107" t="s">
        <v>84</v>
      </c>
      <c r="C107">
        <v>6867</v>
      </c>
      <c r="D107" t="str">
        <f t="shared" si="1"/>
        <v>Full</v>
      </c>
      <c r="E107">
        <v>15864</v>
      </c>
      <c r="F107">
        <v>114.45</v>
      </c>
      <c r="G107">
        <v>278.58999999999997</v>
      </c>
      <c r="H107" s="4" t="s">
        <v>344</v>
      </c>
      <c r="I107" t="s">
        <v>345</v>
      </c>
      <c r="J107" t="s">
        <v>346</v>
      </c>
      <c r="K107" t="s">
        <v>98</v>
      </c>
      <c r="L107">
        <v>86.31</v>
      </c>
    </row>
    <row r="108" spans="1:12" x14ac:dyDescent="0.3">
      <c r="A108" t="s">
        <v>11</v>
      </c>
      <c r="B108" t="s">
        <v>36</v>
      </c>
      <c r="C108">
        <v>7186</v>
      </c>
      <c r="D108" t="str">
        <f t="shared" si="1"/>
        <v>Full</v>
      </c>
      <c r="E108">
        <v>10166</v>
      </c>
      <c r="F108">
        <v>14.65</v>
      </c>
      <c r="G108">
        <v>24.64</v>
      </c>
      <c r="H108" s="4" t="s">
        <v>347</v>
      </c>
      <c r="I108" t="s">
        <v>340</v>
      </c>
      <c r="J108" t="s">
        <v>348</v>
      </c>
      <c r="K108" t="s">
        <v>40</v>
      </c>
      <c r="L108">
        <v>6.44</v>
      </c>
    </row>
    <row r="109" spans="1:12" x14ac:dyDescent="0.3">
      <c r="A109" t="s">
        <v>76</v>
      </c>
      <c r="B109" t="s">
        <v>32</v>
      </c>
      <c r="C109">
        <v>6376</v>
      </c>
      <c r="D109" t="str">
        <f t="shared" si="1"/>
        <v>Full</v>
      </c>
      <c r="E109">
        <v>2984</v>
      </c>
      <c r="F109">
        <v>122.45</v>
      </c>
      <c r="G109">
        <v>177.15</v>
      </c>
      <c r="H109" s="4" t="s">
        <v>349</v>
      </c>
      <c r="I109" t="s">
        <v>350</v>
      </c>
      <c r="J109" t="s">
        <v>351</v>
      </c>
      <c r="K109" t="s">
        <v>98</v>
      </c>
      <c r="L109">
        <v>80.41</v>
      </c>
    </row>
    <row r="110" spans="1:12" x14ac:dyDescent="0.3">
      <c r="A110" t="s">
        <v>176</v>
      </c>
      <c r="B110" t="s">
        <v>12</v>
      </c>
      <c r="C110">
        <v>1328</v>
      </c>
      <c r="D110" t="str">
        <f t="shared" si="1"/>
        <v>Medium</v>
      </c>
      <c r="E110">
        <v>11928</v>
      </c>
      <c r="F110">
        <v>76.849999999999994</v>
      </c>
      <c r="G110">
        <v>104.8</v>
      </c>
      <c r="H110" s="4" t="s">
        <v>352</v>
      </c>
      <c r="I110" t="s">
        <v>353</v>
      </c>
      <c r="J110" t="s">
        <v>354</v>
      </c>
      <c r="K110" t="s">
        <v>16</v>
      </c>
      <c r="L110">
        <v>37.11</v>
      </c>
    </row>
    <row r="111" spans="1:12" x14ac:dyDescent="0.3">
      <c r="A111" t="s">
        <v>88</v>
      </c>
      <c r="B111" t="s">
        <v>84</v>
      </c>
      <c r="C111">
        <v>5883</v>
      </c>
      <c r="D111" t="str">
        <f t="shared" si="1"/>
        <v>Full</v>
      </c>
      <c r="E111">
        <v>5835</v>
      </c>
      <c r="F111">
        <v>237.65</v>
      </c>
      <c r="G111">
        <v>469.31</v>
      </c>
      <c r="H111" s="4" t="s">
        <v>355</v>
      </c>
      <c r="I111" t="s">
        <v>356</v>
      </c>
      <c r="J111" t="s">
        <v>357</v>
      </c>
      <c r="K111" t="s">
        <v>16</v>
      </c>
      <c r="L111">
        <v>118.89</v>
      </c>
    </row>
    <row r="112" spans="1:12" x14ac:dyDescent="0.3">
      <c r="A112" t="s">
        <v>56</v>
      </c>
      <c r="B112" t="s">
        <v>12</v>
      </c>
      <c r="C112">
        <v>922</v>
      </c>
      <c r="D112" t="str">
        <f t="shared" si="1"/>
        <v>Low</v>
      </c>
      <c r="E112">
        <v>5318</v>
      </c>
      <c r="F112">
        <v>9.3800000000000008</v>
      </c>
      <c r="G112">
        <v>20.89</v>
      </c>
      <c r="H112" s="4" t="s">
        <v>358</v>
      </c>
      <c r="I112" t="s">
        <v>359</v>
      </c>
      <c r="J112" t="s">
        <v>360</v>
      </c>
      <c r="K112" t="s">
        <v>27</v>
      </c>
      <c r="L112">
        <v>4.41</v>
      </c>
    </row>
    <row r="113" spans="1:12" x14ac:dyDescent="0.3">
      <c r="A113" t="s">
        <v>127</v>
      </c>
      <c r="B113" t="s">
        <v>84</v>
      </c>
      <c r="C113">
        <v>7397</v>
      </c>
      <c r="D113" t="str">
        <f t="shared" si="1"/>
        <v>Full</v>
      </c>
      <c r="E113">
        <v>18238</v>
      </c>
      <c r="F113">
        <v>38.53</v>
      </c>
      <c r="G113">
        <v>49.42</v>
      </c>
      <c r="H113" s="4" t="s">
        <v>361</v>
      </c>
      <c r="I113" t="s">
        <v>362</v>
      </c>
      <c r="J113" t="s">
        <v>363</v>
      </c>
      <c r="K113" t="s">
        <v>16</v>
      </c>
      <c r="L113">
        <v>17.09</v>
      </c>
    </row>
    <row r="114" spans="1:12" x14ac:dyDescent="0.3">
      <c r="A114" t="s">
        <v>119</v>
      </c>
      <c r="B114" t="s">
        <v>84</v>
      </c>
      <c r="C114">
        <v>1210</v>
      </c>
      <c r="D114" t="str">
        <f t="shared" si="1"/>
        <v>Medium</v>
      </c>
      <c r="E114">
        <v>24830</v>
      </c>
      <c r="F114">
        <v>236.05</v>
      </c>
      <c r="G114">
        <v>549.30999999999995</v>
      </c>
      <c r="H114" s="4" t="s">
        <v>180</v>
      </c>
      <c r="I114" t="s">
        <v>364</v>
      </c>
      <c r="J114" t="s">
        <v>365</v>
      </c>
      <c r="K114" t="s">
        <v>27</v>
      </c>
      <c r="L114">
        <v>100.16</v>
      </c>
    </row>
    <row r="115" spans="1:12" x14ac:dyDescent="0.3">
      <c r="A115" t="s">
        <v>49</v>
      </c>
      <c r="B115" t="s">
        <v>36</v>
      </c>
      <c r="C115">
        <v>7484</v>
      </c>
      <c r="D115" t="str">
        <f t="shared" si="1"/>
        <v>Full</v>
      </c>
      <c r="E115">
        <v>23482</v>
      </c>
      <c r="F115">
        <v>36.85</v>
      </c>
      <c r="G115">
        <v>78.349999999999994</v>
      </c>
      <c r="H115" s="4" t="s">
        <v>347</v>
      </c>
      <c r="I115" t="s">
        <v>366</v>
      </c>
      <c r="J115" t="s">
        <v>367</v>
      </c>
      <c r="K115" t="s">
        <v>40</v>
      </c>
      <c r="L115">
        <v>23.71</v>
      </c>
    </row>
    <row r="116" spans="1:12" x14ac:dyDescent="0.3">
      <c r="A116" t="s">
        <v>41</v>
      </c>
      <c r="B116" t="s">
        <v>84</v>
      </c>
      <c r="C116">
        <v>5005</v>
      </c>
      <c r="D116" t="str">
        <f t="shared" si="1"/>
        <v>Full</v>
      </c>
      <c r="E116">
        <v>21457</v>
      </c>
      <c r="F116">
        <v>191.76</v>
      </c>
      <c r="G116">
        <v>366.81</v>
      </c>
      <c r="H116" s="4" t="s">
        <v>368</v>
      </c>
      <c r="I116" t="s">
        <v>369</v>
      </c>
      <c r="J116" t="s">
        <v>370</v>
      </c>
      <c r="K116" t="s">
        <v>16</v>
      </c>
      <c r="L116">
        <v>99.32</v>
      </c>
    </row>
    <row r="117" spans="1:12" x14ac:dyDescent="0.3">
      <c r="A117" t="s">
        <v>119</v>
      </c>
      <c r="B117" t="s">
        <v>32</v>
      </c>
      <c r="C117">
        <v>7548</v>
      </c>
      <c r="D117" t="str">
        <f t="shared" si="1"/>
        <v>Full</v>
      </c>
      <c r="E117">
        <v>4249</v>
      </c>
      <c r="F117">
        <v>238.96</v>
      </c>
      <c r="G117">
        <v>322.29000000000002</v>
      </c>
      <c r="H117" s="4" t="s">
        <v>371</v>
      </c>
      <c r="I117" t="s">
        <v>372</v>
      </c>
      <c r="J117" t="s">
        <v>373</v>
      </c>
      <c r="K117" t="s">
        <v>98</v>
      </c>
      <c r="L117">
        <v>136.69</v>
      </c>
    </row>
    <row r="118" spans="1:12" x14ac:dyDescent="0.3">
      <c r="A118" t="s">
        <v>80</v>
      </c>
      <c r="B118" t="s">
        <v>36</v>
      </c>
      <c r="C118">
        <v>6053</v>
      </c>
      <c r="D118" t="str">
        <f t="shared" si="1"/>
        <v>Full</v>
      </c>
      <c r="E118">
        <v>15860</v>
      </c>
      <c r="F118">
        <v>122.63</v>
      </c>
      <c r="G118">
        <v>263.47000000000003</v>
      </c>
      <c r="H118" s="4" t="s">
        <v>374</v>
      </c>
      <c r="I118" t="s">
        <v>375</v>
      </c>
      <c r="J118" t="s">
        <v>376</v>
      </c>
      <c r="K118" t="s">
        <v>40</v>
      </c>
      <c r="L118">
        <v>67.41</v>
      </c>
    </row>
    <row r="119" spans="1:12" x14ac:dyDescent="0.3">
      <c r="A119" t="s">
        <v>123</v>
      </c>
      <c r="B119" t="s">
        <v>36</v>
      </c>
      <c r="C119">
        <v>1599</v>
      </c>
      <c r="D119" t="str">
        <f t="shared" si="1"/>
        <v>Medium</v>
      </c>
      <c r="E119">
        <v>3989</v>
      </c>
      <c r="F119">
        <v>250.37</v>
      </c>
      <c r="G119">
        <v>330.79</v>
      </c>
      <c r="H119" s="4" t="s">
        <v>377</v>
      </c>
      <c r="I119" t="s">
        <v>378</v>
      </c>
      <c r="J119" t="s">
        <v>379</v>
      </c>
      <c r="K119" t="s">
        <v>16</v>
      </c>
      <c r="L119">
        <v>106.15</v>
      </c>
    </row>
    <row r="120" spans="1:12" x14ac:dyDescent="0.3">
      <c r="A120" t="s">
        <v>66</v>
      </c>
      <c r="B120" t="s">
        <v>32</v>
      </c>
      <c r="C120">
        <v>5900</v>
      </c>
      <c r="D120" t="str">
        <f t="shared" si="1"/>
        <v>Full</v>
      </c>
      <c r="E120">
        <v>22954</v>
      </c>
      <c r="F120">
        <v>41.06</v>
      </c>
      <c r="G120">
        <v>68.150000000000006</v>
      </c>
      <c r="H120" s="4" t="s">
        <v>380</v>
      </c>
      <c r="I120" t="s">
        <v>381</v>
      </c>
      <c r="J120" t="s">
        <v>382</v>
      </c>
      <c r="K120" t="s">
        <v>40</v>
      </c>
      <c r="L120">
        <v>26.29</v>
      </c>
    </row>
    <row r="121" spans="1:12" x14ac:dyDescent="0.3">
      <c r="A121" t="s">
        <v>76</v>
      </c>
      <c r="B121" t="s">
        <v>12</v>
      </c>
      <c r="C121">
        <v>9968</v>
      </c>
      <c r="D121" t="str">
        <f t="shared" si="1"/>
        <v>Full</v>
      </c>
      <c r="E121">
        <v>17626</v>
      </c>
      <c r="F121">
        <v>67.760000000000005</v>
      </c>
      <c r="G121">
        <v>139.16</v>
      </c>
      <c r="H121" s="4" t="s">
        <v>383</v>
      </c>
      <c r="I121" t="s">
        <v>384</v>
      </c>
      <c r="J121" t="s">
        <v>385</v>
      </c>
      <c r="K121" t="s">
        <v>16</v>
      </c>
      <c r="L121">
        <v>37.07</v>
      </c>
    </row>
    <row r="122" spans="1:12" x14ac:dyDescent="0.3">
      <c r="A122" t="s">
        <v>147</v>
      </c>
      <c r="B122" t="s">
        <v>32</v>
      </c>
      <c r="C122">
        <v>4205</v>
      </c>
      <c r="D122" t="str">
        <f t="shared" si="1"/>
        <v>Full</v>
      </c>
      <c r="E122">
        <v>15061</v>
      </c>
      <c r="F122">
        <v>254.32</v>
      </c>
      <c r="G122">
        <v>627.38</v>
      </c>
      <c r="H122" s="4" t="s">
        <v>386</v>
      </c>
      <c r="I122" t="s">
        <v>387</v>
      </c>
      <c r="J122" t="s">
        <v>388</v>
      </c>
      <c r="K122" t="s">
        <v>16</v>
      </c>
      <c r="L122">
        <v>104.4</v>
      </c>
    </row>
    <row r="123" spans="1:12" x14ac:dyDescent="0.3">
      <c r="A123" t="s">
        <v>147</v>
      </c>
      <c r="B123" t="s">
        <v>12</v>
      </c>
      <c r="C123">
        <v>3455</v>
      </c>
      <c r="D123" t="str">
        <f t="shared" si="1"/>
        <v>Full</v>
      </c>
      <c r="E123">
        <v>9954</v>
      </c>
      <c r="F123">
        <v>212.3</v>
      </c>
      <c r="G123">
        <v>340.04</v>
      </c>
      <c r="H123" s="4" t="s">
        <v>389</v>
      </c>
      <c r="I123" t="s">
        <v>390</v>
      </c>
      <c r="J123" t="s">
        <v>391</v>
      </c>
      <c r="K123" t="s">
        <v>98</v>
      </c>
      <c r="L123">
        <v>158.79</v>
      </c>
    </row>
    <row r="124" spans="1:12" x14ac:dyDescent="0.3">
      <c r="A124" t="s">
        <v>22</v>
      </c>
      <c r="B124" t="s">
        <v>36</v>
      </c>
      <c r="C124">
        <v>1640</v>
      </c>
      <c r="D124" t="str">
        <f t="shared" si="1"/>
        <v>Medium</v>
      </c>
      <c r="E124">
        <v>5648</v>
      </c>
      <c r="F124">
        <v>223.59</v>
      </c>
      <c r="G124">
        <v>550.78</v>
      </c>
      <c r="H124" s="4" t="s">
        <v>392</v>
      </c>
      <c r="I124" t="s">
        <v>393</v>
      </c>
      <c r="J124" t="s">
        <v>394</v>
      </c>
      <c r="K124" t="s">
        <v>21</v>
      </c>
      <c r="L124">
        <v>126.98</v>
      </c>
    </row>
    <row r="125" spans="1:12" x14ac:dyDescent="0.3">
      <c r="A125" t="s">
        <v>45</v>
      </c>
      <c r="B125" t="s">
        <v>84</v>
      </c>
      <c r="C125">
        <v>6562</v>
      </c>
      <c r="D125" t="str">
        <f t="shared" si="1"/>
        <v>Full</v>
      </c>
      <c r="E125">
        <v>11211</v>
      </c>
      <c r="F125">
        <v>217.87</v>
      </c>
      <c r="G125">
        <v>481.47</v>
      </c>
      <c r="H125" s="4" t="s">
        <v>395</v>
      </c>
      <c r="I125" t="s">
        <v>396</v>
      </c>
      <c r="J125" t="s">
        <v>397</v>
      </c>
      <c r="K125" t="s">
        <v>27</v>
      </c>
      <c r="L125">
        <v>100.71</v>
      </c>
    </row>
    <row r="126" spans="1:12" x14ac:dyDescent="0.3">
      <c r="A126" t="s">
        <v>176</v>
      </c>
      <c r="B126" t="s">
        <v>12</v>
      </c>
      <c r="C126">
        <v>1836</v>
      </c>
      <c r="D126" t="str">
        <f t="shared" si="1"/>
        <v>Medium</v>
      </c>
      <c r="E126">
        <v>9916</v>
      </c>
      <c r="F126">
        <v>135.72</v>
      </c>
      <c r="G126">
        <v>237.68</v>
      </c>
      <c r="H126" s="4" t="s">
        <v>161</v>
      </c>
      <c r="I126" t="s">
        <v>398</v>
      </c>
      <c r="J126" t="s">
        <v>399</v>
      </c>
      <c r="K126" t="s">
        <v>40</v>
      </c>
      <c r="L126">
        <v>65.989999999999995</v>
      </c>
    </row>
    <row r="127" spans="1:12" x14ac:dyDescent="0.3">
      <c r="A127" t="s">
        <v>119</v>
      </c>
      <c r="B127" t="s">
        <v>12</v>
      </c>
      <c r="C127">
        <v>6155</v>
      </c>
      <c r="D127" t="str">
        <f t="shared" si="1"/>
        <v>Full</v>
      </c>
      <c r="E127">
        <v>15087</v>
      </c>
      <c r="F127">
        <v>37.71</v>
      </c>
      <c r="G127">
        <v>78.5</v>
      </c>
      <c r="H127" s="4" t="s">
        <v>400</v>
      </c>
      <c r="I127" t="s">
        <v>401</v>
      </c>
      <c r="J127" t="s">
        <v>402</v>
      </c>
      <c r="K127" t="s">
        <v>40</v>
      </c>
      <c r="L127">
        <v>15.77</v>
      </c>
    </row>
    <row r="128" spans="1:12" x14ac:dyDescent="0.3">
      <c r="A128" t="s">
        <v>299</v>
      </c>
      <c r="B128" t="s">
        <v>32</v>
      </c>
      <c r="C128">
        <v>1397</v>
      </c>
      <c r="D128" t="str">
        <f t="shared" si="1"/>
        <v>Medium</v>
      </c>
      <c r="E128">
        <v>1251</v>
      </c>
      <c r="F128">
        <v>65.3</v>
      </c>
      <c r="G128">
        <v>158.61000000000001</v>
      </c>
      <c r="H128" s="4" t="s">
        <v>403</v>
      </c>
      <c r="I128" t="s">
        <v>404</v>
      </c>
      <c r="J128" t="s">
        <v>405</v>
      </c>
      <c r="K128" t="s">
        <v>40</v>
      </c>
      <c r="L128">
        <v>29.25</v>
      </c>
    </row>
    <row r="129" spans="1:12" x14ac:dyDescent="0.3">
      <c r="A129" t="s">
        <v>49</v>
      </c>
      <c r="B129" t="s">
        <v>36</v>
      </c>
      <c r="C129">
        <v>3378</v>
      </c>
      <c r="D129" t="str">
        <f t="shared" si="1"/>
        <v>Full</v>
      </c>
      <c r="E129">
        <v>5233</v>
      </c>
      <c r="F129">
        <v>117.16</v>
      </c>
      <c r="G129">
        <v>247.77</v>
      </c>
      <c r="H129" s="4" t="s">
        <v>406</v>
      </c>
      <c r="I129" t="s">
        <v>407</v>
      </c>
      <c r="J129" t="s">
        <v>408</v>
      </c>
      <c r="K129" t="s">
        <v>40</v>
      </c>
      <c r="L129">
        <v>50.24</v>
      </c>
    </row>
    <row r="130" spans="1:12" x14ac:dyDescent="0.3">
      <c r="A130" t="s">
        <v>127</v>
      </c>
      <c r="B130" t="s">
        <v>36</v>
      </c>
      <c r="C130">
        <v>807</v>
      </c>
      <c r="D130" t="str">
        <f t="shared" si="1"/>
        <v>Low</v>
      </c>
      <c r="E130">
        <v>16065</v>
      </c>
      <c r="F130">
        <v>276.74</v>
      </c>
      <c r="G130">
        <v>642.24</v>
      </c>
      <c r="H130" s="4" t="s">
        <v>409</v>
      </c>
      <c r="I130" t="s">
        <v>410</v>
      </c>
      <c r="J130" t="s">
        <v>411</v>
      </c>
      <c r="K130" t="s">
        <v>21</v>
      </c>
      <c r="L130">
        <v>189.23</v>
      </c>
    </row>
    <row r="131" spans="1:12" x14ac:dyDescent="0.3">
      <c r="A131" t="s">
        <v>200</v>
      </c>
      <c r="B131" t="s">
        <v>23</v>
      </c>
      <c r="C131">
        <v>2387</v>
      </c>
      <c r="D131" t="str">
        <f t="shared" ref="D131:D194" si="2">IF(C131&lt;1000,"Low",IF(C131&lt;=3000,"Medium","Full"))</f>
        <v>Medium</v>
      </c>
      <c r="E131">
        <v>14272</v>
      </c>
      <c r="F131">
        <v>11.15</v>
      </c>
      <c r="G131">
        <v>18.09</v>
      </c>
      <c r="H131" s="4" t="s">
        <v>412</v>
      </c>
      <c r="I131" t="s">
        <v>413</v>
      </c>
      <c r="J131" t="s">
        <v>414</v>
      </c>
      <c r="K131" t="s">
        <v>27</v>
      </c>
      <c r="L131">
        <v>6.41</v>
      </c>
    </row>
    <row r="132" spans="1:12" x14ac:dyDescent="0.3">
      <c r="A132" t="s">
        <v>11</v>
      </c>
      <c r="B132" t="s">
        <v>84</v>
      </c>
      <c r="C132">
        <v>7638</v>
      </c>
      <c r="D132" t="str">
        <f t="shared" si="2"/>
        <v>Full</v>
      </c>
      <c r="E132">
        <v>20296</v>
      </c>
      <c r="F132">
        <v>123.13</v>
      </c>
      <c r="G132">
        <v>160.34</v>
      </c>
      <c r="H132" s="4" t="s">
        <v>415</v>
      </c>
      <c r="I132" t="s">
        <v>43</v>
      </c>
      <c r="J132" t="s">
        <v>416</v>
      </c>
      <c r="K132" t="s">
        <v>40</v>
      </c>
      <c r="L132">
        <v>87.63</v>
      </c>
    </row>
    <row r="133" spans="1:12" x14ac:dyDescent="0.3">
      <c r="A133" t="s">
        <v>41</v>
      </c>
      <c r="B133" t="s">
        <v>32</v>
      </c>
      <c r="C133">
        <v>2368</v>
      </c>
      <c r="D133" t="str">
        <f t="shared" si="2"/>
        <v>Medium</v>
      </c>
      <c r="E133">
        <v>18386</v>
      </c>
      <c r="F133">
        <v>155.44</v>
      </c>
      <c r="G133">
        <v>369.59</v>
      </c>
      <c r="H133" s="4" t="s">
        <v>417</v>
      </c>
      <c r="I133" t="s">
        <v>288</v>
      </c>
      <c r="J133" t="s">
        <v>418</v>
      </c>
      <c r="K133" t="s">
        <v>98</v>
      </c>
      <c r="L133">
        <v>76.87</v>
      </c>
    </row>
    <row r="134" spans="1:12" x14ac:dyDescent="0.3">
      <c r="A134" t="s">
        <v>123</v>
      </c>
      <c r="B134" t="s">
        <v>23</v>
      </c>
      <c r="C134">
        <v>3732</v>
      </c>
      <c r="D134" t="str">
        <f t="shared" si="2"/>
        <v>Full</v>
      </c>
      <c r="E134">
        <v>6685</v>
      </c>
      <c r="F134">
        <v>182.71</v>
      </c>
      <c r="G134">
        <v>399.82</v>
      </c>
      <c r="H134" s="4" t="s">
        <v>419</v>
      </c>
      <c r="I134" t="s">
        <v>310</v>
      </c>
      <c r="J134" t="s">
        <v>420</v>
      </c>
      <c r="K134" t="s">
        <v>21</v>
      </c>
      <c r="L134">
        <v>106.99</v>
      </c>
    </row>
    <row r="135" spans="1:12" x14ac:dyDescent="0.3">
      <c r="A135" t="s">
        <v>22</v>
      </c>
      <c r="B135" t="s">
        <v>32</v>
      </c>
      <c r="C135">
        <v>7854</v>
      </c>
      <c r="D135" t="str">
        <f t="shared" si="2"/>
        <v>Full</v>
      </c>
      <c r="E135">
        <v>23319</v>
      </c>
      <c r="F135">
        <v>277.63</v>
      </c>
      <c r="G135">
        <v>536.89</v>
      </c>
      <c r="H135" s="4" t="s">
        <v>215</v>
      </c>
      <c r="I135" t="s">
        <v>421</v>
      </c>
      <c r="J135" t="s">
        <v>422</v>
      </c>
      <c r="K135" t="s">
        <v>40</v>
      </c>
      <c r="L135">
        <v>127.82</v>
      </c>
    </row>
    <row r="136" spans="1:12" x14ac:dyDescent="0.3">
      <c r="A136" t="s">
        <v>41</v>
      </c>
      <c r="B136" t="s">
        <v>36</v>
      </c>
      <c r="C136">
        <v>7745</v>
      </c>
      <c r="D136" t="str">
        <f t="shared" si="2"/>
        <v>Full</v>
      </c>
      <c r="E136">
        <v>21689</v>
      </c>
      <c r="F136">
        <v>94.33</v>
      </c>
      <c r="G136">
        <v>146.88</v>
      </c>
      <c r="H136" s="4" t="s">
        <v>423</v>
      </c>
      <c r="I136" t="s">
        <v>424</v>
      </c>
      <c r="J136" t="s">
        <v>425</v>
      </c>
      <c r="K136" t="s">
        <v>27</v>
      </c>
      <c r="L136">
        <v>49.44</v>
      </c>
    </row>
    <row r="137" spans="1:12" x14ac:dyDescent="0.3">
      <c r="A137" t="s">
        <v>143</v>
      </c>
      <c r="B137" t="s">
        <v>12</v>
      </c>
      <c r="C137">
        <v>1432</v>
      </c>
      <c r="D137" t="str">
        <f t="shared" si="2"/>
        <v>Medium</v>
      </c>
      <c r="E137">
        <v>13082</v>
      </c>
      <c r="F137">
        <v>250.35</v>
      </c>
      <c r="G137">
        <v>325.39</v>
      </c>
      <c r="H137" s="4" t="s">
        <v>426</v>
      </c>
      <c r="I137" t="s">
        <v>427</v>
      </c>
      <c r="J137" t="s">
        <v>428</v>
      </c>
      <c r="K137" t="s">
        <v>16</v>
      </c>
      <c r="L137">
        <v>138.63999999999999</v>
      </c>
    </row>
    <row r="138" spans="1:12" x14ac:dyDescent="0.3">
      <c r="A138" t="s">
        <v>22</v>
      </c>
      <c r="B138" t="s">
        <v>32</v>
      </c>
      <c r="C138">
        <v>1172</v>
      </c>
      <c r="D138" t="str">
        <f t="shared" si="2"/>
        <v>Medium</v>
      </c>
      <c r="E138">
        <v>15736</v>
      </c>
      <c r="F138">
        <v>273.17</v>
      </c>
      <c r="G138">
        <v>530.80999999999995</v>
      </c>
      <c r="H138" s="4" t="s">
        <v>429</v>
      </c>
      <c r="I138" t="s">
        <v>430</v>
      </c>
      <c r="J138" t="s">
        <v>431</v>
      </c>
      <c r="K138" t="s">
        <v>21</v>
      </c>
      <c r="L138">
        <v>164.05</v>
      </c>
    </row>
    <row r="139" spans="1:12" x14ac:dyDescent="0.3">
      <c r="A139" t="s">
        <v>127</v>
      </c>
      <c r="B139" t="s">
        <v>36</v>
      </c>
      <c r="C139">
        <v>2195</v>
      </c>
      <c r="D139" t="str">
        <f t="shared" si="2"/>
        <v>Medium</v>
      </c>
      <c r="E139">
        <v>12253</v>
      </c>
      <c r="F139">
        <v>294.8</v>
      </c>
      <c r="G139">
        <v>386.08</v>
      </c>
      <c r="H139" s="4" t="s">
        <v>432</v>
      </c>
      <c r="I139" t="s">
        <v>270</v>
      </c>
      <c r="J139" t="s">
        <v>433</v>
      </c>
      <c r="K139" t="s">
        <v>98</v>
      </c>
      <c r="L139">
        <v>201.36</v>
      </c>
    </row>
    <row r="140" spans="1:12" x14ac:dyDescent="0.3">
      <c r="A140" t="s">
        <v>143</v>
      </c>
      <c r="B140" t="s">
        <v>32</v>
      </c>
      <c r="C140">
        <v>9064</v>
      </c>
      <c r="D140" t="str">
        <f t="shared" si="2"/>
        <v>Full</v>
      </c>
      <c r="E140">
        <v>20982</v>
      </c>
      <c r="F140">
        <v>51.83</v>
      </c>
      <c r="G140">
        <v>87.32</v>
      </c>
      <c r="H140" s="4" t="s">
        <v>434</v>
      </c>
      <c r="I140" t="s">
        <v>68</v>
      </c>
      <c r="J140" t="s">
        <v>435</v>
      </c>
      <c r="K140" t="s">
        <v>40</v>
      </c>
      <c r="L140">
        <v>34.81</v>
      </c>
    </row>
    <row r="141" spans="1:12" x14ac:dyDescent="0.3">
      <c r="A141" t="s">
        <v>127</v>
      </c>
      <c r="B141" t="s">
        <v>23</v>
      </c>
      <c r="C141">
        <v>1579</v>
      </c>
      <c r="D141" t="str">
        <f t="shared" si="2"/>
        <v>Medium</v>
      </c>
      <c r="E141">
        <v>11803</v>
      </c>
      <c r="F141">
        <v>32.880000000000003</v>
      </c>
      <c r="G141">
        <v>68.45</v>
      </c>
      <c r="H141" s="4" t="s">
        <v>436</v>
      </c>
      <c r="I141" t="s">
        <v>437</v>
      </c>
      <c r="J141" t="s">
        <v>438</v>
      </c>
      <c r="K141" t="s">
        <v>16</v>
      </c>
      <c r="L141">
        <v>24.64</v>
      </c>
    </row>
    <row r="142" spans="1:12" x14ac:dyDescent="0.3">
      <c r="A142" t="s">
        <v>45</v>
      </c>
      <c r="B142" t="s">
        <v>12</v>
      </c>
      <c r="C142">
        <v>2817</v>
      </c>
      <c r="D142" t="str">
        <f t="shared" si="2"/>
        <v>Medium</v>
      </c>
      <c r="E142">
        <v>12462</v>
      </c>
      <c r="F142">
        <v>96.52</v>
      </c>
      <c r="G142">
        <v>198.14</v>
      </c>
      <c r="H142" s="4" t="s">
        <v>194</v>
      </c>
      <c r="I142" t="s">
        <v>439</v>
      </c>
      <c r="J142" t="s">
        <v>440</v>
      </c>
      <c r="K142" t="s">
        <v>16</v>
      </c>
      <c r="L142">
        <v>65.97</v>
      </c>
    </row>
    <row r="143" spans="1:12" x14ac:dyDescent="0.3">
      <c r="A143" t="s">
        <v>41</v>
      </c>
      <c r="B143" t="s">
        <v>23</v>
      </c>
      <c r="C143">
        <v>9657</v>
      </c>
      <c r="D143" t="str">
        <f t="shared" si="2"/>
        <v>Full</v>
      </c>
      <c r="E143">
        <v>13343</v>
      </c>
      <c r="F143">
        <v>194.83</v>
      </c>
      <c r="G143">
        <v>316.99</v>
      </c>
      <c r="H143" s="4" t="s">
        <v>441</v>
      </c>
      <c r="I143" t="s">
        <v>442</v>
      </c>
      <c r="J143" t="s">
        <v>443</v>
      </c>
      <c r="K143" t="s">
        <v>16</v>
      </c>
      <c r="L143">
        <v>85.21</v>
      </c>
    </row>
    <row r="144" spans="1:12" x14ac:dyDescent="0.3">
      <c r="A144" t="s">
        <v>200</v>
      </c>
      <c r="B144" t="s">
        <v>32</v>
      </c>
      <c r="C144">
        <v>6428</v>
      </c>
      <c r="D144" t="str">
        <f t="shared" si="2"/>
        <v>Full</v>
      </c>
      <c r="E144">
        <v>1597</v>
      </c>
      <c r="F144">
        <v>111.97</v>
      </c>
      <c r="G144">
        <v>160.6</v>
      </c>
      <c r="H144" s="4" t="s">
        <v>444</v>
      </c>
      <c r="I144" t="s">
        <v>445</v>
      </c>
      <c r="J144" t="s">
        <v>446</v>
      </c>
      <c r="K144" t="s">
        <v>98</v>
      </c>
      <c r="L144">
        <v>54.93</v>
      </c>
    </row>
    <row r="145" spans="1:12" x14ac:dyDescent="0.3">
      <c r="A145" t="s">
        <v>123</v>
      </c>
      <c r="B145" t="s">
        <v>84</v>
      </c>
      <c r="C145">
        <v>1764</v>
      </c>
      <c r="D145" t="str">
        <f t="shared" si="2"/>
        <v>Medium</v>
      </c>
      <c r="E145">
        <v>10692</v>
      </c>
      <c r="F145">
        <v>254.11</v>
      </c>
      <c r="G145">
        <v>338.34</v>
      </c>
      <c r="H145" s="4" t="s">
        <v>73</v>
      </c>
      <c r="I145" t="s">
        <v>447</v>
      </c>
      <c r="J145" t="s">
        <v>448</v>
      </c>
      <c r="K145" t="s">
        <v>40</v>
      </c>
      <c r="L145">
        <v>190.72</v>
      </c>
    </row>
    <row r="146" spans="1:12" x14ac:dyDescent="0.3">
      <c r="A146" t="s">
        <v>176</v>
      </c>
      <c r="B146" t="s">
        <v>84</v>
      </c>
      <c r="C146">
        <v>6672</v>
      </c>
      <c r="D146" t="str">
        <f t="shared" si="2"/>
        <v>Full</v>
      </c>
      <c r="E146">
        <v>6054</v>
      </c>
      <c r="F146">
        <v>52.86</v>
      </c>
      <c r="G146">
        <v>120.56</v>
      </c>
      <c r="H146" s="4" t="s">
        <v>449</v>
      </c>
      <c r="I146" t="s">
        <v>450</v>
      </c>
      <c r="J146" t="s">
        <v>451</v>
      </c>
      <c r="K146" t="s">
        <v>27</v>
      </c>
      <c r="L146">
        <v>29.83</v>
      </c>
    </row>
    <row r="147" spans="1:12" x14ac:dyDescent="0.3">
      <c r="A147" t="s">
        <v>80</v>
      </c>
      <c r="B147" t="s">
        <v>36</v>
      </c>
      <c r="C147">
        <v>5168</v>
      </c>
      <c r="D147" t="str">
        <f t="shared" si="2"/>
        <v>Full</v>
      </c>
      <c r="E147">
        <v>15710</v>
      </c>
      <c r="F147">
        <v>74.03</v>
      </c>
      <c r="G147">
        <v>111.85</v>
      </c>
      <c r="H147" s="4" t="s">
        <v>452</v>
      </c>
      <c r="I147" t="s">
        <v>453</v>
      </c>
      <c r="J147" t="s">
        <v>454</v>
      </c>
      <c r="K147" t="s">
        <v>16</v>
      </c>
      <c r="L147">
        <v>58.76</v>
      </c>
    </row>
    <row r="148" spans="1:12" x14ac:dyDescent="0.3">
      <c r="A148" t="s">
        <v>143</v>
      </c>
      <c r="B148" t="s">
        <v>23</v>
      </c>
      <c r="C148">
        <v>6756</v>
      </c>
      <c r="D148" t="str">
        <f t="shared" si="2"/>
        <v>Full</v>
      </c>
      <c r="E148">
        <v>17479</v>
      </c>
      <c r="F148">
        <v>160.6</v>
      </c>
      <c r="G148">
        <v>394.46</v>
      </c>
      <c r="H148" s="4" t="s">
        <v>455</v>
      </c>
      <c r="I148" t="s">
        <v>456</v>
      </c>
      <c r="J148" t="s">
        <v>457</v>
      </c>
      <c r="K148" t="s">
        <v>40</v>
      </c>
      <c r="L148">
        <v>67.59</v>
      </c>
    </row>
    <row r="149" spans="1:12" x14ac:dyDescent="0.3">
      <c r="A149" t="s">
        <v>49</v>
      </c>
      <c r="B149" t="s">
        <v>23</v>
      </c>
      <c r="C149">
        <v>9585</v>
      </c>
      <c r="D149" t="str">
        <f t="shared" si="2"/>
        <v>Full</v>
      </c>
      <c r="E149">
        <v>4361</v>
      </c>
      <c r="F149">
        <v>214.86</v>
      </c>
      <c r="G149">
        <v>401.93</v>
      </c>
      <c r="H149" s="4" t="s">
        <v>458</v>
      </c>
      <c r="I149" t="s">
        <v>459</v>
      </c>
      <c r="J149" t="s">
        <v>460</v>
      </c>
      <c r="K149" t="s">
        <v>98</v>
      </c>
      <c r="L149">
        <v>109.39</v>
      </c>
    </row>
    <row r="150" spans="1:12" x14ac:dyDescent="0.3">
      <c r="A150" t="s">
        <v>119</v>
      </c>
      <c r="B150" t="s">
        <v>84</v>
      </c>
      <c r="C150">
        <v>7667</v>
      </c>
      <c r="D150" t="str">
        <f t="shared" si="2"/>
        <v>Full</v>
      </c>
      <c r="E150">
        <v>4005</v>
      </c>
      <c r="F150">
        <v>284.19</v>
      </c>
      <c r="G150">
        <v>423.06</v>
      </c>
      <c r="H150" s="4" t="s">
        <v>461</v>
      </c>
      <c r="I150" t="s">
        <v>462</v>
      </c>
      <c r="J150" t="s">
        <v>463</v>
      </c>
      <c r="K150" t="s">
        <v>21</v>
      </c>
      <c r="L150">
        <v>119.73</v>
      </c>
    </row>
    <row r="151" spans="1:12" x14ac:dyDescent="0.3">
      <c r="A151" t="s">
        <v>119</v>
      </c>
      <c r="B151" t="s">
        <v>23</v>
      </c>
      <c r="C151">
        <v>4362</v>
      </c>
      <c r="D151" t="str">
        <f t="shared" si="2"/>
        <v>Full</v>
      </c>
      <c r="E151">
        <v>13653</v>
      </c>
      <c r="F151">
        <v>298.38</v>
      </c>
      <c r="G151">
        <v>503.48</v>
      </c>
      <c r="H151" s="4" t="s">
        <v>464</v>
      </c>
      <c r="I151" t="s">
        <v>465</v>
      </c>
      <c r="J151" t="s">
        <v>466</v>
      </c>
      <c r="K151" t="s">
        <v>40</v>
      </c>
      <c r="L151">
        <v>213.8</v>
      </c>
    </row>
    <row r="152" spans="1:12" x14ac:dyDescent="0.3">
      <c r="A152" t="s">
        <v>123</v>
      </c>
      <c r="B152" t="s">
        <v>12</v>
      </c>
      <c r="C152">
        <v>5200</v>
      </c>
      <c r="D152" t="str">
        <f t="shared" si="2"/>
        <v>Full</v>
      </c>
      <c r="E152">
        <v>16481</v>
      </c>
      <c r="F152">
        <v>210.34</v>
      </c>
      <c r="G152">
        <v>290.36</v>
      </c>
      <c r="H152" s="4" t="s">
        <v>452</v>
      </c>
      <c r="I152" t="s">
        <v>467</v>
      </c>
      <c r="J152" t="s">
        <v>468</v>
      </c>
      <c r="K152" t="s">
        <v>27</v>
      </c>
      <c r="L152">
        <v>160.35</v>
      </c>
    </row>
    <row r="153" spans="1:12" x14ac:dyDescent="0.3">
      <c r="A153" t="s">
        <v>17</v>
      </c>
      <c r="B153" t="s">
        <v>23</v>
      </c>
      <c r="C153">
        <v>4033</v>
      </c>
      <c r="D153" t="str">
        <f t="shared" si="2"/>
        <v>Full</v>
      </c>
      <c r="E153">
        <v>5899</v>
      </c>
      <c r="F153">
        <v>166.9</v>
      </c>
      <c r="G153">
        <v>358.07</v>
      </c>
      <c r="H153" s="4" t="s">
        <v>469</v>
      </c>
      <c r="I153" t="s">
        <v>273</v>
      </c>
      <c r="J153" t="s">
        <v>470</v>
      </c>
      <c r="K153" t="s">
        <v>40</v>
      </c>
      <c r="L153">
        <v>82.62</v>
      </c>
    </row>
    <row r="154" spans="1:12" x14ac:dyDescent="0.3">
      <c r="A154" t="s">
        <v>11</v>
      </c>
      <c r="B154" t="s">
        <v>12</v>
      </c>
      <c r="C154">
        <v>4406</v>
      </c>
      <c r="D154" t="str">
        <f t="shared" si="2"/>
        <v>Full</v>
      </c>
      <c r="E154">
        <v>14756</v>
      </c>
      <c r="F154">
        <v>193.49</v>
      </c>
      <c r="G154">
        <v>388.85</v>
      </c>
      <c r="H154" s="4" t="s">
        <v>471</v>
      </c>
      <c r="I154" t="s">
        <v>472</v>
      </c>
      <c r="J154" t="s">
        <v>473</v>
      </c>
      <c r="K154" t="s">
        <v>16</v>
      </c>
      <c r="L154">
        <v>118.88</v>
      </c>
    </row>
    <row r="155" spans="1:12" x14ac:dyDescent="0.3">
      <c r="A155" t="s">
        <v>119</v>
      </c>
      <c r="B155" t="s">
        <v>32</v>
      </c>
      <c r="C155">
        <v>4463</v>
      </c>
      <c r="D155" t="str">
        <f t="shared" si="2"/>
        <v>Full</v>
      </c>
      <c r="E155">
        <v>24545</v>
      </c>
      <c r="F155">
        <v>47.36</v>
      </c>
      <c r="G155">
        <v>83.26</v>
      </c>
      <c r="H155" s="4" t="s">
        <v>474</v>
      </c>
      <c r="I155" t="s">
        <v>475</v>
      </c>
      <c r="J155" t="s">
        <v>476</v>
      </c>
      <c r="K155" t="s">
        <v>16</v>
      </c>
      <c r="L155">
        <v>26.84</v>
      </c>
    </row>
    <row r="156" spans="1:12" x14ac:dyDescent="0.3">
      <c r="A156" t="s">
        <v>41</v>
      </c>
      <c r="B156" t="s">
        <v>32</v>
      </c>
      <c r="C156">
        <v>6408</v>
      </c>
      <c r="D156" t="str">
        <f t="shared" si="2"/>
        <v>Full</v>
      </c>
      <c r="E156">
        <v>3217</v>
      </c>
      <c r="F156">
        <v>286.25</v>
      </c>
      <c r="G156">
        <v>545.97</v>
      </c>
      <c r="H156" s="4" t="s">
        <v>477</v>
      </c>
      <c r="I156" t="s">
        <v>478</v>
      </c>
      <c r="J156" t="s">
        <v>479</v>
      </c>
      <c r="K156" t="s">
        <v>21</v>
      </c>
      <c r="L156">
        <v>214.5</v>
      </c>
    </row>
    <row r="157" spans="1:12" x14ac:dyDescent="0.3">
      <c r="A157" t="s">
        <v>127</v>
      </c>
      <c r="B157" t="s">
        <v>36</v>
      </c>
      <c r="C157">
        <v>6616</v>
      </c>
      <c r="D157" t="str">
        <f t="shared" si="2"/>
        <v>Full</v>
      </c>
      <c r="E157">
        <v>9311</v>
      </c>
      <c r="F157">
        <v>225.46</v>
      </c>
      <c r="G157">
        <v>375.22</v>
      </c>
      <c r="H157" s="4" t="s">
        <v>480</v>
      </c>
      <c r="I157" t="s">
        <v>481</v>
      </c>
      <c r="J157" t="s">
        <v>482</v>
      </c>
      <c r="K157" t="s">
        <v>27</v>
      </c>
      <c r="L157">
        <v>159.76</v>
      </c>
    </row>
    <row r="158" spans="1:12" x14ac:dyDescent="0.3">
      <c r="A158" t="s">
        <v>45</v>
      </c>
      <c r="B158" t="s">
        <v>84</v>
      </c>
      <c r="C158">
        <v>1226</v>
      </c>
      <c r="D158" t="str">
        <f t="shared" si="2"/>
        <v>Medium</v>
      </c>
      <c r="E158">
        <v>12544</v>
      </c>
      <c r="F158">
        <v>166.07</v>
      </c>
      <c r="G158">
        <v>374.91</v>
      </c>
      <c r="H158" s="4" t="s">
        <v>266</v>
      </c>
      <c r="I158" t="s">
        <v>218</v>
      </c>
      <c r="J158" t="s">
        <v>483</v>
      </c>
      <c r="K158" t="s">
        <v>21</v>
      </c>
      <c r="L158">
        <v>108.39</v>
      </c>
    </row>
    <row r="159" spans="1:12" x14ac:dyDescent="0.3">
      <c r="A159" t="s">
        <v>123</v>
      </c>
      <c r="B159" t="s">
        <v>12</v>
      </c>
      <c r="C159">
        <v>7998</v>
      </c>
      <c r="D159" t="str">
        <f t="shared" si="2"/>
        <v>Full</v>
      </c>
      <c r="E159">
        <v>2211</v>
      </c>
      <c r="F159">
        <v>91.57</v>
      </c>
      <c r="G159">
        <v>115.1</v>
      </c>
      <c r="H159" s="4" t="s">
        <v>455</v>
      </c>
      <c r="I159" t="s">
        <v>484</v>
      </c>
      <c r="J159" t="s">
        <v>485</v>
      </c>
      <c r="K159" t="s">
        <v>40</v>
      </c>
      <c r="L159">
        <v>55.51</v>
      </c>
    </row>
    <row r="160" spans="1:12" x14ac:dyDescent="0.3">
      <c r="A160" t="s">
        <v>66</v>
      </c>
      <c r="B160" t="s">
        <v>36</v>
      </c>
      <c r="C160">
        <v>4650</v>
      </c>
      <c r="D160" t="str">
        <f t="shared" si="2"/>
        <v>Full</v>
      </c>
      <c r="E160">
        <v>2199</v>
      </c>
      <c r="F160">
        <v>227.22</v>
      </c>
      <c r="G160">
        <v>329.11</v>
      </c>
      <c r="H160" s="4" t="s">
        <v>486</v>
      </c>
      <c r="I160" t="s">
        <v>487</v>
      </c>
      <c r="J160" t="s">
        <v>488</v>
      </c>
      <c r="K160" t="s">
        <v>40</v>
      </c>
      <c r="L160">
        <v>115.72</v>
      </c>
    </row>
    <row r="161" spans="1:12" x14ac:dyDescent="0.3">
      <c r="A161" t="s">
        <v>76</v>
      </c>
      <c r="B161" t="s">
        <v>36</v>
      </c>
      <c r="C161">
        <v>7053</v>
      </c>
      <c r="D161" t="str">
        <f t="shared" si="2"/>
        <v>Full</v>
      </c>
      <c r="E161">
        <v>15409</v>
      </c>
      <c r="F161">
        <v>268.92</v>
      </c>
      <c r="G161">
        <v>457.87</v>
      </c>
      <c r="H161" s="4" t="s">
        <v>489</v>
      </c>
      <c r="I161" t="s">
        <v>490</v>
      </c>
      <c r="J161" t="s">
        <v>491</v>
      </c>
      <c r="K161" t="s">
        <v>40</v>
      </c>
      <c r="L161">
        <v>206.99</v>
      </c>
    </row>
    <row r="162" spans="1:12" x14ac:dyDescent="0.3">
      <c r="A162" t="s">
        <v>119</v>
      </c>
      <c r="B162" t="s">
        <v>23</v>
      </c>
      <c r="C162">
        <v>1853</v>
      </c>
      <c r="D162" t="str">
        <f t="shared" si="2"/>
        <v>Medium</v>
      </c>
      <c r="E162">
        <v>24825</v>
      </c>
      <c r="F162">
        <v>130.22999999999999</v>
      </c>
      <c r="G162">
        <v>229.18</v>
      </c>
      <c r="H162" s="4" t="s">
        <v>492</v>
      </c>
      <c r="I162" t="s">
        <v>38</v>
      </c>
      <c r="J162" t="s">
        <v>493</v>
      </c>
      <c r="K162" t="s">
        <v>40</v>
      </c>
      <c r="L162">
        <v>57.44</v>
      </c>
    </row>
    <row r="163" spans="1:12" x14ac:dyDescent="0.3">
      <c r="A163" t="s">
        <v>45</v>
      </c>
      <c r="B163" t="s">
        <v>23</v>
      </c>
      <c r="C163">
        <v>5521</v>
      </c>
      <c r="D163" t="str">
        <f t="shared" si="2"/>
        <v>Full</v>
      </c>
      <c r="E163">
        <v>15611</v>
      </c>
      <c r="F163">
        <v>182.77</v>
      </c>
      <c r="G163">
        <v>320.57</v>
      </c>
      <c r="H163" s="4" t="s">
        <v>347</v>
      </c>
      <c r="I163" t="s">
        <v>494</v>
      </c>
      <c r="J163" t="s">
        <v>495</v>
      </c>
      <c r="K163" t="s">
        <v>27</v>
      </c>
      <c r="L163">
        <v>126.24</v>
      </c>
    </row>
    <row r="164" spans="1:12" x14ac:dyDescent="0.3">
      <c r="A164" t="s">
        <v>76</v>
      </c>
      <c r="B164" t="s">
        <v>32</v>
      </c>
      <c r="C164">
        <v>7626</v>
      </c>
      <c r="D164" t="str">
        <f t="shared" si="2"/>
        <v>Full</v>
      </c>
      <c r="E164">
        <v>9996</v>
      </c>
      <c r="F164">
        <v>193.64</v>
      </c>
      <c r="G164">
        <v>431.61</v>
      </c>
      <c r="H164" s="4" t="s">
        <v>496</v>
      </c>
      <c r="I164" t="s">
        <v>497</v>
      </c>
      <c r="J164" t="s">
        <v>498</v>
      </c>
      <c r="K164" t="s">
        <v>21</v>
      </c>
      <c r="L164">
        <v>105.6</v>
      </c>
    </row>
    <row r="165" spans="1:12" x14ac:dyDescent="0.3">
      <c r="A165" t="s">
        <v>56</v>
      </c>
      <c r="B165" t="s">
        <v>12</v>
      </c>
      <c r="C165">
        <v>2839</v>
      </c>
      <c r="D165" t="str">
        <f t="shared" si="2"/>
        <v>Medium</v>
      </c>
      <c r="E165">
        <v>20908</v>
      </c>
      <c r="F165">
        <v>205.04</v>
      </c>
      <c r="G165">
        <v>362.84</v>
      </c>
      <c r="H165" s="4" t="s">
        <v>499</v>
      </c>
      <c r="I165" t="s">
        <v>500</v>
      </c>
      <c r="J165" t="s">
        <v>501</v>
      </c>
      <c r="K165" t="s">
        <v>40</v>
      </c>
      <c r="L165">
        <v>111.72</v>
      </c>
    </row>
    <row r="166" spans="1:12" x14ac:dyDescent="0.3">
      <c r="A166" t="s">
        <v>22</v>
      </c>
      <c r="B166" t="s">
        <v>12</v>
      </c>
      <c r="C166">
        <v>3013</v>
      </c>
      <c r="D166" t="str">
        <f t="shared" si="2"/>
        <v>Full</v>
      </c>
      <c r="E166">
        <v>23251</v>
      </c>
      <c r="F166">
        <v>137.72999999999999</v>
      </c>
      <c r="G166">
        <v>231.7</v>
      </c>
      <c r="H166" s="4" t="s">
        <v>347</v>
      </c>
      <c r="I166" t="s">
        <v>256</v>
      </c>
      <c r="J166" t="s">
        <v>502</v>
      </c>
      <c r="K166" t="s">
        <v>98</v>
      </c>
      <c r="L166">
        <v>84.26</v>
      </c>
    </row>
    <row r="167" spans="1:12" x14ac:dyDescent="0.3">
      <c r="A167" t="s">
        <v>299</v>
      </c>
      <c r="B167" t="s">
        <v>23</v>
      </c>
      <c r="C167">
        <v>5066</v>
      </c>
      <c r="D167" t="str">
        <f t="shared" si="2"/>
        <v>Full</v>
      </c>
      <c r="E167">
        <v>9179</v>
      </c>
      <c r="F167">
        <v>288.35000000000002</v>
      </c>
      <c r="G167">
        <v>355.73</v>
      </c>
      <c r="H167" s="4" t="s">
        <v>503</v>
      </c>
      <c r="I167" t="s">
        <v>504</v>
      </c>
      <c r="J167" t="s">
        <v>505</v>
      </c>
      <c r="K167" t="s">
        <v>21</v>
      </c>
      <c r="L167">
        <v>220.71</v>
      </c>
    </row>
    <row r="168" spans="1:12" x14ac:dyDescent="0.3">
      <c r="A168" t="s">
        <v>11</v>
      </c>
      <c r="B168" t="s">
        <v>23</v>
      </c>
      <c r="C168">
        <v>4764</v>
      </c>
      <c r="D168" t="str">
        <f t="shared" si="2"/>
        <v>Full</v>
      </c>
      <c r="E168">
        <v>24069</v>
      </c>
      <c r="F168">
        <v>136.65</v>
      </c>
      <c r="G168">
        <v>340.98</v>
      </c>
      <c r="H168" s="4" t="s">
        <v>506</v>
      </c>
      <c r="I168" t="s">
        <v>507</v>
      </c>
      <c r="J168" t="s">
        <v>508</v>
      </c>
      <c r="K168" t="s">
        <v>98</v>
      </c>
      <c r="L168">
        <v>61.36</v>
      </c>
    </row>
    <row r="169" spans="1:12" x14ac:dyDescent="0.3">
      <c r="A169" t="s">
        <v>41</v>
      </c>
      <c r="B169" t="s">
        <v>36</v>
      </c>
      <c r="C169">
        <v>3328</v>
      </c>
      <c r="D169" t="str">
        <f t="shared" si="2"/>
        <v>Full</v>
      </c>
      <c r="E169">
        <v>24375</v>
      </c>
      <c r="F169">
        <v>136.31</v>
      </c>
      <c r="G169">
        <v>179.13</v>
      </c>
      <c r="H169" s="4" t="s">
        <v>509</v>
      </c>
      <c r="I169" t="s">
        <v>510</v>
      </c>
      <c r="J169" t="s">
        <v>511</v>
      </c>
      <c r="K169" t="s">
        <v>40</v>
      </c>
      <c r="L169">
        <v>93.21</v>
      </c>
    </row>
    <row r="170" spans="1:12" x14ac:dyDescent="0.3">
      <c r="A170" t="s">
        <v>66</v>
      </c>
      <c r="B170" t="s">
        <v>32</v>
      </c>
      <c r="C170">
        <v>5257</v>
      </c>
      <c r="D170" t="str">
        <f t="shared" si="2"/>
        <v>Full</v>
      </c>
      <c r="E170">
        <v>10828</v>
      </c>
      <c r="F170">
        <v>256.14999999999998</v>
      </c>
      <c r="G170">
        <v>544.41</v>
      </c>
      <c r="H170" s="4" t="s">
        <v>512</v>
      </c>
      <c r="I170" t="s">
        <v>513</v>
      </c>
      <c r="J170" t="s">
        <v>514</v>
      </c>
      <c r="K170" t="s">
        <v>16</v>
      </c>
      <c r="L170">
        <v>125.44</v>
      </c>
    </row>
    <row r="171" spans="1:12" x14ac:dyDescent="0.3">
      <c r="A171" t="s">
        <v>88</v>
      </c>
      <c r="B171" t="s">
        <v>84</v>
      </c>
      <c r="C171">
        <v>4378</v>
      </c>
      <c r="D171" t="str">
        <f t="shared" si="2"/>
        <v>Full</v>
      </c>
      <c r="E171">
        <v>17188</v>
      </c>
      <c r="F171">
        <v>12.75</v>
      </c>
      <c r="G171">
        <v>24.48</v>
      </c>
      <c r="H171" s="4" t="s">
        <v>515</v>
      </c>
      <c r="I171" t="s">
        <v>516</v>
      </c>
      <c r="J171" t="s">
        <v>517</v>
      </c>
      <c r="K171" t="s">
        <v>98</v>
      </c>
      <c r="L171">
        <v>8.2200000000000006</v>
      </c>
    </row>
    <row r="172" spans="1:12" x14ac:dyDescent="0.3">
      <c r="A172" t="s">
        <v>41</v>
      </c>
      <c r="B172" t="s">
        <v>12</v>
      </c>
      <c r="C172">
        <v>5567</v>
      </c>
      <c r="D172" t="str">
        <f t="shared" si="2"/>
        <v>Full</v>
      </c>
      <c r="E172">
        <v>14046</v>
      </c>
      <c r="F172">
        <v>299.88</v>
      </c>
      <c r="G172">
        <v>640.1</v>
      </c>
      <c r="H172" s="4" t="s">
        <v>518</v>
      </c>
      <c r="I172" t="s">
        <v>519</v>
      </c>
      <c r="J172" t="s">
        <v>520</v>
      </c>
      <c r="K172" t="s">
        <v>16</v>
      </c>
      <c r="L172">
        <v>128.80000000000001</v>
      </c>
    </row>
    <row r="173" spans="1:12" x14ac:dyDescent="0.3">
      <c r="A173" t="s">
        <v>45</v>
      </c>
      <c r="B173" t="s">
        <v>12</v>
      </c>
      <c r="C173">
        <v>7872</v>
      </c>
      <c r="D173" t="str">
        <f t="shared" si="2"/>
        <v>Full</v>
      </c>
      <c r="E173">
        <v>16264</v>
      </c>
      <c r="F173">
        <v>205.63</v>
      </c>
      <c r="G173">
        <v>338.85</v>
      </c>
      <c r="H173" s="4" t="s">
        <v>521</v>
      </c>
      <c r="I173" t="s">
        <v>522</v>
      </c>
      <c r="J173" t="s">
        <v>523</v>
      </c>
      <c r="K173" t="s">
        <v>98</v>
      </c>
      <c r="L173">
        <v>145.4</v>
      </c>
    </row>
    <row r="174" spans="1:12" x14ac:dyDescent="0.3">
      <c r="A174" t="s">
        <v>123</v>
      </c>
      <c r="B174" t="s">
        <v>36</v>
      </c>
      <c r="C174">
        <v>8738</v>
      </c>
      <c r="D174" t="str">
        <f t="shared" si="2"/>
        <v>Full</v>
      </c>
      <c r="E174">
        <v>2815</v>
      </c>
      <c r="F174">
        <v>250.26</v>
      </c>
      <c r="G174">
        <v>468.87</v>
      </c>
      <c r="H174" s="4" t="s">
        <v>260</v>
      </c>
      <c r="I174" t="s">
        <v>378</v>
      </c>
      <c r="J174" t="s">
        <v>524</v>
      </c>
      <c r="K174" t="s">
        <v>40</v>
      </c>
      <c r="L174">
        <v>193.67</v>
      </c>
    </row>
    <row r="175" spans="1:12" x14ac:dyDescent="0.3">
      <c r="A175" t="s">
        <v>80</v>
      </c>
      <c r="B175" t="s">
        <v>23</v>
      </c>
      <c r="C175">
        <v>9001</v>
      </c>
      <c r="D175" t="str">
        <f t="shared" si="2"/>
        <v>Full</v>
      </c>
      <c r="E175">
        <v>10307</v>
      </c>
      <c r="F175">
        <v>254.55</v>
      </c>
      <c r="G175">
        <v>388.39</v>
      </c>
      <c r="H175" s="4" t="s">
        <v>215</v>
      </c>
      <c r="I175" t="s">
        <v>525</v>
      </c>
      <c r="J175" t="s">
        <v>526</v>
      </c>
      <c r="K175" t="s">
        <v>98</v>
      </c>
      <c r="L175">
        <v>165.46</v>
      </c>
    </row>
    <row r="176" spans="1:12" x14ac:dyDescent="0.3">
      <c r="A176" t="s">
        <v>176</v>
      </c>
      <c r="B176" t="s">
        <v>32</v>
      </c>
      <c r="C176">
        <v>2030</v>
      </c>
      <c r="D176" t="str">
        <f t="shared" si="2"/>
        <v>Medium</v>
      </c>
      <c r="E176">
        <v>17468</v>
      </c>
      <c r="F176">
        <v>194.09</v>
      </c>
      <c r="G176">
        <v>382.23</v>
      </c>
      <c r="H176" s="4" t="s">
        <v>527</v>
      </c>
      <c r="I176" t="s">
        <v>528</v>
      </c>
      <c r="J176" t="s">
        <v>529</v>
      </c>
      <c r="K176" t="s">
        <v>16</v>
      </c>
      <c r="L176">
        <v>133.58000000000001</v>
      </c>
    </row>
    <row r="177" spans="1:12" x14ac:dyDescent="0.3">
      <c r="A177" t="s">
        <v>176</v>
      </c>
      <c r="B177" t="s">
        <v>23</v>
      </c>
      <c r="C177">
        <v>9734</v>
      </c>
      <c r="D177" t="str">
        <f t="shared" si="2"/>
        <v>Full</v>
      </c>
      <c r="E177">
        <v>2349</v>
      </c>
      <c r="F177">
        <v>248.44</v>
      </c>
      <c r="G177">
        <v>307.29000000000002</v>
      </c>
      <c r="H177" s="4" t="s">
        <v>530</v>
      </c>
      <c r="I177" t="s">
        <v>531</v>
      </c>
      <c r="J177" t="s">
        <v>532</v>
      </c>
      <c r="K177" t="s">
        <v>40</v>
      </c>
      <c r="L177">
        <v>164.08</v>
      </c>
    </row>
    <row r="178" spans="1:12" x14ac:dyDescent="0.3">
      <c r="A178" t="s">
        <v>22</v>
      </c>
      <c r="B178" t="s">
        <v>36</v>
      </c>
      <c r="C178">
        <v>996</v>
      </c>
      <c r="D178" t="str">
        <f t="shared" si="2"/>
        <v>Low</v>
      </c>
      <c r="E178">
        <v>17319</v>
      </c>
      <c r="F178">
        <v>267.25</v>
      </c>
      <c r="G178">
        <v>510.25</v>
      </c>
      <c r="H178" s="4" t="s">
        <v>533</v>
      </c>
      <c r="I178" t="s">
        <v>534</v>
      </c>
      <c r="J178" t="s">
        <v>535</v>
      </c>
      <c r="K178" t="s">
        <v>98</v>
      </c>
      <c r="L178">
        <v>192.92</v>
      </c>
    </row>
    <row r="179" spans="1:12" x14ac:dyDescent="0.3">
      <c r="A179" t="s">
        <v>299</v>
      </c>
      <c r="B179" t="s">
        <v>23</v>
      </c>
      <c r="C179">
        <v>7930</v>
      </c>
      <c r="D179" t="str">
        <f t="shared" si="2"/>
        <v>Full</v>
      </c>
      <c r="E179">
        <v>3391</v>
      </c>
      <c r="F179">
        <v>208.14</v>
      </c>
      <c r="G179">
        <v>292.54000000000002</v>
      </c>
      <c r="H179" s="4" t="s">
        <v>185</v>
      </c>
      <c r="I179" t="s">
        <v>536</v>
      </c>
      <c r="J179" t="s">
        <v>537</v>
      </c>
      <c r="K179" t="s">
        <v>98</v>
      </c>
      <c r="L179">
        <v>111.58</v>
      </c>
    </row>
    <row r="180" spans="1:12" x14ac:dyDescent="0.3">
      <c r="A180" t="s">
        <v>123</v>
      </c>
      <c r="B180" t="s">
        <v>23</v>
      </c>
      <c r="C180">
        <v>5731</v>
      </c>
      <c r="D180" t="str">
        <f t="shared" si="2"/>
        <v>Full</v>
      </c>
      <c r="E180">
        <v>12317</v>
      </c>
      <c r="F180">
        <v>292.74</v>
      </c>
      <c r="G180">
        <v>401.05</v>
      </c>
      <c r="H180" s="4" t="s">
        <v>37</v>
      </c>
      <c r="I180" t="s">
        <v>538</v>
      </c>
      <c r="J180" t="s">
        <v>539</v>
      </c>
      <c r="K180" t="s">
        <v>27</v>
      </c>
      <c r="L180">
        <v>154.46</v>
      </c>
    </row>
    <row r="181" spans="1:12" x14ac:dyDescent="0.3">
      <c r="A181" t="s">
        <v>143</v>
      </c>
      <c r="B181" t="s">
        <v>12</v>
      </c>
      <c r="C181">
        <v>4882</v>
      </c>
      <c r="D181" t="str">
        <f t="shared" si="2"/>
        <v>Full</v>
      </c>
      <c r="E181">
        <v>15732</v>
      </c>
      <c r="F181">
        <v>78.14</v>
      </c>
      <c r="G181">
        <v>103.6</v>
      </c>
      <c r="H181" s="4" t="s">
        <v>540</v>
      </c>
      <c r="I181" t="s">
        <v>541</v>
      </c>
      <c r="J181" t="s">
        <v>542</v>
      </c>
      <c r="K181" t="s">
        <v>21</v>
      </c>
      <c r="L181">
        <v>39.020000000000003</v>
      </c>
    </row>
    <row r="182" spans="1:12" x14ac:dyDescent="0.3">
      <c r="A182" t="s">
        <v>56</v>
      </c>
      <c r="B182" t="s">
        <v>23</v>
      </c>
      <c r="C182">
        <v>9964</v>
      </c>
      <c r="D182" t="str">
        <f t="shared" si="2"/>
        <v>Full</v>
      </c>
      <c r="E182">
        <v>24629</v>
      </c>
      <c r="F182">
        <v>97.25</v>
      </c>
      <c r="G182">
        <v>213.18</v>
      </c>
      <c r="H182" s="4" t="s">
        <v>543</v>
      </c>
      <c r="I182" t="s">
        <v>544</v>
      </c>
      <c r="J182" t="s">
        <v>545</v>
      </c>
      <c r="K182" t="s">
        <v>21</v>
      </c>
      <c r="L182">
        <v>73.099999999999994</v>
      </c>
    </row>
    <row r="183" spans="1:12" x14ac:dyDescent="0.3">
      <c r="A183" t="s">
        <v>49</v>
      </c>
      <c r="B183" t="s">
        <v>12</v>
      </c>
      <c r="C183">
        <v>1975</v>
      </c>
      <c r="D183" t="str">
        <f t="shared" si="2"/>
        <v>Medium</v>
      </c>
      <c r="E183">
        <v>13885</v>
      </c>
      <c r="F183">
        <v>154.11000000000001</v>
      </c>
      <c r="G183">
        <v>378.6</v>
      </c>
      <c r="H183" s="4" t="s">
        <v>546</v>
      </c>
      <c r="I183" t="s">
        <v>547</v>
      </c>
      <c r="J183" t="s">
        <v>548</v>
      </c>
      <c r="K183" t="s">
        <v>27</v>
      </c>
      <c r="L183">
        <v>64.760000000000005</v>
      </c>
    </row>
    <row r="184" spans="1:12" x14ac:dyDescent="0.3">
      <c r="A184" t="s">
        <v>49</v>
      </c>
      <c r="B184" t="s">
        <v>32</v>
      </c>
      <c r="C184">
        <v>8210</v>
      </c>
      <c r="D184" t="str">
        <f t="shared" si="2"/>
        <v>Full</v>
      </c>
      <c r="E184">
        <v>10363</v>
      </c>
      <c r="F184">
        <v>163.32</v>
      </c>
      <c r="G184">
        <v>375.85</v>
      </c>
      <c r="H184" s="4" t="s">
        <v>549</v>
      </c>
      <c r="I184" t="s">
        <v>550</v>
      </c>
      <c r="J184" t="s">
        <v>551</v>
      </c>
      <c r="K184" t="s">
        <v>40</v>
      </c>
      <c r="L184">
        <v>115.23</v>
      </c>
    </row>
    <row r="185" spans="1:12" x14ac:dyDescent="0.3">
      <c r="A185" t="s">
        <v>76</v>
      </c>
      <c r="B185" t="s">
        <v>12</v>
      </c>
      <c r="C185">
        <v>7063</v>
      </c>
      <c r="D185" t="str">
        <f t="shared" si="2"/>
        <v>Full</v>
      </c>
      <c r="E185">
        <v>2676</v>
      </c>
      <c r="F185">
        <v>173.23</v>
      </c>
      <c r="G185">
        <v>251.71</v>
      </c>
      <c r="H185" s="4" t="s">
        <v>552</v>
      </c>
      <c r="I185" t="s">
        <v>553</v>
      </c>
      <c r="J185" t="s">
        <v>554</v>
      </c>
      <c r="K185" t="s">
        <v>21</v>
      </c>
      <c r="L185">
        <v>104.23</v>
      </c>
    </row>
    <row r="186" spans="1:12" x14ac:dyDescent="0.3">
      <c r="A186" t="s">
        <v>66</v>
      </c>
      <c r="B186" t="s">
        <v>23</v>
      </c>
      <c r="C186">
        <v>2446</v>
      </c>
      <c r="D186" t="str">
        <f t="shared" si="2"/>
        <v>Medium</v>
      </c>
      <c r="E186">
        <v>5216</v>
      </c>
      <c r="F186">
        <v>292.64999999999998</v>
      </c>
      <c r="G186">
        <v>501.04</v>
      </c>
      <c r="H186" s="4" t="s">
        <v>389</v>
      </c>
      <c r="I186" t="s">
        <v>555</v>
      </c>
      <c r="J186" t="s">
        <v>556</v>
      </c>
      <c r="K186" t="s">
        <v>98</v>
      </c>
      <c r="L186">
        <v>140.36000000000001</v>
      </c>
    </row>
    <row r="187" spans="1:12" x14ac:dyDescent="0.3">
      <c r="A187" t="s">
        <v>119</v>
      </c>
      <c r="B187" t="s">
        <v>36</v>
      </c>
      <c r="C187">
        <v>8693</v>
      </c>
      <c r="D187" t="str">
        <f t="shared" si="2"/>
        <v>Full</v>
      </c>
      <c r="E187">
        <v>2319</v>
      </c>
      <c r="F187">
        <v>18.36</v>
      </c>
      <c r="G187">
        <v>25.3</v>
      </c>
      <c r="H187" s="4" t="s">
        <v>557</v>
      </c>
      <c r="I187" t="s">
        <v>64</v>
      </c>
      <c r="J187" t="s">
        <v>558</v>
      </c>
      <c r="K187" t="s">
        <v>21</v>
      </c>
      <c r="L187">
        <v>8.44</v>
      </c>
    </row>
    <row r="188" spans="1:12" x14ac:dyDescent="0.3">
      <c r="A188" t="s">
        <v>119</v>
      </c>
      <c r="B188" t="s">
        <v>84</v>
      </c>
      <c r="C188">
        <v>5873</v>
      </c>
      <c r="D188" t="str">
        <f t="shared" si="2"/>
        <v>Full</v>
      </c>
      <c r="E188">
        <v>21089</v>
      </c>
      <c r="F188">
        <v>98.97</v>
      </c>
      <c r="G188">
        <v>169.32</v>
      </c>
      <c r="H188" s="4" t="s">
        <v>559</v>
      </c>
      <c r="I188" t="s">
        <v>560</v>
      </c>
      <c r="J188" t="s">
        <v>561</v>
      </c>
      <c r="K188" t="s">
        <v>40</v>
      </c>
      <c r="L188">
        <v>59.67</v>
      </c>
    </row>
    <row r="189" spans="1:12" x14ac:dyDescent="0.3">
      <c r="A189" t="s">
        <v>119</v>
      </c>
      <c r="B189" t="s">
        <v>32</v>
      </c>
      <c r="C189">
        <v>8525</v>
      </c>
      <c r="D189" t="str">
        <f t="shared" si="2"/>
        <v>Full</v>
      </c>
      <c r="E189">
        <v>24223</v>
      </c>
      <c r="F189">
        <v>171.06</v>
      </c>
      <c r="G189">
        <v>310.88</v>
      </c>
      <c r="H189" s="4" t="s">
        <v>562</v>
      </c>
      <c r="I189" t="s">
        <v>563</v>
      </c>
      <c r="J189" t="s">
        <v>564</v>
      </c>
      <c r="K189" t="s">
        <v>27</v>
      </c>
      <c r="L189">
        <v>135.47</v>
      </c>
    </row>
    <row r="190" spans="1:12" x14ac:dyDescent="0.3">
      <c r="A190" t="s">
        <v>22</v>
      </c>
      <c r="B190" t="s">
        <v>23</v>
      </c>
      <c r="C190">
        <v>936</v>
      </c>
      <c r="D190" t="str">
        <f t="shared" si="2"/>
        <v>Low</v>
      </c>
      <c r="E190">
        <v>20559</v>
      </c>
      <c r="F190">
        <v>145</v>
      </c>
      <c r="G190">
        <v>356.29</v>
      </c>
      <c r="H190" s="4" t="s">
        <v>565</v>
      </c>
      <c r="I190" t="s">
        <v>566</v>
      </c>
      <c r="J190" t="s">
        <v>567</v>
      </c>
      <c r="K190" t="s">
        <v>27</v>
      </c>
      <c r="L190">
        <v>91.84</v>
      </c>
    </row>
    <row r="191" spans="1:12" x14ac:dyDescent="0.3">
      <c r="A191" t="s">
        <v>56</v>
      </c>
      <c r="B191" t="s">
        <v>32</v>
      </c>
      <c r="C191">
        <v>6729</v>
      </c>
      <c r="D191" t="str">
        <f t="shared" si="2"/>
        <v>Full</v>
      </c>
      <c r="E191">
        <v>5842</v>
      </c>
      <c r="F191">
        <v>247.39</v>
      </c>
      <c r="G191">
        <v>374.76</v>
      </c>
      <c r="H191" s="4" t="s">
        <v>335</v>
      </c>
      <c r="I191" t="s">
        <v>568</v>
      </c>
      <c r="J191" t="s">
        <v>569</v>
      </c>
      <c r="K191" t="s">
        <v>98</v>
      </c>
      <c r="L191">
        <v>100.83</v>
      </c>
    </row>
    <row r="192" spans="1:12" x14ac:dyDescent="0.3">
      <c r="A192" t="s">
        <v>45</v>
      </c>
      <c r="B192" t="s">
        <v>36</v>
      </c>
      <c r="C192">
        <v>2981</v>
      </c>
      <c r="D192" t="str">
        <f t="shared" si="2"/>
        <v>Medium</v>
      </c>
      <c r="E192">
        <v>14531</v>
      </c>
      <c r="F192">
        <v>208.7</v>
      </c>
      <c r="G192">
        <v>361.78</v>
      </c>
      <c r="H192" s="4" t="s">
        <v>570</v>
      </c>
      <c r="I192" t="s">
        <v>571</v>
      </c>
      <c r="J192" t="s">
        <v>572</v>
      </c>
      <c r="K192" t="s">
        <v>98</v>
      </c>
      <c r="L192">
        <v>126.78</v>
      </c>
    </row>
    <row r="193" spans="1:12" x14ac:dyDescent="0.3">
      <c r="A193" t="s">
        <v>66</v>
      </c>
      <c r="B193" t="s">
        <v>23</v>
      </c>
      <c r="C193">
        <v>8337</v>
      </c>
      <c r="D193" t="str">
        <f t="shared" si="2"/>
        <v>Full</v>
      </c>
      <c r="E193">
        <v>18218</v>
      </c>
      <c r="F193">
        <v>116.16</v>
      </c>
      <c r="G193">
        <v>283.86</v>
      </c>
      <c r="H193" s="4" t="s">
        <v>28</v>
      </c>
      <c r="I193" t="s">
        <v>573</v>
      </c>
      <c r="J193" t="s">
        <v>574</v>
      </c>
      <c r="K193" t="s">
        <v>16</v>
      </c>
      <c r="L193">
        <v>62.93</v>
      </c>
    </row>
    <row r="194" spans="1:12" x14ac:dyDescent="0.3">
      <c r="A194" t="s">
        <v>147</v>
      </c>
      <c r="B194" t="s">
        <v>32</v>
      </c>
      <c r="C194">
        <v>8432</v>
      </c>
      <c r="D194" t="str">
        <f t="shared" si="2"/>
        <v>Full</v>
      </c>
      <c r="E194">
        <v>7300</v>
      </c>
      <c r="F194">
        <v>287.41000000000003</v>
      </c>
      <c r="G194">
        <v>449.14</v>
      </c>
      <c r="H194" s="4" t="s">
        <v>188</v>
      </c>
      <c r="I194" t="s">
        <v>575</v>
      </c>
      <c r="J194" t="s">
        <v>576</v>
      </c>
      <c r="K194" t="s">
        <v>40</v>
      </c>
      <c r="L194">
        <v>196</v>
      </c>
    </row>
    <row r="195" spans="1:12" x14ac:dyDescent="0.3">
      <c r="A195" t="s">
        <v>49</v>
      </c>
      <c r="B195" t="s">
        <v>23</v>
      </c>
      <c r="C195">
        <v>8361</v>
      </c>
      <c r="D195" t="str">
        <f t="shared" ref="D195:D258" si="3">IF(C195&lt;1000,"Low",IF(C195&lt;=3000,"Medium","Full"))</f>
        <v>Full</v>
      </c>
      <c r="E195">
        <v>12429</v>
      </c>
      <c r="F195">
        <v>170.34</v>
      </c>
      <c r="G195">
        <v>411.34</v>
      </c>
      <c r="H195" s="4" t="s">
        <v>577</v>
      </c>
      <c r="I195" t="s">
        <v>578</v>
      </c>
      <c r="J195" t="s">
        <v>579</v>
      </c>
      <c r="K195" t="s">
        <v>16</v>
      </c>
      <c r="L195">
        <v>114.24</v>
      </c>
    </row>
    <row r="196" spans="1:12" x14ac:dyDescent="0.3">
      <c r="A196" t="s">
        <v>299</v>
      </c>
      <c r="B196" t="s">
        <v>36</v>
      </c>
      <c r="C196">
        <v>6154</v>
      </c>
      <c r="D196" t="str">
        <f t="shared" si="3"/>
        <v>Full</v>
      </c>
      <c r="E196">
        <v>5799</v>
      </c>
      <c r="F196">
        <v>90.68</v>
      </c>
      <c r="G196">
        <v>142.72</v>
      </c>
      <c r="H196" s="4" t="s">
        <v>580</v>
      </c>
      <c r="I196" t="s">
        <v>581</v>
      </c>
      <c r="J196" t="s">
        <v>582</v>
      </c>
      <c r="K196" t="s">
        <v>40</v>
      </c>
      <c r="L196">
        <v>63.38</v>
      </c>
    </row>
    <row r="197" spans="1:12" x14ac:dyDescent="0.3">
      <c r="A197" t="s">
        <v>88</v>
      </c>
      <c r="B197" t="s">
        <v>84</v>
      </c>
      <c r="C197">
        <v>9324</v>
      </c>
      <c r="D197" t="str">
        <f t="shared" si="3"/>
        <v>Full</v>
      </c>
      <c r="E197">
        <v>9884</v>
      </c>
      <c r="F197">
        <v>280.24</v>
      </c>
      <c r="G197">
        <v>589.91</v>
      </c>
      <c r="H197" s="4" t="s">
        <v>403</v>
      </c>
      <c r="I197" t="s">
        <v>583</v>
      </c>
      <c r="J197" t="s">
        <v>584</v>
      </c>
      <c r="K197" t="s">
        <v>16</v>
      </c>
      <c r="L197">
        <v>138.91999999999999</v>
      </c>
    </row>
    <row r="198" spans="1:12" x14ac:dyDescent="0.3">
      <c r="A198" t="s">
        <v>127</v>
      </c>
      <c r="B198" t="s">
        <v>32</v>
      </c>
      <c r="C198">
        <v>4197</v>
      </c>
      <c r="D198" t="str">
        <f t="shared" si="3"/>
        <v>Full</v>
      </c>
      <c r="E198">
        <v>21904</v>
      </c>
      <c r="F198">
        <v>73.69</v>
      </c>
      <c r="G198">
        <v>98.03</v>
      </c>
      <c r="H198" s="4" t="s">
        <v>585</v>
      </c>
      <c r="I198" t="s">
        <v>586</v>
      </c>
      <c r="J198" t="s">
        <v>587</v>
      </c>
      <c r="K198" t="s">
        <v>98</v>
      </c>
      <c r="L198">
        <v>29.63</v>
      </c>
    </row>
    <row r="199" spans="1:12" x14ac:dyDescent="0.3">
      <c r="A199" t="s">
        <v>66</v>
      </c>
      <c r="B199" t="s">
        <v>84</v>
      </c>
      <c r="C199">
        <v>7166</v>
      </c>
      <c r="D199" t="str">
        <f t="shared" si="3"/>
        <v>Full</v>
      </c>
      <c r="E199">
        <v>22393</v>
      </c>
      <c r="F199">
        <v>280.83</v>
      </c>
      <c r="G199">
        <v>657.68</v>
      </c>
      <c r="H199" s="4" t="s">
        <v>588</v>
      </c>
      <c r="I199" t="s">
        <v>589</v>
      </c>
      <c r="J199" t="s">
        <v>590</v>
      </c>
      <c r="K199" t="s">
        <v>40</v>
      </c>
      <c r="L199">
        <v>148.41</v>
      </c>
    </row>
    <row r="200" spans="1:12" x14ac:dyDescent="0.3">
      <c r="A200" t="s">
        <v>127</v>
      </c>
      <c r="B200" t="s">
        <v>12</v>
      </c>
      <c r="C200">
        <v>9906</v>
      </c>
      <c r="D200" t="str">
        <f t="shared" si="3"/>
        <v>Full</v>
      </c>
      <c r="E200">
        <v>8609</v>
      </c>
      <c r="F200">
        <v>162.87</v>
      </c>
      <c r="G200">
        <v>348.55</v>
      </c>
      <c r="H200" s="4" t="s">
        <v>591</v>
      </c>
      <c r="I200" t="s">
        <v>592</v>
      </c>
      <c r="J200" t="s">
        <v>593</v>
      </c>
      <c r="K200" t="s">
        <v>98</v>
      </c>
      <c r="L200">
        <v>125.99</v>
      </c>
    </row>
    <row r="201" spans="1:12" x14ac:dyDescent="0.3">
      <c r="A201" t="s">
        <v>127</v>
      </c>
      <c r="B201" t="s">
        <v>36</v>
      </c>
      <c r="C201">
        <v>8616</v>
      </c>
      <c r="D201" t="str">
        <f t="shared" si="3"/>
        <v>Full</v>
      </c>
      <c r="E201">
        <v>7105</v>
      </c>
      <c r="F201">
        <v>281.3</v>
      </c>
      <c r="G201">
        <v>689.4</v>
      </c>
      <c r="H201" s="4" t="s">
        <v>594</v>
      </c>
      <c r="I201" t="s">
        <v>595</v>
      </c>
      <c r="J201" t="s">
        <v>596</v>
      </c>
      <c r="K201" t="s">
        <v>40</v>
      </c>
      <c r="L201">
        <v>176.43</v>
      </c>
    </row>
    <row r="202" spans="1:12" x14ac:dyDescent="0.3">
      <c r="A202" t="s">
        <v>11</v>
      </c>
      <c r="B202" t="s">
        <v>23</v>
      </c>
      <c r="C202">
        <v>5162</v>
      </c>
      <c r="D202" t="str">
        <f t="shared" si="3"/>
        <v>Full</v>
      </c>
      <c r="E202">
        <v>15888</v>
      </c>
      <c r="F202">
        <v>296.77999999999997</v>
      </c>
      <c r="G202">
        <v>565.75</v>
      </c>
      <c r="H202" s="4" t="s">
        <v>53</v>
      </c>
      <c r="I202" t="s">
        <v>597</v>
      </c>
      <c r="J202" t="s">
        <v>598</v>
      </c>
      <c r="K202" t="s">
        <v>21</v>
      </c>
      <c r="L202">
        <v>151.1</v>
      </c>
    </row>
    <row r="203" spans="1:12" x14ac:dyDescent="0.3">
      <c r="A203" t="s">
        <v>11</v>
      </c>
      <c r="B203" t="s">
        <v>23</v>
      </c>
      <c r="C203">
        <v>3162</v>
      </c>
      <c r="D203" t="str">
        <f t="shared" si="3"/>
        <v>Full</v>
      </c>
      <c r="E203">
        <v>24957</v>
      </c>
      <c r="F203">
        <v>140.38</v>
      </c>
      <c r="G203">
        <v>215.41</v>
      </c>
      <c r="H203" s="4" t="s">
        <v>503</v>
      </c>
      <c r="I203" t="s">
        <v>599</v>
      </c>
      <c r="J203" t="s">
        <v>600</v>
      </c>
      <c r="K203" t="s">
        <v>40</v>
      </c>
      <c r="L203">
        <v>88.03</v>
      </c>
    </row>
    <row r="204" spans="1:12" x14ac:dyDescent="0.3">
      <c r="A204" t="s">
        <v>88</v>
      </c>
      <c r="B204" t="s">
        <v>84</v>
      </c>
      <c r="C204">
        <v>7143</v>
      </c>
      <c r="D204" t="str">
        <f t="shared" si="3"/>
        <v>Full</v>
      </c>
      <c r="E204">
        <v>15014</v>
      </c>
      <c r="F204">
        <v>157.01</v>
      </c>
      <c r="G204">
        <v>206.12</v>
      </c>
      <c r="H204" s="4" t="s">
        <v>601</v>
      </c>
      <c r="I204" t="s">
        <v>602</v>
      </c>
      <c r="J204" t="s">
        <v>603</v>
      </c>
      <c r="K204" t="s">
        <v>98</v>
      </c>
      <c r="L204">
        <v>92.79</v>
      </c>
    </row>
    <row r="205" spans="1:12" x14ac:dyDescent="0.3">
      <c r="A205" t="s">
        <v>80</v>
      </c>
      <c r="B205" t="s">
        <v>12</v>
      </c>
      <c r="C205">
        <v>4772</v>
      </c>
      <c r="D205" t="str">
        <f t="shared" si="3"/>
        <v>Full</v>
      </c>
      <c r="E205">
        <v>13568</v>
      </c>
      <c r="F205">
        <v>74.48</v>
      </c>
      <c r="G205">
        <v>162.36000000000001</v>
      </c>
      <c r="H205" s="4" t="s">
        <v>604</v>
      </c>
      <c r="I205" t="s">
        <v>605</v>
      </c>
      <c r="J205" t="s">
        <v>606</v>
      </c>
      <c r="K205" t="s">
        <v>16</v>
      </c>
      <c r="L205">
        <v>30.13</v>
      </c>
    </row>
    <row r="206" spans="1:12" x14ac:dyDescent="0.3">
      <c r="A206" t="s">
        <v>76</v>
      </c>
      <c r="B206" t="s">
        <v>84</v>
      </c>
      <c r="C206">
        <v>1517</v>
      </c>
      <c r="D206" t="str">
        <f t="shared" si="3"/>
        <v>Medium</v>
      </c>
      <c r="E206">
        <v>22882</v>
      </c>
      <c r="F206">
        <v>39.880000000000003</v>
      </c>
      <c r="G206">
        <v>63.76</v>
      </c>
      <c r="H206" s="4" t="s">
        <v>607</v>
      </c>
      <c r="I206" t="s">
        <v>608</v>
      </c>
      <c r="J206" t="s">
        <v>609</v>
      </c>
      <c r="K206" t="s">
        <v>40</v>
      </c>
      <c r="L206">
        <v>26.96</v>
      </c>
    </row>
    <row r="207" spans="1:12" x14ac:dyDescent="0.3">
      <c r="A207" t="s">
        <v>31</v>
      </c>
      <c r="B207" t="s">
        <v>23</v>
      </c>
      <c r="C207">
        <v>4118</v>
      </c>
      <c r="D207" t="str">
        <f t="shared" si="3"/>
        <v>Full</v>
      </c>
      <c r="E207">
        <v>8180</v>
      </c>
      <c r="F207">
        <v>287.42</v>
      </c>
      <c r="G207">
        <v>523.57000000000005</v>
      </c>
      <c r="H207" s="4" t="s">
        <v>337</v>
      </c>
      <c r="I207" t="s">
        <v>610</v>
      </c>
      <c r="J207" t="s">
        <v>611</v>
      </c>
      <c r="K207" t="s">
        <v>21</v>
      </c>
      <c r="L207">
        <v>195.67</v>
      </c>
    </row>
    <row r="208" spans="1:12" x14ac:dyDescent="0.3">
      <c r="A208" t="s">
        <v>49</v>
      </c>
      <c r="B208" t="s">
        <v>32</v>
      </c>
      <c r="C208">
        <v>4078</v>
      </c>
      <c r="D208" t="str">
        <f t="shared" si="3"/>
        <v>Full</v>
      </c>
      <c r="E208">
        <v>9108</v>
      </c>
      <c r="F208">
        <v>205.7</v>
      </c>
      <c r="G208">
        <v>406.17</v>
      </c>
      <c r="H208" s="4" t="s">
        <v>612</v>
      </c>
      <c r="I208" t="s">
        <v>613</v>
      </c>
      <c r="J208" t="s">
        <v>614</v>
      </c>
      <c r="K208" t="s">
        <v>16</v>
      </c>
      <c r="L208">
        <v>140.19</v>
      </c>
    </row>
    <row r="209" spans="1:12" x14ac:dyDescent="0.3">
      <c r="A209" t="s">
        <v>41</v>
      </c>
      <c r="B209" t="s">
        <v>32</v>
      </c>
      <c r="C209">
        <v>2338</v>
      </c>
      <c r="D209" t="str">
        <f t="shared" si="3"/>
        <v>Medium</v>
      </c>
      <c r="E209">
        <v>3023</v>
      </c>
      <c r="F209">
        <v>249.49</v>
      </c>
      <c r="G209">
        <v>592.23</v>
      </c>
      <c r="H209" s="4" t="s">
        <v>615</v>
      </c>
      <c r="I209" t="s">
        <v>616</v>
      </c>
      <c r="J209" t="s">
        <v>617</v>
      </c>
      <c r="K209" t="s">
        <v>98</v>
      </c>
      <c r="L209">
        <v>116.22</v>
      </c>
    </row>
    <row r="210" spans="1:12" x14ac:dyDescent="0.3">
      <c r="A210" t="s">
        <v>119</v>
      </c>
      <c r="B210" t="s">
        <v>36</v>
      </c>
      <c r="C210">
        <v>2404</v>
      </c>
      <c r="D210" t="str">
        <f t="shared" si="3"/>
        <v>Medium</v>
      </c>
      <c r="E210">
        <v>23291</v>
      </c>
      <c r="F210">
        <v>65.59</v>
      </c>
      <c r="G210">
        <v>128.43</v>
      </c>
      <c r="H210" s="4" t="s">
        <v>392</v>
      </c>
      <c r="I210" t="s">
        <v>618</v>
      </c>
      <c r="J210" t="s">
        <v>619</v>
      </c>
      <c r="K210" t="s">
        <v>27</v>
      </c>
      <c r="L210">
        <v>38.130000000000003</v>
      </c>
    </row>
    <row r="211" spans="1:12" x14ac:dyDescent="0.3">
      <c r="A211" t="s">
        <v>119</v>
      </c>
      <c r="B211" t="s">
        <v>36</v>
      </c>
      <c r="C211">
        <v>7984</v>
      </c>
      <c r="D211" t="str">
        <f t="shared" si="3"/>
        <v>Full</v>
      </c>
      <c r="E211">
        <v>19478</v>
      </c>
      <c r="F211">
        <v>22.03</v>
      </c>
      <c r="G211">
        <v>39.68</v>
      </c>
      <c r="H211" s="4" t="s">
        <v>620</v>
      </c>
      <c r="I211" t="s">
        <v>621</v>
      </c>
      <c r="J211" t="s">
        <v>622</v>
      </c>
      <c r="K211" t="s">
        <v>40</v>
      </c>
      <c r="L211">
        <v>16.010000000000002</v>
      </c>
    </row>
    <row r="212" spans="1:12" x14ac:dyDescent="0.3">
      <c r="A212" t="s">
        <v>88</v>
      </c>
      <c r="B212" t="s">
        <v>32</v>
      </c>
      <c r="C212">
        <v>1696</v>
      </c>
      <c r="D212" t="str">
        <f t="shared" si="3"/>
        <v>Medium</v>
      </c>
      <c r="E212">
        <v>2484</v>
      </c>
      <c r="F212">
        <v>129.99</v>
      </c>
      <c r="G212">
        <v>274.33999999999997</v>
      </c>
      <c r="H212" s="4" t="s">
        <v>623</v>
      </c>
      <c r="I212" t="s">
        <v>618</v>
      </c>
      <c r="J212" t="s">
        <v>624</v>
      </c>
      <c r="K212" t="s">
        <v>21</v>
      </c>
      <c r="L212">
        <v>53.65</v>
      </c>
    </row>
    <row r="213" spans="1:12" x14ac:dyDescent="0.3">
      <c r="A213" t="s">
        <v>200</v>
      </c>
      <c r="B213" t="s">
        <v>84</v>
      </c>
      <c r="C213">
        <v>2718</v>
      </c>
      <c r="D213" t="str">
        <f t="shared" si="3"/>
        <v>Medium</v>
      </c>
      <c r="E213">
        <v>22021</v>
      </c>
      <c r="F213">
        <v>293.61</v>
      </c>
      <c r="G213">
        <v>598.86</v>
      </c>
      <c r="H213" s="4" t="s">
        <v>625</v>
      </c>
      <c r="I213" t="s">
        <v>494</v>
      </c>
      <c r="J213" t="s">
        <v>626</v>
      </c>
      <c r="K213" t="s">
        <v>21</v>
      </c>
      <c r="L213">
        <v>219.58</v>
      </c>
    </row>
    <row r="214" spans="1:12" x14ac:dyDescent="0.3">
      <c r="A214" t="s">
        <v>299</v>
      </c>
      <c r="B214" t="s">
        <v>36</v>
      </c>
      <c r="C214">
        <v>1814</v>
      </c>
      <c r="D214" t="str">
        <f t="shared" si="3"/>
        <v>Medium</v>
      </c>
      <c r="E214">
        <v>23371</v>
      </c>
      <c r="F214">
        <v>289.42</v>
      </c>
      <c r="G214">
        <v>676.35</v>
      </c>
      <c r="H214" s="4" t="s">
        <v>627</v>
      </c>
      <c r="I214" t="s">
        <v>628</v>
      </c>
      <c r="J214" t="s">
        <v>629</v>
      </c>
      <c r="K214" t="s">
        <v>27</v>
      </c>
      <c r="L214">
        <v>136.43</v>
      </c>
    </row>
    <row r="215" spans="1:12" x14ac:dyDescent="0.3">
      <c r="A215" t="s">
        <v>66</v>
      </c>
      <c r="B215" t="s">
        <v>36</v>
      </c>
      <c r="C215">
        <v>9164</v>
      </c>
      <c r="D215" t="str">
        <f t="shared" si="3"/>
        <v>Full</v>
      </c>
      <c r="E215">
        <v>5172</v>
      </c>
      <c r="F215">
        <v>219.72</v>
      </c>
      <c r="G215">
        <v>327.27</v>
      </c>
      <c r="H215" s="4" t="s">
        <v>630</v>
      </c>
      <c r="I215" t="s">
        <v>140</v>
      </c>
      <c r="J215" t="s">
        <v>631</v>
      </c>
      <c r="K215" t="s">
        <v>21</v>
      </c>
      <c r="L215">
        <v>147.08000000000001</v>
      </c>
    </row>
    <row r="216" spans="1:12" x14ac:dyDescent="0.3">
      <c r="A216" t="s">
        <v>66</v>
      </c>
      <c r="B216" t="s">
        <v>36</v>
      </c>
      <c r="C216">
        <v>9215</v>
      </c>
      <c r="D216" t="str">
        <f t="shared" si="3"/>
        <v>Full</v>
      </c>
      <c r="E216">
        <v>13428</v>
      </c>
      <c r="F216">
        <v>247.89</v>
      </c>
      <c r="G216">
        <v>377.23</v>
      </c>
      <c r="H216" s="4" t="s">
        <v>632</v>
      </c>
      <c r="I216" t="s">
        <v>633</v>
      </c>
      <c r="J216" t="s">
        <v>634</v>
      </c>
      <c r="K216" t="s">
        <v>98</v>
      </c>
      <c r="L216">
        <v>192.11</v>
      </c>
    </row>
    <row r="217" spans="1:12" x14ac:dyDescent="0.3">
      <c r="A217" t="s">
        <v>11</v>
      </c>
      <c r="B217" t="s">
        <v>12</v>
      </c>
      <c r="C217">
        <v>7368</v>
      </c>
      <c r="D217" t="str">
        <f t="shared" si="3"/>
        <v>Full</v>
      </c>
      <c r="E217">
        <v>21149</v>
      </c>
      <c r="F217">
        <v>230.99</v>
      </c>
      <c r="G217">
        <v>542.57000000000005</v>
      </c>
      <c r="H217" s="4" t="s">
        <v>635</v>
      </c>
      <c r="I217" t="s">
        <v>636</v>
      </c>
      <c r="J217" t="s">
        <v>637</v>
      </c>
      <c r="K217" t="s">
        <v>27</v>
      </c>
      <c r="L217">
        <v>101.72</v>
      </c>
    </row>
    <row r="218" spans="1:12" x14ac:dyDescent="0.3">
      <c r="A218" t="s">
        <v>127</v>
      </c>
      <c r="B218" t="s">
        <v>36</v>
      </c>
      <c r="C218">
        <v>1297</v>
      </c>
      <c r="D218" t="str">
        <f t="shared" si="3"/>
        <v>Medium</v>
      </c>
      <c r="E218">
        <v>9019</v>
      </c>
      <c r="F218">
        <v>223.46</v>
      </c>
      <c r="G218">
        <v>385.01</v>
      </c>
      <c r="H218" s="4" t="s">
        <v>638</v>
      </c>
      <c r="I218" t="s">
        <v>639</v>
      </c>
      <c r="J218" t="s">
        <v>640</v>
      </c>
      <c r="K218" t="s">
        <v>27</v>
      </c>
      <c r="L218">
        <v>101.91</v>
      </c>
    </row>
    <row r="219" spans="1:12" x14ac:dyDescent="0.3">
      <c r="A219" t="s">
        <v>31</v>
      </c>
      <c r="B219" t="s">
        <v>84</v>
      </c>
      <c r="C219">
        <v>9938</v>
      </c>
      <c r="D219" t="str">
        <f t="shared" si="3"/>
        <v>Full</v>
      </c>
      <c r="E219">
        <v>11449</v>
      </c>
      <c r="F219">
        <v>175.36</v>
      </c>
      <c r="G219">
        <v>386.55</v>
      </c>
      <c r="H219" s="4" t="s">
        <v>641</v>
      </c>
      <c r="I219" t="s">
        <v>232</v>
      </c>
      <c r="J219" t="s">
        <v>642</v>
      </c>
      <c r="K219" t="s">
        <v>98</v>
      </c>
      <c r="L219">
        <v>139.28</v>
      </c>
    </row>
    <row r="220" spans="1:12" x14ac:dyDescent="0.3">
      <c r="A220" t="s">
        <v>119</v>
      </c>
      <c r="B220" t="s">
        <v>84</v>
      </c>
      <c r="C220">
        <v>7275</v>
      </c>
      <c r="D220" t="str">
        <f t="shared" si="3"/>
        <v>Full</v>
      </c>
      <c r="E220">
        <v>10846</v>
      </c>
      <c r="F220">
        <v>86.17</v>
      </c>
      <c r="G220">
        <v>165.77</v>
      </c>
      <c r="H220" s="4" t="s">
        <v>643</v>
      </c>
      <c r="I220" t="s">
        <v>644</v>
      </c>
      <c r="J220" t="s">
        <v>645</v>
      </c>
      <c r="K220" t="s">
        <v>21</v>
      </c>
      <c r="L220">
        <v>53.63</v>
      </c>
    </row>
    <row r="221" spans="1:12" x14ac:dyDescent="0.3">
      <c r="A221" t="s">
        <v>127</v>
      </c>
      <c r="B221" t="s">
        <v>23</v>
      </c>
      <c r="C221">
        <v>6744</v>
      </c>
      <c r="D221" t="str">
        <f t="shared" si="3"/>
        <v>Full</v>
      </c>
      <c r="E221">
        <v>18185</v>
      </c>
      <c r="F221">
        <v>99.03</v>
      </c>
      <c r="G221">
        <v>172.43</v>
      </c>
      <c r="H221" s="4" t="s">
        <v>131</v>
      </c>
      <c r="I221" t="s">
        <v>646</v>
      </c>
      <c r="J221" t="s">
        <v>647</v>
      </c>
      <c r="K221" t="s">
        <v>98</v>
      </c>
      <c r="L221">
        <v>69.5</v>
      </c>
    </row>
    <row r="222" spans="1:12" x14ac:dyDescent="0.3">
      <c r="A222" t="s">
        <v>49</v>
      </c>
      <c r="B222" t="s">
        <v>84</v>
      </c>
      <c r="C222">
        <v>4192</v>
      </c>
      <c r="D222" t="str">
        <f t="shared" si="3"/>
        <v>Full</v>
      </c>
      <c r="E222">
        <v>10854</v>
      </c>
      <c r="F222">
        <v>257.97000000000003</v>
      </c>
      <c r="G222">
        <v>357.97</v>
      </c>
      <c r="H222" s="4" t="s">
        <v>648</v>
      </c>
      <c r="I222" t="s">
        <v>90</v>
      </c>
      <c r="J222" t="s">
        <v>649</v>
      </c>
      <c r="K222" t="s">
        <v>21</v>
      </c>
      <c r="L222">
        <v>203.05</v>
      </c>
    </row>
    <row r="223" spans="1:12" x14ac:dyDescent="0.3">
      <c r="A223" t="s">
        <v>66</v>
      </c>
      <c r="B223" t="s">
        <v>32</v>
      </c>
      <c r="C223">
        <v>2696</v>
      </c>
      <c r="D223" t="str">
        <f t="shared" si="3"/>
        <v>Medium</v>
      </c>
      <c r="E223">
        <v>13727</v>
      </c>
      <c r="F223">
        <v>76.64</v>
      </c>
      <c r="G223">
        <v>112.23</v>
      </c>
      <c r="H223" s="4" t="s">
        <v>650</v>
      </c>
      <c r="I223" t="s">
        <v>38</v>
      </c>
      <c r="J223" t="s">
        <v>651</v>
      </c>
      <c r="K223" t="s">
        <v>40</v>
      </c>
      <c r="L223">
        <v>33.49</v>
      </c>
    </row>
    <row r="224" spans="1:12" x14ac:dyDescent="0.3">
      <c r="A224" t="s">
        <v>88</v>
      </c>
      <c r="B224" t="s">
        <v>12</v>
      </c>
      <c r="C224">
        <v>4898</v>
      </c>
      <c r="D224" t="str">
        <f t="shared" si="3"/>
        <v>Full</v>
      </c>
      <c r="E224">
        <v>13359</v>
      </c>
      <c r="F224">
        <v>203.73</v>
      </c>
      <c r="G224">
        <v>404.16</v>
      </c>
      <c r="H224" s="4" t="s">
        <v>652</v>
      </c>
      <c r="I224" t="s">
        <v>559</v>
      </c>
      <c r="J224" t="s">
        <v>653</v>
      </c>
      <c r="K224" t="s">
        <v>16</v>
      </c>
      <c r="L224">
        <v>99.18</v>
      </c>
    </row>
    <row r="225" spans="1:12" x14ac:dyDescent="0.3">
      <c r="A225" t="s">
        <v>88</v>
      </c>
      <c r="B225" t="s">
        <v>23</v>
      </c>
      <c r="C225">
        <v>5467</v>
      </c>
      <c r="D225" t="str">
        <f t="shared" si="3"/>
        <v>Full</v>
      </c>
      <c r="E225">
        <v>1502</v>
      </c>
      <c r="F225">
        <v>67.48</v>
      </c>
      <c r="G225">
        <v>97.65</v>
      </c>
      <c r="H225" s="4" t="s">
        <v>654</v>
      </c>
      <c r="I225" t="s">
        <v>655</v>
      </c>
      <c r="J225" t="s">
        <v>656</v>
      </c>
      <c r="K225" t="s">
        <v>16</v>
      </c>
      <c r="L225">
        <v>45.99</v>
      </c>
    </row>
    <row r="226" spans="1:12" x14ac:dyDescent="0.3">
      <c r="A226" t="s">
        <v>299</v>
      </c>
      <c r="B226" t="s">
        <v>84</v>
      </c>
      <c r="C226">
        <v>9545</v>
      </c>
      <c r="D226" t="str">
        <f t="shared" si="3"/>
        <v>Full</v>
      </c>
      <c r="E226">
        <v>11538</v>
      </c>
      <c r="F226">
        <v>233.78</v>
      </c>
      <c r="G226">
        <v>396.22</v>
      </c>
      <c r="H226" s="4" t="s">
        <v>237</v>
      </c>
      <c r="I226" t="s">
        <v>657</v>
      </c>
      <c r="J226" t="s">
        <v>658</v>
      </c>
      <c r="K226" t="s">
        <v>40</v>
      </c>
      <c r="L226">
        <v>117.97</v>
      </c>
    </row>
    <row r="227" spans="1:12" x14ac:dyDescent="0.3">
      <c r="A227" t="s">
        <v>119</v>
      </c>
      <c r="B227" t="s">
        <v>36</v>
      </c>
      <c r="C227">
        <v>8135</v>
      </c>
      <c r="D227" t="str">
        <f t="shared" si="3"/>
        <v>Full</v>
      </c>
      <c r="E227">
        <v>4231</v>
      </c>
      <c r="F227">
        <v>241.83</v>
      </c>
      <c r="G227">
        <v>517.30999999999995</v>
      </c>
      <c r="H227" s="4" t="s">
        <v>659</v>
      </c>
      <c r="I227" t="s">
        <v>575</v>
      </c>
      <c r="J227" t="s">
        <v>660</v>
      </c>
      <c r="K227" t="s">
        <v>40</v>
      </c>
      <c r="L227">
        <v>136.77000000000001</v>
      </c>
    </row>
    <row r="228" spans="1:12" x14ac:dyDescent="0.3">
      <c r="A228" t="s">
        <v>22</v>
      </c>
      <c r="B228" t="s">
        <v>84</v>
      </c>
      <c r="C228">
        <v>2890</v>
      </c>
      <c r="D228" t="str">
        <f t="shared" si="3"/>
        <v>Medium</v>
      </c>
      <c r="E228">
        <v>1531</v>
      </c>
      <c r="F228">
        <v>81.93</v>
      </c>
      <c r="G228">
        <v>197.88</v>
      </c>
      <c r="H228" s="4" t="s">
        <v>102</v>
      </c>
      <c r="I228" t="s">
        <v>661</v>
      </c>
      <c r="J228" t="s">
        <v>662</v>
      </c>
      <c r="K228" t="s">
        <v>98</v>
      </c>
      <c r="L228">
        <v>39.200000000000003</v>
      </c>
    </row>
    <row r="229" spans="1:12" x14ac:dyDescent="0.3">
      <c r="A229" t="s">
        <v>80</v>
      </c>
      <c r="B229" t="s">
        <v>36</v>
      </c>
      <c r="C229">
        <v>9835</v>
      </c>
      <c r="D229" t="str">
        <f t="shared" si="3"/>
        <v>Full</v>
      </c>
      <c r="E229">
        <v>9052</v>
      </c>
      <c r="F229">
        <v>152.29</v>
      </c>
      <c r="G229">
        <v>312.35000000000002</v>
      </c>
      <c r="H229" s="4" t="s">
        <v>663</v>
      </c>
      <c r="I229" t="s">
        <v>664</v>
      </c>
      <c r="J229" t="s">
        <v>665</v>
      </c>
      <c r="K229" t="s">
        <v>21</v>
      </c>
      <c r="L229">
        <v>88.99</v>
      </c>
    </row>
    <row r="230" spans="1:12" x14ac:dyDescent="0.3">
      <c r="A230" t="s">
        <v>76</v>
      </c>
      <c r="B230" t="s">
        <v>84</v>
      </c>
      <c r="C230">
        <v>2793</v>
      </c>
      <c r="D230" t="str">
        <f t="shared" si="3"/>
        <v>Medium</v>
      </c>
      <c r="E230">
        <v>24603</v>
      </c>
      <c r="F230">
        <v>166.23</v>
      </c>
      <c r="G230">
        <v>239.25</v>
      </c>
      <c r="H230" s="4" t="s">
        <v>666</v>
      </c>
      <c r="I230" t="s">
        <v>667</v>
      </c>
      <c r="J230" t="s">
        <v>668</v>
      </c>
      <c r="K230" t="s">
        <v>16</v>
      </c>
      <c r="L230">
        <v>68.739999999999995</v>
      </c>
    </row>
    <row r="231" spans="1:12" x14ac:dyDescent="0.3">
      <c r="A231" t="s">
        <v>41</v>
      </c>
      <c r="B231" t="s">
        <v>12</v>
      </c>
      <c r="C231">
        <v>604</v>
      </c>
      <c r="D231" t="str">
        <f t="shared" si="3"/>
        <v>Low</v>
      </c>
      <c r="E231">
        <v>14513</v>
      </c>
      <c r="F231">
        <v>45.56</v>
      </c>
      <c r="G231">
        <v>92.03</v>
      </c>
      <c r="H231" s="4" t="s">
        <v>480</v>
      </c>
      <c r="I231" t="s">
        <v>616</v>
      </c>
      <c r="J231" t="s">
        <v>669</v>
      </c>
      <c r="K231" t="s">
        <v>27</v>
      </c>
      <c r="L231">
        <v>22.21</v>
      </c>
    </row>
    <row r="232" spans="1:12" x14ac:dyDescent="0.3">
      <c r="A232" t="s">
        <v>143</v>
      </c>
      <c r="B232" t="s">
        <v>23</v>
      </c>
      <c r="C232">
        <v>1490</v>
      </c>
      <c r="D232" t="str">
        <f t="shared" si="3"/>
        <v>Medium</v>
      </c>
      <c r="E232">
        <v>21245</v>
      </c>
      <c r="F232">
        <v>193.13</v>
      </c>
      <c r="G232">
        <v>466.23</v>
      </c>
      <c r="H232" s="4" t="s">
        <v>670</v>
      </c>
      <c r="I232" t="s">
        <v>671</v>
      </c>
      <c r="J232" t="s">
        <v>672</v>
      </c>
      <c r="K232" t="s">
        <v>27</v>
      </c>
      <c r="L232">
        <v>77.760000000000005</v>
      </c>
    </row>
    <row r="233" spans="1:12" x14ac:dyDescent="0.3">
      <c r="A233" t="s">
        <v>66</v>
      </c>
      <c r="B233" t="s">
        <v>36</v>
      </c>
      <c r="C233">
        <v>694</v>
      </c>
      <c r="D233" t="str">
        <f t="shared" si="3"/>
        <v>Low</v>
      </c>
      <c r="E233">
        <v>1548</v>
      </c>
      <c r="F233">
        <v>161.18</v>
      </c>
      <c r="G233">
        <v>250.98</v>
      </c>
      <c r="H233" s="4" t="s">
        <v>673</v>
      </c>
      <c r="I233" t="s">
        <v>674</v>
      </c>
      <c r="J233" t="s">
        <v>675</v>
      </c>
      <c r="K233" t="s">
        <v>21</v>
      </c>
      <c r="L233">
        <v>116.45</v>
      </c>
    </row>
    <row r="234" spans="1:12" x14ac:dyDescent="0.3">
      <c r="A234" t="s">
        <v>56</v>
      </c>
      <c r="B234" t="s">
        <v>12</v>
      </c>
      <c r="C234">
        <v>2078</v>
      </c>
      <c r="D234" t="str">
        <f t="shared" si="3"/>
        <v>Medium</v>
      </c>
      <c r="E234">
        <v>18183</v>
      </c>
      <c r="F234">
        <v>48.92</v>
      </c>
      <c r="G234">
        <v>70.91</v>
      </c>
      <c r="H234" s="4" t="s">
        <v>676</v>
      </c>
      <c r="I234" t="s">
        <v>677</v>
      </c>
      <c r="J234" t="s">
        <v>678</v>
      </c>
      <c r="K234" t="s">
        <v>40</v>
      </c>
      <c r="L234">
        <v>35.119999999999997</v>
      </c>
    </row>
    <row r="235" spans="1:12" x14ac:dyDescent="0.3">
      <c r="A235" t="s">
        <v>41</v>
      </c>
      <c r="B235" t="s">
        <v>23</v>
      </c>
      <c r="C235">
        <v>7152</v>
      </c>
      <c r="D235" t="str">
        <f t="shared" si="3"/>
        <v>Full</v>
      </c>
      <c r="E235">
        <v>16040</v>
      </c>
      <c r="F235">
        <v>171.68</v>
      </c>
      <c r="G235">
        <v>427.02</v>
      </c>
      <c r="H235" s="4" t="s">
        <v>679</v>
      </c>
      <c r="I235" t="s">
        <v>680</v>
      </c>
      <c r="J235" t="s">
        <v>681</v>
      </c>
      <c r="K235" t="s">
        <v>27</v>
      </c>
      <c r="L235">
        <v>113.57</v>
      </c>
    </row>
    <row r="236" spans="1:12" x14ac:dyDescent="0.3">
      <c r="A236" t="s">
        <v>127</v>
      </c>
      <c r="B236" t="s">
        <v>12</v>
      </c>
      <c r="C236">
        <v>7140</v>
      </c>
      <c r="D236" t="str">
        <f t="shared" si="3"/>
        <v>Full</v>
      </c>
      <c r="E236">
        <v>13427</v>
      </c>
      <c r="F236">
        <v>116.27</v>
      </c>
      <c r="G236">
        <v>211.47</v>
      </c>
      <c r="H236" s="4" t="s">
        <v>682</v>
      </c>
      <c r="I236" t="s">
        <v>683</v>
      </c>
      <c r="J236" t="s">
        <v>684</v>
      </c>
      <c r="K236" t="s">
        <v>27</v>
      </c>
      <c r="L236">
        <v>69.760000000000005</v>
      </c>
    </row>
    <row r="237" spans="1:12" x14ac:dyDescent="0.3">
      <c r="A237" t="s">
        <v>200</v>
      </c>
      <c r="B237" t="s">
        <v>23</v>
      </c>
      <c r="C237">
        <v>9770</v>
      </c>
      <c r="D237" t="str">
        <f t="shared" si="3"/>
        <v>Full</v>
      </c>
      <c r="E237">
        <v>4124</v>
      </c>
      <c r="F237">
        <v>268.95999999999998</v>
      </c>
      <c r="G237">
        <v>644.13</v>
      </c>
      <c r="H237" s="4" t="s">
        <v>685</v>
      </c>
      <c r="I237" t="s">
        <v>686</v>
      </c>
      <c r="J237" t="s">
        <v>687</v>
      </c>
      <c r="K237" t="s">
        <v>21</v>
      </c>
      <c r="L237">
        <v>136.75</v>
      </c>
    </row>
    <row r="238" spans="1:12" x14ac:dyDescent="0.3">
      <c r="A238" t="s">
        <v>41</v>
      </c>
      <c r="B238" t="s">
        <v>23</v>
      </c>
      <c r="C238">
        <v>9397</v>
      </c>
      <c r="D238" t="str">
        <f t="shared" si="3"/>
        <v>Full</v>
      </c>
      <c r="E238">
        <v>19465</v>
      </c>
      <c r="F238">
        <v>199.14</v>
      </c>
      <c r="G238">
        <v>285.39999999999998</v>
      </c>
      <c r="H238" s="4" t="s">
        <v>688</v>
      </c>
      <c r="I238" t="s">
        <v>689</v>
      </c>
      <c r="J238" t="s">
        <v>690</v>
      </c>
      <c r="K238" t="s">
        <v>16</v>
      </c>
      <c r="L238">
        <v>91.14</v>
      </c>
    </row>
    <row r="239" spans="1:12" x14ac:dyDescent="0.3">
      <c r="A239" t="s">
        <v>299</v>
      </c>
      <c r="B239" t="s">
        <v>12</v>
      </c>
      <c r="C239">
        <v>5403</v>
      </c>
      <c r="D239" t="str">
        <f t="shared" si="3"/>
        <v>Full</v>
      </c>
      <c r="E239">
        <v>6323</v>
      </c>
      <c r="F239">
        <v>171.37</v>
      </c>
      <c r="G239">
        <v>331.89</v>
      </c>
      <c r="H239" s="4" t="s">
        <v>691</v>
      </c>
      <c r="I239" t="s">
        <v>447</v>
      </c>
      <c r="J239" t="s">
        <v>692</v>
      </c>
      <c r="K239" t="s">
        <v>40</v>
      </c>
      <c r="L239">
        <v>94.86</v>
      </c>
    </row>
    <row r="240" spans="1:12" x14ac:dyDescent="0.3">
      <c r="A240" t="s">
        <v>123</v>
      </c>
      <c r="B240" t="s">
        <v>12</v>
      </c>
      <c r="C240">
        <v>8704</v>
      </c>
      <c r="D240" t="str">
        <f t="shared" si="3"/>
        <v>Full</v>
      </c>
      <c r="E240">
        <v>12333</v>
      </c>
      <c r="F240">
        <v>20.84</v>
      </c>
      <c r="G240">
        <v>36.85</v>
      </c>
      <c r="H240" s="4" t="s">
        <v>334</v>
      </c>
      <c r="I240" t="s">
        <v>693</v>
      </c>
      <c r="J240" t="s">
        <v>694</v>
      </c>
      <c r="K240" t="s">
        <v>16</v>
      </c>
      <c r="L240">
        <v>16.3</v>
      </c>
    </row>
    <row r="241" spans="1:12" x14ac:dyDescent="0.3">
      <c r="A241" t="s">
        <v>299</v>
      </c>
      <c r="B241" t="s">
        <v>23</v>
      </c>
      <c r="C241">
        <v>985</v>
      </c>
      <c r="D241" t="str">
        <f t="shared" si="3"/>
        <v>Low</v>
      </c>
      <c r="E241">
        <v>21778</v>
      </c>
      <c r="F241">
        <v>85.63</v>
      </c>
      <c r="G241">
        <v>213.25</v>
      </c>
      <c r="H241" s="4" t="s">
        <v>695</v>
      </c>
      <c r="I241" t="s">
        <v>696</v>
      </c>
      <c r="J241" t="s">
        <v>697</v>
      </c>
      <c r="K241" t="s">
        <v>16</v>
      </c>
      <c r="L241">
        <v>66.489999999999995</v>
      </c>
    </row>
    <row r="242" spans="1:12" x14ac:dyDescent="0.3">
      <c r="A242" t="s">
        <v>200</v>
      </c>
      <c r="B242" t="s">
        <v>84</v>
      </c>
      <c r="C242">
        <v>6727</v>
      </c>
      <c r="D242" t="str">
        <f t="shared" si="3"/>
        <v>Full</v>
      </c>
      <c r="E242">
        <v>3808</v>
      </c>
      <c r="F242">
        <v>232.79</v>
      </c>
      <c r="G242">
        <v>368.74</v>
      </c>
      <c r="H242" s="4" t="s">
        <v>698</v>
      </c>
      <c r="I242" t="s">
        <v>345</v>
      </c>
      <c r="J242" t="s">
        <v>699</v>
      </c>
      <c r="K242" t="s">
        <v>27</v>
      </c>
      <c r="L242">
        <v>118.07</v>
      </c>
    </row>
    <row r="243" spans="1:12" x14ac:dyDescent="0.3">
      <c r="A243" t="s">
        <v>299</v>
      </c>
      <c r="B243" t="s">
        <v>84</v>
      </c>
      <c r="C243">
        <v>6883</v>
      </c>
      <c r="D243" t="str">
        <f t="shared" si="3"/>
        <v>Full</v>
      </c>
      <c r="E243">
        <v>11376</v>
      </c>
      <c r="F243">
        <v>111.41</v>
      </c>
      <c r="G243">
        <v>146.94999999999999</v>
      </c>
      <c r="H243" s="4" t="s">
        <v>620</v>
      </c>
      <c r="I243" t="s">
        <v>700</v>
      </c>
      <c r="J243" t="s">
        <v>701</v>
      </c>
      <c r="K243" t="s">
        <v>40</v>
      </c>
      <c r="L243">
        <v>49.12</v>
      </c>
    </row>
    <row r="244" spans="1:12" x14ac:dyDescent="0.3">
      <c r="A244" t="s">
        <v>41</v>
      </c>
      <c r="B244" t="s">
        <v>84</v>
      </c>
      <c r="C244">
        <v>7561</v>
      </c>
      <c r="D244" t="str">
        <f t="shared" si="3"/>
        <v>Full</v>
      </c>
      <c r="E244">
        <v>15707</v>
      </c>
      <c r="F244">
        <v>169.31</v>
      </c>
      <c r="G244">
        <v>315.95999999999998</v>
      </c>
      <c r="H244" s="4" t="s">
        <v>702</v>
      </c>
      <c r="I244" t="s">
        <v>703</v>
      </c>
      <c r="J244" t="s">
        <v>704</v>
      </c>
      <c r="K244" t="s">
        <v>40</v>
      </c>
      <c r="L244">
        <v>105.26</v>
      </c>
    </row>
    <row r="245" spans="1:12" x14ac:dyDescent="0.3">
      <c r="A245" t="s">
        <v>176</v>
      </c>
      <c r="B245" t="s">
        <v>32</v>
      </c>
      <c r="C245">
        <v>5815</v>
      </c>
      <c r="D245" t="str">
        <f t="shared" si="3"/>
        <v>Full</v>
      </c>
      <c r="E245">
        <v>13623</v>
      </c>
      <c r="F245">
        <v>8.64</v>
      </c>
      <c r="G245">
        <v>15.02</v>
      </c>
      <c r="H245" s="4" t="s">
        <v>705</v>
      </c>
      <c r="I245" t="s">
        <v>706</v>
      </c>
      <c r="J245" t="s">
        <v>707</v>
      </c>
      <c r="K245" t="s">
        <v>16</v>
      </c>
      <c r="L245">
        <v>5.26</v>
      </c>
    </row>
    <row r="246" spans="1:12" x14ac:dyDescent="0.3">
      <c r="A246" t="s">
        <v>299</v>
      </c>
      <c r="B246" t="s">
        <v>84</v>
      </c>
      <c r="C246">
        <v>2774</v>
      </c>
      <c r="D246" t="str">
        <f t="shared" si="3"/>
        <v>Medium</v>
      </c>
      <c r="E246">
        <v>9811</v>
      </c>
      <c r="F246">
        <v>93.83</v>
      </c>
      <c r="G246">
        <v>172.75</v>
      </c>
      <c r="H246" s="4" t="s">
        <v>471</v>
      </c>
      <c r="I246" t="s">
        <v>708</v>
      </c>
      <c r="J246" t="s">
        <v>709</v>
      </c>
      <c r="K246" t="s">
        <v>40</v>
      </c>
      <c r="L246">
        <v>53.34</v>
      </c>
    </row>
    <row r="247" spans="1:12" x14ac:dyDescent="0.3">
      <c r="A247" t="s">
        <v>49</v>
      </c>
      <c r="B247" t="s">
        <v>12</v>
      </c>
      <c r="C247">
        <v>6416</v>
      </c>
      <c r="D247" t="str">
        <f t="shared" si="3"/>
        <v>Full</v>
      </c>
      <c r="E247">
        <v>9247</v>
      </c>
      <c r="F247">
        <v>283.55</v>
      </c>
      <c r="G247">
        <v>605.99</v>
      </c>
      <c r="H247" s="4" t="s">
        <v>710</v>
      </c>
      <c r="I247" t="s">
        <v>213</v>
      </c>
      <c r="J247" t="s">
        <v>711</v>
      </c>
      <c r="K247" t="s">
        <v>98</v>
      </c>
      <c r="L247">
        <v>165.35</v>
      </c>
    </row>
    <row r="248" spans="1:12" x14ac:dyDescent="0.3">
      <c r="A248" t="s">
        <v>123</v>
      </c>
      <c r="B248" t="s">
        <v>23</v>
      </c>
      <c r="C248">
        <v>610</v>
      </c>
      <c r="D248" t="str">
        <f t="shared" si="3"/>
        <v>Low</v>
      </c>
      <c r="E248">
        <v>13966</v>
      </c>
      <c r="F248">
        <v>103</v>
      </c>
      <c r="G248">
        <v>206.64</v>
      </c>
      <c r="H248" s="4" t="s">
        <v>604</v>
      </c>
      <c r="I248" t="s">
        <v>712</v>
      </c>
      <c r="J248" t="s">
        <v>713</v>
      </c>
      <c r="K248" t="s">
        <v>21</v>
      </c>
      <c r="L248">
        <v>74.8</v>
      </c>
    </row>
    <row r="249" spans="1:12" x14ac:dyDescent="0.3">
      <c r="A249" t="s">
        <v>176</v>
      </c>
      <c r="B249" t="s">
        <v>84</v>
      </c>
      <c r="C249">
        <v>5422</v>
      </c>
      <c r="D249" t="str">
        <f t="shared" si="3"/>
        <v>Full</v>
      </c>
      <c r="E249">
        <v>11507</v>
      </c>
      <c r="F249">
        <v>182.95</v>
      </c>
      <c r="G249">
        <v>384.9</v>
      </c>
      <c r="H249" s="4" t="s">
        <v>714</v>
      </c>
      <c r="I249" t="s">
        <v>715</v>
      </c>
      <c r="J249" t="s">
        <v>716</v>
      </c>
      <c r="K249" t="s">
        <v>21</v>
      </c>
      <c r="L249">
        <v>144.07</v>
      </c>
    </row>
    <row r="250" spans="1:12" x14ac:dyDescent="0.3">
      <c r="A250" t="s">
        <v>31</v>
      </c>
      <c r="B250" t="s">
        <v>36</v>
      </c>
      <c r="C250">
        <v>9935</v>
      </c>
      <c r="D250" t="str">
        <f t="shared" si="3"/>
        <v>Full</v>
      </c>
      <c r="E250">
        <v>8943</v>
      </c>
      <c r="F250">
        <v>101.14</v>
      </c>
      <c r="G250">
        <v>158.22</v>
      </c>
      <c r="H250" s="4" t="s">
        <v>717</v>
      </c>
      <c r="I250" t="s">
        <v>718</v>
      </c>
      <c r="J250" t="s">
        <v>719</v>
      </c>
      <c r="K250" t="s">
        <v>16</v>
      </c>
      <c r="L250">
        <v>48.54</v>
      </c>
    </row>
    <row r="251" spans="1:12" x14ac:dyDescent="0.3">
      <c r="A251" t="s">
        <v>66</v>
      </c>
      <c r="B251" t="s">
        <v>84</v>
      </c>
      <c r="C251">
        <v>9512</v>
      </c>
      <c r="D251" t="str">
        <f t="shared" si="3"/>
        <v>Full</v>
      </c>
      <c r="E251">
        <v>1881</v>
      </c>
      <c r="F251">
        <v>286.14</v>
      </c>
      <c r="G251">
        <v>515.08000000000004</v>
      </c>
      <c r="H251" s="4" t="s">
        <v>720</v>
      </c>
      <c r="I251" t="s">
        <v>721</v>
      </c>
      <c r="J251" t="s">
        <v>722</v>
      </c>
      <c r="K251" t="s">
        <v>27</v>
      </c>
      <c r="L251">
        <v>208.19</v>
      </c>
    </row>
    <row r="252" spans="1:12" x14ac:dyDescent="0.3">
      <c r="A252" t="s">
        <v>200</v>
      </c>
      <c r="B252" t="s">
        <v>36</v>
      </c>
      <c r="C252">
        <v>2780</v>
      </c>
      <c r="D252" t="str">
        <f t="shared" si="3"/>
        <v>Medium</v>
      </c>
      <c r="E252">
        <v>21753</v>
      </c>
      <c r="F252">
        <v>94.34</v>
      </c>
      <c r="G252">
        <v>144.19999999999999</v>
      </c>
      <c r="H252" s="4" t="s">
        <v>723</v>
      </c>
      <c r="I252" t="s">
        <v>350</v>
      </c>
      <c r="J252" t="s">
        <v>724</v>
      </c>
      <c r="K252" t="s">
        <v>27</v>
      </c>
      <c r="L252">
        <v>54.68</v>
      </c>
    </row>
    <row r="253" spans="1:12" x14ac:dyDescent="0.3">
      <c r="A253" t="s">
        <v>176</v>
      </c>
      <c r="B253" t="s">
        <v>36</v>
      </c>
      <c r="C253">
        <v>7066</v>
      </c>
      <c r="D253" t="str">
        <f t="shared" si="3"/>
        <v>Full</v>
      </c>
      <c r="E253">
        <v>18510</v>
      </c>
      <c r="F253">
        <v>154.44999999999999</v>
      </c>
      <c r="G253">
        <v>370.14</v>
      </c>
      <c r="H253" s="4" t="s">
        <v>725</v>
      </c>
      <c r="I253" t="s">
        <v>726</v>
      </c>
      <c r="J253" t="s">
        <v>727</v>
      </c>
      <c r="K253" t="s">
        <v>40</v>
      </c>
      <c r="L253">
        <v>105.13</v>
      </c>
    </row>
    <row r="254" spans="1:12" x14ac:dyDescent="0.3">
      <c r="A254" t="s">
        <v>66</v>
      </c>
      <c r="B254" t="s">
        <v>32</v>
      </c>
      <c r="C254">
        <v>1892</v>
      </c>
      <c r="D254" t="str">
        <f t="shared" si="3"/>
        <v>Medium</v>
      </c>
      <c r="E254">
        <v>4583</v>
      </c>
      <c r="F254">
        <v>231.84</v>
      </c>
      <c r="G254">
        <v>476.4</v>
      </c>
      <c r="H254" s="4" t="s">
        <v>728</v>
      </c>
      <c r="I254" t="s">
        <v>90</v>
      </c>
      <c r="J254" t="s">
        <v>729</v>
      </c>
      <c r="K254" t="s">
        <v>16</v>
      </c>
      <c r="L254">
        <v>96.84</v>
      </c>
    </row>
    <row r="255" spans="1:12" x14ac:dyDescent="0.3">
      <c r="A255" t="s">
        <v>299</v>
      </c>
      <c r="B255" t="s">
        <v>23</v>
      </c>
      <c r="C255">
        <v>7552</v>
      </c>
      <c r="D255" t="str">
        <f t="shared" si="3"/>
        <v>Full</v>
      </c>
      <c r="E255">
        <v>4471</v>
      </c>
      <c r="F255">
        <v>8.11</v>
      </c>
      <c r="G255">
        <v>12.46</v>
      </c>
      <c r="H255" s="4" t="s">
        <v>730</v>
      </c>
      <c r="I255" t="s">
        <v>731</v>
      </c>
      <c r="J255" t="s">
        <v>732</v>
      </c>
      <c r="K255" t="s">
        <v>16</v>
      </c>
      <c r="L255">
        <v>5.47</v>
      </c>
    </row>
    <row r="256" spans="1:12" x14ac:dyDescent="0.3">
      <c r="A256" t="s">
        <v>80</v>
      </c>
      <c r="B256" t="s">
        <v>36</v>
      </c>
      <c r="C256">
        <v>6629</v>
      </c>
      <c r="D256" t="str">
        <f t="shared" si="3"/>
        <v>Full</v>
      </c>
      <c r="E256">
        <v>13816</v>
      </c>
      <c r="F256">
        <v>141.6</v>
      </c>
      <c r="G256">
        <v>295.01</v>
      </c>
      <c r="H256" s="4" t="s">
        <v>406</v>
      </c>
      <c r="I256" t="s">
        <v>733</v>
      </c>
      <c r="J256" t="s">
        <v>734</v>
      </c>
      <c r="K256" t="s">
        <v>27</v>
      </c>
      <c r="L256">
        <v>83.98</v>
      </c>
    </row>
    <row r="257" spans="1:12" x14ac:dyDescent="0.3">
      <c r="A257" t="s">
        <v>31</v>
      </c>
      <c r="B257" t="s">
        <v>36</v>
      </c>
      <c r="C257">
        <v>1906</v>
      </c>
      <c r="D257" t="str">
        <f t="shared" si="3"/>
        <v>Medium</v>
      </c>
      <c r="E257">
        <v>4803</v>
      </c>
      <c r="F257">
        <v>250.24</v>
      </c>
      <c r="G257">
        <v>537.80999999999995</v>
      </c>
      <c r="H257" s="4" t="s">
        <v>735</v>
      </c>
      <c r="I257" t="s">
        <v>238</v>
      </c>
      <c r="J257" t="s">
        <v>736</v>
      </c>
      <c r="K257" t="s">
        <v>21</v>
      </c>
      <c r="L257">
        <v>178.6</v>
      </c>
    </row>
    <row r="258" spans="1:12" x14ac:dyDescent="0.3">
      <c r="A258" t="s">
        <v>119</v>
      </c>
      <c r="B258" t="s">
        <v>36</v>
      </c>
      <c r="C258">
        <v>6206</v>
      </c>
      <c r="D258" t="str">
        <f t="shared" si="3"/>
        <v>Full</v>
      </c>
      <c r="E258">
        <v>16602</v>
      </c>
      <c r="F258">
        <v>33.799999999999997</v>
      </c>
      <c r="G258">
        <v>72.28</v>
      </c>
      <c r="H258" s="4" t="s">
        <v>737</v>
      </c>
      <c r="I258" t="s">
        <v>738</v>
      </c>
      <c r="J258" t="s">
        <v>739</v>
      </c>
      <c r="K258" t="s">
        <v>40</v>
      </c>
      <c r="L258">
        <v>14.12</v>
      </c>
    </row>
    <row r="259" spans="1:12" x14ac:dyDescent="0.3">
      <c r="A259" t="s">
        <v>11</v>
      </c>
      <c r="B259" t="s">
        <v>12</v>
      </c>
      <c r="C259">
        <v>6120</v>
      </c>
      <c r="D259" t="str">
        <f t="shared" ref="D259:D322" si="4">IF(C259&lt;1000,"Low",IF(C259&lt;=3000,"Medium","Full"))</f>
        <v>Full</v>
      </c>
      <c r="E259">
        <v>22232</v>
      </c>
      <c r="F259">
        <v>37.26</v>
      </c>
      <c r="G259">
        <v>83.46</v>
      </c>
      <c r="H259" s="4" t="s">
        <v>287</v>
      </c>
      <c r="I259" t="s">
        <v>740</v>
      </c>
      <c r="J259" t="s">
        <v>741</v>
      </c>
      <c r="K259" t="s">
        <v>16</v>
      </c>
      <c r="L259">
        <v>17.29</v>
      </c>
    </row>
    <row r="260" spans="1:12" x14ac:dyDescent="0.3">
      <c r="A260" t="s">
        <v>66</v>
      </c>
      <c r="B260" t="s">
        <v>36</v>
      </c>
      <c r="C260">
        <v>8070</v>
      </c>
      <c r="D260" t="str">
        <f t="shared" si="4"/>
        <v>Full</v>
      </c>
      <c r="E260">
        <v>8597</v>
      </c>
      <c r="F260">
        <v>240.34</v>
      </c>
      <c r="G260">
        <v>485.17</v>
      </c>
      <c r="H260" s="4" t="s">
        <v>503</v>
      </c>
      <c r="I260" t="s">
        <v>359</v>
      </c>
      <c r="J260" t="s">
        <v>742</v>
      </c>
      <c r="K260" t="s">
        <v>21</v>
      </c>
      <c r="L260">
        <v>134.16999999999999</v>
      </c>
    </row>
    <row r="261" spans="1:12" x14ac:dyDescent="0.3">
      <c r="A261" t="s">
        <v>176</v>
      </c>
      <c r="B261" t="s">
        <v>84</v>
      </c>
      <c r="C261">
        <v>7865</v>
      </c>
      <c r="D261" t="str">
        <f t="shared" si="4"/>
        <v>Full</v>
      </c>
      <c r="E261">
        <v>20405</v>
      </c>
      <c r="F261">
        <v>131.72</v>
      </c>
      <c r="G261">
        <v>158.83000000000001</v>
      </c>
      <c r="H261" s="4" t="s">
        <v>444</v>
      </c>
      <c r="I261" t="s">
        <v>743</v>
      </c>
      <c r="J261" t="s">
        <v>744</v>
      </c>
      <c r="K261" t="s">
        <v>27</v>
      </c>
      <c r="L261">
        <v>83.11</v>
      </c>
    </row>
    <row r="262" spans="1:12" x14ac:dyDescent="0.3">
      <c r="A262" t="s">
        <v>66</v>
      </c>
      <c r="B262" t="s">
        <v>84</v>
      </c>
      <c r="C262">
        <v>6493</v>
      </c>
      <c r="D262" t="str">
        <f t="shared" si="4"/>
        <v>Full</v>
      </c>
      <c r="E262">
        <v>11681</v>
      </c>
      <c r="F262">
        <v>63.14</v>
      </c>
      <c r="G262">
        <v>85.12</v>
      </c>
      <c r="H262" s="4" t="s">
        <v>745</v>
      </c>
      <c r="I262" t="s">
        <v>746</v>
      </c>
      <c r="J262" t="s">
        <v>747</v>
      </c>
      <c r="K262" t="s">
        <v>40</v>
      </c>
      <c r="L262">
        <v>40.33</v>
      </c>
    </row>
    <row r="263" spans="1:12" x14ac:dyDescent="0.3">
      <c r="A263" t="s">
        <v>176</v>
      </c>
      <c r="B263" t="s">
        <v>36</v>
      </c>
      <c r="C263">
        <v>2371</v>
      </c>
      <c r="D263" t="str">
        <f t="shared" si="4"/>
        <v>Medium</v>
      </c>
      <c r="E263">
        <v>12400</v>
      </c>
      <c r="F263">
        <v>108.84</v>
      </c>
      <c r="G263">
        <v>195.39</v>
      </c>
      <c r="H263" s="4" t="s">
        <v>748</v>
      </c>
      <c r="I263" t="s">
        <v>749</v>
      </c>
      <c r="J263" t="s">
        <v>750</v>
      </c>
      <c r="K263" t="s">
        <v>16</v>
      </c>
      <c r="L263">
        <v>69.23</v>
      </c>
    </row>
    <row r="264" spans="1:12" x14ac:dyDescent="0.3">
      <c r="A264" t="s">
        <v>123</v>
      </c>
      <c r="B264" t="s">
        <v>23</v>
      </c>
      <c r="C264">
        <v>2431</v>
      </c>
      <c r="D264" t="str">
        <f t="shared" si="4"/>
        <v>Medium</v>
      </c>
      <c r="E264">
        <v>8817</v>
      </c>
      <c r="F264">
        <v>95.09</v>
      </c>
      <c r="G264">
        <v>136.74</v>
      </c>
      <c r="H264" s="4" t="s">
        <v>751</v>
      </c>
      <c r="I264" t="s">
        <v>752</v>
      </c>
      <c r="J264" t="s">
        <v>753</v>
      </c>
      <c r="K264" t="s">
        <v>21</v>
      </c>
      <c r="L264">
        <v>60.72</v>
      </c>
    </row>
    <row r="265" spans="1:12" x14ac:dyDescent="0.3">
      <c r="A265" t="s">
        <v>22</v>
      </c>
      <c r="B265" t="s">
        <v>36</v>
      </c>
      <c r="C265">
        <v>7431</v>
      </c>
      <c r="D265" t="str">
        <f t="shared" si="4"/>
        <v>Full</v>
      </c>
      <c r="E265">
        <v>7086</v>
      </c>
      <c r="F265">
        <v>148.57</v>
      </c>
      <c r="G265">
        <v>282.07</v>
      </c>
      <c r="H265" s="4" t="s">
        <v>754</v>
      </c>
      <c r="I265" t="s">
        <v>270</v>
      </c>
      <c r="J265" t="s">
        <v>755</v>
      </c>
      <c r="K265" t="s">
        <v>98</v>
      </c>
      <c r="L265">
        <v>88.53</v>
      </c>
    </row>
    <row r="266" spans="1:12" x14ac:dyDescent="0.3">
      <c r="A266" t="s">
        <v>123</v>
      </c>
      <c r="B266" t="s">
        <v>84</v>
      </c>
      <c r="C266">
        <v>5654</v>
      </c>
      <c r="D266" t="str">
        <f t="shared" si="4"/>
        <v>Full</v>
      </c>
      <c r="E266">
        <v>15778</v>
      </c>
      <c r="F266">
        <v>187.73</v>
      </c>
      <c r="G266">
        <v>436.51</v>
      </c>
      <c r="H266" s="4" t="s">
        <v>317</v>
      </c>
      <c r="I266" t="s">
        <v>756</v>
      </c>
      <c r="J266" t="s">
        <v>757</v>
      </c>
      <c r="K266" t="s">
        <v>98</v>
      </c>
      <c r="L266">
        <v>136.31</v>
      </c>
    </row>
    <row r="267" spans="1:12" x14ac:dyDescent="0.3">
      <c r="A267" t="s">
        <v>66</v>
      </c>
      <c r="B267" t="s">
        <v>32</v>
      </c>
      <c r="C267">
        <v>8609</v>
      </c>
      <c r="D267" t="str">
        <f t="shared" si="4"/>
        <v>Full</v>
      </c>
      <c r="E267">
        <v>14406</v>
      </c>
      <c r="F267">
        <v>206.99</v>
      </c>
      <c r="G267">
        <v>360.23</v>
      </c>
      <c r="H267" s="4" t="s">
        <v>347</v>
      </c>
      <c r="I267" t="s">
        <v>758</v>
      </c>
      <c r="J267" t="s">
        <v>759</v>
      </c>
      <c r="K267" t="s">
        <v>27</v>
      </c>
      <c r="L267">
        <v>129.61000000000001</v>
      </c>
    </row>
    <row r="268" spans="1:12" x14ac:dyDescent="0.3">
      <c r="A268" t="s">
        <v>80</v>
      </c>
      <c r="B268" t="s">
        <v>23</v>
      </c>
      <c r="C268">
        <v>1035</v>
      </c>
      <c r="D268" t="str">
        <f t="shared" si="4"/>
        <v>Medium</v>
      </c>
      <c r="E268">
        <v>10006</v>
      </c>
      <c r="F268">
        <v>71.33</v>
      </c>
      <c r="G268">
        <v>112.36</v>
      </c>
      <c r="H268" s="4" t="s">
        <v>760</v>
      </c>
      <c r="I268" t="s">
        <v>761</v>
      </c>
      <c r="J268" t="s">
        <v>762</v>
      </c>
      <c r="K268" t="s">
        <v>16</v>
      </c>
      <c r="L268">
        <v>43.11</v>
      </c>
    </row>
    <row r="269" spans="1:12" x14ac:dyDescent="0.3">
      <c r="A269" t="s">
        <v>22</v>
      </c>
      <c r="B269" t="s">
        <v>12</v>
      </c>
      <c r="C269">
        <v>4889</v>
      </c>
      <c r="D269" t="str">
        <f t="shared" si="4"/>
        <v>Full</v>
      </c>
      <c r="E269">
        <v>18796</v>
      </c>
      <c r="F269">
        <v>247.87</v>
      </c>
      <c r="G269">
        <v>415.66</v>
      </c>
      <c r="H269" s="4" t="s">
        <v>763</v>
      </c>
      <c r="I269" t="s">
        <v>764</v>
      </c>
      <c r="J269" t="s">
        <v>765</v>
      </c>
      <c r="K269" t="s">
        <v>98</v>
      </c>
      <c r="L269">
        <v>197.28</v>
      </c>
    </row>
    <row r="270" spans="1:12" x14ac:dyDescent="0.3">
      <c r="A270" t="s">
        <v>11</v>
      </c>
      <c r="B270" t="s">
        <v>84</v>
      </c>
      <c r="C270">
        <v>5377</v>
      </c>
      <c r="D270" t="str">
        <f t="shared" si="4"/>
        <v>Full</v>
      </c>
      <c r="E270">
        <v>2056</v>
      </c>
      <c r="F270">
        <v>137.66999999999999</v>
      </c>
      <c r="G270">
        <v>227.59</v>
      </c>
      <c r="H270" s="4" t="s">
        <v>766</v>
      </c>
      <c r="I270" t="s">
        <v>680</v>
      </c>
      <c r="J270" t="s">
        <v>767</v>
      </c>
      <c r="K270" t="s">
        <v>98</v>
      </c>
      <c r="L270">
        <v>66.63</v>
      </c>
    </row>
    <row r="271" spans="1:12" x14ac:dyDescent="0.3">
      <c r="A271" t="s">
        <v>22</v>
      </c>
      <c r="B271" t="s">
        <v>23</v>
      </c>
      <c r="C271">
        <v>7515</v>
      </c>
      <c r="D271" t="str">
        <f t="shared" si="4"/>
        <v>Full</v>
      </c>
      <c r="E271">
        <v>6438</v>
      </c>
      <c r="F271">
        <v>186.76</v>
      </c>
      <c r="G271">
        <v>414.66</v>
      </c>
      <c r="H271" s="4" t="s">
        <v>768</v>
      </c>
      <c r="I271" t="s">
        <v>386</v>
      </c>
      <c r="J271" t="s">
        <v>769</v>
      </c>
      <c r="K271" t="s">
        <v>40</v>
      </c>
      <c r="L271">
        <v>114.47</v>
      </c>
    </row>
    <row r="272" spans="1:12" x14ac:dyDescent="0.3">
      <c r="A272" t="s">
        <v>176</v>
      </c>
      <c r="B272" t="s">
        <v>32</v>
      </c>
      <c r="C272">
        <v>3258</v>
      </c>
      <c r="D272" t="str">
        <f t="shared" si="4"/>
        <v>Full</v>
      </c>
      <c r="E272">
        <v>11605</v>
      </c>
      <c r="F272">
        <v>293.81</v>
      </c>
      <c r="G272">
        <v>464.34</v>
      </c>
      <c r="H272" s="4" t="s">
        <v>335</v>
      </c>
      <c r="I272" t="s">
        <v>770</v>
      </c>
      <c r="J272" t="s">
        <v>771</v>
      </c>
      <c r="K272" t="s">
        <v>27</v>
      </c>
      <c r="L272">
        <v>133.46</v>
      </c>
    </row>
    <row r="273" spans="1:12" x14ac:dyDescent="0.3">
      <c r="A273" t="s">
        <v>200</v>
      </c>
      <c r="B273" t="s">
        <v>12</v>
      </c>
      <c r="C273">
        <v>5043</v>
      </c>
      <c r="D273" t="str">
        <f t="shared" si="4"/>
        <v>Full</v>
      </c>
      <c r="E273">
        <v>22492</v>
      </c>
      <c r="F273">
        <v>42.43</v>
      </c>
      <c r="G273">
        <v>98.69</v>
      </c>
      <c r="H273" s="4" t="s">
        <v>772</v>
      </c>
      <c r="I273" t="s">
        <v>773</v>
      </c>
      <c r="J273" t="s">
        <v>774</v>
      </c>
      <c r="K273" t="s">
        <v>98</v>
      </c>
      <c r="L273">
        <v>29.9</v>
      </c>
    </row>
    <row r="274" spans="1:12" x14ac:dyDescent="0.3">
      <c r="A274" t="s">
        <v>299</v>
      </c>
      <c r="B274" t="s">
        <v>36</v>
      </c>
      <c r="C274">
        <v>2829</v>
      </c>
      <c r="D274" t="str">
        <f t="shared" si="4"/>
        <v>Medium</v>
      </c>
      <c r="E274">
        <v>19921</v>
      </c>
      <c r="F274">
        <v>191.56</v>
      </c>
      <c r="G274">
        <v>386.21</v>
      </c>
      <c r="H274" s="4" t="s">
        <v>775</v>
      </c>
      <c r="I274" t="s">
        <v>776</v>
      </c>
      <c r="J274" t="s">
        <v>777</v>
      </c>
      <c r="K274" t="s">
        <v>27</v>
      </c>
      <c r="L274">
        <v>107.49</v>
      </c>
    </row>
    <row r="275" spans="1:12" x14ac:dyDescent="0.3">
      <c r="A275" t="s">
        <v>147</v>
      </c>
      <c r="B275" t="s">
        <v>23</v>
      </c>
      <c r="C275">
        <v>7949</v>
      </c>
      <c r="D275" t="str">
        <f t="shared" si="4"/>
        <v>Full</v>
      </c>
      <c r="E275">
        <v>16992</v>
      </c>
      <c r="F275">
        <v>101.55</v>
      </c>
      <c r="G275">
        <v>122.19</v>
      </c>
      <c r="H275" s="4" t="s">
        <v>778</v>
      </c>
      <c r="I275" t="s">
        <v>779</v>
      </c>
      <c r="J275" t="s">
        <v>780</v>
      </c>
      <c r="K275" t="s">
        <v>40</v>
      </c>
      <c r="L275">
        <v>75.150000000000006</v>
      </c>
    </row>
    <row r="276" spans="1:12" x14ac:dyDescent="0.3">
      <c r="A276" t="s">
        <v>66</v>
      </c>
      <c r="B276" t="s">
        <v>36</v>
      </c>
      <c r="C276">
        <v>4068</v>
      </c>
      <c r="D276" t="str">
        <f t="shared" si="4"/>
        <v>Full</v>
      </c>
      <c r="E276">
        <v>15078</v>
      </c>
      <c r="F276">
        <v>248.33</v>
      </c>
      <c r="G276">
        <v>457.7</v>
      </c>
      <c r="H276" s="4" t="s">
        <v>263</v>
      </c>
      <c r="I276" t="s">
        <v>781</v>
      </c>
      <c r="J276" t="s">
        <v>782</v>
      </c>
      <c r="K276" t="s">
        <v>16</v>
      </c>
      <c r="L276">
        <v>156.74</v>
      </c>
    </row>
    <row r="277" spans="1:12" x14ac:dyDescent="0.3">
      <c r="A277" t="s">
        <v>22</v>
      </c>
      <c r="B277" t="s">
        <v>36</v>
      </c>
      <c r="C277">
        <v>6131</v>
      </c>
      <c r="D277" t="str">
        <f t="shared" si="4"/>
        <v>Full</v>
      </c>
      <c r="E277">
        <v>23365</v>
      </c>
      <c r="F277">
        <v>229.86</v>
      </c>
      <c r="G277">
        <v>289.56</v>
      </c>
      <c r="H277" s="4" t="s">
        <v>783</v>
      </c>
      <c r="I277" t="s">
        <v>168</v>
      </c>
      <c r="J277" t="s">
        <v>784</v>
      </c>
      <c r="K277" t="s">
        <v>27</v>
      </c>
      <c r="L277">
        <v>177.4</v>
      </c>
    </row>
    <row r="278" spans="1:12" x14ac:dyDescent="0.3">
      <c r="A278" t="s">
        <v>56</v>
      </c>
      <c r="B278" t="s">
        <v>36</v>
      </c>
      <c r="C278">
        <v>7979</v>
      </c>
      <c r="D278" t="str">
        <f t="shared" si="4"/>
        <v>Full</v>
      </c>
      <c r="E278">
        <v>1022</v>
      </c>
      <c r="F278">
        <v>297.58999999999997</v>
      </c>
      <c r="G278">
        <v>522.61</v>
      </c>
      <c r="H278" s="4" t="s">
        <v>785</v>
      </c>
      <c r="I278" t="s">
        <v>786</v>
      </c>
      <c r="J278" t="s">
        <v>787</v>
      </c>
      <c r="K278" t="s">
        <v>98</v>
      </c>
      <c r="L278">
        <v>223.12</v>
      </c>
    </row>
    <row r="279" spans="1:12" x14ac:dyDescent="0.3">
      <c r="A279" t="s">
        <v>147</v>
      </c>
      <c r="B279" t="s">
        <v>12</v>
      </c>
      <c r="C279">
        <v>6405</v>
      </c>
      <c r="D279" t="str">
        <f t="shared" si="4"/>
        <v>Full</v>
      </c>
      <c r="E279">
        <v>9204</v>
      </c>
      <c r="F279">
        <v>29.31</v>
      </c>
      <c r="G279">
        <v>60.49</v>
      </c>
      <c r="H279" s="4" t="s">
        <v>788</v>
      </c>
      <c r="I279" t="s">
        <v>789</v>
      </c>
      <c r="J279" t="s">
        <v>790</v>
      </c>
      <c r="K279" t="s">
        <v>21</v>
      </c>
      <c r="L279">
        <v>19.059999999999999</v>
      </c>
    </row>
    <row r="280" spans="1:12" x14ac:dyDescent="0.3">
      <c r="A280" t="s">
        <v>80</v>
      </c>
      <c r="B280" t="s">
        <v>36</v>
      </c>
      <c r="C280">
        <v>1994</v>
      </c>
      <c r="D280" t="str">
        <f t="shared" si="4"/>
        <v>Medium</v>
      </c>
      <c r="E280">
        <v>24058</v>
      </c>
      <c r="F280">
        <v>33.08</v>
      </c>
      <c r="G280">
        <v>48.87</v>
      </c>
      <c r="H280" s="4" t="s">
        <v>791</v>
      </c>
      <c r="I280" t="s">
        <v>792</v>
      </c>
      <c r="J280" t="s">
        <v>793</v>
      </c>
      <c r="K280" t="s">
        <v>98</v>
      </c>
      <c r="L280">
        <v>20.11</v>
      </c>
    </row>
    <row r="281" spans="1:12" x14ac:dyDescent="0.3">
      <c r="A281" t="s">
        <v>143</v>
      </c>
      <c r="B281" t="s">
        <v>12</v>
      </c>
      <c r="C281">
        <v>632</v>
      </c>
      <c r="D281" t="str">
        <f t="shared" si="4"/>
        <v>Low</v>
      </c>
      <c r="E281">
        <v>23793</v>
      </c>
      <c r="F281">
        <v>106.35</v>
      </c>
      <c r="G281">
        <v>144.29</v>
      </c>
      <c r="H281" s="4" t="s">
        <v>92</v>
      </c>
      <c r="I281" t="s">
        <v>794</v>
      </c>
      <c r="J281" t="s">
        <v>795</v>
      </c>
      <c r="K281" t="s">
        <v>21</v>
      </c>
      <c r="L281">
        <v>45.55</v>
      </c>
    </row>
    <row r="282" spans="1:12" x14ac:dyDescent="0.3">
      <c r="A282" t="s">
        <v>299</v>
      </c>
      <c r="B282" t="s">
        <v>12</v>
      </c>
      <c r="C282">
        <v>2178</v>
      </c>
      <c r="D282" t="str">
        <f t="shared" si="4"/>
        <v>Medium</v>
      </c>
      <c r="E282">
        <v>4381</v>
      </c>
      <c r="F282">
        <v>97.44</v>
      </c>
      <c r="G282">
        <v>228.52</v>
      </c>
      <c r="H282" s="4" t="s">
        <v>403</v>
      </c>
      <c r="I282" t="s">
        <v>796</v>
      </c>
      <c r="J282" t="s">
        <v>797</v>
      </c>
      <c r="K282" t="s">
        <v>98</v>
      </c>
      <c r="L282">
        <v>41.64</v>
      </c>
    </row>
    <row r="283" spans="1:12" x14ac:dyDescent="0.3">
      <c r="A283" t="s">
        <v>22</v>
      </c>
      <c r="B283" t="s">
        <v>12</v>
      </c>
      <c r="C283">
        <v>3188</v>
      </c>
      <c r="D283" t="str">
        <f t="shared" si="4"/>
        <v>Full</v>
      </c>
      <c r="E283">
        <v>15421</v>
      </c>
      <c r="F283">
        <v>108.6</v>
      </c>
      <c r="G283">
        <v>160.4</v>
      </c>
      <c r="H283" s="4" t="s">
        <v>798</v>
      </c>
      <c r="I283" t="s">
        <v>799</v>
      </c>
      <c r="J283" t="s">
        <v>800</v>
      </c>
      <c r="K283" t="s">
        <v>21</v>
      </c>
      <c r="L283">
        <v>80.8</v>
      </c>
    </row>
    <row r="284" spans="1:12" x14ac:dyDescent="0.3">
      <c r="A284" t="s">
        <v>41</v>
      </c>
      <c r="B284" t="s">
        <v>12</v>
      </c>
      <c r="C284">
        <v>2793</v>
      </c>
      <c r="D284" t="str">
        <f t="shared" si="4"/>
        <v>Medium</v>
      </c>
      <c r="E284">
        <v>5035</v>
      </c>
      <c r="F284">
        <v>178.92</v>
      </c>
      <c r="G284">
        <v>304.02999999999997</v>
      </c>
      <c r="H284" s="4" t="s">
        <v>801</v>
      </c>
      <c r="I284" t="s">
        <v>802</v>
      </c>
      <c r="J284" t="s">
        <v>803</v>
      </c>
      <c r="K284" t="s">
        <v>98</v>
      </c>
      <c r="L284">
        <v>91.39</v>
      </c>
    </row>
    <row r="285" spans="1:12" x14ac:dyDescent="0.3">
      <c r="A285" t="s">
        <v>41</v>
      </c>
      <c r="B285" t="s">
        <v>84</v>
      </c>
      <c r="C285">
        <v>9566</v>
      </c>
      <c r="D285" t="str">
        <f t="shared" si="4"/>
        <v>Full</v>
      </c>
      <c r="E285">
        <v>20693</v>
      </c>
      <c r="F285">
        <v>182</v>
      </c>
      <c r="G285">
        <v>362.16</v>
      </c>
      <c r="H285" s="4" t="s">
        <v>804</v>
      </c>
      <c r="I285" t="s">
        <v>504</v>
      </c>
      <c r="J285" t="s">
        <v>805</v>
      </c>
      <c r="K285" t="s">
        <v>98</v>
      </c>
      <c r="L285">
        <v>110.49</v>
      </c>
    </row>
    <row r="286" spans="1:12" x14ac:dyDescent="0.3">
      <c r="A286" t="s">
        <v>119</v>
      </c>
      <c r="B286" t="s">
        <v>84</v>
      </c>
      <c r="C286">
        <v>6918</v>
      </c>
      <c r="D286" t="str">
        <f t="shared" si="4"/>
        <v>Full</v>
      </c>
      <c r="E286">
        <v>10684</v>
      </c>
      <c r="F286">
        <v>195.62</v>
      </c>
      <c r="G286">
        <v>434.07</v>
      </c>
      <c r="H286" s="4" t="s">
        <v>281</v>
      </c>
      <c r="I286" t="s">
        <v>528</v>
      </c>
      <c r="J286" t="s">
        <v>806</v>
      </c>
      <c r="K286" t="s">
        <v>27</v>
      </c>
      <c r="L286">
        <v>97.11</v>
      </c>
    </row>
    <row r="287" spans="1:12" x14ac:dyDescent="0.3">
      <c r="A287" t="s">
        <v>176</v>
      </c>
      <c r="B287" t="s">
        <v>12</v>
      </c>
      <c r="C287">
        <v>9155</v>
      </c>
      <c r="D287" t="str">
        <f t="shared" si="4"/>
        <v>Full</v>
      </c>
      <c r="E287">
        <v>1395</v>
      </c>
      <c r="F287">
        <v>296.13</v>
      </c>
      <c r="G287">
        <v>714.89</v>
      </c>
      <c r="H287" s="4" t="s">
        <v>785</v>
      </c>
      <c r="I287" t="s">
        <v>796</v>
      </c>
      <c r="J287" t="s">
        <v>807</v>
      </c>
      <c r="K287" t="s">
        <v>21</v>
      </c>
      <c r="L287">
        <v>161.74</v>
      </c>
    </row>
    <row r="288" spans="1:12" x14ac:dyDescent="0.3">
      <c r="A288" t="s">
        <v>56</v>
      </c>
      <c r="B288" t="s">
        <v>36</v>
      </c>
      <c r="C288">
        <v>1695</v>
      </c>
      <c r="D288" t="str">
        <f t="shared" si="4"/>
        <v>Medium</v>
      </c>
      <c r="E288">
        <v>1546</v>
      </c>
      <c r="F288">
        <v>178.27</v>
      </c>
      <c r="G288">
        <v>217.12</v>
      </c>
      <c r="H288" s="4" t="s">
        <v>546</v>
      </c>
      <c r="I288" t="s">
        <v>279</v>
      </c>
      <c r="J288" t="s">
        <v>808</v>
      </c>
      <c r="K288" t="s">
        <v>21</v>
      </c>
      <c r="L288">
        <v>107.43</v>
      </c>
    </row>
    <row r="289" spans="1:12" x14ac:dyDescent="0.3">
      <c r="A289" t="s">
        <v>119</v>
      </c>
      <c r="B289" t="s">
        <v>36</v>
      </c>
      <c r="C289">
        <v>7439</v>
      </c>
      <c r="D289" t="str">
        <f t="shared" si="4"/>
        <v>Full</v>
      </c>
      <c r="E289">
        <v>23996</v>
      </c>
      <c r="F289">
        <v>123.67</v>
      </c>
      <c r="G289">
        <v>251.38</v>
      </c>
      <c r="H289" s="4" t="s">
        <v>809</v>
      </c>
      <c r="I289" t="s">
        <v>810</v>
      </c>
      <c r="J289" t="s">
        <v>811</v>
      </c>
      <c r="K289" t="s">
        <v>40</v>
      </c>
      <c r="L289">
        <v>53.6</v>
      </c>
    </row>
    <row r="290" spans="1:12" x14ac:dyDescent="0.3">
      <c r="A290" t="s">
        <v>41</v>
      </c>
      <c r="B290" t="s">
        <v>32</v>
      </c>
      <c r="C290">
        <v>3829</v>
      </c>
      <c r="D290" t="str">
        <f t="shared" si="4"/>
        <v>Full</v>
      </c>
      <c r="E290">
        <v>6091</v>
      </c>
      <c r="F290">
        <v>163.24</v>
      </c>
      <c r="G290">
        <v>278.81</v>
      </c>
      <c r="H290" s="4" t="s">
        <v>124</v>
      </c>
      <c r="I290" t="s">
        <v>812</v>
      </c>
      <c r="J290" t="s">
        <v>813</v>
      </c>
      <c r="K290" t="s">
        <v>27</v>
      </c>
      <c r="L290">
        <v>85.55</v>
      </c>
    </row>
    <row r="291" spans="1:12" x14ac:dyDescent="0.3">
      <c r="A291" t="s">
        <v>200</v>
      </c>
      <c r="B291" t="s">
        <v>84</v>
      </c>
      <c r="C291">
        <v>1448</v>
      </c>
      <c r="D291" t="str">
        <f t="shared" si="4"/>
        <v>Medium</v>
      </c>
      <c r="E291">
        <v>9011</v>
      </c>
      <c r="F291">
        <v>30.43</v>
      </c>
      <c r="G291">
        <v>53.7</v>
      </c>
      <c r="H291" s="4" t="s">
        <v>814</v>
      </c>
      <c r="I291" t="s">
        <v>815</v>
      </c>
      <c r="J291" t="s">
        <v>816</v>
      </c>
      <c r="K291" t="s">
        <v>27</v>
      </c>
      <c r="L291">
        <v>15.94</v>
      </c>
    </row>
    <row r="292" spans="1:12" x14ac:dyDescent="0.3">
      <c r="A292" t="s">
        <v>56</v>
      </c>
      <c r="B292" t="s">
        <v>12</v>
      </c>
      <c r="C292">
        <v>707</v>
      </c>
      <c r="D292" t="str">
        <f t="shared" si="4"/>
        <v>Low</v>
      </c>
      <c r="E292">
        <v>24196</v>
      </c>
      <c r="F292">
        <v>45.48</v>
      </c>
      <c r="G292">
        <v>55.25</v>
      </c>
      <c r="H292" s="4" t="s">
        <v>817</v>
      </c>
      <c r="I292" t="s">
        <v>818</v>
      </c>
      <c r="J292" t="s">
        <v>819</v>
      </c>
      <c r="K292" t="s">
        <v>16</v>
      </c>
      <c r="L292">
        <v>32.44</v>
      </c>
    </row>
    <row r="293" spans="1:12" x14ac:dyDescent="0.3">
      <c r="A293" t="s">
        <v>147</v>
      </c>
      <c r="B293" t="s">
        <v>84</v>
      </c>
      <c r="C293">
        <v>6592</v>
      </c>
      <c r="D293" t="str">
        <f t="shared" si="4"/>
        <v>Full</v>
      </c>
      <c r="E293">
        <v>5159</v>
      </c>
      <c r="F293">
        <v>226.18</v>
      </c>
      <c r="G293">
        <v>528.24</v>
      </c>
      <c r="H293" s="4" t="s">
        <v>654</v>
      </c>
      <c r="I293" t="s">
        <v>820</v>
      </c>
      <c r="J293" t="s">
        <v>821</v>
      </c>
      <c r="K293" t="s">
        <v>21</v>
      </c>
      <c r="L293">
        <v>115.08</v>
      </c>
    </row>
    <row r="294" spans="1:12" x14ac:dyDescent="0.3">
      <c r="A294" t="s">
        <v>41</v>
      </c>
      <c r="B294" t="s">
        <v>23</v>
      </c>
      <c r="C294">
        <v>9947</v>
      </c>
      <c r="D294" t="str">
        <f t="shared" si="4"/>
        <v>Full</v>
      </c>
      <c r="E294">
        <v>21562</v>
      </c>
      <c r="F294">
        <v>27.74</v>
      </c>
      <c r="G294">
        <v>49.7</v>
      </c>
      <c r="H294" s="4" t="s">
        <v>822</v>
      </c>
      <c r="I294" t="s">
        <v>258</v>
      </c>
      <c r="J294" t="s">
        <v>823</v>
      </c>
      <c r="K294" t="s">
        <v>16</v>
      </c>
      <c r="L294">
        <v>12.95</v>
      </c>
    </row>
    <row r="295" spans="1:12" x14ac:dyDescent="0.3">
      <c r="A295" t="s">
        <v>56</v>
      </c>
      <c r="B295" t="s">
        <v>23</v>
      </c>
      <c r="C295">
        <v>2185</v>
      </c>
      <c r="D295" t="str">
        <f t="shared" si="4"/>
        <v>Medium</v>
      </c>
      <c r="E295">
        <v>19805</v>
      </c>
      <c r="F295">
        <v>203.87</v>
      </c>
      <c r="G295">
        <v>275.20999999999998</v>
      </c>
      <c r="H295" s="4" t="s">
        <v>824</v>
      </c>
      <c r="I295" t="s">
        <v>825</v>
      </c>
      <c r="J295" t="s">
        <v>826</v>
      </c>
      <c r="K295" t="s">
        <v>27</v>
      </c>
      <c r="L295">
        <v>101.49</v>
      </c>
    </row>
    <row r="296" spans="1:12" x14ac:dyDescent="0.3">
      <c r="A296" t="s">
        <v>49</v>
      </c>
      <c r="B296" t="s">
        <v>23</v>
      </c>
      <c r="C296">
        <v>6774</v>
      </c>
      <c r="D296" t="str">
        <f t="shared" si="4"/>
        <v>Full</v>
      </c>
      <c r="E296">
        <v>5917</v>
      </c>
      <c r="F296">
        <v>57.79</v>
      </c>
      <c r="G296">
        <v>141.5</v>
      </c>
      <c r="H296" s="4" t="s">
        <v>827</v>
      </c>
      <c r="I296" t="s">
        <v>828</v>
      </c>
      <c r="J296" t="s">
        <v>829</v>
      </c>
      <c r="K296" t="s">
        <v>21</v>
      </c>
      <c r="L296">
        <v>28.31</v>
      </c>
    </row>
    <row r="297" spans="1:12" x14ac:dyDescent="0.3">
      <c r="A297" t="s">
        <v>80</v>
      </c>
      <c r="B297" t="s">
        <v>36</v>
      </c>
      <c r="C297">
        <v>5741</v>
      </c>
      <c r="D297" t="str">
        <f t="shared" si="4"/>
        <v>Full</v>
      </c>
      <c r="E297">
        <v>9888</v>
      </c>
      <c r="F297">
        <v>248.67</v>
      </c>
      <c r="G297">
        <v>483.17</v>
      </c>
      <c r="H297" s="4" t="s">
        <v>830</v>
      </c>
      <c r="I297" t="s">
        <v>393</v>
      </c>
      <c r="J297" t="s">
        <v>831</v>
      </c>
      <c r="K297" t="s">
        <v>27</v>
      </c>
      <c r="L297">
        <v>117.31</v>
      </c>
    </row>
    <row r="298" spans="1:12" x14ac:dyDescent="0.3">
      <c r="A298" t="s">
        <v>119</v>
      </c>
      <c r="B298" t="s">
        <v>12</v>
      </c>
      <c r="C298">
        <v>7068</v>
      </c>
      <c r="D298" t="str">
        <f t="shared" si="4"/>
        <v>Full</v>
      </c>
      <c r="E298">
        <v>3258</v>
      </c>
      <c r="F298">
        <v>263.70999999999998</v>
      </c>
      <c r="G298">
        <v>613.35</v>
      </c>
      <c r="H298" s="4" t="s">
        <v>832</v>
      </c>
      <c r="I298" t="s">
        <v>833</v>
      </c>
      <c r="J298" t="s">
        <v>834</v>
      </c>
      <c r="K298" t="s">
        <v>16</v>
      </c>
      <c r="L298">
        <v>153.66</v>
      </c>
    </row>
    <row r="299" spans="1:12" x14ac:dyDescent="0.3">
      <c r="A299" t="s">
        <v>76</v>
      </c>
      <c r="B299" t="s">
        <v>84</v>
      </c>
      <c r="C299">
        <v>5277</v>
      </c>
      <c r="D299" t="str">
        <f t="shared" si="4"/>
        <v>Full</v>
      </c>
      <c r="E299">
        <v>19474</v>
      </c>
      <c r="F299">
        <v>236.43</v>
      </c>
      <c r="G299">
        <v>511.03</v>
      </c>
      <c r="H299" s="4" t="s">
        <v>835</v>
      </c>
      <c r="I299" t="s">
        <v>836</v>
      </c>
      <c r="J299" t="s">
        <v>837</v>
      </c>
      <c r="K299" t="s">
        <v>16</v>
      </c>
      <c r="L299">
        <v>186.48</v>
      </c>
    </row>
    <row r="300" spans="1:12" x14ac:dyDescent="0.3">
      <c r="A300" t="s">
        <v>88</v>
      </c>
      <c r="B300" t="s">
        <v>32</v>
      </c>
      <c r="C300">
        <v>4516</v>
      </c>
      <c r="D300" t="str">
        <f t="shared" si="4"/>
        <v>Full</v>
      </c>
      <c r="E300">
        <v>5933</v>
      </c>
      <c r="F300">
        <v>6.88</v>
      </c>
      <c r="G300">
        <v>11.92</v>
      </c>
      <c r="H300" s="4" t="s">
        <v>838</v>
      </c>
      <c r="I300" t="s">
        <v>839</v>
      </c>
      <c r="J300" t="s">
        <v>840</v>
      </c>
      <c r="K300" t="s">
        <v>27</v>
      </c>
      <c r="L300">
        <v>5.37</v>
      </c>
    </row>
    <row r="301" spans="1:12" x14ac:dyDescent="0.3">
      <c r="A301" t="s">
        <v>17</v>
      </c>
      <c r="B301" t="s">
        <v>36</v>
      </c>
      <c r="C301">
        <v>5538</v>
      </c>
      <c r="D301" t="str">
        <f t="shared" si="4"/>
        <v>Full</v>
      </c>
      <c r="E301">
        <v>4406</v>
      </c>
      <c r="F301">
        <v>65.53</v>
      </c>
      <c r="G301">
        <v>162.38999999999999</v>
      </c>
      <c r="H301" s="4" t="s">
        <v>841</v>
      </c>
      <c r="I301" t="s">
        <v>842</v>
      </c>
      <c r="J301" t="s">
        <v>843</v>
      </c>
      <c r="K301" t="s">
        <v>98</v>
      </c>
      <c r="L301">
        <v>44.87</v>
      </c>
    </row>
    <row r="302" spans="1:12" x14ac:dyDescent="0.3">
      <c r="A302" t="s">
        <v>41</v>
      </c>
      <c r="B302" t="s">
        <v>12</v>
      </c>
      <c r="C302">
        <v>4292</v>
      </c>
      <c r="D302" t="str">
        <f t="shared" si="4"/>
        <v>Full</v>
      </c>
      <c r="E302">
        <v>18031</v>
      </c>
      <c r="F302">
        <v>126.85</v>
      </c>
      <c r="G302">
        <v>299.91000000000003</v>
      </c>
      <c r="H302" s="4" t="s">
        <v>844</v>
      </c>
      <c r="I302" t="s">
        <v>845</v>
      </c>
      <c r="J302" t="s">
        <v>846</v>
      </c>
      <c r="K302" t="s">
        <v>27</v>
      </c>
      <c r="L302">
        <v>76.39</v>
      </c>
    </row>
    <row r="303" spans="1:12" x14ac:dyDescent="0.3">
      <c r="A303" t="s">
        <v>299</v>
      </c>
      <c r="B303" t="s">
        <v>12</v>
      </c>
      <c r="C303">
        <v>9803</v>
      </c>
      <c r="D303" t="str">
        <f t="shared" si="4"/>
        <v>Full</v>
      </c>
      <c r="E303">
        <v>3040</v>
      </c>
      <c r="F303">
        <v>133.32</v>
      </c>
      <c r="G303">
        <v>327.10000000000002</v>
      </c>
      <c r="H303" s="4" t="s">
        <v>137</v>
      </c>
      <c r="I303" t="s">
        <v>847</v>
      </c>
      <c r="J303" t="s">
        <v>848</v>
      </c>
      <c r="K303" t="s">
        <v>40</v>
      </c>
      <c r="L303">
        <v>102.71</v>
      </c>
    </row>
    <row r="304" spans="1:12" x14ac:dyDescent="0.3">
      <c r="A304" t="s">
        <v>299</v>
      </c>
      <c r="B304" t="s">
        <v>23</v>
      </c>
      <c r="C304">
        <v>5711</v>
      </c>
      <c r="D304" t="str">
        <f t="shared" si="4"/>
        <v>Full</v>
      </c>
      <c r="E304">
        <v>15835</v>
      </c>
      <c r="F304">
        <v>85.23</v>
      </c>
      <c r="G304">
        <v>110.55</v>
      </c>
      <c r="H304" s="4" t="s">
        <v>615</v>
      </c>
      <c r="I304" t="s">
        <v>849</v>
      </c>
      <c r="J304" t="s">
        <v>850</v>
      </c>
      <c r="K304" t="s">
        <v>27</v>
      </c>
      <c r="L304">
        <v>39.39</v>
      </c>
    </row>
    <row r="305" spans="1:12" x14ac:dyDescent="0.3">
      <c r="A305" t="s">
        <v>56</v>
      </c>
      <c r="B305" t="s">
        <v>36</v>
      </c>
      <c r="C305">
        <v>8135</v>
      </c>
      <c r="D305" t="str">
        <f t="shared" si="4"/>
        <v>Full</v>
      </c>
      <c r="E305">
        <v>11290</v>
      </c>
      <c r="F305">
        <v>124.92</v>
      </c>
      <c r="G305">
        <v>236.94</v>
      </c>
      <c r="H305" s="4" t="s">
        <v>851</v>
      </c>
      <c r="I305" t="s">
        <v>276</v>
      </c>
      <c r="J305" t="s">
        <v>852</v>
      </c>
      <c r="K305" t="s">
        <v>21</v>
      </c>
      <c r="L305">
        <v>63.21</v>
      </c>
    </row>
    <row r="306" spans="1:12" x14ac:dyDescent="0.3">
      <c r="A306" t="s">
        <v>11</v>
      </c>
      <c r="B306" t="s">
        <v>12</v>
      </c>
      <c r="C306">
        <v>3082</v>
      </c>
      <c r="D306" t="str">
        <f t="shared" si="4"/>
        <v>Full</v>
      </c>
      <c r="E306">
        <v>23480</v>
      </c>
      <c r="F306">
        <v>94.74</v>
      </c>
      <c r="G306">
        <v>200.48</v>
      </c>
      <c r="H306" s="4" t="s">
        <v>853</v>
      </c>
      <c r="I306" t="s">
        <v>706</v>
      </c>
      <c r="J306" t="s">
        <v>854</v>
      </c>
      <c r="K306" t="s">
        <v>40</v>
      </c>
      <c r="L306">
        <v>43.52</v>
      </c>
    </row>
    <row r="307" spans="1:12" x14ac:dyDescent="0.3">
      <c r="A307" t="s">
        <v>80</v>
      </c>
      <c r="B307" t="s">
        <v>23</v>
      </c>
      <c r="C307">
        <v>6992</v>
      </c>
      <c r="D307" t="str">
        <f t="shared" si="4"/>
        <v>Full</v>
      </c>
      <c r="E307">
        <v>17825</v>
      </c>
      <c r="F307">
        <v>19.440000000000001</v>
      </c>
      <c r="G307">
        <v>30.88</v>
      </c>
      <c r="H307" s="4" t="s">
        <v>855</v>
      </c>
      <c r="I307" t="s">
        <v>50</v>
      </c>
      <c r="J307" t="s">
        <v>856</v>
      </c>
      <c r="K307" t="s">
        <v>21</v>
      </c>
      <c r="L307">
        <v>12.1</v>
      </c>
    </row>
    <row r="308" spans="1:12" x14ac:dyDescent="0.3">
      <c r="A308" t="s">
        <v>66</v>
      </c>
      <c r="B308" t="s">
        <v>84</v>
      </c>
      <c r="C308">
        <v>2051</v>
      </c>
      <c r="D308" t="str">
        <f t="shared" si="4"/>
        <v>Medium</v>
      </c>
      <c r="E308">
        <v>16140</v>
      </c>
      <c r="F308">
        <v>35.06</v>
      </c>
      <c r="G308">
        <v>78.25</v>
      </c>
      <c r="H308" s="4" t="s">
        <v>857</v>
      </c>
      <c r="I308" t="s">
        <v>858</v>
      </c>
      <c r="J308" t="s">
        <v>859</v>
      </c>
      <c r="K308" t="s">
        <v>98</v>
      </c>
      <c r="L308">
        <v>15.86</v>
      </c>
    </row>
    <row r="309" spans="1:12" x14ac:dyDescent="0.3">
      <c r="A309" t="s">
        <v>299</v>
      </c>
      <c r="B309" t="s">
        <v>23</v>
      </c>
      <c r="C309">
        <v>1876</v>
      </c>
      <c r="D309" t="str">
        <f t="shared" si="4"/>
        <v>Medium</v>
      </c>
      <c r="E309">
        <v>20081</v>
      </c>
      <c r="F309">
        <v>177.91</v>
      </c>
      <c r="G309">
        <v>425.68</v>
      </c>
      <c r="H309" s="4" t="s">
        <v>303</v>
      </c>
      <c r="I309" t="s">
        <v>737</v>
      </c>
      <c r="J309" t="s">
        <v>860</v>
      </c>
      <c r="K309" t="s">
        <v>98</v>
      </c>
      <c r="L309">
        <v>135.38999999999999</v>
      </c>
    </row>
    <row r="310" spans="1:12" x14ac:dyDescent="0.3">
      <c r="A310" t="s">
        <v>143</v>
      </c>
      <c r="B310" t="s">
        <v>84</v>
      </c>
      <c r="C310">
        <v>2006</v>
      </c>
      <c r="D310" t="str">
        <f t="shared" si="4"/>
        <v>Medium</v>
      </c>
      <c r="E310">
        <v>11864</v>
      </c>
      <c r="F310">
        <v>41.15</v>
      </c>
      <c r="G310">
        <v>99.79</v>
      </c>
      <c r="H310" s="4" t="s">
        <v>861</v>
      </c>
      <c r="I310" t="s">
        <v>183</v>
      </c>
      <c r="J310" t="s">
        <v>862</v>
      </c>
      <c r="K310" t="s">
        <v>21</v>
      </c>
      <c r="L310">
        <v>29.98</v>
      </c>
    </row>
    <row r="311" spans="1:12" x14ac:dyDescent="0.3">
      <c r="A311" t="s">
        <v>299</v>
      </c>
      <c r="B311" t="s">
        <v>36</v>
      </c>
      <c r="C311">
        <v>983</v>
      </c>
      <c r="D311" t="str">
        <f t="shared" si="4"/>
        <v>Low</v>
      </c>
      <c r="E311">
        <v>13541</v>
      </c>
      <c r="F311">
        <v>206.55</v>
      </c>
      <c r="G311">
        <v>294.26</v>
      </c>
      <c r="H311" s="4" t="s">
        <v>444</v>
      </c>
      <c r="I311" t="s">
        <v>863</v>
      </c>
      <c r="J311" t="s">
        <v>864</v>
      </c>
      <c r="K311" t="s">
        <v>40</v>
      </c>
      <c r="L311">
        <v>119.47</v>
      </c>
    </row>
    <row r="312" spans="1:12" x14ac:dyDescent="0.3">
      <c r="A312" t="s">
        <v>123</v>
      </c>
      <c r="B312" t="s">
        <v>12</v>
      </c>
      <c r="C312">
        <v>4526</v>
      </c>
      <c r="D312" t="str">
        <f t="shared" si="4"/>
        <v>Full</v>
      </c>
      <c r="E312">
        <v>22210</v>
      </c>
      <c r="F312">
        <v>92.06</v>
      </c>
      <c r="G312">
        <v>159.78</v>
      </c>
      <c r="H312" s="4" t="s">
        <v>865</v>
      </c>
      <c r="I312" t="s">
        <v>731</v>
      </c>
      <c r="J312" t="s">
        <v>866</v>
      </c>
      <c r="K312" t="s">
        <v>27</v>
      </c>
      <c r="L312">
        <v>47.13</v>
      </c>
    </row>
    <row r="313" spans="1:12" x14ac:dyDescent="0.3">
      <c r="A313" t="s">
        <v>123</v>
      </c>
      <c r="B313" t="s">
        <v>36</v>
      </c>
      <c r="C313">
        <v>3767</v>
      </c>
      <c r="D313" t="str">
        <f t="shared" si="4"/>
        <v>Full</v>
      </c>
      <c r="E313">
        <v>22058</v>
      </c>
      <c r="F313">
        <v>265.97000000000003</v>
      </c>
      <c r="G313">
        <v>500.97</v>
      </c>
      <c r="H313" s="4" t="s">
        <v>867</v>
      </c>
      <c r="I313" t="s">
        <v>868</v>
      </c>
      <c r="J313" t="s">
        <v>869</v>
      </c>
      <c r="K313" t="s">
        <v>21</v>
      </c>
      <c r="L313">
        <v>189.57</v>
      </c>
    </row>
    <row r="314" spans="1:12" x14ac:dyDescent="0.3">
      <c r="A314" t="s">
        <v>76</v>
      </c>
      <c r="B314" t="s">
        <v>36</v>
      </c>
      <c r="C314">
        <v>9421</v>
      </c>
      <c r="D314" t="str">
        <f t="shared" si="4"/>
        <v>Full</v>
      </c>
      <c r="E314">
        <v>16881</v>
      </c>
      <c r="F314">
        <v>106.49</v>
      </c>
      <c r="G314">
        <v>206.1</v>
      </c>
      <c r="H314" s="4" t="s">
        <v>870</v>
      </c>
      <c r="I314" t="s">
        <v>871</v>
      </c>
      <c r="J314" t="s">
        <v>872</v>
      </c>
      <c r="K314" t="s">
        <v>98</v>
      </c>
      <c r="L314">
        <v>43.71</v>
      </c>
    </row>
    <row r="315" spans="1:12" x14ac:dyDescent="0.3">
      <c r="A315" t="s">
        <v>176</v>
      </c>
      <c r="B315" t="s">
        <v>84</v>
      </c>
      <c r="C315">
        <v>980</v>
      </c>
      <c r="D315" t="str">
        <f t="shared" si="4"/>
        <v>Low</v>
      </c>
      <c r="E315">
        <v>10205</v>
      </c>
      <c r="F315">
        <v>22.28</v>
      </c>
      <c r="G315">
        <v>55.45</v>
      </c>
      <c r="H315" s="4" t="s">
        <v>472</v>
      </c>
      <c r="I315" t="s">
        <v>873</v>
      </c>
      <c r="J315" t="s">
        <v>874</v>
      </c>
      <c r="K315" t="s">
        <v>98</v>
      </c>
      <c r="L315">
        <v>17.59</v>
      </c>
    </row>
    <row r="316" spans="1:12" x14ac:dyDescent="0.3">
      <c r="A316" t="s">
        <v>11</v>
      </c>
      <c r="B316" t="s">
        <v>84</v>
      </c>
      <c r="C316">
        <v>4451</v>
      </c>
      <c r="D316" t="str">
        <f t="shared" si="4"/>
        <v>Full</v>
      </c>
      <c r="E316">
        <v>9733</v>
      </c>
      <c r="F316">
        <v>162.44</v>
      </c>
      <c r="G316">
        <v>362.02</v>
      </c>
      <c r="H316" s="4" t="s">
        <v>423</v>
      </c>
      <c r="I316" t="s">
        <v>875</v>
      </c>
      <c r="J316" t="s">
        <v>876</v>
      </c>
      <c r="K316" t="s">
        <v>21</v>
      </c>
      <c r="L316">
        <v>88.03</v>
      </c>
    </row>
    <row r="317" spans="1:12" x14ac:dyDescent="0.3">
      <c r="A317" t="s">
        <v>56</v>
      </c>
      <c r="B317" t="s">
        <v>84</v>
      </c>
      <c r="C317">
        <v>4375</v>
      </c>
      <c r="D317" t="str">
        <f t="shared" si="4"/>
        <v>Full</v>
      </c>
      <c r="E317">
        <v>20415</v>
      </c>
      <c r="F317">
        <v>98.81</v>
      </c>
      <c r="G317">
        <v>213.38</v>
      </c>
      <c r="H317" s="4" t="s">
        <v>877</v>
      </c>
      <c r="I317" t="s">
        <v>878</v>
      </c>
      <c r="J317" t="s">
        <v>879</v>
      </c>
      <c r="K317" t="s">
        <v>40</v>
      </c>
      <c r="L317">
        <v>76.98</v>
      </c>
    </row>
    <row r="318" spans="1:12" x14ac:dyDescent="0.3">
      <c r="A318" t="s">
        <v>22</v>
      </c>
      <c r="B318" t="s">
        <v>84</v>
      </c>
      <c r="C318">
        <v>9725</v>
      </c>
      <c r="D318" t="str">
        <f t="shared" si="4"/>
        <v>Full</v>
      </c>
      <c r="E318">
        <v>7168</v>
      </c>
      <c r="F318">
        <v>251.83</v>
      </c>
      <c r="G318">
        <v>567.5</v>
      </c>
      <c r="H318" s="4" t="s">
        <v>880</v>
      </c>
      <c r="I318" t="s">
        <v>881</v>
      </c>
      <c r="J318" t="s">
        <v>882</v>
      </c>
      <c r="K318" t="s">
        <v>98</v>
      </c>
      <c r="L318">
        <v>150.13</v>
      </c>
    </row>
    <row r="319" spans="1:12" x14ac:dyDescent="0.3">
      <c r="A319" t="s">
        <v>41</v>
      </c>
      <c r="B319" t="s">
        <v>12</v>
      </c>
      <c r="C319">
        <v>4311</v>
      </c>
      <c r="D319" t="str">
        <f t="shared" si="4"/>
        <v>Full</v>
      </c>
      <c r="E319">
        <v>20715</v>
      </c>
      <c r="F319">
        <v>69.55</v>
      </c>
      <c r="G319">
        <v>131.06</v>
      </c>
      <c r="H319" s="4" t="s">
        <v>883</v>
      </c>
      <c r="I319" t="s">
        <v>384</v>
      </c>
      <c r="J319" t="s">
        <v>884</v>
      </c>
      <c r="K319" t="s">
        <v>98</v>
      </c>
      <c r="L319">
        <v>50.26</v>
      </c>
    </row>
    <row r="320" spans="1:12" x14ac:dyDescent="0.3">
      <c r="A320" t="s">
        <v>45</v>
      </c>
      <c r="B320" t="s">
        <v>84</v>
      </c>
      <c r="C320">
        <v>5801</v>
      </c>
      <c r="D320" t="str">
        <f t="shared" si="4"/>
        <v>Full</v>
      </c>
      <c r="E320">
        <v>2951</v>
      </c>
      <c r="F320">
        <v>11.46</v>
      </c>
      <c r="G320">
        <v>22.49</v>
      </c>
      <c r="H320" s="4" t="s">
        <v>885</v>
      </c>
      <c r="I320" t="s">
        <v>63</v>
      </c>
      <c r="J320" t="s">
        <v>886</v>
      </c>
      <c r="K320" t="s">
        <v>40</v>
      </c>
      <c r="L320">
        <v>8.99</v>
      </c>
    </row>
    <row r="321" spans="1:12" x14ac:dyDescent="0.3">
      <c r="A321" t="s">
        <v>76</v>
      </c>
      <c r="B321" t="s">
        <v>36</v>
      </c>
      <c r="C321">
        <v>2155</v>
      </c>
      <c r="D321" t="str">
        <f t="shared" si="4"/>
        <v>Medium</v>
      </c>
      <c r="E321">
        <v>12028</v>
      </c>
      <c r="F321">
        <v>94.02</v>
      </c>
      <c r="G321">
        <v>129.5</v>
      </c>
      <c r="H321" s="4" t="s">
        <v>60</v>
      </c>
      <c r="I321" t="s">
        <v>664</v>
      </c>
      <c r="J321" t="s">
        <v>887</v>
      </c>
      <c r="K321" t="s">
        <v>21</v>
      </c>
      <c r="L321">
        <v>62.02</v>
      </c>
    </row>
    <row r="322" spans="1:12" x14ac:dyDescent="0.3">
      <c r="A322" t="s">
        <v>56</v>
      </c>
      <c r="B322" t="s">
        <v>32</v>
      </c>
      <c r="C322">
        <v>6346</v>
      </c>
      <c r="D322" t="str">
        <f t="shared" si="4"/>
        <v>Full</v>
      </c>
      <c r="E322">
        <v>8315</v>
      </c>
      <c r="F322">
        <v>201.33</v>
      </c>
      <c r="G322">
        <v>454.76</v>
      </c>
      <c r="H322" s="4" t="s">
        <v>888</v>
      </c>
      <c r="I322" t="s">
        <v>504</v>
      </c>
      <c r="J322" t="s">
        <v>889</v>
      </c>
      <c r="K322" t="s">
        <v>98</v>
      </c>
      <c r="L322">
        <v>94.84</v>
      </c>
    </row>
    <row r="323" spans="1:12" x14ac:dyDescent="0.3">
      <c r="A323" t="s">
        <v>17</v>
      </c>
      <c r="B323" t="s">
        <v>32</v>
      </c>
      <c r="C323">
        <v>6915</v>
      </c>
      <c r="D323" t="str">
        <f t="shared" ref="D323:D386" si="5">IF(C323&lt;1000,"Low",IF(C323&lt;=3000,"Medium","Full"))</f>
        <v>Full</v>
      </c>
      <c r="E323">
        <v>19595</v>
      </c>
      <c r="F323">
        <v>14.55</v>
      </c>
      <c r="G323">
        <v>28.85</v>
      </c>
      <c r="H323" s="4" t="s">
        <v>570</v>
      </c>
      <c r="I323" t="s">
        <v>890</v>
      </c>
      <c r="J323" t="s">
        <v>891</v>
      </c>
      <c r="K323" t="s">
        <v>16</v>
      </c>
      <c r="L323">
        <v>6.43</v>
      </c>
    </row>
    <row r="324" spans="1:12" x14ac:dyDescent="0.3">
      <c r="A324" t="s">
        <v>49</v>
      </c>
      <c r="B324" t="s">
        <v>84</v>
      </c>
      <c r="C324">
        <v>5925</v>
      </c>
      <c r="D324" t="str">
        <f t="shared" si="5"/>
        <v>Full</v>
      </c>
      <c r="E324">
        <v>3549</v>
      </c>
      <c r="F324">
        <v>75.209999999999994</v>
      </c>
      <c r="G324">
        <v>186.3</v>
      </c>
      <c r="H324" s="4" t="s">
        <v>892</v>
      </c>
      <c r="I324" t="s">
        <v>893</v>
      </c>
      <c r="J324" t="s">
        <v>894</v>
      </c>
      <c r="K324" t="s">
        <v>40</v>
      </c>
      <c r="L324">
        <v>43.52</v>
      </c>
    </row>
    <row r="325" spans="1:12" x14ac:dyDescent="0.3">
      <c r="A325" t="s">
        <v>147</v>
      </c>
      <c r="B325" t="s">
        <v>84</v>
      </c>
      <c r="C325">
        <v>4588</v>
      </c>
      <c r="D325" t="str">
        <f t="shared" si="5"/>
        <v>Full</v>
      </c>
      <c r="E325">
        <v>23713</v>
      </c>
      <c r="F325">
        <v>25</v>
      </c>
      <c r="G325">
        <v>38.340000000000003</v>
      </c>
      <c r="H325" s="4" t="s">
        <v>895</v>
      </c>
      <c r="I325" t="s">
        <v>896</v>
      </c>
      <c r="J325" t="s">
        <v>897</v>
      </c>
      <c r="K325" t="s">
        <v>21</v>
      </c>
      <c r="L325">
        <v>14.38</v>
      </c>
    </row>
    <row r="326" spans="1:12" x14ac:dyDescent="0.3">
      <c r="A326" t="s">
        <v>200</v>
      </c>
      <c r="B326" t="s">
        <v>84</v>
      </c>
      <c r="C326">
        <v>7283</v>
      </c>
      <c r="D326" t="str">
        <f t="shared" si="5"/>
        <v>Full</v>
      </c>
      <c r="E326">
        <v>17157</v>
      </c>
      <c r="F326">
        <v>265.12</v>
      </c>
      <c r="G326">
        <v>439.2</v>
      </c>
      <c r="H326" s="4" t="s">
        <v>775</v>
      </c>
      <c r="I326" t="s">
        <v>898</v>
      </c>
      <c r="J326" t="s">
        <v>899</v>
      </c>
      <c r="K326" t="s">
        <v>16</v>
      </c>
      <c r="L326">
        <v>175.08</v>
      </c>
    </row>
    <row r="327" spans="1:12" x14ac:dyDescent="0.3">
      <c r="A327" t="s">
        <v>80</v>
      </c>
      <c r="B327" t="s">
        <v>84</v>
      </c>
      <c r="C327">
        <v>7893</v>
      </c>
      <c r="D327" t="str">
        <f t="shared" si="5"/>
        <v>Full</v>
      </c>
      <c r="E327">
        <v>3415</v>
      </c>
      <c r="F327">
        <v>240.76</v>
      </c>
      <c r="G327">
        <v>299.37</v>
      </c>
      <c r="H327" s="4" t="s">
        <v>900</v>
      </c>
      <c r="I327" t="s">
        <v>849</v>
      </c>
      <c r="J327" t="s">
        <v>901</v>
      </c>
      <c r="K327" t="s">
        <v>27</v>
      </c>
      <c r="L327">
        <v>103.45</v>
      </c>
    </row>
    <row r="328" spans="1:12" x14ac:dyDescent="0.3">
      <c r="A328" t="s">
        <v>56</v>
      </c>
      <c r="B328" t="s">
        <v>36</v>
      </c>
      <c r="C328">
        <v>3136</v>
      </c>
      <c r="D328" t="str">
        <f t="shared" si="5"/>
        <v>Full</v>
      </c>
      <c r="E328">
        <v>24985</v>
      </c>
      <c r="F328">
        <v>27.13</v>
      </c>
      <c r="G328">
        <v>65.77</v>
      </c>
      <c r="H328" s="4" t="s">
        <v>778</v>
      </c>
      <c r="I328" t="s">
        <v>902</v>
      </c>
      <c r="J328" t="s">
        <v>903</v>
      </c>
      <c r="K328" t="s">
        <v>16</v>
      </c>
      <c r="L328">
        <v>20.55</v>
      </c>
    </row>
    <row r="329" spans="1:12" x14ac:dyDescent="0.3">
      <c r="A329" t="s">
        <v>17</v>
      </c>
      <c r="B329" t="s">
        <v>36</v>
      </c>
      <c r="C329">
        <v>3203</v>
      </c>
      <c r="D329" t="str">
        <f t="shared" si="5"/>
        <v>Full</v>
      </c>
      <c r="E329">
        <v>20900</v>
      </c>
      <c r="F329">
        <v>267.48</v>
      </c>
      <c r="G329">
        <v>375.6</v>
      </c>
      <c r="H329" s="4" t="s">
        <v>904</v>
      </c>
      <c r="I329" t="s">
        <v>905</v>
      </c>
      <c r="J329" t="s">
        <v>906</v>
      </c>
      <c r="K329" t="s">
        <v>98</v>
      </c>
      <c r="L329">
        <v>150.78</v>
      </c>
    </row>
    <row r="330" spans="1:12" x14ac:dyDescent="0.3">
      <c r="A330" t="s">
        <v>66</v>
      </c>
      <c r="B330" t="s">
        <v>32</v>
      </c>
      <c r="C330">
        <v>4846</v>
      </c>
      <c r="D330" t="str">
        <f t="shared" si="5"/>
        <v>Full</v>
      </c>
      <c r="E330">
        <v>22646</v>
      </c>
      <c r="F330">
        <v>88.05</v>
      </c>
      <c r="G330">
        <v>132.85</v>
      </c>
      <c r="H330" s="4" t="s">
        <v>907</v>
      </c>
      <c r="I330" t="s">
        <v>908</v>
      </c>
      <c r="J330" t="s">
        <v>909</v>
      </c>
      <c r="K330" t="s">
        <v>16</v>
      </c>
      <c r="L330">
        <v>64.8</v>
      </c>
    </row>
    <row r="331" spans="1:12" x14ac:dyDescent="0.3">
      <c r="A331" t="s">
        <v>123</v>
      </c>
      <c r="B331" t="s">
        <v>12</v>
      </c>
      <c r="C331">
        <v>6411</v>
      </c>
      <c r="D331" t="str">
        <f t="shared" si="5"/>
        <v>Full</v>
      </c>
      <c r="E331">
        <v>1125</v>
      </c>
      <c r="F331">
        <v>131.13999999999999</v>
      </c>
      <c r="G331">
        <v>207.58</v>
      </c>
      <c r="H331" s="4" t="s">
        <v>33</v>
      </c>
      <c r="I331" t="s">
        <v>910</v>
      </c>
      <c r="J331" t="s">
        <v>911</v>
      </c>
      <c r="K331" t="s">
        <v>21</v>
      </c>
      <c r="L331">
        <v>62.93</v>
      </c>
    </row>
    <row r="332" spans="1:12" x14ac:dyDescent="0.3">
      <c r="A332" t="s">
        <v>17</v>
      </c>
      <c r="B332" t="s">
        <v>84</v>
      </c>
      <c r="C332">
        <v>3298</v>
      </c>
      <c r="D332" t="str">
        <f t="shared" si="5"/>
        <v>Full</v>
      </c>
      <c r="E332">
        <v>21912</v>
      </c>
      <c r="F332">
        <v>91.08</v>
      </c>
      <c r="G332">
        <v>119</v>
      </c>
      <c r="H332" s="4" t="s">
        <v>912</v>
      </c>
      <c r="I332" t="s">
        <v>913</v>
      </c>
      <c r="J332" t="s">
        <v>914</v>
      </c>
      <c r="K332" t="s">
        <v>21</v>
      </c>
      <c r="L332">
        <v>54.25</v>
      </c>
    </row>
    <row r="333" spans="1:12" x14ac:dyDescent="0.3">
      <c r="A333" t="s">
        <v>147</v>
      </c>
      <c r="B333" t="s">
        <v>12</v>
      </c>
      <c r="C333">
        <v>9414</v>
      </c>
      <c r="D333" t="str">
        <f t="shared" si="5"/>
        <v>Full</v>
      </c>
      <c r="E333">
        <v>13698</v>
      </c>
      <c r="F333">
        <v>59.54</v>
      </c>
      <c r="G333">
        <v>139.99</v>
      </c>
      <c r="H333" s="4" t="s">
        <v>915</v>
      </c>
      <c r="I333" t="s">
        <v>916</v>
      </c>
      <c r="J333" t="s">
        <v>917</v>
      </c>
      <c r="K333" t="s">
        <v>27</v>
      </c>
      <c r="L333">
        <v>30.09</v>
      </c>
    </row>
    <row r="334" spans="1:12" x14ac:dyDescent="0.3">
      <c r="A334" t="s">
        <v>143</v>
      </c>
      <c r="B334" t="s">
        <v>23</v>
      </c>
      <c r="C334">
        <v>4206</v>
      </c>
      <c r="D334" t="str">
        <f t="shared" si="5"/>
        <v>Full</v>
      </c>
      <c r="E334">
        <v>9800</v>
      </c>
      <c r="F334">
        <v>171.45</v>
      </c>
      <c r="G334">
        <v>239.42</v>
      </c>
      <c r="H334" s="4" t="s">
        <v>918</v>
      </c>
      <c r="I334" t="s">
        <v>602</v>
      </c>
      <c r="J334" t="s">
        <v>919</v>
      </c>
      <c r="K334" t="s">
        <v>40</v>
      </c>
      <c r="L334">
        <v>124</v>
      </c>
    </row>
    <row r="335" spans="1:12" x14ac:dyDescent="0.3">
      <c r="A335" t="s">
        <v>200</v>
      </c>
      <c r="B335" t="s">
        <v>32</v>
      </c>
      <c r="C335">
        <v>4227</v>
      </c>
      <c r="D335" t="str">
        <f t="shared" si="5"/>
        <v>Full</v>
      </c>
      <c r="E335">
        <v>19140</v>
      </c>
      <c r="F335">
        <v>22.99</v>
      </c>
      <c r="G335">
        <v>39.159999999999997</v>
      </c>
      <c r="H335" s="4" t="s">
        <v>920</v>
      </c>
      <c r="I335" t="s">
        <v>921</v>
      </c>
      <c r="J335" t="s">
        <v>922</v>
      </c>
      <c r="K335" t="s">
        <v>21</v>
      </c>
      <c r="L335">
        <v>14.46</v>
      </c>
    </row>
    <row r="336" spans="1:12" x14ac:dyDescent="0.3">
      <c r="A336" t="s">
        <v>80</v>
      </c>
      <c r="B336" t="s">
        <v>36</v>
      </c>
      <c r="C336">
        <v>5396</v>
      </c>
      <c r="D336" t="str">
        <f t="shared" si="5"/>
        <v>Full</v>
      </c>
      <c r="E336">
        <v>3587</v>
      </c>
      <c r="F336">
        <v>121.47</v>
      </c>
      <c r="G336">
        <v>280.61</v>
      </c>
      <c r="H336" s="4" t="s">
        <v>923</v>
      </c>
      <c r="I336" t="s">
        <v>924</v>
      </c>
      <c r="J336" t="s">
        <v>925</v>
      </c>
      <c r="K336" t="s">
        <v>16</v>
      </c>
      <c r="L336">
        <v>87.48</v>
      </c>
    </row>
    <row r="337" spans="1:12" x14ac:dyDescent="0.3">
      <c r="A337" t="s">
        <v>176</v>
      </c>
      <c r="B337" t="s">
        <v>84</v>
      </c>
      <c r="C337">
        <v>2470</v>
      </c>
      <c r="D337" t="str">
        <f t="shared" si="5"/>
        <v>Medium</v>
      </c>
      <c r="E337">
        <v>15714</v>
      </c>
      <c r="F337">
        <v>56</v>
      </c>
      <c r="G337">
        <v>138.86000000000001</v>
      </c>
      <c r="H337" s="4" t="s">
        <v>926</v>
      </c>
      <c r="I337" t="s">
        <v>487</v>
      </c>
      <c r="J337" t="s">
        <v>927</v>
      </c>
      <c r="K337" t="s">
        <v>27</v>
      </c>
      <c r="L337">
        <v>31.88</v>
      </c>
    </row>
    <row r="338" spans="1:12" x14ac:dyDescent="0.3">
      <c r="A338" t="s">
        <v>200</v>
      </c>
      <c r="B338" t="s">
        <v>84</v>
      </c>
      <c r="C338">
        <v>2922</v>
      </c>
      <c r="D338" t="str">
        <f t="shared" si="5"/>
        <v>Medium</v>
      </c>
      <c r="E338">
        <v>20498</v>
      </c>
      <c r="F338">
        <v>81.08</v>
      </c>
      <c r="G338">
        <v>193.3</v>
      </c>
      <c r="H338" s="4" t="s">
        <v>928</v>
      </c>
      <c r="I338" t="s">
        <v>730</v>
      </c>
      <c r="J338" t="s">
        <v>929</v>
      </c>
      <c r="K338" t="s">
        <v>16</v>
      </c>
      <c r="L338">
        <v>45.32</v>
      </c>
    </row>
    <row r="339" spans="1:12" x14ac:dyDescent="0.3">
      <c r="A339" t="s">
        <v>45</v>
      </c>
      <c r="B339" t="s">
        <v>23</v>
      </c>
      <c r="C339">
        <v>9014</v>
      </c>
      <c r="D339" t="str">
        <f t="shared" si="5"/>
        <v>Full</v>
      </c>
      <c r="E339">
        <v>16012</v>
      </c>
      <c r="F339">
        <v>275.56</v>
      </c>
      <c r="G339">
        <v>335.1</v>
      </c>
      <c r="H339" s="4" t="s">
        <v>930</v>
      </c>
      <c r="I339" t="s">
        <v>931</v>
      </c>
      <c r="J339" t="s">
        <v>932</v>
      </c>
      <c r="K339" t="s">
        <v>21</v>
      </c>
      <c r="L339">
        <v>122.63</v>
      </c>
    </row>
    <row r="340" spans="1:12" x14ac:dyDescent="0.3">
      <c r="A340" t="s">
        <v>123</v>
      </c>
      <c r="B340" t="s">
        <v>84</v>
      </c>
      <c r="C340">
        <v>9783</v>
      </c>
      <c r="D340" t="str">
        <f t="shared" si="5"/>
        <v>Full</v>
      </c>
      <c r="E340">
        <v>20265</v>
      </c>
      <c r="F340">
        <v>176.89</v>
      </c>
      <c r="G340">
        <v>434.14</v>
      </c>
      <c r="H340" s="4" t="s">
        <v>933</v>
      </c>
      <c r="I340" t="s">
        <v>934</v>
      </c>
      <c r="J340" t="s">
        <v>935</v>
      </c>
      <c r="K340" t="s">
        <v>27</v>
      </c>
      <c r="L340">
        <v>126.35</v>
      </c>
    </row>
    <row r="341" spans="1:12" x14ac:dyDescent="0.3">
      <c r="A341" t="s">
        <v>66</v>
      </c>
      <c r="B341" t="s">
        <v>23</v>
      </c>
      <c r="C341">
        <v>7232</v>
      </c>
      <c r="D341" t="str">
        <f t="shared" si="5"/>
        <v>Full</v>
      </c>
      <c r="E341">
        <v>9655</v>
      </c>
      <c r="F341">
        <v>118</v>
      </c>
      <c r="G341">
        <v>216.09</v>
      </c>
      <c r="H341" s="4" t="s">
        <v>63</v>
      </c>
      <c r="I341" t="s">
        <v>936</v>
      </c>
      <c r="J341" t="s">
        <v>937</v>
      </c>
      <c r="K341" t="s">
        <v>98</v>
      </c>
      <c r="L341">
        <v>60.2</v>
      </c>
    </row>
    <row r="342" spans="1:12" x14ac:dyDescent="0.3">
      <c r="A342" t="s">
        <v>123</v>
      </c>
      <c r="B342" t="s">
        <v>32</v>
      </c>
      <c r="C342">
        <v>7081</v>
      </c>
      <c r="D342" t="str">
        <f t="shared" si="5"/>
        <v>Full</v>
      </c>
      <c r="E342">
        <v>2270</v>
      </c>
      <c r="F342">
        <v>121.76</v>
      </c>
      <c r="G342">
        <v>285.24</v>
      </c>
      <c r="H342" s="4" t="s">
        <v>358</v>
      </c>
      <c r="I342" t="s">
        <v>938</v>
      </c>
      <c r="J342" t="s">
        <v>939</v>
      </c>
      <c r="K342" t="s">
        <v>40</v>
      </c>
      <c r="L342">
        <v>92.39</v>
      </c>
    </row>
    <row r="343" spans="1:12" x14ac:dyDescent="0.3">
      <c r="A343" t="s">
        <v>17</v>
      </c>
      <c r="B343" t="s">
        <v>23</v>
      </c>
      <c r="C343">
        <v>5465</v>
      </c>
      <c r="D343" t="str">
        <f t="shared" si="5"/>
        <v>Full</v>
      </c>
      <c r="E343">
        <v>11189</v>
      </c>
      <c r="F343">
        <v>87.7</v>
      </c>
      <c r="G343">
        <v>161.29</v>
      </c>
      <c r="H343" s="4" t="s">
        <v>309</v>
      </c>
      <c r="I343" t="s">
        <v>509</v>
      </c>
      <c r="J343" t="s">
        <v>940</v>
      </c>
      <c r="K343" t="s">
        <v>40</v>
      </c>
      <c r="L343">
        <v>69.260000000000005</v>
      </c>
    </row>
    <row r="344" spans="1:12" x14ac:dyDescent="0.3">
      <c r="A344" t="s">
        <v>143</v>
      </c>
      <c r="B344" t="s">
        <v>23</v>
      </c>
      <c r="C344">
        <v>4914</v>
      </c>
      <c r="D344" t="str">
        <f t="shared" si="5"/>
        <v>Full</v>
      </c>
      <c r="E344">
        <v>24881</v>
      </c>
      <c r="F344">
        <v>127.95</v>
      </c>
      <c r="G344">
        <v>260.92</v>
      </c>
      <c r="H344" s="4" t="s">
        <v>429</v>
      </c>
      <c r="I344" t="s">
        <v>941</v>
      </c>
      <c r="J344" t="s">
        <v>942</v>
      </c>
      <c r="K344" t="s">
        <v>21</v>
      </c>
      <c r="L344">
        <v>89.1</v>
      </c>
    </row>
    <row r="345" spans="1:12" x14ac:dyDescent="0.3">
      <c r="A345" t="s">
        <v>119</v>
      </c>
      <c r="B345" t="s">
        <v>23</v>
      </c>
      <c r="C345">
        <v>1420</v>
      </c>
      <c r="D345" t="str">
        <f t="shared" si="5"/>
        <v>Medium</v>
      </c>
      <c r="E345">
        <v>17884</v>
      </c>
      <c r="F345">
        <v>238.49</v>
      </c>
      <c r="G345">
        <v>306.52999999999997</v>
      </c>
      <c r="H345" s="4" t="s">
        <v>943</v>
      </c>
      <c r="I345" t="s">
        <v>944</v>
      </c>
      <c r="J345" t="s">
        <v>945</v>
      </c>
      <c r="K345" t="s">
        <v>16</v>
      </c>
      <c r="L345">
        <v>179.28</v>
      </c>
    </row>
    <row r="346" spans="1:12" x14ac:dyDescent="0.3">
      <c r="A346" t="s">
        <v>17</v>
      </c>
      <c r="B346" t="s">
        <v>84</v>
      </c>
      <c r="C346">
        <v>3658</v>
      </c>
      <c r="D346" t="str">
        <f t="shared" si="5"/>
        <v>Full</v>
      </c>
      <c r="E346">
        <v>7577</v>
      </c>
      <c r="F346">
        <v>251.91</v>
      </c>
      <c r="G346">
        <v>384</v>
      </c>
      <c r="H346" s="4" t="s">
        <v>173</v>
      </c>
      <c r="I346" t="s">
        <v>946</v>
      </c>
      <c r="J346" t="s">
        <v>947</v>
      </c>
      <c r="K346" t="s">
        <v>98</v>
      </c>
      <c r="L346">
        <v>128.37</v>
      </c>
    </row>
    <row r="347" spans="1:12" x14ac:dyDescent="0.3">
      <c r="A347" t="s">
        <v>143</v>
      </c>
      <c r="B347" t="s">
        <v>32</v>
      </c>
      <c r="C347">
        <v>7003</v>
      </c>
      <c r="D347" t="str">
        <f t="shared" si="5"/>
        <v>Full</v>
      </c>
      <c r="E347">
        <v>21821</v>
      </c>
      <c r="F347">
        <v>277.31</v>
      </c>
      <c r="G347">
        <v>578.34</v>
      </c>
      <c r="H347" s="4" t="s">
        <v>948</v>
      </c>
      <c r="I347" t="s">
        <v>949</v>
      </c>
      <c r="J347" t="s">
        <v>950</v>
      </c>
      <c r="K347" t="s">
        <v>16</v>
      </c>
      <c r="L347">
        <v>160.41</v>
      </c>
    </row>
    <row r="348" spans="1:12" x14ac:dyDescent="0.3">
      <c r="A348" t="s">
        <v>49</v>
      </c>
      <c r="B348" t="s">
        <v>32</v>
      </c>
      <c r="C348">
        <v>9533</v>
      </c>
      <c r="D348" t="str">
        <f t="shared" si="5"/>
        <v>Full</v>
      </c>
      <c r="E348">
        <v>12460</v>
      </c>
      <c r="F348">
        <v>106.55</v>
      </c>
      <c r="G348">
        <v>243.89</v>
      </c>
      <c r="H348" s="4" t="s">
        <v>951</v>
      </c>
      <c r="I348" t="s">
        <v>952</v>
      </c>
      <c r="J348" t="s">
        <v>953</v>
      </c>
      <c r="K348" t="s">
        <v>40</v>
      </c>
      <c r="L348">
        <v>43.79</v>
      </c>
    </row>
    <row r="349" spans="1:12" x14ac:dyDescent="0.3">
      <c r="A349" t="s">
        <v>127</v>
      </c>
      <c r="B349" t="s">
        <v>84</v>
      </c>
      <c r="C349">
        <v>9875</v>
      </c>
      <c r="D349" t="str">
        <f t="shared" si="5"/>
        <v>Full</v>
      </c>
      <c r="E349">
        <v>8022</v>
      </c>
      <c r="F349">
        <v>257.85000000000002</v>
      </c>
      <c r="G349">
        <v>526.41999999999996</v>
      </c>
      <c r="H349" s="4" t="s">
        <v>158</v>
      </c>
      <c r="I349" t="s">
        <v>954</v>
      </c>
      <c r="J349" t="s">
        <v>955</v>
      </c>
      <c r="K349" t="s">
        <v>21</v>
      </c>
      <c r="L349">
        <v>156.08000000000001</v>
      </c>
    </row>
    <row r="350" spans="1:12" x14ac:dyDescent="0.3">
      <c r="A350" t="s">
        <v>17</v>
      </c>
      <c r="B350" t="s">
        <v>36</v>
      </c>
      <c r="C350">
        <v>2667</v>
      </c>
      <c r="D350" t="str">
        <f t="shared" si="5"/>
        <v>Medium</v>
      </c>
      <c r="E350">
        <v>22213</v>
      </c>
      <c r="F350">
        <v>56.09</v>
      </c>
      <c r="G350">
        <v>125.7</v>
      </c>
      <c r="H350" s="4" t="s">
        <v>383</v>
      </c>
      <c r="I350" t="s">
        <v>898</v>
      </c>
      <c r="J350" t="s">
        <v>956</v>
      </c>
      <c r="K350" t="s">
        <v>40</v>
      </c>
      <c r="L350">
        <v>38.43</v>
      </c>
    </row>
    <row r="351" spans="1:12" x14ac:dyDescent="0.3">
      <c r="A351" t="s">
        <v>147</v>
      </c>
      <c r="B351" t="s">
        <v>36</v>
      </c>
      <c r="C351">
        <v>6668</v>
      </c>
      <c r="D351" t="str">
        <f t="shared" si="5"/>
        <v>Full</v>
      </c>
      <c r="E351">
        <v>12426</v>
      </c>
      <c r="F351">
        <v>140.4</v>
      </c>
      <c r="G351">
        <v>208.31</v>
      </c>
      <c r="H351" s="4" t="s">
        <v>957</v>
      </c>
      <c r="I351" t="s">
        <v>507</v>
      </c>
      <c r="J351" t="s">
        <v>958</v>
      </c>
      <c r="K351" t="s">
        <v>16</v>
      </c>
      <c r="L351">
        <v>78.459999999999994</v>
      </c>
    </row>
    <row r="352" spans="1:12" x14ac:dyDescent="0.3">
      <c r="A352" t="s">
        <v>11</v>
      </c>
      <c r="B352" t="s">
        <v>12</v>
      </c>
      <c r="C352">
        <v>8880</v>
      </c>
      <c r="D352" t="str">
        <f t="shared" si="5"/>
        <v>Full</v>
      </c>
      <c r="E352">
        <v>22704</v>
      </c>
      <c r="F352">
        <v>290.11</v>
      </c>
      <c r="G352">
        <v>664.7</v>
      </c>
      <c r="H352" s="4" t="s">
        <v>50</v>
      </c>
      <c r="I352" t="s">
        <v>959</v>
      </c>
      <c r="J352" t="s">
        <v>960</v>
      </c>
      <c r="K352" t="s">
        <v>16</v>
      </c>
      <c r="L352">
        <v>148.85</v>
      </c>
    </row>
    <row r="353" spans="1:12" x14ac:dyDescent="0.3">
      <c r="A353" t="s">
        <v>11</v>
      </c>
      <c r="B353" t="s">
        <v>36</v>
      </c>
      <c r="C353">
        <v>1545</v>
      </c>
      <c r="D353" t="str">
        <f t="shared" si="5"/>
        <v>Medium</v>
      </c>
      <c r="E353">
        <v>12019</v>
      </c>
      <c r="F353">
        <v>296.57</v>
      </c>
      <c r="G353">
        <v>602.86</v>
      </c>
      <c r="H353" s="4" t="s">
        <v>355</v>
      </c>
      <c r="I353" t="s">
        <v>961</v>
      </c>
      <c r="J353" t="s">
        <v>962</v>
      </c>
      <c r="K353" t="s">
        <v>40</v>
      </c>
      <c r="L353">
        <v>140.97</v>
      </c>
    </row>
    <row r="354" spans="1:12" x14ac:dyDescent="0.3">
      <c r="A354" t="s">
        <v>119</v>
      </c>
      <c r="B354" t="s">
        <v>84</v>
      </c>
      <c r="C354">
        <v>1430</v>
      </c>
      <c r="D354" t="str">
        <f t="shared" si="5"/>
        <v>Medium</v>
      </c>
      <c r="E354">
        <v>20661</v>
      </c>
      <c r="F354">
        <v>124.21</v>
      </c>
      <c r="G354">
        <v>200.66</v>
      </c>
      <c r="H354" s="4" t="s">
        <v>963</v>
      </c>
      <c r="I354" t="s">
        <v>964</v>
      </c>
      <c r="J354" t="s">
        <v>965</v>
      </c>
      <c r="K354" t="s">
        <v>21</v>
      </c>
      <c r="L354">
        <v>99.24</v>
      </c>
    </row>
    <row r="355" spans="1:12" x14ac:dyDescent="0.3">
      <c r="A355" t="s">
        <v>147</v>
      </c>
      <c r="B355" t="s">
        <v>36</v>
      </c>
      <c r="C355">
        <v>7128</v>
      </c>
      <c r="D355" t="str">
        <f t="shared" si="5"/>
        <v>Full</v>
      </c>
      <c r="E355">
        <v>13722</v>
      </c>
      <c r="F355">
        <v>222.34</v>
      </c>
      <c r="G355">
        <v>435.33</v>
      </c>
      <c r="H355" s="4" t="s">
        <v>966</v>
      </c>
      <c r="I355" t="s">
        <v>967</v>
      </c>
      <c r="J355" t="s">
        <v>968</v>
      </c>
      <c r="K355" t="s">
        <v>98</v>
      </c>
      <c r="L355">
        <v>149.97</v>
      </c>
    </row>
    <row r="356" spans="1:12" x14ac:dyDescent="0.3">
      <c r="A356" t="s">
        <v>49</v>
      </c>
      <c r="B356" t="s">
        <v>23</v>
      </c>
      <c r="C356">
        <v>8811</v>
      </c>
      <c r="D356" t="str">
        <f t="shared" si="5"/>
        <v>Full</v>
      </c>
      <c r="E356">
        <v>10836</v>
      </c>
      <c r="F356">
        <v>254.4</v>
      </c>
      <c r="G356">
        <v>583.29999999999995</v>
      </c>
      <c r="H356" s="4" t="s">
        <v>969</v>
      </c>
      <c r="I356" t="s">
        <v>970</v>
      </c>
      <c r="J356" t="s">
        <v>971</v>
      </c>
      <c r="K356" t="s">
        <v>27</v>
      </c>
      <c r="L356">
        <v>149.66999999999999</v>
      </c>
    </row>
    <row r="357" spans="1:12" x14ac:dyDescent="0.3">
      <c r="A357" t="s">
        <v>147</v>
      </c>
      <c r="B357" t="s">
        <v>32</v>
      </c>
      <c r="C357">
        <v>3499</v>
      </c>
      <c r="D357" t="str">
        <f t="shared" si="5"/>
        <v>Full</v>
      </c>
      <c r="E357">
        <v>23272</v>
      </c>
      <c r="F357">
        <v>270.38</v>
      </c>
      <c r="G357">
        <v>554.49</v>
      </c>
      <c r="H357" s="4" t="s">
        <v>972</v>
      </c>
      <c r="I357" t="s">
        <v>350</v>
      </c>
      <c r="J357" t="s">
        <v>973</v>
      </c>
      <c r="K357" t="s">
        <v>40</v>
      </c>
      <c r="L357">
        <v>153.63</v>
      </c>
    </row>
    <row r="358" spans="1:12" x14ac:dyDescent="0.3">
      <c r="A358" t="s">
        <v>45</v>
      </c>
      <c r="B358" t="s">
        <v>23</v>
      </c>
      <c r="C358">
        <v>4769</v>
      </c>
      <c r="D358" t="str">
        <f t="shared" si="5"/>
        <v>Full</v>
      </c>
      <c r="E358">
        <v>20187</v>
      </c>
      <c r="F358">
        <v>91.75</v>
      </c>
      <c r="G358">
        <v>211.63</v>
      </c>
      <c r="H358" s="4" t="s">
        <v>269</v>
      </c>
      <c r="I358" t="s">
        <v>575</v>
      </c>
      <c r="J358" t="s">
        <v>974</v>
      </c>
      <c r="K358" t="s">
        <v>16</v>
      </c>
      <c r="L358">
        <v>58</v>
      </c>
    </row>
    <row r="359" spans="1:12" x14ac:dyDescent="0.3">
      <c r="A359" t="s">
        <v>176</v>
      </c>
      <c r="B359" t="s">
        <v>12</v>
      </c>
      <c r="C359">
        <v>8236</v>
      </c>
      <c r="D359" t="str">
        <f t="shared" si="5"/>
        <v>Full</v>
      </c>
      <c r="E359">
        <v>7374</v>
      </c>
      <c r="F359">
        <v>152.63999999999999</v>
      </c>
      <c r="G359">
        <v>355.31</v>
      </c>
      <c r="H359" s="4" t="s">
        <v>975</v>
      </c>
      <c r="I359" t="s">
        <v>842</v>
      </c>
      <c r="J359" t="s">
        <v>976</v>
      </c>
      <c r="K359" t="s">
        <v>21</v>
      </c>
      <c r="L359">
        <v>64.36</v>
      </c>
    </row>
    <row r="360" spans="1:12" x14ac:dyDescent="0.3">
      <c r="A360" t="s">
        <v>123</v>
      </c>
      <c r="B360" t="s">
        <v>84</v>
      </c>
      <c r="C360">
        <v>3781</v>
      </c>
      <c r="D360" t="str">
        <f t="shared" si="5"/>
        <v>Full</v>
      </c>
      <c r="E360">
        <v>12228</v>
      </c>
      <c r="F360">
        <v>125.71</v>
      </c>
      <c r="G360">
        <v>243.91</v>
      </c>
      <c r="H360" s="4" t="s">
        <v>760</v>
      </c>
      <c r="I360" t="s">
        <v>977</v>
      </c>
      <c r="J360" t="s">
        <v>978</v>
      </c>
      <c r="K360" t="s">
        <v>98</v>
      </c>
      <c r="L360">
        <v>89.45</v>
      </c>
    </row>
    <row r="361" spans="1:12" x14ac:dyDescent="0.3">
      <c r="A361" t="s">
        <v>49</v>
      </c>
      <c r="B361" t="s">
        <v>23</v>
      </c>
      <c r="C361">
        <v>3397</v>
      </c>
      <c r="D361" t="str">
        <f t="shared" si="5"/>
        <v>Full</v>
      </c>
      <c r="E361">
        <v>11269</v>
      </c>
      <c r="F361">
        <v>192.18</v>
      </c>
      <c r="G361">
        <v>231.79</v>
      </c>
      <c r="H361" s="4" t="s">
        <v>577</v>
      </c>
      <c r="I361" t="s">
        <v>979</v>
      </c>
      <c r="J361" t="s">
        <v>980</v>
      </c>
      <c r="K361" t="s">
        <v>16</v>
      </c>
      <c r="L361">
        <v>135.63999999999999</v>
      </c>
    </row>
    <row r="362" spans="1:12" x14ac:dyDescent="0.3">
      <c r="A362" t="s">
        <v>49</v>
      </c>
      <c r="B362" t="s">
        <v>12</v>
      </c>
      <c r="C362">
        <v>2620</v>
      </c>
      <c r="D362" t="str">
        <f t="shared" si="5"/>
        <v>Medium</v>
      </c>
      <c r="E362">
        <v>21135</v>
      </c>
      <c r="F362">
        <v>132.94</v>
      </c>
      <c r="G362">
        <v>233.74</v>
      </c>
      <c r="H362" s="4" t="s">
        <v>801</v>
      </c>
      <c r="I362" t="s">
        <v>981</v>
      </c>
      <c r="J362" t="s">
        <v>982</v>
      </c>
      <c r="K362" t="s">
        <v>27</v>
      </c>
      <c r="L362">
        <v>55.18</v>
      </c>
    </row>
    <row r="363" spans="1:12" x14ac:dyDescent="0.3">
      <c r="A363" t="s">
        <v>88</v>
      </c>
      <c r="B363" t="s">
        <v>23</v>
      </c>
      <c r="C363">
        <v>730</v>
      </c>
      <c r="D363" t="str">
        <f t="shared" si="5"/>
        <v>Low</v>
      </c>
      <c r="E363">
        <v>11558</v>
      </c>
      <c r="F363">
        <v>228.27</v>
      </c>
      <c r="G363">
        <v>431.51</v>
      </c>
      <c r="H363" s="4" t="s">
        <v>983</v>
      </c>
      <c r="I363" t="s">
        <v>132</v>
      </c>
      <c r="J363" t="s">
        <v>984</v>
      </c>
      <c r="K363" t="s">
        <v>98</v>
      </c>
      <c r="L363">
        <v>111.97</v>
      </c>
    </row>
    <row r="364" spans="1:12" x14ac:dyDescent="0.3">
      <c r="A364" t="s">
        <v>76</v>
      </c>
      <c r="B364" t="s">
        <v>23</v>
      </c>
      <c r="C364">
        <v>2612</v>
      </c>
      <c r="D364" t="str">
        <f t="shared" si="5"/>
        <v>Medium</v>
      </c>
      <c r="E364">
        <v>4365</v>
      </c>
      <c r="F364">
        <v>118.15</v>
      </c>
      <c r="G364">
        <v>232.2</v>
      </c>
      <c r="H364" s="4" t="s">
        <v>892</v>
      </c>
      <c r="I364" t="s">
        <v>249</v>
      </c>
      <c r="J364" t="s">
        <v>985</v>
      </c>
      <c r="K364" t="s">
        <v>40</v>
      </c>
      <c r="L364">
        <v>92.08</v>
      </c>
    </row>
    <row r="365" spans="1:12" x14ac:dyDescent="0.3">
      <c r="A365" t="s">
        <v>143</v>
      </c>
      <c r="B365" t="s">
        <v>32</v>
      </c>
      <c r="C365">
        <v>9087</v>
      </c>
      <c r="D365" t="str">
        <f t="shared" si="5"/>
        <v>Full</v>
      </c>
      <c r="E365">
        <v>12070</v>
      </c>
      <c r="F365">
        <v>132.93</v>
      </c>
      <c r="G365">
        <v>278.2</v>
      </c>
      <c r="H365" s="4" t="s">
        <v>120</v>
      </c>
      <c r="I365" t="s">
        <v>898</v>
      </c>
      <c r="J365" t="s">
        <v>986</v>
      </c>
      <c r="K365" t="s">
        <v>40</v>
      </c>
      <c r="L365">
        <v>93.06</v>
      </c>
    </row>
    <row r="366" spans="1:12" x14ac:dyDescent="0.3">
      <c r="A366" t="s">
        <v>56</v>
      </c>
      <c r="B366" t="s">
        <v>36</v>
      </c>
      <c r="C366">
        <v>813</v>
      </c>
      <c r="D366" t="str">
        <f t="shared" si="5"/>
        <v>Low</v>
      </c>
      <c r="E366">
        <v>8484</v>
      </c>
      <c r="F366">
        <v>71.17</v>
      </c>
      <c r="G366">
        <v>176.53</v>
      </c>
      <c r="H366" s="4" t="s">
        <v>926</v>
      </c>
      <c r="I366" t="s">
        <v>987</v>
      </c>
      <c r="J366" t="s">
        <v>988</v>
      </c>
      <c r="K366" t="s">
        <v>16</v>
      </c>
      <c r="L366">
        <v>33.28</v>
      </c>
    </row>
    <row r="367" spans="1:12" x14ac:dyDescent="0.3">
      <c r="A367" t="s">
        <v>76</v>
      </c>
      <c r="B367" t="s">
        <v>12</v>
      </c>
      <c r="C367">
        <v>6647</v>
      </c>
      <c r="D367" t="str">
        <f t="shared" si="5"/>
        <v>Full</v>
      </c>
      <c r="E367">
        <v>21982</v>
      </c>
      <c r="F367">
        <v>80.459999999999994</v>
      </c>
      <c r="G367">
        <v>152.47999999999999</v>
      </c>
      <c r="H367" s="4" t="s">
        <v>989</v>
      </c>
      <c r="I367" t="s">
        <v>990</v>
      </c>
      <c r="J367" t="s">
        <v>991</v>
      </c>
      <c r="K367" t="s">
        <v>27</v>
      </c>
      <c r="L367">
        <v>53.22</v>
      </c>
    </row>
    <row r="368" spans="1:12" x14ac:dyDescent="0.3">
      <c r="A368" t="s">
        <v>17</v>
      </c>
      <c r="B368" t="s">
        <v>12</v>
      </c>
      <c r="C368">
        <v>2397</v>
      </c>
      <c r="D368" t="str">
        <f t="shared" si="5"/>
        <v>Medium</v>
      </c>
      <c r="E368">
        <v>14656</v>
      </c>
      <c r="F368">
        <v>136.07</v>
      </c>
      <c r="G368">
        <v>185.15</v>
      </c>
      <c r="H368" s="4" t="s">
        <v>992</v>
      </c>
      <c r="I368" t="s">
        <v>993</v>
      </c>
      <c r="J368" t="s">
        <v>994</v>
      </c>
      <c r="K368" t="s">
        <v>98</v>
      </c>
      <c r="L368">
        <v>92.27</v>
      </c>
    </row>
    <row r="369" spans="1:12" x14ac:dyDescent="0.3">
      <c r="A369" t="s">
        <v>17</v>
      </c>
      <c r="B369" t="s">
        <v>23</v>
      </c>
      <c r="C369">
        <v>7395</v>
      </c>
      <c r="D369" t="str">
        <f t="shared" si="5"/>
        <v>Full</v>
      </c>
      <c r="E369">
        <v>22681</v>
      </c>
      <c r="F369">
        <v>34.79</v>
      </c>
      <c r="G369">
        <v>65.28</v>
      </c>
      <c r="H369" s="4" t="s">
        <v>106</v>
      </c>
      <c r="I369" t="s">
        <v>995</v>
      </c>
      <c r="J369" t="s">
        <v>996</v>
      </c>
      <c r="K369" t="s">
        <v>21</v>
      </c>
      <c r="L369">
        <v>25.48</v>
      </c>
    </row>
    <row r="370" spans="1:12" x14ac:dyDescent="0.3">
      <c r="A370" t="s">
        <v>11</v>
      </c>
      <c r="B370" t="s">
        <v>32</v>
      </c>
      <c r="C370">
        <v>2428</v>
      </c>
      <c r="D370" t="str">
        <f t="shared" si="5"/>
        <v>Medium</v>
      </c>
      <c r="E370">
        <v>10263</v>
      </c>
      <c r="F370">
        <v>38.630000000000003</v>
      </c>
      <c r="G370">
        <v>51.69</v>
      </c>
      <c r="H370" s="4" t="s">
        <v>18</v>
      </c>
      <c r="I370" t="s">
        <v>64</v>
      </c>
      <c r="J370" t="s">
        <v>997</v>
      </c>
      <c r="K370" t="s">
        <v>40</v>
      </c>
      <c r="L370">
        <v>28.3</v>
      </c>
    </row>
    <row r="371" spans="1:12" x14ac:dyDescent="0.3">
      <c r="A371" t="s">
        <v>88</v>
      </c>
      <c r="B371" t="s">
        <v>23</v>
      </c>
      <c r="C371">
        <v>7213</v>
      </c>
      <c r="D371" t="str">
        <f t="shared" si="5"/>
        <v>Full</v>
      </c>
      <c r="E371">
        <v>10678</v>
      </c>
      <c r="F371">
        <v>52.31</v>
      </c>
      <c r="G371">
        <v>100.05</v>
      </c>
      <c r="H371" s="4" t="s">
        <v>851</v>
      </c>
      <c r="I371" t="s">
        <v>998</v>
      </c>
      <c r="J371" t="s">
        <v>999</v>
      </c>
      <c r="K371" t="s">
        <v>40</v>
      </c>
      <c r="L371">
        <v>25.83</v>
      </c>
    </row>
    <row r="372" spans="1:12" x14ac:dyDescent="0.3">
      <c r="A372" t="s">
        <v>17</v>
      </c>
      <c r="B372" t="s">
        <v>12</v>
      </c>
      <c r="C372">
        <v>2309</v>
      </c>
      <c r="D372" t="str">
        <f t="shared" si="5"/>
        <v>Medium</v>
      </c>
      <c r="E372">
        <v>19813</v>
      </c>
      <c r="F372">
        <v>202.36</v>
      </c>
      <c r="G372">
        <v>282.07</v>
      </c>
      <c r="H372" s="4" t="s">
        <v>426</v>
      </c>
      <c r="I372" t="s">
        <v>618</v>
      </c>
      <c r="J372" t="s">
        <v>1000</v>
      </c>
      <c r="K372" t="s">
        <v>27</v>
      </c>
      <c r="L372">
        <v>154.18</v>
      </c>
    </row>
    <row r="373" spans="1:12" x14ac:dyDescent="0.3">
      <c r="A373" t="s">
        <v>80</v>
      </c>
      <c r="B373" t="s">
        <v>36</v>
      </c>
      <c r="C373">
        <v>5350</v>
      </c>
      <c r="D373" t="str">
        <f t="shared" si="5"/>
        <v>Full</v>
      </c>
      <c r="E373">
        <v>9654</v>
      </c>
      <c r="F373">
        <v>141.96</v>
      </c>
      <c r="G373">
        <v>188.77</v>
      </c>
      <c r="H373" s="4" t="s">
        <v>855</v>
      </c>
      <c r="I373" t="s">
        <v>1001</v>
      </c>
      <c r="J373" t="s">
        <v>1002</v>
      </c>
      <c r="K373" t="s">
        <v>40</v>
      </c>
      <c r="L373">
        <v>102.3</v>
      </c>
    </row>
    <row r="374" spans="1:12" x14ac:dyDescent="0.3">
      <c r="A374" t="s">
        <v>45</v>
      </c>
      <c r="B374" t="s">
        <v>36</v>
      </c>
      <c r="C374">
        <v>2398</v>
      </c>
      <c r="D374" t="str">
        <f t="shared" si="5"/>
        <v>Medium</v>
      </c>
      <c r="E374">
        <v>4112</v>
      </c>
      <c r="F374">
        <v>256.12</v>
      </c>
      <c r="G374">
        <v>603.77</v>
      </c>
      <c r="H374" s="4" t="s">
        <v>317</v>
      </c>
      <c r="I374" t="s">
        <v>820</v>
      </c>
      <c r="J374" t="s">
        <v>1003</v>
      </c>
      <c r="K374" t="s">
        <v>98</v>
      </c>
      <c r="L374">
        <v>136.12</v>
      </c>
    </row>
    <row r="375" spans="1:12" x14ac:dyDescent="0.3">
      <c r="A375" t="s">
        <v>143</v>
      </c>
      <c r="B375" t="s">
        <v>32</v>
      </c>
      <c r="C375">
        <v>4895</v>
      </c>
      <c r="D375" t="str">
        <f t="shared" si="5"/>
        <v>Full</v>
      </c>
      <c r="E375">
        <v>4045</v>
      </c>
      <c r="F375">
        <v>114.92</v>
      </c>
      <c r="G375">
        <v>189.11</v>
      </c>
      <c r="H375" s="4" t="s">
        <v>1004</v>
      </c>
      <c r="I375" t="s">
        <v>1005</v>
      </c>
      <c r="J375" t="s">
        <v>1006</v>
      </c>
      <c r="K375" t="s">
        <v>21</v>
      </c>
      <c r="L375">
        <v>58.46</v>
      </c>
    </row>
    <row r="376" spans="1:12" x14ac:dyDescent="0.3">
      <c r="A376" t="s">
        <v>299</v>
      </c>
      <c r="B376" t="s">
        <v>36</v>
      </c>
      <c r="C376">
        <v>7409</v>
      </c>
      <c r="D376" t="str">
        <f t="shared" si="5"/>
        <v>Full</v>
      </c>
      <c r="E376">
        <v>22261</v>
      </c>
      <c r="F376">
        <v>266.41000000000003</v>
      </c>
      <c r="G376">
        <v>377.45</v>
      </c>
      <c r="H376" s="4" t="s">
        <v>785</v>
      </c>
      <c r="I376" t="s">
        <v>1007</v>
      </c>
      <c r="J376" t="s">
        <v>1008</v>
      </c>
      <c r="K376" t="s">
        <v>98</v>
      </c>
      <c r="L376">
        <v>117.62</v>
      </c>
    </row>
    <row r="377" spans="1:12" x14ac:dyDescent="0.3">
      <c r="A377" t="s">
        <v>22</v>
      </c>
      <c r="B377" t="s">
        <v>36</v>
      </c>
      <c r="C377">
        <v>9821</v>
      </c>
      <c r="D377" t="str">
        <f t="shared" si="5"/>
        <v>Full</v>
      </c>
      <c r="E377">
        <v>23229</v>
      </c>
      <c r="F377">
        <v>134.26</v>
      </c>
      <c r="G377">
        <v>267.81</v>
      </c>
      <c r="H377" s="4" t="s">
        <v>877</v>
      </c>
      <c r="I377" t="s">
        <v>1009</v>
      </c>
      <c r="J377" t="s">
        <v>1010</v>
      </c>
      <c r="K377" t="s">
        <v>98</v>
      </c>
      <c r="L377">
        <v>79.650000000000006</v>
      </c>
    </row>
    <row r="378" spans="1:12" x14ac:dyDescent="0.3">
      <c r="A378" t="s">
        <v>49</v>
      </c>
      <c r="B378" t="s">
        <v>12</v>
      </c>
      <c r="C378">
        <v>7238</v>
      </c>
      <c r="D378" t="str">
        <f t="shared" si="5"/>
        <v>Full</v>
      </c>
      <c r="E378">
        <v>15440</v>
      </c>
      <c r="F378">
        <v>18.559999999999999</v>
      </c>
      <c r="G378">
        <v>28.58</v>
      </c>
      <c r="H378" s="4" t="s">
        <v>150</v>
      </c>
      <c r="I378" t="s">
        <v>509</v>
      </c>
      <c r="J378" t="s">
        <v>1011</v>
      </c>
      <c r="K378" t="s">
        <v>16</v>
      </c>
      <c r="L378">
        <v>13.12</v>
      </c>
    </row>
    <row r="379" spans="1:12" x14ac:dyDescent="0.3">
      <c r="A379" t="s">
        <v>22</v>
      </c>
      <c r="B379" t="s">
        <v>32</v>
      </c>
      <c r="C379">
        <v>4169</v>
      </c>
      <c r="D379" t="str">
        <f t="shared" si="5"/>
        <v>Full</v>
      </c>
      <c r="E379">
        <v>22949</v>
      </c>
      <c r="F379">
        <v>262.58</v>
      </c>
      <c r="G379">
        <v>492.29</v>
      </c>
      <c r="H379" s="4" t="s">
        <v>1012</v>
      </c>
      <c r="I379" t="s">
        <v>1013</v>
      </c>
      <c r="J379" t="s">
        <v>1014</v>
      </c>
      <c r="K379" t="s">
        <v>98</v>
      </c>
      <c r="L379">
        <v>155.65</v>
      </c>
    </row>
    <row r="380" spans="1:12" x14ac:dyDescent="0.3">
      <c r="A380" t="s">
        <v>299</v>
      </c>
      <c r="B380" t="s">
        <v>84</v>
      </c>
      <c r="C380">
        <v>9647</v>
      </c>
      <c r="D380" t="str">
        <f t="shared" si="5"/>
        <v>Full</v>
      </c>
      <c r="E380">
        <v>21083</v>
      </c>
      <c r="F380">
        <v>21.1</v>
      </c>
      <c r="G380">
        <v>42.97</v>
      </c>
      <c r="H380" s="4" t="s">
        <v>252</v>
      </c>
      <c r="I380" t="s">
        <v>1015</v>
      </c>
      <c r="J380" t="s">
        <v>1016</v>
      </c>
      <c r="K380" t="s">
        <v>21</v>
      </c>
      <c r="L380">
        <v>15.78</v>
      </c>
    </row>
    <row r="381" spans="1:12" x14ac:dyDescent="0.3">
      <c r="A381" t="s">
        <v>41</v>
      </c>
      <c r="B381" t="s">
        <v>36</v>
      </c>
      <c r="C381">
        <v>5753</v>
      </c>
      <c r="D381" t="str">
        <f t="shared" si="5"/>
        <v>Full</v>
      </c>
      <c r="E381">
        <v>8893</v>
      </c>
      <c r="F381">
        <v>102.61</v>
      </c>
      <c r="G381">
        <v>160.24</v>
      </c>
      <c r="H381" s="4" t="s">
        <v>477</v>
      </c>
      <c r="I381" t="s">
        <v>1017</v>
      </c>
      <c r="J381" t="s">
        <v>1018</v>
      </c>
      <c r="K381" t="s">
        <v>21</v>
      </c>
      <c r="L381">
        <v>57.6</v>
      </c>
    </row>
    <row r="382" spans="1:12" x14ac:dyDescent="0.3">
      <c r="A382" t="s">
        <v>80</v>
      </c>
      <c r="B382" t="s">
        <v>12</v>
      </c>
      <c r="C382">
        <v>8021</v>
      </c>
      <c r="D382" t="str">
        <f t="shared" si="5"/>
        <v>Full</v>
      </c>
      <c r="E382">
        <v>15555</v>
      </c>
      <c r="F382">
        <v>241.37</v>
      </c>
      <c r="G382">
        <v>430.25</v>
      </c>
      <c r="H382" s="4" t="s">
        <v>543</v>
      </c>
      <c r="I382" t="s">
        <v>1019</v>
      </c>
      <c r="J382" t="s">
        <v>1020</v>
      </c>
      <c r="K382" t="s">
        <v>27</v>
      </c>
      <c r="L382">
        <v>191.23</v>
      </c>
    </row>
    <row r="383" spans="1:12" x14ac:dyDescent="0.3">
      <c r="A383" t="s">
        <v>17</v>
      </c>
      <c r="B383" t="s">
        <v>12</v>
      </c>
      <c r="C383">
        <v>7109</v>
      </c>
      <c r="D383" t="str">
        <f t="shared" si="5"/>
        <v>Full</v>
      </c>
      <c r="E383">
        <v>14511</v>
      </c>
      <c r="F383">
        <v>15.57</v>
      </c>
      <c r="G383">
        <v>29.8</v>
      </c>
      <c r="H383" s="4" t="s">
        <v>392</v>
      </c>
      <c r="I383" t="s">
        <v>1021</v>
      </c>
      <c r="J383" t="s">
        <v>1022</v>
      </c>
      <c r="K383" t="s">
        <v>40</v>
      </c>
      <c r="L383">
        <v>11.77</v>
      </c>
    </row>
    <row r="384" spans="1:12" x14ac:dyDescent="0.3">
      <c r="A384" t="s">
        <v>66</v>
      </c>
      <c r="B384" t="s">
        <v>84</v>
      </c>
      <c r="C384">
        <v>7974</v>
      </c>
      <c r="D384" t="str">
        <f t="shared" si="5"/>
        <v>Full</v>
      </c>
      <c r="E384">
        <v>12169</v>
      </c>
      <c r="F384">
        <v>112.19</v>
      </c>
      <c r="G384">
        <v>142.54</v>
      </c>
      <c r="H384" s="4" t="s">
        <v>1023</v>
      </c>
      <c r="I384" t="s">
        <v>1024</v>
      </c>
      <c r="J384" t="s">
        <v>1025</v>
      </c>
      <c r="K384" t="s">
        <v>16</v>
      </c>
      <c r="L384">
        <v>79.31</v>
      </c>
    </row>
    <row r="385" spans="1:12" x14ac:dyDescent="0.3">
      <c r="A385" t="s">
        <v>176</v>
      </c>
      <c r="B385" t="s">
        <v>36</v>
      </c>
      <c r="C385">
        <v>6452</v>
      </c>
      <c r="D385" t="str">
        <f t="shared" si="5"/>
        <v>Full</v>
      </c>
      <c r="E385">
        <v>24459</v>
      </c>
      <c r="F385">
        <v>138.5</v>
      </c>
      <c r="G385">
        <v>183.74</v>
      </c>
      <c r="H385" s="4" t="s">
        <v>1026</v>
      </c>
      <c r="I385" t="s">
        <v>1027</v>
      </c>
      <c r="J385" t="s">
        <v>1028</v>
      </c>
      <c r="K385" t="s">
        <v>40</v>
      </c>
      <c r="L385">
        <v>75.069999999999993</v>
      </c>
    </row>
    <row r="386" spans="1:12" x14ac:dyDescent="0.3">
      <c r="A386" t="s">
        <v>31</v>
      </c>
      <c r="B386" t="s">
        <v>32</v>
      </c>
      <c r="C386">
        <v>9052</v>
      </c>
      <c r="D386" t="str">
        <f t="shared" si="5"/>
        <v>Full</v>
      </c>
      <c r="E386">
        <v>13251</v>
      </c>
      <c r="F386">
        <v>212.12</v>
      </c>
      <c r="G386">
        <v>267.17</v>
      </c>
      <c r="H386" s="4" t="s">
        <v>1029</v>
      </c>
      <c r="I386" t="s">
        <v>1030</v>
      </c>
      <c r="J386" t="s">
        <v>1031</v>
      </c>
      <c r="K386" t="s">
        <v>21</v>
      </c>
      <c r="L386">
        <v>93.92</v>
      </c>
    </row>
    <row r="387" spans="1:12" x14ac:dyDescent="0.3">
      <c r="A387" t="s">
        <v>176</v>
      </c>
      <c r="B387" t="s">
        <v>84</v>
      </c>
      <c r="C387">
        <v>3572</v>
      </c>
      <c r="D387" t="str">
        <f t="shared" ref="D387:D450" si="6">IF(C387&lt;1000,"Low",IF(C387&lt;=3000,"Medium","Full"))</f>
        <v>Full</v>
      </c>
      <c r="E387">
        <v>4956</v>
      </c>
      <c r="F387">
        <v>279.41000000000003</v>
      </c>
      <c r="G387">
        <v>478</v>
      </c>
      <c r="H387" s="4" t="s">
        <v>760</v>
      </c>
      <c r="I387" t="s">
        <v>1032</v>
      </c>
      <c r="J387" t="s">
        <v>1033</v>
      </c>
      <c r="K387" t="s">
        <v>27</v>
      </c>
      <c r="L387">
        <v>196.39</v>
      </c>
    </row>
    <row r="388" spans="1:12" x14ac:dyDescent="0.3">
      <c r="A388" t="s">
        <v>127</v>
      </c>
      <c r="B388" t="s">
        <v>32</v>
      </c>
      <c r="C388">
        <v>2518</v>
      </c>
      <c r="D388" t="str">
        <f t="shared" si="6"/>
        <v>Medium</v>
      </c>
      <c r="E388">
        <v>15762</v>
      </c>
      <c r="F388">
        <v>139.93</v>
      </c>
      <c r="G388">
        <v>275.12</v>
      </c>
      <c r="H388" s="4" t="s">
        <v>1034</v>
      </c>
      <c r="I388" t="s">
        <v>833</v>
      </c>
      <c r="J388" t="s">
        <v>1035</v>
      </c>
      <c r="K388" t="s">
        <v>27</v>
      </c>
      <c r="L388">
        <v>85.66</v>
      </c>
    </row>
    <row r="389" spans="1:12" x14ac:dyDescent="0.3">
      <c r="A389" t="s">
        <v>127</v>
      </c>
      <c r="B389" t="s">
        <v>32</v>
      </c>
      <c r="C389">
        <v>7591</v>
      </c>
      <c r="D389" t="str">
        <f t="shared" si="6"/>
        <v>Full</v>
      </c>
      <c r="E389">
        <v>20173</v>
      </c>
      <c r="F389">
        <v>147.46</v>
      </c>
      <c r="G389">
        <v>274.39999999999998</v>
      </c>
      <c r="H389" s="4" t="s">
        <v>1036</v>
      </c>
      <c r="I389" t="s">
        <v>1037</v>
      </c>
      <c r="J389" t="s">
        <v>1038</v>
      </c>
      <c r="K389" t="s">
        <v>98</v>
      </c>
      <c r="L389">
        <v>102.07</v>
      </c>
    </row>
    <row r="390" spans="1:12" x14ac:dyDescent="0.3">
      <c r="A390" t="s">
        <v>123</v>
      </c>
      <c r="B390" t="s">
        <v>12</v>
      </c>
      <c r="C390">
        <v>6847</v>
      </c>
      <c r="D390" t="str">
        <f t="shared" si="6"/>
        <v>Full</v>
      </c>
      <c r="E390">
        <v>22545</v>
      </c>
      <c r="F390">
        <v>182.16</v>
      </c>
      <c r="G390">
        <v>427.62</v>
      </c>
      <c r="H390" s="4" t="s">
        <v>1034</v>
      </c>
      <c r="I390" t="s">
        <v>340</v>
      </c>
      <c r="J390" t="s">
        <v>1039</v>
      </c>
      <c r="K390" t="s">
        <v>16</v>
      </c>
      <c r="L390">
        <v>139.6</v>
      </c>
    </row>
    <row r="391" spans="1:12" x14ac:dyDescent="0.3">
      <c r="A391" t="s">
        <v>80</v>
      </c>
      <c r="B391" t="s">
        <v>23</v>
      </c>
      <c r="C391">
        <v>7018</v>
      </c>
      <c r="D391" t="str">
        <f t="shared" si="6"/>
        <v>Full</v>
      </c>
      <c r="E391">
        <v>12234</v>
      </c>
      <c r="F391">
        <v>291.3</v>
      </c>
      <c r="G391">
        <v>521.04999999999995</v>
      </c>
      <c r="H391" s="4" t="s">
        <v>627</v>
      </c>
      <c r="I391" t="s">
        <v>1040</v>
      </c>
      <c r="J391" t="s">
        <v>1041</v>
      </c>
      <c r="K391" t="s">
        <v>16</v>
      </c>
      <c r="L391">
        <v>198.09</v>
      </c>
    </row>
    <row r="392" spans="1:12" x14ac:dyDescent="0.3">
      <c r="A392" t="s">
        <v>119</v>
      </c>
      <c r="B392" t="s">
        <v>23</v>
      </c>
      <c r="C392">
        <v>9475</v>
      </c>
      <c r="D392" t="str">
        <f t="shared" si="6"/>
        <v>Full</v>
      </c>
      <c r="E392">
        <v>11286</v>
      </c>
      <c r="F392">
        <v>215</v>
      </c>
      <c r="G392">
        <v>519.48</v>
      </c>
      <c r="H392" s="4" t="s">
        <v>1042</v>
      </c>
      <c r="I392" t="s">
        <v>1043</v>
      </c>
      <c r="J392" t="s">
        <v>1044</v>
      </c>
      <c r="K392" t="s">
        <v>98</v>
      </c>
      <c r="L392">
        <v>139.68</v>
      </c>
    </row>
    <row r="393" spans="1:12" x14ac:dyDescent="0.3">
      <c r="A393" t="s">
        <v>31</v>
      </c>
      <c r="B393" t="s">
        <v>23</v>
      </c>
      <c r="C393">
        <v>2673</v>
      </c>
      <c r="D393" t="str">
        <f t="shared" si="6"/>
        <v>Medium</v>
      </c>
      <c r="E393">
        <v>24278</v>
      </c>
      <c r="F393">
        <v>196.78</v>
      </c>
      <c r="G393">
        <v>481.29</v>
      </c>
      <c r="H393" s="4" t="s">
        <v>820</v>
      </c>
      <c r="I393" t="s">
        <v>1045</v>
      </c>
      <c r="J393" t="s">
        <v>1046</v>
      </c>
      <c r="K393" t="s">
        <v>40</v>
      </c>
      <c r="L393">
        <v>134.63</v>
      </c>
    </row>
    <row r="394" spans="1:12" x14ac:dyDescent="0.3">
      <c r="A394" t="s">
        <v>76</v>
      </c>
      <c r="B394" t="s">
        <v>32</v>
      </c>
      <c r="C394">
        <v>8370</v>
      </c>
      <c r="D394" t="str">
        <f t="shared" si="6"/>
        <v>Full</v>
      </c>
      <c r="E394">
        <v>20097</v>
      </c>
      <c r="F394">
        <v>173.34</v>
      </c>
      <c r="G394">
        <v>358.35</v>
      </c>
      <c r="H394" s="4" t="s">
        <v>1047</v>
      </c>
      <c r="I394" t="s">
        <v>608</v>
      </c>
      <c r="J394" t="s">
        <v>1048</v>
      </c>
      <c r="K394" t="s">
        <v>40</v>
      </c>
      <c r="L394">
        <v>130.18</v>
      </c>
    </row>
    <row r="395" spans="1:12" x14ac:dyDescent="0.3">
      <c r="A395" t="s">
        <v>200</v>
      </c>
      <c r="B395" t="s">
        <v>12</v>
      </c>
      <c r="C395">
        <v>9064</v>
      </c>
      <c r="D395" t="str">
        <f t="shared" si="6"/>
        <v>Full</v>
      </c>
      <c r="E395">
        <v>4488</v>
      </c>
      <c r="F395">
        <v>12.46</v>
      </c>
      <c r="G395">
        <v>17.309999999999999</v>
      </c>
      <c r="H395" s="4" t="s">
        <v>745</v>
      </c>
      <c r="I395" t="s">
        <v>993</v>
      </c>
      <c r="J395" t="s">
        <v>1049</v>
      </c>
      <c r="K395" t="s">
        <v>40</v>
      </c>
      <c r="L395">
        <v>8.7200000000000006</v>
      </c>
    </row>
    <row r="396" spans="1:12" x14ac:dyDescent="0.3">
      <c r="A396" t="s">
        <v>56</v>
      </c>
      <c r="B396" t="s">
        <v>23</v>
      </c>
      <c r="C396">
        <v>4605</v>
      </c>
      <c r="D396" t="str">
        <f t="shared" si="6"/>
        <v>Full</v>
      </c>
      <c r="E396">
        <v>5798</v>
      </c>
      <c r="F396">
        <v>252.62</v>
      </c>
      <c r="G396">
        <v>529.94000000000005</v>
      </c>
      <c r="H396" s="4" t="s">
        <v>322</v>
      </c>
      <c r="I396" t="s">
        <v>1050</v>
      </c>
      <c r="J396" t="s">
        <v>1051</v>
      </c>
      <c r="K396" t="s">
        <v>27</v>
      </c>
      <c r="L396">
        <v>137.29</v>
      </c>
    </row>
    <row r="397" spans="1:12" x14ac:dyDescent="0.3">
      <c r="A397" t="s">
        <v>143</v>
      </c>
      <c r="B397" t="s">
        <v>12</v>
      </c>
      <c r="C397">
        <v>9705</v>
      </c>
      <c r="D397" t="str">
        <f t="shared" si="6"/>
        <v>Full</v>
      </c>
      <c r="E397">
        <v>8350</v>
      </c>
      <c r="F397">
        <v>224.01</v>
      </c>
      <c r="G397">
        <v>432.26</v>
      </c>
      <c r="H397" s="4" t="s">
        <v>358</v>
      </c>
      <c r="I397" t="s">
        <v>1052</v>
      </c>
      <c r="J397" t="s">
        <v>1053</v>
      </c>
      <c r="K397" t="s">
        <v>27</v>
      </c>
      <c r="L397">
        <v>172.62</v>
      </c>
    </row>
    <row r="398" spans="1:12" x14ac:dyDescent="0.3">
      <c r="A398" t="s">
        <v>299</v>
      </c>
      <c r="B398" t="s">
        <v>36</v>
      </c>
      <c r="C398">
        <v>5622</v>
      </c>
      <c r="D398" t="str">
        <f t="shared" si="6"/>
        <v>Full</v>
      </c>
      <c r="E398">
        <v>19092</v>
      </c>
      <c r="F398">
        <v>20.87</v>
      </c>
      <c r="G398">
        <v>45.22</v>
      </c>
      <c r="H398" s="4" t="s">
        <v>615</v>
      </c>
      <c r="I398" t="s">
        <v>338</v>
      </c>
      <c r="J398" t="s">
        <v>1054</v>
      </c>
      <c r="K398" t="s">
        <v>98</v>
      </c>
      <c r="L398">
        <v>15.96</v>
      </c>
    </row>
    <row r="399" spans="1:12" x14ac:dyDescent="0.3">
      <c r="A399" t="s">
        <v>76</v>
      </c>
      <c r="B399" t="s">
        <v>32</v>
      </c>
      <c r="C399">
        <v>9455</v>
      </c>
      <c r="D399" t="str">
        <f t="shared" si="6"/>
        <v>Full</v>
      </c>
      <c r="E399">
        <v>20771</v>
      </c>
      <c r="F399">
        <v>62.96</v>
      </c>
      <c r="G399">
        <v>134.88</v>
      </c>
      <c r="H399" s="4" t="s">
        <v>1055</v>
      </c>
      <c r="I399" t="s">
        <v>1056</v>
      </c>
      <c r="J399" t="s">
        <v>1057</v>
      </c>
      <c r="K399" t="s">
        <v>98</v>
      </c>
      <c r="L399">
        <v>49.95</v>
      </c>
    </row>
    <row r="400" spans="1:12" x14ac:dyDescent="0.3">
      <c r="A400" t="s">
        <v>41</v>
      </c>
      <c r="B400" t="s">
        <v>84</v>
      </c>
      <c r="C400">
        <v>3347</v>
      </c>
      <c r="D400" t="str">
        <f t="shared" si="6"/>
        <v>Full</v>
      </c>
      <c r="E400">
        <v>17837</v>
      </c>
      <c r="F400">
        <v>40.21</v>
      </c>
      <c r="G400">
        <v>50.38</v>
      </c>
      <c r="H400" s="4" t="s">
        <v>1058</v>
      </c>
      <c r="I400" t="s">
        <v>1059</v>
      </c>
      <c r="J400" t="s">
        <v>1060</v>
      </c>
      <c r="K400" t="s">
        <v>98</v>
      </c>
      <c r="L400">
        <v>18.670000000000002</v>
      </c>
    </row>
    <row r="401" spans="1:12" x14ac:dyDescent="0.3">
      <c r="A401" t="s">
        <v>147</v>
      </c>
      <c r="B401" t="s">
        <v>12</v>
      </c>
      <c r="C401">
        <v>5915</v>
      </c>
      <c r="D401" t="str">
        <f t="shared" si="6"/>
        <v>Full</v>
      </c>
      <c r="E401">
        <v>16280</v>
      </c>
      <c r="F401">
        <v>214.36</v>
      </c>
      <c r="G401">
        <v>300.37</v>
      </c>
      <c r="H401" s="4" t="s">
        <v>723</v>
      </c>
      <c r="I401" t="s">
        <v>898</v>
      </c>
      <c r="J401" t="s">
        <v>1061</v>
      </c>
      <c r="K401" t="s">
        <v>27</v>
      </c>
      <c r="L401">
        <v>152.08000000000001</v>
      </c>
    </row>
    <row r="402" spans="1:12" x14ac:dyDescent="0.3">
      <c r="A402" t="s">
        <v>176</v>
      </c>
      <c r="B402" t="s">
        <v>23</v>
      </c>
      <c r="C402">
        <v>8537</v>
      </c>
      <c r="D402" t="str">
        <f t="shared" si="6"/>
        <v>Full</v>
      </c>
      <c r="E402">
        <v>19765</v>
      </c>
      <c r="F402">
        <v>167.3</v>
      </c>
      <c r="G402">
        <v>216.61</v>
      </c>
      <c r="H402" s="4" t="s">
        <v>1062</v>
      </c>
      <c r="I402" t="s">
        <v>818</v>
      </c>
      <c r="J402" t="s">
        <v>1063</v>
      </c>
      <c r="K402" t="s">
        <v>98</v>
      </c>
      <c r="L402">
        <v>101.76</v>
      </c>
    </row>
    <row r="403" spans="1:12" x14ac:dyDescent="0.3">
      <c r="A403" t="s">
        <v>119</v>
      </c>
      <c r="B403" t="s">
        <v>84</v>
      </c>
      <c r="C403">
        <v>7314</v>
      </c>
      <c r="D403" t="str">
        <f t="shared" si="6"/>
        <v>Full</v>
      </c>
      <c r="E403">
        <v>18795</v>
      </c>
      <c r="F403">
        <v>163.43</v>
      </c>
      <c r="G403">
        <v>215.65</v>
      </c>
      <c r="H403" s="4" t="s">
        <v>1064</v>
      </c>
      <c r="I403" t="s">
        <v>1065</v>
      </c>
      <c r="J403" t="s">
        <v>1066</v>
      </c>
      <c r="K403" t="s">
        <v>40</v>
      </c>
      <c r="L403">
        <v>87.01</v>
      </c>
    </row>
    <row r="404" spans="1:12" x14ac:dyDescent="0.3">
      <c r="A404" t="s">
        <v>31</v>
      </c>
      <c r="B404" t="s">
        <v>84</v>
      </c>
      <c r="C404">
        <v>9191</v>
      </c>
      <c r="D404" t="str">
        <f t="shared" si="6"/>
        <v>Full</v>
      </c>
      <c r="E404">
        <v>16560</v>
      </c>
      <c r="F404">
        <v>299.01</v>
      </c>
      <c r="G404">
        <v>678.99</v>
      </c>
      <c r="H404" s="4" t="s">
        <v>788</v>
      </c>
      <c r="I404" t="s">
        <v>71</v>
      </c>
      <c r="J404" t="s">
        <v>1067</v>
      </c>
      <c r="K404" t="s">
        <v>40</v>
      </c>
      <c r="L404">
        <v>172.91</v>
      </c>
    </row>
    <row r="405" spans="1:12" x14ac:dyDescent="0.3">
      <c r="A405" t="s">
        <v>176</v>
      </c>
      <c r="B405" t="s">
        <v>32</v>
      </c>
      <c r="C405">
        <v>4494</v>
      </c>
      <c r="D405" t="str">
        <f t="shared" si="6"/>
        <v>Full</v>
      </c>
      <c r="E405">
        <v>2306</v>
      </c>
      <c r="F405">
        <v>206.35</v>
      </c>
      <c r="G405">
        <v>333.71</v>
      </c>
      <c r="H405" s="4" t="s">
        <v>1004</v>
      </c>
      <c r="I405" t="s">
        <v>1068</v>
      </c>
      <c r="J405" t="s">
        <v>1069</v>
      </c>
      <c r="K405" t="s">
        <v>16</v>
      </c>
      <c r="L405">
        <v>142.30000000000001</v>
      </c>
    </row>
    <row r="406" spans="1:12" x14ac:dyDescent="0.3">
      <c r="A406" t="s">
        <v>17</v>
      </c>
      <c r="B406" t="s">
        <v>32</v>
      </c>
      <c r="C406">
        <v>6643</v>
      </c>
      <c r="D406" t="str">
        <f t="shared" si="6"/>
        <v>Full</v>
      </c>
      <c r="E406">
        <v>17852</v>
      </c>
      <c r="F406">
        <v>241.83</v>
      </c>
      <c r="G406">
        <v>430.27</v>
      </c>
      <c r="H406" s="4" t="s">
        <v>1070</v>
      </c>
      <c r="I406" t="s">
        <v>1071</v>
      </c>
      <c r="J406" t="s">
        <v>1072</v>
      </c>
      <c r="K406" t="s">
        <v>98</v>
      </c>
      <c r="L406">
        <v>127.72</v>
      </c>
    </row>
    <row r="407" spans="1:12" x14ac:dyDescent="0.3">
      <c r="A407" t="s">
        <v>41</v>
      </c>
      <c r="B407" t="s">
        <v>12</v>
      </c>
      <c r="C407">
        <v>3242</v>
      </c>
      <c r="D407" t="str">
        <f t="shared" si="6"/>
        <v>Full</v>
      </c>
      <c r="E407">
        <v>18628</v>
      </c>
      <c r="F407">
        <v>162.30000000000001</v>
      </c>
      <c r="G407">
        <v>327.04000000000002</v>
      </c>
      <c r="H407" s="4" t="s">
        <v>1073</v>
      </c>
      <c r="I407" t="s">
        <v>1027</v>
      </c>
      <c r="J407" t="s">
        <v>1074</v>
      </c>
      <c r="K407" t="s">
        <v>98</v>
      </c>
      <c r="L407">
        <v>121.07</v>
      </c>
    </row>
    <row r="408" spans="1:12" x14ac:dyDescent="0.3">
      <c r="A408" t="s">
        <v>200</v>
      </c>
      <c r="B408" t="s">
        <v>12</v>
      </c>
      <c r="C408">
        <v>3868</v>
      </c>
      <c r="D408" t="str">
        <f t="shared" si="6"/>
        <v>Full</v>
      </c>
      <c r="E408">
        <v>18621</v>
      </c>
      <c r="F408">
        <v>249.48</v>
      </c>
      <c r="G408">
        <v>584.34</v>
      </c>
      <c r="H408" s="4" t="s">
        <v>1075</v>
      </c>
      <c r="I408" t="s">
        <v>936</v>
      </c>
      <c r="J408" t="s">
        <v>1076</v>
      </c>
      <c r="K408" t="s">
        <v>98</v>
      </c>
      <c r="L408">
        <v>102.16</v>
      </c>
    </row>
    <row r="409" spans="1:12" x14ac:dyDescent="0.3">
      <c r="A409" t="s">
        <v>45</v>
      </c>
      <c r="B409" t="s">
        <v>12</v>
      </c>
      <c r="C409">
        <v>1933</v>
      </c>
      <c r="D409" t="str">
        <f t="shared" si="6"/>
        <v>Medium</v>
      </c>
      <c r="E409">
        <v>3400</v>
      </c>
      <c r="F409">
        <v>21.01</v>
      </c>
      <c r="G409">
        <v>46.9</v>
      </c>
      <c r="H409" s="4" t="s">
        <v>969</v>
      </c>
      <c r="I409" t="s">
        <v>1077</v>
      </c>
      <c r="J409" t="s">
        <v>1078</v>
      </c>
      <c r="K409" t="s">
        <v>98</v>
      </c>
      <c r="L409">
        <v>16.059999999999999</v>
      </c>
    </row>
    <row r="410" spans="1:12" x14ac:dyDescent="0.3">
      <c r="A410" t="s">
        <v>200</v>
      </c>
      <c r="B410" t="s">
        <v>36</v>
      </c>
      <c r="C410">
        <v>7891</v>
      </c>
      <c r="D410" t="str">
        <f t="shared" si="6"/>
        <v>Full</v>
      </c>
      <c r="E410">
        <v>21650</v>
      </c>
      <c r="F410">
        <v>124.31</v>
      </c>
      <c r="G410">
        <v>200.3</v>
      </c>
      <c r="H410" s="4" t="s">
        <v>691</v>
      </c>
      <c r="I410" t="s">
        <v>1079</v>
      </c>
      <c r="J410" t="s">
        <v>1080</v>
      </c>
      <c r="K410" t="s">
        <v>16</v>
      </c>
      <c r="L410">
        <v>50.02</v>
      </c>
    </row>
    <row r="411" spans="1:12" x14ac:dyDescent="0.3">
      <c r="A411" t="s">
        <v>176</v>
      </c>
      <c r="B411" t="s">
        <v>12</v>
      </c>
      <c r="C411">
        <v>1245</v>
      </c>
      <c r="D411" t="str">
        <f t="shared" si="6"/>
        <v>Medium</v>
      </c>
      <c r="E411">
        <v>23966</v>
      </c>
      <c r="F411">
        <v>255.23</v>
      </c>
      <c r="G411">
        <v>424.96</v>
      </c>
      <c r="H411" s="4" t="s">
        <v>1081</v>
      </c>
      <c r="I411" t="s">
        <v>1082</v>
      </c>
      <c r="J411" t="s">
        <v>1083</v>
      </c>
      <c r="K411" t="s">
        <v>40</v>
      </c>
      <c r="L411">
        <v>164.02</v>
      </c>
    </row>
    <row r="412" spans="1:12" x14ac:dyDescent="0.3">
      <c r="A412" t="s">
        <v>31</v>
      </c>
      <c r="B412" t="s">
        <v>36</v>
      </c>
      <c r="C412">
        <v>6749</v>
      </c>
      <c r="D412" t="str">
        <f t="shared" si="6"/>
        <v>Full</v>
      </c>
      <c r="E412">
        <v>13947</v>
      </c>
      <c r="F412">
        <v>247.53</v>
      </c>
      <c r="G412">
        <v>306.95</v>
      </c>
      <c r="H412" s="4" t="s">
        <v>252</v>
      </c>
      <c r="I412" t="s">
        <v>390</v>
      </c>
      <c r="J412" t="s">
        <v>1084</v>
      </c>
      <c r="K412" t="s">
        <v>98</v>
      </c>
      <c r="L412">
        <v>172.95</v>
      </c>
    </row>
    <row r="413" spans="1:12" x14ac:dyDescent="0.3">
      <c r="A413" t="s">
        <v>66</v>
      </c>
      <c r="B413" t="s">
        <v>23</v>
      </c>
      <c r="C413">
        <v>2860</v>
      </c>
      <c r="D413" t="str">
        <f t="shared" si="6"/>
        <v>Medium</v>
      </c>
      <c r="E413">
        <v>10766</v>
      </c>
      <c r="F413">
        <v>204.8</v>
      </c>
      <c r="G413">
        <v>489.15</v>
      </c>
      <c r="H413" s="4" t="s">
        <v>1085</v>
      </c>
      <c r="I413" t="s">
        <v>1086</v>
      </c>
      <c r="J413" t="s">
        <v>1087</v>
      </c>
      <c r="K413" t="s">
        <v>16</v>
      </c>
      <c r="L413">
        <v>153.58000000000001</v>
      </c>
    </row>
    <row r="414" spans="1:12" x14ac:dyDescent="0.3">
      <c r="A414" t="s">
        <v>123</v>
      </c>
      <c r="B414" t="s">
        <v>12</v>
      </c>
      <c r="C414">
        <v>1184</v>
      </c>
      <c r="D414" t="str">
        <f t="shared" si="6"/>
        <v>Medium</v>
      </c>
      <c r="E414">
        <v>1164</v>
      </c>
      <c r="F414">
        <v>173.95</v>
      </c>
      <c r="G414">
        <v>297.86</v>
      </c>
      <c r="H414" s="4" t="s">
        <v>1088</v>
      </c>
      <c r="I414" t="s">
        <v>1089</v>
      </c>
      <c r="J414" t="s">
        <v>1090</v>
      </c>
      <c r="K414" t="s">
        <v>98</v>
      </c>
      <c r="L414">
        <v>121.65</v>
      </c>
    </row>
    <row r="415" spans="1:12" x14ac:dyDescent="0.3">
      <c r="A415" t="s">
        <v>76</v>
      </c>
      <c r="B415" t="s">
        <v>84</v>
      </c>
      <c r="C415">
        <v>7260</v>
      </c>
      <c r="D415" t="str">
        <f t="shared" si="6"/>
        <v>Full</v>
      </c>
      <c r="E415">
        <v>22165</v>
      </c>
      <c r="F415">
        <v>256.18</v>
      </c>
      <c r="G415">
        <v>354.86</v>
      </c>
      <c r="H415" s="4" t="s">
        <v>1091</v>
      </c>
      <c r="I415" t="s">
        <v>1092</v>
      </c>
      <c r="J415" t="s">
        <v>1093</v>
      </c>
      <c r="K415" t="s">
        <v>40</v>
      </c>
      <c r="L415">
        <v>122.38</v>
      </c>
    </row>
    <row r="416" spans="1:12" x14ac:dyDescent="0.3">
      <c r="A416" t="s">
        <v>56</v>
      </c>
      <c r="B416" t="s">
        <v>32</v>
      </c>
      <c r="C416">
        <v>1391</v>
      </c>
      <c r="D416" t="str">
        <f t="shared" si="6"/>
        <v>Medium</v>
      </c>
      <c r="E416">
        <v>18984</v>
      </c>
      <c r="F416">
        <v>141.07</v>
      </c>
      <c r="G416">
        <v>270.08999999999997</v>
      </c>
      <c r="H416" s="4" t="s">
        <v>540</v>
      </c>
      <c r="I416" t="s">
        <v>726</v>
      </c>
      <c r="J416" t="s">
        <v>1094</v>
      </c>
      <c r="K416" t="s">
        <v>40</v>
      </c>
      <c r="L416">
        <v>61.97</v>
      </c>
    </row>
    <row r="417" spans="1:12" x14ac:dyDescent="0.3">
      <c r="A417" t="s">
        <v>22</v>
      </c>
      <c r="B417" t="s">
        <v>36</v>
      </c>
      <c r="C417">
        <v>5920</v>
      </c>
      <c r="D417" t="str">
        <f t="shared" si="6"/>
        <v>Full</v>
      </c>
      <c r="E417">
        <v>12702</v>
      </c>
      <c r="F417">
        <v>42.82</v>
      </c>
      <c r="G417">
        <v>87.87</v>
      </c>
      <c r="H417" s="4" t="s">
        <v>933</v>
      </c>
      <c r="I417" t="s">
        <v>1095</v>
      </c>
      <c r="J417" t="s">
        <v>1096</v>
      </c>
      <c r="K417" t="s">
        <v>27</v>
      </c>
      <c r="L417">
        <v>32.549999999999997</v>
      </c>
    </row>
    <row r="418" spans="1:12" x14ac:dyDescent="0.3">
      <c r="A418" t="s">
        <v>45</v>
      </c>
      <c r="B418" t="s">
        <v>36</v>
      </c>
      <c r="C418">
        <v>7883</v>
      </c>
      <c r="D418" t="str">
        <f t="shared" si="6"/>
        <v>Full</v>
      </c>
      <c r="E418">
        <v>11759</v>
      </c>
      <c r="F418">
        <v>186.82</v>
      </c>
      <c r="G418">
        <v>298.42</v>
      </c>
      <c r="H418" s="4" t="s">
        <v>1097</v>
      </c>
      <c r="I418" t="s">
        <v>1098</v>
      </c>
      <c r="J418" t="s">
        <v>1099</v>
      </c>
      <c r="K418" t="s">
        <v>16</v>
      </c>
      <c r="L418">
        <v>101.97</v>
      </c>
    </row>
    <row r="419" spans="1:12" x14ac:dyDescent="0.3">
      <c r="A419" t="s">
        <v>45</v>
      </c>
      <c r="B419" t="s">
        <v>36</v>
      </c>
      <c r="C419">
        <v>3262</v>
      </c>
      <c r="D419" t="str">
        <f t="shared" si="6"/>
        <v>Full</v>
      </c>
      <c r="E419">
        <v>1158</v>
      </c>
      <c r="F419">
        <v>97.4</v>
      </c>
      <c r="G419">
        <v>216.36</v>
      </c>
      <c r="H419" s="4" t="s">
        <v>1100</v>
      </c>
      <c r="I419" t="s">
        <v>1101</v>
      </c>
      <c r="J419" t="s">
        <v>1102</v>
      </c>
      <c r="K419" t="s">
        <v>40</v>
      </c>
      <c r="L419">
        <v>44.19</v>
      </c>
    </row>
    <row r="420" spans="1:12" x14ac:dyDescent="0.3">
      <c r="A420" t="s">
        <v>45</v>
      </c>
      <c r="B420" t="s">
        <v>36</v>
      </c>
      <c r="C420">
        <v>8083</v>
      </c>
      <c r="D420" t="str">
        <f t="shared" si="6"/>
        <v>Full</v>
      </c>
      <c r="E420">
        <v>15593</v>
      </c>
      <c r="F420">
        <v>110.83</v>
      </c>
      <c r="G420">
        <v>177.01</v>
      </c>
      <c r="H420" s="4" t="s">
        <v>521</v>
      </c>
      <c r="I420" t="s">
        <v>238</v>
      </c>
      <c r="J420" t="s">
        <v>1103</v>
      </c>
      <c r="K420" t="s">
        <v>16</v>
      </c>
      <c r="L420">
        <v>47.97</v>
      </c>
    </row>
    <row r="421" spans="1:12" x14ac:dyDescent="0.3">
      <c r="A421" t="s">
        <v>147</v>
      </c>
      <c r="B421" t="s">
        <v>84</v>
      </c>
      <c r="C421">
        <v>9324</v>
      </c>
      <c r="D421" t="str">
        <f t="shared" si="6"/>
        <v>Full</v>
      </c>
      <c r="E421">
        <v>7436</v>
      </c>
      <c r="F421">
        <v>82.65</v>
      </c>
      <c r="G421">
        <v>194.41</v>
      </c>
      <c r="H421" s="4" t="s">
        <v>1104</v>
      </c>
      <c r="I421" t="s">
        <v>1105</v>
      </c>
      <c r="J421" t="s">
        <v>1106</v>
      </c>
      <c r="K421" t="s">
        <v>16</v>
      </c>
      <c r="L421">
        <v>53.94</v>
      </c>
    </row>
    <row r="422" spans="1:12" x14ac:dyDescent="0.3">
      <c r="A422" t="s">
        <v>22</v>
      </c>
      <c r="B422" t="s">
        <v>32</v>
      </c>
      <c r="C422">
        <v>7137</v>
      </c>
      <c r="D422" t="str">
        <f t="shared" si="6"/>
        <v>Full</v>
      </c>
      <c r="E422">
        <v>20334</v>
      </c>
      <c r="F422">
        <v>67.760000000000005</v>
      </c>
      <c r="G422">
        <v>84.54</v>
      </c>
      <c r="H422" s="4" t="s">
        <v>1107</v>
      </c>
      <c r="I422" t="s">
        <v>893</v>
      </c>
      <c r="J422" t="s">
        <v>1108</v>
      </c>
      <c r="K422" t="s">
        <v>21</v>
      </c>
      <c r="L422">
        <v>44.83</v>
      </c>
    </row>
    <row r="423" spans="1:12" x14ac:dyDescent="0.3">
      <c r="A423" t="s">
        <v>123</v>
      </c>
      <c r="B423" t="s">
        <v>23</v>
      </c>
      <c r="C423">
        <v>6930</v>
      </c>
      <c r="D423" t="str">
        <f t="shared" si="6"/>
        <v>Full</v>
      </c>
      <c r="E423">
        <v>8317</v>
      </c>
      <c r="F423">
        <v>267.97000000000003</v>
      </c>
      <c r="G423">
        <v>526.96</v>
      </c>
      <c r="H423" s="4" t="s">
        <v>540</v>
      </c>
      <c r="I423" t="s">
        <v>581</v>
      </c>
      <c r="J423" t="s">
        <v>1109</v>
      </c>
      <c r="K423" t="s">
        <v>16</v>
      </c>
      <c r="L423">
        <v>161.9</v>
      </c>
    </row>
    <row r="424" spans="1:12" x14ac:dyDescent="0.3">
      <c r="A424" t="s">
        <v>299</v>
      </c>
      <c r="B424" t="s">
        <v>23</v>
      </c>
      <c r="C424">
        <v>8727</v>
      </c>
      <c r="D424" t="str">
        <f t="shared" si="6"/>
        <v>Full</v>
      </c>
      <c r="E424">
        <v>1347</v>
      </c>
      <c r="F424">
        <v>200.49</v>
      </c>
      <c r="G424">
        <v>461.6</v>
      </c>
      <c r="H424" s="4" t="s">
        <v>1110</v>
      </c>
      <c r="I424" t="s">
        <v>1111</v>
      </c>
      <c r="J424" t="s">
        <v>1112</v>
      </c>
      <c r="K424" t="s">
        <v>16</v>
      </c>
      <c r="L424">
        <v>91.45</v>
      </c>
    </row>
    <row r="425" spans="1:12" x14ac:dyDescent="0.3">
      <c r="A425" t="s">
        <v>56</v>
      </c>
      <c r="B425" t="s">
        <v>84</v>
      </c>
      <c r="C425">
        <v>9779</v>
      </c>
      <c r="D425" t="str">
        <f t="shared" si="6"/>
        <v>Full</v>
      </c>
      <c r="E425">
        <v>19540</v>
      </c>
      <c r="F425">
        <v>199.53</v>
      </c>
      <c r="G425">
        <v>490.46</v>
      </c>
      <c r="H425" s="4" t="s">
        <v>234</v>
      </c>
      <c r="I425" t="s">
        <v>1113</v>
      </c>
      <c r="J425" t="s">
        <v>1114</v>
      </c>
      <c r="K425" t="s">
        <v>98</v>
      </c>
      <c r="L425">
        <v>140.59</v>
      </c>
    </row>
    <row r="426" spans="1:12" x14ac:dyDescent="0.3">
      <c r="A426" t="s">
        <v>80</v>
      </c>
      <c r="B426" t="s">
        <v>12</v>
      </c>
      <c r="C426">
        <v>4831</v>
      </c>
      <c r="D426" t="str">
        <f t="shared" si="6"/>
        <v>Full</v>
      </c>
      <c r="E426">
        <v>13105</v>
      </c>
      <c r="F426">
        <v>74.040000000000006</v>
      </c>
      <c r="G426">
        <v>153.19999999999999</v>
      </c>
      <c r="H426" s="4" t="s">
        <v>1115</v>
      </c>
      <c r="I426" t="s">
        <v>1116</v>
      </c>
      <c r="J426" t="s">
        <v>929</v>
      </c>
      <c r="K426" t="s">
        <v>21</v>
      </c>
      <c r="L426">
        <v>56.8</v>
      </c>
    </row>
    <row r="427" spans="1:12" x14ac:dyDescent="0.3">
      <c r="A427" t="s">
        <v>127</v>
      </c>
      <c r="B427" t="s">
        <v>12</v>
      </c>
      <c r="C427">
        <v>5809</v>
      </c>
      <c r="D427" t="str">
        <f t="shared" si="6"/>
        <v>Full</v>
      </c>
      <c r="E427">
        <v>4382</v>
      </c>
      <c r="F427">
        <v>212.6</v>
      </c>
      <c r="G427">
        <v>399.22</v>
      </c>
      <c r="H427" s="4" t="s">
        <v>577</v>
      </c>
      <c r="I427" t="s">
        <v>924</v>
      </c>
      <c r="J427" t="s">
        <v>1117</v>
      </c>
      <c r="K427" t="s">
        <v>16</v>
      </c>
      <c r="L427">
        <v>133.53</v>
      </c>
    </row>
    <row r="428" spans="1:12" x14ac:dyDescent="0.3">
      <c r="A428" t="s">
        <v>299</v>
      </c>
      <c r="B428" t="s">
        <v>36</v>
      </c>
      <c r="C428">
        <v>6485</v>
      </c>
      <c r="D428" t="str">
        <f t="shared" si="6"/>
        <v>Full</v>
      </c>
      <c r="E428">
        <v>20257</v>
      </c>
      <c r="F428">
        <v>197.73</v>
      </c>
      <c r="G428">
        <v>452.03</v>
      </c>
      <c r="H428" s="4" t="s">
        <v>1118</v>
      </c>
      <c r="I428" t="s">
        <v>1119</v>
      </c>
      <c r="J428" t="s">
        <v>1120</v>
      </c>
      <c r="K428" t="s">
        <v>98</v>
      </c>
      <c r="L428">
        <v>119.93</v>
      </c>
    </row>
    <row r="429" spans="1:12" x14ac:dyDescent="0.3">
      <c r="A429" t="s">
        <v>76</v>
      </c>
      <c r="B429" t="s">
        <v>23</v>
      </c>
      <c r="C429">
        <v>8476</v>
      </c>
      <c r="D429" t="str">
        <f t="shared" si="6"/>
        <v>Full</v>
      </c>
      <c r="E429">
        <v>16797</v>
      </c>
      <c r="F429">
        <v>266.72000000000003</v>
      </c>
      <c r="G429">
        <v>322.35000000000002</v>
      </c>
      <c r="H429" s="4" t="s">
        <v>1121</v>
      </c>
      <c r="I429" t="s">
        <v>285</v>
      </c>
      <c r="J429" t="s">
        <v>1122</v>
      </c>
      <c r="K429" t="s">
        <v>98</v>
      </c>
      <c r="L429">
        <v>114.91</v>
      </c>
    </row>
    <row r="430" spans="1:12" x14ac:dyDescent="0.3">
      <c r="A430" t="s">
        <v>147</v>
      </c>
      <c r="B430" t="s">
        <v>84</v>
      </c>
      <c r="C430">
        <v>2961</v>
      </c>
      <c r="D430" t="str">
        <f t="shared" si="6"/>
        <v>Medium</v>
      </c>
      <c r="E430">
        <v>7124</v>
      </c>
      <c r="F430">
        <v>51.42</v>
      </c>
      <c r="G430">
        <v>101.95</v>
      </c>
      <c r="H430" s="4" t="s">
        <v>1123</v>
      </c>
      <c r="I430" t="s">
        <v>677</v>
      </c>
      <c r="J430" t="s">
        <v>1124</v>
      </c>
      <c r="K430" t="s">
        <v>21</v>
      </c>
      <c r="L430">
        <v>37.25</v>
      </c>
    </row>
    <row r="431" spans="1:12" x14ac:dyDescent="0.3">
      <c r="A431" t="s">
        <v>11</v>
      </c>
      <c r="B431" t="s">
        <v>36</v>
      </c>
      <c r="C431">
        <v>8344</v>
      </c>
      <c r="D431" t="str">
        <f t="shared" si="6"/>
        <v>Full</v>
      </c>
      <c r="E431">
        <v>16696</v>
      </c>
      <c r="F431">
        <v>67.16</v>
      </c>
      <c r="G431">
        <v>94.67</v>
      </c>
      <c r="H431" s="4" t="s">
        <v>296</v>
      </c>
      <c r="I431" t="s">
        <v>905</v>
      </c>
      <c r="J431" t="s">
        <v>1125</v>
      </c>
      <c r="K431" t="s">
        <v>27</v>
      </c>
      <c r="L431">
        <v>30.3</v>
      </c>
    </row>
    <row r="432" spans="1:12" x14ac:dyDescent="0.3">
      <c r="A432" t="s">
        <v>22</v>
      </c>
      <c r="B432" t="s">
        <v>84</v>
      </c>
      <c r="C432">
        <v>2707</v>
      </c>
      <c r="D432" t="str">
        <f t="shared" si="6"/>
        <v>Medium</v>
      </c>
      <c r="E432">
        <v>21628</v>
      </c>
      <c r="F432">
        <v>156.22999999999999</v>
      </c>
      <c r="G432">
        <v>368.4</v>
      </c>
      <c r="H432" s="4" t="s">
        <v>1126</v>
      </c>
      <c r="I432" t="s">
        <v>1127</v>
      </c>
      <c r="J432" t="s">
        <v>1128</v>
      </c>
      <c r="K432" t="s">
        <v>40</v>
      </c>
      <c r="L432">
        <v>120.14</v>
      </c>
    </row>
    <row r="433" spans="1:12" x14ac:dyDescent="0.3">
      <c r="A433" t="s">
        <v>119</v>
      </c>
      <c r="B433" t="s">
        <v>36</v>
      </c>
      <c r="C433">
        <v>9734</v>
      </c>
      <c r="D433" t="str">
        <f t="shared" si="6"/>
        <v>Full</v>
      </c>
      <c r="E433">
        <v>21893</v>
      </c>
      <c r="F433">
        <v>10.49</v>
      </c>
      <c r="G433">
        <v>22.4</v>
      </c>
      <c r="H433" s="4" t="s">
        <v>33</v>
      </c>
      <c r="I433" t="s">
        <v>1019</v>
      </c>
      <c r="J433" t="s">
        <v>1129</v>
      </c>
      <c r="K433" t="s">
        <v>98</v>
      </c>
      <c r="L433">
        <v>6.08</v>
      </c>
    </row>
    <row r="434" spans="1:12" x14ac:dyDescent="0.3">
      <c r="A434" t="s">
        <v>49</v>
      </c>
      <c r="B434" t="s">
        <v>36</v>
      </c>
      <c r="C434">
        <v>3294</v>
      </c>
      <c r="D434" t="str">
        <f t="shared" si="6"/>
        <v>Full</v>
      </c>
      <c r="E434">
        <v>8188</v>
      </c>
      <c r="F434">
        <v>249.96</v>
      </c>
      <c r="G434">
        <v>495.19</v>
      </c>
      <c r="H434" s="4" t="s">
        <v>1130</v>
      </c>
      <c r="I434" t="s">
        <v>602</v>
      </c>
      <c r="J434" t="s">
        <v>1131</v>
      </c>
      <c r="K434" t="s">
        <v>16</v>
      </c>
      <c r="L434">
        <v>126.43</v>
      </c>
    </row>
    <row r="435" spans="1:12" x14ac:dyDescent="0.3">
      <c r="A435" t="s">
        <v>45</v>
      </c>
      <c r="B435" t="s">
        <v>36</v>
      </c>
      <c r="C435">
        <v>1627</v>
      </c>
      <c r="D435" t="str">
        <f t="shared" si="6"/>
        <v>Medium</v>
      </c>
      <c r="E435">
        <v>8530</v>
      </c>
      <c r="F435">
        <v>116.57</v>
      </c>
      <c r="G435">
        <v>159.91999999999999</v>
      </c>
      <c r="H435" s="4" t="s">
        <v>635</v>
      </c>
      <c r="I435" t="s">
        <v>183</v>
      </c>
      <c r="J435" t="s">
        <v>1132</v>
      </c>
      <c r="K435" t="s">
        <v>16</v>
      </c>
      <c r="L435">
        <v>78.540000000000006</v>
      </c>
    </row>
    <row r="436" spans="1:12" x14ac:dyDescent="0.3">
      <c r="A436" t="s">
        <v>123</v>
      </c>
      <c r="B436" t="s">
        <v>32</v>
      </c>
      <c r="C436">
        <v>2077</v>
      </c>
      <c r="D436" t="str">
        <f t="shared" si="6"/>
        <v>Medium</v>
      </c>
      <c r="E436">
        <v>6813</v>
      </c>
      <c r="F436">
        <v>145.38</v>
      </c>
      <c r="G436">
        <v>290.64</v>
      </c>
      <c r="H436" s="4" t="s">
        <v>1133</v>
      </c>
      <c r="I436" t="s">
        <v>1134</v>
      </c>
      <c r="J436" t="s">
        <v>1135</v>
      </c>
      <c r="K436" t="s">
        <v>27</v>
      </c>
      <c r="L436">
        <v>63.57</v>
      </c>
    </row>
    <row r="437" spans="1:12" x14ac:dyDescent="0.3">
      <c r="A437" t="s">
        <v>123</v>
      </c>
      <c r="B437" t="s">
        <v>32</v>
      </c>
      <c r="C437">
        <v>9335</v>
      </c>
      <c r="D437" t="str">
        <f t="shared" si="6"/>
        <v>Full</v>
      </c>
      <c r="E437">
        <v>1039</v>
      </c>
      <c r="F437">
        <v>269.61</v>
      </c>
      <c r="G437">
        <v>595.12</v>
      </c>
      <c r="H437" s="4" t="s">
        <v>788</v>
      </c>
      <c r="I437" t="s">
        <v>401</v>
      </c>
      <c r="J437" t="s">
        <v>1136</v>
      </c>
      <c r="K437" t="s">
        <v>21</v>
      </c>
      <c r="L437">
        <v>147.79</v>
      </c>
    </row>
    <row r="438" spans="1:12" x14ac:dyDescent="0.3">
      <c r="A438" t="s">
        <v>127</v>
      </c>
      <c r="B438" t="s">
        <v>32</v>
      </c>
      <c r="C438">
        <v>7528</v>
      </c>
      <c r="D438" t="str">
        <f t="shared" si="6"/>
        <v>Full</v>
      </c>
      <c r="E438">
        <v>8519</v>
      </c>
      <c r="F438">
        <v>281.83</v>
      </c>
      <c r="G438">
        <v>514.84</v>
      </c>
      <c r="H438" s="4" t="s">
        <v>975</v>
      </c>
      <c r="I438" t="s">
        <v>310</v>
      </c>
      <c r="J438" t="s">
        <v>1137</v>
      </c>
      <c r="K438" t="s">
        <v>16</v>
      </c>
      <c r="L438">
        <v>123.75</v>
      </c>
    </row>
    <row r="439" spans="1:12" x14ac:dyDescent="0.3">
      <c r="A439" t="s">
        <v>123</v>
      </c>
      <c r="B439" t="s">
        <v>23</v>
      </c>
      <c r="C439">
        <v>8317</v>
      </c>
      <c r="D439" t="str">
        <f t="shared" si="6"/>
        <v>Full</v>
      </c>
      <c r="E439">
        <v>8618</v>
      </c>
      <c r="F439">
        <v>273.48</v>
      </c>
      <c r="G439">
        <v>357.98</v>
      </c>
      <c r="H439" s="4" t="s">
        <v>1138</v>
      </c>
      <c r="I439" t="s">
        <v>1139</v>
      </c>
      <c r="J439" t="s">
        <v>1140</v>
      </c>
      <c r="K439" t="s">
        <v>40</v>
      </c>
      <c r="L439">
        <v>130.07</v>
      </c>
    </row>
    <row r="440" spans="1:12" x14ac:dyDescent="0.3">
      <c r="A440" t="s">
        <v>17</v>
      </c>
      <c r="B440" t="s">
        <v>32</v>
      </c>
      <c r="C440">
        <v>9061</v>
      </c>
      <c r="D440" t="str">
        <f t="shared" si="6"/>
        <v>Full</v>
      </c>
      <c r="E440">
        <v>4861</v>
      </c>
      <c r="F440">
        <v>158.33000000000001</v>
      </c>
      <c r="G440">
        <v>267.19</v>
      </c>
      <c r="H440" s="4" t="s">
        <v>1141</v>
      </c>
      <c r="I440" t="s">
        <v>1142</v>
      </c>
      <c r="J440" t="s">
        <v>1143</v>
      </c>
      <c r="K440" t="s">
        <v>21</v>
      </c>
      <c r="L440">
        <v>86.28</v>
      </c>
    </row>
    <row r="441" spans="1:12" x14ac:dyDescent="0.3">
      <c r="A441" t="s">
        <v>123</v>
      </c>
      <c r="B441" t="s">
        <v>36</v>
      </c>
      <c r="C441">
        <v>4655</v>
      </c>
      <c r="D441" t="str">
        <f t="shared" si="6"/>
        <v>Full</v>
      </c>
      <c r="E441">
        <v>9562</v>
      </c>
      <c r="F441">
        <v>257.22000000000003</v>
      </c>
      <c r="G441">
        <v>450.3</v>
      </c>
      <c r="H441" s="4" t="s">
        <v>331</v>
      </c>
      <c r="I441" t="s">
        <v>1144</v>
      </c>
      <c r="J441" t="s">
        <v>1145</v>
      </c>
      <c r="K441" t="s">
        <v>21</v>
      </c>
      <c r="L441">
        <v>180.57</v>
      </c>
    </row>
    <row r="442" spans="1:12" x14ac:dyDescent="0.3">
      <c r="A442" t="s">
        <v>200</v>
      </c>
      <c r="B442" t="s">
        <v>32</v>
      </c>
      <c r="C442">
        <v>9635</v>
      </c>
      <c r="D442" t="str">
        <f t="shared" si="6"/>
        <v>Full</v>
      </c>
      <c r="E442">
        <v>16809</v>
      </c>
      <c r="F442">
        <v>57.72</v>
      </c>
      <c r="G442">
        <v>111.22</v>
      </c>
      <c r="H442" s="4" t="s">
        <v>234</v>
      </c>
      <c r="I442" t="s">
        <v>1098</v>
      </c>
      <c r="J442" t="s">
        <v>1146</v>
      </c>
      <c r="K442" t="s">
        <v>16</v>
      </c>
      <c r="L442">
        <v>31.04</v>
      </c>
    </row>
    <row r="443" spans="1:12" x14ac:dyDescent="0.3">
      <c r="A443" t="s">
        <v>299</v>
      </c>
      <c r="B443" t="s">
        <v>84</v>
      </c>
      <c r="C443">
        <v>2451</v>
      </c>
      <c r="D443" t="str">
        <f t="shared" si="6"/>
        <v>Medium</v>
      </c>
      <c r="E443">
        <v>8529</v>
      </c>
      <c r="F443">
        <v>136.75</v>
      </c>
      <c r="G443">
        <v>288.42</v>
      </c>
      <c r="H443" s="4" t="s">
        <v>1147</v>
      </c>
      <c r="I443" t="s">
        <v>412</v>
      </c>
      <c r="J443" t="s">
        <v>1148</v>
      </c>
      <c r="K443" t="s">
        <v>16</v>
      </c>
      <c r="L443">
        <v>76.61</v>
      </c>
    </row>
    <row r="444" spans="1:12" x14ac:dyDescent="0.3">
      <c r="A444" t="s">
        <v>45</v>
      </c>
      <c r="B444" t="s">
        <v>32</v>
      </c>
      <c r="C444">
        <v>1352</v>
      </c>
      <c r="D444" t="str">
        <f t="shared" si="6"/>
        <v>Medium</v>
      </c>
      <c r="E444">
        <v>6267</v>
      </c>
      <c r="F444">
        <v>119.79</v>
      </c>
      <c r="G444">
        <v>242.77</v>
      </c>
      <c r="H444" s="4" t="s">
        <v>392</v>
      </c>
      <c r="I444" t="s">
        <v>209</v>
      </c>
      <c r="J444" t="s">
        <v>1149</v>
      </c>
      <c r="K444" t="s">
        <v>16</v>
      </c>
      <c r="L444">
        <v>68.78</v>
      </c>
    </row>
    <row r="445" spans="1:12" x14ac:dyDescent="0.3">
      <c r="A445" t="s">
        <v>41</v>
      </c>
      <c r="B445" t="s">
        <v>23</v>
      </c>
      <c r="C445">
        <v>4133</v>
      </c>
      <c r="D445" t="str">
        <f t="shared" si="6"/>
        <v>Full</v>
      </c>
      <c r="E445">
        <v>13151</v>
      </c>
      <c r="F445">
        <v>28.61</v>
      </c>
      <c r="G445">
        <v>35.74</v>
      </c>
      <c r="H445" s="4" t="s">
        <v>1150</v>
      </c>
      <c r="I445" t="s">
        <v>1151</v>
      </c>
      <c r="J445" t="s">
        <v>1152</v>
      </c>
      <c r="K445" t="s">
        <v>16</v>
      </c>
      <c r="L445">
        <v>14.72</v>
      </c>
    </row>
    <row r="446" spans="1:12" x14ac:dyDescent="0.3">
      <c r="A446" t="s">
        <v>176</v>
      </c>
      <c r="B446" t="s">
        <v>12</v>
      </c>
      <c r="C446">
        <v>3371</v>
      </c>
      <c r="D446" t="str">
        <f t="shared" si="6"/>
        <v>Full</v>
      </c>
      <c r="E446">
        <v>21981</v>
      </c>
      <c r="F446">
        <v>150.84</v>
      </c>
      <c r="G446">
        <v>183.11</v>
      </c>
      <c r="H446" s="4" t="s">
        <v>1153</v>
      </c>
      <c r="I446" t="s">
        <v>1154</v>
      </c>
      <c r="J446" t="s">
        <v>1155</v>
      </c>
      <c r="K446" t="s">
        <v>98</v>
      </c>
      <c r="L446">
        <v>62.36</v>
      </c>
    </row>
    <row r="447" spans="1:12" x14ac:dyDescent="0.3">
      <c r="A447" t="s">
        <v>176</v>
      </c>
      <c r="B447" t="s">
        <v>32</v>
      </c>
      <c r="C447">
        <v>8951</v>
      </c>
      <c r="D447" t="str">
        <f t="shared" si="6"/>
        <v>Full</v>
      </c>
      <c r="E447">
        <v>23886</v>
      </c>
      <c r="F447">
        <v>73.34</v>
      </c>
      <c r="G447">
        <v>104.17</v>
      </c>
      <c r="H447" s="4" t="s">
        <v>827</v>
      </c>
      <c r="I447" t="s">
        <v>773</v>
      </c>
      <c r="J447" t="s">
        <v>1156</v>
      </c>
      <c r="K447" t="s">
        <v>27</v>
      </c>
      <c r="L447">
        <v>57.96</v>
      </c>
    </row>
    <row r="448" spans="1:12" x14ac:dyDescent="0.3">
      <c r="A448" t="s">
        <v>41</v>
      </c>
      <c r="B448" t="s">
        <v>23</v>
      </c>
      <c r="C448">
        <v>7044</v>
      </c>
      <c r="D448" t="str">
        <f t="shared" si="6"/>
        <v>Full</v>
      </c>
      <c r="E448">
        <v>12571</v>
      </c>
      <c r="F448">
        <v>202.55</v>
      </c>
      <c r="G448">
        <v>349.82</v>
      </c>
      <c r="H448" s="4" t="s">
        <v>1157</v>
      </c>
      <c r="I448" t="s">
        <v>696</v>
      </c>
      <c r="J448" t="s">
        <v>1158</v>
      </c>
      <c r="K448" t="s">
        <v>27</v>
      </c>
      <c r="L448">
        <v>155.49</v>
      </c>
    </row>
    <row r="449" spans="1:12" x14ac:dyDescent="0.3">
      <c r="A449" t="s">
        <v>66</v>
      </c>
      <c r="B449" t="s">
        <v>23</v>
      </c>
      <c r="C449">
        <v>9660</v>
      </c>
      <c r="D449" t="str">
        <f t="shared" si="6"/>
        <v>Full</v>
      </c>
      <c r="E449">
        <v>20101</v>
      </c>
      <c r="F449">
        <v>107.69</v>
      </c>
      <c r="G449">
        <v>264.08999999999997</v>
      </c>
      <c r="H449" s="4" t="s">
        <v>355</v>
      </c>
      <c r="I449" t="s">
        <v>1159</v>
      </c>
      <c r="J449" t="s">
        <v>1160</v>
      </c>
      <c r="K449" t="s">
        <v>98</v>
      </c>
      <c r="L449">
        <v>62.67</v>
      </c>
    </row>
    <row r="450" spans="1:12" x14ac:dyDescent="0.3">
      <c r="A450" t="s">
        <v>299</v>
      </c>
      <c r="B450" t="s">
        <v>32</v>
      </c>
      <c r="C450">
        <v>576</v>
      </c>
      <c r="D450" t="str">
        <f t="shared" si="6"/>
        <v>Low</v>
      </c>
      <c r="E450">
        <v>9555</v>
      </c>
      <c r="F450">
        <v>56.64</v>
      </c>
      <c r="G450">
        <v>105.24</v>
      </c>
      <c r="H450" s="4" t="s">
        <v>1127</v>
      </c>
      <c r="I450" t="s">
        <v>605</v>
      </c>
      <c r="J450" t="s">
        <v>1161</v>
      </c>
      <c r="K450" t="s">
        <v>40</v>
      </c>
      <c r="L450">
        <v>30.36</v>
      </c>
    </row>
    <row r="451" spans="1:12" x14ac:dyDescent="0.3">
      <c r="A451" t="s">
        <v>11</v>
      </c>
      <c r="B451" t="s">
        <v>32</v>
      </c>
      <c r="C451">
        <v>4722</v>
      </c>
      <c r="D451" t="str">
        <f t="shared" ref="D451:D514" si="7">IF(C451&lt;1000,"Low",IF(C451&lt;=3000,"Medium","Full"))</f>
        <v>Full</v>
      </c>
      <c r="E451">
        <v>18626</v>
      </c>
      <c r="F451">
        <v>244.88</v>
      </c>
      <c r="G451">
        <v>476.87</v>
      </c>
      <c r="H451" s="4" t="s">
        <v>1162</v>
      </c>
      <c r="I451" t="s">
        <v>1163</v>
      </c>
      <c r="J451" t="s">
        <v>1164</v>
      </c>
      <c r="K451" t="s">
        <v>21</v>
      </c>
      <c r="L451">
        <v>173.37</v>
      </c>
    </row>
    <row r="452" spans="1:12" x14ac:dyDescent="0.3">
      <c r="A452" t="s">
        <v>45</v>
      </c>
      <c r="B452" t="s">
        <v>36</v>
      </c>
      <c r="C452">
        <v>8048</v>
      </c>
      <c r="D452" t="str">
        <f t="shared" si="7"/>
        <v>Full</v>
      </c>
      <c r="E452">
        <v>20229</v>
      </c>
      <c r="F452">
        <v>259.3</v>
      </c>
      <c r="G452">
        <v>473.63</v>
      </c>
      <c r="H452" s="4" t="s">
        <v>951</v>
      </c>
      <c r="I452" t="s">
        <v>509</v>
      </c>
      <c r="J452" t="s">
        <v>1165</v>
      </c>
      <c r="K452" t="s">
        <v>98</v>
      </c>
      <c r="L452">
        <v>173.93</v>
      </c>
    </row>
    <row r="453" spans="1:12" x14ac:dyDescent="0.3">
      <c r="A453" t="s">
        <v>80</v>
      </c>
      <c r="B453" t="s">
        <v>23</v>
      </c>
      <c r="C453">
        <v>7257</v>
      </c>
      <c r="D453" t="str">
        <f t="shared" si="7"/>
        <v>Full</v>
      </c>
      <c r="E453">
        <v>12570</v>
      </c>
      <c r="F453">
        <v>157.37</v>
      </c>
      <c r="G453">
        <v>190.83</v>
      </c>
      <c r="H453" s="4" t="s">
        <v>1166</v>
      </c>
      <c r="I453" t="s">
        <v>825</v>
      </c>
      <c r="J453" t="s">
        <v>1167</v>
      </c>
      <c r="K453" t="s">
        <v>27</v>
      </c>
      <c r="L453">
        <v>88.06</v>
      </c>
    </row>
    <row r="454" spans="1:12" x14ac:dyDescent="0.3">
      <c r="A454" t="s">
        <v>45</v>
      </c>
      <c r="B454" t="s">
        <v>12</v>
      </c>
      <c r="C454">
        <v>9585</v>
      </c>
      <c r="D454" t="str">
        <f t="shared" si="7"/>
        <v>Full</v>
      </c>
      <c r="E454">
        <v>6848</v>
      </c>
      <c r="F454">
        <v>145.58000000000001</v>
      </c>
      <c r="G454">
        <v>241.6</v>
      </c>
      <c r="H454" s="4" t="s">
        <v>1168</v>
      </c>
      <c r="I454" t="s">
        <v>1113</v>
      </c>
      <c r="J454" t="s">
        <v>1169</v>
      </c>
      <c r="K454" t="s">
        <v>98</v>
      </c>
      <c r="L454">
        <v>87.29</v>
      </c>
    </row>
    <row r="455" spans="1:12" x14ac:dyDescent="0.3">
      <c r="A455" t="s">
        <v>88</v>
      </c>
      <c r="B455" t="s">
        <v>84</v>
      </c>
      <c r="C455">
        <v>4465</v>
      </c>
      <c r="D455" t="str">
        <f t="shared" si="7"/>
        <v>Full</v>
      </c>
      <c r="E455">
        <v>9696</v>
      </c>
      <c r="F455">
        <v>66</v>
      </c>
      <c r="G455">
        <v>96.6</v>
      </c>
      <c r="H455" s="4" t="s">
        <v>772</v>
      </c>
      <c r="I455" t="s">
        <v>1170</v>
      </c>
      <c r="J455" t="s">
        <v>1171</v>
      </c>
      <c r="K455" t="s">
        <v>98</v>
      </c>
      <c r="L455">
        <v>46.96</v>
      </c>
    </row>
    <row r="456" spans="1:12" x14ac:dyDescent="0.3">
      <c r="A456" t="s">
        <v>11</v>
      </c>
      <c r="B456" t="s">
        <v>12</v>
      </c>
      <c r="C456">
        <v>8571</v>
      </c>
      <c r="D456" t="str">
        <f t="shared" si="7"/>
        <v>Full</v>
      </c>
      <c r="E456">
        <v>21113</v>
      </c>
      <c r="F456">
        <v>6.95</v>
      </c>
      <c r="G456">
        <v>16.079999999999998</v>
      </c>
      <c r="H456" s="4" t="s">
        <v>1172</v>
      </c>
      <c r="I456" t="s">
        <v>1173</v>
      </c>
      <c r="J456" t="s">
        <v>1174</v>
      </c>
      <c r="K456" t="s">
        <v>16</v>
      </c>
      <c r="L456">
        <v>3.66</v>
      </c>
    </row>
    <row r="457" spans="1:12" x14ac:dyDescent="0.3">
      <c r="A457" t="s">
        <v>22</v>
      </c>
      <c r="B457" t="s">
        <v>23</v>
      </c>
      <c r="C457">
        <v>8541</v>
      </c>
      <c r="D457" t="str">
        <f t="shared" si="7"/>
        <v>Full</v>
      </c>
      <c r="E457">
        <v>6992</v>
      </c>
      <c r="F457">
        <v>295.39999999999998</v>
      </c>
      <c r="G457">
        <v>706.24</v>
      </c>
      <c r="H457" s="4" t="s">
        <v>223</v>
      </c>
      <c r="I457" t="s">
        <v>1024</v>
      </c>
      <c r="J457" t="s">
        <v>1175</v>
      </c>
      <c r="K457" t="s">
        <v>16</v>
      </c>
      <c r="L457">
        <v>133.31</v>
      </c>
    </row>
    <row r="458" spans="1:12" x14ac:dyDescent="0.3">
      <c r="A458" t="s">
        <v>119</v>
      </c>
      <c r="B458" t="s">
        <v>36</v>
      </c>
      <c r="C458">
        <v>8336</v>
      </c>
      <c r="D458" t="str">
        <f t="shared" si="7"/>
        <v>Full</v>
      </c>
      <c r="E458">
        <v>18719</v>
      </c>
      <c r="F458">
        <v>14.61</v>
      </c>
      <c r="G458">
        <v>24.13</v>
      </c>
      <c r="H458" s="4" t="s">
        <v>855</v>
      </c>
      <c r="I458" t="s">
        <v>605</v>
      </c>
      <c r="J458" t="s">
        <v>1176</v>
      </c>
      <c r="K458" t="s">
        <v>16</v>
      </c>
      <c r="L458">
        <v>8.5299999999999994</v>
      </c>
    </row>
    <row r="459" spans="1:12" x14ac:dyDescent="0.3">
      <c r="A459" t="s">
        <v>17</v>
      </c>
      <c r="B459" t="s">
        <v>12</v>
      </c>
      <c r="C459">
        <v>3952</v>
      </c>
      <c r="D459" t="str">
        <f t="shared" si="7"/>
        <v>Full</v>
      </c>
      <c r="E459">
        <v>13433</v>
      </c>
      <c r="F459">
        <v>176.4</v>
      </c>
      <c r="G459">
        <v>286.31</v>
      </c>
      <c r="H459" s="4" t="s">
        <v>636</v>
      </c>
      <c r="I459" t="s">
        <v>1177</v>
      </c>
      <c r="J459" t="s">
        <v>1178</v>
      </c>
      <c r="K459" t="s">
        <v>16</v>
      </c>
      <c r="L459">
        <v>89.11</v>
      </c>
    </row>
    <row r="460" spans="1:12" x14ac:dyDescent="0.3">
      <c r="A460" t="s">
        <v>147</v>
      </c>
      <c r="B460" t="s">
        <v>36</v>
      </c>
      <c r="C460">
        <v>6121</v>
      </c>
      <c r="D460" t="str">
        <f t="shared" si="7"/>
        <v>Full</v>
      </c>
      <c r="E460">
        <v>12990</v>
      </c>
      <c r="F460">
        <v>59.25</v>
      </c>
      <c r="G460">
        <v>103.75</v>
      </c>
      <c r="H460" s="4" t="s">
        <v>841</v>
      </c>
      <c r="I460" t="s">
        <v>1179</v>
      </c>
      <c r="J460" t="s">
        <v>1180</v>
      </c>
      <c r="K460" t="s">
        <v>40</v>
      </c>
      <c r="L460">
        <v>43.95</v>
      </c>
    </row>
    <row r="461" spans="1:12" x14ac:dyDescent="0.3">
      <c r="A461" t="s">
        <v>147</v>
      </c>
      <c r="B461" t="s">
        <v>36</v>
      </c>
      <c r="C461">
        <v>3447</v>
      </c>
      <c r="D461" t="str">
        <f t="shared" si="7"/>
        <v>Full</v>
      </c>
      <c r="E461">
        <v>19723</v>
      </c>
      <c r="F461">
        <v>43.69</v>
      </c>
      <c r="G461">
        <v>85.14</v>
      </c>
      <c r="H461" s="4" t="s">
        <v>1181</v>
      </c>
      <c r="I461" t="s">
        <v>1182</v>
      </c>
      <c r="J461" t="s">
        <v>1183</v>
      </c>
      <c r="K461" t="s">
        <v>98</v>
      </c>
      <c r="L461">
        <v>27.18</v>
      </c>
    </row>
    <row r="462" spans="1:12" x14ac:dyDescent="0.3">
      <c r="A462" t="s">
        <v>299</v>
      </c>
      <c r="B462" t="s">
        <v>84</v>
      </c>
      <c r="C462">
        <v>2889</v>
      </c>
      <c r="D462" t="str">
        <f t="shared" si="7"/>
        <v>Medium</v>
      </c>
      <c r="E462">
        <v>5900</v>
      </c>
      <c r="F462">
        <v>144.53</v>
      </c>
      <c r="G462">
        <v>175.27</v>
      </c>
      <c r="H462" s="4" t="s">
        <v>1184</v>
      </c>
      <c r="I462" t="s">
        <v>1185</v>
      </c>
      <c r="J462" t="s">
        <v>1186</v>
      </c>
      <c r="K462" t="s">
        <v>16</v>
      </c>
      <c r="L462">
        <v>88.68</v>
      </c>
    </row>
    <row r="463" spans="1:12" x14ac:dyDescent="0.3">
      <c r="A463" t="s">
        <v>45</v>
      </c>
      <c r="B463" t="s">
        <v>36</v>
      </c>
      <c r="C463">
        <v>5415</v>
      </c>
      <c r="D463" t="str">
        <f t="shared" si="7"/>
        <v>Full</v>
      </c>
      <c r="E463">
        <v>9223</v>
      </c>
      <c r="F463">
        <v>170.83</v>
      </c>
      <c r="G463">
        <v>331.1</v>
      </c>
      <c r="H463" s="4" t="s">
        <v>1187</v>
      </c>
      <c r="I463" t="s">
        <v>1188</v>
      </c>
      <c r="J463" t="s">
        <v>1189</v>
      </c>
      <c r="K463" t="s">
        <v>27</v>
      </c>
      <c r="L463">
        <v>83.06</v>
      </c>
    </row>
    <row r="464" spans="1:12" x14ac:dyDescent="0.3">
      <c r="A464" t="s">
        <v>147</v>
      </c>
      <c r="B464" t="s">
        <v>36</v>
      </c>
      <c r="C464">
        <v>2077</v>
      </c>
      <c r="D464" t="str">
        <f t="shared" si="7"/>
        <v>Medium</v>
      </c>
      <c r="E464">
        <v>15740</v>
      </c>
      <c r="F464">
        <v>224.66</v>
      </c>
      <c r="G464">
        <v>345.46</v>
      </c>
      <c r="H464" s="4" t="s">
        <v>822</v>
      </c>
      <c r="I464" t="s">
        <v>1190</v>
      </c>
      <c r="J464" t="s">
        <v>1191</v>
      </c>
      <c r="K464" t="s">
        <v>40</v>
      </c>
      <c r="L464">
        <v>120.79</v>
      </c>
    </row>
    <row r="465" spans="1:12" x14ac:dyDescent="0.3">
      <c r="A465" t="s">
        <v>200</v>
      </c>
      <c r="B465" t="s">
        <v>12</v>
      </c>
      <c r="C465">
        <v>6252</v>
      </c>
      <c r="D465" t="str">
        <f t="shared" si="7"/>
        <v>Full</v>
      </c>
      <c r="E465">
        <v>23268</v>
      </c>
      <c r="F465">
        <v>289.12</v>
      </c>
      <c r="G465">
        <v>421.72</v>
      </c>
      <c r="H465" s="4" t="s">
        <v>409</v>
      </c>
      <c r="I465" t="s">
        <v>154</v>
      </c>
      <c r="J465" t="s">
        <v>1192</v>
      </c>
      <c r="K465" t="s">
        <v>16</v>
      </c>
      <c r="L465">
        <v>135.83000000000001</v>
      </c>
    </row>
    <row r="466" spans="1:12" x14ac:dyDescent="0.3">
      <c r="A466" t="s">
        <v>31</v>
      </c>
      <c r="B466" t="s">
        <v>23</v>
      </c>
      <c r="C466">
        <v>5826</v>
      </c>
      <c r="D466" t="str">
        <f t="shared" si="7"/>
        <v>Full</v>
      </c>
      <c r="E466">
        <v>23059</v>
      </c>
      <c r="F466">
        <v>155.58000000000001</v>
      </c>
      <c r="G466">
        <v>343.39</v>
      </c>
      <c r="H466" s="4" t="s">
        <v>1193</v>
      </c>
      <c r="I466" t="s">
        <v>1194</v>
      </c>
      <c r="J466" t="s">
        <v>1195</v>
      </c>
      <c r="K466" t="s">
        <v>16</v>
      </c>
      <c r="L466">
        <v>80.06</v>
      </c>
    </row>
    <row r="467" spans="1:12" x14ac:dyDescent="0.3">
      <c r="A467" t="s">
        <v>123</v>
      </c>
      <c r="B467" t="s">
        <v>84</v>
      </c>
      <c r="C467">
        <v>6027</v>
      </c>
      <c r="D467" t="str">
        <f t="shared" si="7"/>
        <v>Full</v>
      </c>
      <c r="E467">
        <v>14822</v>
      </c>
      <c r="F467">
        <v>191.23</v>
      </c>
      <c r="G467">
        <v>371.58</v>
      </c>
      <c r="H467" s="4" t="s">
        <v>1196</v>
      </c>
      <c r="I467" t="s">
        <v>477</v>
      </c>
      <c r="J467" t="s">
        <v>1197</v>
      </c>
      <c r="K467" t="s">
        <v>40</v>
      </c>
      <c r="L467">
        <v>93.95</v>
      </c>
    </row>
    <row r="468" spans="1:12" x14ac:dyDescent="0.3">
      <c r="A468" t="s">
        <v>45</v>
      </c>
      <c r="B468" t="s">
        <v>23</v>
      </c>
      <c r="C468">
        <v>4882</v>
      </c>
      <c r="D468" t="str">
        <f t="shared" si="7"/>
        <v>Full</v>
      </c>
      <c r="E468">
        <v>20837</v>
      </c>
      <c r="F468">
        <v>195.17</v>
      </c>
      <c r="G468">
        <v>303.02999999999997</v>
      </c>
      <c r="H468" s="4" t="s">
        <v>1198</v>
      </c>
      <c r="I468" t="s">
        <v>64</v>
      </c>
      <c r="J468" t="s">
        <v>1199</v>
      </c>
      <c r="K468" t="s">
        <v>16</v>
      </c>
      <c r="L468">
        <v>153.44</v>
      </c>
    </row>
    <row r="469" spans="1:12" x14ac:dyDescent="0.3">
      <c r="A469" t="s">
        <v>200</v>
      </c>
      <c r="B469" t="s">
        <v>84</v>
      </c>
      <c r="C469">
        <v>3512</v>
      </c>
      <c r="D469" t="str">
        <f t="shared" si="7"/>
        <v>Full</v>
      </c>
      <c r="E469">
        <v>1756</v>
      </c>
      <c r="F469">
        <v>41.89</v>
      </c>
      <c r="G469">
        <v>63.05</v>
      </c>
      <c r="H469" s="4" t="s">
        <v>1200</v>
      </c>
      <c r="I469" t="s">
        <v>1201</v>
      </c>
      <c r="J469" t="s">
        <v>1202</v>
      </c>
      <c r="K469" t="s">
        <v>98</v>
      </c>
      <c r="L469">
        <v>19.55</v>
      </c>
    </row>
    <row r="470" spans="1:12" x14ac:dyDescent="0.3">
      <c r="A470" t="s">
        <v>11</v>
      </c>
      <c r="B470" t="s">
        <v>12</v>
      </c>
      <c r="C470">
        <v>1545</v>
      </c>
      <c r="D470" t="str">
        <f t="shared" si="7"/>
        <v>Medium</v>
      </c>
      <c r="E470">
        <v>16505</v>
      </c>
      <c r="F470">
        <v>166.79</v>
      </c>
      <c r="G470">
        <v>205.86</v>
      </c>
      <c r="H470" s="4" t="s">
        <v>1203</v>
      </c>
      <c r="I470" t="s">
        <v>1185</v>
      </c>
      <c r="J470" t="s">
        <v>1204</v>
      </c>
      <c r="K470" t="s">
        <v>27</v>
      </c>
      <c r="L470">
        <v>84.23</v>
      </c>
    </row>
    <row r="471" spans="1:12" x14ac:dyDescent="0.3">
      <c r="A471" t="s">
        <v>123</v>
      </c>
      <c r="B471" t="s">
        <v>12</v>
      </c>
      <c r="C471">
        <v>6887</v>
      </c>
      <c r="D471" t="str">
        <f t="shared" si="7"/>
        <v>Full</v>
      </c>
      <c r="E471">
        <v>11137</v>
      </c>
      <c r="F471">
        <v>72.66</v>
      </c>
      <c r="G471">
        <v>156.86000000000001</v>
      </c>
      <c r="H471" s="4" t="s">
        <v>1162</v>
      </c>
      <c r="I471" t="s">
        <v>1205</v>
      </c>
      <c r="J471" t="s">
        <v>1206</v>
      </c>
      <c r="K471" t="s">
        <v>98</v>
      </c>
      <c r="L471">
        <v>44.37</v>
      </c>
    </row>
    <row r="472" spans="1:12" x14ac:dyDescent="0.3">
      <c r="A472" t="s">
        <v>56</v>
      </c>
      <c r="B472" t="s">
        <v>12</v>
      </c>
      <c r="C472">
        <v>1075</v>
      </c>
      <c r="D472" t="str">
        <f t="shared" si="7"/>
        <v>Medium</v>
      </c>
      <c r="E472">
        <v>22743</v>
      </c>
      <c r="F472">
        <v>110.27</v>
      </c>
      <c r="G472">
        <v>263.52999999999997</v>
      </c>
      <c r="H472" s="4" t="s">
        <v>1207</v>
      </c>
      <c r="I472" t="s">
        <v>307</v>
      </c>
      <c r="J472" t="s">
        <v>1208</v>
      </c>
      <c r="K472" t="s">
        <v>40</v>
      </c>
      <c r="L472">
        <v>68.3</v>
      </c>
    </row>
    <row r="473" spans="1:12" x14ac:dyDescent="0.3">
      <c r="A473" t="s">
        <v>123</v>
      </c>
      <c r="B473" t="s">
        <v>32</v>
      </c>
      <c r="C473">
        <v>3400</v>
      </c>
      <c r="D473" t="str">
        <f t="shared" si="7"/>
        <v>Full</v>
      </c>
      <c r="E473">
        <v>20360</v>
      </c>
      <c r="F473">
        <v>181.29</v>
      </c>
      <c r="G473">
        <v>366.27</v>
      </c>
      <c r="H473" s="4" t="s">
        <v>1209</v>
      </c>
      <c r="I473" t="s">
        <v>1210</v>
      </c>
      <c r="J473" t="s">
        <v>1211</v>
      </c>
      <c r="K473" t="s">
        <v>16</v>
      </c>
      <c r="L473">
        <v>118.91</v>
      </c>
    </row>
    <row r="474" spans="1:12" x14ac:dyDescent="0.3">
      <c r="A474" t="s">
        <v>66</v>
      </c>
      <c r="B474" t="s">
        <v>23</v>
      </c>
      <c r="C474">
        <v>6188</v>
      </c>
      <c r="D474" t="str">
        <f t="shared" si="7"/>
        <v>Full</v>
      </c>
      <c r="E474">
        <v>16782</v>
      </c>
      <c r="F474">
        <v>164.2</v>
      </c>
      <c r="G474">
        <v>368.81</v>
      </c>
      <c r="H474" s="4" t="s">
        <v>1212</v>
      </c>
      <c r="I474" t="s">
        <v>151</v>
      </c>
      <c r="J474" t="s">
        <v>1213</v>
      </c>
      <c r="K474" t="s">
        <v>21</v>
      </c>
      <c r="L474">
        <v>82.74</v>
      </c>
    </row>
    <row r="475" spans="1:12" x14ac:dyDescent="0.3">
      <c r="A475" t="s">
        <v>31</v>
      </c>
      <c r="B475" t="s">
        <v>12</v>
      </c>
      <c r="C475">
        <v>501</v>
      </c>
      <c r="D475" t="str">
        <f t="shared" si="7"/>
        <v>Low</v>
      </c>
      <c r="E475">
        <v>18148</v>
      </c>
      <c r="F475">
        <v>245.54</v>
      </c>
      <c r="G475">
        <v>565.30999999999995</v>
      </c>
      <c r="H475" s="4" t="s">
        <v>1214</v>
      </c>
      <c r="I475" t="s">
        <v>1215</v>
      </c>
      <c r="J475" t="s">
        <v>1216</v>
      </c>
      <c r="K475" t="s">
        <v>16</v>
      </c>
      <c r="L475">
        <v>99.03</v>
      </c>
    </row>
    <row r="476" spans="1:12" x14ac:dyDescent="0.3">
      <c r="A476" t="s">
        <v>49</v>
      </c>
      <c r="B476" t="s">
        <v>36</v>
      </c>
      <c r="C476">
        <v>5408</v>
      </c>
      <c r="D476" t="str">
        <f t="shared" si="7"/>
        <v>Full</v>
      </c>
      <c r="E476">
        <v>1299</v>
      </c>
      <c r="F476">
        <v>230.93</v>
      </c>
      <c r="G476">
        <v>516.66999999999996</v>
      </c>
      <c r="H476" s="4" t="s">
        <v>484</v>
      </c>
      <c r="I476" t="s">
        <v>1007</v>
      </c>
      <c r="J476" t="s">
        <v>1217</v>
      </c>
      <c r="K476" t="s">
        <v>16</v>
      </c>
      <c r="L476">
        <v>126.89</v>
      </c>
    </row>
    <row r="477" spans="1:12" x14ac:dyDescent="0.3">
      <c r="A477" t="s">
        <v>200</v>
      </c>
      <c r="B477" t="s">
        <v>32</v>
      </c>
      <c r="C477">
        <v>7661</v>
      </c>
      <c r="D477" t="str">
        <f t="shared" si="7"/>
        <v>Full</v>
      </c>
      <c r="E477">
        <v>13935</v>
      </c>
      <c r="F477">
        <v>78.72</v>
      </c>
      <c r="G477">
        <v>167.63</v>
      </c>
      <c r="H477" s="4" t="s">
        <v>432</v>
      </c>
      <c r="I477" t="s">
        <v>1218</v>
      </c>
      <c r="J477" t="s">
        <v>1219</v>
      </c>
      <c r="K477" t="s">
        <v>98</v>
      </c>
      <c r="L477">
        <v>39.770000000000003</v>
      </c>
    </row>
    <row r="478" spans="1:12" x14ac:dyDescent="0.3">
      <c r="A478" t="s">
        <v>200</v>
      </c>
      <c r="B478" t="s">
        <v>84</v>
      </c>
      <c r="C478">
        <v>8964</v>
      </c>
      <c r="D478" t="str">
        <f t="shared" si="7"/>
        <v>Full</v>
      </c>
      <c r="E478">
        <v>21093</v>
      </c>
      <c r="F478">
        <v>243.23</v>
      </c>
      <c r="G478">
        <v>508.36</v>
      </c>
      <c r="H478" s="4" t="s">
        <v>1220</v>
      </c>
      <c r="I478" t="s">
        <v>1221</v>
      </c>
      <c r="J478" t="s">
        <v>1222</v>
      </c>
      <c r="K478" t="s">
        <v>40</v>
      </c>
      <c r="L478">
        <v>137.46</v>
      </c>
    </row>
    <row r="479" spans="1:12" x14ac:dyDescent="0.3">
      <c r="A479" t="s">
        <v>41</v>
      </c>
      <c r="B479" t="s">
        <v>84</v>
      </c>
      <c r="C479">
        <v>2738</v>
      </c>
      <c r="D479" t="str">
        <f t="shared" si="7"/>
        <v>Medium</v>
      </c>
      <c r="E479">
        <v>10489</v>
      </c>
      <c r="F479">
        <v>37.56</v>
      </c>
      <c r="G479">
        <v>67.31</v>
      </c>
      <c r="H479" s="4" t="s">
        <v>737</v>
      </c>
      <c r="I479" t="s">
        <v>1223</v>
      </c>
      <c r="J479" t="s">
        <v>1224</v>
      </c>
      <c r="K479" t="s">
        <v>21</v>
      </c>
      <c r="L479">
        <v>17.850000000000001</v>
      </c>
    </row>
    <row r="480" spans="1:12" x14ac:dyDescent="0.3">
      <c r="A480" t="s">
        <v>17</v>
      </c>
      <c r="B480" t="s">
        <v>84</v>
      </c>
      <c r="C480">
        <v>1313</v>
      </c>
      <c r="D480" t="str">
        <f t="shared" si="7"/>
        <v>Medium</v>
      </c>
      <c r="E480">
        <v>18529</v>
      </c>
      <c r="F480">
        <v>11.53</v>
      </c>
      <c r="G480">
        <v>28.41</v>
      </c>
      <c r="H480" s="4" t="s">
        <v>1225</v>
      </c>
      <c r="I480" t="s">
        <v>1226</v>
      </c>
      <c r="J480" t="s">
        <v>1227</v>
      </c>
      <c r="K480" t="s">
        <v>21</v>
      </c>
      <c r="L480">
        <v>7.97</v>
      </c>
    </row>
    <row r="481" spans="1:12" x14ac:dyDescent="0.3">
      <c r="A481" t="s">
        <v>80</v>
      </c>
      <c r="B481" t="s">
        <v>12</v>
      </c>
      <c r="C481">
        <v>2968</v>
      </c>
      <c r="D481" t="str">
        <f t="shared" si="7"/>
        <v>Medium</v>
      </c>
      <c r="E481">
        <v>1482</v>
      </c>
      <c r="F481">
        <v>150.61000000000001</v>
      </c>
      <c r="G481">
        <v>247.68</v>
      </c>
      <c r="H481" s="4" t="s">
        <v>1228</v>
      </c>
      <c r="I481" t="s">
        <v>362</v>
      </c>
      <c r="J481" t="s">
        <v>1229</v>
      </c>
      <c r="K481" t="s">
        <v>21</v>
      </c>
      <c r="L481">
        <v>102.23</v>
      </c>
    </row>
    <row r="482" spans="1:12" x14ac:dyDescent="0.3">
      <c r="A482" t="s">
        <v>127</v>
      </c>
      <c r="B482" t="s">
        <v>23</v>
      </c>
      <c r="C482">
        <v>1814</v>
      </c>
      <c r="D482" t="str">
        <f t="shared" si="7"/>
        <v>Medium</v>
      </c>
      <c r="E482">
        <v>5787</v>
      </c>
      <c r="F482">
        <v>21.53</v>
      </c>
      <c r="G482">
        <v>47.55</v>
      </c>
      <c r="H482" s="4" t="s">
        <v>1196</v>
      </c>
      <c r="I482" t="s">
        <v>1230</v>
      </c>
      <c r="J482" t="s">
        <v>1231</v>
      </c>
      <c r="K482" t="s">
        <v>98</v>
      </c>
      <c r="L482">
        <v>10.27</v>
      </c>
    </row>
    <row r="483" spans="1:12" x14ac:dyDescent="0.3">
      <c r="A483" t="s">
        <v>147</v>
      </c>
      <c r="B483" t="s">
        <v>36</v>
      </c>
      <c r="C483">
        <v>706</v>
      </c>
      <c r="D483" t="str">
        <f t="shared" si="7"/>
        <v>Low</v>
      </c>
      <c r="E483">
        <v>4996</v>
      </c>
      <c r="F483">
        <v>292.51</v>
      </c>
      <c r="G483">
        <v>622.78</v>
      </c>
      <c r="H483" s="4" t="s">
        <v>1232</v>
      </c>
      <c r="I483" t="s">
        <v>1007</v>
      </c>
      <c r="J483" t="s">
        <v>1233</v>
      </c>
      <c r="K483" t="s">
        <v>27</v>
      </c>
      <c r="L483">
        <v>140.31</v>
      </c>
    </row>
    <row r="484" spans="1:12" x14ac:dyDescent="0.3">
      <c r="A484" t="s">
        <v>11</v>
      </c>
      <c r="B484" t="s">
        <v>32</v>
      </c>
      <c r="C484">
        <v>3915</v>
      </c>
      <c r="D484" t="str">
        <f t="shared" si="7"/>
        <v>Full</v>
      </c>
      <c r="E484">
        <v>16493</v>
      </c>
      <c r="F484">
        <v>119.79</v>
      </c>
      <c r="G484">
        <v>293.43</v>
      </c>
      <c r="H484" s="4" t="s">
        <v>263</v>
      </c>
      <c r="I484" t="s">
        <v>1234</v>
      </c>
      <c r="J484" t="s">
        <v>1235</v>
      </c>
      <c r="K484" t="s">
        <v>27</v>
      </c>
      <c r="L484">
        <v>83.6</v>
      </c>
    </row>
    <row r="485" spans="1:12" x14ac:dyDescent="0.3">
      <c r="A485" t="s">
        <v>66</v>
      </c>
      <c r="B485" t="s">
        <v>32</v>
      </c>
      <c r="C485">
        <v>2501</v>
      </c>
      <c r="D485" t="str">
        <f t="shared" si="7"/>
        <v>Medium</v>
      </c>
      <c r="E485">
        <v>9300</v>
      </c>
      <c r="F485">
        <v>146.96</v>
      </c>
      <c r="G485">
        <v>233.44</v>
      </c>
      <c r="H485" s="4" t="s">
        <v>1236</v>
      </c>
      <c r="I485" t="s">
        <v>481</v>
      </c>
      <c r="J485" t="s">
        <v>1237</v>
      </c>
      <c r="K485" t="s">
        <v>98</v>
      </c>
      <c r="L485">
        <v>116</v>
      </c>
    </row>
    <row r="486" spans="1:12" x14ac:dyDescent="0.3">
      <c r="A486" t="s">
        <v>80</v>
      </c>
      <c r="B486" t="s">
        <v>36</v>
      </c>
      <c r="C486">
        <v>5816</v>
      </c>
      <c r="D486" t="str">
        <f t="shared" si="7"/>
        <v>Full</v>
      </c>
      <c r="E486">
        <v>1493</v>
      </c>
      <c r="F486">
        <v>54.37</v>
      </c>
      <c r="G486">
        <v>84.76</v>
      </c>
      <c r="H486" s="4" t="s">
        <v>830</v>
      </c>
      <c r="I486" t="s">
        <v>1238</v>
      </c>
      <c r="J486" t="s">
        <v>1239</v>
      </c>
      <c r="K486" t="s">
        <v>27</v>
      </c>
      <c r="L486">
        <v>42.82</v>
      </c>
    </row>
    <row r="487" spans="1:12" x14ac:dyDescent="0.3">
      <c r="A487" t="s">
        <v>22</v>
      </c>
      <c r="B487" t="s">
        <v>36</v>
      </c>
      <c r="C487">
        <v>3039</v>
      </c>
      <c r="D487" t="str">
        <f t="shared" si="7"/>
        <v>Full</v>
      </c>
      <c r="E487">
        <v>13169</v>
      </c>
      <c r="F487">
        <v>232.39</v>
      </c>
      <c r="G487">
        <v>354.01</v>
      </c>
      <c r="H487" s="4" t="s">
        <v>1240</v>
      </c>
      <c r="I487" t="s">
        <v>1241</v>
      </c>
      <c r="J487" t="s">
        <v>1242</v>
      </c>
      <c r="K487" t="s">
        <v>16</v>
      </c>
      <c r="L487">
        <v>124.41</v>
      </c>
    </row>
    <row r="488" spans="1:12" x14ac:dyDescent="0.3">
      <c r="A488" t="s">
        <v>127</v>
      </c>
      <c r="B488" t="s">
        <v>12</v>
      </c>
      <c r="C488">
        <v>6324</v>
      </c>
      <c r="D488" t="str">
        <f t="shared" si="7"/>
        <v>Full</v>
      </c>
      <c r="E488">
        <v>22121</v>
      </c>
      <c r="F488">
        <v>50.41</v>
      </c>
      <c r="G488">
        <v>95.64</v>
      </c>
      <c r="H488" s="4" t="s">
        <v>1243</v>
      </c>
      <c r="I488" t="s">
        <v>249</v>
      </c>
      <c r="J488" t="s">
        <v>1244</v>
      </c>
      <c r="K488" t="s">
        <v>98</v>
      </c>
      <c r="L488">
        <v>26.55</v>
      </c>
    </row>
    <row r="489" spans="1:12" x14ac:dyDescent="0.3">
      <c r="A489" t="s">
        <v>66</v>
      </c>
      <c r="B489" t="s">
        <v>23</v>
      </c>
      <c r="C489">
        <v>7687</v>
      </c>
      <c r="D489" t="str">
        <f t="shared" si="7"/>
        <v>Full</v>
      </c>
      <c r="E489">
        <v>7323</v>
      </c>
      <c r="F489">
        <v>11.3</v>
      </c>
      <c r="G489">
        <v>19.11</v>
      </c>
      <c r="H489" s="4" t="s">
        <v>120</v>
      </c>
      <c r="I489" t="s">
        <v>1095</v>
      </c>
      <c r="J489" t="s">
        <v>1245</v>
      </c>
      <c r="K489" t="s">
        <v>21</v>
      </c>
      <c r="L489">
        <v>7.71</v>
      </c>
    </row>
    <row r="490" spans="1:12" x14ac:dyDescent="0.3">
      <c r="A490" t="s">
        <v>66</v>
      </c>
      <c r="B490" t="s">
        <v>23</v>
      </c>
      <c r="C490">
        <v>9392</v>
      </c>
      <c r="D490" t="str">
        <f t="shared" si="7"/>
        <v>Full</v>
      </c>
      <c r="E490">
        <v>23840</v>
      </c>
      <c r="F490">
        <v>149.58000000000001</v>
      </c>
      <c r="G490">
        <v>289.69</v>
      </c>
      <c r="H490" s="4" t="s">
        <v>116</v>
      </c>
      <c r="I490" t="s">
        <v>1246</v>
      </c>
      <c r="J490" t="s">
        <v>1247</v>
      </c>
      <c r="K490" t="s">
        <v>21</v>
      </c>
      <c r="L490">
        <v>76.31</v>
      </c>
    </row>
    <row r="491" spans="1:12" x14ac:dyDescent="0.3">
      <c r="A491" t="s">
        <v>176</v>
      </c>
      <c r="B491" t="s">
        <v>32</v>
      </c>
      <c r="C491">
        <v>3127</v>
      </c>
      <c r="D491" t="str">
        <f t="shared" si="7"/>
        <v>Full</v>
      </c>
      <c r="E491">
        <v>3256</v>
      </c>
      <c r="F491">
        <v>161.69</v>
      </c>
      <c r="G491">
        <v>288.49</v>
      </c>
      <c r="H491" s="4" t="s">
        <v>1166</v>
      </c>
      <c r="I491" t="s">
        <v>456</v>
      </c>
      <c r="J491" t="s">
        <v>1248</v>
      </c>
      <c r="K491" t="s">
        <v>21</v>
      </c>
      <c r="L491">
        <v>64.72</v>
      </c>
    </row>
    <row r="492" spans="1:12" x14ac:dyDescent="0.3">
      <c r="A492" t="s">
        <v>119</v>
      </c>
      <c r="B492" t="s">
        <v>36</v>
      </c>
      <c r="C492">
        <v>3539</v>
      </c>
      <c r="D492" t="str">
        <f t="shared" si="7"/>
        <v>Full</v>
      </c>
      <c r="E492">
        <v>1613</v>
      </c>
      <c r="F492">
        <v>187.82</v>
      </c>
      <c r="G492">
        <v>314.27999999999997</v>
      </c>
      <c r="H492" s="4" t="s">
        <v>1249</v>
      </c>
      <c r="I492" t="s">
        <v>1250</v>
      </c>
      <c r="J492" t="s">
        <v>1251</v>
      </c>
      <c r="K492" t="s">
        <v>27</v>
      </c>
      <c r="L492">
        <v>124.58</v>
      </c>
    </row>
    <row r="493" spans="1:12" x14ac:dyDescent="0.3">
      <c r="A493" t="s">
        <v>66</v>
      </c>
      <c r="B493" t="s">
        <v>36</v>
      </c>
      <c r="C493">
        <v>3610</v>
      </c>
      <c r="D493" t="str">
        <f t="shared" si="7"/>
        <v>Full</v>
      </c>
      <c r="E493">
        <v>18172</v>
      </c>
      <c r="F493">
        <v>206.55</v>
      </c>
      <c r="G493">
        <v>453.47</v>
      </c>
      <c r="H493" s="4" t="s">
        <v>723</v>
      </c>
      <c r="I493" t="s">
        <v>644</v>
      </c>
      <c r="J493" t="s">
        <v>1252</v>
      </c>
      <c r="K493" t="s">
        <v>40</v>
      </c>
      <c r="L493">
        <v>116.48</v>
      </c>
    </row>
    <row r="494" spans="1:12" x14ac:dyDescent="0.3">
      <c r="A494" t="s">
        <v>45</v>
      </c>
      <c r="B494" t="s">
        <v>12</v>
      </c>
      <c r="C494">
        <v>2077</v>
      </c>
      <c r="D494" t="str">
        <f t="shared" si="7"/>
        <v>Medium</v>
      </c>
      <c r="E494">
        <v>18144</v>
      </c>
      <c r="F494">
        <v>199.37</v>
      </c>
      <c r="G494">
        <v>250.59</v>
      </c>
      <c r="H494" s="4" t="s">
        <v>1253</v>
      </c>
      <c r="I494" t="s">
        <v>164</v>
      </c>
      <c r="J494" t="s">
        <v>1254</v>
      </c>
      <c r="K494" t="s">
        <v>98</v>
      </c>
      <c r="L494">
        <v>88.29</v>
      </c>
    </row>
    <row r="495" spans="1:12" x14ac:dyDescent="0.3">
      <c r="A495" t="s">
        <v>88</v>
      </c>
      <c r="B495" t="s">
        <v>12</v>
      </c>
      <c r="C495">
        <v>1021</v>
      </c>
      <c r="D495" t="str">
        <f t="shared" si="7"/>
        <v>Medium</v>
      </c>
      <c r="E495">
        <v>19710</v>
      </c>
      <c r="F495">
        <v>194.32</v>
      </c>
      <c r="G495">
        <v>331.35</v>
      </c>
      <c r="H495" s="4" t="s">
        <v>858</v>
      </c>
      <c r="I495" t="s">
        <v>1255</v>
      </c>
      <c r="J495" t="s">
        <v>1256</v>
      </c>
      <c r="K495" t="s">
        <v>16</v>
      </c>
      <c r="L495">
        <v>97.62</v>
      </c>
    </row>
    <row r="496" spans="1:12" x14ac:dyDescent="0.3">
      <c r="A496" t="s">
        <v>76</v>
      </c>
      <c r="B496" t="s">
        <v>84</v>
      </c>
      <c r="C496">
        <v>1661</v>
      </c>
      <c r="D496" t="str">
        <f t="shared" si="7"/>
        <v>Medium</v>
      </c>
      <c r="E496">
        <v>1428</v>
      </c>
      <c r="F496">
        <v>279.41000000000003</v>
      </c>
      <c r="G496">
        <v>411.11</v>
      </c>
      <c r="H496" s="4" t="s">
        <v>1257</v>
      </c>
      <c r="I496" t="s">
        <v>326</v>
      </c>
      <c r="J496" t="s">
        <v>1258</v>
      </c>
      <c r="K496" t="s">
        <v>27</v>
      </c>
      <c r="L496">
        <v>152.1</v>
      </c>
    </row>
    <row r="497" spans="1:12" x14ac:dyDescent="0.3">
      <c r="A497" t="s">
        <v>200</v>
      </c>
      <c r="B497" t="s">
        <v>23</v>
      </c>
      <c r="C497">
        <v>1455</v>
      </c>
      <c r="D497" t="str">
        <f t="shared" si="7"/>
        <v>Medium</v>
      </c>
      <c r="E497">
        <v>21215</v>
      </c>
      <c r="F497">
        <v>83.42</v>
      </c>
      <c r="G497">
        <v>104.51</v>
      </c>
      <c r="H497" s="4" t="s">
        <v>1259</v>
      </c>
      <c r="I497" t="s">
        <v>1260</v>
      </c>
      <c r="J497" t="s">
        <v>1261</v>
      </c>
      <c r="K497" t="s">
        <v>98</v>
      </c>
      <c r="L497">
        <v>65.42</v>
      </c>
    </row>
    <row r="498" spans="1:12" x14ac:dyDescent="0.3">
      <c r="A498" t="s">
        <v>11</v>
      </c>
      <c r="B498" t="s">
        <v>12</v>
      </c>
      <c r="C498">
        <v>4284</v>
      </c>
      <c r="D498" t="str">
        <f t="shared" si="7"/>
        <v>Full</v>
      </c>
      <c r="E498">
        <v>18421</v>
      </c>
      <c r="F498">
        <v>118.67</v>
      </c>
      <c r="G498">
        <v>172.2</v>
      </c>
      <c r="H498" s="4" t="s">
        <v>1153</v>
      </c>
      <c r="I498" t="s">
        <v>1262</v>
      </c>
      <c r="J498" t="s">
        <v>1263</v>
      </c>
      <c r="K498" t="s">
        <v>98</v>
      </c>
      <c r="L498">
        <v>73.98</v>
      </c>
    </row>
    <row r="499" spans="1:12" x14ac:dyDescent="0.3">
      <c r="A499" t="s">
        <v>66</v>
      </c>
      <c r="B499" t="s">
        <v>36</v>
      </c>
      <c r="C499">
        <v>2228</v>
      </c>
      <c r="D499" t="str">
        <f t="shared" si="7"/>
        <v>Medium</v>
      </c>
      <c r="E499">
        <v>21926</v>
      </c>
      <c r="F499">
        <v>175.09</v>
      </c>
      <c r="G499">
        <v>363.63</v>
      </c>
      <c r="H499" s="4" t="s">
        <v>380</v>
      </c>
      <c r="I499" t="s">
        <v>1264</v>
      </c>
      <c r="J499" t="s">
        <v>1265</v>
      </c>
      <c r="K499" t="s">
        <v>98</v>
      </c>
      <c r="L499">
        <v>125.54</v>
      </c>
    </row>
    <row r="500" spans="1:12" x14ac:dyDescent="0.3">
      <c r="A500" t="s">
        <v>66</v>
      </c>
      <c r="B500" t="s">
        <v>36</v>
      </c>
      <c r="C500">
        <v>8768</v>
      </c>
      <c r="D500" t="str">
        <f t="shared" si="7"/>
        <v>Full</v>
      </c>
      <c r="E500">
        <v>12059</v>
      </c>
      <c r="F500">
        <v>198.97</v>
      </c>
      <c r="G500">
        <v>376.86</v>
      </c>
      <c r="H500" s="4" t="s">
        <v>1266</v>
      </c>
      <c r="I500" t="s">
        <v>1267</v>
      </c>
      <c r="J500" t="s">
        <v>1268</v>
      </c>
      <c r="K500" t="s">
        <v>40</v>
      </c>
      <c r="L500">
        <v>123.37</v>
      </c>
    </row>
    <row r="501" spans="1:12" x14ac:dyDescent="0.3">
      <c r="A501" t="s">
        <v>45</v>
      </c>
      <c r="B501" t="s">
        <v>23</v>
      </c>
      <c r="C501">
        <v>7255</v>
      </c>
      <c r="D501" t="str">
        <f t="shared" si="7"/>
        <v>Full</v>
      </c>
      <c r="E501">
        <v>21750</v>
      </c>
      <c r="F501">
        <v>132.02000000000001</v>
      </c>
      <c r="G501">
        <v>283</v>
      </c>
      <c r="H501" s="4" t="s">
        <v>63</v>
      </c>
      <c r="I501" t="s">
        <v>1043</v>
      </c>
      <c r="J501" t="s">
        <v>1269</v>
      </c>
      <c r="K501" t="s">
        <v>16</v>
      </c>
      <c r="L501">
        <v>64.11</v>
      </c>
    </row>
    <row r="502" spans="1:12" x14ac:dyDescent="0.3">
      <c r="A502" t="s">
        <v>66</v>
      </c>
      <c r="B502" t="s">
        <v>23</v>
      </c>
      <c r="C502">
        <v>6398</v>
      </c>
      <c r="D502" t="str">
        <f t="shared" si="7"/>
        <v>Full</v>
      </c>
      <c r="E502">
        <v>15824</v>
      </c>
      <c r="F502">
        <v>137.01</v>
      </c>
      <c r="G502">
        <v>235.14</v>
      </c>
      <c r="H502" s="4" t="s">
        <v>923</v>
      </c>
      <c r="I502" t="s">
        <v>1270</v>
      </c>
      <c r="J502" t="s">
        <v>1271</v>
      </c>
      <c r="K502" t="s">
        <v>27</v>
      </c>
      <c r="L502">
        <v>83.17</v>
      </c>
    </row>
    <row r="503" spans="1:12" x14ac:dyDescent="0.3">
      <c r="A503" t="s">
        <v>31</v>
      </c>
      <c r="B503" t="s">
        <v>12</v>
      </c>
      <c r="C503">
        <v>5420</v>
      </c>
      <c r="D503" t="str">
        <f t="shared" si="7"/>
        <v>Full</v>
      </c>
      <c r="E503">
        <v>8270</v>
      </c>
      <c r="F503">
        <v>68.37</v>
      </c>
      <c r="G503">
        <v>110.03</v>
      </c>
      <c r="H503" s="4" t="s">
        <v>1272</v>
      </c>
      <c r="I503" t="s">
        <v>1273</v>
      </c>
      <c r="J503" t="s">
        <v>1274</v>
      </c>
      <c r="K503" t="s">
        <v>16</v>
      </c>
      <c r="L503">
        <v>42.95</v>
      </c>
    </row>
    <row r="504" spans="1:12" x14ac:dyDescent="0.3">
      <c r="A504" t="s">
        <v>22</v>
      </c>
      <c r="B504" t="s">
        <v>84</v>
      </c>
      <c r="C504">
        <v>2044</v>
      </c>
      <c r="D504" t="str">
        <f t="shared" si="7"/>
        <v>Medium</v>
      </c>
      <c r="E504">
        <v>2236</v>
      </c>
      <c r="F504">
        <v>140.81</v>
      </c>
      <c r="G504">
        <v>197.55</v>
      </c>
      <c r="H504" s="4" t="s">
        <v>1275</v>
      </c>
      <c r="I504" t="s">
        <v>605</v>
      </c>
      <c r="J504" t="s">
        <v>1276</v>
      </c>
      <c r="K504" t="s">
        <v>98</v>
      </c>
      <c r="L504">
        <v>69.45</v>
      </c>
    </row>
    <row r="505" spans="1:12" x14ac:dyDescent="0.3">
      <c r="A505" t="s">
        <v>31</v>
      </c>
      <c r="B505" t="s">
        <v>12</v>
      </c>
      <c r="C505">
        <v>9846</v>
      </c>
      <c r="D505" t="str">
        <f t="shared" si="7"/>
        <v>Full</v>
      </c>
      <c r="E505">
        <v>14100</v>
      </c>
      <c r="F505">
        <v>172.87</v>
      </c>
      <c r="G505">
        <v>256.31</v>
      </c>
      <c r="H505" s="4" t="s">
        <v>791</v>
      </c>
      <c r="I505" t="s">
        <v>1277</v>
      </c>
      <c r="J505" t="s">
        <v>1278</v>
      </c>
      <c r="K505" t="s">
        <v>98</v>
      </c>
      <c r="L505">
        <v>102.91</v>
      </c>
    </row>
    <row r="506" spans="1:12" x14ac:dyDescent="0.3">
      <c r="A506" t="s">
        <v>22</v>
      </c>
      <c r="B506" t="s">
        <v>12</v>
      </c>
      <c r="C506">
        <v>5421</v>
      </c>
      <c r="D506" t="str">
        <f t="shared" si="7"/>
        <v>Full</v>
      </c>
      <c r="E506">
        <v>2224</v>
      </c>
      <c r="F506">
        <v>220.58</v>
      </c>
      <c r="G506">
        <v>429.95</v>
      </c>
      <c r="H506" s="4" t="s">
        <v>580</v>
      </c>
      <c r="I506" t="s">
        <v>695</v>
      </c>
      <c r="J506" t="s">
        <v>1279</v>
      </c>
      <c r="K506" t="s">
        <v>40</v>
      </c>
      <c r="L506">
        <v>165.86</v>
      </c>
    </row>
    <row r="507" spans="1:12" x14ac:dyDescent="0.3">
      <c r="A507" t="s">
        <v>200</v>
      </c>
      <c r="B507" t="s">
        <v>36</v>
      </c>
      <c r="C507">
        <v>2474</v>
      </c>
      <c r="D507" t="str">
        <f t="shared" si="7"/>
        <v>Medium</v>
      </c>
      <c r="E507">
        <v>8429</v>
      </c>
      <c r="F507">
        <v>225.57</v>
      </c>
      <c r="G507">
        <v>519.79</v>
      </c>
      <c r="H507" s="4" t="s">
        <v>1280</v>
      </c>
      <c r="I507" t="s">
        <v>267</v>
      </c>
      <c r="J507" t="s">
        <v>1281</v>
      </c>
      <c r="K507" t="s">
        <v>21</v>
      </c>
      <c r="L507">
        <v>95.11</v>
      </c>
    </row>
    <row r="508" spans="1:12" x14ac:dyDescent="0.3">
      <c r="A508" t="s">
        <v>119</v>
      </c>
      <c r="B508" t="s">
        <v>12</v>
      </c>
      <c r="C508">
        <v>5731</v>
      </c>
      <c r="D508" t="str">
        <f t="shared" si="7"/>
        <v>Full</v>
      </c>
      <c r="E508">
        <v>18692</v>
      </c>
      <c r="F508">
        <v>171.65</v>
      </c>
      <c r="G508">
        <v>278.91000000000003</v>
      </c>
      <c r="H508" s="4" t="s">
        <v>1064</v>
      </c>
      <c r="I508" t="s">
        <v>1282</v>
      </c>
      <c r="J508" t="s">
        <v>1283</v>
      </c>
      <c r="K508" t="s">
        <v>21</v>
      </c>
      <c r="L508">
        <v>135.33000000000001</v>
      </c>
    </row>
    <row r="509" spans="1:12" x14ac:dyDescent="0.3">
      <c r="A509" t="s">
        <v>176</v>
      </c>
      <c r="B509" t="s">
        <v>32</v>
      </c>
      <c r="C509">
        <v>8769</v>
      </c>
      <c r="D509" t="str">
        <f t="shared" si="7"/>
        <v>Full</v>
      </c>
      <c r="E509">
        <v>3951</v>
      </c>
      <c r="F509">
        <v>70.52</v>
      </c>
      <c r="G509">
        <v>111.19</v>
      </c>
      <c r="H509" s="4" t="s">
        <v>1284</v>
      </c>
      <c r="I509" t="s">
        <v>1285</v>
      </c>
      <c r="J509" t="s">
        <v>1286</v>
      </c>
      <c r="K509" t="s">
        <v>40</v>
      </c>
      <c r="L509">
        <v>30.54</v>
      </c>
    </row>
    <row r="510" spans="1:12" x14ac:dyDescent="0.3">
      <c r="A510" t="s">
        <v>22</v>
      </c>
      <c r="B510" t="s">
        <v>12</v>
      </c>
      <c r="C510">
        <v>9480</v>
      </c>
      <c r="D510" t="str">
        <f t="shared" si="7"/>
        <v>Full</v>
      </c>
      <c r="E510">
        <v>14080</v>
      </c>
      <c r="F510">
        <v>82.45</v>
      </c>
      <c r="G510">
        <v>141.66</v>
      </c>
      <c r="H510" s="4" t="s">
        <v>1287</v>
      </c>
      <c r="I510" t="s">
        <v>1288</v>
      </c>
      <c r="J510" t="s">
        <v>1289</v>
      </c>
      <c r="K510" t="s">
        <v>98</v>
      </c>
      <c r="L510">
        <v>48.84</v>
      </c>
    </row>
    <row r="511" spans="1:12" x14ac:dyDescent="0.3">
      <c r="A511" t="s">
        <v>88</v>
      </c>
      <c r="B511" t="s">
        <v>36</v>
      </c>
      <c r="C511">
        <v>6976</v>
      </c>
      <c r="D511" t="str">
        <f t="shared" si="7"/>
        <v>Full</v>
      </c>
      <c r="E511">
        <v>22372</v>
      </c>
      <c r="F511">
        <v>173.54</v>
      </c>
      <c r="G511">
        <v>334.85</v>
      </c>
      <c r="H511" s="4" t="s">
        <v>1290</v>
      </c>
      <c r="I511" t="s">
        <v>353</v>
      </c>
      <c r="J511" t="s">
        <v>1291</v>
      </c>
      <c r="K511" t="s">
        <v>27</v>
      </c>
      <c r="L511">
        <v>87.9</v>
      </c>
    </row>
    <row r="512" spans="1:12" x14ac:dyDescent="0.3">
      <c r="A512" t="s">
        <v>200</v>
      </c>
      <c r="B512" t="s">
        <v>23</v>
      </c>
      <c r="C512">
        <v>9937</v>
      </c>
      <c r="D512" t="str">
        <f t="shared" si="7"/>
        <v>Full</v>
      </c>
      <c r="E512">
        <v>3935</v>
      </c>
      <c r="F512">
        <v>38.200000000000003</v>
      </c>
      <c r="G512">
        <v>66.38</v>
      </c>
      <c r="H512" s="4" t="s">
        <v>331</v>
      </c>
      <c r="I512" t="s">
        <v>1013</v>
      </c>
      <c r="J512" t="s">
        <v>1292</v>
      </c>
      <c r="K512" t="s">
        <v>40</v>
      </c>
      <c r="L512">
        <v>20.54</v>
      </c>
    </row>
    <row r="513" spans="1:12" x14ac:dyDescent="0.3">
      <c r="A513" t="s">
        <v>17</v>
      </c>
      <c r="B513" t="s">
        <v>23</v>
      </c>
      <c r="C513">
        <v>3273</v>
      </c>
      <c r="D513" t="str">
        <f t="shared" si="7"/>
        <v>Full</v>
      </c>
      <c r="E513">
        <v>12459</v>
      </c>
      <c r="F513">
        <v>186.79</v>
      </c>
      <c r="G513">
        <v>464.59</v>
      </c>
      <c r="H513" s="4" t="s">
        <v>1212</v>
      </c>
      <c r="I513" t="s">
        <v>815</v>
      </c>
      <c r="J513" t="s">
        <v>1293</v>
      </c>
      <c r="K513" t="s">
        <v>21</v>
      </c>
      <c r="L513">
        <v>78.069999999999993</v>
      </c>
    </row>
    <row r="514" spans="1:12" x14ac:dyDescent="0.3">
      <c r="A514" t="s">
        <v>80</v>
      </c>
      <c r="B514" t="s">
        <v>84</v>
      </c>
      <c r="C514">
        <v>6624</v>
      </c>
      <c r="D514" t="str">
        <f t="shared" si="7"/>
        <v>Full</v>
      </c>
      <c r="E514">
        <v>6111</v>
      </c>
      <c r="F514">
        <v>228.53</v>
      </c>
      <c r="G514">
        <v>527.58000000000004</v>
      </c>
      <c r="H514" s="4" t="s">
        <v>1294</v>
      </c>
      <c r="I514" t="s">
        <v>920</v>
      </c>
      <c r="J514" t="s">
        <v>1295</v>
      </c>
      <c r="K514" t="s">
        <v>16</v>
      </c>
      <c r="L514">
        <v>176.13</v>
      </c>
    </row>
    <row r="515" spans="1:12" x14ac:dyDescent="0.3">
      <c r="A515" t="s">
        <v>31</v>
      </c>
      <c r="B515" t="s">
        <v>12</v>
      </c>
      <c r="C515">
        <v>6124</v>
      </c>
      <c r="D515" t="str">
        <f t="shared" ref="D515:D578" si="8">IF(C515&lt;1000,"Low",IF(C515&lt;=3000,"Medium","Full"))</f>
        <v>Full</v>
      </c>
      <c r="E515">
        <v>23734</v>
      </c>
      <c r="F515">
        <v>242.26</v>
      </c>
      <c r="G515">
        <v>386.81</v>
      </c>
      <c r="H515" s="4" t="s">
        <v>1296</v>
      </c>
      <c r="I515" t="s">
        <v>756</v>
      </c>
      <c r="J515" t="s">
        <v>1297</v>
      </c>
      <c r="K515" t="s">
        <v>98</v>
      </c>
      <c r="L515">
        <v>168.61</v>
      </c>
    </row>
    <row r="516" spans="1:12" x14ac:dyDescent="0.3">
      <c r="A516" t="s">
        <v>88</v>
      </c>
      <c r="B516" t="s">
        <v>84</v>
      </c>
      <c r="C516">
        <v>9452</v>
      </c>
      <c r="D516" t="str">
        <f t="shared" si="8"/>
        <v>Full</v>
      </c>
      <c r="E516">
        <v>18146</v>
      </c>
      <c r="F516">
        <v>226.35</v>
      </c>
      <c r="G516">
        <v>433.11</v>
      </c>
      <c r="H516" s="4" t="s">
        <v>106</v>
      </c>
      <c r="I516" t="s">
        <v>1298</v>
      </c>
      <c r="J516" t="s">
        <v>1299</v>
      </c>
      <c r="K516" t="s">
        <v>27</v>
      </c>
      <c r="L516">
        <v>124.64</v>
      </c>
    </row>
    <row r="517" spans="1:12" x14ac:dyDescent="0.3">
      <c r="A517" t="s">
        <v>119</v>
      </c>
      <c r="B517" t="s">
        <v>12</v>
      </c>
      <c r="C517">
        <v>4685</v>
      </c>
      <c r="D517" t="str">
        <f t="shared" si="8"/>
        <v>Full</v>
      </c>
      <c r="E517">
        <v>6581</v>
      </c>
      <c r="F517">
        <v>22.73</v>
      </c>
      <c r="G517">
        <v>33.21</v>
      </c>
      <c r="H517" s="4" t="s">
        <v>412</v>
      </c>
      <c r="I517" t="s">
        <v>340</v>
      </c>
      <c r="J517" t="s">
        <v>1300</v>
      </c>
      <c r="K517" t="s">
        <v>21</v>
      </c>
      <c r="L517">
        <v>15.05</v>
      </c>
    </row>
    <row r="518" spans="1:12" x14ac:dyDescent="0.3">
      <c r="A518" t="s">
        <v>17</v>
      </c>
      <c r="B518" t="s">
        <v>12</v>
      </c>
      <c r="C518">
        <v>6867</v>
      </c>
      <c r="D518" t="str">
        <f t="shared" si="8"/>
        <v>Full</v>
      </c>
      <c r="E518">
        <v>22639</v>
      </c>
      <c r="F518">
        <v>85.04</v>
      </c>
      <c r="G518">
        <v>196.25</v>
      </c>
      <c r="H518" s="4" t="s">
        <v>674</v>
      </c>
      <c r="I518" t="s">
        <v>1301</v>
      </c>
      <c r="J518" t="s">
        <v>1302</v>
      </c>
      <c r="K518" t="s">
        <v>27</v>
      </c>
      <c r="L518">
        <v>43.97</v>
      </c>
    </row>
    <row r="519" spans="1:12" x14ac:dyDescent="0.3">
      <c r="A519" t="s">
        <v>299</v>
      </c>
      <c r="B519" t="s">
        <v>84</v>
      </c>
      <c r="C519">
        <v>6737</v>
      </c>
      <c r="D519" t="str">
        <f t="shared" si="8"/>
        <v>Full</v>
      </c>
      <c r="E519">
        <v>17663</v>
      </c>
      <c r="F519">
        <v>293.10000000000002</v>
      </c>
      <c r="G519">
        <v>389.67</v>
      </c>
      <c r="H519" s="4" t="s">
        <v>1303</v>
      </c>
      <c r="I519" t="s">
        <v>1304</v>
      </c>
      <c r="J519" t="s">
        <v>1305</v>
      </c>
      <c r="K519" t="s">
        <v>16</v>
      </c>
      <c r="L519">
        <v>127.56</v>
      </c>
    </row>
    <row r="520" spans="1:12" x14ac:dyDescent="0.3">
      <c r="A520" t="s">
        <v>88</v>
      </c>
      <c r="B520" t="s">
        <v>32</v>
      </c>
      <c r="C520">
        <v>8003</v>
      </c>
      <c r="D520" t="str">
        <f t="shared" si="8"/>
        <v>Full</v>
      </c>
      <c r="E520">
        <v>19372</v>
      </c>
      <c r="F520">
        <v>278.27</v>
      </c>
      <c r="G520">
        <v>341.7</v>
      </c>
      <c r="H520" s="4" t="s">
        <v>1306</v>
      </c>
      <c r="I520" t="s">
        <v>1307</v>
      </c>
      <c r="J520" t="s">
        <v>1308</v>
      </c>
      <c r="K520" t="s">
        <v>40</v>
      </c>
      <c r="L520">
        <v>165.84</v>
      </c>
    </row>
    <row r="521" spans="1:12" x14ac:dyDescent="0.3">
      <c r="A521" t="s">
        <v>56</v>
      </c>
      <c r="B521" t="s">
        <v>12</v>
      </c>
      <c r="C521">
        <v>6181</v>
      </c>
      <c r="D521" t="str">
        <f t="shared" si="8"/>
        <v>Full</v>
      </c>
      <c r="E521">
        <v>23423</v>
      </c>
      <c r="F521">
        <v>108.81</v>
      </c>
      <c r="G521">
        <v>219.01</v>
      </c>
      <c r="H521" s="4" t="s">
        <v>1309</v>
      </c>
      <c r="I521" t="s">
        <v>1098</v>
      </c>
      <c r="J521" t="s">
        <v>1310</v>
      </c>
      <c r="K521" t="s">
        <v>27</v>
      </c>
      <c r="L521">
        <v>70.760000000000005</v>
      </c>
    </row>
    <row r="522" spans="1:12" x14ac:dyDescent="0.3">
      <c r="A522" t="s">
        <v>299</v>
      </c>
      <c r="B522" t="s">
        <v>12</v>
      </c>
      <c r="C522">
        <v>9592</v>
      </c>
      <c r="D522" t="str">
        <f t="shared" si="8"/>
        <v>Full</v>
      </c>
      <c r="E522">
        <v>10181</v>
      </c>
      <c r="F522">
        <v>71.55</v>
      </c>
      <c r="G522">
        <v>117.65</v>
      </c>
      <c r="H522" s="4" t="s">
        <v>717</v>
      </c>
      <c r="I522" t="s">
        <v>86</v>
      </c>
      <c r="J522" t="s">
        <v>1311</v>
      </c>
      <c r="K522" t="s">
        <v>27</v>
      </c>
      <c r="L522">
        <v>49.51</v>
      </c>
    </row>
    <row r="523" spans="1:12" x14ac:dyDescent="0.3">
      <c r="A523" t="s">
        <v>119</v>
      </c>
      <c r="B523" t="s">
        <v>32</v>
      </c>
      <c r="C523">
        <v>4226</v>
      </c>
      <c r="D523" t="str">
        <f t="shared" si="8"/>
        <v>Full</v>
      </c>
      <c r="E523">
        <v>14675</v>
      </c>
      <c r="F523">
        <v>75.91</v>
      </c>
      <c r="G523">
        <v>106.17</v>
      </c>
      <c r="H523" s="4" t="s">
        <v>1228</v>
      </c>
      <c r="I523" t="s">
        <v>1312</v>
      </c>
      <c r="J523" t="s">
        <v>1313</v>
      </c>
      <c r="K523" t="s">
        <v>21</v>
      </c>
      <c r="L523">
        <v>46.83</v>
      </c>
    </row>
    <row r="524" spans="1:12" x14ac:dyDescent="0.3">
      <c r="A524" t="s">
        <v>88</v>
      </c>
      <c r="B524" t="s">
        <v>84</v>
      </c>
      <c r="C524">
        <v>9369</v>
      </c>
      <c r="D524" t="str">
        <f t="shared" si="8"/>
        <v>Full</v>
      </c>
      <c r="E524">
        <v>23414</v>
      </c>
      <c r="F524">
        <v>241.03</v>
      </c>
      <c r="G524">
        <v>559.52</v>
      </c>
      <c r="H524" s="4" t="s">
        <v>1314</v>
      </c>
      <c r="I524" t="s">
        <v>1315</v>
      </c>
      <c r="J524" t="s">
        <v>1316</v>
      </c>
      <c r="K524" t="s">
        <v>98</v>
      </c>
      <c r="L524">
        <v>137.88</v>
      </c>
    </row>
    <row r="525" spans="1:12" x14ac:dyDescent="0.3">
      <c r="A525" t="s">
        <v>123</v>
      </c>
      <c r="B525" t="s">
        <v>32</v>
      </c>
      <c r="C525">
        <v>3089</v>
      </c>
      <c r="D525" t="str">
        <f t="shared" si="8"/>
        <v>Full</v>
      </c>
      <c r="E525">
        <v>11403</v>
      </c>
      <c r="F525">
        <v>25.01</v>
      </c>
      <c r="G525">
        <v>47.34</v>
      </c>
      <c r="H525" s="4" t="s">
        <v>1123</v>
      </c>
      <c r="I525" t="s">
        <v>1026</v>
      </c>
      <c r="J525" t="s">
        <v>1317</v>
      </c>
      <c r="K525" t="s">
        <v>98</v>
      </c>
      <c r="L525">
        <v>17.28</v>
      </c>
    </row>
    <row r="526" spans="1:12" x14ac:dyDescent="0.3">
      <c r="A526" t="s">
        <v>45</v>
      </c>
      <c r="B526" t="s">
        <v>36</v>
      </c>
      <c r="C526">
        <v>7237</v>
      </c>
      <c r="D526" t="str">
        <f t="shared" si="8"/>
        <v>Full</v>
      </c>
      <c r="E526">
        <v>10940</v>
      </c>
      <c r="F526">
        <v>135.69</v>
      </c>
      <c r="G526">
        <v>327.54000000000002</v>
      </c>
      <c r="H526" s="4" t="s">
        <v>682</v>
      </c>
      <c r="I526" t="s">
        <v>842</v>
      </c>
      <c r="J526" t="s">
        <v>1318</v>
      </c>
      <c r="K526" t="s">
        <v>98</v>
      </c>
      <c r="L526">
        <v>60.07</v>
      </c>
    </row>
    <row r="527" spans="1:12" x14ac:dyDescent="0.3">
      <c r="A527" t="s">
        <v>56</v>
      </c>
      <c r="B527" t="s">
        <v>12</v>
      </c>
      <c r="C527">
        <v>4872</v>
      </c>
      <c r="D527" t="str">
        <f t="shared" si="8"/>
        <v>Full</v>
      </c>
      <c r="E527">
        <v>20844</v>
      </c>
      <c r="F527">
        <v>172.28</v>
      </c>
      <c r="G527">
        <v>258.45</v>
      </c>
      <c r="H527" s="4" t="s">
        <v>255</v>
      </c>
      <c r="I527" t="s">
        <v>1319</v>
      </c>
      <c r="J527" t="s">
        <v>1320</v>
      </c>
      <c r="K527" t="s">
        <v>40</v>
      </c>
      <c r="L527">
        <v>74.39</v>
      </c>
    </row>
    <row r="528" spans="1:12" x14ac:dyDescent="0.3">
      <c r="A528" t="s">
        <v>49</v>
      </c>
      <c r="B528" t="s">
        <v>84</v>
      </c>
      <c r="C528">
        <v>8730</v>
      </c>
      <c r="D528" t="str">
        <f t="shared" si="8"/>
        <v>Full</v>
      </c>
      <c r="E528">
        <v>20815</v>
      </c>
      <c r="F528">
        <v>143.29</v>
      </c>
      <c r="G528">
        <v>292.95</v>
      </c>
      <c r="H528" s="4" t="s">
        <v>1091</v>
      </c>
      <c r="I528" t="s">
        <v>326</v>
      </c>
      <c r="J528" t="s">
        <v>1321</v>
      </c>
      <c r="K528" t="s">
        <v>21</v>
      </c>
      <c r="L528">
        <v>65.2</v>
      </c>
    </row>
    <row r="529" spans="1:12" x14ac:dyDescent="0.3">
      <c r="A529" t="s">
        <v>88</v>
      </c>
      <c r="B529" t="s">
        <v>84</v>
      </c>
      <c r="C529">
        <v>1028</v>
      </c>
      <c r="D529" t="str">
        <f t="shared" si="8"/>
        <v>Medium</v>
      </c>
      <c r="E529">
        <v>14388</v>
      </c>
      <c r="F529">
        <v>230.54</v>
      </c>
      <c r="G529">
        <v>281.14999999999998</v>
      </c>
      <c r="H529" s="4" t="s">
        <v>1322</v>
      </c>
      <c r="I529" t="s">
        <v>1323</v>
      </c>
      <c r="J529" t="s">
        <v>1324</v>
      </c>
      <c r="K529" t="s">
        <v>98</v>
      </c>
      <c r="L529">
        <v>162.1</v>
      </c>
    </row>
    <row r="530" spans="1:12" x14ac:dyDescent="0.3">
      <c r="A530" t="s">
        <v>41</v>
      </c>
      <c r="B530" t="s">
        <v>84</v>
      </c>
      <c r="C530">
        <v>7697</v>
      </c>
      <c r="D530" t="str">
        <f t="shared" si="8"/>
        <v>Full</v>
      </c>
      <c r="E530">
        <v>21219</v>
      </c>
      <c r="F530">
        <v>149.53</v>
      </c>
      <c r="G530">
        <v>242.59</v>
      </c>
      <c r="H530" s="4" t="s">
        <v>760</v>
      </c>
      <c r="I530" t="s">
        <v>1325</v>
      </c>
      <c r="J530" t="s">
        <v>1326</v>
      </c>
      <c r="K530" t="s">
        <v>21</v>
      </c>
      <c r="L530">
        <v>106.24</v>
      </c>
    </row>
    <row r="531" spans="1:12" x14ac:dyDescent="0.3">
      <c r="A531" t="s">
        <v>176</v>
      </c>
      <c r="B531" t="s">
        <v>36</v>
      </c>
      <c r="C531">
        <v>5626</v>
      </c>
      <c r="D531" t="str">
        <f t="shared" si="8"/>
        <v>Full</v>
      </c>
      <c r="E531">
        <v>13915</v>
      </c>
      <c r="F531">
        <v>185.39</v>
      </c>
      <c r="G531">
        <v>401.41</v>
      </c>
      <c r="H531" s="4" t="s">
        <v>1327</v>
      </c>
      <c r="I531" t="s">
        <v>1328</v>
      </c>
      <c r="J531" t="s">
        <v>1329</v>
      </c>
      <c r="K531" t="s">
        <v>27</v>
      </c>
      <c r="L531">
        <v>112.77</v>
      </c>
    </row>
    <row r="532" spans="1:12" x14ac:dyDescent="0.3">
      <c r="A532" t="s">
        <v>143</v>
      </c>
      <c r="B532" t="s">
        <v>36</v>
      </c>
      <c r="C532">
        <v>1194</v>
      </c>
      <c r="D532" t="str">
        <f t="shared" si="8"/>
        <v>Medium</v>
      </c>
      <c r="E532">
        <v>9051</v>
      </c>
      <c r="F532">
        <v>158.02000000000001</v>
      </c>
      <c r="G532">
        <v>270.89</v>
      </c>
      <c r="H532" s="4" t="s">
        <v>134</v>
      </c>
      <c r="I532" t="s">
        <v>1330</v>
      </c>
      <c r="J532" t="s">
        <v>1331</v>
      </c>
      <c r="K532" t="s">
        <v>16</v>
      </c>
      <c r="L532">
        <v>111.57</v>
      </c>
    </row>
    <row r="533" spans="1:12" x14ac:dyDescent="0.3">
      <c r="A533" t="s">
        <v>127</v>
      </c>
      <c r="B533" t="s">
        <v>84</v>
      </c>
      <c r="C533">
        <v>5270</v>
      </c>
      <c r="D533" t="str">
        <f t="shared" si="8"/>
        <v>Full</v>
      </c>
      <c r="E533">
        <v>15403</v>
      </c>
      <c r="F533">
        <v>122.42</v>
      </c>
      <c r="G533">
        <v>195.37</v>
      </c>
      <c r="H533" s="4" t="s">
        <v>506</v>
      </c>
      <c r="I533" t="s">
        <v>1332</v>
      </c>
      <c r="J533" t="s">
        <v>1333</v>
      </c>
      <c r="K533" t="s">
        <v>21</v>
      </c>
      <c r="L533">
        <v>63.39</v>
      </c>
    </row>
    <row r="534" spans="1:12" x14ac:dyDescent="0.3">
      <c r="A534" t="s">
        <v>127</v>
      </c>
      <c r="B534" t="s">
        <v>32</v>
      </c>
      <c r="C534">
        <v>2830</v>
      </c>
      <c r="D534" t="str">
        <f t="shared" si="8"/>
        <v>Medium</v>
      </c>
      <c r="E534">
        <v>16190</v>
      </c>
      <c r="F534">
        <v>249.82</v>
      </c>
      <c r="G534">
        <v>446.48</v>
      </c>
      <c r="H534" s="4" t="s">
        <v>406</v>
      </c>
      <c r="I534" t="s">
        <v>1334</v>
      </c>
      <c r="J534" t="s">
        <v>1335</v>
      </c>
      <c r="K534" t="s">
        <v>16</v>
      </c>
      <c r="L534">
        <v>193.64</v>
      </c>
    </row>
    <row r="535" spans="1:12" x14ac:dyDescent="0.3">
      <c r="A535" t="s">
        <v>66</v>
      </c>
      <c r="B535" t="s">
        <v>84</v>
      </c>
      <c r="C535">
        <v>6940</v>
      </c>
      <c r="D535" t="str">
        <f t="shared" si="8"/>
        <v>Full</v>
      </c>
      <c r="E535">
        <v>14551</v>
      </c>
      <c r="F535">
        <v>100.42</v>
      </c>
      <c r="G535">
        <v>123.76</v>
      </c>
      <c r="H535" s="4" t="s">
        <v>814</v>
      </c>
      <c r="I535" t="s">
        <v>1336</v>
      </c>
      <c r="J535" t="s">
        <v>1337</v>
      </c>
      <c r="K535" t="s">
        <v>21</v>
      </c>
      <c r="L535">
        <v>43.79</v>
      </c>
    </row>
    <row r="536" spans="1:12" x14ac:dyDescent="0.3">
      <c r="A536" t="s">
        <v>45</v>
      </c>
      <c r="B536" t="s">
        <v>84</v>
      </c>
      <c r="C536">
        <v>2524</v>
      </c>
      <c r="D536" t="str">
        <f t="shared" si="8"/>
        <v>Medium</v>
      </c>
      <c r="E536">
        <v>3988</v>
      </c>
      <c r="F536">
        <v>38.68</v>
      </c>
      <c r="G536">
        <v>69.010000000000005</v>
      </c>
      <c r="H536" s="4" t="s">
        <v>67</v>
      </c>
      <c r="I536" t="s">
        <v>1338</v>
      </c>
      <c r="J536" t="s">
        <v>1339</v>
      </c>
      <c r="K536" t="s">
        <v>21</v>
      </c>
      <c r="L536">
        <v>26.72</v>
      </c>
    </row>
    <row r="537" spans="1:12" x14ac:dyDescent="0.3">
      <c r="A537" t="s">
        <v>119</v>
      </c>
      <c r="B537" t="s">
        <v>32</v>
      </c>
      <c r="C537">
        <v>3119</v>
      </c>
      <c r="D537" t="str">
        <f t="shared" si="8"/>
        <v>Full</v>
      </c>
      <c r="E537">
        <v>13408</v>
      </c>
      <c r="F537">
        <v>167.35</v>
      </c>
      <c r="G537">
        <v>210.37</v>
      </c>
      <c r="H537" s="4" t="s">
        <v>1340</v>
      </c>
      <c r="I537" t="s">
        <v>1341</v>
      </c>
      <c r="J537" t="s">
        <v>1342</v>
      </c>
      <c r="K537" t="s">
        <v>98</v>
      </c>
      <c r="L537">
        <v>77.790000000000006</v>
      </c>
    </row>
    <row r="538" spans="1:12" x14ac:dyDescent="0.3">
      <c r="A538" t="s">
        <v>123</v>
      </c>
      <c r="B538" t="s">
        <v>84</v>
      </c>
      <c r="C538">
        <v>1340</v>
      </c>
      <c r="D538" t="str">
        <f t="shared" si="8"/>
        <v>Medium</v>
      </c>
      <c r="E538">
        <v>14748</v>
      </c>
      <c r="F538">
        <v>95.88</v>
      </c>
      <c r="G538">
        <v>206.07</v>
      </c>
      <c r="H538" s="4" t="s">
        <v>1343</v>
      </c>
      <c r="I538" t="s">
        <v>528</v>
      </c>
      <c r="J538" t="s">
        <v>1344</v>
      </c>
      <c r="K538" t="s">
        <v>98</v>
      </c>
      <c r="L538">
        <v>42.86</v>
      </c>
    </row>
    <row r="539" spans="1:12" x14ac:dyDescent="0.3">
      <c r="A539" t="s">
        <v>123</v>
      </c>
      <c r="B539" t="s">
        <v>84</v>
      </c>
      <c r="C539">
        <v>557</v>
      </c>
      <c r="D539" t="str">
        <f t="shared" si="8"/>
        <v>Low</v>
      </c>
      <c r="E539">
        <v>21400</v>
      </c>
      <c r="F539">
        <v>230.79</v>
      </c>
      <c r="G539">
        <v>280.61</v>
      </c>
      <c r="H539" s="4" t="s">
        <v>1345</v>
      </c>
      <c r="I539" t="s">
        <v>29</v>
      </c>
      <c r="J539" t="s">
        <v>1346</v>
      </c>
      <c r="K539" t="s">
        <v>27</v>
      </c>
      <c r="L539">
        <v>148.44</v>
      </c>
    </row>
    <row r="540" spans="1:12" x14ac:dyDescent="0.3">
      <c r="A540" t="s">
        <v>49</v>
      </c>
      <c r="B540" t="s">
        <v>84</v>
      </c>
      <c r="C540">
        <v>4053</v>
      </c>
      <c r="D540" t="str">
        <f t="shared" si="8"/>
        <v>Full</v>
      </c>
      <c r="E540">
        <v>20295</v>
      </c>
      <c r="F540">
        <v>199.54</v>
      </c>
      <c r="G540">
        <v>357.15</v>
      </c>
      <c r="H540" s="4" t="s">
        <v>1212</v>
      </c>
      <c r="I540" t="s">
        <v>90</v>
      </c>
      <c r="J540" t="s">
        <v>1347</v>
      </c>
      <c r="K540" t="s">
        <v>16</v>
      </c>
      <c r="L540">
        <v>80.34</v>
      </c>
    </row>
    <row r="541" spans="1:12" x14ac:dyDescent="0.3">
      <c r="A541" t="s">
        <v>66</v>
      </c>
      <c r="B541" t="s">
        <v>23</v>
      </c>
      <c r="C541">
        <v>9634</v>
      </c>
      <c r="D541" t="str">
        <f t="shared" si="8"/>
        <v>Full</v>
      </c>
      <c r="E541">
        <v>7803</v>
      </c>
      <c r="F541">
        <v>19.43</v>
      </c>
      <c r="G541">
        <v>27.06</v>
      </c>
      <c r="H541" s="4" t="s">
        <v>1348</v>
      </c>
      <c r="I541" t="s">
        <v>510</v>
      </c>
      <c r="J541" t="s">
        <v>1349</v>
      </c>
      <c r="K541" t="s">
        <v>98</v>
      </c>
      <c r="L541">
        <v>14.41</v>
      </c>
    </row>
    <row r="542" spans="1:12" x14ac:dyDescent="0.3">
      <c r="A542" t="s">
        <v>22</v>
      </c>
      <c r="B542" t="s">
        <v>32</v>
      </c>
      <c r="C542">
        <v>5389</v>
      </c>
      <c r="D542" t="str">
        <f t="shared" si="8"/>
        <v>Full</v>
      </c>
      <c r="E542">
        <v>11849</v>
      </c>
      <c r="F542">
        <v>276.51</v>
      </c>
      <c r="G542">
        <v>349.44</v>
      </c>
      <c r="H542" s="4" t="s">
        <v>1350</v>
      </c>
      <c r="I542" t="s">
        <v>664</v>
      </c>
      <c r="J542" t="s">
        <v>1351</v>
      </c>
      <c r="K542" t="s">
        <v>40</v>
      </c>
      <c r="L542">
        <v>178.19</v>
      </c>
    </row>
    <row r="543" spans="1:12" x14ac:dyDescent="0.3">
      <c r="A543" t="s">
        <v>176</v>
      </c>
      <c r="B543" t="s">
        <v>32</v>
      </c>
      <c r="C543">
        <v>9710</v>
      </c>
      <c r="D543" t="str">
        <f t="shared" si="8"/>
        <v>Full</v>
      </c>
      <c r="E543">
        <v>6813</v>
      </c>
      <c r="F543">
        <v>290.06</v>
      </c>
      <c r="G543">
        <v>630.63</v>
      </c>
      <c r="H543" s="4" t="s">
        <v>822</v>
      </c>
      <c r="I543" t="s">
        <v>773</v>
      </c>
      <c r="J543" t="s">
        <v>1352</v>
      </c>
      <c r="K543" t="s">
        <v>40</v>
      </c>
      <c r="L543">
        <v>153.47999999999999</v>
      </c>
    </row>
    <row r="544" spans="1:12" x14ac:dyDescent="0.3">
      <c r="A544" t="s">
        <v>299</v>
      </c>
      <c r="B544" t="s">
        <v>12</v>
      </c>
      <c r="C544">
        <v>7501</v>
      </c>
      <c r="D544" t="str">
        <f t="shared" si="8"/>
        <v>Full</v>
      </c>
      <c r="E544">
        <v>19037</v>
      </c>
      <c r="F544">
        <v>24.15</v>
      </c>
      <c r="G544">
        <v>43.76</v>
      </c>
      <c r="H544" s="4" t="s">
        <v>857</v>
      </c>
      <c r="I544" t="s">
        <v>1353</v>
      </c>
      <c r="J544" t="s">
        <v>1354</v>
      </c>
      <c r="K544" t="s">
        <v>40</v>
      </c>
      <c r="L544">
        <v>14.75</v>
      </c>
    </row>
    <row r="545" spans="1:12" x14ac:dyDescent="0.3">
      <c r="A545" t="s">
        <v>119</v>
      </c>
      <c r="B545" t="s">
        <v>84</v>
      </c>
      <c r="C545">
        <v>3925</v>
      </c>
      <c r="D545" t="str">
        <f t="shared" si="8"/>
        <v>Full</v>
      </c>
      <c r="E545">
        <v>21055</v>
      </c>
      <c r="F545">
        <v>22.16</v>
      </c>
      <c r="G545">
        <v>43.05</v>
      </c>
      <c r="H545" s="4" t="s">
        <v>1355</v>
      </c>
      <c r="I545" t="s">
        <v>1356</v>
      </c>
      <c r="J545" t="s">
        <v>1357</v>
      </c>
      <c r="K545" t="s">
        <v>21</v>
      </c>
      <c r="L545">
        <v>15.28</v>
      </c>
    </row>
    <row r="546" spans="1:12" x14ac:dyDescent="0.3">
      <c r="A546" t="s">
        <v>176</v>
      </c>
      <c r="B546" t="s">
        <v>23</v>
      </c>
      <c r="C546">
        <v>7496</v>
      </c>
      <c r="D546" t="str">
        <f t="shared" si="8"/>
        <v>Full</v>
      </c>
      <c r="E546">
        <v>20950</v>
      </c>
      <c r="F546">
        <v>255.1</v>
      </c>
      <c r="G546">
        <v>392.23</v>
      </c>
      <c r="H546" s="4" t="s">
        <v>183</v>
      </c>
      <c r="I546" t="s">
        <v>1358</v>
      </c>
      <c r="J546" t="s">
        <v>1359</v>
      </c>
      <c r="K546" t="s">
        <v>98</v>
      </c>
      <c r="L546">
        <v>164.72</v>
      </c>
    </row>
    <row r="547" spans="1:12" x14ac:dyDescent="0.3">
      <c r="A547" t="s">
        <v>49</v>
      </c>
      <c r="B547" t="s">
        <v>32</v>
      </c>
      <c r="C547">
        <v>8654</v>
      </c>
      <c r="D547" t="str">
        <f t="shared" si="8"/>
        <v>Full</v>
      </c>
      <c r="E547">
        <v>17138</v>
      </c>
      <c r="F547">
        <v>243.35</v>
      </c>
      <c r="G547">
        <v>571.57000000000005</v>
      </c>
      <c r="H547" s="4" t="s">
        <v>838</v>
      </c>
      <c r="I547" t="s">
        <v>921</v>
      </c>
      <c r="J547" t="s">
        <v>1360</v>
      </c>
      <c r="K547" t="s">
        <v>98</v>
      </c>
      <c r="L547">
        <v>97.49</v>
      </c>
    </row>
    <row r="548" spans="1:12" x14ac:dyDescent="0.3">
      <c r="A548" t="s">
        <v>17</v>
      </c>
      <c r="B548" t="s">
        <v>36</v>
      </c>
      <c r="C548">
        <v>2432</v>
      </c>
      <c r="D548" t="str">
        <f t="shared" si="8"/>
        <v>Medium</v>
      </c>
      <c r="E548">
        <v>7793</v>
      </c>
      <c r="F548">
        <v>240.87</v>
      </c>
      <c r="G548">
        <v>601.86</v>
      </c>
      <c r="H548" s="4" t="s">
        <v>1361</v>
      </c>
      <c r="I548" t="s">
        <v>1362</v>
      </c>
      <c r="J548" t="s">
        <v>1363</v>
      </c>
      <c r="K548" t="s">
        <v>40</v>
      </c>
      <c r="L548">
        <v>150.34</v>
      </c>
    </row>
    <row r="549" spans="1:12" x14ac:dyDescent="0.3">
      <c r="A549" t="s">
        <v>88</v>
      </c>
      <c r="B549" t="s">
        <v>12</v>
      </c>
      <c r="C549">
        <v>3796</v>
      </c>
      <c r="D549" t="str">
        <f t="shared" si="8"/>
        <v>Full</v>
      </c>
      <c r="E549">
        <v>23610</v>
      </c>
      <c r="F549">
        <v>88.08</v>
      </c>
      <c r="G549">
        <v>196.18</v>
      </c>
      <c r="H549" s="4" t="s">
        <v>620</v>
      </c>
      <c r="I549" t="s">
        <v>1082</v>
      </c>
      <c r="J549" t="s">
        <v>1364</v>
      </c>
      <c r="K549" t="s">
        <v>16</v>
      </c>
      <c r="L549">
        <v>46.64</v>
      </c>
    </row>
    <row r="550" spans="1:12" x14ac:dyDescent="0.3">
      <c r="A550" t="s">
        <v>17</v>
      </c>
      <c r="B550" t="s">
        <v>12</v>
      </c>
      <c r="C550">
        <v>5960</v>
      </c>
      <c r="D550" t="str">
        <f t="shared" si="8"/>
        <v>Full</v>
      </c>
      <c r="E550">
        <v>12185</v>
      </c>
      <c r="F550">
        <v>121.83</v>
      </c>
      <c r="G550">
        <v>236.3</v>
      </c>
      <c r="H550" s="4" t="s">
        <v>191</v>
      </c>
      <c r="I550" t="s">
        <v>1365</v>
      </c>
      <c r="J550" t="s">
        <v>1366</v>
      </c>
      <c r="K550" t="s">
        <v>40</v>
      </c>
      <c r="L550">
        <v>89.37</v>
      </c>
    </row>
    <row r="551" spans="1:12" x14ac:dyDescent="0.3">
      <c r="A551" t="s">
        <v>49</v>
      </c>
      <c r="B551" t="s">
        <v>36</v>
      </c>
      <c r="C551">
        <v>1082</v>
      </c>
      <c r="D551" t="str">
        <f t="shared" si="8"/>
        <v>Medium</v>
      </c>
      <c r="E551">
        <v>22156</v>
      </c>
      <c r="F551">
        <v>45.05</v>
      </c>
      <c r="G551">
        <v>63.16</v>
      </c>
      <c r="H551" s="4" t="s">
        <v>1367</v>
      </c>
      <c r="I551" t="s">
        <v>661</v>
      </c>
      <c r="J551" t="s">
        <v>1368</v>
      </c>
      <c r="K551" t="s">
        <v>21</v>
      </c>
      <c r="L551">
        <v>32.15</v>
      </c>
    </row>
    <row r="552" spans="1:12" x14ac:dyDescent="0.3">
      <c r="A552" t="s">
        <v>200</v>
      </c>
      <c r="B552" t="s">
        <v>12</v>
      </c>
      <c r="C552">
        <v>9037</v>
      </c>
      <c r="D552" t="str">
        <f t="shared" si="8"/>
        <v>Full</v>
      </c>
      <c r="E552">
        <v>10808</v>
      </c>
      <c r="F552">
        <v>171.66</v>
      </c>
      <c r="G552">
        <v>357.34</v>
      </c>
      <c r="H552" s="4" t="s">
        <v>1369</v>
      </c>
      <c r="I552" t="s">
        <v>1370</v>
      </c>
      <c r="J552" t="s">
        <v>1371</v>
      </c>
      <c r="K552" t="s">
        <v>98</v>
      </c>
      <c r="L552">
        <v>108.31</v>
      </c>
    </row>
    <row r="553" spans="1:12" x14ac:dyDescent="0.3">
      <c r="A553" t="s">
        <v>45</v>
      </c>
      <c r="B553" t="s">
        <v>23</v>
      </c>
      <c r="C553">
        <v>1584</v>
      </c>
      <c r="D553" t="str">
        <f t="shared" si="8"/>
        <v>Medium</v>
      </c>
      <c r="E553">
        <v>5892</v>
      </c>
      <c r="F553">
        <v>87.74</v>
      </c>
      <c r="G553">
        <v>108.84</v>
      </c>
      <c r="H553" s="4" t="s">
        <v>775</v>
      </c>
      <c r="I553" t="s">
        <v>510</v>
      </c>
      <c r="J553" t="s">
        <v>1372</v>
      </c>
      <c r="K553" t="s">
        <v>98</v>
      </c>
      <c r="L553">
        <v>55.14</v>
      </c>
    </row>
    <row r="554" spans="1:12" x14ac:dyDescent="0.3">
      <c r="A554" t="s">
        <v>299</v>
      </c>
      <c r="B554" t="s">
        <v>84</v>
      </c>
      <c r="C554">
        <v>2414</v>
      </c>
      <c r="D554" t="str">
        <f t="shared" si="8"/>
        <v>Medium</v>
      </c>
      <c r="E554">
        <v>11101</v>
      </c>
      <c r="F554">
        <v>213.05</v>
      </c>
      <c r="G554">
        <v>342.77</v>
      </c>
      <c r="H554" s="4" t="s">
        <v>81</v>
      </c>
      <c r="I554" t="s">
        <v>674</v>
      </c>
      <c r="J554" t="s">
        <v>1373</v>
      </c>
      <c r="K554" t="s">
        <v>27</v>
      </c>
      <c r="L554">
        <v>127.58</v>
      </c>
    </row>
    <row r="555" spans="1:12" x14ac:dyDescent="0.3">
      <c r="A555" t="s">
        <v>80</v>
      </c>
      <c r="B555" t="s">
        <v>23</v>
      </c>
      <c r="C555">
        <v>7904</v>
      </c>
      <c r="D555" t="str">
        <f t="shared" si="8"/>
        <v>Full</v>
      </c>
      <c r="E555">
        <v>10916</v>
      </c>
      <c r="F555">
        <v>68.760000000000005</v>
      </c>
      <c r="G555">
        <v>109.54</v>
      </c>
      <c r="H555" s="4" t="s">
        <v>1374</v>
      </c>
      <c r="I555" t="s">
        <v>1375</v>
      </c>
      <c r="J555" t="s">
        <v>1376</v>
      </c>
      <c r="K555" t="s">
        <v>98</v>
      </c>
      <c r="L555">
        <v>52.62</v>
      </c>
    </row>
    <row r="556" spans="1:12" x14ac:dyDescent="0.3">
      <c r="A556" t="s">
        <v>143</v>
      </c>
      <c r="B556" t="s">
        <v>32</v>
      </c>
      <c r="C556">
        <v>908</v>
      </c>
      <c r="D556" t="str">
        <f t="shared" si="8"/>
        <v>Low</v>
      </c>
      <c r="E556">
        <v>16815</v>
      </c>
      <c r="F556">
        <v>271.95999999999998</v>
      </c>
      <c r="G556">
        <v>380.83</v>
      </c>
      <c r="H556" s="4" t="s">
        <v>1377</v>
      </c>
      <c r="I556" t="s">
        <v>1378</v>
      </c>
      <c r="J556" t="s">
        <v>1379</v>
      </c>
      <c r="K556" t="s">
        <v>40</v>
      </c>
      <c r="L556">
        <v>193.15</v>
      </c>
    </row>
    <row r="557" spans="1:12" x14ac:dyDescent="0.3">
      <c r="A557" t="s">
        <v>123</v>
      </c>
      <c r="B557" t="s">
        <v>12</v>
      </c>
      <c r="C557">
        <v>8956</v>
      </c>
      <c r="D557" t="str">
        <f t="shared" si="8"/>
        <v>Full</v>
      </c>
      <c r="E557">
        <v>23174</v>
      </c>
      <c r="F557">
        <v>297.85000000000002</v>
      </c>
      <c r="G557">
        <v>436.87</v>
      </c>
      <c r="H557" s="4" t="s">
        <v>1380</v>
      </c>
      <c r="I557" t="s">
        <v>329</v>
      </c>
      <c r="J557" t="s">
        <v>1381</v>
      </c>
      <c r="K557" t="s">
        <v>16</v>
      </c>
      <c r="L557">
        <v>132.94</v>
      </c>
    </row>
    <row r="558" spans="1:12" x14ac:dyDescent="0.3">
      <c r="A558" t="s">
        <v>31</v>
      </c>
      <c r="B558" t="s">
        <v>12</v>
      </c>
      <c r="C558">
        <v>1926</v>
      </c>
      <c r="D558" t="str">
        <f t="shared" si="8"/>
        <v>Medium</v>
      </c>
      <c r="E558">
        <v>11921</v>
      </c>
      <c r="F558">
        <v>142.72999999999999</v>
      </c>
      <c r="G558">
        <v>179.84</v>
      </c>
      <c r="H558" s="4" t="s">
        <v>180</v>
      </c>
      <c r="I558" t="s">
        <v>1382</v>
      </c>
      <c r="J558" t="s">
        <v>1383</v>
      </c>
      <c r="K558" t="s">
        <v>27</v>
      </c>
      <c r="L558">
        <v>90.07</v>
      </c>
    </row>
    <row r="559" spans="1:12" x14ac:dyDescent="0.3">
      <c r="A559" t="s">
        <v>31</v>
      </c>
      <c r="B559" t="s">
        <v>84</v>
      </c>
      <c r="C559">
        <v>5757</v>
      </c>
      <c r="D559" t="str">
        <f t="shared" si="8"/>
        <v>Full</v>
      </c>
      <c r="E559">
        <v>7571</v>
      </c>
      <c r="F559">
        <v>61.8</v>
      </c>
      <c r="G559">
        <v>96.39</v>
      </c>
      <c r="H559" s="4" t="s">
        <v>1384</v>
      </c>
      <c r="I559" t="s">
        <v>740</v>
      </c>
      <c r="J559" t="s">
        <v>1385</v>
      </c>
      <c r="K559" t="s">
        <v>27</v>
      </c>
      <c r="L559">
        <v>31.46</v>
      </c>
    </row>
    <row r="560" spans="1:12" x14ac:dyDescent="0.3">
      <c r="A560" t="s">
        <v>56</v>
      </c>
      <c r="B560" t="s">
        <v>23</v>
      </c>
      <c r="C560">
        <v>2375</v>
      </c>
      <c r="D560" t="str">
        <f t="shared" si="8"/>
        <v>Medium</v>
      </c>
      <c r="E560">
        <v>1499</v>
      </c>
      <c r="F560">
        <v>287.7</v>
      </c>
      <c r="G560">
        <v>554.54999999999995</v>
      </c>
      <c r="H560" s="4" t="s">
        <v>1386</v>
      </c>
      <c r="I560" t="s">
        <v>1387</v>
      </c>
      <c r="J560" t="s">
        <v>1388</v>
      </c>
      <c r="K560" t="s">
        <v>40</v>
      </c>
      <c r="L560">
        <v>178.3</v>
      </c>
    </row>
    <row r="561" spans="1:12" x14ac:dyDescent="0.3">
      <c r="A561" t="s">
        <v>147</v>
      </c>
      <c r="B561" t="s">
        <v>84</v>
      </c>
      <c r="C561">
        <v>5141</v>
      </c>
      <c r="D561" t="str">
        <f t="shared" si="8"/>
        <v>Full</v>
      </c>
      <c r="E561">
        <v>19811</v>
      </c>
      <c r="F561">
        <v>77.22</v>
      </c>
      <c r="G561">
        <v>99.82</v>
      </c>
      <c r="H561" s="4" t="s">
        <v>636</v>
      </c>
      <c r="I561" t="s">
        <v>273</v>
      </c>
      <c r="J561" t="s">
        <v>1389</v>
      </c>
      <c r="K561" t="s">
        <v>21</v>
      </c>
      <c r="L561">
        <v>32.450000000000003</v>
      </c>
    </row>
    <row r="562" spans="1:12" x14ac:dyDescent="0.3">
      <c r="A562" t="s">
        <v>17</v>
      </c>
      <c r="B562" t="s">
        <v>36</v>
      </c>
      <c r="C562">
        <v>1326</v>
      </c>
      <c r="D562" t="str">
        <f t="shared" si="8"/>
        <v>Medium</v>
      </c>
      <c r="E562">
        <v>4471</v>
      </c>
      <c r="F562">
        <v>118.16</v>
      </c>
      <c r="G562">
        <v>155.02000000000001</v>
      </c>
      <c r="H562" s="4" t="s">
        <v>1390</v>
      </c>
      <c r="I562" t="s">
        <v>326</v>
      </c>
      <c r="J562" t="s">
        <v>1391</v>
      </c>
      <c r="K562" t="s">
        <v>16</v>
      </c>
      <c r="L562">
        <v>77.02</v>
      </c>
    </row>
    <row r="563" spans="1:12" x14ac:dyDescent="0.3">
      <c r="A563" t="s">
        <v>143</v>
      </c>
      <c r="B563" t="s">
        <v>32</v>
      </c>
      <c r="C563">
        <v>6326</v>
      </c>
      <c r="D563" t="str">
        <f t="shared" si="8"/>
        <v>Full</v>
      </c>
      <c r="E563">
        <v>11238</v>
      </c>
      <c r="F563">
        <v>103.04</v>
      </c>
      <c r="G563">
        <v>150.19</v>
      </c>
      <c r="H563" s="4" t="s">
        <v>745</v>
      </c>
      <c r="I563" t="s">
        <v>1392</v>
      </c>
      <c r="J563" t="s">
        <v>1393</v>
      </c>
      <c r="K563" t="s">
        <v>21</v>
      </c>
      <c r="L563">
        <v>64.62</v>
      </c>
    </row>
    <row r="564" spans="1:12" x14ac:dyDescent="0.3">
      <c r="A564" t="s">
        <v>41</v>
      </c>
      <c r="B564" t="s">
        <v>36</v>
      </c>
      <c r="C564">
        <v>2093</v>
      </c>
      <c r="D564" t="str">
        <f t="shared" si="8"/>
        <v>Medium</v>
      </c>
      <c r="E564">
        <v>15928</v>
      </c>
      <c r="F564">
        <v>96.57</v>
      </c>
      <c r="G564">
        <v>196.78</v>
      </c>
      <c r="H564" s="4" t="s">
        <v>896</v>
      </c>
      <c r="I564" t="s">
        <v>1394</v>
      </c>
      <c r="J564" t="s">
        <v>1395</v>
      </c>
      <c r="K564" t="s">
        <v>98</v>
      </c>
      <c r="L564">
        <v>44.18</v>
      </c>
    </row>
    <row r="565" spans="1:12" x14ac:dyDescent="0.3">
      <c r="A565" t="s">
        <v>176</v>
      </c>
      <c r="B565" t="s">
        <v>23</v>
      </c>
      <c r="C565">
        <v>6454</v>
      </c>
      <c r="D565" t="str">
        <f t="shared" si="8"/>
        <v>Full</v>
      </c>
      <c r="E565">
        <v>13847</v>
      </c>
      <c r="F565">
        <v>59.09</v>
      </c>
      <c r="G565">
        <v>141.37</v>
      </c>
      <c r="H565" s="4" t="s">
        <v>585</v>
      </c>
      <c r="I565" t="s">
        <v>100</v>
      </c>
      <c r="J565" t="s">
        <v>1396</v>
      </c>
      <c r="K565" t="s">
        <v>21</v>
      </c>
      <c r="L565">
        <v>24.35</v>
      </c>
    </row>
    <row r="566" spans="1:12" x14ac:dyDescent="0.3">
      <c r="A566" t="s">
        <v>49</v>
      </c>
      <c r="B566" t="s">
        <v>12</v>
      </c>
      <c r="C566">
        <v>6258</v>
      </c>
      <c r="D566" t="str">
        <f t="shared" si="8"/>
        <v>Full</v>
      </c>
      <c r="E566">
        <v>16684</v>
      </c>
      <c r="F566">
        <v>141.07</v>
      </c>
      <c r="G566">
        <v>200.61</v>
      </c>
      <c r="H566" s="4" t="s">
        <v>735</v>
      </c>
      <c r="I566" t="s">
        <v>1201</v>
      </c>
      <c r="J566" t="s">
        <v>1397</v>
      </c>
      <c r="K566" t="s">
        <v>98</v>
      </c>
      <c r="L566">
        <v>85.09</v>
      </c>
    </row>
    <row r="567" spans="1:12" x14ac:dyDescent="0.3">
      <c r="A567" t="s">
        <v>299</v>
      </c>
      <c r="B567" t="s">
        <v>12</v>
      </c>
      <c r="C567">
        <v>5839</v>
      </c>
      <c r="D567" t="str">
        <f t="shared" si="8"/>
        <v>Full</v>
      </c>
      <c r="E567">
        <v>19223</v>
      </c>
      <c r="F567">
        <v>196.59</v>
      </c>
      <c r="G567">
        <v>438.43</v>
      </c>
      <c r="H567" s="4" t="s">
        <v>70</v>
      </c>
      <c r="I567" t="s">
        <v>1398</v>
      </c>
      <c r="J567" t="s">
        <v>1399</v>
      </c>
      <c r="K567" t="s">
        <v>16</v>
      </c>
      <c r="L567">
        <v>111.15</v>
      </c>
    </row>
    <row r="568" spans="1:12" x14ac:dyDescent="0.3">
      <c r="A568" t="s">
        <v>176</v>
      </c>
      <c r="B568" t="s">
        <v>84</v>
      </c>
      <c r="C568">
        <v>9477</v>
      </c>
      <c r="D568" t="str">
        <f t="shared" si="8"/>
        <v>Full</v>
      </c>
      <c r="E568">
        <v>6210</v>
      </c>
      <c r="F568">
        <v>292.3</v>
      </c>
      <c r="G568">
        <v>496.61</v>
      </c>
      <c r="H568" s="4" t="s">
        <v>1377</v>
      </c>
      <c r="I568" t="s">
        <v>1400</v>
      </c>
      <c r="J568" t="s">
        <v>1401</v>
      </c>
      <c r="K568" t="s">
        <v>21</v>
      </c>
      <c r="L568">
        <v>208.62</v>
      </c>
    </row>
    <row r="569" spans="1:12" x14ac:dyDescent="0.3">
      <c r="A569" t="s">
        <v>200</v>
      </c>
      <c r="B569" t="s">
        <v>32</v>
      </c>
      <c r="C569">
        <v>6106</v>
      </c>
      <c r="D569" t="str">
        <f t="shared" si="8"/>
        <v>Full</v>
      </c>
      <c r="E569">
        <v>18843</v>
      </c>
      <c r="F569">
        <v>209.77</v>
      </c>
      <c r="G569">
        <v>298.92</v>
      </c>
      <c r="H569" s="4" t="s">
        <v>601</v>
      </c>
      <c r="I569" t="s">
        <v>1332</v>
      </c>
      <c r="J569" t="s">
        <v>1402</v>
      </c>
      <c r="K569" t="s">
        <v>21</v>
      </c>
      <c r="L569">
        <v>93.5</v>
      </c>
    </row>
    <row r="570" spans="1:12" x14ac:dyDescent="0.3">
      <c r="A570" t="s">
        <v>176</v>
      </c>
      <c r="B570" t="s">
        <v>36</v>
      </c>
      <c r="C570">
        <v>5830</v>
      </c>
      <c r="D570" t="str">
        <f t="shared" si="8"/>
        <v>Full</v>
      </c>
      <c r="E570">
        <v>19189</v>
      </c>
      <c r="F570">
        <v>33.81</v>
      </c>
      <c r="G570">
        <v>60.14</v>
      </c>
      <c r="H570" s="4" t="s">
        <v>620</v>
      </c>
      <c r="I570" t="s">
        <v>1013</v>
      </c>
      <c r="J570" t="s">
        <v>1403</v>
      </c>
      <c r="K570" t="s">
        <v>16</v>
      </c>
      <c r="L570">
        <v>14.99</v>
      </c>
    </row>
    <row r="571" spans="1:12" x14ac:dyDescent="0.3">
      <c r="A571" t="s">
        <v>176</v>
      </c>
      <c r="B571" t="s">
        <v>36</v>
      </c>
      <c r="C571">
        <v>5864</v>
      </c>
      <c r="D571" t="str">
        <f t="shared" si="8"/>
        <v>Full</v>
      </c>
      <c r="E571">
        <v>17197</v>
      </c>
      <c r="F571">
        <v>195.27</v>
      </c>
      <c r="G571">
        <v>249.93</v>
      </c>
      <c r="H571" s="4" t="s">
        <v>1404</v>
      </c>
      <c r="I571" t="s">
        <v>1405</v>
      </c>
      <c r="J571" t="s">
        <v>846</v>
      </c>
      <c r="K571" t="s">
        <v>27</v>
      </c>
      <c r="L571">
        <v>137.24</v>
      </c>
    </row>
    <row r="572" spans="1:12" x14ac:dyDescent="0.3">
      <c r="A572" t="s">
        <v>123</v>
      </c>
      <c r="B572" t="s">
        <v>36</v>
      </c>
      <c r="C572">
        <v>9204</v>
      </c>
      <c r="D572" t="str">
        <f t="shared" si="8"/>
        <v>Full</v>
      </c>
      <c r="E572">
        <v>10551</v>
      </c>
      <c r="F572">
        <v>120.04</v>
      </c>
      <c r="G572">
        <v>234.24</v>
      </c>
      <c r="H572" s="4" t="s">
        <v>1406</v>
      </c>
      <c r="I572" t="s">
        <v>863</v>
      </c>
      <c r="J572" t="s">
        <v>1407</v>
      </c>
      <c r="K572" t="s">
        <v>40</v>
      </c>
      <c r="L572">
        <v>62.41</v>
      </c>
    </row>
    <row r="573" spans="1:12" x14ac:dyDescent="0.3">
      <c r="A573" t="s">
        <v>31</v>
      </c>
      <c r="B573" t="s">
        <v>36</v>
      </c>
      <c r="C573">
        <v>6140</v>
      </c>
      <c r="D573" t="str">
        <f t="shared" si="8"/>
        <v>Full</v>
      </c>
      <c r="E573">
        <v>3925</v>
      </c>
      <c r="F573">
        <v>176.9</v>
      </c>
      <c r="G573">
        <v>352.9</v>
      </c>
      <c r="H573" s="4" t="s">
        <v>730</v>
      </c>
      <c r="I573" t="s">
        <v>1408</v>
      </c>
      <c r="J573" t="s">
        <v>1409</v>
      </c>
      <c r="K573" t="s">
        <v>40</v>
      </c>
      <c r="L573">
        <v>75.180000000000007</v>
      </c>
    </row>
    <row r="574" spans="1:12" x14ac:dyDescent="0.3">
      <c r="A574" t="s">
        <v>66</v>
      </c>
      <c r="B574" t="s">
        <v>12</v>
      </c>
      <c r="C574">
        <v>513</v>
      </c>
      <c r="D574" t="str">
        <f t="shared" si="8"/>
        <v>Low</v>
      </c>
      <c r="E574">
        <v>24047</v>
      </c>
      <c r="F574">
        <v>170.21</v>
      </c>
      <c r="G574">
        <v>420.81</v>
      </c>
      <c r="H574" s="4" t="s">
        <v>1410</v>
      </c>
      <c r="I574" t="s">
        <v>1411</v>
      </c>
      <c r="J574" t="s">
        <v>1412</v>
      </c>
      <c r="K574" t="s">
        <v>98</v>
      </c>
      <c r="L574">
        <v>97.48</v>
      </c>
    </row>
    <row r="575" spans="1:12" x14ac:dyDescent="0.3">
      <c r="A575" t="s">
        <v>22</v>
      </c>
      <c r="B575" t="s">
        <v>36</v>
      </c>
      <c r="C575">
        <v>5712</v>
      </c>
      <c r="D575" t="str">
        <f t="shared" si="8"/>
        <v>Full</v>
      </c>
      <c r="E575">
        <v>24323</v>
      </c>
      <c r="F575">
        <v>117.92</v>
      </c>
      <c r="G575">
        <v>200</v>
      </c>
      <c r="H575" s="4" t="s">
        <v>1413</v>
      </c>
      <c r="I575" t="s">
        <v>1414</v>
      </c>
      <c r="J575" t="s">
        <v>1415</v>
      </c>
      <c r="K575" t="s">
        <v>98</v>
      </c>
      <c r="L575">
        <v>69.569999999999993</v>
      </c>
    </row>
    <row r="576" spans="1:12" x14ac:dyDescent="0.3">
      <c r="A576" t="s">
        <v>88</v>
      </c>
      <c r="B576" t="s">
        <v>32</v>
      </c>
      <c r="C576">
        <v>6801</v>
      </c>
      <c r="D576" t="str">
        <f t="shared" si="8"/>
        <v>Full</v>
      </c>
      <c r="E576">
        <v>12805</v>
      </c>
      <c r="F576">
        <v>252.79</v>
      </c>
      <c r="G576">
        <v>354.04</v>
      </c>
      <c r="H576" s="4" t="s">
        <v>745</v>
      </c>
      <c r="I576" t="s">
        <v>1416</v>
      </c>
      <c r="J576" t="s">
        <v>1417</v>
      </c>
      <c r="K576" t="s">
        <v>27</v>
      </c>
      <c r="L576">
        <v>108.37</v>
      </c>
    </row>
    <row r="577" spans="1:12" x14ac:dyDescent="0.3">
      <c r="A577" t="s">
        <v>17</v>
      </c>
      <c r="B577" t="s">
        <v>84</v>
      </c>
      <c r="C577">
        <v>8474</v>
      </c>
      <c r="D577" t="str">
        <f t="shared" si="8"/>
        <v>Full</v>
      </c>
      <c r="E577">
        <v>22558</v>
      </c>
      <c r="F577">
        <v>133.84</v>
      </c>
      <c r="G577">
        <v>332.9</v>
      </c>
      <c r="H577" s="4" t="s">
        <v>705</v>
      </c>
      <c r="I577" t="s">
        <v>1418</v>
      </c>
      <c r="J577" t="s">
        <v>1419</v>
      </c>
      <c r="K577" t="s">
        <v>21</v>
      </c>
      <c r="L577">
        <v>99.59</v>
      </c>
    </row>
    <row r="578" spans="1:12" x14ac:dyDescent="0.3">
      <c r="A578" t="s">
        <v>176</v>
      </c>
      <c r="B578" t="s">
        <v>36</v>
      </c>
      <c r="C578">
        <v>3445</v>
      </c>
      <c r="D578" t="str">
        <f t="shared" si="8"/>
        <v>Full</v>
      </c>
      <c r="E578">
        <v>15889</v>
      </c>
      <c r="F578">
        <v>155.28</v>
      </c>
      <c r="G578">
        <v>297.77999999999997</v>
      </c>
      <c r="H578" s="4" t="s">
        <v>1420</v>
      </c>
      <c r="I578" t="s">
        <v>1421</v>
      </c>
      <c r="J578" t="s">
        <v>1422</v>
      </c>
      <c r="K578" t="s">
        <v>98</v>
      </c>
      <c r="L578">
        <v>73.650000000000006</v>
      </c>
    </row>
    <row r="579" spans="1:12" x14ac:dyDescent="0.3">
      <c r="A579" t="s">
        <v>176</v>
      </c>
      <c r="B579" t="s">
        <v>12</v>
      </c>
      <c r="C579">
        <v>9968</v>
      </c>
      <c r="D579" t="str">
        <f t="shared" ref="D579:D642" si="9">IF(C579&lt;1000,"Low",IF(C579&lt;=3000,"Medium","Full"))</f>
        <v>Full</v>
      </c>
      <c r="E579">
        <v>17323</v>
      </c>
      <c r="F579">
        <v>254.81</v>
      </c>
      <c r="G579">
        <v>384.2</v>
      </c>
      <c r="H579" s="4" t="s">
        <v>1423</v>
      </c>
      <c r="I579" t="s">
        <v>353</v>
      </c>
      <c r="J579" t="s">
        <v>1424</v>
      </c>
      <c r="K579" t="s">
        <v>16</v>
      </c>
      <c r="L579">
        <v>160.66999999999999</v>
      </c>
    </row>
    <row r="580" spans="1:12" x14ac:dyDescent="0.3">
      <c r="A580" t="s">
        <v>127</v>
      </c>
      <c r="B580" t="s">
        <v>12</v>
      </c>
      <c r="C580">
        <v>9808</v>
      </c>
      <c r="D580" t="str">
        <f t="shared" si="9"/>
        <v>Full</v>
      </c>
      <c r="E580">
        <v>16835</v>
      </c>
      <c r="F580">
        <v>212.94</v>
      </c>
      <c r="G580">
        <v>286.85000000000002</v>
      </c>
      <c r="H580" s="4" t="s">
        <v>1425</v>
      </c>
      <c r="I580" t="s">
        <v>1426</v>
      </c>
      <c r="J580" t="s">
        <v>1202</v>
      </c>
      <c r="K580" t="s">
        <v>98</v>
      </c>
      <c r="L580">
        <v>147.37</v>
      </c>
    </row>
    <row r="581" spans="1:12" x14ac:dyDescent="0.3">
      <c r="A581" t="s">
        <v>119</v>
      </c>
      <c r="B581" t="s">
        <v>23</v>
      </c>
      <c r="C581">
        <v>8117</v>
      </c>
      <c r="D581" t="str">
        <f t="shared" si="9"/>
        <v>Full</v>
      </c>
      <c r="E581">
        <v>17939</v>
      </c>
      <c r="F581">
        <v>28.08</v>
      </c>
      <c r="G581">
        <v>66.180000000000007</v>
      </c>
      <c r="H581" s="4" t="s">
        <v>1427</v>
      </c>
      <c r="I581" t="s">
        <v>1428</v>
      </c>
      <c r="J581" t="s">
        <v>1429</v>
      </c>
      <c r="K581" t="s">
        <v>27</v>
      </c>
      <c r="L581">
        <v>18.920000000000002</v>
      </c>
    </row>
    <row r="582" spans="1:12" x14ac:dyDescent="0.3">
      <c r="A582" t="s">
        <v>66</v>
      </c>
      <c r="B582" t="s">
        <v>32</v>
      </c>
      <c r="C582">
        <v>5619</v>
      </c>
      <c r="D582" t="str">
        <f t="shared" si="9"/>
        <v>Full</v>
      </c>
      <c r="E582">
        <v>21088</v>
      </c>
      <c r="F582">
        <v>20.57</v>
      </c>
      <c r="G582">
        <v>33.869999999999997</v>
      </c>
      <c r="H582" s="4" t="s">
        <v>1280</v>
      </c>
      <c r="I582" t="s">
        <v>1430</v>
      </c>
      <c r="J582" t="s">
        <v>1431</v>
      </c>
      <c r="K582" t="s">
        <v>16</v>
      </c>
      <c r="L582">
        <v>15.68</v>
      </c>
    </row>
    <row r="583" spans="1:12" x14ac:dyDescent="0.3">
      <c r="A583" t="s">
        <v>22</v>
      </c>
      <c r="B583" t="s">
        <v>23</v>
      </c>
      <c r="C583">
        <v>7397</v>
      </c>
      <c r="D583" t="str">
        <f t="shared" si="9"/>
        <v>Full</v>
      </c>
      <c r="E583">
        <v>12564</v>
      </c>
      <c r="F583">
        <v>288.37</v>
      </c>
      <c r="G583">
        <v>645.28</v>
      </c>
      <c r="H583" s="4" t="s">
        <v>594</v>
      </c>
      <c r="I583" t="s">
        <v>1432</v>
      </c>
      <c r="J583" t="s">
        <v>1433</v>
      </c>
      <c r="K583" t="s">
        <v>16</v>
      </c>
      <c r="L583">
        <v>201.79</v>
      </c>
    </row>
    <row r="584" spans="1:12" x14ac:dyDescent="0.3">
      <c r="A584" t="s">
        <v>22</v>
      </c>
      <c r="B584" t="s">
        <v>23</v>
      </c>
      <c r="C584">
        <v>1506</v>
      </c>
      <c r="D584" t="str">
        <f t="shared" si="9"/>
        <v>Medium</v>
      </c>
      <c r="E584">
        <v>21620</v>
      </c>
      <c r="F584">
        <v>144.58000000000001</v>
      </c>
      <c r="G584">
        <v>205.28</v>
      </c>
      <c r="H584" s="4" t="s">
        <v>278</v>
      </c>
      <c r="I584" t="s">
        <v>1434</v>
      </c>
      <c r="J584" t="s">
        <v>1435</v>
      </c>
      <c r="K584" t="s">
        <v>16</v>
      </c>
      <c r="L584">
        <v>59.41</v>
      </c>
    </row>
    <row r="585" spans="1:12" x14ac:dyDescent="0.3">
      <c r="A585" t="s">
        <v>49</v>
      </c>
      <c r="B585" t="s">
        <v>12</v>
      </c>
      <c r="C585">
        <v>2577</v>
      </c>
      <c r="D585" t="str">
        <f t="shared" si="9"/>
        <v>Medium</v>
      </c>
      <c r="E585">
        <v>17567</v>
      </c>
      <c r="F585">
        <v>27.67</v>
      </c>
      <c r="G585">
        <v>61.4</v>
      </c>
      <c r="H585" s="4" t="s">
        <v>992</v>
      </c>
      <c r="I585" t="s">
        <v>1095</v>
      </c>
      <c r="J585" t="s">
        <v>1436</v>
      </c>
      <c r="K585" t="s">
        <v>40</v>
      </c>
      <c r="L585">
        <v>14.11</v>
      </c>
    </row>
    <row r="586" spans="1:12" x14ac:dyDescent="0.3">
      <c r="A586" t="s">
        <v>147</v>
      </c>
      <c r="B586" t="s">
        <v>12</v>
      </c>
      <c r="C586">
        <v>2327</v>
      </c>
      <c r="D586" t="str">
        <f t="shared" si="9"/>
        <v>Medium</v>
      </c>
      <c r="E586">
        <v>20786</v>
      </c>
      <c r="F586">
        <v>56.51</v>
      </c>
      <c r="G586">
        <v>111.29</v>
      </c>
      <c r="H586" s="4" t="s">
        <v>1437</v>
      </c>
      <c r="I586" t="s">
        <v>1438</v>
      </c>
      <c r="J586" t="s">
        <v>1439</v>
      </c>
      <c r="K586" t="s">
        <v>40</v>
      </c>
      <c r="L586">
        <v>40.86</v>
      </c>
    </row>
    <row r="587" spans="1:12" x14ac:dyDescent="0.3">
      <c r="A587" t="s">
        <v>147</v>
      </c>
      <c r="B587" t="s">
        <v>84</v>
      </c>
      <c r="C587">
        <v>8444</v>
      </c>
      <c r="D587" t="str">
        <f t="shared" si="9"/>
        <v>Full</v>
      </c>
      <c r="E587">
        <v>6924</v>
      </c>
      <c r="F587">
        <v>240.81</v>
      </c>
      <c r="G587">
        <v>558.83000000000004</v>
      </c>
      <c r="H587" s="4" t="s">
        <v>1440</v>
      </c>
      <c r="I587" t="s">
        <v>1441</v>
      </c>
      <c r="J587" t="s">
        <v>1442</v>
      </c>
      <c r="K587" t="s">
        <v>16</v>
      </c>
      <c r="L587">
        <v>186.29</v>
      </c>
    </row>
    <row r="588" spans="1:12" x14ac:dyDescent="0.3">
      <c r="A588" t="s">
        <v>123</v>
      </c>
      <c r="B588" t="s">
        <v>36</v>
      </c>
      <c r="C588">
        <v>7265</v>
      </c>
      <c r="D588" t="str">
        <f t="shared" si="9"/>
        <v>Full</v>
      </c>
      <c r="E588">
        <v>13555</v>
      </c>
      <c r="F588">
        <v>75.19</v>
      </c>
      <c r="G588">
        <v>133.25</v>
      </c>
      <c r="H588" s="4" t="s">
        <v>682</v>
      </c>
      <c r="I588" t="s">
        <v>456</v>
      </c>
      <c r="J588" t="s">
        <v>1443</v>
      </c>
      <c r="K588" t="s">
        <v>16</v>
      </c>
      <c r="L588">
        <v>52.16</v>
      </c>
    </row>
    <row r="589" spans="1:12" x14ac:dyDescent="0.3">
      <c r="A589" t="s">
        <v>76</v>
      </c>
      <c r="B589" t="s">
        <v>12</v>
      </c>
      <c r="C589">
        <v>4831</v>
      </c>
      <c r="D589" t="str">
        <f t="shared" si="9"/>
        <v>Full</v>
      </c>
      <c r="E589">
        <v>4800</v>
      </c>
      <c r="F589">
        <v>20.49</v>
      </c>
      <c r="G589">
        <v>36.950000000000003</v>
      </c>
      <c r="H589" s="4" t="s">
        <v>1207</v>
      </c>
      <c r="I589" t="s">
        <v>1307</v>
      </c>
      <c r="J589" t="s">
        <v>1444</v>
      </c>
      <c r="K589" t="s">
        <v>16</v>
      </c>
      <c r="L589">
        <v>10.11</v>
      </c>
    </row>
    <row r="590" spans="1:12" x14ac:dyDescent="0.3">
      <c r="A590" t="s">
        <v>299</v>
      </c>
      <c r="B590" t="s">
        <v>36</v>
      </c>
      <c r="C590">
        <v>4802</v>
      </c>
      <c r="D590" t="str">
        <f t="shared" si="9"/>
        <v>Full</v>
      </c>
      <c r="E590">
        <v>5756</v>
      </c>
      <c r="F590">
        <v>161.47999999999999</v>
      </c>
      <c r="G590">
        <v>285.04000000000002</v>
      </c>
      <c r="H590" s="4" t="s">
        <v>1445</v>
      </c>
      <c r="I590" t="s">
        <v>1098</v>
      </c>
      <c r="J590" t="s">
        <v>1446</v>
      </c>
      <c r="K590" t="s">
        <v>40</v>
      </c>
      <c r="L590">
        <v>126.71</v>
      </c>
    </row>
    <row r="591" spans="1:12" x14ac:dyDescent="0.3">
      <c r="A591" t="s">
        <v>127</v>
      </c>
      <c r="B591" t="s">
        <v>12</v>
      </c>
      <c r="C591">
        <v>9204</v>
      </c>
      <c r="D591" t="str">
        <f t="shared" si="9"/>
        <v>Full</v>
      </c>
      <c r="E591">
        <v>21887</v>
      </c>
      <c r="F591">
        <v>109.38</v>
      </c>
      <c r="G591">
        <v>251.3</v>
      </c>
      <c r="H591" s="4" t="s">
        <v>279</v>
      </c>
      <c r="I591" t="s">
        <v>1447</v>
      </c>
      <c r="J591" t="s">
        <v>1448</v>
      </c>
      <c r="K591" t="s">
        <v>40</v>
      </c>
      <c r="L591">
        <v>55.58</v>
      </c>
    </row>
    <row r="592" spans="1:12" x14ac:dyDescent="0.3">
      <c r="A592" t="s">
        <v>11</v>
      </c>
      <c r="B592" t="s">
        <v>23</v>
      </c>
      <c r="C592">
        <v>6908</v>
      </c>
      <c r="D592" t="str">
        <f t="shared" si="9"/>
        <v>Full</v>
      </c>
      <c r="E592">
        <v>16109</v>
      </c>
      <c r="F592">
        <v>233.08</v>
      </c>
      <c r="G592">
        <v>506.67</v>
      </c>
      <c r="H592" s="4" t="s">
        <v>1449</v>
      </c>
      <c r="I592" t="s">
        <v>1450</v>
      </c>
      <c r="J592" t="s">
        <v>1451</v>
      </c>
      <c r="K592" t="s">
        <v>16</v>
      </c>
      <c r="L592">
        <v>124.69</v>
      </c>
    </row>
    <row r="593" spans="1:12" x14ac:dyDescent="0.3">
      <c r="A593" t="s">
        <v>56</v>
      </c>
      <c r="B593" t="s">
        <v>23</v>
      </c>
      <c r="C593">
        <v>9472</v>
      </c>
      <c r="D593" t="str">
        <f t="shared" si="9"/>
        <v>Full</v>
      </c>
      <c r="E593">
        <v>1346</v>
      </c>
      <c r="F593">
        <v>203.48</v>
      </c>
      <c r="G593">
        <v>464.18</v>
      </c>
      <c r="H593" s="4" t="s">
        <v>240</v>
      </c>
      <c r="I593" t="s">
        <v>913</v>
      </c>
      <c r="J593" t="s">
        <v>1452</v>
      </c>
      <c r="K593" t="s">
        <v>16</v>
      </c>
      <c r="L593">
        <v>89.85</v>
      </c>
    </row>
    <row r="594" spans="1:12" x14ac:dyDescent="0.3">
      <c r="A594" t="s">
        <v>143</v>
      </c>
      <c r="B594" t="s">
        <v>23</v>
      </c>
      <c r="C594">
        <v>4094</v>
      </c>
      <c r="D594" t="str">
        <f t="shared" si="9"/>
        <v>Full</v>
      </c>
      <c r="E594">
        <v>24765</v>
      </c>
      <c r="F594">
        <v>88.57</v>
      </c>
      <c r="G594">
        <v>128.52000000000001</v>
      </c>
      <c r="H594" s="4" t="s">
        <v>1453</v>
      </c>
      <c r="I594" t="s">
        <v>706</v>
      </c>
      <c r="J594" t="s">
        <v>1454</v>
      </c>
      <c r="K594" t="s">
        <v>27</v>
      </c>
      <c r="L594">
        <v>68.680000000000007</v>
      </c>
    </row>
    <row r="595" spans="1:12" x14ac:dyDescent="0.3">
      <c r="A595" t="s">
        <v>88</v>
      </c>
      <c r="B595" t="s">
        <v>32</v>
      </c>
      <c r="C595">
        <v>2495</v>
      </c>
      <c r="D595" t="str">
        <f t="shared" si="9"/>
        <v>Medium</v>
      </c>
      <c r="E595">
        <v>24202</v>
      </c>
      <c r="F595">
        <v>287.55</v>
      </c>
      <c r="G595">
        <v>377.35</v>
      </c>
      <c r="H595" s="4" t="s">
        <v>1455</v>
      </c>
      <c r="I595" t="s">
        <v>1456</v>
      </c>
      <c r="J595" t="s">
        <v>1457</v>
      </c>
      <c r="K595" t="s">
        <v>16</v>
      </c>
      <c r="L595">
        <v>207.4</v>
      </c>
    </row>
    <row r="596" spans="1:12" x14ac:dyDescent="0.3">
      <c r="A596" t="s">
        <v>56</v>
      </c>
      <c r="B596" t="s">
        <v>12</v>
      </c>
      <c r="C596">
        <v>3518</v>
      </c>
      <c r="D596" t="str">
        <f t="shared" si="9"/>
        <v>Full</v>
      </c>
      <c r="E596">
        <v>9301</v>
      </c>
      <c r="F596">
        <v>91.9</v>
      </c>
      <c r="G596">
        <v>189.19</v>
      </c>
      <c r="H596" s="4" t="s">
        <v>334</v>
      </c>
      <c r="I596" t="s">
        <v>1458</v>
      </c>
      <c r="J596" t="s">
        <v>1459</v>
      </c>
      <c r="K596" t="s">
        <v>40</v>
      </c>
      <c r="L596">
        <v>65.040000000000006</v>
      </c>
    </row>
    <row r="597" spans="1:12" x14ac:dyDescent="0.3">
      <c r="A597" t="s">
        <v>45</v>
      </c>
      <c r="B597" t="s">
        <v>23</v>
      </c>
      <c r="C597">
        <v>3153</v>
      </c>
      <c r="D597" t="str">
        <f t="shared" si="9"/>
        <v>Full</v>
      </c>
      <c r="E597">
        <v>3424</v>
      </c>
      <c r="F597">
        <v>86.8</v>
      </c>
      <c r="G597">
        <v>111.2</v>
      </c>
      <c r="H597" s="4" t="s">
        <v>1460</v>
      </c>
      <c r="I597" t="s">
        <v>1461</v>
      </c>
      <c r="J597" t="s">
        <v>1462</v>
      </c>
      <c r="K597" t="s">
        <v>40</v>
      </c>
      <c r="L597">
        <v>67.900000000000006</v>
      </c>
    </row>
    <row r="598" spans="1:12" x14ac:dyDescent="0.3">
      <c r="A598" t="s">
        <v>147</v>
      </c>
      <c r="B598" t="s">
        <v>84</v>
      </c>
      <c r="C598">
        <v>7718</v>
      </c>
      <c r="D598" t="str">
        <f t="shared" si="9"/>
        <v>Full</v>
      </c>
      <c r="E598">
        <v>3274</v>
      </c>
      <c r="F598">
        <v>150.06</v>
      </c>
      <c r="G598">
        <v>361.22</v>
      </c>
      <c r="H598" s="4" t="s">
        <v>1463</v>
      </c>
      <c r="I598" t="s">
        <v>1464</v>
      </c>
      <c r="J598" t="s">
        <v>1465</v>
      </c>
      <c r="K598" t="s">
        <v>21</v>
      </c>
      <c r="L598">
        <v>66.53</v>
      </c>
    </row>
    <row r="599" spans="1:12" x14ac:dyDescent="0.3">
      <c r="A599" t="s">
        <v>66</v>
      </c>
      <c r="B599" t="s">
        <v>36</v>
      </c>
      <c r="C599">
        <v>4078</v>
      </c>
      <c r="D599" t="str">
        <f t="shared" si="9"/>
        <v>Full</v>
      </c>
      <c r="E599">
        <v>21118</v>
      </c>
      <c r="F599">
        <v>194.78</v>
      </c>
      <c r="G599">
        <v>464.82</v>
      </c>
      <c r="H599" s="4" t="s">
        <v>1466</v>
      </c>
      <c r="I599" t="s">
        <v>82</v>
      </c>
      <c r="J599" t="s">
        <v>1467</v>
      </c>
      <c r="K599" t="s">
        <v>27</v>
      </c>
      <c r="L599">
        <v>83.4</v>
      </c>
    </row>
    <row r="600" spans="1:12" x14ac:dyDescent="0.3">
      <c r="A600" t="s">
        <v>147</v>
      </c>
      <c r="B600" t="s">
        <v>36</v>
      </c>
      <c r="C600">
        <v>807</v>
      </c>
      <c r="D600" t="str">
        <f t="shared" si="9"/>
        <v>Low</v>
      </c>
      <c r="E600">
        <v>17308</v>
      </c>
      <c r="F600">
        <v>48.91</v>
      </c>
      <c r="G600">
        <v>99.41</v>
      </c>
      <c r="H600" s="4" t="s">
        <v>591</v>
      </c>
      <c r="I600" t="s">
        <v>1468</v>
      </c>
      <c r="J600" t="s">
        <v>1469</v>
      </c>
      <c r="K600" t="s">
        <v>40</v>
      </c>
      <c r="L600">
        <v>22.53</v>
      </c>
    </row>
    <row r="601" spans="1:12" x14ac:dyDescent="0.3">
      <c r="A601" t="s">
        <v>45</v>
      </c>
      <c r="B601" t="s">
        <v>36</v>
      </c>
      <c r="C601">
        <v>9914</v>
      </c>
      <c r="D601" t="str">
        <f t="shared" si="9"/>
        <v>Full</v>
      </c>
      <c r="E601">
        <v>1121</v>
      </c>
      <c r="F601">
        <v>157.04</v>
      </c>
      <c r="G601">
        <v>380.33</v>
      </c>
      <c r="H601" s="4" t="s">
        <v>695</v>
      </c>
      <c r="I601" t="s">
        <v>1470</v>
      </c>
      <c r="J601" t="s">
        <v>1471</v>
      </c>
      <c r="K601" t="s">
        <v>21</v>
      </c>
      <c r="L601">
        <v>115.84</v>
      </c>
    </row>
    <row r="602" spans="1:12" x14ac:dyDescent="0.3">
      <c r="A602" t="s">
        <v>41</v>
      </c>
      <c r="B602" t="s">
        <v>32</v>
      </c>
      <c r="C602">
        <v>4200</v>
      </c>
      <c r="D602" t="str">
        <f t="shared" si="9"/>
        <v>Full</v>
      </c>
      <c r="E602">
        <v>1108</v>
      </c>
      <c r="F602">
        <v>118.41</v>
      </c>
      <c r="G602">
        <v>248.19</v>
      </c>
      <c r="H602" s="4" t="s">
        <v>1425</v>
      </c>
      <c r="I602" t="s">
        <v>1472</v>
      </c>
      <c r="J602" t="s">
        <v>1473</v>
      </c>
      <c r="K602" t="s">
        <v>16</v>
      </c>
      <c r="L602">
        <v>91.65</v>
      </c>
    </row>
    <row r="603" spans="1:12" x14ac:dyDescent="0.3">
      <c r="A603" t="s">
        <v>76</v>
      </c>
      <c r="B603" t="s">
        <v>23</v>
      </c>
      <c r="C603">
        <v>5461</v>
      </c>
      <c r="D603" t="str">
        <f t="shared" si="9"/>
        <v>Full</v>
      </c>
      <c r="E603">
        <v>14127</v>
      </c>
      <c r="F603">
        <v>21.28</v>
      </c>
      <c r="G603">
        <v>53.12</v>
      </c>
      <c r="H603" s="4" t="s">
        <v>650</v>
      </c>
      <c r="I603" t="s">
        <v>1098</v>
      </c>
      <c r="J603" t="s">
        <v>1474</v>
      </c>
      <c r="K603" t="s">
        <v>16</v>
      </c>
      <c r="L603">
        <v>15.78</v>
      </c>
    </row>
    <row r="604" spans="1:12" x14ac:dyDescent="0.3">
      <c r="A604" t="s">
        <v>45</v>
      </c>
      <c r="B604" t="s">
        <v>12</v>
      </c>
      <c r="C604">
        <v>8030</v>
      </c>
      <c r="D604" t="str">
        <f t="shared" si="9"/>
        <v>Full</v>
      </c>
      <c r="E604">
        <v>10501</v>
      </c>
      <c r="F604">
        <v>196.1</v>
      </c>
      <c r="G604">
        <v>280.35000000000002</v>
      </c>
      <c r="H604" s="4" t="s">
        <v>134</v>
      </c>
      <c r="I604" t="s">
        <v>913</v>
      </c>
      <c r="J604" t="s">
        <v>1475</v>
      </c>
      <c r="K604" t="s">
        <v>98</v>
      </c>
      <c r="L604">
        <v>101.88</v>
      </c>
    </row>
    <row r="605" spans="1:12" x14ac:dyDescent="0.3">
      <c r="A605" t="s">
        <v>299</v>
      </c>
      <c r="B605" t="s">
        <v>12</v>
      </c>
      <c r="C605">
        <v>6386</v>
      </c>
      <c r="D605" t="str">
        <f t="shared" si="9"/>
        <v>Full</v>
      </c>
      <c r="E605">
        <v>16941</v>
      </c>
      <c r="F605">
        <v>30.03</v>
      </c>
      <c r="G605">
        <v>60.74</v>
      </c>
      <c r="H605" s="4" t="s">
        <v>1476</v>
      </c>
      <c r="I605" t="s">
        <v>621</v>
      </c>
      <c r="J605" t="s">
        <v>1477</v>
      </c>
      <c r="K605" t="s">
        <v>98</v>
      </c>
      <c r="L605">
        <v>12.32</v>
      </c>
    </row>
    <row r="606" spans="1:12" x14ac:dyDescent="0.3">
      <c r="A606" t="s">
        <v>22</v>
      </c>
      <c r="B606" t="s">
        <v>84</v>
      </c>
      <c r="C606">
        <v>8515</v>
      </c>
      <c r="D606" t="str">
        <f t="shared" si="9"/>
        <v>Full</v>
      </c>
      <c r="E606">
        <v>13739</v>
      </c>
      <c r="F606">
        <v>23.58</v>
      </c>
      <c r="G606">
        <v>44.87</v>
      </c>
      <c r="H606" s="4" t="s">
        <v>620</v>
      </c>
      <c r="I606" t="s">
        <v>64</v>
      </c>
      <c r="J606" t="s">
        <v>1478</v>
      </c>
      <c r="K606" t="s">
        <v>21</v>
      </c>
      <c r="L606">
        <v>18.55</v>
      </c>
    </row>
    <row r="607" spans="1:12" x14ac:dyDescent="0.3">
      <c r="A607" t="s">
        <v>17</v>
      </c>
      <c r="B607" t="s">
        <v>12</v>
      </c>
      <c r="C607">
        <v>6058</v>
      </c>
      <c r="D607" t="str">
        <f t="shared" si="9"/>
        <v>Full</v>
      </c>
      <c r="E607">
        <v>2836</v>
      </c>
      <c r="F607">
        <v>104.63</v>
      </c>
      <c r="G607">
        <v>223.63</v>
      </c>
      <c r="H607" s="4" t="s">
        <v>607</v>
      </c>
      <c r="I607" t="s">
        <v>1173</v>
      </c>
      <c r="J607" t="s">
        <v>1479</v>
      </c>
      <c r="K607" t="s">
        <v>16</v>
      </c>
      <c r="L607">
        <v>61.04</v>
      </c>
    </row>
    <row r="608" spans="1:12" x14ac:dyDescent="0.3">
      <c r="A608" t="s">
        <v>66</v>
      </c>
      <c r="B608" t="s">
        <v>84</v>
      </c>
      <c r="C608">
        <v>9992</v>
      </c>
      <c r="D608" t="str">
        <f t="shared" si="9"/>
        <v>Full</v>
      </c>
      <c r="E608">
        <v>8634</v>
      </c>
      <c r="F608">
        <v>277.82</v>
      </c>
      <c r="G608">
        <v>346.7</v>
      </c>
      <c r="H608" s="4" t="s">
        <v>751</v>
      </c>
      <c r="I608" t="s">
        <v>941</v>
      </c>
      <c r="J608" t="s">
        <v>1480</v>
      </c>
      <c r="K608" t="s">
        <v>27</v>
      </c>
      <c r="L608">
        <v>163.49</v>
      </c>
    </row>
    <row r="609" spans="1:12" x14ac:dyDescent="0.3">
      <c r="A609" t="s">
        <v>176</v>
      </c>
      <c r="B609" t="s">
        <v>12</v>
      </c>
      <c r="C609">
        <v>4476</v>
      </c>
      <c r="D609" t="str">
        <f t="shared" si="9"/>
        <v>Full</v>
      </c>
      <c r="E609">
        <v>23980</v>
      </c>
      <c r="F609">
        <v>196.39</v>
      </c>
      <c r="G609">
        <v>239.34</v>
      </c>
      <c r="H609" s="4" t="s">
        <v>1042</v>
      </c>
      <c r="I609" t="s">
        <v>1323</v>
      </c>
      <c r="J609" t="s">
        <v>1481</v>
      </c>
      <c r="K609" t="s">
        <v>27</v>
      </c>
      <c r="L609">
        <v>114.39</v>
      </c>
    </row>
    <row r="610" spans="1:12" x14ac:dyDescent="0.3">
      <c r="A610" t="s">
        <v>56</v>
      </c>
      <c r="B610" t="s">
        <v>32</v>
      </c>
      <c r="C610">
        <v>1547</v>
      </c>
      <c r="D610" t="str">
        <f t="shared" si="9"/>
        <v>Medium</v>
      </c>
      <c r="E610">
        <v>4484</v>
      </c>
      <c r="F610">
        <v>38.68</v>
      </c>
      <c r="G610">
        <v>76.33</v>
      </c>
      <c r="H610" s="4" t="s">
        <v>1482</v>
      </c>
      <c r="I610" t="s">
        <v>516</v>
      </c>
      <c r="J610" t="s">
        <v>1483</v>
      </c>
      <c r="K610" t="s">
        <v>98</v>
      </c>
      <c r="L610">
        <v>22.07</v>
      </c>
    </row>
    <row r="611" spans="1:12" x14ac:dyDescent="0.3">
      <c r="A611" t="s">
        <v>299</v>
      </c>
      <c r="B611" t="s">
        <v>23</v>
      </c>
      <c r="C611">
        <v>2479</v>
      </c>
      <c r="D611" t="str">
        <f t="shared" si="9"/>
        <v>Medium</v>
      </c>
      <c r="E611">
        <v>23416</v>
      </c>
      <c r="F611">
        <v>174.91</v>
      </c>
      <c r="G611">
        <v>241.12</v>
      </c>
      <c r="H611" s="4" t="s">
        <v>1484</v>
      </c>
      <c r="I611" t="s">
        <v>474</v>
      </c>
      <c r="J611" t="s">
        <v>1485</v>
      </c>
      <c r="K611" t="s">
        <v>98</v>
      </c>
      <c r="L611">
        <v>93.44</v>
      </c>
    </row>
    <row r="612" spans="1:12" x14ac:dyDescent="0.3">
      <c r="A612" t="s">
        <v>11</v>
      </c>
      <c r="B612" t="s">
        <v>23</v>
      </c>
      <c r="C612">
        <v>2814</v>
      </c>
      <c r="D612" t="str">
        <f t="shared" si="9"/>
        <v>Medium</v>
      </c>
      <c r="E612">
        <v>14603</v>
      </c>
      <c r="F612">
        <v>54.58</v>
      </c>
      <c r="G612">
        <v>91.74</v>
      </c>
      <c r="H612" s="4" t="s">
        <v>1029</v>
      </c>
      <c r="I612" t="s">
        <v>1472</v>
      </c>
      <c r="J612" t="s">
        <v>1486</v>
      </c>
      <c r="K612" t="s">
        <v>16</v>
      </c>
      <c r="L612">
        <v>22.72</v>
      </c>
    </row>
    <row r="613" spans="1:12" x14ac:dyDescent="0.3">
      <c r="A613" t="s">
        <v>11</v>
      </c>
      <c r="B613" t="s">
        <v>32</v>
      </c>
      <c r="C613">
        <v>6662</v>
      </c>
      <c r="D613" t="str">
        <f t="shared" si="9"/>
        <v>Full</v>
      </c>
      <c r="E613">
        <v>6169</v>
      </c>
      <c r="F613">
        <v>9.61</v>
      </c>
      <c r="G613">
        <v>17.62</v>
      </c>
      <c r="H613" s="4" t="s">
        <v>1487</v>
      </c>
      <c r="I613" t="s">
        <v>915</v>
      </c>
      <c r="J613" t="s">
        <v>1488</v>
      </c>
      <c r="K613" t="s">
        <v>27</v>
      </c>
      <c r="L613">
        <v>6.56</v>
      </c>
    </row>
    <row r="614" spans="1:12" x14ac:dyDescent="0.3">
      <c r="A614" t="s">
        <v>22</v>
      </c>
      <c r="B614" t="s">
        <v>23</v>
      </c>
      <c r="C614">
        <v>7319</v>
      </c>
      <c r="D614" t="str">
        <f t="shared" si="9"/>
        <v>Full</v>
      </c>
      <c r="E614">
        <v>23724</v>
      </c>
      <c r="F614">
        <v>243.19</v>
      </c>
      <c r="G614">
        <v>536.07000000000005</v>
      </c>
      <c r="H614" s="4" t="s">
        <v>499</v>
      </c>
      <c r="I614" t="s">
        <v>1489</v>
      </c>
      <c r="J614" t="s">
        <v>1490</v>
      </c>
      <c r="K614" t="s">
        <v>40</v>
      </c>
      <c r="L614">
        <v>148.16</v>
      </c>
    </row>
    <row r="615" spans="1:12" x14ac:dyDescent="0.3">
      <c r="A615" t="s">
        <v>200</v>
      </c>
      <c r="B615" t="s">
        <v>84</v>
      </c>
      <c r="C615">
        <v>3359</v>
      </c>
      <c r="D615" t="str">
        <f t="shared" si="9"/>
        <v>Full</v>
      </c>
      <c r="E615">
        <v>21006</v>
      </c>
      <c r="F615">
        <v>209.04</v>
      </c>
      <c r="G615">
        <v>412.89</v>
      </c>
      <c r="H615" s="4" t="s">
        <v>1240</v>
      </c>
      <c r="I615" t="s">
        <v>1491</v>
      </c>
      <c r="J615" t="s">
        <v>1492</v>
      </c>
      <c r="K615" t="s">
        <v>40</v>
      </c>
      <c r="L615">
        <v>112.7</v>
      </c>
    </row>
    <row r="616" spans="1:12" x14ac:dyDescent="0.3">
      <c r="A616" t="s">
        <v>17</v>
      </c>
      <c r="B616" t="s">
        <v>32</v>
      </c>
      <c r="C616">
        <v>4360</v>
      </c>
      <c r="D616" t="str">
        <f t="shared" si="9"/>
        <v>Full</v>
      </c>
      <c r="E616">
        <v>7288</v>
      </c>
      <c r="F616">
        <v>39.659999999999997</v>
      </c>
      <c r="G616">
        <v>74.930000000000007</v>
      </c>
      <c r="H616" s="4" t="s">
        <v>1493</v>
      </c>
      <c r="I616" t="s">
        <v>1013</v>
      </c>
      <c r="J616" t="s">
        <v>1494</v>
      </c>
      <c r="K616" t="s">
        <v>16</v>
      </c>
      <c r="L616">
        <v>23.92</v>
      </c>
    </row>
    <row r="617" spans="1:12" x14ac:dyDescent="0.3">
      <c r="A617" t="s">
        <v>143</v>
      </c>
      <c r="B617" t="s">
        <v>84</v>
      </c>
      <c r="C617">
        <v>5028</v>
      </c>
      <c r="D617" t="str">
        <f t="shared" si="9"/>
        <v>Full</v>
      </c>
      <c r="E617">
        <v>2738</v>
      </c>
      <c r="F617">
        <v>62.15</v>
      </c>
      <c r="G617">
        <v>138.94</v>
      </c>
      <c r="H617" s="4" t="s">
        <v>1495</v>
      </c>
      <c r="I617" t="s">
        <v>1496</v>
      </c>
      <c r="J617" t="s">
        <v>1497</v>
      </c>
      <c r="K617" t="s">
        <v>98</v>
      </c>
      <c r="L617">
        <v>41.52</v>
      </c>
    </row>
    <row r="618" spans="1:12" x14ac:dyDescent="0.3">
      <c r="A618" t="s">
        <v>127</v>
      </c>
      <c r="B618" t="s">
        <v>12</v>
      </c>
      <c r="C618">
        <v>6466</v>
      </c>
      <c r="D618" t="str">
        <f t="shared" si="9"/>
        <v>Full</v>
      </c>
      <c r="E618">
        <v>10340</v>
      </c>
      <c r="F618">
        <v>66.83</v>
      </c>
      <c r="G618">
        <v>102.04</v>
      </c>
      <c r="H618" s="4" t="s">
        <v>559</v>
      </c>
      <c r="I618" t="s">
        <v>1498</v>
      </c>
      <c r="J618" t="s">
        <v>1499</v>
      </c>
      <c r="K618" t="s">
        <v>27</v>
      </c>
      <c r="L618">
        <v>46.52</v>
      </c>
    </row>
    <row r="619" spans="1:12" x14ac:dyDescent="0.3">
      <c r="A619" t="s">
        <v>66</v>
      </c>
      <c r="B619" t="s">
        <v>84</v>
      </c>
      <c r="C619">
        <v>3089</v>
      </c>
      <c r="D619" t="str">
        <f t="shared" si="9"/>
        <v>Full</v>
      </c>
      <c r="E619">
        <v>1952</v>
      </c>
      <c r="F619">
        <v>148.09</v>
      </c>
      <c r="G619">
        <v>200.05</v>
      </c>
      <c r="H619" s="4" t="s">
        <v>1500</v>
      </c>
      <c r="I619" t="s">
        <v>1501</v>
      </c>
      <c r="J619" t="s">
        <v>1502</v>
      </c>
      <c r="K619" t="s">
        <v>16</v>
      </c>
      <c r="L619">
        <v>78.55</v>
      </c>
    </row>
    <row r="620" spans="1:12" x14ac:dyDescent="0.3">
      <c r="A620" t="s">
        <v>88</v>
      </c>
      <c r="B620" t="s">
        <v>23</v>
      </c>
      <c r="C620">
        <v>4269</v>
      </c>
      <c r="D620" t="str">
        <f t="shared" si="9"/>
        <v>Full</v>
      </c>
      <c r="E620">
        <v>4608</v>
      </c>
      <c r="F620">
        <v>101.21</v>
      </c>
      <c r="G620">
        <v>134.35</v>
      </c>
      <c r="H620" s="4" t="s">
        <v>1503</v>
      </c>
      <c r="I620" t="s">
        <v>1504</v>
      </c>
      <c r="J620" t="s">
        <v>1505</v>
      </c>
      <c r="K620" t="s">
        <v>98</v>
      </c>
      <c r="L620">
        <v>43.46</v>
      </c>
    </row>
    <row r="621" spans="1:12" x14ac:dyDescent="0.3">
      <c r="A621" t="s">
        <v>22</v>
      </c>
      <c r="B621" t="s">
        <v>36</v>
      </c>
      <c r="C621">
        <v>1390</v>
      </c>
      <c r="D621" t="str">
        <f t="shared" si="9"/>
        <v>Medium</v>
      </c>
      <c r="E621">
        <v>15282</v>
      </c>
      <c r="F621">
        <v>47.76</v>
      </c>
      <c r="G621">
        <v>114.92</v>
      </c>
      <c r="H621" s="4" t="s">
        <v>337</v>
      </c>
      <c r="I621" t="s">
        <v>1089</v>
      </c>
      <c r="J621" t="s">
        <v>1506</v>
      </c>
      <c r="K621" t="s">
        <v>40</v>
      </c>
      <c r="L621">
        <v>21.71</v>
      </c>
    </row>
    <row r="622" spans="1:12" x14ac:dyDescent="0.3">
      <c r="A622" t="s">
        <v>88</v>
      </c>
      <c r="B622" t="s">
        <v>23</v>
      </c>
      <c r="C622">
        <v>4918</v>
      </c>
      <c r="D622" t="str">
        <f t="shared" si="9"/>
        <v>Full</v>
      </c>
      <c r="E622">
        <v>7626</v>
      </c>
      <c r="F622">
        <v>104.09</v>
      </c>
      <c r="G622">
        <v>129.25</v>
      </c>
      <c r="H622" s="4" t="s">
        <v>592</v>
      </c>
      <c r="I622" t="s">
        <v>1077</v>
      </c>
      <c r="J622" t="s">
        <v>1507</v>
      </c>
      <c r="K622" t="s">
        <v>98</v>
      </c>
      <c r="L622">
        <v>46.26</v>
      </c>
    </row>
    <row r="623" spans="1:12" x14ac:dyDescent="0.3">
      <c r="A623" t="s">
        <v>143</v>
      </c>
      <c r="B623" t="s">
        <v>36</v>
      </c>
      <c r="C623">
        <v>7352</v>
      </c>
      <c r="D623" t="str">
        <f t="shared" si="9"/>
        <v>Full</v>
      </c>
      <c r="E623">
        <v>6609</v>
      </c>
      <c r="F623">
        <v>229.3</v>
      </c>
      <c r="G623">
        <v>340.7</v>
      </c>
      <c r="H623" s="4" t="s">
        <v>322</v>
      </c>
      <c r="I623" t="s">
        <v>536</v>
      </c>
      <c r="J623" t="s">
        <v>1508</v>
      </c>
      <c r="K623" t="s">
        <v>16</v>
      </c>
      <c r="L623">
        <v>174.78</v>
      </c>
    </row>
    <row r="624" spans="1:12" x14ac:dyDescent="0.3">
      <c r="A624" t="s">
        <v>22</v>
      </c>
      <c r="B624" t="s">
        <v>32</v>
      </c>
      <c r="C624">
        <v>4263</v>
      </c>
      <c r="D624" t="str">
        <f t="shared" si="9"/>
        <v>Full</v>
      </c>
      <c r="E624">
        <v>3833</v>
      </c>
      <c r="F624">
        <v>126.45</v>
      </c>
      <c r="G624">
        <v>237.51</v>
      </c>
      <c r="H624" s="4" t="s">
        <v>1509</v>
      </c>
      <c r="I624" t="s">
        <v>64</v>
      </c>
      <c r="J624" t="s">
        <v>1510</v>
      </c>
      <c r="K624" t="s">
        <v>21</v>
      </c>
      <c r="L624">
        <v>64.7</v>
      </c>
    </row>
    <row r="625" spans="1:12" x14ac:dyDescent="0.3">
      <c r="A625" t="s">
        <v>200</v>
      </c>
      <c r="B625" t="s">
        <v>84</v>
      </c>
      <c r="C625">
        <v>4560</v>
      </c>
      <c r="D625" t="str">
        <f t="shared" si="9"/>
        <v>Full</v>
      </c>
      <c r="E625">
        <v>11724</v>
      </c>
      <c r="F625">
        <v>133.1</v>
      </c>
      <c r="G625">
        <v>198.2</v>
      </c>
      <c r="H625" s="4" t="s">
        <v>643</v>
      </c>
      <c r="I625" t="s">
        <v>375</v>
      </c>
      <c r="J625" t="s">
        <v>1511</v>
      </c>
      <c r="K625" t="s">
        <v>27</v>
      </c>
      <c r="L625">
        <v>75.48</v>
      </c>
    </row>
    <row r="626" spans="1:12" x14ac:dyDescent="0.3">
      <c r="A626" t="s">
        <v>127</v>
      </c>
      <c r="B626" t="s">
        <v>12</v>
      </c>
      <c r="C626">
        <v>8211</v>
      </c>
      <c r="D626" t="str">
        <f t="shared" si="9"/>
        <v>Full</v>
      </c>
      <c r="E626">
        <v>17522</v>
      </c>
      <c r="F626">
        <v>14.92</v>
      </c>
      <c r="G626">
        <v>28.21</v>
      </c>
      <c r="H626" s="4" t="s">
        <v>714</v>
      </c>
      <c r="I626" t="s">
        <v>1512</v>
      </c>
      <c r="J626" t="s">
        <v>1513</v>
      </c>
      <c r="K626" t="s">
        <v>21</v>
      </c>
      <c r="L626">
        <v>8.92</v>
      </c>
    </row>
    <row r="627" spans="1:12" x14ac:dyDescent="0.3">
      <c r="A627" t="s">
        <v>41</v>
      </c>
      <c r="B627" t="s">
        <v>32</v>
      </c>
      <c r="C627">
        <v>703</v>
      </c>
      <c r="D627" t="str">
        <f t="shared" si="9"/>
        <v>Low</v>
      </c>
      <c r="E627">
        <v>23713</v>
      </c>
      <c r="F627">
        <v>220.88</v>
      </c>
      <c r="G627">
        <v>537.82000000000005</v>
      </c>
      <c r="H627" s="4" t="s">
        <v>785</v>
      </c>
      <c r="I627" t="s">
        <v>1514</v>
      </c>
      <c r="J627" t="s">
        <v>1515</v>
      </c>
      <c r="K627" t="s">
        <v>98</v>
      </c>
      <c r="L627">
        <v>145.57</v>
      </c>
    </row>
    <row r="628" spans="1:12" x14ac:dyDescent="0.3">
      <c r="A628" t="s">
        <v>41</v>
      </c>
      <c r="B628" t="s">
        <v>12</v>
      </c>
      <c r="C628">
        <v>8360</v>
      </c>
      <c r="D628" t="str">
        <f t="shared" si="9"/>
        <v>Full</v>
      </c>
      <c r="E628">
        <v>22922</v>
      </c>
      <c r="F628">
        <v>94.93</v>
      </c>
      <c r="G628">
        <v>200.71</v>
      </c>
      <c r="H628" s="4" t="s">
        <v>1516</v>
      </c>
      <c r="I628" t="s">
        <v>1517</v>
      </c>
      <c r="J628" t="s">
        <v>1518</v>
      </c>
      <c r="K628" t="s">
        <v>21</v>
      </c>
      <c r="L628">
        <v>55.58</v>
      </c>
    </row>
    <row r="629" spans="1:12" x14ac:dyDescent="0.3">
      <c r="A629" t="s">
        <v>123</v>
      </c>
      <c r="B629" t="s">
        <v>36</v>
      </c>
      <c r="C629">
        <v>3530</v>
      </c>
      <c r="D629" t="str">
        <f t="shared" si="9"/>
        <v>Full</v>
      </c>
      <c r="E629">
        <v>13137</v>
      </c>
      <c r="F629">
        <v>189.91</v>
      </c>
      <c r="G629">
        <v>401.67</v>
      </c>
      <c r="H629" s="4" t="s">
        <v>275</v>
      </c>
      <c r="I629" t="s">
        <v>1077</v>
      </c>
      <c r="J629" t="s">
        <v>1519</v>
      </c>
      <c r="K629" t="s">
        <v>21</v>
      </c>
      <c r="L629">
        <v>143.83000000000001</v>
      </c>
    </row>
    <row r="630" spans="1:12" x14ac:dyDescent="0.3">
      <c r="A630" t="s">
        <v>45</v>
      </c>
      <c r="B630" t="s">
        <v>32</v>
      </c>
      <c r="C630">
        <v>1035</v>
      </c>
      <c r="D630" t="str">
        <f t="shared" si="9"/>
        <v>Medium</v>
      </c>
      <c r="E630">
        <v>10718</v>
      </c>
      <c r="F630">
        <v>130.63999999999999</v>
      </c>
      <c r="G630">
        <v>202.59</v>
      </c>
      <c r="H630" s="4" t="s">
        <v>636</v>
      </c>
      <c r="I630" t="s">
        <v>1520</v>
      </c>
      <c r="J630" t="s">
        <v>1521</v>
      </c>
      <c r="K630" t="s">
        <v>98</v>
      </c>
      <c r="L630">
        <v>93.42</v>
      </c>
    </row>
    <row r="631" spans="1:12" x14ac:dyDescent="0.3">
      <c r="A631" t="s">
        <v>41</v>
      </c>
      <c r="B631" t="s">
        <v>32</v>
      </c>
      <c r="C631">
        <v>6000</v>
      </c>
      <c r="D631" t="str">
        <f t="shared" si="9"/>
        <v>Full</v>
      </c>
      <c r="E631">
        <v>2796</v>
      </c>
      <c r="F631">
        <v>156.85</v>
      </c>
      <c r="G631">
        <v>373.77</v>
      </c>
      <c r="H631" s="4" t="s">
        <v>1522</v>
      </c>
      <c r="I631" t="s">
        <v>258</v>
      </c>
      <c r="J631" t="s">
        <v>1523</v>
      </c>
      <c r="K631" t="s">
        <v>21</v>
      </c>
      <c r="L631">
        <v>85.68</v>
      </c>
    </row>
    <row r="632" spans="1:12" x14ac:dyDescent="0.3">
      <c r="A632" t="s">
        <v>176</v>
      </c>
      <c r="B632" t="s">
        <v>12</v>
      </c>
      <c r="C632">
        <v>6489</v>
      </c>
      <c r="D632" t="str">
        <f t="shared" si="9"/>
        <v>Full</v>
      </c>
      <c r="E632">
        <v>13007</v>
      </c>
      <c r="F632">
        <v>56.7</v>
      </c>
      <c r="G632">
        <v>109.23</v>
      </c>
      <c r="H632" s="4" t="s">
        <v>928</v>
      </c>
      <c r="I632" t="s">
        <v>597</v>
      </c>
      <c r="J632" t="s">
        <v>1524</v>
      </c>
      <c r="K632" t="s">
        <v>98</v>
      </c>
      <c r="L632">
        <v>44.93</v>
      </c>
    </row>
    <row r="633" spans="1:12" x14ac:dyDescent="0.3">
      <c r="A633" t="s">
        <v>80</v>
      </c>
      <c r="B633" t="s">
        <v>32</v>
      </c>
      <c r="C633">
        <v>2360</v>
      </c>
      <c r="D633" t="str">
        <f t="shared" si="9"/>
        <v>Medium</v>
      </c>
      <c r="E633">
        <v>22267</v>
      </c>
      <c r="F633">
        <v>146.16</v>
      </c>
      <c r="G633">
        <v>353.84</v>
      </c>
      <c r="H633" s="4" t="s">
        <v>527</v>
      </c>
      <c r="I633" t="s">
        <v>210</v>
      </c>
      <c r="J633" t="s">
        <v>1525</v>
      </c>
      <c r="K633" t="s">
        <v>98</v>
      </c>
      <c r="L633">
        <v>77.2</v>
      </c>
    </row>
    <row r="634" spans="1:12" x14ac:dyDescent="0.3">
      <c r="A634" t="s">
        <v>147</v>
      </c>
      <c r="B634" t="s">
        <v>32</v>
      </c>
      <c r="C634">
        <v>7429</v>
      </c>
      <c r="D634" t="str">
        <f t="shared" si="9"/>
        <v>Full</v>
      </c>
      <c r="E634">
        <v>10081</v>
      </c>
      <c r="F634">
        <v>21.07</v>
      </c>
      <c r="G634">
        <v>35.5</v>
      </c>
      <c r="H634" s="4" t="s">
        <v>737</v>
      </c>
      <c r="I634" t="s">
        <v>1526</v>
      </c>
      <c r="J634" t="s">
        <v>1527</v>
      </c>
      <c r="K634" t="s">
        <v>16</v>
      </c>
      <c r="L634">
        <v>15.42</v>
      </c>
    </row>
    <row r="635" spans="1:12" x14ac:dyDescent="0.3">
      <c r="A635" t="s">
        <v>49</v>
      </c>
      <c r="B635" t="s">
        <v>32</v>
      </c>
      <c r="C635">
        <v>9230</v>
      </c>
      <c r="D635" t="str">
        <f t="shared" si="9"/>
        <v>Full</v>
      </c>
      <c r="E635">
        <v>10576</v>
      </c>
      <c r="F635">
        <v>138.33000000000001</v>
      </c>
      <c r="G635">
        <v>232.2</v>
      </c>
      <c r="H635" s="4" t="s">
        <v>323</v>
      </c>
      <c r="I635" t="s">
        <v>1528</v>
      </c>
      <c r="J635" t="s">
        <v>1529</v>
      </c>
      <c r="K635" t="s">
        <v>98</v>
      </c>
      <c r="L635">
        <v>104.68</v>
      </c>
    </row>
    <row r="636" spans="1:12" x14ac:dyDescent="0.3">
      <c r="A636" t="s">
        <v>143</v>
      </c>
      <c r="B636" t="s">
        <v>12</v>
      </c>
      <c r="C636">
        <v>1813</v>
      </c>
      <c r="D636" t="str">
        <f t="shared" si="9"/>
        <v>Medium</v>
      </c>
      <c r="E636">
        <v>13801</v>
      </c>
      <c r="F636">
        <v>269.89</v>
      </c>
      <c r="G636">
        <v>425.05</v>
      </c>
      <c r="H636" s="4" t="s">
        <v>1104</v>
      </c>
      <c r="I636" t="s">
        <v>623</v>
      </c>
      <c r="J636" t="s">
        <v>1530</v>
      </c>
      <c r="K636" t="s">
        <v>40</v>
      </c>
      <c r="L636">
        <v>120.05</v>
      </c>
    </row>
    <row r="637" spans="1:12" x14ac:dyDescent="0.3">
      <c r="A637" t="s">
        <v>123</v>
      </c>
      <c r="B637" t="s">
        <v>36</v>
      </c>
      <c r="C637">
        <v>2965</v>
      </c>
      <c r="D637" t="str">
        <f t="shared" si="9"/>
        <v>Medium</v>
      </c>
      <c r="E637">
        <v>7693</v>
      </c>
      <c r="F637">
        <v>158.6</v>
      </c>
      <c r="G637">
        <v>319.64999999999998</v>
      </c>
      <c r="H637" s="4" t="s">
        <v>1531</v>
      </c>
      <c r="I637" t="s">
        <v>871</v>
      </c>
      <c r="J637" t="s">
        <v>1532</v>
      </c>
      <c r="K637" t="s">
        <v>16</v>
      </c>
      <c r="L637">
        <v>122.55</v>
      </c>
    </row>
    <row r="638" spans="1:12" x14ac:dyDescent="0.3">
      <c r="A638" t="s">
        <v>49</v>
      </c>
      <c r="B638" t="s">
        <v>23</v>
      </c>
      <c r="C638">
        <v>7383</v>
      </c>
      <c r="D638" t="str">
        <f t="shared" si="9"/>
        <v>Full</v>
      </c>
      <c r="E638">
        <v>15544</v>
      </c>
      <c r="F638">
        <v>222.62</v>
      </c>
      <c r="G638">
        <v>273.36</v>
      </c>
      <c r="H638" s="4" t="s">
        <v>1533</v>
      </c>
      <c r="I638" t="s">
        <v>1534</v>
      </c>
      <c r="J638" t="s">
        <v>1535</v>
      </c>
      <c r="K638" t="s">
        <v>98</v>
      </c>
      <c r="L638">
        <v>163.4</v>
      </c>
    </row>
    <row r="639" spans="1:12" x14ac:dyDescent="0.3">
      <c r="A639" t="s">
        <v>119</v>
      </c>
      <c r="B639" t="s">
        <v>23</v>
      </c>
      <c r="C639">
        <v>7245</v>
      </c>
      <c r="D639" t="str">
        <f t="shared" si="9"/>
        <v>Full</v>
      </c>
      <c r="E639">
        <v>19962</v>
      </c>
      <c r="F639">
        <v>106.12</v>
      </c>
      <c r="G639">
        <v>216.47</v>
      </c>
      <c r="H639" s="4" t="s">
        <v>197</v>
      </c>
      <c r="I639" t="s">
        <v>513</v>
      </c>
      <c r="J639" t="s">
        <v>1536</v>
      </c>
      <c r="K639" t="s">
        <v>16</v>
      </c>
      <c r="L639">
        <v>78.19</v>
      </c>
    </row>
    <row r="640" spans="1:12" x14ac:dyDescent="0.3">
      <c r="A640" t="s">
        <v>143</v>
      </c>
      <c r="B640" t="s">
        <v>36</v>
      </c>
      <c r="C640">
        <v>5482</v>
      </c>
      <c r="D640" t="str">
        <f t="shared" si="9"/>
        <v>Full</v>
      </c>
      <c r="E640">
        <v>19587</v>
      </c>
      <c r="F640">
        <v>43.93</v>
      </c>
      <c r="G640">
        <v>97.79</v>
      </c>
      <c r="H640" s="4" t="s">
        <v>1537</v>
      </c>
      <c r="I640" t="s">
        <v>902</v>
      </c>
      <c r="J640" t="s">
        <v>1538</v>
      </c>
      <c r="K640" t="s">
        <v>21</v>
      </c>
      <c r="L640">
        <v>24.11</v>
      </c>
    </row>
    <row r="641" spans="1:12" x14ac:dyDescent="0.3">
      <c r="A641" t="s">
        <v>31</v>
      </c>
      <c r="B641" t="s">
        <v>12</v>
      </c>
      <c r="C641">
        <v>2930</v>
      </c>
      <c r="D641" t="str">
        <f t="shared" si="9"/>
        <v>Medium</v>
      </c>
      <c r="E641">
        <v>12571</v>
      </c>
      <c r="F641">
        <v>88.89</v>
      </c>
      <c r="G641">
        <v>217.17</v>
      </c>
      <c r="H641" s="4" t="s">
        <v>1012</v>
      </c>
      <c r="I641" t="s">
        <v>677</v>
      </c>
      <c r="J641" t="s">
        <v>1539</v>
      </c>
      <c r="K641" t="s">
        <v>40</v>
      </c>
      <c r="L641">
        <v>42.04</v>
      </c>
    </row>
    <row r="642" spans="1:12" x14ac:dyDescent="0.3">
      <c r="A642" t="s">
        <v>56</v>
      </c>
      <c r="B642" t="s">
        <v>84</v>
      </c>
      <c r="C642">
        <v>3141</v>
      </c>
      <c r="D642" t="str">
        <f t="shared" si="9"/>
        <v>Full</v>
      </c>
      <c r="E642">
        <v>8795</v>
      </c>
      <c r="F642">
        <v>39.49</v>
      </c>
      <c r="G642">
        <v>98.41</v>
      </c>
      <c r="H642" s="4" t="s">
        <v>183</v>
      </c>
      <c r="I642" t="s">
        <v>109</v>
      </c>
      <c r="J642" t="s">
        <v>1540</v>
      </c>
      <c r="K642" t="s">
        <v>40</v>
      </c>
      <c r="L642">
        <v>21.64</v>
      </c>
    </row>
    <row r="643" spans="1:12" x14ac:dyDescent="0.3">
      <c r="A643" t="s">
        <v>88</v>
      </c>
      <c r="B643" t="s">
        <v>32</v>
      </c>
      <c r="C643">
        <v>1068</v>
      </c>
      <c r="D643" t="str">
        <f t="shared" ref="D643:D706" si="10">IF(C643&lt;1000,"Low",IF(C643&lt;=3000,"Medium","Full"))</f>
        <v>Medium</v>
      </c>
      <c r="E643">
        <v>22808</v>
      </c>
      <c r="F643">
        <v>98.5</v>
      </c>
      <c r="G643">
        <v>162.22999999999999</v>
      </c>
      <c r="H643" s="4" t="s">
        <v>1541</v>
      </c>
      <c r="I643" t="s">
        <v>1542</v>
      </c>
      <c r="J643" t="s">
        <v>1543</v>
      </c>
      <c r="K643" t="s">
        <v>98</v>
      </c>
      <c r="L643">
        <v>60.43</v>
      </c>
    </row>
    <row r="644" spans="1:12" x14ac:dyDescent="0.3">
      <c r="A644" t="s">
        <v>11</v>
      </c>
      <c r="B644" t="s">
        <v>12</v>
      </c>
      <c r="C644">
        <v>7128</v>
      </c>
      <c r="D644" t="str">
        <f t="shared" si="10"/>
        <v>Full</v>
      </c>
      <c r="E644">
        <v>17364</v>
      </c>
      <c r="F644">
        <v>231.71</v>
      </c>
      <c r="G644">
        <v>563.54999999999995</v>
      </c>
      <c r="H644" s="4" t="s">
        <v>659</v>
      </c>
      <c r="I644" t="s">
        <v>1544</v>
      </c>
      <c r="J644" t="s">
        <v>1545</v>
      </c>
      <c r="K644" t="s">
        <v>16</v>
      </c>
      <c r="L644">
        <v>183.11</v>
      </c>
    </row>
    <row r="645" spans="1:12" x14ac:dyDescent="0.3">
      <c r="A645" t="s">
        <v>45</v>
      </c>
      <c r="B645" t="s">
        <v>23</v>
      </c>
      <c r="C645">
        <v>8264</v>
      </c>
      <c r="D645" t="str">
        <f t="shared" si="10"/>
        <v>Full</v>
      </c>
      <c r="E645">
        <v>10497</v>
      </c>
      <c r="F645">
        <v>291.02999999999997</v>
      </c>
      <c r="G645">
        <v>634.55999999999995</v>
      </c>
      <c r="H645" s="4" t="s">
        <v>1168</v>
      </c>
      <c r="I645" t="s">
        <v>1546</v>
      </c>
      <c r="J645" t="s">
        <v>1547</v>
      </c>
      <c r="K645" t="s">
        <v>16</v>
      </c>
      <c r="L645">
        <v>201.22</v>
      </c>
    </row>
    <row r="646" spans="1:12" x14ac:dyDescent="0.3">
      <c r="A646" t="s">
        <v>143</v>
      </c>
      <c r="B646" t="s">
        <v>23</v>
      </c>
      <c r="C646">
        <v>2340</v>
      </c>
      <c r="D646" t="str">
        <f t="shared" si="10"/>
        <v>Medium</v>
      </c>
      <c r="E646">
        <v>24974</v>
      </c>
      <c r="F646">
        <v>146.30000000000001</v>
      </c>
      <c r="G646">
        <v>183.18</v>
      </c>
      <c r="H646" s="4" t="s">
        <v>1548</v>
      </c>
      <c r="I646" t="s">
        <v>74</v>
      </c>
      <c r="J646" t="s">
        <v>1549</v>
      </c>
      <c r="K646" t="s">
        <v>40</v>
      </c>
      <c r="L646">
        <v>59.97</v>
      </c>
    </row>
    <row r="647" spans="1:12" x14ac:dyDescent="0.3">
      <c r="A647" t="s">
        <v>176</v>
      </c>
      <c r="B647" t="s">
        <v>84</v>
      </c>
      <c r="C647">
        <v>7806</v>
      </c>
      <c r="D647" t="str">
        <f t="shared" si="10"/>
        <v>Full</v>
      </c>
      <c r="E647">
        <v>12711</v>
      </c>
      <c r="F647">
        <v>32.28</v>
      </c>
      <c r="G647">
        <v>41.05</v>
      </c>
      <c r="H647" s="4" t="s">
        <v>1100</v>
      </c>
      <c r="I647" t="s">
        <v>516</v>
      </c>
      <c r="J647" t="s">
        <v>1550</v>
      </c>
      <c r="K647" t="s">
        <v>16</v>
      </c>
      <c r="L647">
        <v>15.78</v>
      </c>
    </row>
    <row r="648" spans="1:12" x14ac:dyDescent="0.3">
      <c r="A648" t="s">
        <v>147</v>
      </c>
      <c r="B648" t="s">
        <v>84</v>
      </c>
      <c r="C648">
        <v>869</v>
      </c>
      <c r="D648" t="str">
        <f t="shared" si="10"/>
        <v>Low</v>
      </c>
      <c r="E648">
        <v>3739</v>
      </c>
      <c r="F648">
        <v>163.83000000000001</v>
      </c>
      <c r="G648">
        <v>291.47000000000003</v>
      </c>
      <c r="H648" s="4" t="s">
        <v>1551</v>
      </c>
      <c r="I648" t="s">
        <v>320</v>
      </c>
      <c r="J648" t="s">
        <v>1552</v>
      </c>
      <c r="K648" t="s">
        <v>21</v>
      </c>
      <c r="L648">
        <v>78.27</v>
      </c>
    </row>
    <row r="649" spans="1:12" x14ac:dyDescent="0.3">
      <c r="A649" t="s">
        <v>45</v>
      </c>
      <c r="B649" t="s">
        <v>32</v>
      </c>
      <c r="C649">
        <v>8881</v>
      </c>
      <c r="D649" t="str">
        <f t="shared" si="10"/>
        <v>Full</v>
      </c>
      <c r="E649">
        <v>2836</v>
      </c>
      <c r="F649">
        <v>272.99</v>
      </c>
      <c r="G649">
        <v>455.73</v>
      </c>
      <c r="H649" s="4" t="s">
        <v>1553</v>
      </c>
      <c r="I649" t="s">
        <v>1554</v>
      </c>
      <c r="J649" t="s">
        <v>1555</v>
      </c>
      <c r="K649" t="s">
        <v>21</v>
      </c>
      <c r="L649">
        <v>149.91</v>
      </c>
    </row>
    <row r="650" spans="1:12" x14ac:dyDescent="0.3">
      <c r="A650" t="s">
        <v>31</v>
      </c>
      <c r="B650" t="s">
        <v>23</v>
      </c>
      <c r="C650">
        <v>6256</v>
      </c>
      <c r="D650" t="str">
        <f t="shared" si="10"/>
        <v>Full</v>
      </c>
      <c r="E650">
        <v>11095</v>
      </c>
      <c r="F650">
        <v>293.37</v>
      </c>
      <c r="G650">
        <v>685.49</v>
      </c>
      <c r="H650" s="4" t="s">
        <v>766</v>
      </c>
      <c r="I650" t="s">
        <v>1026</v>
      </c>
      <c r="J650" t="s">
        <v>1556</v>
      </c>
      <c r="K650" t="s">
        <v>21</v>
      </c>
      <c r="L650">
        <v>211.66</v>
      </c>
    </row>
    <row r="651" spans="1:12" x14ac:dyDescent="0.3">
      <c r="A651" t="s">
        <v>31</v>
      </c>
      <c r="B651" t="s">
        <v>84</v>
      </c>
      <c r="C651">
        <v>7444</v>
      </c>
      <c r="D651" t="str">
        <f t="shared" si="10"/>
        <v>Full</v>
      </c>
      <c r="E651">
        <v>24874</v>
      </c>
      <c r="F651">
        <v>269.45</v>
      </c>
      <c r="G651">
        <v>372.23</v>
      </c>
      <c r="H651" s="4" t="s">
        <v>1557</v>
      </c>
      <c r="I651" t="s">
        <v>1558</v>
      </c>
      <c r="J651" t="s">
        <v>1559</v>
      </c>
      <c r="K651" t="s">
        <v>98</v>
      </c>
      <c r="L651">
        <v>130.16999999999999</v>
      </c>
    </row>
    <row r="652" spans="1:12" x14ac:dyDescent="0.3">
      <c r="A652" t="s">
        <v>49</v>
      </c>
      <c r="B652" t="s">
        <v>32</v>
      </c>
      <c r="C652">
        <v>5995</v>
      </c>
      <c r="D652" t="str">
        <f t="shared" si="10"/>
        <v>Full</v>
      </c>
      <c r="E652">
        <v>3166</v>
      </c>
      <c r="F652">
        <v>280.27999999999997</v>
      </c>
      <c r="G652">
        <v>551.55999999999995</v>
      </c>
      <c r="H652" s="4" t="s">
        <v>775</v>
      </c>
      <c r="I652" t="s">
        <v>1560</v>
      </c>
      <c r="J652" t="s">
        <v>1561</v>
      </c>
      <c r="K652" t="s">
        <v>21</v>
      </c>
      <c r="L652">
        <v>183.73</v>
      </c>
    </row>
    <row r="653" spans="1:12" x14ac:dyDescent="0.3">
      <c r="A653" t="s">
        <v>147</v>
      </c>
      <c r="B653" t="s">
        <v>36</v>
      </c>
      <c r="C653">
        <v>3365</v>
      </c>
      <c r="D653" t="str">
        <f t="shared" si="10"/>
        <v>Full</v>
      </c>
      <c r="E653">
        <v>19212</v>
      </c>
      <c r="F653">
        <v>141.33000000000001</v>
      </c>
      <c r="G653">
        <v>273.94</v>
      </c>
      <c r="H653" s="4" t="s">
        <v>403</v>
      </c>
      <c r="I653" t="s">
        <v>1562</v>
      </c>
      <c r="J653" t="s">
        <v>1563</v>
      </c>
      <c r="K653" t="s">
        <v>21</v>
      </c>
      <c r="L653">
        <v>72.900000000000006</v>
      </c>
    </row>
    <row r="654" spans="1:12" x14ac:dyDescent="0.3">
      <c r="A654" t="s">
        <v>49</v>
      </c>
      <c r="B654" t="s">
        <v>12</v>
      </c>
      <c r="C654">
        <v>5447</v>
      </c>
      <c r="D654" t="str">
        <f t="shared" si="10"/>
        <v>Full</v>
      </c>
      <c r="E654">
        <v>20176</v>
      </c>
      <c r="F654">
        <v>94.65</v>
      </c>
      <c r="G654">
        <v>182.4</v>
      </c>
      <c r="H654" s="4" t="s">
        <v>648</v>
      </c>
      <c r="I654" t="s">
        <v>1564</v>
      </c>
      <c r="J654" t="s">
        <v>1565</v>
      </c>
      <c r="K654" t="s">
        <v>27</v>
      </c>
      <c r="L654">
        <v>43.69</v>
      </c>
    </row>
    <row r="655" spans="1:12" x14ac:dyDescent="0.3">
      <c r="A655" t="s">
        <v>31</v>
      </c>
      <c r="B655" t="s">
        <v>36</v>
      </c>
      <c r="C655">
        <v>2534</v>
      </c>
      <c r="D655" t="str">
        <f t="shared" si="10"/>
        <v>Medium</v>
      </c>
      <c r="E655">
        <v>22424</v>
      </c>
      <c r="F655">
        <v>201.44</v>
      </c>
      <c r="G655">
        <v>317.07</v>
      </c>
      <c r="H655" s="4" t="s">
        <v>1566</v>
      </c>
      <c r="I655" t="s">
        <v>1567</v>
      </c>
      <c r="J655" t="s">
        <v>1568</v>
      </c>
      <c r="K655" t="s">
        <v>98</v>
      </c>
      <c r="L655">
        <v>82.87</v>
      </c>
    </row>
    <row r="656" spans="1:12" x14ac:dyDescent="0.3">
      <c r="A656" t="s">
        <v>147</v>
      </c>
      <c r="B656" t="s">
        <v>36</v>
      </c>
      <c r="C656">
        <v>1593</v>
      </c>
      <c r="D656" t="str">
        <f t="shared" si="10"/>
        <v>Medium</v>
      </c>
      <c r="E656">
        <v>20624</v>
      </c>
      <c r="F656">
        <v>224.94</v>
      </c>
      <c r="G656">
        <v>439.84</v>
      </c>
      <c r="H656" s="4" t="s">
        <v>792</v>
      </c>
      <c r="I656" t="s">
        <v>510</v>
      </c>
      <c r="J656" t="s">
        <v>1569</v>
      </c>
      <c r="K656" t="s">
        <v>21</v>
      </c>
      <c r="L656">
        <v>177.64</v>
      </c>
    </row>
    <row r="657" spans="1:12" x14ac:dyDescent="0.3">
      <c r="A657" t="s">
        <v>11</v>
      </c>
      <c r="B657" t="s">
        <v>23</v>
      </c>
      <c r="C657">
        <v>8897</v>
      </c>
      <c r="D657" t="str">
        <f t="shared" si="10"/>
        <v>Full</v>
      </c>
      <c r="E657">
        <v>19850</v>
      </c>
      <c r="F657">
        <v>10.18</v>
      </c>
      <c r="G657">
        <v>15.65</v>
      </c>
      <c r="H657" s="4" t="s">
        <v>1570</v>
      </c>
      <c r="I657" t="s">
        <v>1571</v>
      </c>
      <c r="J657" t="s">
        <v>1572</v>
      </c>
      <c r="K657" t="s">
        <v>40</v>
      </c>
      <c r="L657">
        <v>5.95</v>
      </c>
    </row>
    <row r="658" spans="1:12" x14ac:dyDescent="0.3">
      <c r="A658" t="s">
        <v>123</v>
      </c>
      <c r="B658" t="s">
        <v>23</v>
      </c>
      <c r="C658">
        <v>3175</v>
      </c>
      <c r="D658" t="str">
        <f t="shared" si="10"/>
        <v>Full</v>
      </c>
      <c r="E658">
        <v>2733</v>
      </c>
      <c r="F658">
        <v>85.44</v>
      </c>
      <c r="G658">
        <v>149.12</v>
      </c>
      <c r="H658" s="4" t="s">
        <v>1573</v>
      </c>
      <c r="I658" t="s">
        <v>487</v>
      </c>
      <c r="J658" t="s">
        <v>1574</v>
      </c>
      <c r="K658" t="s">
        <v>40</v>
      </c>
      <c r="L658">
        <v>52.28</v>
      </c>
    </row>
    <row r="659" spans="1:12" x14ac:dyDescent="0.3">
      <c r="A659" t="s">
        <v>41</v>
      </c>
      <c r="B659" t="s">
        <v>32</v>
      </c>
      <c r="C659">
        <v>3675</v>
      </c>
      <c r="D659" t="str">
        <f t="shared" si="10"/>
        <v>Full</v>
      </c>
      <c r="E659">
        <v>21579</v>
      </c>
      <c r="F659">
        <v>59.06</v>
      </c>
      <c r="G659">
        <v>78.13</v>
      </c>
      <c r="H659" s="4" t="s">
        <v>892</v>
      </c>
      <c r="I659" t="s">
        <v>1575</v>
      </c>
      <c r="J659" t="s">
        <v>1576</v>
      </c>
      <c r="K659" t="s">
        <v>40</v>
      </c>
      <c r="L659">
        <v>43.16</v>
      </c>
    </row>
    <row r="660" spans="1:12" x14ac:dyDescent="0.3">
      <c r="A660" t="s">
        <v>31</v>
      </c>
      <c r="B660" t="s">
        <v>23</v>
      </c>
      <c r="C660">
        <v>6439</v>
      </c>
      <c r="D660" t="str">
        <f t="shared" si="10"/>
        <v>Full</v>
      </c>
      <c r="E660">
        <v>4140</v>
      </c>
      <c r="F660">
        <v>162.65</v>
      </c>
      <c r="G660">
        <v>269.52999999999997</v>
      </c>
      <c r="H660" s="4" t="s">
        <v>1577</v>
      </c>
      <c r="I660" t="s">
        <v>1578</v>
      </c>
      <c r="J660" t="s">
        <v>1579</v>
      </c>
      <c r="K660" t="s">
        <v>16</v>
      </c>
      <c r="L660">
        <v>83.37</v>
      </c>
    </row>
    <row r="661" spans="1:12" x14ac:dyDescent="0.3">
      <c r="A661" t="s">
        <v>49</v>
      </c>
      <c r="B661" t="s">
        <v>36</v>
      </c>
      <c r="C661">
        <v>6075</v>
      </c>
      <c r="D661" t="str">
        <f t="shared" si="10"/>
        <v>Full</v>
      </c>
      <c r="E661">
        <v>6342</v>
      </c>
      <c r="F661">
        <v>35.21</v>
      </c>
      <c r="G661">
        <v>49.33</v>
      </c>
      <c r="H661" s="4" t="s">
        <v>1064</v>
      </c>
      <c r="I661" t="s">
        <v>459</v>
      </c>
      <c r="J661" t="s">
        <v>1580</v>
      </c>
      <c r="K661" t="s">
        <v>16</v>
      </c>
      <c r="L661">
        <v>23.8</v>
      </c>
    </row>
    <row r="662" spans="1:12" x14ac:dyDescent="0.3">
      <c r="A662" t="s">
        <v>119</v>
      </c>
      <c r="B662" t="s">
        <v>32</v>
      </c>
      <c r="C662">
        <v>9529</v>
      </c>
      <c r="D662" t="str">
        <f t="shared" si="10"/>
        <v>Full</v>
      </c>
      <c r="E662">
        <v>24011</v>
      </c>
      <c r="F662">
        <v>228.11</v>
      </c>
      <c r="G662">
        <v>307.52999999999997</v>
      </c>
      <c r="H662" s="4" t="s">
        <v>1367</v>
      </c>
      <c r="I662" t="s">
        <v>924</v>
      </c>
      <c r="J662" t="s">
        <v>1581</v>
      </c>
      <c r="K662" t="s">
        <v>98</v>
      </c>
      <c r="L662">
        <v>175.5</v>
      </c>
    </row>
    <row r="663" spans="1:12" x14ac:dyDescent="0.3">
      <c r="A663" t="s">
        <v>49</v>
      </c>
      <c r="B663" t="s">
        <v>23</v>
      </c>
      <c r="C663">
        <v>5604</v>
      </c>
      <c r="D663" t="str">
        <f t="shared" si="10"/>
        <v>Full</v>
      </c>
      <c r="E663">
        <v>23644</v>
      </c>
      <c r="F663">
        <v>111.96</v>
      </c>
      <c r="G663">
        <v>253.27</v>
      </c>
      <c r="H663" s="4" t="s">
        <v>484</v>
      </c>
      <c r="I663" t="s">
        <v>1179</v>
      </c>
      <c r="J663" t="s">
        <v>1582</v>
      </c>
      <c r="K663" t="s">
        <v>98</v>
      </c>
      <c r="L663">
        <v>76.58</v>
      </c>
    </row>
    <row r="664" spans="1:12" x14ac:dyDescent="0.3">
      <c r="A664" t="s">
        <v>17</v>
      </c>
      <c r="B664" t="s">
        <v>12</v>
      </c>
      <c r="C664">
        <v>4143</v>
      </c>
      <c r="D664" t="str">
        <f t="shared" si="10"/>
        <v>Full</v>
      </c>
      <c r="E664">
        <v>5217</v>
      </c>
      <c r="F664">
        <v>257.76</v>
      </c>
      <c r="G664">
        <v>357.01</v>
      </c>
      <c r="H664" s="4" t="s">
        <v>1583</v>
      </c>
      <c r="I664" t="s">
        <v>1584</v>
      </c>
      <c r="J664" t="s">
        <v>1585</v>
      </c>
      <c r="K664" t="s">
        <v>98</v>
      </c>
      <c r="L664">
        <v>116.53</v>
      </c>
    </row>
    <row r="665" spans="1:12" x14ac:dyDescent="0.3">
      <c r="A665" t="s">
        <v>41</v>
      </c>
      <c r="B665" t="s">
        <v>36</v>
      </c>
      <c r="C665">
        <v>2330</v>
      </c>
      <c r="D665" t="str">
        <f t="shared" si="10"/>
        <v>Medium</v>
      </c>
      <c r="E665">
        <v>3547</v>
      </c>
      <c r="F665">
        <v>10.55</v>
      </c>
      <c r="G665">
        <v>19.3</v>
      </c>
      <c r="H665" s="4" t="s">
        <v>549</v>
      </c>
      <c r="I665" t="s">
        <v>1586</v>
      </c>
      <c r="J665" t="s">
        <v>1587</v>
      </c>
      <c r="K665" t="s">
        <v>27</v>
      </c>
      <c r="L665">
        <v>4.3600000000000003</v>
      </c>
    </row>
    <row r="666" spans="1:12" x14ac:dyDescent="0.3">
      <c r="A666" t="s">
        <v>119</v>
      </c>
      <c r="B666" t="s">
        <v>32</v>
      </c>
      <c r="C666">
        <v>1471</v>
      </c>
      <c r="D666" t="str">
        <f t="shared" si="10"/>
        <v>Medium</v>
      </c>
      <c r="E666">
        <v>16370</v>
      </c>
      <c r="F666">
        <v>40.08</v>
      </c>
      <c r="G666">
        <v>61.28</v>
      </c>
      <c r="H666" s="4" t="s">
        <v>46</v>
      </c>
      <c r="I666" t="s">
        <v>247</v>
      </c>
      <c r="J666" t="s">
        <v>1588</v>
      </c>
      <c r="K666" t="s">
        <v>27</v>
      </c>
      <c r="L666">
        <v>28.13</v>
      </c>
    </row>
    <row r="667" spans="1:12" x14ac:dyDescent="0.3">
      <c r="A667" t="s">
        <v>11</v>
      </c>
      <c r="B667" t="s">
        <v>32</v>
      </c>
      <c r="C667">
        <v>3865</v>
      </c>
      <c r="D667" t="str">
        <f t="shared" si="10"/>
        <v>Full</v>
      </c>
      <c r="E667">
        <v>20254</v>
      </c>
      <c r="F667">
        <v>270.85000000000002</v>
      </c>
      <c r="G667">
        <v>390.08</v>
      </c>
      <c r="H667" s="4" t="s">
        <v>1589</v>
      </c>
      <c r="I667" t="s">
        <v>1590</v>
      </c>
      <c r="J667" t="s">
        <v>1591</v>
      </c>
      <c r="K667" t="s">
        <v>98</v>
      </c>
      <c r="L667">
        <v>199.98</v>
      </c>
    </row>
    <row r="668" spans="1:12" x14ac:dyDescent="0.3">
      <c r="A668" t="s">
        <v>147</v>
      </c>
      <c r="B668" t="s">
        <v>32</v>
      </c>
      <c r="C668">
        <v>6198</v>
      </c>
      <c r="D668" t="str">
        <f t="shared" si="10"/>
        <v>Full</v>
      </c>
      <c r="E668">
        <v>12540</v>
      </c>
      <c r="F668">
        <v>52.36</v>
      </c>
      <c r="G668">
        <v>96.91</v>
      </c>
      <c r="H668" s="4" t="s">
        <v>636</v>
      </c>
      <c r="I668" t="s">
        <v>1592</v>
      </c>
      <c r="J668" t="s">
        <v>1593</v>
      </c>
      <c r="K668" t="s">
        <v>16</v>
      </c>
      <c r="L668">
        <v>22.38</v>
      </c>
    </row>
    <row r="669" spans="1:12" x14ac:dyDescent="0.3">
      <c r="A669" t="s">
        <v>22</v>
      </c>
      <c r="B669" t="s">
        <v>12</v>
      </c>
      <c r="C669">
        <v>9164</v>
      </c>
      <c r="D669" t="str">
        <f t="shared" si="10"/>
        <v>Full</v>
      </c>
      <c r="E669">
        <v>8110</v>
      </c>
      <c r="F669">
        <v>216.16</v>
      </c>
      <c r="G669">
        <v>530.36</v>
      </c>
      <c r="H669" s="4" t="s">
        <v>1537</v>
      </c>
      <c r="I669" t="s">
        <v>1594</v>
      </c>
      <c r="J669" t="s">
        <v>1595</v>
      </c>
      <c r="K669" t="s">
        <v>27</v>
      </c>
      <c r="L669">
        <v>166.38</v>
      </c>
    </row>
    <row r="670" spans="1:12" x14ac:dyDescent="0.3">
      <c r="A670" t="s">
        <v>119</v>
      </c>
      <c r="B670" t="s">
        <v>36</v>
      </c>
      <c r="C670">
        <v>6504</v>
      </c>
      <c r="D670" t="str">
        <f t="shared" si="10"/>
        <v>Full</v>
      </c>
      <c r="E670">
        <v>23876</v>
      </c>
      <c r="F670">
        <v>178.87</v>
      </c>
      <c r="G670">
        <v>316.88</v>
      </c>
      <c r="H670" s="4" t="s">
        <v>1243</v>
      </c>
      <c r="I670" t="s">
        <v>1596</v>
      </c>
      <c r="J670" t="s">
        <v>1597</v>
      </c>
      <c r="K670" t="s">
        <v>21</v>
      </c>
      <c r="L670">
        <v>101.89</v>
      </c>
    </row>
    <row r="671" spans="1:12" x14ac:dyDescent="0.3">
      <c r="A671" t="s">
        <v>119</v>
      </c>
      <c r="B671" t="s">
        <v>84</v>
      </c>
      <c r="C671">
        <v>7177</v>
      </c>
      <c r="D671" t="str">
        <f t="shared" si="10"/>
        <v>Full</v>
      </c>
      <c r="E671">
        <v>4697</v>
      </c>
      <c r="F671">
        <v>229.62</v>
      </c>
      <c r="G671">
        <v>369.36</v>
      </c>
      <c r="H671" s="4" t="s">
        <v>1598</v>
      </c>
      <c r="I671" t="s">
        <v>1599</v>
      </c>
      <c r="J671" t="s">
        <v>1600</v>
      </c>
      <c r="K671" t="s">
        <v>98</v>
      </c>
      <c r="L671">
        <v>137.38999999999999</v>
      </c>
    </row>
    <row r="672" spans="1:12" x14ac:dyDescent="0.3">
      <c r="A672" t="s">
        <v>76</v>
      </c>
      <c r="B672" t="s">
        <v>23</v>
      </c>
      <c r="C672">
        <v>9628</v>
      </c>
      <c r="D672" t="str">
        <f t="shared" si="10"/>
        <v>Full</v>
      </c>
      <c r="E672">
        <v>24662</v>
      </c>
      <c r="F672">
        <v>16.98</v>
      </c>
      <c r="G672">
        <v>27.62</v>
      </c>
      <c r="H672" s="4" t="s">
        <v>912</v>
      </c>
      <c r="I672" t="s">
        <v>633</v>
      </c>
      <c r="J672" t="s">
        <v>1601</v>
      </c>
      <c r="K672" t="s">
        <v>21</v>
      </c>
      <c r="L672">
        <v>10.87</v>
      </c>
    </row>
    <row r="673" spans="1:12" x14ac:dyDescent="0.3">
      <c r="A673" t="s">
        <v>31</v>
      </c>
      <c r="B673" t="s">
        <v>36</v>
      </c>
      <c r="C673">
        <v>4200</v>
      </c>
      <c r="D673" t="str">
        <f t="shared" si="10"/>
        <v>Full</v>
      </c>
      <c r="E673">
        <v>19150</v>
      </c>
      <c r="F673">
        <v>125.15</v>
      </c>
      <c r="G673">
        <v>310.43</v>
      </c>
      <c r="H673" s="4" t="s">
        <v>212</v>
      </c>
      <c r="I673" t="s">
        <v>1602</v>
      </c>
      <c r="J673" t="s">
        <v>1403</v>
      </c>
      <c r="K673" t="s">
        <v>21</v>
      </c>
      <c r="L673">
        <v>97.07</v>
      </c>
    </row>
    <row r="674" spans="1:12" x14ac:dyDescent="0.3">
      <c r="A674" t="s">
        <v>76</v>
      </c>
      <c r="B674" t="s">
        <v>84</v>
      </c>
      <c r="C674">
        <v>709</v>
      </c>
      <c r="D674" t="str">
        <f t="shared" si="10"/>
        <v>Low</v>
      </c>
      <c r="E674">
        <v>23090</v>
      </c>
      <c r="F674">
        <v>150.04</v>
      </c>
      <c r="G674">
        <v>200.56</v>
      </c>
      <c r="H674" s="4" t="s">
        <v>1603</v>
      </c>
      <c r="I674" t="s">
        <v>1604</v>
      </c>
      <c r="J674" t="s">
        <v>1605</v>
      </c>
      <c r="K674" t="s">
        <v>27</v>
      </c>
      <c r="L674">
        <v>67.17</v>
      </c>
    </row>
    <row r="675" spans="1:12" x14ac:dyDescent="0.3">
      <c r="A675" t="s">
        <v>299</v>
      </c>
      <c r="B675" t="s">
        <v>36</v>
      </c>
      <c r="C675">
        <v>2166</v>
      </c>
      <c r="D675" t="str">
        <f t="shared" si="10"/>
        <v>Medium</v>
      </c>
      <c r="E675">
        <v>6528</v>
      </c>
      <c r="F675">
        <v>24.09</v>
      </c>
      <c r="G675">
        <v>59.45</v>
      </c>
      <c r="H675" s="4" t="s">
        <v>77</v>
      </c>
      <c r="I675" t="s">
        <v>1606</v>
      </c>
      <c r="J675" t="s">
        <v>1607</v>
      </c>
      <c r="K675" t="s">
        <v>21</v>
      </c>
      <c r="L675">
        <v>10.82</v>
      </c>
    </row>
    <row r="676" spans="1:12" x14ac:dyDescent="0.3">
      <c r="A676" t="s">
        <v>200</v>
      </c>
      <c r="B676" t="s">
        <v>36</v>
      </c>
      <c r="C676">
        <v>5063</v>
      </c>
      <c r="D676" t="str">
        <f t="shared" si="10"/>
        <v>Full</v>
      </c>
      <c r="E676">
        <v>24379</v>
      </c>
      <c r="F676">
        <v>230.96</v>
      </c>
      <c r="G676">
        <v>455.39</v>
      </c>
      <c r="H676" s="4" t="s">
        <v>1596</v>
      </c>
      <c r="I676" t="s">
        <v>1336</v>
      </c>
      <c r="J676" t="s">
        <v>1608</v>
      </c>
      <c r="K676" t="s">
        <v>21</v>
      </c>
      <c r="L676">
        <v>153.97</v>
      </c>
    </row>
    <row r="677" spans="1:12" x14ac:dyDescent="0.3">
      <c r="A677" t="s">
        <v>299</v>
      </c>
      <c r="B677" t="s">
        <v>36</v>
      </c>
      <c r="C677">
        <v>8879</v>
      </c>
      <c r="D677" t="str">
        <f t="shared" si="10"/>
        <v>Full</v>
      </c>
      <c r="E677">
        <v>10138</v>
      </c>
      <c r="F677">
        <v>48.48</v>
      </c>
      <c r="G677">
        <v>86.83</v>
      </c>
      <c r="H677" s="4" t="s">
        <v>349</v>
      </c>
      <c r="I677" t="s">
        <v>1609</v>
      </c>
      <c r="J677" t="s">
        <v>1610</v>
      </c>
      <c r="K677" t="s">
        <v>21</v>
      </c>
      <c r="L677">
        <v>23.87</v>
      </c>
    </row>
    <row r="678" spans="1:12" x14ac:dyDescent="0.3">
      <c r="A678" t="s">
        <v>123</v>
      </c>
      <c r="B678" t="s">
        <v>12</v>
      </c>
      <c r="C678">
        <v>2131</v>
      </c>
      <c r="D678" t="str">
        <f t="shared" si="10"/>
        <v>Medium</v>
      </c>
      <c r="E678">
        <v>2731</v>
      </c>
      <c r="F678">
        <v>249.94</v>
      </c>
      <c r="G678">
        <v>461.78</v>
      </c>
      <c r="H678" s="4" t="s">
        <v>804</v>
      </c>
      <c r="I678" t="s">
        <v>934</v>
      </c>
      <c r="J678" t="s">
        <v>1611</v>
      </c>
      <c r="K678" t="s">
        <v>16</v>
      </c>
      <c r="L678">
        <v>167.88</v>
      </c>
    </row>
    <row r="679" spans="1:12" x14ac:dyDescent="0.3">
      <c r="A679" t="s">
        <v>123</v>
      </c>
      <c r="B679" t="s">
        <v>23</v>
      </c>
      <c r="C679">
        <v>2078</v>
      </c>
      <c r="D679" t="str">
        <f t="shared" si="10"/>
        <v>Medium</v>
      </c>
      <c r="E679">
        <v>3507</v>
      </c>
      <c r="F679">
        <v>200.02</v>
      </c>
      <c r="G679">
        <v>375.22</v>
      </c>
      <c r="H679" s="4" t="s">
        <v>880</v>
      </c>
      <c r="I679" t="s">
        <v>1612</v>
      </c>
      <c r="J679" t="s">
        <v>1337</v>
      </c>
      <c r="K679" t="s">
        <v>40</v>
      </c>
      <c r="L679">
        <v>132.97999999999999</v>
      </c>
    </row>
    <row r="680" spans="1:12" x14ac:dyDescent="0.3">
      <c r="A680" t="s">
        <v>49</v>
      </c>
      <c r="B680" t="s">
        <v>32</v>
      </c>
      <c r="C680">
        <v>4787</v>
      </c>
      <c r="D680" t="str">
        <f t="shared" si="10"/>
        <v>Full</v>
      </c>
      <c r="E680">
        <v>18774</v>
      </c>
      <c r="F680">
        <v>106.37</v>
      </c>
      <c r="G680">
        <v>246.52</v>
      </c>
      <c r="H680" s="4" t="s">
        <v>1613</v>
      </c>
      <c r="I680" t="s">
        <v>1614</v>
      </c>
      <c r="J680" t="s">
        <v>1615</v>
      </c>
      <c r="K680" t="s">
        <v>21</v>
      </c>
      <c r="L680">
        <v>80</v>
      </c>
    </row>
    <row r="681" spans="1:12" x14ac:dyDescent="0.3">
      <c r="A681" t="s">
        <v>11</v>
      </c>
      <c r="B681" t="s">
        <v>36</v>
      </c>
      <c r="C681">
        <v>7874</v>
      </c>
      <c r="D681" t="str">
        <f t="shared" si="10"/>
        <v>Full</v>
      </c>
      <c r="E681">
        <v>11307</v>
      </c>
      <c r="F681">
        <v>256.60000000000002</v>
      </c>
      <c r="G681">
        <v>455.55</v>
      </c>
      <c r="H681" s="4" t="s">
        <v>827</v>
      </c>
      <c r="I681" t="s">
        <v>1616</v>
      </c>
      <c r="J681" t="s">
        <v>1617</v>
      </c>
      <c r="K681" t="s">
        <v>16</v>
      </c>
      <c r="L681">
        <v>170.32</v>
      </c>
    </row>
    <row r="682" spans="1:12" x14ac:dyDescent="0.3">
      <c r="A682" t="s">
        <v>31</v>
      </c>
      <c r="B682" t="s">
        <v>84</v>
      </c>
      <c r="C682">
        <v>8552</v>
      </c>
      <c r="D682" t="str">
        <f t="shared" si="10"/>
        <v>Full</v>
      </c>
      <c r="E682">
        <v>15112</v>
      </c>
      <c r="F682">
        <v>44.67</v>
      </c>
      <c r="G682">
        <v>95.17</v>
      </c>
      <c r="H682" s="4" t="s">
        <v>497</v>
      </c>
      <c r="I682" t="s">
        <v>1330</v>
      </c>
      <c r="J682" t="s">
        <v>1618</v>
      </c>
      <c r="K682" t="s">
        <v>21</v>
      </c>
      <c r="L682">
        <v>29.66</v>
      </c>
    </row>
    <row r="683" spans="1:12" x14ac:dyDescent="0.3">
      <c r="A683" t="s">
        <v>66</v>
      </c>
      <c r="B683" t="s">
        <v>32</v>
      </c>
      <c r="C683">
        <v>8197</v>
      </c>
      <c r="D683" t="str">
        <f t="shared" si="10"/>
        <v>Full</v>
      </c>
      <c r="E683">
        <v>16594</v>
      </c>
      <c r="F683">
        <v>170.87</v>
      </c>
      <c r="G683">
        <v>239.77</v>
      </c>
      <c r="H683" s="4" t="s">
        <v>423</v>
      </c>
      <c r="I683" t="s">
        <v>1619</v>
      </c>
      <c r="J683" t="s">
        <v>1620</v>
      </c>
      <c r="K683" t="s">
        <v>21</v>
      </c>
      <c r="L683">
        <v>108.74</v>
      </c>
    </row>
    <row r="684" spans="1:12" x14ac:dyDescent="0.3">
      <c r="A684" t="s">
        <v>299</v>
      </c>
      <c r="B684" t="s">
        <v>32</v>
      </c>
      <c r="C684">
        <v>6279</v>
      </c>
      <c r="D684" t="str">
        <f t="shared" si="10"/>
        <v>Full</v>
      </c>
      <c r="E684">
        <v>10320</v>
      </c>
      <c r="F684">
        <v>99.54</v>
      </c>
      <c r="G684">
        <v>123.09</v>
      </c>
      <c r="H684" s="4" t="s">
        <v>530</v>
      </c>
      <c r="I684" t="s">
        <v>472</v>
      </c>
      <c r="J684" t="s">
        <v>1621</v>
      </c>
      <c r="K684" t="s">
        <v>40</v>
      </c>
      <c r="L684">
        <v>72.05</v>
      </c>
    </row>
    <row r="685" spans="1:12" x14ac:dyDescent="0.3">
      <c r="A685" t="s">
        <v>22</v>
      </c>
      <c r="B685" t="s">
        <v>12</v>
      </c>
      <c r="C685">
        <v>6091</v>
      </c>
      <c r="D685" t="str">
        <f t="shared" si="10"/>
        <v>Full</v>
      </c>
      <c r="E685">
        <v>13470</v>
      </c>
      <c r="F685">
        <v>33.72</v>
      </c>
      <c r="G685">
        <v>55.59</v>
      </c>
      <c r="H685" s="4" t="s">
        <v>486</v>
      </c>
      <c r="I685" t="s">
        <v>1119</v>
      </c>
      <c r="J685" t="s">
        <v>1622</v>
      </c>
      <c r="K685" t="s">
        <v>27</v>
      </c>
      <c r="L685">
        <v>22.41</v>
      </c>
    </row>
    <row r="686" spans="1:12" x14ac:dyDescent="0.3">
      <c r="A686" t="s">
        <v>80</v>
      </c>
      <c r="B686" t="s">
        <v>84</v>
      </c>
      <c r="C686">
        <v>5613</v>
      </c>
      <c r="D686" t="str">
        <f t="shared" si="10"/>
        <v>Full</v>
      </c>
      <c r="E686">
        <v>20416</v>
      </c>
      <c r="F686">
        <v>30.06</v>
      </c>
      <c r="G686">
        <v>62.96</v>
      </c>
      <c r="H686" s="4" t="s">
        <v>1623</v>
      </c>
      <c r="I686" t="s">
        <v>743</v>
      </c>
      <c r="J686" t="s">
        <v>1624</v>
      </c>
      <c r="K686" t="s">
        <v>98</v>
      </c>
      <c r="L686">
        <v>12.26</v>
      </c>
    </row>
    <row r="687" spans="1:12" x14ac:dyDescent="0.3">
      <c r="A687" t="s">
        <v>45</v>
      </c>
      <c r="B687" t="s">
        <v>12</v>
      </c>
      <c r="C687">
        <v>8051</v>
      </c>
      <c r="D687" t="str">
        <f t="shared" si="10"/>
        <v>Full</v>
      </c>
      <c r="E687">
        <v>22553</v>
      </c>
      <c r="F687">
        <v>259.69</v>
      </c>
      <c r="G687">
        <v>503.4</v>
      </c>
      <c r="H687" s="4" t="s">
        <v>1184</v>
      </c>
      <c r="I687" t="s">
        <v>189</v>
      </c>
      <c r="J687" t="s">
        <v>1625</v>
      </c>
      <c r="K687" t="s">
        <v>21</v>
      </c>
      <c r="L687">
        <v>164.95</v>
      </c>
    </row>
    <row r="688" spans="1:12" x14ac:dyDescent="0.3">
      <c r="A688" t="s">
        <v>45</v>
      </c>
      <c r="B688" t="s">
        <v>36</v>
      </c>
      <c r="C688">
        <v>9844</v>
      </c>
      <c r="D688" t="str">
        <f t="shared" si="10"/>
        <v>Full</v>
      </c>
      <c r="E688">
        <v>13789</v>
      </c>
      <c r="F688">
        <v>100.11</v>
      </c>
      <c r="G688">
        <v>132.85</v>
      </c>
      <c r="H688" s="4" t="s">
        <v>1626</v>
      </c>
      <c r="I688" t="s">
        <v>828</v>
      </c>
      <c r="J688" t="s">
        <v>1627</v>
      </c>
      <c r="K688" t="s">
        <v>98</v>
      </c>
      <c r="L688">
        <v>53.5</v>
      </c>
    </row>
    <row r="689" spans="1:12" x14ac:dyDescent="0.3">
      <c r="A689" t="s">
        <v>119</v>
      </c>
      <c r="B689" t="s">
        <v>23</v>
      </c>
      <c r="C689">
        <v>3230</v>
      </c>
      <c r="D689" t="str">
        <f t="shared" si="10"/>
        <v>Full</v>
      </c>
      <c r="E689">
        <v>21146</v>
      </c>
      <c r="F689">
        <v>93.36</v>
      </c>
      <c r="G689">
        <v>229.69</v>
      </c>
      <c r="H689" s="4" t="s">
        <v>1628</v>
      </c>
      <c r="I689" t="s">
        <v>1629</v>
      </c>
      <c r="J689" t="s">
        <v>1630</v>
      </c>
      <c r="K689" t="s">
        <v>27</v>
      </c>
      <c r="L689">
        <v>68.73</v>
      </c>
    </row>
    <row r="690" spans="1:12" x14ac:dyDescent="0.3">
      <c r="A690" t="s">
        <v>66</v>
      </c>
      <c r="B690" t="s">
        <v>84</v>
      </c>
      <c r="C690">
        <v>5208</v>
      </c>
      <c r="D690" t="str">
        <f t="shared" si="10"/>
        <v>Full</v>
      </c>
      <c r="E690">
        <v>9688</v>
      </c>
      <c r="F690">
        <v>19.02</v>
      </c>
      <c r="G690">
        <v>47.46</v>
      </c>
      <c r="H690" s="4" t="s">
        <v>1631</v>
      </c>
      <c r="I690" t="s">
        <v>597</v>
      </c>
      <c r="J690" t="s">
        <v>1632</v>
      </c>
      <c r="K690" t="s">
        <v>27</v>
      </c>
      <c r="L690">
        <v>13.07</v>
      </c>
    </row>
    <row r="691" spans="1:12" x14ac:dyDescent="0.3">
      <c r="A691" t="s">
        <v>22</v>
      </c>
      <c r="B691" t="s">
        <v>12</v>
      </c>
      <c r="C691">
        <v>6018</v>
      </c>
      <c r="D691" t="str">
        <f t="shared" si="10"/>
        <v>Full</v>
      </c>
      <c r="E691">
        <v>9957</v>
      </c>
      <c r="F691">
        <v>24.84</v>
      </c>
      <c r="G691">
        <v>55.68</v>
      </c>
      <c r="H691" s="4" t="s">
        <v>167</v>
      </c>
      <c r="I691" t="s">
        <v>1633</v>
      </c>
      <c r="J691" t="s">
        <v>1634</v>
      </c>
      <c r="K691" t="s">
        <v>40</v>
      </c>
      <c r="L691">
        <v>17.84</v>
      </c>
    </row>
    <row r="692" spans="1:12" x14ac:dyDescent="0.3">
      <c r="A692" t="s">
        <v>31</v>
      </c>
      <c r="B692" t="s">
        <v>32</v>
      </c>
      <c r="C692">
        <v>5413</v>
      </c>
      <c r="D692" t="str">
        <f t="shared" si="10"/>
        <v>Full</v>
      </c>
      <c r="E692">
        <v>15185</v>
      </c>
      <c r="F692">
        <v>200.72</v>
      </c>
      <c r="G692">
        <v>322.63</v>
      </c>
      <c r="H692" s="4" t="s">
        <v>290</v>
      </c>
      <c r="I692" t="s">
        <v>1353</v>
      </c>
      <c r="J692" t="s">
        <v>1635</v>
      </c>
      <c r="K692" t="s">
        <v>16</v>
      </c>
      <c r="L692">
        <v>121.67</v>
      </c>
    </row>
    <row r="693" spans="1:12" x14ac:dyDescent="0.3">
      <c r="A693" t="s">
        <v>66</v>
      </c>
      <c r="B693" t="s">
        <v>84</v>
      </c>
      <c r="C693">
        <v>804</v>
      </c>
      <c r="D693" t="str">
        <f t="shared" si="10"/>
        <v>Low</v>
      </c>
      <c r="E693">
        <v>21573</v>
      </c>
      <c r="F693">
        <v>212.48</v>
      </c>
      <c r="G693">
        <v>493.28</v>
      </c>
      <c r="H693" s="4" t="s">
        <v>85</v>
      </c>
      <c r="I693" t="s">
        <v>1636</v>
      </c>
      <c r="J693" t="s">
        <v>1637</v>
      </c>
      <c r="K693" t="s">
        <v>21</v>
      </c>
      <c r="L693">
        <v>107.76</v>
      </c>
    </row>
    <row r="694" spans="1:12" x14ac:dyDescent="0.3">
      <c r="A694" t="s">
        <v>66</v>
      </c>
      <c r="B694" t="s">
        <v>32</v>
      </c>
      <c r="C694">
        <v>7606</v>
      </c>
      <c r="D694" t="str">
        <f t="shared" si="10"/>
        <v>Full</v>
      </c>
      <c r="E694">
        <v>19550</v>
      </c>
      <c r="F694">
        <v>219.35</v>
      </c>
      <c r="G694">
        <v>280.3</v>
      </c>
      <c r="H694" s="4" t="s">
        <v>1157</v>
      </c>
      <c r="I694" t="s">
        <v>550</v>
      </c>
      <c r="J694" t="s">
        <v>1638</v>
      </c>
      <c r="K694" t="s">
        <v>98</v>
      </c>
      <c r="L694">
        <v>108.83</v>
      </c>
    </row>
    <row r="695" spans="1:12" x14ac:dyDescent="0.3">
      <c r="A695" t="s">
        <v>31</v>
      </c>
      <c r="B695" t="s">
        <v>36</v>
      </c>
      <c r="C695">
        <v>7221</v>
      </c>
      <c r="D695" t="str">
        <f t="shared" si="10"/>
        <v>Full</v>
      </c>
      <c r="E695">
        <v>11441</v>
      </c>
      <c r="F695">
        <v>258.75</v>
      </c>
      <c r="G695">
        <v>616.98</v>
      </c>
      <c r="H695" s="4" t="s">
        <v>124</v>
      </c>
      <c r="I695" t="s">
        <v>1639</v>
      </c>
      <c r="J695" t="s">
        <v>1640</v>
      </c>
      <c r="K695" t="s">
        <v>40</v>
      </c>
      <c r="L695">
        <v>188.75</v>
      </c>
    </row>
    <row r="696" spans="1:12" x14ac:dyDescent="0.3">
      <c r="A696" t="s">
        <v>56</v>
      </c>
      <c r="B696" t="s">
        <v>23</v>
      </c>
      <c r="C696">
        <v>4368</v>
      </c>
      <c r="D696" t="str">
        <f t="shared" si="10"/>
        <v>Full</v>
      </c>
      <c r="E696">
        <v>14299</v>
      </c>
      <c r="F696">
        <v>75.349999999999994</v>
      </c>
      <c r="G696">
        <v>105.11</v>
      </c>
      <c r="H696" s="4" t="s">
        <v>464</v>
      </c>
      <c r="I696" t="s">
        <v>1355</v>
      </c>
      <c r="J696" t="s">
        <v>1641</v>
      </c>
      <c r="K696" t="s">
        <v>21</v>
      </c>
      <c r="L696">
        <v>44.77</v>
      </c>
    </row>
    <row r="697" spans="1:12" x14ac:dyDescent="0.3">
      <c r="A697" t="s">
        <v>200</v>
      </c>
      <c r="B697" t="s">
        <v>36</v>
      </c>
      <c r="C697">
        <v>1106</v>
      </c>
      <c r="D697" t="str">
        <f t="shared" si="10"/>
        <v>Medium</v>
      </c>
      <c r="E697">
        <v>7618</v>
      </c>
      <c r="F697">
        <v>52.01</v>
      </c>
      <c r="G697">
        <v>71.64</v>
      </c>
      <c r="H697" s="4" t="s">
        <v>951</v>
      </c>
      <c r="I697" t="s">
        <v>437</v>
      </c>
      <c r="J697" t="s">
        <v>1642</v>
      </c>
      <c r="K697" t="s">
        <v>16</v>
      </c>
      <c r="L697">
        <v>24.47</v>
      </c>
    </row>
    <row r="698" spans="1:12" x14ac:dyDescent="0.3">
      <c r="A698" t="s">
        <v>127</v>
      </c>
      <c r="B698" t="s">
        <v>36</v>
      </c>
      <c r="C698">
        <v>826</v>
      </c>
      <c r="D698" t="str">
        <f t="shared" si="10"/>
        <v>Low</v>
      </c>
      <c r="E698">
        <v>2812</v>
      </c>
      <c r="F698">
        <v>258.58</v>
      </c>
      <c r="G698">
        <v>338.51</v>
      </c>
      <c r="H698" s="4" t="s">
        <v>583</v>
      </c>
      <c r="I698" t="s">
        <v>1643</v>
      </c>
      <c r="J698" t="s">
        <v>1644</v>
      </c>
      <c r="K698" t="s">
        <v>21</v>
      </c>
      <c r="L698">
        <v>196.19</v>
      </c>
    </row>
    <row r="699" spans="1:12" x14ac:dyDescent="0.3">
      <c r="A699" t="s">
        <v>41</v>
      </c>
      <c r="B699" t="s">
        <v>36</v>
      </c>
      <c r="C699">
        <v>2802</v>
      </c>
      <c r="D699" t="str">
        <f t="shared" si="10"/>
        <v>Medium</v>
      </c>
      <c r="E699">
        <v>8734</v>
      </c>
      <c r="F699">
        <v>38.020000000000003</v>
      </c>
      <c r="G699">
        <v>81.93</v>
      </c>
      <c r="H699" s="4" t="s">
        <v>1645</v>
      </c>
      <c r="I699" t="s">
        <v>990</v>
      </c>
      <c r="J699" t="s">
        <v>1646</v>
      </c>
      <c r="K699" t="s">
        <v>16</v>
      </c>
      <c r="L699">
        <v>29.65</v>
      </c>
    </row>
    <row r="700" spans="1:12" x14ac:dyDescent="0.3">
      <c r="A700" t="s">
        <v>119</v>
      </c>
      <c r="B700" t="s">
        <v>23</v>
      </c>
      <c r="C700">
        <v>8633</v>
      </c>
      <c r="D700" t="str">
        <f t="shared" si="10"/>
        <v>Full</v>
      </c>
      <c r="E700">
        <v>3957</v>
      </c>
      <c r="F700">
        <v>75.23</v>
      </c>
      <c r="G700">
        <v>102.23</v>
      </c>
      <c r="H700" s="4" t="s">
        <v>374</v>
      </c>
      <c r="I700" t="s">
        <v>990</v>
      </c>
      <c r="J700" t="s">
        <v>1647</v>
      </c>
      <c r="K700" t="s">
        <v>21</v>
      </c>
      <c r="L700">
        <v>54.34</v>
      </c>
    </row>
    <row r="701" spans="1:12" x14ac:dyDescent="0.3">
      <c r="A701" t="s">
        <v>80</v>
      </c>
      <c r="B701" t="s">
        <v>36</v>
      </c>
      <c r="C701">
        <v>4071</v>
      </c>
      <c r="D701" t="str">
        <f t="shared" si="10"/>
        <v>Full</v>
      </c>
      <c r="E701">
        <v>5727</v>
      </c>
      <c r="F701">
        <v>36.51</v>
      </c>
      <c r="G701">
        <v>53.97</v>
      </c>
      <c r="H701" s="4" t="s">
        <v>1648</v>
      </c>
      <c r="I701" t="s">
        <v>1458</v>
      </c>
      <c r="J701" t="s">
        <v>1649</v>
      </c>
      <c r="K701" t="s">
        <v>40</v>
      </c>
      <c r="L701">
        <v>27.21</v>
      </c>
    </row>
    <row r="702" spans="1:12" x14ac:dyDescent="0.3">
      <c r="A702" t="s">
        <v>127</v>
      </c>
      <c r="B702" t="s">
        <v>36</v>
      </c>
      <c r="C702">
        <v>9240</v>
      </c>
      <c r="D702" t="str">
        <f t="shared" si="10"/>
        <v>Full</v>
      </c>
      <c r="E702">
        <v>13278</v>
      </c>
      <c r="F702">
        <v>211.39</v>
      </c>
      <c r="G702">
        <v>284.70999999999998</v>
      </c>
      <c r="H702" s="4" t="s">
        <v>1413</v>
      </c>
      <c r="I702" t="s">
        <v>1470</v>
      </c>
      <c r="J702" t="s">
        <v>1650</v>
      </c>
      <c r="K702" t="s">
        <v>98</v>
      </c>
      <c r="L702">
        <v>166.01</v>
      </c>
    </row>
    <row r="703" spans="1:12" x14ac:dyDescent="0.3">
      <c r="A703" t="s">
        <v>123</v>
      </c>
      <c r="B703" t="s">
        <v>23</v>
      </c>
      <c r="C703">
        <v>8286</v>
      </c>
      <c r="D703" t="str">
        <f t="shared" si="10"/>
        <v>Full</v>
      </c>
      <c r="E703">
        <v>24451</v>
      </c>
      <c r="F703">
        <v>113.48</v>
      </c>
      <c r="G703">
        <v>181.64</v>
      </c>
      <c r="H703" s="4" t="s">
        <v>754</v>
      </c>
      <c r="I703" t="s">
        <v>1651</v>
      </c>
      <c r="J703" t="s">
        <v>1652</v>
      </c>
      <c r="K703" t="s">
        <v>27</v>
      </c>
      <c r="L703">
        <v>76.739999999999995</v>
      </c>
    </row>
    <row r="704" spans="1:12" x14ac:dyDescent="0.3">
      <c r="A704" t="s">
        <v>80</v>
      </c>
      <c r="B704" t="s">
        <v>23</v>
      </c>
      <c r="C704">
        <v>9555</v>
      </c>
      <c r="D704" t="str">
        <f t="shared" si="10"/>
        <v>Full</v>
      </c>
      <c r="E704">
        <v>13605</v>
      </c>
      <c r="F704">
        <v>96.23</v>
      </c>
      <c r="G704">
        <v>235.38</v>
      </c>
      <c r="H704" s="4" t="s">
        <v>67</v>
      </c>
      <c r="I704" t="s">
        <v>221</v>
      </c>
      <c r="J704" t="s">
        <v>1653</v>
      </c>
      <c r="K704" t="s">
        <v>16</v>
      </c>
      <c r="L704">
        <v>71.86</v>
      </c>
    </row>
    <row r="705" spans="1:12" x14ac:dyDescent="0.3">
      <c r="A705" t="s">
        <v>143</v>
      </c>
      <c r="B705" t="s">
        <v>36</v>
      </c>
      <c r="C705">
        <v>628</v>
      </c>
      <c r="D705" t="str">
        <f t="shared" si="10"/>
        <v>Low</v>
      </c>
      <c r="E705">
        <v>13877</v>
      </c>
      <c r="F705">
        <v>278.61</v>
      </c>
      <c r="G705">
        <v>666.8</v>
      </c>
      <c r="H705" s="4" t="s">
        <v>1654</v>
      </c>
      <c r="I705" t="s">
        <v>1411</v>
      </c>
      <c r="J705" t="s">
        <v>1655</v>
      </c>
      <c r="K705" t="s">
        <v>40</v>
      </c>
      <c r="L705">
        <v>134.88999999999999</v>
      </c>
    </row>
    <row r="706" spans="1:12" x14ac:dyDescent="0.3">
      <c r="A706" t="s">
        <v>56</v>
      </c>
      <c r="B706" t="s">
        <v>36</v>
      </c>
      <c r="C706">
        <v>5696</v>
      </c>
      <c r="D706" t="str">
        <f t="shared" si="10"/>
        <v>Full</v>
      </c>
      <c r="E706">
        <v>22116</v>
      </c>
      <c r="F706">
        <v>124.86</v>
      </c>
      <c r="G706">
        <v>155.33000000000001</v>
      </c>
      <c r="H706" s="4" t="s">
        <v>105</v>
      </c>
      <c r="I706" t="s">
        <v>1656</v>
      </c>
      <c r="J706" t="s">
        <v>1657</v>
      </c>
      <c r="K706" t="s">
        <v>21</v>
      </c>
      <c r="L706">
        <v>96.22</v>
      </c>
    </row>
    <row r="707" spans="1:12" x14ac:dyDescent="0.3">
      <c r="A707" t="s">
        <v>45</v>
      </c>
      <c r="B707" t="s">
        <v>36</v>
      </c>
      <c r="C707">
        <v>2144</v>
      </c>
      <c r="D707" t="str">
        <f t="shared" ref="D707:D770" si="11">IF(C707&lt;1000,"Low",IF(C707&lt;=3000,"Medium","Full"))</f>
        <v>Medium</v>
      </c>
      <c r="E707">
        <v>6254</v>
      </c>
      <c r="F707">
        <v>211.05</v>
      </c>
      <c r="G707">
        <v>392.18</v>
      </c>
      <c r="H707" s="4" t="s">
        <v>325</v>
      </c>
      <c r="I707" t="s">
        <v>1658</v>
      </c>
      <c r="J707" t="s">
        <v>1659</v>
      </c>
      <c r="K707" t="s">
        <v>16</v>
      </c>
      <c r="L707">
        <v>146.69999999999999</v>
      </c>
    </row>
    <row r="708" spans="1:12" x14ac:dyDescent="0.3">
      <c r="A708" t="s">
        <v>143</v>
      </c>
      <c r="B708" t="s">
        <v>12</v>
      </c>
      <c r="C708">
        <v>1353</v>
      </c>
      <c r="D708" t="str">
        <f t="shared" si="11"/>
        <v>Medium</v>
      </c>
      <c r="E708">
        <v>22016</v>
      </c>
      <c r="F708">
        <v>194.27</v>
      </c>
      <c r="G708">
        <v>392.27</v>
      </c>
      <c r="H708" s="4" t="s">
        <v>1100</v>
      </c>
      <c r="I708" t="s">
        <v>1307</v>
      </c>
      <c r="J708" t="s">
        <v>1660</v>
      </c>
      <c r="K708" t="s">
        <v>21</v>
      </c>
      <c r="L708">
        <v>93.26</v>
      </c>
    </row>
    <row r="709" spans="1:12" x14ac:dyDescent="0.3">
      <c r="A709" t="s">
        <v>31</v>
      </c>
      <c r="B709" t="s">
        <v>23</v>
      </c>
      <c r="C709">
        <v>9934</v>
      </c>
      <c r="D709" t="str">
        <f t="shared" si="11"/>
        <v>Full</v>
      </c>
      <c r="E709">
        <v>3694</v>
      </c>
      <c r="F709">
        <v>37.69</v>
      </c>
      <c r="G709">
        <v>57.46</v>
      </c>
      <c r="H709" s="4" t="s">
        <v>788</v>
      </c>
      <c r="I709" t="s">
        <v>677</v>
      </c>
      <c r="J709" t="s">
        <v>1661</v>
      </c>
      <c r="K709" t="s">
        <v>21</v>
      </c>
      <c r="L709">
        <v>27.03</v>
      </c>
    </row>
    <row r="710" spans="1:12" x14ac:dyDescent="0.3">
      <c r="A710" t="s">
        <v>45</v>
      </c>
      <c r="B710" t="s">
        <v>36</v>
      </c>
      <c r="C710">
        <v>8337</v>
      </c>
      <c r="D710" t="str">
        <f t="shared" si="11"/>
        <v>Full</v>
      </c>
      <c r="E710">
        <v>5374</v>
      </c>
      <c r="F710">
        <v>81.900000000000006</v>
      </c>
      <c r="G710">
        <v>171.47</v>
      </c>
      <c r="H710" s="4" t="s">
        <v>1662</v>
      </c>
      <c r="I710" t="s">
        <v>1663</v>
      </c>
      <c r="J710" t="s">
        <v>1664</v>
      </c>
      <c r="K710" t="s">
        <v>27</v>
      </c>
      <c r="L710">
        <v>46.34</v>
      </c>
    </row>
    <row r="711" spans="1:12" x14ac:dyDescent="0.3">
      <c r="A711" t="s">
        <v>56</v>
      </c>
      <c r="B711" t="s">
        <v>36</v>
      </c>
      <c r="C711">
        <v>6682</v>
      </c>
      <c r="D711" t="str">
        <f t="shared" si="11"/>
        <v>Full</v>
      </c>
      <c r="E711">
        <v>19690</v>
      </c>
      <c r="F711">
        <v>71.22</v>
      </c>
      <c r="G711">
        <v>173.25</v>
      </c>
      <c r="H711" s="4" t="s">
        <v>969</v>
      </c>
      <c r="I711" t="s">
        <v>1665</v>
      </c>
      <c r="J711" t="s">
        <v>1666</v>
      </c>
      <c r="K711" t="s">
        <v>98</v>
      </c>
      <c r="L711">
        <v>54.32</v>
      </c>
    </row>
    <row r="712" spans="1:12" x14ac:dyDescent="0.3">
      <c r="A712" t="s">
        <v>143</v>
      </c>
      <c r="B712" t="s">
        <v>84</v>
      </c>
      <c r="C712">
        <v>4789</v>
      </c>
      <c r="D712" t="str">
        <f t="shared" si="11"/>
        <v>Full</v>
      </c>
      <c r="E712">
        <v>23978</v>
      </c>
      <c r="F712">
        <v>256.29000000000002</v>
      </c>
      <c r="G712">
        <v>324.13</v>
      </c>
      <c r="H712" s="4" t="s">
        <v>412</v>
      </c>
      <c r="I712" t="s">
        <v>1667</v>
      </c>
      <c r="J712" t="s">
        <v>1668</v>
      </c>
      <c r="K712" t="s">
        <v>40</v>
      </c>
      <c r="L712">
        <v>117.82</v>
      </c>
    </row>
    <row r="713" spans="1:12" x14ac:dyDescent="0.3">
      <c r="A713" t="s">
        <v>76</v>
      </c>
      <c r="B713" t="s">
        <v>84</v>
      </c>
      <c r="C713">
        <v>9793</v>
      </c>
      <c r="D713" t="str">
        <f t="shared" si="11"/>
        <v>Full</v>
      </c>
      <c r="E713">
        <v>4845</v>
      </c>
      <c r="F713">
        <v>9.16</v>
      </c>
      <c r="G713">
        <v>17.25</v>
      </c>
      <c r="H713" s="4" t="s">
        <v>814</v>
      </c>
      <c r="I713" t="s">
        <v>1669</v>
      </c>
      <c r="J713" t="s">
        <v>1670</v>
      </c>
      <c r="K713" t="s">
        <v>27</v>
      </c>
      <c r="L713">
        <v>4.49</v>
      </c>
    </row>
    <row r="714" spans="1:12" x14ac:dyDescent="0.3">
      <c r="A714" t="s">
        <v>88</v>
      </c>
      <c r="B714" t="s">
        <v>84</v>
      </c>
      <c r="C714">
        <v>4861</v>
      </c>
      <c r="D714" t="str">
        <f t="shared" si="11"/>
        <v>Full</v>
      </c>
      <c r="E714">
        <v>10435</v>
      </c>
      <c r="F714">
        <v>225.2</v>
      </c>
      <c r="G714">
        <v>382.1</v>
      </c>
      <c r="H714" s="4" t="s">
        <v>549</v>
      </c>
      <c r="I714" t="s">
        <v>1671</v>
      </c>
      <c r="J714" t="s">
        <v>1672</v>
      </c>
      <c r="K714" t="s">
        <v>98</v>
      </c>
      <c r="L714">
        <v>179.73</v>
      </c>
    </row>
    <row r="715" spans="1:12" x14ac:dyDescent="0.3">
      <c r="A715" t="s">
        <v>31</v>
      </c>
      <c r="B715" t="s">
        <v>84</v>
      </c>
      <c r="C715">
        <v>7353</v>
      </c>
      <c r="D715" t="str">
        <f t="shared" si="11"/>
        <v>Full</v>
      </c>
      <c r="E715">
        <v>6910</v>
      </c>
      <c r="F715">
        <v>125.51</v>
      </c>
      <c r="G715">
        <v>174.42</v>
      </c>
      <c r="H715" s="4" t="s">
        <v>540</v>
      </c>
      <c r="I715" t="s">
        <v>1673</v>
      </c>
      <c r="J715" t="s">
        <v>1674</v>
      </c>
      <c r="K715" t="s">
        <v>16</v>
      </c>
      <c r="L715">
        <v>72.84</v>
      </c>
    </row>
    <row r="716" spans="1:12" x14ac:dyDescent="0.3">
      <c r="A716" t="s">
        <v>80</v>
      </c>
      <c r="B716" t="s">
        <v>23</v>
      </c>
      <c r="C716">
        <v>8006</v>
      </c>
      <c r="D716" t="str">
        <f t="shared" si="11"/>
        <v>Full</v>
      </c>
      <c r="E716">
        <v>3809</v>
      </c>
      <c r="F716">
        <v>8.0399999999999991</v>
      </c>
      <c r="G716">
        <v>11.04</v>
      </c>
      <c r="H716" s="4" t="s">
        <v>1675</v>
      </c>
      <c r="I716" t="s">
        <v>1676</v>
      </c>
      <c r="J716" t="s">
        <v>1677</v>
      </c>
      <c r="K716" t="s">
        <v>98</v>
      </c>
      <c r="L716">
        <v>5.51</v>
      </c>
    </row>
    <row r="717" spans="1:12" x14ac:dyDescent="0.3">
      <c r="A717" t="s">
        <v>200</v>
      </c>
      <c r="B717" t="s">
        <v>32</v>
      </c>
      <c r="C717">
        <v>4698</v>
      </c>
      <c r="D717" t="str">
        <f t="shared" si="11"/>
        <v>Full</v>
      </c>
      <c r="E717">
        <v>3393</v>
      </c>
      <c r="F717">
        <v>33.11</v>
      </c>
      <c r="G717">
        <v>42.26</v>
      </c>
      <c r="H717" s="4" t="s">
        <v>293</v>
      </c>
      <c r="I717" t="s">
        <v>1678</v>
      </c>
      <c r="J717" t="s">
        <v>1679</v>
      </c>
      <c r="K717" t="s">
        <v>40</v>
      </c>
      <c r="L717">
        <v>26.44</v>
      </c>
    </row>
    <row r="718" spans="1:12" x14ac:dyDescent="0.3">
      <c r="A718" t="s">
        <v>176</v>
      </c>
      <c r="B718" t="s">
        <v>12</v>
      </c>
      <c r="C718">
        <v>587</v>
      </c>
      <c r="D718" t="str">
        <f t="shared" si="11"/>
        <v>Low</v>
      </c>
      <c r="E718">
        <v>9311</v>
      </c>
      <c r="F718">
        <v>153.84</v>
      </c>
      <c r="G718">
        <v>260.79000000000002</v>
      </c>
      <c r="H718" s="4" t="s">
        <v>1680</v>
      </c>
      <c r="I718" t="s">
        <v>447</v>
      </c>
      <c r="J718" t="s">
        <v>1681</v>
      </c>
      <c r="K718" t="s">
        <v>98</v>
      </c>
      <c r="L718">
        <v>121.11</v>
      </c>
    </row>
    <row r="719" spans="1:12" x14ac:dyDescent="0.3">
      <c r="A719" t="s">
        <v>66</v>
      </c>
      <c r="B719" t="s">
        <v>12</v>
      </c>
      <c r="C719">
        <v>3438</v>
      </c>
      <c r="D719" t="str">
        <f t="shared" si="11"/>
        <v>Full</v>
      </c>
      <c r="E719">
        <v>9529</v>
      </c>
      <c r="F719">
        <v>55.11</v>
      </c>
      <c r="G719">
        <v>101.44</v>
      </c>
      <c r="H719" s="4" t="s">
        <v>389</v>
      </c>
      <c r="I719" t="s">
        <v>64</v>
      </c>
      <c r="J719" t="s">
        <v>1682</v>
      </c>
      <c r="K719" t="s">
        <v>27</v>
      </c>
      <c r="L719">
        <v>29.04</v>
      </c>
    </row>
    <row r="720" spans="1:12" x14ac:dyDescent="0.3">
      <c r="A720" t="s">
        <v>119</v>
      </c>
      <c r="B720" t="s">
        <v>36</v>
      </c>
      <c r="C720">
        <v>2823</v>
      </c>
      <c r="D720" t="str">
        <f t="shared" si="11"/>
        <v>Medium</v>
      </c>
      <c r="E720">
        <v>9532</v>
      </c>
      <c r="F720">
        <v>39.47</v>
      </c>
      <c r="G720">
        <v>49.63</v>
      </c>
      <c r="H720" s="4" t="s">
        <v>441</v>
      </c>
      <c r="I720" t="s">
        <v>1683</v>
      </c>
      <c r="J720" t="s">
        <v>1684</v>
      </c>
      <c r="K720" t="s">
        <v>40</v>
      </c>
      <c r="L720">
        <v>30.41</v>
      </c>
    </row>
    <row r="721" spans="1:12" x14ac:dyDescent="0.3">
      <c r="A721" t="s">
        <v>31</v>
      </c>
      <c r="B721" t="s">
        <v>23</v>
      </c>
      <c r="C721">
        <v>4821</v>
      </c>
      <c r="D721" t="str">
        <f t="shared" si="11"/>
        <v>Full</v>
      </c>
      <c r="E721">
        <v>17940</v>
      </c>
      <c r="F721">
        <v>97.34</v>
      </c>
      <c r="G721">
        <v>229.77</v>
      </c>
      <c r="H721" s="4" t="s">
        <v>1303</v>
      </c>
      <c r="I721" t="s">
        <v>64</v>
      </c>
      <c r="J721" t="s">
        <v>1685</v>
      </c>
      <c r="K721" t="s">
        <v>16</v>
      </c>
      <c r="L721">
        <v>72.150000000000006</v>
      </c>
    </row>
    <row r="722" spans="1:12" x14ac:dyDescent="0.3">
      <c r="A722" t="s">
        <v>143</v>
      </c>
      <c r="B722" t="s">
        <v>12</v>
      </c>
      <c r="C722">
        <v>3595</v>
      </c>
      <c r="D722" t="str">
        <f t="shared" si="11"/>
        <v>Full</v>
      </c>
      <c r="E722">
        <v>5870</v>
      </c>
      <c r="F722">
        <v>21.1</v>
      </c>
      <c r="G722">
        <v>30.34</v>
      </c>
      <c r="H722" s="4" t="s">
        <v>269</v>
      </c>
      <c r="I722" t="s">
        <v>1017</v>
      </c>
      <c r="J722" t="s">
        <v>1686</v>
      </c>
      <c r="K722" t="s">
        <v>21</v>
      </c>
      <c r="L722">
        <v>12.12</v>
      </c>
    </row>
    <row r="723" spans="1:12" x14ac:dyDescent="0.3">
      <c r="A723" t="s">
        <v>49</v>
      </c>
      <c r="B723" t="s">
        <v>12</v>
      </c>
      <c r="C723">
        <v>7733</v>
      </c>
      <c r="D723" t="str">
        <f t="shared" si="11"/>
        <v>Full</v>
      </c>
      <c r="E723">
        <v>12682</v>
      </c>
      <c r="F723">
        <v>296.7</v>
      </c>
      <c r="G723">
        <v>572.37</v>
      </c>
      <c r="H723" s="4" t="s">
        <v>760</v>
      </c>
      <c r="I723" t="s">
        <v>878</v>
      </c>
      <c r="J723" t="s">
        <v>1687</v>
      </c>
      <c r="K723" t="s">
        <v>98</v>
      </c>
      <c r="L723">
        <v>133.36000000000001</v>
      </c>
    </row>
    <row r="724" spans="1:12" x14ac:dyDescent="0.3">
      <c r="A724" t="s">
        <v>41</v>
      </c>
      <c r="B724" t="s">
        <v>84</v>
      </c>
      <c r="C724">
        <v>5154</v>
      </c>
      <c r="D724" t="str">
        <f t="shared" si="11"/>
        <v>Full</v>
      </c>
      <c r="E724">
        <v>6919</v>
      </c>
      <c r="F724">
        <v>251.31</v>
      </c>
      <c r="G724">
        <v>546.58000000000004</v>
      </c>
      <c r="H724" s="4" t="s">
        <v>1688</v>
      </c>
      <c r="I724" t="s">
        <v>516</v>
      </c>
      <c r="J724" t="s">
        <v>1689</v>
      </c>
      <c r="K724" t="s">
        <v>16</v>
      </c>
      <c r="L724">
        <v>121.87</v>
      </c>
    </row>
    <row r="725" spans="1:12" x14ac:dyDescent="0.3">
      <c r="A725" t="s">
        <v>17</v>
      </c>
      <c r="B725" t="s">
        <v>32</v>
      </c>
      <c r="C725">
        <v>9851</v>
      </c>
      <c r="D725" t="str">
        <f t="shared" si="11"/>
        <v>Full</v>
      </c>
      <c r="E725">
        <v>6916</v>
      </c>
      <c r="F725">
        <v>127.84</v>
      </c>
      <c r="G725">
        <v>166.18</v>
      </c>
      <c r="H725" s="4" t="s">
        <v>543</v>
      </c>
      <c r="I725" t="s">
        <v>1512</v>
      </c>
      <c r="J725" t="s">
        <v>1690</v>
      </c>
      <c r="K725" t="s">
        <v>40</v>
      </c>
      <c r="L725">
        <v>52.46</v>
      </c>
    </row>
    <row r="726" spans="1:12" x14ac:dyDescent="0.3">
      <c r="A726" t="s">
        <v>11</v>
      </c>
      <c r="B726" t="s">
        <v>36</v>
      </c>
      <c r="C726">
        <v>6620</v>
      </c>
      <c r="D726" t="str">
        <f t="shared" si="11"/>
        <v>Full</v>
      </c>
      <c r="E726">
        <v>20344</v>
      </c>
      <c r="F726">
        <v>279.10000000000002</v>
      </c>
      <c r="G726">
        <v>373.41</v>
      </c>
      <c r="H726" s="4" t="s">
        <v>1675</v>
      </c>
      <c r="I726" t="s">
        <v>186</v>
      </c>
      <c r="J726" t="s">
        <v>1691</v>
      </c>
      <c r="K726" t="s">
        <v>27</v>
      </c>
      <c r="L726">
        <v>163.02000000000001</v>
      </c>
    </row>
    <row r="727" spans="1:12" x14ac:dyDescent="0.3">
      <c r="A727" t="s">
        <v>49</v>
      </c>
      <c r="B727" t="s">
        <v>36</v>
      </c>
      <c r="C727">
        <v>4912</v>
      </c>
      <c r="D727" t="str">
        <f t="shared" si="11"/>
        <v>Full</v>
      </c>
      <c r="E727">
        <v>20470</v>
      </c>
      <c r="F727">
        <v>199.11</v>
      </c>
      <c r="G727">
        <v>324.2</v>
      </c>
      <c r="H727" s="4" t="s">
        <v>1070</v>
      </c>
      <c r="I727" t="s">
        <v>1692</v>
      </c>
      <c r="J727" t="s">
        <v>1693</v>
      </c>
      <c r="K727" t="s">
        <v>21</v>
      </c>
      <c r="L727">
        <v>105.52</v>
      </c>
    </row>
    <row r="728" spans="1:12" x14ac:dyDescent="0.3">
      <c r="A728" t="s">
        <v>22</v>
      </c>
      <c r="B728" t="s">
        <v>84</v>
      </c>
      <c r="C728">
        <v>3963</v>
      </c>
      <c r="D728" t="str">
        <f t="shared" si="11"/>
        <v>Full</v>
      </c>
      <c r="E728">
        <v>2595</v>
      </c>
      <c r="F728">
        <v>241.46</v>
      </c>
      <c r="G728">
        <v>378.57</v>
      </c>
      <c r="H728" s="4" t="s">
        <v>1694</v>
      </c>
      <c r="I728" t="s">
        <v>1425</v>
      </c>
      <c r="J728" t="s">
        <v>1695</v>
      </c>
      <c r="K728" t="s">
        <v>16</v>
      </c>
      <c r="L728">
        <v>133.41999999999999</v>
      </c>
    </row>
    <row r="729" spans="1:12" x14ac:dyDescent="0.3">
      <c r="A729" t="s">
        <v>299</v>
      </c>
      <c r="B729" t="s">
        <v>23</v>
      </c>
      <c r="C729">
        <v>3416</v>
      </c>
      <c r="D729" t="str">
        <f t="shared" si="11"/>
        <v>Full</v>
      </c>
      <c r="E729">
        <v>8866</v>
      </c>
      <c r="F729">
        <v>289.69</v>
      </c>
      <c r="G729">
        <v>673.58</v>
      </c>
      <c r="H729" s="4" t="s">
        <v>1696</v>
      </c>
      <c r="I729" t="s">
        <v>1598</v>
      </c>
      <c r="J729" t="s">
        <v>1697</v>
      </c>
      <c r="K729" t="s">
        <v>98</v>
      </c>
      <c r="L729">
        <v>160.88999999999999</v>
      </c>
    </row>
    <row r="730" spans="1:12" x14ac:dyDescent="0.3">
      <c r="A730" t="s">
        <v>299</v>
      </c>
      <c r="B730" t="s">
        <v>23</v>
      </c>
      <c r="C730">
        <v>3025</v>
      </c>
      <c r="D730" t="str">
        <f t="shared" si="11"/>
        <v>Full</v>
      </c>
      <c r="E730">
        <v>4951</v>
      </c>
      <c r="F730">
        <v>93.07</v>
      </c>
      <c r="G730">
        <v>208.61</v>
      </c>
      <c r="H730" s="4" t="s">
        <v>415</v>
      </c>
      <c r="I730" t="s">
        <v>1698</v>
      </c>
      <c r="J730" t="s">
        <v>1699</v>
      </c>
      <c r="K730" t="s">
        <v>98</v>
      </c>
      <c r="L730">
        <v>50.59</v>
      </c>
    </row>
    <row r="731" spans="1:12" x14ac:dyDescent="0.3">
      <c r="A731" t="s">
        <v>11</v>
      </c>
      <c r="B731" t="s">
        <v>23</v>
      </c>
      <c r="C731">
        <v>8899</v>
      </c>
      <c r="D731" t="str">
        <f t="shared" si="11"/>
        <v>Full</v>
      </c>
      <c r="E731">
        <v>7549</v>
      </c>
      <c r="F731">
        <v>149.44</v>
      </c>
      <c r="G731">
        <v>351.34</v>
      </c>
      <c r="H731" s="4" t="s">
        <v>1207</v>
      </c>
      <c r="I731" t="s">
        <v>802</v>
      </c>
      <c r="J731" t="s">
        <v>1700</v>
      </c>
      <c r="K731" t="s">
        <v>16</v>
      </c>
      <c r="L731">
        <v>85.07</v>
      </c>
    </row>
    <row r="732" spans="1:12" x14ac:dyDescent="0.3">
      <c r="A732" t="s">
        <v>200</v>
      </c>
      <c r="B732" t="s">
        <v>23</v>
      </c>
      <c r="C732">
        <v>3553</v>
      </c>
      <c r="D732" t="str">
        <f t="shared" si="11"/>
        <v>Full</v>
      </c>
      <c r="E732">
        <v>15224</v>
      </c>
      <c r="F732">
        <v>191.05</v>
      </c>
      <c r="G732">
        <v>252.34</v>
      </c>
      <c r="H732" s="4" t="s">
        <v>1578</v>
      </c>
      <c r="I732" t="s">
        <v>1592</v>
      </c>
      <c r="J732" t="s">
        <v>1701</v>
      </c>
      <c r="K732" t="s">
        <v>98</v>
      </c>
      <c r="L732">
        <v>125.91</v>
      </c>
    </row>
    <row r="733" spans="1:12" x14ac:dyDescent="0.3">
      <c r="A733" t="s">
        <v>123</v>
      </c>
      <c r="B733" t="s">
        <v>36</v>
      </c>
      <c r="C733">
        <v>9138</v>
      </c>
      <c r="D733" t="str">
        <f t="shared" si="11"/>
        <v>Full</v>
      </c>
      <c r="E733">
        <v>21629</v>
      </c>
      <c r="F733">
        <v>195.93</v>
      </c>
      <c r="G733">
        <v>256.5</v>
      </c>
      <c r="H733" s="4" t="s">
        <v>171</v>
      </c>
      <c r="I733" t="s">
        <v>1262</v>
      </c>
      <c r="J733" t="s">
        <v>1702</v>
      </c>
      <c r="K733" t="s">
        <v>21</v>
      </c>
      <c r="L733">
        <v>101.91</v>
      </c>
    </row>
    <row r="734" spans="1:12" x14ac:dyDescent="0.3">
      <c r="A734" t="s">
        <v>123</v>
      </c>
      <c r="B734" t="s">
        <v>23</v>
      </c>
      <c r="C734">
        <v>4573</v>
      </c>
      <c r="D734" t="str">
        <f t="shared" si="11"/>
        <v>Full</v>
      </c>
      <c r="E734">
        <v>18140</v>
      </c>
      <c r="F734">
        <v>131.18</v>
      </c>
      <c r="G734">
        <v>254.37</v>
      </c>
      <c r="H734" s="4" t="s">
        <v>521</v>
      </c>
      <c r="I734" t="s">
        <v>597</v>
      </c>
      <c r="J734" t="s">
        <v>1703</v>
      </c>
      <c r="K734" t="s">
        <v>16</v>
      </c>
      <c r="L734">
        <v>58.12</v>
      </c>
    </row>
    <row r="735" spans="1:12" x14ac:dyDescent="0.3">
      <c r="A735" t="s">
        <v>200</v>
      </c>
      <c r="B735" t="s">
        <v>36</v>
      </c>
      <c r="C735">
        <v>2048</v>
      </c>
      <c r="D735" t="str">
        <f t="shared" si="11"/>
        <v>Medium</v>
      </c>
      <c r="E735">
        <v>16225</v>
      </c>
      <c r="F735">
        <v>199.95</v>
      </c>
      <c r="G735">
        <v>387.71</v>
      </c>
      <c r="H735" s="4" t="s">
        <v>1704</v>
      </c>
      <c r="I735" t="s">
        <v>1082</v>
      </c>
      <c r="J735" t="s">
        <v>1705</v>
      </c>
      <c r="K735" t="s">
        <v>16</v>
      </c>
      <c r="L735">
        <v>86.52</v>
      </c>
    </row>
    <row r="736" spans="1:12" x14ac:dyDescent="0.3">
      <c r="A736" t="s">
        <v>119</v>
      </c>
      <c r="B736" t="s">
        <v>12</v>
      </c>
      <c r="C736">
        <v>2366</v>
      </c>
      <c r="D736" t="str">
        <f t="shared" si="11"/>
        <v>Medium</v>
      </c>
      <c r="E736">
        <v>22678</v>
      </c>
      <c r="F736">
        <v>141.55000000000001</v>
      </c>
      <c r="G736">
        <v>314.52999999999997</v>
      </c>
      <c r="H736" s="4" t="s">
        <v>717</v>
      </c>
      <c r="I736" t="s">
        <v>1706</v>
      </c>
      <c r="J736" t="s">
        <v>1707</v>
      </c>
      <c r="K736" t="s">
        <v>21</v>
      </c>
      <c r="L736">
        <v>106.26</v>
      </c>
    </row>
    <row r="737" spans="1:12" x14ac:dyDescent="0.3">
      <c r="A737" t="s">
        <v>31</v>
      </c>
      <c r="B737" t="s">
        <v>23</v>
      </c>
      <c r="C737">
        <v>7954</v>
      </c>
      <c r="D737" t="str">
        <f t="shared" si="11"/>
        <v>Full</v>
      </c>
      <c r="E737">
        <v>22963</v>
      </c>
      <c r="F737">
        <v>137.72999999999999</v>
      </c>
      <c r="G737">
        <v>309.92</v>
      </c>
      <c r="H737" s="4" t="s">
        <v>1708</v>
      </c>
      <c r="I737" t="s">
        <v>847</v>
      </c>
      <c r="J737" t="s">
        <v>1709</v>
      </c>
      <c r="K737" t="s">
        <v>98</v>
      </c>
      <c r="L737">
        <v>59.4</v>
      </c>
    </row>
    <row r="738" spans="1:12" x14ac:dyDescent="0.3">
      <c r="A738" t="s">
        <v>176</v>
      </c>
      <c r="B738" t="s">
        <v>23</v>
      </c>
      <c r="C738">
        <v>2242</v>
      </c>
      <c r="D738" t="str">
        <f t="shared" si="11"/>
        <v>Medium</v>
      </c>
      <c r="E738">
        <v>15214</v>
      </c>
      <c r="F738">
        <v>162.63999999999999</v>
      </c>
      <c r="G738">
        <v>196.4</v>
      </c>
      <c r="H738" s="4" t="s">
        <v>1710</v>
      </c>
      <c r="I738" t="s">
        <v>1711</v>
      </c>
      <c r="J738" t="s">
        <v>1712</v>
      </c>
      <c r="K738" t="s">
        <v>21</v>
      </c>
      <c r="L738">
        <v>94.99</v>
      </c>
    </row>
    <row r="739" spans="1:12" x14ac:dyDescent="0.3">
      <c r="A739" t="s">
        <v>299</v>
      </c>
      <c r="B739" t="s">
        <v>32</v>
      </c>
      <c r="C739">
        <v>8474</v>
      </c>
      <c r="D739" t="str">
        <f t="shared" si="11"/>
        <v>Full</v>
      </c>
      <c r="E739">
        <v>10922</v>
      </c>
      <c r="F739">
        <v>187.46</v>
      </c>
      <c r="G739">
        <v>462.29</v>
      </c>
      <c r="H739" s="4" t="s">
        <v>1236</v>
      </c>
      <c r="I739" t="s">
        <v>1713</v>
      </c>
      <c r="J739" t="s">
        <v>1714</v>
      </c>
      <c r="K739" t="s">
        <v>21</v>
      </c>
      <c r="L739">
        <v>135.32</v>
      </c>
    </row>
    <row r="740" spans="1:12" x14ac:dyDescent="0.3">
      <c r="A740" t="s">
        <v>41</v>
      </c>
      <c r="B740" t="s">
        <v>84</v>
      </c>
      <c r="C740">
        <v>2713</v>
      </c>
      <c r="D740" t="str">
        <f t="shared" si="11"/>
        <v>Medium</v>
      </c>
      <c r="E740">
        <v>1454</v>
      </c>
      <c r="F740">
        <v>61.29</v>
      </c>
      <c r="G740">
        <v>138.56</v>
      </c>
      <c r="H740" s="4" t="s">
        <v>429</v>
      </c>
      <c r="I740" t="s">
        <v>1516</v>
      </c>
      <c r="J740" t="s">
        <v>1715</v>
      </c>
      <c r="K740" t="s">
        <v>21</v>
      </c>
      <c r="L740">
        <v>40.42</v>
      </c>
    </row>
    <row r="741" spans="1:12" x14ac:dyDescent="0.3">
      <c r="A741" t="s">
        <v>80</v>
      </c>
      <c r="B741" t="s">
        <v>36</v>
      </c>
      <c r="C741">
        <v>9324</v>
      </c>
      <c r="D741" t="str">
        <f t="shared" si="11"/>
        <v>Full</v>
      </c>
      <c r="E741">
        <v>7255</v>
      </c>
      <c r="F741">
        <v>30.4</v>
      </c>
      <c r="G741">
        <v>66.900000000000006</v>
      </c>
      <c r="H741" s="4" t="s">
        <v>1553</v>
      </c>
      <c r="I741" t="s">
        <v>393</v>
      </c>
      <c r="J741" t="s">
        <v>1716</v>
      </c>
      <c r="K741" t="s">
        <v>27</v>
      </c>
      <c r="L741">
        <v>13.58</v>
      </c>
    </row>
    <row r="742" spans="1:12" x14ac:dyDescent="0.3">
      <c r="A742" t="s">
        <v>123</v>
      </c>
      <c r="B742" t="s">
        <v>36</v>
      </c>
      <c r="C742">
        <v>8447</v>
      </c>
      <c r="D742" t="str">
        <f t="shared" si="11"/>
        <v>Full</v>
      </c>
      <c r="E742">
        <v>16449</v>
      </c>
      <c r="F742">
        <v>10.79</v>
      </c>
      <c r="G742">
        <v>19.25</v>
      </c>
      <c r="H742" s="4" t="s">
        <v>835</v>
      </c>
      <c r="I742" t="s">
        <v>1717</v>
      </c>
      <c r="J742" t="s">
        <v>1718</v>
      </c>
      <c r="K742" t="s">
        <v>16</v>
      </c>
      <c r="L742">
        <v>7.9</v>
      </c>
    </row>
    <row r="743" spans="1:12" x14ac:dyDescent="0.3">
      <c r="A743" t="s">
        <v>299</v>
      </c>
      <c r="B743" t="s">
        <v>12</v>
      </c>
      <c r="C743">
        <v>5969</v>
      </c>
      <c r="D743" t="str">
        <f t="shared" si="11"/>
        <v>Full</v>
      </c>
      <c r="E743">
        <v>1258</v>
      </c>
      <c r="F743">
        <v>35.29</v>
      </c>
      <c r="G743">
        <v>81.23</v>
      </c>
      <c r="H743" s="4" t="s">
        <v>1719</v>
      </c>
      <c r="I743" t="s">
        <v>1720</v>
      </c>
      <c r="J743" t="s">
        <v>1721</v>
      </c>
      <c r="K743" t="s">
        <v>16</v>
      </c>
      <c r="L743">
        <v>22.53</v>
      </c>
    </row>
    <row r="744" spans="1:12" x14ac:dyDescent="0.3">
      <c r="A744" t="s">
        <v>66</v>
      </c>
      <c r="B744" t="s">
        <v>23</v>
      </c>
      <c r="C744">
        <v>1106</v>
      </c>
      <c r="D744" t="str">
        <f t="shared" si="11"/>
        <v>Medium</v>
      </c>
      <c r="E744">
        <v>16974</v>
      </c>
      <c r="F744">
        <v>122.91</v>
      </c>
      <c r="G744">
        <v>229.52</v>
      </c>
      <c r="H744" s="4" t="s">
        <v>570</v>
      </c>
      <c r="I744" t="s">
        <v>1722</v>
      </c>
      <c r="J744" t="s">
        <v>1723</v>
      </c>
      <c r="K744" t="s">
        <v>98</v>
      </c>
      <c r="L744">
        <v>84.28</v>
      </c>
    </row>
    <row r="745" spans="1:12" x14ac:dyDescent="0.3">
      <c r="A745" t="s">
        <v>119</v>
      </c>
      <c r="B745" t="s">
        <v>12</v>
      </c>
      <c r="C745">
        <v>7414</v>
      </c>
      <c r="D745" t="str">
        <f t="shared" si="11"/>
        <v>Full</v>
      </c>
      <c r="E745">
        <v>19887</v>
      </c>
      <c r="F745">
        <v>98.18</v>
      </c>
      <c r="G745">
        <v>125.92</v>
      </c>
      <c r="H745" s="4" t="s">
        <v>1085</v>
      </c>
      <c r="I745" t="s">
        <v>815</v>
      </c>
      <c r="J745" t="s">
        <v>1724</v>
      </c>
      <c r="K745" t="s">
        <v>27</v>
      </c>
      <c r="L745">
        <v>58.7</v>
      </c>
    </row>
    <row r="746" spans="1:12" x14ac:dyDescent="0.3">
      <c r="A746" t="s">
        <v>76</v>
      </c>
      <c r="B746" t="s">
        <v>36</v>
      </c>
      <c r="C746">
        <v>7647</v>
      </c>
      <c r="D746" t="str">
        <f t="shared" si="11"/>
        <v>Full</v>
      </c>
      <c r="E746">
        <v>1681</v>
      </c>
      <c r="F746">
        <v>52.59</v>
      </c>
      <c r="G746">
        <v>112.76</v>
      </c>
      <c r="H746" s="4" t="s">
        <v>452</v>
      </c>
      <c r="I746" t="s">
        <v>1725</v>
      </c>
      <c r="J746" t="s">
        <v>1726</v>
      </c>
      <c r="K746" t="s">
        <v>98</v>
      </c>
      <c r="L746">
        <v>31.71</v>
      </c>
    </row>
    <row r="747" spans="1:12" x14ac:dyDescent="0.3">
      <c r="A747" t="s">
        <v>22</v>
      </c>
      <c r="B747" t="s">
        <v>23</v>
      </c>
      <c r="C747">
        <v>8175</v>
      </c>
      <c r="D747" t="str">
        <f t="shared" si="11"/>
        <v>Full</v>
      </c>
      <c r="E747">
        <v>5297</v>
      </c>
      <c r="F747">
        <v>265.54000000000002</v>
      </c>
      <c r="G747">
        <v>568.23</v>
      </c>
      <c r="H747" s="4" t="s">
        <v>99</v>
      </c>
      <c r="I747" t="s">
        <v>1727</v>
      </c>
      <c r="J747" t="s">
        <v>1728</v>
      </c>
      <c r="K747" t="s">
        <v>40</v>
      </c>
      <c r="L747">
        <v>190.76</v>
      </c>
    </row>
    <row r="748" spans="1:12" x14ac:dyDescent="0.3">
      <c r="A748" t="s">
        <v>56</v>
      </c>
      <c r="B748" t="s">
        <v>32</v>
      </c>
      <c r="C748">
        <v>3894</v>
      </c>
      <c r="D748" t="str">
        <f t="shared" si="11"/>
        <v>Full</v>
      </c>
      <c r="E748">
        <v>10255</v>
      </c>
      <c r="F748">
        <v>208.76</v>
      </c>
      <c r="G748">
        <v>273.89999999999998</v>
      </c>
      <c r="H748" s="4" t="s">
        <v>670</v>
      </c>
      <c r="I748" t="s">
        <v>1504</v>
      </c>
      <c r="J748" t="s">
        <v>1729</v>
      </c>
      <c r="K748" t="s">
        <v>98</v>
      </c>
      <c r="L748">
        <v>96.56</v>
      </c>
    </row>
    <row r="749" spans="1:12" x14ac:dyDescent="0.3">
      <c r="A749" t="s">
        <v>49</v>
      </c>
      <c r="B749" t="s">
        <v>12</v>
      </c>
      <c r="C749">
        <v>7315</v>
      </c>
      <c r="D749" t="str">
        <f t="shared" si="11"/>
        <v>Full</v>
      </c>
      <c r="E749">
        <v>17178</v>
      </c>
      <c r="F749">
        <v>94.58</v>
      </c>
      <c r="G749">
        <v>139.25</v>
      </c>
      <c r="H749" s="4" t="s">
        <v>1730</v>
      </c>
      <c r="I749" t="s">
        <v>1184</v>
      </c>
      <c r="J749" t="s">
        <v>1731</v>
      </c>
      <c r="K749" t="s">
        <v>40</v>
      </c>
      <c r="L749">
        <v>51.34</v>
      </c>
    </row>
    <row r="750" spans="1:12" x14ac:dyDescent="0.3">
      <c r="A750" t="s">
        <v>56</v>
      </c>
      <c r="B750" t="s">
        <v>84</v>
      </c>
      <c r="C750">
        <v>8748</v>
      </c>
      <c r="D750" t="str">
        <f t="shared" si="11"/>
        <v>Full</v>
      </c>
      <c r="E750">
        <v>2047</v>
      </c>
      <c r="F750">
        <v>243.01</v>
      </c>
      <c r="G750">
        <v>398.31</v>
      </c>
      <c r="H750" s="4" t="s">
        <v>1004</v>
      </c>
      <c r="I750" t="s">
        <v>310</v>
      </c>
      <c r="J750" t="s">
        <v>1732</v>
      </c>
      <c r="K750" t="s">
        <v>27</v>
      </c>
      <c r="L750">
        <v>151.83000000000001</v>
      </c>
    </row>
    <row r="751" spans="1:12" x14ac:dyDescent="0.3">
      <c r="A751" t="s">
        <v>49</v>
      </c>
      <c r="B751" t="s">
        <v>23</v>
      </c>
      <c r="C751">
        <v>6075</v>
      </c>
      <c r="D751" t="str">
        <f t="shared" si="11"/>
        <v>Full</v>
      </c>
      <c r="E751">
        <v>12640</v>
      </c>
      <c r="F751">
        <v>231.97</v>
      </c>
      <c r="G751">
        <v>510.59</v>
      </c>
      <c r="H751" s="4" t="s">
        <v>1733</v>
      </c>
      <c r="I751" t="s">
        <v>1378</v>
      </c>
      <c r="J751" t="s">
        <v>1734</v>
      </c>
      <c r="K751" t="s">
        <v>16</v>
      </c>
      <c r="L751">
        <v>148.86000000000001</v>
      </c>
    </row>
    <row r="752" spans="1:12" x14ac:dyDescent="0.3">
      <c r="A752" t="s">
        <v>11</v>
      </c>
      <c r="B752" t="s">
        <v>12</v>
      </c>
      <c r="C752">
        <v>7673</v>
      </c>
      <c r="D752" t="str">
        <f t="shared" si="11"/>
        <v>Full</v>
      </c>
      <c r="E752">
        <v>15979</v>
      </c>
      <c r="F752">
        <v>288.98</v>
      </c>
      <c r="G752">
        <v>630.70000000000005</v>
      </c>
      <c r="H752" s="4" t="s">
        <v>1735</v>
      </c>
      <c r="I752" t="s">
        <v>1736</v>
      </c>
      <c r="J752" t="s">
        <v>1737</v>
      </c>
      <c r="K752" t="s">
        <v>27</v>
      </c>
      <c r="L752">
        <v>210.79</v>
      </c>
    </row>
    <row r="753" spans="1:12" x14ac:dyDescent="0.3">
      <c r="A753" t="s">
        <v>127</v>
      </c>
      <c r="B753" t="s">
        <v>32</v>
      </c>
      <c r="C753">
        <v>2227</v>
      </c>
      <c r="D753" t="str">
        <f t="shared" si="11"/>
        <v>Medium</v>
      </c>
      <c r="E753">
        <v>6473</v>
      </c>
      <c r="F753">
        <v>190.83</v>
      </c>
      <c r="G753">
        <v>445.04</v>
      </c>
      <c r="H753" s="4" t="s">
        <v>1738</v>
      </c>
      <c r="I753" t="s">
        <v>1739</v>
      </c>
      <c r="J753" t="s">
        <v>1740</v>
      </c>
      <c r="K753" t="s">
        <v>21</v>
      </c>
      <c r="L753">
        <v>134.49</v>
      </c>
    </row>
    <row r="754" spans="1:12" x14ac:dyDescent="0.3">
      <c r="A754" t="s">
        <v>49</v>
      </c>
      <c r="B754" t="s">
        <v>12</v>
      </c>
      <c r="C754">
        <v>3027</v>
      </c>
      <c r="D754" t="str">
        <f t="shared" si="11"/>
        <v>Full</v>
      </c>
      <c r="E754">
        <v>22203</v>
      </c>
      <c r="F754">
        <v>112.3</v>
      </c>
      <c r="G754">
        <v>254.35</v>
      </c>
      <c r="H754" s="4" t="s">
        <v>349</v>
      </c>
      <c r="I754" t="s">
        <v>1741</v>
      </c>
      <c r="J754" t="s">
        <v>1742</v>
      </c>
      <c r="K754" t="s">
        <v>21</v>
      </c>
      <c r="L754">
        <v>79.47</v>
      </c>
    </row>
    <row r="755" spans="1:12" x14ac:dyDescent="0.3">
      <c r="A755" t="s">
        <v>17</v>
      </c>
      <c r="B755" t="s">
        <v>84</v>
      </c>
      <c r="C755">
        <v>8260</v>
      </c>
      <c r="D755" t="str">
        <f t="shared" si="11"/>
        <v>Full</v>
      </c>
      <c r="E755">
        <v>12184</v>
      </c>
      <c r="F755">
        <v>89.59</v>
      </c>
      <c r="G755">
        <v>127.45</v>
      </c>
      <c r="H755" s="4" t="s">
        <v>1743</v>
      </c>
      <c r="I755" t="s">
        <v>833</v>
      </c>
      <c r="J755" t="s">
        <v>1744</v>
      </c>
      <c r="K755" t="s">
        <v>40</v>
      </c>
      <c r="L755">
        <v>58.39</v>
      </c>
    </row>
    <row r="756" spans="1:12" x14ac:dyDescent="0.3">
      <c r="A756" t="s">
        <v>80</v>
      </c>
      <c r="B756" t="s">
        <v>84</v>
      </c>
      <c r="C756">
        <v>9177</v>
      </c>
      <c r="D756" t="str">
        <f t="shared" si="11"/>
        <v>Full</v>
      </c>
      <c r="E756">
        <v>14818</v>
      </c>
      <c r="F756">
        <v>237.23</v>
      </c>
      <c r="G756">
        <v>327.23</v>
      </c>
      <c r="H756" s="4" t="s">
        <v>801</v>
      </c>
      <c r="I756" t="s">
        <v>1113</v>
      </c>
      <c r="J756" t="s">
        <v>1745</v>
      </c>
      <c r="K756" t="s">
        <v>21</v>
      </c>
      <c r="L756">
        <v>185.21</v>
      </c>
    </row>
    <row r="757" spans="1:12" x14ac:dyDescent="0.3">
      <c r="A757" t="s">
        <v>119</v>
      </c>
      <c r="B757" t="s">
        <v>23</v>
      </c>
      <c r="C757">
        <v>987</v>
      </c>
      <c r="D757" t="str">
        <f t="shared" si="11"/>
        <v>Low</v>
      </c>
      <c r="E757">
        <v>15502</v>
      </c>
      <c r="F757">
        <v>47.95</v>
      </c>
      <c r="G757">
        <v>58.16</v>
      </c>
      <c r="H757" s="4" t="s">
        <v>1118</v>
      </c>
      <c r="I757" t="s">
        <v>1746</v>
      </c>
      <c r="J757" t="s">
        <v>1747</v>
      </c>
      <c r="K757" t="s">
        <v>40</v>
      </c>
      <c r="L757">
        <v>25.22</v>
      </c>
    </row>
    <row r="758" spans="1:12" x14ac:dyDescent="0.3">
      <c r="A758" t="s">
        <v>56</v>
      </c>
      <c r="B758" t="s">
        <v>36</v>
      </c>
      <c r="C758">
        <v>1507</v>
      </c>
      <c r="D758" t="str">
        <f t="shared" si="11"/>
        <v>Medium</v>
      </c>
      <c r="E758">
        <v>13886</v>
      </c>
      <c r="F758">
        <v>228.96</v>
      </c>
      <c r="G758">
        <v>471.25</v>
      </c>
      <c r="H758" s="4" t="s">
        <v>1100</v>
      </c>
      <c r="I758" t="s">
        <v>1748</v>
      </c>
      <c r="J758" t="s">
        <v>1749</v>
      </c>
      <c r="K758" t="s">
        <v>27</v>
      </c>
      <c r="L758">
        <v>181.13</v>
      </c>
    </row>
    <row r="759" spans="1:12" x14ac:dyDescent="0.3">
      <c r="A759" t="s">
        <v>119</v>
      </c>
      <c r="B759" t="s">
        <v>23</v>
      </c>
      <c r="C759">
        <v>7369</v>
      </c>
      <c r="D759" t="str">
        <f t="shared" si="11"/>
        <v>Full</v>
      </c>
      <c r="E759">
        <v>14172</v>
      </c>
      <c r="F759">
        <v>266.31</v>
      </c>
      <c r="G759">
        <v>562.19000000000005</v>
      </c>
      <c r="H759" s="4" t="s">
        <v>260</v>
      </c>
      <c r="I759" t="s">
        <v>1750</v>
      </c>
      <c r="J759" t="s">
        <v>1751</v>
      </c>
      <c r="K759" t="s">
        <v>27</v>
      </c>
      <c r="L759">
        <v>194.62</v>
      </c>
    </row>
    <row r="760" spans="1:12" x14ac:dyDescent="0.3">
      <c r="A760" t="s">
        <v>119</v>
      </c>
      <c r="B760" t="s">
        <v>32</v>
      </c>
      <c r="C760">
        <v>2906</v>
      </c>
      <c r="D760" t="str">
        <f t="shared" si="11"/>
        <v>Medium</v>
      </c>
      <c r="E760">
        <v>23947</v>
      </c>
      <c r="F760">
        <v>124.16</v>
      </c>
      <c r="G760">
        <v>252.92</v>
      </c>
      <c r="H760" s="4" t="s">
        <v>1752</v>
      </c>
      <c r="I760" t="s">
        <v>1753</v>
      </c>
      <c r="J760" t="s">
        <v>1754</v>
      </c>
      <c r="K760" t="s">
        <v>21</v>
      </c>
      <c r="L760">
        <v>84.3</v>
      </c>
    </row>
    <row r="761" spans="1:12" x14ac:dyDescent="0.3">
      <c r="A761" t="s">
        <v>299</v>
      </c>
      <c r="B761" t="s">
        <v>84</v>
      </c>
      <c r="C761">
        <v>5440</v>
      </c>
      <c r="D761" t="str">
        <f t="shared" si="11"/>
        <v>Full</v>
      </c>
      <c r="E761">
        <v>3761</v>
      </c>
      <c r="F761">
        <v>15.91</v>
      </c>
      <c r="G761">
        <v>26.01</v>
      </c>
      <c r="H761" s="4" t="s">
        <v>499</v>
      </c>
      <c r="I761" t="s">
        <v>683</v>
      </c>
      <c r="J761" t="s">
        <v>1755</v>
      </c>
      <c r="K761" t="s">
        <v>40</v>
      </c>
      <c r="L761">
        <v>7.72</v>
      </c>
    </row>
    <row r="762" spans="1:12" x14ac:dyDescent="0.3">
      <c r="A762" t="s">
        <v>119</v>
      </c>
      <c r="B762" t="s">
        <v>32</v>
      </c>
      <c r="C762">
        <v>5615</v>
      </c>
      <c r="D762" t="str">
        <f t="shared" si="11"/>
        <v>Full</v>
      </c>
      <c r="E762">
        <v>18083</v>
      </c>
      <c r="F762">
        <v>105.51</v>
      </c>
      <c r="G762">
        <v>213.8</v>
      </c>
      <c r="H762" s="4" t="s">
        <v>1756</v>
      </c>
      <c r="I762" t="s">
        <v>1757</v>
      </c>
      <c r="J762" t="s">
        <v>1758</v>
      </c>
      <c r="K762" t="s">
        <v>16</v>
      </c>
      <c r="L762">
        <v>53.12</v>
      </c>
    </row>
    <row r="763" spans="1:12" x14ac:dyDescent="0.3">
      <c r="A763" t="s">
        <v>31</v>
      </c>
      <c r="B763" t="s">
        <v>36</v>
      </c>
      <c r="C763">
        <v>8778</v>
      </c>
      <c r="D763" t="str">
        <f t="shared" si="11"/>
        <v>Full</v>
      </c>
      <c r="E763">
        <v>4618</v>
      </c>
      <c r="F763">
        <v>220.94</v>
      </c>
      <c r="G763">
        <v>506.85</v>
      </c>
      <c r="H763" s="4" t="s">
        <v>1466</v>
      </c>
      <c r="I763" t="s">
        <v>1759</v>
      </c>
      <c r="J763" t="s">
        <v>1760</v>
      </c>
      <c r="K763" t="s">
        <v>40</v>
      </c>
      <c r="L763">
        <v>99.32</v>
      </c>
    </row>
    <row r="764" spans="1:12" x14ac:dyDescent="0.3">
      <c r="A764" t="s">
        <v>11</v>
      </c>
      <c r="B764" t="s">
        <v>36</v>
      </c>
      <c r="C764">
        <v>5381</v>
      </c>
      <c r="D764" t="str">
        <f t="shared" si="11"/>
        <v>Full</v>
      </c>
      <c r="E764">
        <v>19757</v>
      </c>
      <c r="F764">
        <v>222.37</v>
      </c>
      <c r="G764">
        <v>397.84</v>
      </c>
      <c r="H764" s="4" t="s">
        <v>1309</v>
      </c>
      <c r="I764" t="s">
        <v>1761</v>
      </c>
      <c r="J764" t="s">
        <v>1762</v>
      </c>
      <c r="K764" t="s">
        <v>16</v>
      </c>
      <c r="L764">
        <v>164.06</v>
      </c>
    </row>
    <row r="765" spans="1:12" x14ac:dyDescent="0.3">
      <c r="A765" t="s">
        <v>80</v>
      </c>
      <c r="B765" t="s">
        <v>23</v>
      </c>
      <c r="C765">
        <v>5402</v>
      </c>
      <c r="D765" t="str">
        <f t="shared" si="11"/>
        <v>Full</v>
      </c>
      <c r="E765">
        <v>10323</v>
      </c>
      <c r="F765">
        <v>201.74</v>
      </c>
      <c r="G765">
        <v>455.85</v>
      </c>
      <c r="H765" s="4" t="s">
        <v>335</v>
      </c>
      <c r="I765" t="s">
        <v>229</v>
      </c>
      <c r="J765" t="s">
        <v>1763</v>
      </c>
      <c r="K765" t="s">
        <v>21</v>
      </c>
      <c r="L765">
        <v>122.63</v>
      </c>
    </row>
    <row r="766" spans="1:12" x14ac:dyDescent="0.3">
      <c r="A766" t="s">
        <v>80</v>
      </c>
      <c r="B766" t="s">
        <v>12</v>
      </c>
      <c r="C766">
        <v>5871</v>
      </c>
      <c r="D766" t="str">
        <f t="shared" si="11"/>
        <v>Full</v>
      </c>
      <c r="E766">
        <v>17923</v>
      </c>
      <c r="F766">
        <v>176.8</v>
      </c>
      <c r="G766">
        <v>401.28</v>
      </c>
      <c r="H766" s="4" t="s">
        <v>1236</v>
      </c>
      <c r="I766" t="s">
        <v>1764</v>
      </c>
      <c r="J766" t="s">
        <v>1765</v>
      </c>
      <c r="K766" t="s">
        <v>98</v>
      </c>
      <c r="L766">
        <v>121.05</v>
      </c>
    </row>
    <row r="767" spans="1:12" x14ac:dyDescent="0.3">
      <c r="A767" t="s">
        <v>200</v>
      </c>
      <c r="B767" t="s">
        <v>12</v>
      </c>
      <c r="C767">
        <v>2011</v>
      </c>
      <c r="D767" t="str">
        <f t="shared" si="11"/>
        <v>Medium</v>
      </c>
      <c r="E767">
        <v>3037</v>
      </c>
      <c r="F767">
        <v>130.34</v>
      </c>
      <c r="G767">
        <v>178.45</v>
      </c>
      <c r="H767" s="4" t="s">
        <v>444</v>
      </c>
      <c r="I767" t="s">
        <v>238</v>
      </c>
      <c r="J767" t="s">
        <v>1766</v>
      </c>
      <c r="K767" t="s">
        <v>40</v>
      </c>
      <c r="L767">
        <v>87.42</v>
      </c>
    </row>
    <row r="768" spans="1:12" x14ac:dyDescent="0.3">
      <c r="A768" t="s">
        <v>299</v>
      </c>
      <c r="B768" t="s">
        <v>32</v>
      </c>
      <c r="C768">
        <v>9658</v>
      </c>
      <c r="D768" t="str">
        <f t="shared" si="11"/>
        <v>Full</v>
      </c>
      <c r="E768">
        <v>18004</v>
      </c>
      <c r="F768">
        <v>234.75</v>
      </c>
      <c r="G768">
        <v>547.82000000000005</v>
      </c>
      <c r="H768" s="4" t="s">
        <v>1097</v>
      </c>
      <c r="I768" t="s">
        <v>571</v>
      </c>
      <c r="J768" t="s">
        <v>1767</v>
      </c>
      <c r="K768" t="s">
        <v>21</v>
      </c>
      <c r="L768">
        <v>187.47</v>
      </c>
    </row>
    <row r="769" spans="1:12" x14ac:dyDescent="0.3">
      <c r="A769" t="s">
        <v>49</v>
      </c>
      <c r="B769" t="s">
        <v>36</v>
      </c>
      <c r="C769">
        <v>3168</v>
      </c>
      <c r="D769" t="str">
        <f t="shared" si="11"/>
        <v>Full</v>
      </c>
      <c r="E769">
        <v>5729</v>
      </c>
      <c r="F769">
        <v>154.21</v>
      </c>
      <c r="G769">
        <v>282.23</v>
      </c>
      <c r="H769" s="4" t="s">
        <v>760</v>
      </c>
      <c r="I769" t="s">
        <v>1746</v>
      </c>
      <c r="J769" t="s">
        <v>1768</v>
      </c>
      <c r="K769" t="s">
        <v>16</v>
      </c>
      <c r="L769">
        <v>68.97</v>
      </c>
    </row>
    <row r="770" spans="1:12" x14ac:dyDescent="0.3">
      <c r="A770" t="s">
        <v>88</v>
      </c>
      <c r="B770" t="s">
        <v>36</v>
      </c>
      <c r="C770">
        <v>8255</v>
      </c>
      <c r="D770" t="str">
        <f t="shared" si="11"/>
        <v>Full</v>
      </c>
      <c r="E770">
        <v>2068</v>
      </c>
      <c r="F770">
        <v>225.22</v>
      </c>
      <c r="G770">
        <v>546.66999999999996</v>
      </c>
      <c r="H770" s="4" t="s">
        <v>915</v>
      </c>
      <c r="I770" t="s">
        <v>1056</v>
      </c>
      <c r="J770" t="s">
        <v>1769</v>
      </c>
      <c r="K770" t="s">
        <v>21</v>
      </c>
      <c r="L770">
        <v>100.03</v>
      </c>
    </row>
    <row r="771" spans="1:12" x14ac:dyDescent="0.3">
      <c r="A771" t="s">
        <v>76</v>
      </c>
      <c r="B771" t="s">
        <v>32</v>
      </c>
      <c r="C771">
        <v>5244</v>
      </c>
      <c r="D771" t="str">
        <f t="shared" ref="D771:D834" si="12">IF(C771&lt;1000,"Low",IF(C771&lt;=3000,"Medium","Full"))</f>
        <v>Full</v>
      </c>
      <c r="E771">
        <v>2319</v>
      </c>
      <c r="F771">
        <v>159.22</v>
      </c>
      <c r="G771">
        <v>215.43</v>
      </c>
      <c r="H771" s="4" t="s">
        <v>1623</v>
      </c>
      <c r="I771" t="s">
        <v>1501</v>
      </c>
      <c r="J771" t="s">
        <v>1770</v>
      </c>
      <c r="K771" t="s">
        <v>40</v>
      </c>
      <c r="L771">
        <v>94.64</v>
      </c>
    </row>
    <row r="772" spans="1:12" x14ac:dyDescent="0.3">
      <c r="A772" t="s">
        <v>123</v>
      </c>
      <c r="B772" t="s">
        <v>84</v>
      </c>
      <c r="C772">
        <v>7410</v>
      </c>
      <c r="D772" t="str">
        <f t="shared" si="12"/>
        <v>Full</v>
      </c>
      <c r="E772">
        <v>2594</v>
      </c>
      <c r="F772">
        <v>281.36</v>
      </c>
      <c r="G772">
        <v>449.25</v>
      </c>
      <c r="H772" s="4" t="s">
        <v>436</v>
      </c>
      <c r="I772" t="s">
        <v>1050</v>
      </c>
      <c r="J772" t="s">
        <v>1771</v>
      </c>
      <c r="K772" t="s">
        <v>21</v>
      </c>
      <c r="L772">
        <v>112.78</v>
      </c>
    </row>
    <row r="773" spans="1:12" x14ac:dyDescent="0.3">
      <c r="A773" t="s">
        <v>66</v>
      </c>
      <c r="B773" t="s">
        <v>23</v>
      </c>
      <c r="C773">
        <v>1606</v>
      </c>
      <c r="D773" t="str">
        <f t="shared" si="12"/>
        <v>Medium</v>
      </c>
      <c r="E773">
        <v>2464</v>
      </c>
      <c r="F773">
        <v>128.18</v>
      </c>
      <c r="G773">
        <v>249.31</v>
      </c>
      <c r="H773" s="4" t="s">
        <v>792</v>
      </c>
      <c r="I773" t="s">
        <v>1772</v>
      </c>
      <c r="J773" t="s">
        <v>1773</v>
      </c>
      <c r="K773" t="s">
        <v>21</v>
      </c>
      <c r="L773">
        <v>75.64</v>
      </c>
    </row>
    <row r="774" spans="1:12" x14ac:dyDescent="0.3">
      <c r="A774" t="s">
        <v>176</v>
      </c>
      <c r="B774" t="s">
        <v>84</v>
      </c>
      <c r="C774">
        <v>2769</v>
      </c>
      <c r="D774" t="str">
        <f t="shared" si="12"/>
        <v>Medium</v>
      </c>
      <c r="E774">
        <v>17540</v>
      </c>
      <c r="F774">
        <v>192.76</v>
      </c>
      <c r="G774">
        <v>422.18</v>
      </c>
      <c r="H774" s="4" t="s">
        <v>918</v>
      </c>
      <c r="I774" t="s">
        <v>794</v>
      </c>
      <c r="J774" t="s">
        <v>1774</v>
      </c>
      <c r="K774" t="s">
        <v>40</v>
      </c>
      <c r="L774">
        <v>83.99</v>
      </c>
    </row>
    <row r="775" spans="1:12" x14ac:dyDescent="0.3">
      <c r="A775" t="s">
        <v>176</v>
      </c>
      <c r="B775" t="s">
        <v>32</v>
      </c>
      <c r="C775">
        <v>7211</v>
      </c>
      <c r="D775" t="str">
        <f t="shared" si="12"/>
        <v>Full</v>
      </c>
      <c r="E775">
        <v>13688</v>
      </c>
      <c r="F775">
        <v>73.680000000000007</v>
      </c>
      <c r="G775">
        <v>126.29</v>
      </c>
      <c r="H775" s="4" t="s">
        <v>344</v>
      </c>
      <c r="I775" t="s">
        <v>241</v>
      </c>
      <c r="J775" t="s">
        <v>1775</v>
      </c>
      <c r="K775" t="s">
        <v>21</v>
      </c>
      <c r="L775">
        <v>51.16</v>
      </c>
    </row>
    <row r="776" spans="1:12" x14ac:dyDescent="0.3">
      <c r="A776" t="s">
        <v>41</v>
      </c>
      <c r="B776" t="s">
        <v>84</v>
      </c>
      <c r="C776">
        <v>906</v>
      </c>
      <c r="D776" t="str">
        <f t="shared" si="12"/>
        <v>Low</v>
      </c>
      <c r="E776">
        <v>19743</v>
      </c>
      <c r="F776">
        <v>190.88</v>
      </c>
      <c r="G776">
        <v>420.52</v>
      </c>
      <c r="H776" s="4" t="s">
        <v>1314</v>
      </c>
      <c r="I776" t="s">
        <v>1776</v>
      </c>
      <c r="J776" t="s">
        <v>1777</v>
      </c>
      <c r="K776" t="s">
        <v>27</v>
      </c>
      <c r="L776">
        <v>125.52</v>
      </c>
    </row>
    <row r="777" spans="1:12" x14ac:dyDescent="0.3">
      <c r="A777" t="s">
        <v>41</v>
      </c>
      <c r="B777" t="s">
        <v>84</v>
      </c>
      <c r="C777">
        <v>9377</v>
      </c>
      <c r="D777" t="str">
        <f t="shared" si="12"/>
        <v>Full</v>
      </c>
      <c r="E777">
        <v>19902</v>
      </c>
      <c r="F777">
        <v>228.5</v>
      </c>
      <c r="G777">
        <v>558.55999999999995</v>
      </c>
      <c r="H777" s="4" t="s">
        <v>964</v>
      </c>
      <c r="I777" t="s">
        <v>1575</v>
      </c>
      <c r="J777" t="s">
        <v>1778</v>
      </c>
      <c r="K777" t="s">
        <v>16</v>
      </c>
      <c r="L777">
        <v>173.37</v>
      </c>
    </row>
    <row r="778" spans="1:12" x14ac:dyDescent="0.3">
      <c r="A778" t="s">
        <v>11</v>
      </c>
      <c r="B778" t="s">
        <v>32</v>
      </c>
      <c r="C778">
        <v>3444</v>
      </c>
      <c r="D778" t="str">
        <f t="shared" si="12"/>
        <v>Full</v>
      </c>
      <c r="E778">
        <v>1621</v>
      </c>
      <c r="F778">
        <v>86.11</v>
      </c>
      <c r="G778">
        <v>126.37</v>
      </c>
      <c r="H778" s="4" t="s">
        <v>102</v>
      </c>
      <c r="I778" t="s">
        <v>761</v>
      </c>
      <c r="J778" t="s">
        <v>1779</v>
      </c>
      <c r="K778" t="s">
        <v>16</v>
      </c>
      <c r="L778">
        <v>55.35</v>
      </c>
    </row>
    <row r="779" spans="1:12" x14ac:dyDescent="0.3">
      <c r="A779" t="s">
        <v>299</v>
      </c>
      <c r="B779" t="s">
        <v>32</v>
      </c>
      <c r="C779">
        <v>1237</v>
      </c>
      <c r="D779" t="str">
        <f t="shared" si="12"/>
        <v>Medium</v>
      </c>
      <c r="E779">
        <v>17104</v>
      </c>
      <c r="F779">
        <v>259.27999999999997</v>
      </c>
      <c r="G779">
        <v>318.98</v>
      </c>
      <c r="H779" s="4" t="s">
        <v>1780</v>
      </c>
      <c r="I779" t="s">
        <v>1602</v>
      </c>
      <c r="J779" t="s">
        <v>1781</v>
      </c>
      <c r="K779" t="s">
        <v>27</v>
      </c>
      <c r="L779">
        <v>192.87</v>
      </c>
    </row>
    <row r="780" spans="1:12" x14ac:dyDescent="0.3">
      <c r="A780" t="s">
        <v>45</v>
      </c>
      <c r="B780" t="s">
        <v>36</v>
      </c>
      <c r="C780">
        <v>4713</v>
      </c>
      <c r="D780" t="str">
        <f t="shared" si="12"/>
        <v>Full</v>
      </c>
      <c r="E780">
        <v>3982</v>
      </c>
      <c r="F780">
        <v>38.82</v>
      </c>
      <c r="G780">
        <v>51.6</v>
      </c>
      <c r="H780" s="4" t="s">
        <v>1782</v>
      </c>
      <c r="I780" t="s">
        <v>297</v>
      </c>
      <c r="J780" t="s">
        <v>1783</v>
      </c>
      <c r="K780" t="s">
        <v>98</v>
      </c>
      <c r="L780">
        <v>19.5</v>
      </c>
    </row>
    <row r="781" spans="1:12" x14ac:dyDescent="0.3">
      <c r="A781" t="s">
        <v>41</v>
      </c>
      <c r="B781" t="s">
        <v>84</v>
      </c>
      <c r="C781">
        <v>5526</v>
      </c>
      <c r="D781" t="str">
        <f t="shared" si="12"/>
        <v>Full</v>
      </c>
      <c r="E781">
        <v>14345</v>
      </c>
      <c r="F781">
        <v>205.19</v>
      </c>
      <c r="G781">
        <v>261.94</v>
      </c>
      <c r="H781" s="4" t="s">
        <v>1784</v>
      </c>
      <c r="I781" t="s">
        <v>946</v>
      </c>
      <c r="J781" t="s">
        <v>1785</v>
      </c>
      <c r="K781" t="s">
        <v>27</v>
      </c>
      <c r="L781">
        <v>106.54</v>
      </c>
    </row>
    <row r="782" spans="1:12" x14ac:dyDescent="0.3">
      <c r="A782" t="s">
        <v>11</v>
      </c>
      <c r="B782" t="s">
        <v>23</v>
      </c>
      <c r="C782">
        <v>2834</v>
      </c>
      <c r="D782" t="str">
        <f t="shared" si="12"/>
        <v>Medium</v>
      </c>
      <c r="E782">
        <v>14527</v>
      </c>
      <c r="F782">
        <v>268.44</v>
      </c>
      <c r="G782">
        <v>412.14</v>
      </c>
      <c r="H782" s="4" t="s">
        <v>1645</v>
      </c>
      <c r="I782" t="s">
        <v>57</v>
      </c>
      <c r="J782" t="s">
        <v>1786</v>
      </c>
      <c r="K782" t="s">
        <v>98</v>
      </c>
      <c r="L782">
        <v>188.14</v>
      </c>
    </row>
    <row r="783" spans="1:12" x14ac:dyDescent="0.3">
      <c r="A783" t="s">
        <v>22</v>
      </c>
      <c r="B783" t="s">
        <v>84</v>
      </c>
      <c r="C783">
        <v>8576</v>
      </c>
      <c r="D783" t="str">
        <f t="shared" si="12"/>
        <v>Full</v>
      </c>
      <c r="E783">
        <v>17666</v>
      </c>
      <c r="F783">
        <v>226.96</v>
      </c>
      <c r="G783">
        <v>385.96</v>
      </c>
      <c r="H783" s="4" t="s">
        <v>207</v>
      </c>
      <c r="I783" t="s">
        <v>1787</v>
      </c>
      <c r="J783" t="s">
        <v>1788</v>
      </c>
      <c r="K783" t="s">
        <v>40</v>
      </c>
      <c r="L783">
        <v>132.97999999999999</v>
      </c>
    </row>
    <row r="784" spans="1:12" x14ac:dyDescent="0.3">
      <c r="A784" t="s">
        <v>200</v>
      </c>
      <c r="B784" t="s">
        <v>12</v>
      </c>
      <c r="C784">
        <v>8432</v>
      </c>
      <c r="D784" t="str">
        <f t="shared" si="12"/>
        <v>Full</v>
      </c>
      <c r="E784">
        <v>1947</v>
      </c>
      <c r="F784">
        <v>125.21</v>
      </c>
      <c r="G784">
        <v>188.3</v>
      </c>
      <c r="H784" s="4" t="s">
        <v>1789</v>
      </c>
      <c r="I784" t="s">
        <v>1596</v>
      </c>
      <c r="J784" t="s">
        <v>1790</v>
      </c>
      <c r="K784" t="s">
        <v>16</v>
      </c>
      <c r="L784">
        <v>83.9</v>
      </c>
    </row>
    <row r="785" spans="1:12" x14ac:dyDescent="0.3">
      <c r="A785" t="s">
        <v>80</v>
      </c>
      <c r="B785" t="s">
        <v>32</v>
      </c>
      <c r="C785">
        <v>2557</v>
      </c>
      <c r="D785" t="str">
        <f t="shared" si="12"/>
        <v>Medium</v>
      </c>
      <c r="E785">
        <v>10981</v>
      </c>
      <c r="F785">
        <v>172.63</v>
      </c>
      <c r="G785">
        <v>307.24</v>
      </c>
      <c r="H785" s="4" t="s">
        <v>1209</v>
      </c>
      <c r="I785" t="s">
        <v>1791</v>
      </c>
      <c r="J785" t="s">
        <v>1792</v>
      </c>
      <c r="K785" t="s">
        <v>98</v>
      </c>
      <c r="L785">
        <v>94.83</v>
      </c>
    </row>
    <row r="786" spans="1:12" x14ac:dyDescent="0.3">
      <c r="A786" t="s">
        <v>56</v>
      </c>
      <c r="B786" t="s">
        <v>84</v>
      </c>
      <c r="C786">
        <v>9306</v>
      </c>
      <c r="D786" t="str">
        <f t="shared" si="12"/>
        <v>Full</v>
      </c>
      <c r="E786">
        <v>14885</v>
      </c>
      <c r="F786">
        <v>288.60000000000002</v>
      </c>
      <c r="G786">
        <v>554.6</v>
      </c>
      <c r="H786" s="4" t="s">
        <v>763</v>
      </c>
      <c r="I786" t="s">
        <v>144</v>
      </c>
      <c r="J786" t="s">
        <v>1793</v>
      </c>
      <c r="K786" t="s">
        <v>16</v>
      </c>
      <c r="L786">
        <v>148.83000000000001</v>
      </c>
    </row>
    <row r="787" spans="1:12" x14ac:dyDescent="0.3">
      <c r="A787" t="s">
        <v>56</v>
      </c>
      <c r="B787" t="s">
        <v>12</v>
      </c>
      <c r="C787">
        <v>1485</v>
      </c>
      <c r="D787" t="str">
        <f t="shared" si="12"/>
        <v>Medium</v>
      </c>
      <c r="E787">
        <v>16800</v>
      </c>
      <c r="F787">
        <v>85.62</v>
      </c>
      <c r="G787">
        <v>130.66999999999999</v>
      </c>
      <c r="H787" s="4" t="s">
        <v>1741</v>
      </c>
      <c r="I787" t="s">
        <v>610</v>
      </c>
      <c r="J787" t="s">
        <v>1794</v>
      </c>
      <c r="K787" t="s">
        <v>98</v>
      </c>
      <c r="L787">
        <v>54.29</v>
      </c>
    </row>
    <row r="788" spans="1:12" x14ac:dyDescent="0.3">
      <c r="A788" t="s">
        <v>119</v>
      </c>
      <c r="B788" t="s">
        <v>23</v>
      </c>
      <c r="C788">
        <v>1245</v>
      </c>
      <c r="D788" t="str">
        <f t="shared" si="12"/>
        <v>Medium</v>
      </c>
      <c r="E788">
        <v>6289</v>
      </c>
      <c r="F788">
        <v>223.06</v>
      </c>
      <c r="G788">
        <v>430.95</v>
      </c>
      <c r="H788" s="4" t="s">
        <v>156</v>
      </c>
      <c r="I788" t="s">
        <v>1795</v>
      </c>
      <c r="J788" t="s">
        <v>1796</v>
      </c>
      <c r="K788" t="s">
        <v>27</v>
      </c>
      <c r="L788">
        <v>163.32</v>
      </c>
    </row>
    <row r="789" spans="1:12" x14ac:dyDescent="0.3">
      <c r="A789" t="s">
        <v>66</v>
      </c>
      <c r="B789" t="s">
        <v>23</v>
      </c>
      <c r="C789">
        <v>7577</v>
      </c>
      <c r="D789" t="str">
        <f t="shared" si="12"/>
        <v>Full</v>
      </c>
      <c r="E789">
        <v>7909</v>
      </c>
      <c r="F789">
        <v>185.08</v>
      </c>
      <c r="G789">
        <v>452.45</v>
      </c>
      <c r="H789" s="4" t="s">
        <v>1062</v>
      </c>
      <c r="I789" t="s">
        <v>1797</v>
      </c>
      <c r="J789" t="s">
        <v>1798</v>
      </c>
      <c r="K789" t="s">
        <v>40</v>
      </c>
      <c r="L789">
        <v>146.56</v>
      </c>
    </row>
    <row r="790" spans="1:12" x14ac:dyDescent="0.3">
      <c r="A790" t="s">
        <v>143</v>
      </c>
      <c r="B790" t="s">
        <v>23</v>
      </c>
      <c r="C790">
        <v>4529</v>
      </c>
      <c r="D790" t="str">
        <f t="shared" si="12"/>
        <v>Full</v>
      </c>
      <c r="E790">
        <v>22701</v>
      </c>
      <c r="F790">
        <v>294.99</v>
      </c>
      <c r="G790">
        <v>485</v>
      </c>
      <c r="H790" s="4" t="s">
        <v>28</v>
      </c>
      <c r="I790" t="s">
        <v>1799</v>
      </c>
      <c r="J790" t="s">
        <v>1800</v>
      </c>
      <c r="K790" t="s">
        <v>27</v>
      </c>
      <c r="L790">
        <v>225.85</v>
      </c>
    </row>
    <row r="791" spans="1:12" x14ac:dyDescent="0.3">
      <c r="A791" t="s">
        <v>123</v>
      </c>
      <c r="B791" t="s">
        <v>12</v>
      </c>
      <c r="C791">
        <v>8307</v>
      </c>
      <c r="D791" t="str">
        <f t="shared" si="12"/>
        <v>Full</v>
      </c>
      <c r="E791">
        <v>1140</v>
      </c>
      <c r="F791">
        <v>270.93</v>
      </c>
      <c r="G791">
        <v>562.04999999999995</v>
      </c>
      <c r="H791" s="4" t="s">
        <v>1361</v>
      </c>
      <c r="I791" t="s">
        <v>1801</v>
      </c>
      <c r="J791" t="s">
        <v>1802</v>
      </c>
      <c r="K791" t="s">
        <v>21</v>
      </c>
      <c r="L791">
        <v>166.69</v>
      </c>
    </row>
    <row r="792" spans="1:12" x14ac:dyDescent="0.3">
      <c r="A792" t="s">
        <v>41</v>
      </c>
      <c r="B792" t="s">
        <v>32</v>
      </c>
      <c r="C792">
        <v>1007</v>
      </c>
      <c r="D792" t="str">
        <f t="shared" si="12"/>
        <v>Medium</v>
      </c>
      <c r="E792">
        <v>23007</v>
      </c>
      <c r="F792">
        <v>136.33000000000001</v>
      </c>
      <c r="G792">
        <v>185.47</v>
      </c>
      <c r="H792" s="4" t="s">
        <v>1803</v>
      </c>
      <c r="I792" t="s">
        <v>1144</v>
      </c>
      <c r="J792" t="s">
        <v>1804</v>
      </c>
      <c r="K792" t="s">
        <v>21</v>
      </c>
      <c r="L792">
        <v>64.19</v>
      </c>
    </row>
    <row r="793" spans="1:12" x14ac:dyDescent="0.3">
      <c r="A793" t="s">
        <v>17</v>
      </c>
      <c r="B793" t="s">
        <v>12</v>
      </c>
      <c r="C793">
        <v>8080</v>
      </c>
      <c r="D793" t="str">
        <f t="shared" si="12"/>
        <v>Full</v>
      </c>
      <c r="E793">
        <v>13139</v>
      </c>
      <c r="F793">
        <v>281.19</v>
      </c>
      <c r="G793">
        <v>499.94</v>
      </c>
      <c r="H793" s="4" t="s">
        <v>1064</v>
      </c>
      <c r="I793" t="s">
        <v>484</v>
      </c>
      <c r="J793" t="s">
        <v>1805</v>
      </c>
      <c r="K793" t="s">
        <v>40</v>
      </c>
      <c r="L793">
        <v>134.02000000000001</v>
      </c>
    </row>
    <row r="794" spans="1:12" x14ac:dyDescent="0.3">
      <c r="A794" t="s">
        <v>176</v>
      </c>
      <c r="B794" t="s">
        <v>23</v>
      </c>
      <c r="C794">
        <v>4123</v>
      </c>
      <c r="D794" t="str">
        <f t="shared" si="12"/>
        <v>Full</v>
      </c>
      <c r="E794">
        <v>8676</v>
      </c>
      <c r="F794">
        <v>294.14</v>
      </c>
      <c r="G794">
        <v>722.84</v>
      </c>
      <c r="H794" s="4" t="s">
        <v>1380</v>
      </c>
      <c r="I794" t="s">
        <v>323</v>
      </c>
      <c r="J794" t="s">
        <v>1806</v>
      </c>
      <c r="K794" t="s">
        <v>16</v>
      </c>
      <c r="L794">
        <v>142.26</v>
      </c>
    </row>
    <row r="795" spans="1:12" x14ac:dyDescent="0.3">
      <c r="A795" t="s">
        <v>88</v>
      </c>
      <c r="B795" t="s">
        <v>36</v>
      </c>
      <c r="C795">
        <v>2317</v>
      </c>
      <c r="D795" t="str">
        <f t="shared" si="12"/>
        <v>Medium</v>
      </c>
      <c r="E795">
        <v>10088</v>
      </c>
      <c r="F795">
        <v>172.89</v>
      </c>
      <c r="G795">
        <v>318.5</v>
      </c>
      <c r="H795" s="4" t="s">
        <v>1807</v>
      </c>
      <c r="I795" t="s">
        <v>1808</v>
      </c>
      <c r="J795" t="s">
        <v>1809</v>
      </c>
      <c r="K795" t="s">
        <v>16</v>
      </c>
      <c r="L795">
        <v>115.64</v>
      </c>
    </row>
    <row r="796" spans="1:12" x14ac:dyDescent="0.3">
      <c r="A796" t="s">
        <v>176</v>
      </c>
      <c r="B796" t="s">
        <v>32</v>
      </c>
      <c r="C796">
        <v>3375</v>
      </c>
      <c r="D796" t="str">
        <f t="shared" si="12"/>
        <v>Full</v>
      </c>
      <c r="E796">
        <v>3141</v>
      </c>
      <c r="F796">
        <v>178.51</v>
      </c>
      <c r="G796">
        <v>387.32</v>
      </c>
      <c r="H796" s="4" t="s">
        <v>441</v>
      </c>
      <c r="I796" t="s">
        <v>1810</v>
      </c>
      <c r="J796" t="s">
        <v>1811</v>
      </c>
      <c r="K796" t="s">
        <v>98</v>
      </c>
      <c r="L796">
        <v>134.31</v>
      </c>
    </row>
    <row r="797" spans="1:12" x14ac:dyDescent="0.3">
      <c r="A797" t="s">
        <v>147</v>
      </c>
      <c r="B797" t="s">
        <v>84</v>
      </c>
      <c r="C797">
        <v>878</v>
      </c>
      <c r="D797" t="str">
        <f t="shared" si="12"/>
        <v>Low</v>
      </c>
      <c r="E797">
        <v>23707</v>
      </c>
      <c r="F797">
        <v>204.93</v>
      </c>
      <c r="G797">
        <v>409.61</v>
      </c>
      <c r="H797" s="4" t="s">
        <v>1812</v>
      </c>
      <c r="I797" t="s">
        <v>1813</v>
      </c>
      <c r="J797" t="s">
        <v>1814</v>
      </c>
      <c r="K797" t="s">
        <v>27</v>
      </c>
      <c r="L797">
        <v>158.85</v>
      </c>
    </row>
    <row r="798" spans="1:12" x14ac:dyDescent="0.3">
      <c r="A798" t="s">
        <v>127</v>
      </c>
      <c r="B798" t="s">
        <v>23</v>
      </c>
      <c r="C798">
        <v>7586</v>
      </c>
      <c r="D798" t="str">
        <f t="shared" si="12"/>
        <v>Full</v>
      </c>
      <c r="E798">
        <v>14332</v>
      </c>
      <c r="F798">
        <v>85.84</v>
      </c>
      <c r="G798">
        <v>178.91</v>
      </c>
      <c r="H798" s="4" t="s">
        <v>1598</v>
      </c>
      <c r="I798" t="s">
        <v>726</v>
      </c>
      <c r="J798" t="s">
        <v>1815</v>
      </c>
      <c r="K798" t="s">
        <v>16</v>
      </c>
      <c r="L798">
        <v>60.4</v>
      </c>
    </row>
    <row r="799" spans="1:12" x14ac:dyDescent="0.3">
      <c r="A799" t="s">
        <v>80</v>
      </c>
      <c r="B799" t="s">
        <v>12</v>
      </c>
      <c r="C799">
        <v>5053</v>
      </c>
      <c r="D799" t="str">
        <f t="shared" si="12"/>
        <v>Full</v>
      </c>
      <c r="E799">
        <v>14764</v>
      </c>
      <c r="F799">
        <v>162.06</v>
      </c>
      <c r="G799">
        <v>261.10000000000002</v>
      </c>
      <c r="H799" s="4" t="s">
        <v>1390</v>
      </c>
      <c r="I799" t="s">
        <v>1746</v>
      </c>
      <c r="J799" t="s">
        <v>1816</v>
      </c>
      <c r="K799" t="s">
        <v>27</v>
      </c>
      <c r="L799">
        <v>121.88</v>
      </c>
    </row>
    <row r="800" spans="1:12" x14ac:dyDescent="0.3">
      <c r="A800" t="s">
        <v>17</v>
      </c>
      <c r="B800" t="s">
        <v>84</v>
      </c>
      <c r="C800">
        <v>7443</v>
      </c>
      <c r="D800" t="str">
        <f t="shared" si="12"/>
        <v>Full</v>
      </c>
      <c r="E800">
        <v>3439</v>
      </c>
      <c r="F800">
        <v>275.51</v>
      </c>
      <c r="G800">
        <v>401.13</v>
      </c>
      <c r="H800" s="4" t="s">
        <v>604</v>
      </c>
      <c r="I800" t="s">
        <v>1817</v>
      </c>
      <c r="J800" t="s">
        <v>1818</v>
      </c>
      <c r="K800" t="s">
        <v>27</v>
      </c>
      <c r="L800">
        <v>113.28</v>
      </c>
    </row>
    <row r="801" spans="1:12" x14ac:dyDescent="0.3">
      <c r="A801" t="s">
        <v>200</v>
      </c>
      <c r="B801" t="s">
        <v>12</v>
      </c>
      <c r="C801">
        <v>5977</v>
      </c>
      <c r="D801" t="str">
        <f t="shared" si="12"/>
        <v>Full</v>
      </c>
      <c r="E801">
        <v>9205</v>
      </c>
      <c r="F801">
        <v>77.91</v>
      </c>
      <c r="G801">
        <v>141.46</v>
      </c>
      <c r="H801" s="4" t="s">
        <v>1377</v>
      </c>
      <c r="I801" t="s">
        <v>1819</v>
      </c>
      <c r="J801" t="s">
        <v>1820</v>
      </c>
      <c r="K801" t="s">
        <v>16</v>
      </c>
      <c r="L801">
        <v>55.91</v>
      </c>
    </row>
    <row r="802" spans="1:12" x14ac:dyDescent="0.3">
      <c r="A802" t="s">
        <v>41</v>
      </c>
      <c r="B802" t="s">
        <v>32</v>
      </c>
      <c r="C802">
        <v>7684</v>
      </c>
      <c r="D802" t="str">
        <f t="shared" si="12"/>
        <v>Full</v>
      </c>
      <c r="E802">
        <v>4134</v>
      </c>
      <c r="F802">
        <v>189.48</v>
      </c>
      <c r="G802">
        <v>369.98</v>
      </c>
      <c r="H802" s="4" t="s">
        <v>1821</v>
      </c>
      <c r="I802" t="s">
        <v>1081</v>
      </c>
      <c r="J802" t="s">
        <v>1822</v>
      </c>
      <c r="K802" t="s">
        <v>21</v>
      </c>
      <c r="L802">
        <v>99.54</v>
      </c>
    </row>
    <row r="803" spans="1:12" x14ac:dyDescent="0.3">
      <c r="A803" t="s">
        <v>41</v>
      </c>
      <c r="B803" t="s">
        <v>84</v>
      </c>
      <c r="C803">
        <v>1515</v>
      </c>
      <c r="D803" t="str">
        <f t="shared" si="12"/>
        <v>Medium</v>
      </c>
      <c r="E803">
        <v>15480</v>
      </c>
      <c r="F803">
        <v>21.16</v>
      </c>
      <c r="G803">
        <v>42.19</v>
      </c>
      <c r="H803" s="4" t="s">
        <v>1719</v>
      </c>
      <c r="I803" t="s">
        <v>1823</v>
      </c>
      <c r="J803" t="s">
        <v>1824</v>
      </c>
      <c r="K803" t="s">
        <v>27</v>
      </c>
      <c r="L803">
        <v>13.2</v>
      </c>
    </row>
    <row r="804" spans="1:12" x14ac:dyDescent="0.3">
      <c r="A804" t="s">
        <v>31</v>
      </c>
      <c r="B804" t="s">
        <v>36</v>
      </c>
      <c r="C804">
        <v>7081</v>
      </c>
      <c r="D804" t="str">
        <f t="shared" si="12"/>
        <v>Full</v>
      </c>
      <c r="E804">
        <v>4140</v>
      </c>
      <c r="F804">
        <v>187.1</v>
      </c>
      <c r="G804">
        <v>324.51</v>
      </c>
      <c r="H804" s="4" t="s">
        <v>1825</v>
      </c>
      <c r="I804" t="s">
        <v>1826</v>
      </c>
      <c r="J804" t="s">
        <v>1827</v>
      </c>
      <c r="K804" t="s">
        <v>27</v>
      </c>
      <c r="L804">
        <v>108.77</v>
      </c>
    </row>
    <row r="805" spans="1:12" x14ac:dyDescent="0.3">
      <c r="A805" t="s">
        <v>143</v>
      </c>
      <c r="B805" t="s">
        <v>36</v>
      </c>
      <c r="C805">
        <v>2159</v>
      </c>
      <c r="D805" t="str">
        <f t="shared" si="12"/>
        <v>Medium</v>
      </c>
      <c r="E805">
        <v>12128</v>
      </c>
      <c r="F805">
        <v>197.02</v>
      </c>
      <c r="G805">
        <v>409.51</v>
      </c>
      <c r="H805" s="4" t="s">
        <v>1828</v>
      </c>
      <c r="I805" t="s">
        <v>1829</v>
      </c>
      <c r="J805" t="s">
        <v>1830</v>
      </c>
      <c r="K805" t="s">
        <v>40</v>
      </c>
      <c r="L805">
        <v>125.13</v>
      </c>
    </row>
    <row r="806" spans="1:12" x14ac:dyDescent="0.3">
      <c r="A806" t="s">
        <v>11</v>
      </c>
      <c r="B806" t="s">
        <v>12</v>
      </c>
      <c r="C806">
        <v>701</v>
      </c>
      <c r="D806" t="str">
        <f t="shared" si="12"/>
        <v>Low</v>
      </c>
      <c r="E806">
        <v>20502</v>
      </c>
      <c r="F806">
        <v>215.42</v>
      </c>
      <c r="G806">
        <v>424.54</v>
      </c>
      <c r="H806" s="4" t="s">
        <v>1055</v>
      </c>
      <c r="I806" t="s">
        <v>644</v>
      </c>
      <c r="J806" t="s">
        <v>1831</v>
      </c>
      <c r="K806" t="s">
        <v>16</v>
      </c>
      <c r="L806">
        <v>108.25</v>
      </c>
    </row>
    <row r="807" spans="1:12" x14ac:dyDescent="0.3">
      <c r="A807" t="s">
        <v>200</v>
      </c>
      <c r="B807" t="s">
        <v>36</v>
      </c>
      <c r="C807">
        <v>7784</v>
      </c>
      <c r="D807" t="str">
        <f t="shared" si="12"/>
        <v>Full</v>
      </c>
      <c r="E807">
        <v>7092</v>
      </c>
      <c r="F807">
        <v>76.73</v>
      </c>
      <c r="G807">
        <v>171.58</v>
      </c>
      <c r="H807" s="4" t="s">
        <v>1832</v>
      </c>
      <c r="I807" t="s">
        <v>116</v>
      </c>
      <c r="J807" t="s">
        <v>1833</v>
      </c>
      <c r="K807" t="s">
        <v>16</v>
      </c>
      <c r="L807">
        <v>44.07</v>
      </c>
    </row>
    <row r="808" spans="1:12" x14ac:dyDescent="0.3">
      <c r="A808" t="s">
        <v>76</v>
      </c>
      <c r="B808" t="s">
        <v>23</v>
      </c>
      <c r="C808">
        <v>9366</v>
      </c>
      <c r="D808" t="str">
        <f t="shared" si="12"/>
        <v>Full</v>
      </c>
      <c r="E808">
        <v>5771</v>
      </c>
      <c r="F808">
        <v>48.49</v>
      </c>
      <c r="G808">
        <v>77.650000000000006</v>
      </c>
      <c r="H808" s="4" t="s">
        <v>1440</v>
      </c>
      <c r="I808" t="s">
        <v>1834</v>
      </c>
      <c r="J808" t="s">
        <v>1835</v>
      </c>
      <c r="K808" t="s">
        <v>27</v>
      </c>
      <c r="L808">
        <v>29.44</v>
      </c>
    </row>
    <row r="809" spans="1:12" x14ac:dyDescent="0.3">
      <c r="A809" t="s">
        <v>123</v>
      </c>
      <c r="B809" t="s">
        <v>12</v>
      </c>
      <c r="C809">
        <v>4389</v>
      </c>
      <c r="D809" t="str">
        <f t="shared" si="12"/>
        <v>Full</v>
      </c>
      <c r="E809">
        <v>17616</v>
      </c>
      <c r="F809">
        <v>246.66</v>
      </c>
      <c r="G809">
        <v>475.38</v>
      </c>
      <c r="H809" s="4" t="s">
        <v>1836</v>
      </c>
      <c r="I809" t="s">
        <v>898</v>
      </c>
      <c r="J809" t="s">
        <v>1837</v>
      </c>
      <c r="K809" t="s">
        <v>98</v>
      </c>
      <c r="L809">
        <v>195.01</v>
      </c>
    </row>
    <row r="810" spans="1:12" x14ac:dyDescent="0.3">
      <c r="A810" t="s">
        <v>88</v>
      </c>
      <c r="B810" t="s">
        <v>12</v>
      </c>
      <c r="C810">
        <v>6095</v>
      </c>
      <c r="D810" t="str">
        <f t="shared" si="12"/>
        <v>Full</v>
      </c>
      <c r="E810">
        <v>7204</v>
      </c>
      <c r="F810">
        <v>202.02</v>
      </c>
      <c r="G810">
        <v>424.89</v>
      </c>
      <c r="H810" s="4" t="s">
        <v>89</v>
      </c>
      <c r="I810" t="s">
        <v>1838</v>
      </c>
      <c r="J810" t="s">
        <v>1839</v>
      </c>
      <c r="K810" t="s">
        <v>16</v>
      </c>
      <c r="L810">
        <v>126.55</v>
      </c>
    </row>
    <row r="811" spans="1:12" x14ac:dyDescent="0.3">
      <c r="A811" t="s">
        <v>45</v>
      </c>
      <c r="B811" t="s">
        <v>32</v>
      </c>
      <c r="C811">
        <v>5409</v>
      </c>
      <c r="D811" t="str">
        <f t="shared" si="12"/>
        <v>Full</v>
      </c>
      <c r="E811">
        <v>14719</v>
      </c>
      <c r="F811">
        <v>101.94</v>
      </c>
      <c r="G811">
        <v>136.22</v>
      </c>
      <c r="H811" s="4" t="s">
        <v>1172</v>
      </c>
      <c r="I811" t="s">
        <v>961</v>
      </c>
      <c r="J811" t="s">
        <v>1840</v>
      </c>
      <c r="K811" t="s">
        <v>27</v>
      </c>
      <c r="L811">
        <v>66.819999999999993</v>
      </c>
    </row>
    <row r="812" spans="1:12" x14ac:dyDescent="0.3">
      <c r="A812" t="s">
        <v>80</v>
      </c>
      <c r="B812" t="s">
        <v>36</v>
      </c>
      <c r="C812">
        <v>3992</v>
      </c>
      <c r="D812" t="str">
        <f t="shared" si="12"/>
        <v>Full</v>
      </c>
      <c r="E812">
        <v>8832</v>
      </c>
      <c r="F812">
        <v>146.82</v>
      </c>
      <c r="G812">
        <v>322.83999999999997</v>
      </c>
      <c r="H812" s="4" t="s">
        <v>148</v>
      </c>
      <c r="I812" t="s">
        <v>836</v>
      </c>
      <c r="J812" t="s">
        <v>1841</v>
      </c>
      <c r="K812" t="s">
        <v>21</v>
      </c>
      <c r="L812">
        <v>69.55</v>
      </c>
    </row>
    <row r="813" spans="1:12" x14ac:dyDescent="0.3">
      <c r="A813" t="s">
        <v>17</v>
      </c>
      <c r="B813" t="s">
        <v>23</v>
      </c>
      <c r="C813">
        <v>662</v>
      </c>
      <c r="D813" t="str">
        <f t="shared" si="12"/>
        <v>Low</v>
      </c>
      <c r="E813">
        <v>3416</v>
      </c>
      <c r="F813">
        <v>110.58</v>
      </c>
      <c r="G813">
        <v>212.44</v>
      </c>
      <c r="H813" s="4" t="s">
        <v>885</v>
      </c>
      <c r="I813" t="s">
        <v>905</v>
      </c>
      <c r="J813" t="s">
        <v>1842</v>
      </c>
      <c r="K813" t="s">
        <v>98</v>
      </c>
      <c r="L813">
        <v>72.16</v>
      </c>
    </row>
    <row r="814" spans="1:12" x14ac:dyDescent="0.3">
      <c r="A814" t="s">
        <v>76</v>
      </c>
      <c r="B814" t="s">
        <v>12</v>
      </c>
      <c r="C814">
        <v>986</v>
      </c>
      <c r="D814" t="str">
        <f t="shared" si="12"/>
        <v>Low</v>
      </c>
      <c r="E814">
        <v>7524</v>
      </c>
      <c r="F814">
        <v>63.36</v>
      </c>
      <c r="G814">
        <v>90.38</v>
      </c>
      <c r="H814" s="4" t="s">
        <v>1843</v>
      </c>
      <c r="I814" t="s">
        <v>1844</v>
      </c>
      <c r="J814" t="s">
        <v>1845</v>
      </c>
      <c r="K814" t="s">
        <v>16</v>
      </c>
      <c r="L814">
        <v>31.58</v>
      </c>
    </row>
    <row r="815" spans="1:12" x14ac:dyDescent="0.3">
      <c r="A815" t="s">
        <v>88</v>
      </c>
      <c r="B815" t="s">
        <v>12</v>
      </c>
      <c r="C815">
        <v>3384</v>
      </c>
      <c r="D815" t="str">
        <f t="shared" si="12"/>
        <v>Full</v>
      </c>
      <c r="E815">
        <v>9578</v>
      </c>
      <c r="F815">
        <v>273.64</v>
      </c>
      <c r="G815">
        <v>335.84</v>
      </c>
      <c r="H815" s="4" t="s">
        <v>158</v>
      </c>
      <c r="I815" t="s">
        <v>789</v>
      </c>
      <c r="J815" t="s">
        <v>1846</v>
      </c>
      <c r="K815" t="s">
        <v>27</v>
      </c>
      <c r="L815">
        <v>146.49</v>
      </c>
    </row>
    <row r="816" spans="1:12" x14ac:dyDescent="0.3">
      <c r="A816" t="s">
        <v>88</v>
      </c>
      <c r="B816" t="s">
        <v>23</v>
      </c>
      <c r="C816">
        <v>7974</v>
      </c>
      <c r="D816" t="str">
        <f t="shared" si="12"/>
        <v>Full</v>
      </c>
      <c r="E816">
        <v>8869</v>
      </c>
      <c r="F816">
        <v>114.04</v>
      </c>
      <c r="G816">
        <v>192.05</v>
      </c>
      <c r="H816" s="4" t="s">
        <v>1537</v>
      </c>
      <c r="I816" t="s">
        <v>1629</v>
      </c>
      <c r="J816" t="s">
        <v>1847</v>
      </c>
      <c r="K816" t="s">
        <v>21</v>
      </c>
      <c r="L816">
        <v>85.68</v>
      </c>
    </row>
    <row r="817" spans="1:12" x14ac:dyDescent="0.3">
      <c r="A817" t="s">
        <v>41</v>
      </c>
      <c r="B817" t="s">
        <v>12</v>
      </c>
      <c r="C817">
        <v>2866</v>
      </c>
      <c r="D817" t="str">
        <f t="shared" si="12"/>
        <v>Medium</v>
      </c>
      <c r="E817">
        <v>5285</v>
      </c>
      <c r="F817">
        <v>239.49</v>
      </c>
      <c r="G817">
        <v>347.07</v>
      </c>
      <c r="H817" s="4" t="s">
        <v>888</v>
      </c>
      <c r="I817" t="s">
        <v>1848</v>
      </c>
      <c r="J817" t="s">
        <v>1849</v>
      </c>
      <c r="K817" t="s">
        <v>40</v>
      </c>
      <c r="L817">
        <v>153.22999999999999</v>
      </c>
    </row>
    <row r="818" spans="1:12" x14ac:dyDescent="0.3">
      <c r="A818" t="s">
        <v>80</v>
      </c>
      <c r="B818" t="s">
        <v>12</v>
      </c>
      <c r="C818">
        <v>3598</v>
      </c>
      <c r="D818" t="str">
        <f t="shared" si="12"/>
        <v>Full</v>
      </c>
      <c r="E818">
        <v>18546</v>
      </c>
      <c r="F818">
        <v>91.78</v>
      </c>
      <c r="G818">
        <v>127.86</v>
      </c>
      <c r="H818" s="4" t="s">
        <v>1306</v>
      </c>
      <c r="I818" t="s">
        <v>1153</v>
      </c>
      <c r="J818" t="s">
        <v>1850</v>
      </c>
      <c r="K818" t="s">
        <v>40</v>
      </c>
      <c r="L818">
        <v>68.760000000000005</v>
      </c>
    </row>
    <row r="819" spans="1:12" x14ac:dyDescent="0.3">
      <c r="A819" t="s">
        <v>119</v>
      </c>
      <c r="B819" t="s">
        <v>32</v>
      </c>
      <c r="C819">
        <v>8511</v>
      </c>
      <c r="D819" t="str">
        <f t="shared" si="12"/>
        <v>Full</v>
      </c>
      <c r="E819">
        <v>7856</v>
      </c>
      <c r="F819">
        <v>219.55</v>
      </c>
      <c r="G819">
        <v>487.42</v>
      </c>
      <c r="H819" s="4" t="s">
        <v>164</v>
      </c>
      <c r="I819" t="s">
        <v>1851</v>
      </c>
      <c r="J819" t="s">
        <v>1852</v>
      </c>
      <c r="K819" t="s">
        <v>98</v>
      </c>
      <c r="L819">
        <v>132.49</v>
      </c>
    </row>
    <row r="820" spans="1:12" x14ac:dyDescent="0.3">
      <c r="A820" t="s">
        <v>119</v>
      </c>
      <c r="B820" t="s">
        <v>23</v>
      </c>
      <c r="C820">
        <v>8668</v>
      </c>
      <c r="D820" t="str">
        <f t="shared" si="12"/>
        <v>Full</v>
      </c>
      <c r="E820">
        <v>18003</v>
      </c>
      <c r="F820">
        <v>141.96</v>
      </c>
      <c r="G820">
        <v>229.74</v>
      </c>
      <c r="H820" s="4" t="s">
        <v>1853</v>
      </c>
      <c r="I820" t="s">
        <v>536</v>
      </c>
      <c r="J820" t="s">
        <v>1854</v>
      </c>
      <c r="K820" t="s">
        <v>21</v>
      </c>
      <c r="L820">
        <v>83.69</v>
      </c>
    </row>
    <row r="821" spans="1:12" x14ac:dyDescent="0.3">
      <c r="A821" t="s">
        <v>22</v>
      </c>
      <c r="B821" t="s">
        <v>36</v>
      </c>
      <c r="C821">
        <v>1099</v>
      </c>
      <c r="D821" t="str">
        <f t="shared" si="12"/>
        <v>Medium</v>
      </c>
      <c r="E821">
        <v>7789</v>
      </c>
      <c r="F821">
        <v>69.760000000000005</v>
      </c>
      <c r="G821">
        <v>102.12</v>
      </c>
      <c r="H821" s="4" t="s">
        <v>1500</v>
      </c>
      <c r="I821" t="s">
        <v>1215</v>
      </c>
      <c r="J821" t="s">
        <v>1855</v>
      </c>
      <c r="K821" t="s">
        <v>40</v>
      </c>
      <c r="L821">
        <v>39.76</v>
      </c>
    </row>
    <row r="822" spans="1:12" x14ac:dyDescent="0.3">
      <c r="A822" t="s">
        <v>299</v>
      </c>
      <c r="B822" t="s">
        <v>32</v>
      </c>
      <c r="C822">
        <v>3075</v>
      </c>
      <c r="D822" t="str">
        <f t="shared" si="12"/>
        <v>Full</v>
      </c>
      <c r="E822">
        <v>13258</v>
      </c>
      <c r="F822">
        <v>80.09</v>
      </c>
      <c r="G822">
        <v>104.93</v>
      </c>
      <c r="H822" s="4" t="s">
        <v>705</v>
      </c>
      <c r="I822" t="s">
        <v>1590</v>
      </c>
      <c r="J822" t="s">
        <v>1856</v>
      </c>
      <c r="K822" t="s">
        <v>16</v>
      </c>
      <c r="L822">
        <v>43.3</v>
      </c>
    </row>
    <row r="823" spans="1:12" x14ac:dyDescent="0.3">
      <c r="A823" t="s">
        <v>22</v>
      </c>
      <c r="B823" t="s">
        <v>12</v>
      </c>
      <c r="C823">
        <v>8122</v>
      </c>
      <c r="D823" t="str">
        <f t="shared" si="12"/>
        <v>Full</v>
      </c>
      <c r="E823">
        <v>17785</v>
      </c>
      <c r="F823">
        <v>188.23</v>
      </c>
      <c r="G823">
        <v>330.14</v>
      </c>
      <c r="H823" s="4" t="s">
        <v>89</v>
      </c>
      <c r="I823" t="s">
        <v>536</v>
      </c>
      <c r="J823" t="s">
        <v>1857</v>
      </c>
      <c r="K823" t="s">
        <v>40</v>
      </c>
      <c r="L823">
        <v>135.86000000000001</v>
      </c>
    </row>
    <row r="824" spans="1:12" x14ac:dyDescent="0.3">
      <c r="A824" t="s">
        <v>45</v>
      </c>
      <c r="B824" t="s">
        <v>23</v>
      </c>
      <c r="C824">
        <v>6764</v>
      </c>
      <c r="D824" t="str">
        <f t="shared" si="12"/>
        <v>Full</v>
      </c>
      <c r="E824">
        <v>1809</v>
      </c>
      <c r="F824">
        <v>57.97</v>
      </c>
      <c r="G824">
        <v>87.18</v>
      </c>
      <c r="H824" s="4" t="s">
        <v>754</v>
      </c>
      <c r="I824" t="s">
        <v>1461</v>
      </c>
      <c r="J824" t="s">
        <v>1858</v>
      </c>
      <c r="K824" t="s">
        <v>27</v>
      </c>
      <c r="L824">
        <v>30.02</v>
      </c>
    </row>
    <row r="825" spans="1:12" x14ac:dyDescent="0.3">
      <c r="A825" t="s">
        <v>119</v>
      </c>
      <c r="B825" t="s">
        <v>32</v>
      </c>
      <c r="C825">
        <v>9456</v>
      </c>
      <c r="D825" t="str">
        <f t="shared" si="12"/>
        <v>Full</v>
      </c>
      <c r="E825">
        <v>22091</v>
      </c>
      <c r="F825">
        <v>28.06</v>
      </c>
      <c r="G825">
        <v>43.76</v>
      </c>
      <c r="H825" s="4" t="s">
        <v>1859</v>
      </c>
      <c r="I825" t="s">
        <v>509</v>
      </c>
      <c r="J825" t="s">
        <v>1860</v>
      </c>
      <c r="K825" t="s">
        <v>27</v>
      </c>
      <c r="L825">
        <v>15.27</v>
      </c>
    </row>
    <row r="826" spans="1:12" x14ac:dyDescent="0.3">
      <c r="A826" t="s">
        <v>66</v>
      </c>
      <c r="B826" t="s">
        <v>84</v>
      </c>
      <c r="C826">
        <v>5968</v>
      </c>
      <c r="D826" t="str">
        <f t="shared" si="12"/>
        <v>Full</v>
      </c>
      <c r="E826">
        <v>7443</v>
      </c>
      <c r="F826">
        <v>204.16</v>
      </c>
      <c r="G826">
        <v>311.35000000000002</v>
      </c>
      <c r="H826" s="4" t="s">
        <v>595</v>
      </c>
      <c r="I826" t="s">
        <v>1861</v>
      </c>
      <c r="J826" t="s">
        <v>1862</v>
      </c>
      <c r="K826" t="s">
        <v>16</v>
      </c>
      <c r="L826">
        <v>163.16</v>
      </c>
    </row>
    <row r="827" spans="1:12" x14ac:dyDescent="0.3">
      <c r="A827" t="s">
        <v>66</v>
      </c>
      <c r="B827" t="s">
        <v>23</v>
      </c>
      <c r="C827">
        <v>639</v>
      </c>
      <c r="D827" t="str">
        <f t="shared" si="12"/>
        <v>Low</v>
      </c>
      <c r="E827">
        <v>10813</v>
      </c>
      <c r="F827">
        <v>88.14</v>
      </c>
      <c r="G827">
        <v>145.49</v>
      </c>
      <c r="H827" s="4" t="s">
        <v>1863</v>
      </c>
      <c r="I827" t="s">
        <v>1438</v>
      </c>
      <c r="J827" t="s">
        <v>1864</v>
      </c>
      <c r="K827" t="s">
        <v>27</v>
      </c>
      <c r="L827">
        <v>51.9</v>
      </c>
    </row>
    <row r="828" spans="1:12" x14ac:dyDescent="0.3">
      <c r="A828" t="s">
        <v>119</v>
      </c>
      <c r="B828" t="s">
        <v>84</v>
      </c>
      <c r="C828">
        <v>7012</v>
      </c>
      <c r="D828" t="str">
        <f t="shared" si="12"/>
        <v>Full</v>
      </c>
      <c r="E828">
        <v>8457</v>
      </c>
      <c r="F828">
        <v>71.94</v>
      </c>
      <c r="G828">
        <v>156.38999999999999</v>
      </c>
      <c r="H828" s="4" t="s">
        <v>1495</v>
      </c>
      <c r="I828" t="s">
        <v>1434</v>
      </c>
      <c r="J828" t="s">
        <v>1865</v>
      </c>
      <c r="K828" t="s">
        <v>16</v>
      </c>
      <c r="L828">
        <v>51.39</v>
      </c>
    </row>
    <row r="829" spans="1:12" x14ac:dyDescent="0.3">
      <c r="A829" t="s">
        <v>143</v>
      </c>
      <c r="B829" t="s">
        <v>36</v>
      </c>
      <c r="C829">
        <v>6081</v>
      </c>
      <c r="D829" t="str">
        <f t="shared" si="12"/>
        <v>Full</v>
      </c>
      <c r="E829">
        <v>3813</v>
      </c>
      <c r="F829">
        <v>97.36</v>
      </c>
      <c r="G829">
        <v>140.61000000000001</v>
      </c>
      <c r="H829" s="4" t="s">
        <v>1047</v>
      </c>
      <c r="I829" t="s">
        <v>1683</v>
      </c>
      <c r="J829" t="s">
        <v>1866</v>
      </c>
      <c r="K829" t="s">
        <v>21</v>
      </c>
      <c r="L829">
        <v>72.16</v>
      </c>
    </row>
    <row r="830" spans="1:12" x14ac:dyDescent="0.3">
      <c r="A830" t="s">
        <v>17</v>
      </c>
      <c r="B830" t="s">
        <v>23</v>
      </c>
      <c r="C830">
        <v>2776</v>
      </c>
      <c r="D830" t="str">
        <f t="shared" si="12"/>
        <v>Medium</v>
      </c>
      <c r="E830">
        <v>19923</v>
      </c>
      <c r="F830">
        <v>262.76</v>
      </c>
      <c r="G830">
        <v>419.69</v>
      </c>
      <c r="H830" s="4" t="s">
        <v>317</v>
      </c>
      <c r="I830" t="s">
        <v>1867</v>
      </c>
      <c r="J830" t="s">
        <v>1868</v>
      </c>
      <c r="K830" t="s">
        <v>40</v>
      </c>
      <c r="L830">
        <v>140.82</v>
      </c>
    </row>
    <row r="831" spans="1:12" x14ac:dyDescent="0.3">
      <c r="A831" t="s">
        <v>200</v>
      </c>
      <c r="B831" t="s">
        <v>36</v>
      </c>
      <c r="C831">
        <v>7108</v>
      </c>
      <c r="D831" t="str">
        <f t="shared" si="12"/>
        <v>Full</v>
      </c>
      <c r="E831">
        <v>23626</v>
      </c>
      <c r="F831">
        <v>163.59</v>
      </c>
      <c r="G831">
        <v>265.64999999999998</v>
      </c>
      <c r="H831" s="4" t="s">
        <v>1756</v>
      </c>
      <c r="I831" t="s">
        <v>1241</v>
      </c>
      <c r="J831" t="s">
        <v>1869</v>
      </c>
      <c r="K831" t="s">
        <v>98</v>
      </c>
      <c r="L831">
        <v>75.489999999999995</v>
      </c>
    </row>
    <row r="832" spans="1:12" x14ac:dyDescent="0.3">
      <c r="A832" t="s">
        <v>45</v>
      </c>
      <c r="B832" t="s">
        <v>32</v>
      </c>
      <c r="C832">
        <v>9902</v>
      </c>
      <c r="D832" t="str">
        <f t="shared" si="12"/>
        <v>Full</v>
      </c>
      <c r="E832">
        <v>13808</v>
      </c>
      <c r="F832">
        <v>294.14999999999998</v>
      </c>
      <c r="G832">
        <v>431.07</v>
      </c>
      <c r="H832" s="4" t="s">
        <v>1870</v>
      </c>
      <c r="I832" t="s">
        <v>1871</v>
      </c>
      <c r="J832" t="s">
        <v>1872</v>
      </c>
      <c r="K832" t="s">
        <v>21</v>
      </c>
      <c r="L832">
        <v>139.82</v>
      </c>
    </row>
    <row r="833" spans="1:12" x14ac:dyDescent="0.3">
      <c r="A833" t="s">
        <v>11</v>
      </c>
      <c r="B833" t="s">
        <v>23</v>
      </c>
      <c r="C833">
        <v>9830</v>
      </c>
      <c r="D833" t="str">
        <f t="shared" si="12"/>
        <v>Full</v>
      </c>
      <c r="E833">
        <v>15795</v>
      </c>
      <c r="F833">
        <v>193.51</v>
      </c>
      <c r="G833">
        <v>308.85000000000002</v>
      </c>
      <c r="H833" s="4" t="s">
        <v>1537</v>
      </c>
      <c r="I833" t="s">
        <v>875</v>
      </c>
      <c r="J833" t="s">
        <v>1873</v>
      </c>
      <c r="K833" t="s">
        <v>16</v>
      </c>
      <c r="L833">
        <v>91.15</v>
      </c>
    </row>
    <row r="834" spans="1:12" x14ac:dyDescent="0.3">
      <c r="A834" t="s">
        <v>176</v>
      </c>
      <c r="B834" t="s">
        <v>36</v>
      </c>
      <c r="C834">
        <v>939</v>
      </c>
      <c r="D834" t="str">
        <f t="shared" si="12"/>
        <v>Low</v>
      </c>
      <c r="E834">
        <v>7117</v>
      </c>
      <c r="F834">
        <v>63.7</v>
      </c>
      <c r="G834">
        <v>151.91</v>
      </c>
      <c r="H834" s="4" t="s">
        <v>1874</v>
      </c>
      <c r="I834" t="s">
        <v>68</v>
      </c>
      <c r="J834" t="s">
        <v>1875</v>
      </c>
      <c r="K834" t="s">
        <v>98</v>
      </c>
      <c r="L834">
        <v>32.9</v>
      </c>
    </row>
    <row r="835" spans="1:12" x14ac:dyDescent="0.3">
      <c r="A835" t="s">
        <v>119</v>
      </c>
      <c r="B835" t="s">
        <v>12</v>
      </c>
      <c r="C835">
        <v>7949</v>
      </c>
      <c r="D835" t="str">
        <f t="shared" ref="D835:D898" si="13">IF(C835&lt;1000,"Low",IF(C835&lt;=3000,"Medium","Full"))</f>
        <v>Full</v>
      </c>
      <c r="E835">
        <v>2882</v>
      </c>
      <c r="F835">
        <v>113.75</v>
      </c>
      <c r="G835">
        <v>138.13</v>
      </c>
      <c r="H835" s="4" t="s">
        <v>197</v>
      </c>
      <c r="I835" t="s">
        <v>1098</v>
      </c>
      <c r="J835" t="s">
        <v>1876</v>
      </c>
      <c r="K835" t="s">
        <v>98</v>
      </c>
      <c r="L835">
        <v>90.53</v>
      </c>
    </row>
    <row r="836" spans="1:12" x14ac:dyDescent="0.3">
      <c r="A836" t="s">
        <v>123</v>
      </c>
      <c r="B836" t="s">
        <v>32</v>
      </c>
      <c r="C836">
        <v>7355</v>
      </c>
      <c r="D836" t="str">
        <f t="shared" si="13"/>
        <v>Full</v>
      </c>
      <c r="E836">
        <v>16671</v>
      </c>
      <c r="F836">
        <v>224.23</v>
      </c>
      <c r="G836">
        <v>382.47</v>
      </c>
      <c r="H836" s="4" t="s">
        <v>768</v>
      </c>
      <c r="I836" t="s">
        <v>1562</v>
      </c>
      <c r="J836" t="s">
        <v>1877</v>
      </c>
      <c r="K836" t="s">
        <v>40</v>
      </c>
      <c r="L836">
        <v>128.46</v>
      </c>
    </row>
    <row r="837" spans="1:12" x14ac:dyDescent="0.3">
      <c r="A837" t="s">
        <v>49</v>
      </c>
      <c r="B837" t="s">
        <v>84</v>
      </c>
      <c r="C837">
        <v>9922</v>
      </c>
      <c r="D837" t="str">
        <f t="shared" si="13"/>
        <v>Full</v>
      </c>
      <c r="E837">
        <v>11168</v>
      </c>
      <c r="F837">
        <v>178.31</v>
      </c>
      <c r="G837">
        <v>330.45</v>
      </c>
      <c r="H837" s="4" t="s">
        <v>844</v>
      </c>
      <c r="I837" t="s">
        <v>528</v>
      </c>
      <c r="J837" t="s">
        <v>1878</v>
      </c>
      <c r="K837" t="s">
        <v>27</v>
      </c>
      <c r="L837">
        <v>142.01</v>
      </c>
    </row>
    <row r="838" spans="1:12" x14ac:dyDescent="0.3">
      <c r="A838" t="s">
        <v>143</v>
      </c>
      <c r="B838" t="s">
        <v>12</v>
      </c>
      <c r="C838">
        <v>7041</v>
      </c>
      <c r="D838" t="str">
        <f t="shared" si="13"/>
        <v>Full</v>
      </c>
      <c r="E838">
        <v>20819</v>
      </c>
      <c r="F838">
        <v>243.23</v>
      </c>
      <c r="G838">
        <v>458.15</v>
      </c>
      <c r="H838" s="4" t="s">
        <v>592</v>
      </c>
      <c r="I838" t="s">
        <v>407</v>
      </c>
      <c r="J838" t="s">
        <v>1879</v>
      </c>
      <c r="K838" t="s">
        <v>21</v>
      </c>
      <c r="L838">
        <v>153.35</v>
      </c>
    </row>
    <row r="839" spans="1:12" x14ac:dyDescent="0.3">
      <c r="A839" t="s">
        <v>41</v>
      </c>
      <c r="B839" t="s">
        <v>23</v>
      </c>
      <c r="C839">
        <v>7976</v>
      </c>
      <c r="D839" t="str">
        <f t="shared" si="13"/>
        <v>Full</v>
      </c>
      <c r="E839">
        <v>12363</v>
      </c>
      <c r="F839">
        <v>211.59</v>
      </c>
      <c r="G839">
        <v>449.66</v>
      </c>
      <c r="H839" s="4" t="s">
        <v>1880</v>
      </c>
      <c r="I839" t="s">
        <v>189</v>
      </c>
      <c r="J839" t="s">
        <v>1881</v>
      </c>
      <c r="K839" t="s">
        <v>98</v>
      </c>
      <c r="L839">
        <v>119.76</v>
      </c>
    </row>
    <row r="840" spans="1:12" x14ac:dyDescent="0.3">
      <c r="A840" t="s">
        <v>56</v>
      </c>
      <c r="B840" t="s">
        <v>32</v>
      </c>
      <c r="C840">
        <v>7579</v>
      </c>
      <c r="D840" t="str">
        <f t="shared" si="13"/>
        <v>Full</v>
      </c>
      <c r="E840">
        <v>16002</v>
      </c>
      <c r="F840">
        <v>118.48</v>
      </c>
      <c r="G840">
        <v>243.69</v>
      </c>
      <c r="H840" s="4" t="s">
        <v>592</v>
      </c>
      <c r="I840" t="s">
        <v>198</v>
      </c>
      <c r="J840" t="s">
        <v>1882</v>
      </c>
      <c r="K840" t="s">
        <v>27</v>
      </c>
      <c r="L840">
        <v>58.75</v>
      </c>
    </row>
    <row r="841" spans="1:12" x14ac:dyDescent="0.3">
      <c r="A841" t="s">
        <v>56</v>
      </c>
      <c r="B841" t="s">
        <v>23</v>
      </c>
      <c r="C841">
        <v>9310</v>
      </c>
      <c r="D841" t="str">
        <f t="shared" si="13"/>
        <v>Full</v>
      </c>
      <c r="E841">
        <v>10564</v>
      </c>
      <c r="F841">
        <v>201.66</v>
      </c>
      <c r="G841">
        <v>259.49</v>
      </c>
      <c r="H841" s="4" t="s">
        <v>1404</v>
      </c>
      <c r="I841" t="s">
        <v>1575</v>
      </c>
      <c r="J841" t="s">
        <v>1883</v>
      </c>
      <c r="K841" t="s">
        <v>16</v>
      </c>
      <c r="L841">
        <v>90.44</v>
      </c>
    </row>
    <row r="842" spans="1:12" x14ac:dyDescent="0.3">
      <c r="A842" t="s">
        <v>76</v>
      </c>
      <c r="B842" t="s">
        <v>12</v>
      </c>
      <c r="C842">
        <v>2223</v>
      </c>
      <c r="D842" t="str">
        <f t="shared" si="13"/>
        <v>Medium</v>
      </c>
      <c r="E842">
        <v>17528</v>
      </c>
      <c r="F842">
        <v>231.13</v>
      </c>
      <c r="G842">
        <v>375.31</v>
      </c>
      <c r="H842" s="4" t="s">
        <v>461</v>
      </c>
      <c r="I842" t="s">
        <v>1230</v>
      </c>
      <c r="J842" t="s">
        <v>1884</v>
      </c>
      <c r="K842" t="s">
        <v>98</v>
      </c>
      <c r="L842">
        <v>139.24</v>
      </c>
    </row>
    <row r="843" spans="1:12" x14ac:dyDescent="0.3">
      <c r="A843" t="s">
        <v>143</v>
      </c>
      <c r="B843" t="s">
        <v>12</v>
      </c>
      <c r="C843">
        <v>1699</v>
      </c>
      <c r="D843" t="str">
        <f t="shared" si="13"/>
        <v>Medium</v>
      </c>
      <c r="E843">
        <v>21934</v>
      </c>
      <c r="F843">
        <v>209.87</v>
      </c>
      <c r="G843">
        <v>456.4</v>
      </c>
      <c r="H843" s="4" t="s">
        <v>975</v>
      </c>
      <c r="I843" t="s">
        <v>1223</v>
      </c>
      <c r="J843" t="s">
        <v>1885</v>
      </c>
      <c r="K843" t="s">
        <v>98</v>
      </c>
      <c r="L843">
        <v>117.25</v>
      </c>
    </row>
    <row r="844" spans="1:12" x14ac:dyDescent="0.3">
      <c r="A844" t="s">
        <v>17</v>
      </c>
      <c r="B844" t="s">
        <v>23</v>
      </c>
      <c r="C844">
        <v>2378</v>
      </c>
      <c r="D844" t="str">
        <f t="shared" si="13"/>
        <v>Medium</v>
      </c>
      <c r="E844">
        <v>24235</v>
      </c>
      <c r="F844">
        <v>275.56</v>
      </c>
      <c r="G844">
        <v>447.85</v>
      </c>
      <c r="H844" s="4" t="s">
        <v>96</v>
      </c>
      <c r="I844" t="s">
        <v>282</v>
      </c>
      <c r="J844" t="s">
        <v>1886</v>
      </c>
      <c r="K844" t="s">
        <v>27</v>
      </c>
      <c r="L844">
        <v>119.32</v>
      </c>
    </row>
    <row r="845" spans="1:12" x14ac:dyDescent="0.3">
      <c r="A845" t="s">
        <v>80</v>
      </c>
      <c r="B845" t="s">
        <v>36</v>
      </c>
      <c r="C845">
        <v>2797</v>
      </c>
      <c r="D845" t="str">
        <f t="shared" si="13"/>
        <v>Medium</v>
      </c>
      <c r="E845">
        <v>16426</v>
      </c>
      <c r="F845">
        <v>247.03</v>
      </c>
      <c r="G845">
        <v>566.69000000000005</v>
      </c>
      <c r="H845" s="4" t="s">
        <v>1340</v>
      </c>
      <c r="I845" t="s">
        <v>1752</v>
      </c>
      <c r="J845" t="s">
        <v>1887</v>
      </c>
      <c r="K845" t="s">
        <v>27</v>
      </c>
      <c r="L845">
        <v>116.33</v>
      </c>
    </row>
    <row r="846" spans="1:12" x14ac:dyDescent="0.3">
      <c r="A846" t="s">
        <v>11</v>
      </c>
      <c r="B846" t="s">
        <v>32</v>
      </c>
      <c r="C846">
        <v>6903</v>
      </c>
      <c r="D846" t="str">
        <f t="shared" si="13"/>
        <v>Full</v>
      </c>
      <c r="E846">
        <v>6519</v>
      </c>
      <c r="F846">
        <v>27.89</v>
      </c>
      <c r="G846">
        <v>61.15</v>
      </c>
      <c r="H846" s="4" t="s">
        <v>158</v>
      </c>
      <c r="I846" t="s">
        <v>878</v>
      </c>
      <c r="J846" t="s">
        <v>1888</v>
      </c>
      <c r="K846" t="s">
        <v>21</v>
      </c>
      <c r="L846">
        <v>15.15</v>
      </c>
    </row>
    <row r="847" spans="1:12" x14ac:dyDescent="0.3">
      <c r="A847" t="s">
        <v>88</v>
      </c>
      <c r="B847" t="s">
        <v>12</v>
      </c>
      <c r="C847">
        <v>9221</v>
      </c>
      <c r="D847" t="str">
        <f t="shared" si="13"/>
        <v>Full</v>
      </c>
      <c r="E847">
        <v>8083</v>
      </c>
      <c r="F847">
        <v>135.41</v>
      </c>
      <c r="G847">
        <v>170.9</v>
      </c>
      <c r="H847" s="4" t="s">
        <v>215</v>
      </c>
      <c r="I847" t="s">
        <v>1356</v>
      </c>
      <c r="J847" t="s">
        <v>1889</v>
      </c>
      <c r="K847" t="s">
        <v>27</v>
      </c>
      <c r="L847">
        <v>75.319999999999993</v>
      </c>
    </row>
    <row r="848" spans="1:12" x14ac:dyDescent="0.3">
      <c r="A848" t="s">
        <v>31</v>
      </c>
      <c r="B848" t="s">
        <v>36</v>
      </c>
      <c r="C848">
        <v>1358</v>
      </c>
      <c r="D848" t="str">
        <f t="shared" si="13"/>
        <v>Medium</v>
      </c>
      <c r="E848">
        <v>20601</v>
      </c>
      <c r="F848">
        <v>6.38</v>
      </c>
      <c r="G848">
        <v>14.06</v>
      </c>
      <c r="H848" s="4" t="s">
        <v>1628</v>
      </c>
      <c r="I848" t="s">
        <v>1890</v>
      </c>
      <c r="J848" t="s">
        <v>1891</v>
      </c>
      <c r="K848" t="s">
        <v>98</v>
      </c>
      <c r="L848">
        <v>3.06</v>
      </c>
    </row>
    <row r="849" spans="1:12" x14ac:dyDescent="0.3">
      <c r="A849" t="s">
        <v>17</v>
      </c>
      <c r="B849" t="s">
        <v>36</v>
      </c>
      <c r="C849">
        <v>957</v>
      </c>
      <c r="D849" t="str">
        <f t="shared" si="13"/>
        <v>Low</v>
      </c>
      <c r="E849">
        <v>1477</v>
      </c>
      <c r="F849">
        <v>104.45</v>
      </c>
      <c r="G849">
        <v>151.43</v>
      </c>
      <c r="H849" s="4" t="s">
        <v>601</v>
      </c>
      <c r="I849" t="s">
        <v>1892</v>
      </c>
      <c r="J849" t="s">
        <v>1893</v>
      </c>
      <c r="K849" t="s">
        <v>27</v>
      </c>
      <c r="L849">
        <v>75.08</v>
      </c>
    </row>
    <row r="850" spans="1:12" x14ac:dyDescent="0.3">
      <c r="A850" t="s">
        <v>56</v>
      </c>
      <c r="B850" t="s">
        <v>84</v>
      </c>
      <c r="C850">
        <v>1221</v>
      </c>
      <c r="D850" t="str">
        <f t="shared" si="13"/>
        <v>Medium</v>
      </c>
      <c r="E850">
        <v>14621</v>
      </c>
      <c r="F850">
        <v>156.19</v>
      </c>
      <c r="G850">
        <v>353.04</v>
      </c>
      <c r="H850" s="4" t="s">
        <v>263</v>
      </c>
      <c r="I850" t="s">
        <v>294</v>
      </c>
      <c r="J850" t="s">
        <v>1894</v>
      </c>
      <c r="K850" t="s">
        <v>98</v>
      </c>
      <c r="L850">
        <v>101.5</v>
      </c>
    </row>
    <row r="851" spans="1:12" x14ac:dyDescent="0.3">
      <c r="A851" t="s">
        <v>66</v>
      </c>
      <c r="B851" t="s">
        <v>36</v>
      </c>
      <c r="C851">
        <v>7510</v>
      </c>
      <c r="D851" t="str">
        <f t="shared" si="13"/>
        <v>Full</v>
      </c>
      <c r="E851">
        <v>4958</v>
      </c>
      <c r="F851">
        <v>73.56</v>
      </c>
      <c r="G851">
        <v>98.4</v>
      </c>
      <c r="H851" s="4" t="s">
        <v>1675</v>
      </c>
      <c r="I851" t="s">
        <v>1188</v>
      </c>
      <c r="J851" t="s">
        <v>1895</v>
      </c>
      <c r="K851" t="s">
        <v>21</v>
      </c>
      <c r="L851">
        <v>48.67</v>
      </c>
    </row>
    <row r="852" spans="1:12" x14ac:dyDescent="0.3">
      <c r="A852" t="s">
        <v>17</v>
      </c>
      <c r="B852" t="s">
        <v>36</v>
      </c>
      <c r="C852">
        <v>3985</v>
      </c>
      <c r="D852" t="str">
        <f t="shared" si="13"/>
        <v>Full</v>
      </c>
      <c r="E852">
        <v>16033</v>
      </c>
      <c r="F852">
        <v>69.930000000000007</v>
      </c>
      <c r="G852">
        <v>143.72999999999999</v>
      </c>
      <c r="H852" s="4" t="s">
        <v>1058</v>
      </c>
      <c r="I852" t="s">
        <v>1896</v>
      </c>
      <c r="J852" t="s">
        <v>1897</v>
      </c>
      <c r="K852" t="s">
        <v>40</v>
      </c>
      <c r="L852">
        <v>29.2</v>
      </c>
    </row>
    <row r="853" spans="1:12" x14ac:dyDescent="0.3">
      <c r="A853" t="s">
        <v>88</v>
      </c>
      <c r="B853" t="s">
        <v>36</v>
      </c>
      <c r="C853">
        <v>5440</v>
      </c>
      <c r="D853" t="str">
        <f t="shared" si="13"/>
        <v>Full</v>
      </c>
      <c r="E853">
        <v>20623</v>
      </c>
      <c r="F853">
        <v>152.37</v>
      </c>
      <c r="G853">
        <v>379.04</v>
      </c>
      <c r="H853" s="4" t="s">
        <v>1898</v>
      </c>
      <c r="I853" t="s">
        <v>1899</v>
      </c>
      <c r="J853" t="s">
        <v>1900</v>
      </c>
      <c r="K853" t="s">
        <v>40</v>
      </c>
      <c r="L853">
        <v>119.4</v>
      </c>
    </row>
    <row r="854" spans="1:12" x14ac:dyDescent="0.3">
      <c r="A854" t="s">
        <v>176</v>
      </c>
      <c r="B854" t="s">
        <v>23</v>
      </c>
      <c r="C854">
        <v>6866</v>
      </c>
      <c r="D854" t="str">
        <f t="shared" si="13"/>
        <v>Full</v>
      </c>
      <c r="E854">
        <v>23213</v>
      </c>
      <c r="F854">
        <v>277.74</v>
      </c>
      <c r="G854">
        <v>611.80999999999995</v>
      </c>
      <c r="H854" s="4" t="s">
        <v>627</v>
      </c>
      <c r="I854" t="s">
        <v>244</v>
      </c>
      <c r="J854" t="s">
        <v>1901</v>
      </c>
      <c r="K854" t="s">
        <v>40</v>
      </c>
      <c r="L854">
        <v>219.75</v>
      </c>
    </row>
    <row r="855" spans="1:12" x14ac:dyDescent="0.3">
      <c r="A855" t="s">
        <v>49</v>
      </c>
      <c r="B855" t="s">
        <v>12</v>
      </c>
      <c r="C855">
        <v>5990</v>
      </c>
      <c r="D855" t="str">
        <f t="shared" si="13"/>
        <v>Full</v>
      </c>
      <c r="E855">
        <v>1578</v>
      </c>
      <c r="F855">
        <v>184.52</v>
      </c>
      <c r="G855">
        <v>361.76</v>
      </c>
      <c r="H855" s="4" t="s">
        <v>140</v>
      </c>
      <c r="I855" t="s">
        <v>1142</v>
      </c>
      <c r="J855" t="s">
        <v>1902</v>
      </c>
      <c r="K855" t="s">
        <v>98</v>
      </c>
      <c r="L855">
        <v>110.96</v>
      </c>
    </row>
    <row r="856" spans="1:12" x14ac:dyDescent="0.3">
      <c r="A856" t="s">
        <v>17</v>
      </c>
      <c r="B856" t="s">
        <v>84</v>
      </c>
      <c r="C856">
        <v>847</v>
      </c>
      <c r="D856" t="str">
        <f t="shared" si="13"/>
        <v>Low</v>
      </c>
      <c r="E856">
        <v>21196</v>
      </c>
      <c r="F856">
        <v>228.89</v>
      </c>
      <c r="G856">
        <v>311.58</v>
      </c>
      <c r="H856" s="4" t="s">
        <v>137</v>
      </c>
      <c r="I856" t="s">
        <v>1903</v>
      </c>
      <c r="J856" t="s">
        <v>1904</v>
      </c>
      <c r="K856" t="s">
        <v>16</v>
      </c>
      <c r="L856">
        <v>98.82</v>
      </c>
    </row>
    <row r="857" spans="1:12" x14ac:dyDescent="0.3">
      <c r="A857" t="s">
        <v>123</v>
      </c>
      <c r="B857" t="s">
        <v>23</v>
      </c>
      <c r="C857">
        <v>8671</v>
      </c>
      <c r="D857" t="str">
        <f t="shared" si="13"/>
        <v>Full</v>
      </c>
      <c r="E857">
        <v>10719</v>
      </c>
      <c r="F857">
        <v>64.59</v>
      </c>
      <c r="G857">
        <v>109.06</v>
      </c>
      <c r="H857" s="4" t="s">
        <v>533</v>
      </c>
      <c r="I857" t="s">
        <v>1501</v>
      </c>
      <c r="J857" t="s">
        <v>1905</v>
      </c>
      <c r="K857" t="s">
        <v>16</v>
      </c>
      <c r="L857">
        <v>51.38</v>
      </c>
    </row>
    <row r="858" spans="1:12" x14ac:dyDescent="0.3">
      <c r="A858" t="s">
        <v>143</v>
      </c>
      <c r="B858" t="s">
        <v>23</v>
      </c>
      <c r="C858">
        <v>2699</v>
      </c>
      <c r="D858" t="str">
        <f t="shared" si="13"/>
        <v>Medium</v>
      </c>
      <c r="E858">
        <v>10113</v>
      </c>
      <c r="F858">
        <v>98.67</v>
      </c>
      <c r="G858">
        <v>219.35</v>
      </c>
      <c r="H858" s="4" t="s">
        <v>134</v>
      </c>
      <c r="I858" t="s">
        <v>1906</v>
      </c>
      <c r="J858" t="s">
        <v>1907</v>
      </c>
      <c r="K858" t="s">
        <v>40</v>
      </c>
      <c r="L858">
        <v>69.09</v>
      </c>
    </row>
    <row r="859" spans="1:12" x14ac:dyDescent="0.3">
      <c r="A859" t="s">
        <v>80</v>
      </c>
      <c r="B859" t="s">
        <v>23</v>
      </c>
      <c r="C859">
        <v>6115</v>
      </c>
      <c r="D859" t="str">
        <f t="shared" si="13"/>
        <v>Full</v>
      </c>
      <c r="E859">
        <v>8938</v>
      </c>
      <c r="F859">
        <v>65.72</v>
      </c>
      <c r="G859">
        <v>83.48</v>
      </c>
      <c r="H859" s="4" t="s">
        <v>1387</v>
      </c>
      <c r="I859" t="s">
        <v>1908</v>
      </c>
      <c r="J859" t="s">
        <v>1909</v>
      </c>
      <c r="K859" t="s">
        <v>16</v>
      </c>
      <c r="L859">
        <v>49.23</v>
      </c>
    </row>
    <row r="860" spans="1:12" x14ac:dyDescent="0.3">
      <c r="A860" t="s">
        <v>119</v>
      </c>
      <c r="B860" t="s">
        <v>23</v>
      </c>
      <c r="C860">
        <v>3507</v>
      </c>
      <c r="D860" t="str">
        <f t="shared" si="13"/>
        <v>Full</v>
      </c>
      <c r="E860">
        <v>15495</v>
      </c>
      <c r="F860">
        <v>190.79</v>
      </c>
      <c r="G860">
        <v>244.97</v>
      </c>
      <c r="H860" s="4" t="s">
        <v>1257</v>
      </c>
      <c r="I860" t="s">
        <v>578</v>
      </c>
      <c r="J860" t="s">
        <v>1910</v>
      </c>
      <c r="K860" t="s">
        <v>27</v>
      </c>
      <c r="L860">
        <v>124.73</v>
      </c>
    </row>
    <row r="861" spans="1:12" x14ac:dyDescent="0.3">
      <c r="A861" t="s">
        <v>123</v>
      </c>
      <c r="B861" t="s">
        <v>84</v>
      </c>
      <c r="C861">
        <v>2557</v>
      </c>
      <c r="D861" t="str">
        <f t="shared" si="13"/>
        <v>Medium</v>
      </c>
      <c r="E861">
        <v>4006</v>
      </c>
      <c r="F861">
        <v>56.23</v>
      </c>
      <c r="G861">
        <v>107.6</v>
      </c>
      <c r="H861" s="4" t="s">
        <v>1911</v>
      </c>
      <c r="I861" t="s">
        <v>1912</v>
      </c>
      <c r="J861" t="s">
        <v>1913</v>
      </c>
      <c r="K861" t="s">
        <v>27</v>
      </c>
      <c r="L861">
        <v>32.08</v>
      </c>
    </row>
    <row r="862" spans="1:12" x14ac:dyDescent="0.3">
      <c r="A862" t="s">
        <v>143</v>
      </c>
      <c r="B862" t="s">
        <v>23</v>
      </c>
      <c r="C862">
        <v>3189</v>
      </c>
      <c r="D862" t="str">
        <f t="shared" si="13"/>
        <v>Full</v>
      </c>
      <c r="E862">
        <v>24647</v>
      </c>
      <c r="F862">
        <v>63.27</v>
      </c>
      <c r="G862">
        <v>110.8</v>
      </c>
      <c r="H862" s="4" t="s">
        <v>1914</v>
      </c>
      <c r="I862" t="s">
        <v>1592</v>
      </c>
      <c r="J862" t="s">
        <v>1915</v>
      </c>
      <c r="K862" t="s">
        <v>40</v>
      </c>
      <c r="L862">
        <v>39.9</v>
      </c>
    </row>
    <row r="863" spans="1:12" x14ac:dyDescent="0.3">
      <c r="A863" t="s">
        <v>88</v>
      </c>
      <c r="B863" t="s">
        <v>23</v>
      </c>
      <c r="C863">
        <v>8383</v>
      </c>
      <c r="D863" t="str">
        <f t="shared" si="13"/>
        <v>Full</v>
      </c>
      <c r="E863">
        <v>3621</v>
      </c>
      <c r="F863">
        <v>285.55</v>
      </c>
      <c r="G863">
        <v>476.14</v>
      </c>
      <c r="H863" s="4" t="s">
        <v>1916</v>
      </c>
      <c r="I863" t="s">
        <v>1917</v>
      </c>
      <c r="J863" t="s">
        <v>1918</v>
      </c>
      <c r="K863" t="s">
        <v>21</v>
      </c>
      <c r="L863">
        <v>162.5</v>
      </c>
    </row>
    <row r="864" spans="1:12" x14ac:dyDescent="0.3">
      <c r="A864" t="s">
        <v>176</v>
      </c>
      <c r="B864" t="s">
        <v>36</v>
      </c>
      <c r="C864">
        <v>3053</v>
      </c>
      <c r="D864" t="str">
        <f t="shared" si="13"/>
        <v>Full</v>
      </c>
      <c r="E864">
        <v>16794</v>
      </c>
      <c r="F864">
        <v>10.84</v>
      </c>
      <c r="G864">
        <v>18.38</v>
      </c>
      <c r="H864" s="4" t="s">
        <v>1919</v>
      </c>
      <c r="I864" t="s">
        <v>1787</v>
      </c>
      <c r="J864" t="s">
        <v>1920</v>
      </c>
      <c r="K864" t="s">
        <v>16</v>
      </c>
      <c r="L864">
        <v>5</v>
      </c>
    </row>
    <row r="865" spans="1:12" x14ac:dyDescent="0.3">
      <c r="A865" t="s">
        <v>56</v>
      </c>
      <c r="B865" t="s">
        <v>23</v>
      </c>
      <c r="C865">
        <v>6733</v>
      </c>
      <c r="D865" t="str">
        <f t="shared" si="13"/>
        <v>Full</v>
      </c>
      <c r="E865">
        <v>16192</v>
      </c>
      <c r="F865">
        <v>95.22</v>
      </c>
      <c r="G865">
        <v>149.32</v>
      </c>
      <c r="H865" s="4" t="s">
        <v>934</v>
      </c>
      <c r="I865" t="s">
        <v>1921</v>
      </c>
      <c r="J865" t="s">
        <v>1922</v>
      </c>
      <c r="K865" t="s">
        <v>27</v>
      </c>
      <c r="L865">
        <v>50.78</v>
      </c>
    </row>
    <row r="866" spans="1:12" x14ac:dyDescent="0.3">
      <c r="A866" t="s">
        <v>49</v>
      </c>
      <c r="B866" t="s">
        <v>84</v>
      </c>
      <c r="C866">
        <v>3035</v>
      </c>
      <c r="D866" t="str">
        <f t="shared" si="13"/>
        <v>Full</v>
      </c>
      <c r="E866">
        <v>7213</v>
      </c>
      <c r="F866">
        <v>6.23</v>
      </c>
      <c r="G866">
        <v>14.45</v>
      </c>
      <c r="H866" s="4" t="s">
        <v>312</v>
      </c>
      <c r="I866" t="s">
        <v>1923</v>
      </c>
      <c r="J866" t="s">
        <v>1924</v>
      </c>
      <c r="K866" t="s">
        <v>21</v>
      </c>
      <c r="L866">
        <v>4.84</v>
      </c>
    </row>
    <row r="867" spans="1:12" x14ac:dyDescent="0.3">
      <c r="A867" t="s">
        <v>76</v>
      </c>
      <c r="B867" t="s">
        <v>36</v>
      </c>
      <c r="C867">
        <v>8520</v>
      </c>
      <c r="D867" t="str">
        <f t="shared" si="13"/>
        <v>Full</v>
      </c>
      <c r="E867">
        <v>11086</v>
      </c>
      <c r="F867">
        <v>194.11</v>
      </c>
      <c r="G867">
        <v>381.39</v>
      </c>
      <c r="H867" s="4" t="s">
        <v>1925</v>
      </c>
      <c r="I867" t="s">
        <v>1619</v>
      </c>
      <c r="J867" t="s">
        <v>1926</v>
      </c>
      <c r="K867" t="s">
        <v>21</v>
      </c>
      <c r="L867">
        <v>150.02000000000001</v>
      </c>
    </row>
    <row r="868" spans="1:12" x14ac:dyDescent="0.3">
      <c r="A868" t="s">
        <v>56</v>
      </c>
      <c r="B868" t="s">
        <v>84</v>
      </c>
      <c r="C868">
        <v>7648</v>
      </c>
      <c r="D868" t="str">
        <f t="shared" si="13"/>
        <v>Full</v>
      </c>
      <c r="E868">
        <v>9364</v>
      </c>
      <c r="F868">
        <v>232.52</v>
      </c>
      <c r="G868">
        <v>506.21</v>
      </c>
      <c r="H868" s="4" t="s">
        <v>735</v>
      </c>
      <c r="I868" t="s">
        <v>1927</v>
      </c>
      <c r="J868" t="s">
        <v>665</v>
      </c>
      <c r="K868" t="s">
        <v>40</v>
      </c>
      <c r="L868">
        <v>157.78</v>
      </c>
    </row>
    <row r="869" spans="1:12" x14ac:dyDescent="0.3">
      <c r="A869" t="s">
        <v>299</v>
      </c>
      <c r="B869" t="s">
        <v>36</v>
      </c>
      <c r="C869">
        <v>4543</v>
      </c>
      <c r="D869" t="str">
        <f t="shared" si="13"/>
        <v>Full</v>
      </c>
      <c r="E869">
        <v>8941</v>
      </c>
      <c r="F869">
        <v>145.93</v>
      </c>
      <c r="G869">
        <v>349.93</v>
      </c>
      <c r="H869" s="4" t="s">
        <v>1738</v>
      </c>
      <c r="I869" t="s">
        <v>1928</v>
      </c>
      <c r="J869" t="s">
        <v>1929</v>
      </c>
      <c r="K869" t="s">
        <v>27</v>
      </c>
      <c r="L869">
        <v>99.08</v>
      </c>
    </row>
    <row r="870" spans="1:12" x14ac:dyDescent="0.3">
      <c r="A870" t="s">
        <v>123</v>
      </c>
      <c r="B870" t="s">
        <v>23</v>
      </c>
      <c r="C870">
        <v>7962</v>
      </c>
      <c r="D870" t="str">
        <f t="shared" si="13"/>
        <v>Full</v>
      </c>
      <c r="E870">
        <v>23317</v>
      </c>
      <c r="F870">
        <v>48.47</v>
      </c>
      <c r="G870">
        <v>73.75</v>
      </c>
      <c r="H870" s="4" t="s">
        <v>565</v>
      </c>
      <c r="I870" t="s">
        <v>1813</v>
      </c>
      <c r="J870" t="s">
        <v>1930</v>
      </c>
      <c r="K870" t="s">
        <v>27</v>
      </c>
      <c r="L870">
        <v>21.65</v>
      </c>
    </row>
    <row r="871" spans="1:12" x14ac:dyDescent="0.3">
      <c r="A871" t="s">
        <v>41</v>
      </c>
      <c r="B871" t="s">
        <v>36</v>
      </c>
      <c r="C871">
        <v>7015</v>
      </c>
      <c r="D871" t="str">
        <f t="shared" si="13"/>
        <v>Full</v>
      </c>
      <c r="E871">
        <v>24136</v>
      </c>
      <c r="F871">
        <v>177.92</v>
      </c>
      <c r="G871">
        <v>421.9</v>
      </c>
      <c r="H871" s="4" t="s">
        <v>1115</v>
      </c>
      <c r="I871" t="s">
        <v>836</v>
      </c>
      <c r="J871" t="s">
        <v>1931</v>
      </c>
      <c r="K871" t="s">
        <v>98</v>
      </c>
      <c r="L871">
        <v>130.22</v>
      </c>
    </row>
    <row r="872" spans="1:12" x14ac:dyDescent="0.3">
      <c r="A872" t="s">
        <v>147</v>
      </c>
      <c r="B872" t="s">
        <v>23</v>
      </c>
      <c r="C872">
        <v>8702</v>
      </c>
      <c r="D872" t="str">
        <f t="shared" si="13"/>
        <v>Full</v>
      </c>
      <c r="E872">
        <v>18471</v>
      </c>
      <c r="F872">
        <v>199.25</v>
      </c>
      <c r="G872">
        <v>338.25</v>
      </c>
      <c r="H872" s="4" t="s">
        <v>620</v>
      </c>
      <c r="I872" t="s">
        <v>1932</v>
      </c>
      <c r="J872" t="s">
        <v>1933</v>
      </c>
      <c r="K872" t="s">
        <v>27</v>
      </c>
      <c r="L872">
        <v>130.4</v>
      </c>
    </row>
    <row r="873" spans="1:12" x14ac:dyDescent="0.3">
      <c r="A873" t="s">
        <v>76</v>
      </c>
      <c r="B873" t="s">
        <v>84</v>
      </c>
      <c r="C873">
        <v>4907</v>
      </c>
      <c r="D873" t="str">
        <f t="shared" si="13"/>
        <v>Full</v>
      </c>
      <c r="E873">
        <v>7865</v>
      </c>
      <c r="F873">
        <v>279.35000000000002</v>
      </c>
      <c r="G873">
        <v>479.74</v>
      </c>
      <c r="H873" s="4" t="s">
        <v>620</v>
      </c>
      <c r="I873" t="s">
        <v>745</v>
      </c>
      <c r="J873" t="s">
        <v>1934</v>
      </c>
      <c r="K873" t="s">
        <v>21</v>
      </c>
      <c r="L873">
        <v>111.92</v>
      </c>
    </row>
    <row r="874" spans="1:12" x14ac:dyDescent="0.3">
      <c r="A874" t="s">
        <v>41</v>
      </c>
      <c r="B874" t="s">
        <v>36</v>
      </c>
      <c r="C874">
        <v>9100</v>
      </c>
      <c r="D874" t="str">
        <f t="shared" si="13"/>
        <v>Full</v>
      </c>
      <c r="E874">
        <v>14659</v>
      </c>
      <c r="F874">
        <v>198.08</v>
      </c>
      <c r="G874">
        <v>426.46</v>
      </c>
      <c r="H874" s="4" t="s">
        <v>1340</v>
      </c>
      <c r="I874" t="s">
        <v>465</v>
      </c>
      <c r="J874" t="s">
        <v>1935</v>
      </c>
      <c r="K874" t="s">
        <v>98</v>
      </c>
      <c r="L874">
        <v>135.02000000000001</v>
      </c>
    </row>
    <row r="875" spans="1:12" x14ac:dyDescent="0.3">
      <c r="A875" t="s">
        <v>88</v>
      </c>
      <c r="B875" t="s">
        <v>36</v>
      </c>
      <c r="C875">
        <v>3481</v>
      </c>
      <c r="D875" t="str">
        <f t="shared" si="13"/>
        <v>Full</v>
      </c>
      <c r="E875">
        <v>17469</v>
      </c>
      <c r="F875">
        <v>284.8</v>
      </c>
      <c r="G875">
        <v>508.61</v>
      </c>
      <c r="H875" s="4" t="s">
        <v>1936</v>
      </c>
      <c r="I875" t="s">
        <v>121</v>
      </c>
      <c r="J875" t="s">
        <v>1937</v>
      </c>
      <c r="K875" t="s">
        <v>27</v>
      </c>
      <c r="L875">
        <v>199.35</v>
      </c>
    </row>
    <row r="876" spans="1:12" x14ac:dyDescent="0.3">
      <c r="A876" t="s">
        <v>88</v>
      </c>
      <c r="B876" t="s">
        <v>23</v>
      </c>
      <c r="C876">
        <v>7197</v>
      </c>
      <c r="D876" t="str">
        <f t="shared" si="13"/>
        <v>Full</v>
      </c>
      <c r="E876">
        <v>15441</v>
      </c>
      <c r="F876">
        <v>189.92</v>
      </c>
      <c r="G876">
        <v>382.07</v>
      </c>
      <c r="H876" s="4" t="s">
        <v>1209</v>
      </c>
      <c r="I876" t="s">
        <v>586</v>
      </c>
      <c r="J876" t="s">
        <v>1938</v>
      </c>
      <c r="K876" t="s">
        <v>40</v>
      </c>
      <c r="L876">
        <v>82.48</v>
      </c>
    </row>
    <row r="877" spans="1:12" x14ac:dyDescent="0.3">
      <c r="A877" t="s">
        <v>11</v>
      </c>
      <c r="B877" t="s">
        <v>23</v>
      </c>
      <c r="C877">
        <v>1552</v>
      </c>
      <c r="D877" t="str">
        <f t="shared" si="13"/>
        <v>Medium</v>
      </c>
      <c r="E877">
        <v>12211</v>
      </c>
      <c r="F877">
        <v>13.75</v>
      </c>
      <c r="G877">
        <v>20.7</v>
      </c>
      <c r="H877" s="4" t="s">
        <v>703</v>
      </c>
      <c r="I877" t="s">
        <v>1939</v>
      </c>
      <c r="J877" t="s">
        <v>1940</v>
      </c>
      <c r="K877" t="s">
        <v>27</v>
      </c>
      <c r="L877">
        <v>5.84</v>
      </c>
    </row>
    <row r="878" spans="1:12" x14ac:dyDescent="0.3">
      <c r="A878" t="s">
        <v>17</v>
      </c>
      <c r="B878" t="s">
        <v>32</v>
      </c>
      <c r="C878">
        <v>1185</v>
      </c>
      <c r="D878" t="str">
        <f t="shared" si="13"/>
        <v>Medium</v>
      </c>
      <c r="E878">
        <v>4173</v>
      </c>
      <c r="F878">
        <v>67.27</v>
      </c>
      <c r="G878">
        <v>149.97</v>
      </c>
      <c r="H878" s="4" t="s">
        <v>775</v>
      </c>
      <c r="I878" t="s">
        <v>1941</v>
      </c>
      <c r="J878" t="s">
        <v>1942</v>
      </c>
      <c r="K878" t="s">
        <v>40</v>
      </c>
      <c r="L878">
        <v>51.99</v>
      </c>
    </row>
    <row r="879" spans="1:12" x14ac:dyDescent="0.3">
      <c r="A879" t="s">
        <v>49</v>
      </c>
      <c r="B879" t="s">
        <v>23</v>
      </c>
      <c r="C879">
        <v>7536</v>
      </c>
      <c r="D879" t="str">
        <f t="shared" si="13"/>
        <v>Full</v>
      </c>
      <c r="E879">
        <v>12028</v>
      </c>
      <c r="F879">
        <v>114.38</v>
      </c>
      <c r="G879">
        <v>269.62</v>
      </c>
      <c r="H879" s="4" t="s">
        <v>688</v>
      </c>
      <c r="I879" t="s">
        <v>1943</v>
      </c>
      <c r="J879" t="s">
        <v>1944</v>
      </c>
      <c r="K879" t="s">
        <v>21</v>
      </c>
      <c r="L879">
        <v>63.07</v>
      </c>
    </row>
    <row r="880" spans="1:12" x14ac:dyDescent="0.3">
      <c r="A880" t="s">
        <v>127</v>
      </c>
      <c r="B880" t="s">
        <v>23</v>
      </c>
      <c r="C880">
        <v>5910</v>
      </c>
      <c r="D880" t="str">
        <f t="shared" si="13"/>
        <v>Full</v>
      </c>
      <c r="E880">
        <v>4282</v>
      </c>
      <c r="F880">
        <v>5.91</v>
      </c>
      <c r="G880">
        <v>13.78</v>
      </c>
      <c r="H880" s="4" t="s">
        <v>1631</v>
      </c>
      <c r="I880" t="s">
        <v>1945</v>
      </c>
      <c r="J880" t="s">
        <v>1946</v>
      </c>
      <c r="K880" t="s">
        <v>16</v>
      </c>
      <c r="L880">
        <v>2.65</v>
      </c>
    </row>
    <row r="881" spans="1:12" x14ac:dyDescent="0.3">
      <c r="A881" t="s">
        <v>119</v>
      </c>
      <c r="B881" t="s">
        <v>23</v>
      </c>
      <c r="C881">
        <v>4572</v>
      </c>
      <c r="D881" t="str">
        <f t="shared" si="13"/>
        <v>Full</v>
      </c>
      <c r="E881">
        <v>13072</v>
      </c>
      <c r="F881">
        <v>138.32</v>
      </c>
      <c r="G881">
        <v>289.37</v>
      </c>
      <c r="H881" s="4" t="s">
        <v>167</v>
      </c>
      <c r="I881" t="s">
        <v>1947</v>
      </c>
      <c r="J881" t="s">
        <v>1948</v>
      </c>
      <c r="K881" t="s">
        <v>98</v>
      </c>
      <c r="L881">
        <v>55.5</v>
      </c>
    </row>
    <row r="882" spans="1:12" x14ac:dyDescent="0.3">
      <c r="A882" t="s">
        <v>45</v>
      </c>
      <c r="B882" t="s">
        <v>12</v>
      </c>
      <c r="C882">
        <v>6401</v>
      </c>
      <c r="D882" t="str">
        <f t="shared" si="13"/>
        <v>Full</v>
      </c>
      <c r="E882">
        <v>2499</v>
      </c>
      <c r="F882">
        <v>291.02999999999997</v>
      </c>
      <c r="G882">
        <v>627.62</v>
      </c>
      <c r="H882" s="4" t="s">
        <v>1548</v>
      </c>
      <c r="I882" t="s">
        <v>103</v>
      </c>
      <c r="J882" t="s">
        <v>1949</v>
      </c>
      <c r="K882" t="s">
        <v>16</v>
      </c>
      <c r="L882">
        <v>172.82</v>
      </c>
    </row>
    <row r="883" spans="1:12" x14ac:dyDescent="0.3">
      <c r="A883" t="s">
        <v>176</v>
      </c>
      <c r="B883" t="s">
        <v>12</v>
      </c>
      <c r="C883">
        <v>6207</v>
      </c>
      <c r="D883" t="str">
        <f t="shared" si="13"/>
        <v>Full</v>
      </c>
      <c r="E883">
        <v>15021</v>
      </c>
      <c r="F883">
        <v>282.02999999999997</v>
      </c>
      <c r="G883">
        <v>683.62</v>
      </c>
      <c r="H883" s="4" t="s">
        <v>1207</v>
      </c>
      <c r="I883" t="s">
        <v>1950</v>
      </c>
      <c r="J883" t="s">
        <v>1951</v>
      </c>
      <c r="K883" t="s">
        <v>21</v>
      </c>
      <c r="L883">
        <v>145.96</v>
      </c>
    </row>
    <row r="884" spans="1:12" x14ac:dyDescent="0.3">
      <c r="A884" t="s">
        <v>88</v>
      </c>
      <c r="B884" t="s">
        <v>84</v>
      </c>
      <c r="C884">
        <v>9020</v>
      </c>
      <c r="D884" t="str">
        <f t="shared" si="13"/>
        <v>Full</v>
      </c>
      <c r="E884">
        <v>19739</v>
      </c>
      <c r="F884">
        <v>236.53</v>
      </c>
      <c r="G884">
        <v>504.2</v>
      </c>
      <c r="H884" s="4" t="s">
        <v>81</v>
      </c>
      <c r="I884" t="s">
        <v>1952</v>
      </c>
      <c r="J884" t="s">
        <v>1953</v>
      </c>
      <c r="K884" t="s">
        <v>27</v>
      </c>
      <c r="L884">
        <v>123.12</v>
      </c>
    </row>
    <row r="885" spans="1:12" x14ac:dyDescent="0.3">
      <c r="A885" t="s">
        <v>66</v>
      </c>
      <c r="B885" t="s">
        <v>36</v>
      </c>
      <c r="C885">
        <v>3253</v>
      </c>
      <c r="D885" t="str">
        <f t="shared" si="13"/>
        <v>Full</v>
      </c>
      <c r="E885">
        <v>15623</v>
      </c>
      <c r="F885">
        <v>286.74</v>
      </c>
      <c r="G885">
        <v>523.82000000000005</v>
      </c>
      <c r="H885" s="4" t="s">
        <v>344</v>
      </c>
      <c r="I885" t="s">
        <v>1954</v>
      </c>
      <c r="J885" t="s">
        <v>1955</v>
      </c>
      <c r="K885" t="s">
        <v>98</v>
      </c>
      <c r="L885">
        <v>134.24</v>
      </c>
    </row>
    <row r="886" spans="1:12" x14ac:dyDescent="0.3">
      <c r="A886" t="s">
        <v>41</v>
      </c>
      <c r="B886" t="s">
        <v>12</v>
      </c>
      <c r="C886">
        <v>7625</v>
      </c>
      <c r="D886" t="str">
        <f t="shared" si="13"/>
        <v>Full</v>
      </c>
      <c r="E886">
        <v>24454</v>
      </c>
      <c r="F886">
        <v>13.62</v>
      </c>
      <c r="G886">
        <v>32.79</v>
      </c>
      <c r="H886" s="4" t="s">
        <v>197</v>
      </c>
      <c r="I886" t="s">
        <v>871</v>
      </c>
      <c r="J886" t="s">
        <v>1956</v>
      </c>
      <c r="K886" t="s">
        <v>98</v>
      </c>
      <c r="L886">
        <v>9.3699999999999992</v>
      </c>
    </row>
    <row r="887" spans="1:12" x14ac:dyDescent="0.3">
      <c r="A887" t="s">
        <v>49</v>
      </c>
      <c r="B887" t="s">
        <v>12</v>
      </c>
      <c r="C887">
        <v>2724</v>
      </c>
      <c r="D887" t="str">
        <f t="shared" si="13"/>
        <v>Medium</v>
      </c>
      <c r="E887">
        <v>18515</v>
      </c>
      <c r="F887">
        <v>191.9</v>
      </c>
      <c r="G887">
        <v>353.01</v>
      </c>
      <c r="H887" s="4" t="s">
        <v>293</v>
      </c>
      <c r="I887" t="s">
        <v>916</v>
      </c>
      <c r="J887" t="s">
        <v>1957</v>
      </c>
      <c r="K887" t="s">
        <v>16</v>
      </c>
      <c r="L887">
        <v>81.72</v>
      </c>
    </row>
    <row r="888" spans="1:12" x14ac:dyDescent="0.3">
      <c r="A888" t="s">
        <v>45</v>
      </c>
      <c r="B888" t="s">
        <v>36</v>
      </c>
      <c r="C888">
        <v>6752</v>
      </c>
      <c r="D888" t="str">
        <f t="shared" si="13"/>
        <v>Full</v>
      </c>
      <c r="E888">
        <v>22427</v>
      </c>
      <c r="F888">
        <v>194.42</v>
      </c>
      <c r="G888">
        <v>375.32</v>
      </c>
      <c r="H888" s="4" t="s">
        <v>1780</v>
      </c>
      <c r="I888" t="s">
        <v>68</v>
      </c>
      <c r="J888" t="s">
        <v>1958</v>
      </c>
      <c r="K888" t="s">
        <v>40</v>
      </c>
      <c r="L888">
        <v>86.76</v>
      </c>
    </row>
    <row r="889" spans="1:12" x14ac:dyDescent="0.3">
      <c r="A889" t="s">
        <v>41</v>
      </c>
      <c r="B889" t="s">
        <v>12</v>
      </c>
      <c r="C889">
        <v>1960</v>
      </c>
      <c r="D889" t="str">
        <f t="shared" si="13"/>
        <v>Medium</v>
      </c>
      <c r="E889">
        <v>12148</v>
      </c>
      <c r="F889">
        <v>223.47</v>
      </c>
      <c r="G889">
        <v>540.42999999999995</v>
      </c>
      <c r="H889" s="4" t="s">
        <v>912</v>
      </c>
      <c r="I889" t="s">
        <v>189</v>
      </c>
      <c r="J889" t="s">
        <v>1959</v>
      </c>
      <c r="K889" t="s">
        <v>98</v>
      </c>
      <c r="L889">
        <v>165.67</v>
      </c>
    </row>
    <row r="890" spans="1:12" x14ac:dyDescent="0.3">
      <c r="A890" t="s">
        <v>299</v>
      </c>
      <c r="B890" t="s">
        <v>32</v>
      </c>
      <c r="C890">
        <v>527</v>
      </c>
      <c r="D890" t="str">
        <f t="shared" si="13"/>
        <v>Low</v>
      </c>
      <c r="E890">
        <v>11184</v>
      </c>
      <c r="F890">
        <v>23.26</v>
      </c>
      <c r="G890">
        <v>44.11</v>
      </c>
      <c r="H890" s="4" t="s">
        <v>1460</v>
      </c>
      <c r="I890" t="s">
        <v>1960</v>
      </c>
      <c r="J890" t="s">
        <v>1961</v>
      </c>
      <c r="K890" t="s">
        <v>40</v>
      </c>
      <c r="L890">
        <v>16.72</v>
      </c>
    </row>
    <row r="891" spans="1:12" x14ac:dyDescent="0.3">
      <c r="A891" t="s">
        <v>123</v>
      </c>
      <c r="B891" t="s">
        <v>32</v>
      </c>
      <c r="C891">
        <v>4139</v>
      </c>
      <c r="D891" t="str">
        <f t="shared" si="13"/>
        <v>Full</v>
      </c>
      <c r="E891">
        <v>4492</v>
      </c>
      <c r="F891">
        <v>121.62</v>
      </c>
      <c r="G891">
        <v>231.05</v>
      </c>
      <c r="H891" s="4" t="s">
        <v>1367</v>
      </c>
      <c r="I891" t="s">
        <v>1962</v>
      </c>
      <c r="J891" t="s">
        <v>1963</v>
      </c>
      <c r="K891" t="s">
        <v>40</v>
      </c>
      <c r="L891">
        <v>89.38</v>
      </c>
    </row>
    <row r="892" spans="1:12" x14ac:dyDescent="0.3">
      <c r="A892" t="s">
        <v>49</v>
      </c>
      <c r="B892" t="s">
        <v>36</v>
      </c>
      <c r="C892">
        <v>2915</v>
      </c>
      <c r="D892" t="str">
        <f t="shared" si="13"/>
        <v>Medium</v>
      </c>
      <c r="E892">
        <v>20708</v>
      </c>
      <c r="F892">
        <v>88.6</v>
      </c>
      <c r="G892">
        <v>192.37</v>
      </c>
      <c r="H892" s="4" t="s">
        <v>923</v>
      </c>
      <c r="I892" t="s">
        <v>1964</v>
      </c>
      <c r="J892" t="s">
        <v>1965</v>
      </c>
      <c r="K892" t="s">
        <v>40</v>
      </c>
      <c r="L892">
        <v>53.24</v>
      </c>
    </row>
    <row r="893" spans="1:12" x14ac:dyDescent="0.3">
      <c r="A893" t="s">
        <v>11</v>
      </c>
      <c r="B893" t="s">
        <v>23</v>
      </c>
      <c r="C893">
        <v>9903</v>
      </c>
      <c r="D893" t="str">
        <f t="shared" si="13"/>
        <v>Full</v>
      </c>
      <c r="E893">
        <v>16672</v>
      </c>
      <c r="F893">
        <v>191.17</v>
      </c>
      <c r="G893">
        <v>283.01</v>
      </c>
      <c r="H893" s="4" t="s">
        <v>1966</v>
      </c>
      <c r="I893" t="s">
        <v>29</v>
      </c>
      <c r="J893" t="s">
        <v>1967</v>
      </c>
      <c r="K893" t="s">
        <v>27</v>
      </c>
      <c r="L893">
        <v>151.49</v>
      </c>
    </row>
    <row r="894" spans="1:12" x14ac:dyDescent="0.3">
      <c r="A894" t="s">
        <v>45</v>
      </c>
      <c r="B894" t="s">
        <v>84</v>
      </c>
      <c r="C894">
        <v>3950</v>
      </c>
      <c r="D894" t="str">
        <f t="shared" si="13"/>
        <v>Full</v>
      </c>
      <c r="E894">
        <v>8375</v>
      </c>
      <c r="F894">
        <v>211.62</v>
      </c>
      <c r="G894">
        <v>268.41000000000003</v>
      </c>
      <c r="H894" s="4" t="s">
        <v>1566</v>
      </c>
      <c r="I894" t="s">
        <v>1968</v>
      </c>
      <c r="J894" t="s">
        <v>1969</v>
      </c>
      <c r="K894" t="s">
        <v>40</v>
      </c>
      <c r="L894">
        <v>167.97</v>
      </c>
    </row>
    <row r="895" spans="1:12" x14ac:dyDescent="0.3">
      <c r="A895" t="s">
        <v>56</v>
      </c>
      <c r="B895" t="s">
        <v>12</v>
      </c>
      <c r="C895">
        <v>9477</v>
      </c>
      <c r="D895" t="str">
        <f t="shared" si="13"/>
        <v>Full</v>
      </c>
      <c r="E895">
        <v>13854</v>
      </c>
      <c r="F895">
        <v>104.54</v>
      </c>
      <c r="G895">
        <v>217.58</v>
      </c>
      <c r="H895" s="4" t="s">
        <v>735</v>
      </c>
      <c r="I895" t="s">
        <v>970</v>
      </c>
      <c r="J895" t="s">
        <v>1970</v>
      </c>
      <c r="K895" t="s">
        <v>27</v>
      </c>
      <c r="L895">
        <v>63.89</v>
      </c>
    </row>
    <row r="896" spans="1:12" x14ac:dyDescent="0.3">
      <c r="A896" t="s">
        <v>31</v>
      </c>
      <c r="B896" t="s">
        <v>23</v>
      </c>
      <c r="C896">
        <v>3696</v>
      </c>
      <c r="D896" t="str">
        <f t="shared" si="13"/>
        <v>Full</v>
      </c>
      <c r="E896">
        <v>23973</v>
      </c>
      <c r="F896">
        <v>257.58999999999997</v>
      </c>
      <c r="G896">
        <v>440.97</v>
      </c>
      <c r="H896" s="4" t="s">
        <v>1971</v>
      </c>
      <c r="I896" t="s">
        <v>1871</v>
      </c>
      <c r="J896" t="s">
        <v>1972</v>
      </c>
      <c r="K896" t="s">
        <v>27</v>
      </c>
      <c r="L896">
        <v>190.6</v>
      </c>
    </row>
    <row r="897" spans="1:12" x14ac:dyDescent="0.3">
      <c r="A897" t="s">
        <v>31</v>
      </c>
      <c r="B897" t="s">
        <v>36</v>
      </c>
      <c r="C897">
        <v>3181</v>
      </c>
      <c r="D897" t="str">
        <f t="shared" si="13"/>
        <v>Full</v>
      </c>
      <c r="E897">
        <v>19912</v>
      </c>
      <c r="F897">
        <v>45.58</v>
      </c>
      <c r="G897">
        <v>95.93</v>
      </c>
      <c r="H897" s="4" t="s">
        <v>1966</v>
      </c>
      <c r="I897" t="s">
        <v>1844</v>
      </c>
      <c r="J897" t="s">
        <v>1973</v>
      </c>
      <c r="K897" t="s">
        <v>98</v>
      </c>
      <c r="L897">
        <v>32.9</v>
      </c>
    </row>
    <row r="898" spans="1:12" x14ac:dyDescent="0.3">
      <c r="A898" t="s">
        <v>88</v>
      </c>
      <c r="B898" t="s">
        <v>12</v>
      </c>
      <c r="C898">
        <v>6434</v>
      </c>
      <c r="D898" t="str">
        <f t="shared" si="13"/>
        <v>Full</v>
      </c>
      <c r="E898">
        <v>24788</v>
      </c>
      <c r="F898">
        <v>257.56</v>
      </c>
      <c r="G898">
        <v>343.21</v>
      </c>
      <c r="H898" s="4" t="s">
        <v>1553</v>
      </c>
      <c r="I898" t="s">
        <v>1173</v>
      </c>
      <c r="J898" t="s">
        <v>1974</v>
      </c>
      <c r="K898" t="s">
        <v>98</v>
      </c>
      <c r="L898">
        <v>198.42</v>
      </c>
    </row>
    <row r="899" spans="1:12" x14ac:dyDescent="0.3">
      <c r="A899" t="s">
        <v>11</v>
      </c>
      <c r="B899" t="s">
        <v>23</v>
      </c>
      <c r="C899">
        <v>8263</v>
      </c>
      <c r="D899" t="str">
        <f t="shared" ref="D899:D962" si="14">IF(C899&lt;1000,"Low",IF(C899&lt;=3000,"Medium","Full"))</f>
        <v>Full</v>
      </c>
      <c r="E899">
        <v>6886</v>
      </c>
      <c r="F899">
        <v>283.79000000000002</v>
      </c>
      <c r="G899">
        <v>383.84</v>
      </c>
      <c r="H899" s="4" t="s">
        <v>1952</v>
      </c>
      <c r="I899" t="s">
        <v>1975</v>
      </c>
      <c r="J899" t="s">
        <v>1976</v>
      </c>
      <c r="K899" t="s">
        <v>16</v>
      </c>
      <c r="L899">
        <v>162.76</v>
      </c>
    </row>
    <row r="900" spans="1:12" x14ac:dyDescent="0.3">
      <c r="A900" t="s">
        <v>123</v>
      </c>
      <c r="B900" t="s">
        <v>36</v>
      </c>
      <c r="C900">
        <v>4514</v>
      </c>
      <c r="D900" t="str">
        <f t="shared" si="14"/>
        <v>Full</v>
      </c>
      <c r="E900">
        <v>2113</v>
      </c>
      <c r="F900">
        <v>40.049999999999997</v>
      </c>
      <c r="G900">
        <v>68.709999999999994</v>
      </c>
      <c r="H900" s="4" t="s">
        <v>957</v>
      </c>
      <c r="I900" t="s">
        <v>1947</v>
      </c>
      <c r="J900" t="s">
        <v>1977</v>
      </c>
      <c r="K900" t="s">
        <v>98</v>
      </c>
      <c r="L900">
        <v>26.48</v>
      </c>
    </row>
    <row r="901" spans="1:12" x14ac:dyDescent="0.3">
      <c r="A901" t="s">
        <v>299</v>
      </c>
      <c r="B901" t="s">
        <v>12</v>
      </c>
      <c r="C901">
        <v>8096</v>
      </c>
      <c r="D901" t="str">
        <f t="shared" si="14"/>
        <v>Full</v>
      </c>
      <c r="E901">
        <v>22309</v>
      </c>
      <c r="F901">
        <v>117.72</v>
      </c>
      <c r="G901">
        <v>238.03</v>
      </c>
      <c r="H901" s="4" t="s">
        <v>1198</v>
      </c>
      <c r="I901" t="s">
        <v>513</v>
      </c>
      <c r="J901" t="s">
        <v>1978</v>
      </c>
      <c r="K901" t="s">
        <v>27</v>
      </c>
      <c r="L901">
        <v>52.58</v>
      </c>
    </row>
    <row r="902" spans="1:12" x14ac:dyDescent="0.3">
      <c r="A902" t="s">
        <v>11</v>
      </c>
      <c r="B902" t="s">
        <v>36</v>
      </c>
      <c r="C902">
        <v>8851</v>
      </c>
      <c r="D902" t="str">
        <f t="shared" si="14"/>
        <v>Full</v>
      </c>
      <c r="E902">
        <v>8370</v>
      </c>
      <c r="F902">
        <v>11.79</v>
      </c>
      <c r="G902">
        <v>22.93</v>
      </c>
      <c r="H902" s="4" t="s">
        <v>335</v>
      </c>
      <c r="I902" t="s">
        <v>1979</v>
      </c>
      <c r="J902" t="s">
        <v>1980</v>
      </c>
      <c r="K902" t="s">
        <v>27</v>
      </c>
      <c r="L902">
        <v>8.4600000000000009</v>
      </c>
    </row>
    <row r="903" spans="1:12" x14ac:dyDescent="0.3">
      <c r="A903" t="s">
        <v>56</v>
      </c>
      <c r="B903" t="s">
        <v>36</v>
      </c>
      <c r="C903">
        <v>8432</v>
      </c>
      <c r="D903" t="str">
        <f t="shared" si="14"/>
        <v>Full</v>
      </c>
      <c r="E903">
        <v>22122</v>
      </c>
      <c r="F903">
        <v>212.31</v>
      </c>
      <c r="G903">
        <v>337.12</v>
      </c>
      <c r="H903" s="4" t="s">
        <v>1981</v>
      </c>
      <c r="I903" t="s">
        <v>527</v>
      </c>
      <c r="J903" t="s">
        <v>1982</v>
      </c>
      <c r="K903" t="s">
        <v>27</v>
      </c>
      <c r="L903">
        <v>145.54</v>
      </c>
    </row>
    <row r="904" spans="1:12" x14ac:dyDescent="0.3">
      <c r="A904" t="s">
        <v>66</v>
      </c>
      <c r="B904" t="s">
        <v>84</v>
      </c>
      <c r="C904">
        <v>7140</v>
      </c>
      <c r="D904" t="str">
        <f t="shared" si="14"/>
        <v>Full</v>
      </c>
      <c r="E904">
        <v>23961</v>
      </c>
      <c r="F904">
        <v>10.83</v>
      </c>
      <c r="G904">
        <v>20.82</v>
      </c>
      <c r="H904" s="4" t="s">
        <v>1898</v>
      </c>
      <c r="I904" t="s">
        <v>447</v>
      </c>
      <c r="J904" t="s">
        <v>1983</v>
      </c>
      <c r="K904" t="s">
        <v>27</v>
      </c>
      <c r="L904">
        <v>6.58</v>
      </c>
    </row>
    <row r="905" spans="1:12" x14ac:dyDescent="0.3">
      <c r="A905" t="s">
        <v>22</v>
      </c>
      <c r="B905" t="s">
        <v>32</v>
      </c>
      <c r="C905">
        <v>2533</v>
      </c>
      <c r="D905" t="str">
        <f t="shared" si="14"/>
        <v>Medium</v>
      </c>
      <c r="E905">
        <v>7798</v>
      </c>
      <c r="F905">
        <v>289.88</v>
      </c>
      <c r="G905">
        <v>686.11</v>
      </c>
      <c r="H905" s="4" t="s">
        <v>1984</v>
      </c>
      <c r="I905" t="s">
        <v>58</v>
      </c>
      <c r="J905" t="s">
        <v>1985</v>
      </c>
      <c r="K905" t="s">
        <v>27</v>
      </c>
      <c r="L905">
        <v>180.27</v>
      </c>
    </row>
    <row r="906" spans="1:12" x14ac:dyDescent="0.3">
      <c r="A906" t="s">
        <v>45</v>
      </c>
      <c r="B906" t="s">
        <v>12</v>
      </c>
      <c r="C906">
        <v>1141</v>
      </c>
      <c r="D906" t="str">
        <f t="shared" si="14"/>
        <v>Medium</v>
      </c>
      <c r="E906">
        <v>5221</v>
      </c>
      <c r="F906">
        <v>174.65</v>
      </c>
      <c r="G906">
        <v>357.76</v>
      </c>
      <c r="H906" s="4" t="s">
        <v>766</v>
      </c>
      <c r="I906" t="s">
        <v>43</v>
      </c>
      <c r="J906" t="s">
        <v>1986</v>
      </c>
      <c r="K906" t="s">
        <v>27</v>
      </c>
      <c r="L906">
        <v>75.77</v>
      </c>
    </row>
    <row r="907" spans="1:12" x14ac:dyDescent="0.3">
      <c r="A907" t="s">
        <v>11</v>
      </c>
      <c r="B907" t="s">
        <v>32</v>
      </c>
      <c r="C907">
        <v>5391</v>
      </c>
      <c r="D907" t="str">
        <f t="shared" si="14"/>
        <v>Full</v>
      </c>
      <c r="E907">
        <v>12913</v>
      </c>
      <c r="F907">
        <v>290.05</v>
      </c>
      <c r="G907">
        <v>412.77</v>
      </c>
      <c r="H907" s="4" t="s">
        <v>1987</v>
      </c>
      <c r="I907" t="s">
        <v>71</v>
      </c>
      <c r="J907" t="s">
        <v>1988</v>
      </c>
      <c r="K907" t="s">
        <v>40</v>
      </c>
      <c r="L907">
        <v>121.38</v>
      </c>
    </row>
    <row r="908" spans="1:12" x14ac:dyDescent="0.3">
      <c r="A908" t="s">
        <v>119</v>
      </c>
      <c r="B908" t="s">
        <v>23</v>
      </c>
      <c r="C908">
        <v>9250</v>
      </c>
      <c r="D908" t="str">
        <f t="shared" si="14"/>
        <v>Full</v>
      </c>
      <c r="E908">
        <v>15579</v>
      </c>
      <c r="F908">
        <v>46.26</v>
      </c>
      <c r="G908">
        <v>85.01</v>
      </c>
      <c r="H908" s="4" t="s">
        <v>374</v>
      </c>
      <c r="I908" t="s">
        <v>516</v>
      </c>
      <c r="J908" t="s">
        <v>1989</v>
      </c>
      <c r="K908" t="s">
        <v>16</v>
      </c>
      <c r="L908">
        <v>28.46</v>
      </c>
    </row>
    <row r="909" spans="1:12" x14ac:dyDescent="0.3">
      <c r="A909" t="s">
        <v>88</v>
      </c>
      <c r="B909" t="s">
        <v>12</v>
      </c>
      <c r="C909">
        <v>1232</v>
      </c>
      <c r="D909" t="str">
        <f t="shared" si="14"/>
        <v>Medium</v>
      </c>
      <c r="E909">
        <v>8769</v>
      </c>
      <c r="F909">
        <v>15.84</v>
      </c>
      <c r="G909">
        <v>21.93</v>
      </c>
      <c r="H909" s="4" t="s">
        <v>546</v>
      </c>
      <c r="I909" t="s">
        <v>1990</v>
      </c>
      <c r="J909" t="s">
        <v>1991</v>
      </c>
      <c r="K909" t="s">
        <v>16</v>
      </c>
      <c r="L909">
        <v>7.7</v>
      </c>
    </row>
    <row r="910" spans="1:12" x14ac:dyDescent="0.3">
      <c r="A910" t="s">
        <v>76</v>
      </c>
      <c r="B910" t="s">
        <v>23</v>
      </c>
      <c r="C910">
        <v>2605</v>
      </c>
      <c r="D910" t="str">
        <f t="shared" si="14"/>
        <v>Medium</v>
      </c>
      <c r="E910">
        <v>24891</v>
      </c>
      <c r="F910">
        <v>188.58</v>
      </c>
      <c r="G910">
        <v>244.53</v>
      </c>
      <c r="H910" s="4" t="s">
        <v>1992</v>
      </c>
      <c r="I910" t="s">
        <v>1238</v>
      </c>
      <c r="J910" t="s">
        <v>1993</v>
      </c>
      <c r="K910" t="s">
        <v>98</v>
      </c>
      <c r="L910">
        <v>105.61</v>
      </c>
    </row>
    <row r="911" spans="1:12" x14ac:dyDescent="0.3">
      <c r="A911" t="s">
        <v>41</v>
      </c>
      <c r="B911" t="s">
        <v>23</v>
      </c>
      <c r="C911">
        <v>7468</v>
      </c>
      <c r="D911" t="str">
        <f t="shared" si="14"/>
        <v>Full</v>
      </c>
      <c r="E911">
        <v>23757</v>
      </c>
      <c r="F911">
        <v>47.26</v>
      </c>
      <c r="G911">
        <v>69.23</v>
      </c>
      <c r="H911" s="4" t="s">
        <v>1355</v>
      </c>
      <c r="I911" t="s">
        <v>125</v>
      </c>
      <c r="J911" t="s">
        <v>1994</v>
      </c>
      <c r="K911" t="s">
        <v>98</v>
      </c>
      <c r="L911">
        <v>32.409999999999997</v>
      </c>
    </row>
    <row r="912" spans="1:12" x14ac:dyDescent="0.3">
      <c r="A912" t="s">
        <v>22</v>
      </c>
      <c r="B912" t="s">
        <v>32</v>
      </c>
      <c r="C912">
        <v>3187</v>
      </c>
      <c r="D912" t="str">
        <f t="shared" si="14"/>
        <v>Full</v>
      </c>
      <c r="E912">
        <v>14752</v>
      </c>
      <c r="F912">
        <v>247.36</v>
      </c>
      <c r="G912">
        <v>398.56</v>
      </c>
      <c r="H912" s="4" t="s">
        <v>1287</v>
      </c>
      <c r="I912" t="s">
        <v>1725</v>
      </c>
      <c r="J912" t="s">
        <v>1995</v>
      </c>
      <c r="K912" t="s">
        <v>16</v>
      </c>
      <c r="L912">
        <v>123.43</v>
      </c>
    </row>
    <row r="913" spans="1:12" x14ac:dyDescent="0.3">
      <c r="A913" t="s">
        <v>147</v>
      </c>
      <c r="B913" t="s">
        <v>12</v>
      </c>
      <c r="C913">
        <v>9207</v>
      </c>
      <c r="D913" t="str">
        <f t="shared" si="14"/>
        <v>Full</v>
      </c>
      <c r="E913">
        <v>4604</v>
      </c>
      <c r="F913">
        <v>206.77</v>
      </c>
      <c r="G913">
        <v>357.47</v>
      </c>
      <c r="H913" s="4" t="s">
        <v>604</v>
      </c>
      <c r="I913" t="s">
        <v>1801</v>
      </c>
      <c r="J913" t="s">
        <v>1996</v>
      </c>
      <c r="K913" t="s">
        <v>40</v>
      </c>
      <c r="L913">
        <v>157.91</v>
      </c>
    </row>
    <row r="914" spans="1:12" x14ac:dyDescent="0.3">
      <c r="A914" t="s">
        <v>147</v>
      </c>
      <c r="B914" t="s">
        <v>84</v>
      </c>
      <c r="C914">
        <v>4198</v>
      </c>
      <c r="D914" t="str">
        <f t="shared" si="14"/>
        <v>Full</v>
      </c>
      <c r="E914">
        <v>9966</v>
      </c>
      <c r="F914">
        <v>7.91</v>
      </c>
      <c r="G914">
        <v>13.37</v>
      </c>
      <c r="H914" s="4" t="s">
        <v>972</v>
      </c>
      <c r="I914" t="s">
        <v>977</v>
      </c>
      <c r="J914" t="s">
        <v>1997</v>
      </c>
      <c r="K914" t="s">
        <v>27</v>
      </c>
      <c r="L914">
        <v>3.72</v>
      </c>
    </row>
    <row r="915" spans="1:12" x14ac:dyDescent="0.3">
      <c r="A915" t="s">
        <v>31</v>
      </c>
      <c r="B915" t="s">
        <v>32</v>
      </c>
      <c r="C915">
        <v>8521</v>
      </c>
      <c r="D915" t="str">
        <f t="shared" si="14"/>
        <v>Full</v>
      </c>
      <c r="E915">
        <v>4130</v>
      </c>
      <c r="F915">
        <v>161.04</v>
      </c>
      <c r="G915">
        <v>339.89</v>
      </c>
      <c r="H915" s="4" t="s">
        <v>1225</v>
      </c>
      <c r="I915" t="s">
        <v>890</v>
      </c>
      <c r="J915" t="s">
        <v>1998</v>
      </c>
      <c r="K915" t="s">
        <v>16</v>
      </c>
      <c r="L915">
        <v>70.8</v>
      </c>
    </row>
    <row r="916" spans="1:12" x14ac:dyDescent="0.3">
      <c r="A916" t="s">
        <v>127</v>
      </c>
      <c r="B916" t="s">
        <v>84</v>
      </c>
      <c r="C916">
        <v>5710</v>
      </c>
      <c r="D916" t="str">
        <f t="shared" si="14"/>
        <v>Full</v>
      </c>
      <c r="E916">
        <v>13765</v>
      </c>
      <c r="F916">
        <v>58.3</v>
      </c>
      <c r="G916">
        <v>131.05000000000001</v>
      </c>
      <c r="H916" s="4" t="s">
        <v>1548</v>
      </c>
      <c r="I916" t="s">
        <v>1999</v>
      </c>
      <c r="J916" t="s">
        <v>2000</v>
      </c>
      <c r="K916" t="s">
        <v>16</v>
      </c>
      <c r="L916">
        <v>43.89</v>
      </c>
    </row>
    <row r="917" spans="1:12" x14ac:dyDescent="0.3">
      <c r="A917" t="s">
        <v>299</v>
      </c>
      <c r="B917" t="s">
        <v>36</v>
      </c>
      <c r="C917">
        <v>2590</v>
      </c>
      <c r="D917" t="str">
        <f t="shared" si="14"/>
        <v>Medium</v>
      </c>
      <c r="E917">
        <v>9488</v>
      </c>
      <c r="F917">
        <v>7.8</v>
      </c>
      <c r="G917">
        <v>14.57</v>
      </c>
      <c r="H917" s="4" t="s">
        <v>24</v>
      </c>
      <c r="I917" t="s">
        <v>1725</v>
      </c>
      <c r="J917" t="s">
        <v>2001</v>
      </c>
      <c r="K917" t="s">
        <v>98</v>
      </c>
      <c r="L917">
        <v>4.3</v>
      </c>
    </row>
    <row r="918" spans="1:12" x14ac:dyDescent="0.3">
      <c r="A918" t="s">
        <v>147</v>
      </c>
      <c r="B918" t="s">
        <v>12</v>
      </c>
      <c r="C918">
        <v>6564</v>
      </c>
      <c r="D918" t="str">
        <f t="shared" si="14"/>
        <v>Full</v>
      </c>
      <c r="E918">
        <v>24183</v>
      </c>
      <c r="F918">
        <v>234.37</v>
      </c>
      <c r="G918">
        <v>487.88</v>
      </c>
      <c r="H918" s="4" t="s">
        <v>725</v>
      </c>
      <c r="I918" t="s">
        <v>2002</v>
      </c>
      <c r="J918" t="s">
        <v>2003</v>
      </c>
      <c r="K918" t="s">
        <v>98</v>
      </c>
      <c r="L918">
        <v>134.9</v>
      </c>
    </row>
    <row r="919" spans="1:12" x14ac:dyDescent="0.3">
      <c r="A919" t="s">
        <v>76</v>
      </c>
      <c r="B919" t="s">
        <v>36</v>
      </c>
      <c r="C919">
        <v>8728</v>
      </c>
      <c r="D919" t="str">
        <f t="shared" si="14"/>
        <v>Full</v>
      </c>
      <c r="E919">
        <v>10398</v>
      </c>
      <c r="F919">
        <v>86.37</v>
      </c>
      <c r="G919">
        <v>151.66999999999999</v>
      </c>
      <c r="H919" s="4" t="s">
        <v>1181</v>
      </c>
      <c r="I919" t="s">
        <v>1584</v>
      </c>
      <c r="J919" t="s">
        <v>2004</v>
      </c>
      <c r="K919" t="s">
        <v>27</v>
      </c>
      <c r="L919">
        <v>67.28</v>
      </c>
    </row>
    <row r="920" spans="1:12" x14ac:dyDescent="0.3">
      <c r="A920" t="s">
        <v>200</v>
      </c>
      <c r="B920" t="s">
        <v>23</v>
      </c>
      <c r="C920">
        <v>1976</v>
      </c>
      <c r="D920" t="str">
        <f t="shared" si="14"/>
        <v>Medium</v>
      </c>
      <c r="E920">
        <v>21797</v>
      </c>
      <c r="F920">
        <v>28.45</v>
      </c>
      <c r="G920">
        <v>61.14</v>
      </c>
      <c r="H920" s="4" t="s">
        <v>778</v>
      </c>
      <c r="I920" t="s">
        <v>474</v>
      </c>
      <c r="J920" t="s">
        <v>2005</v>
      </c>
      <c r="K920" t="s">
        <v>27</v>
      </c>
      <c r="L920">
        <v>12.34</v>
      </c>
    </row>
    <row r="921" spans="1:12" x14ac:dyDescent="0.3">
      <c r="A921" t="s">
        <v>31</v>
      </c>
      <c r="B921" t="s">
        <v>32</v>
      </c>
      <c r="C921">
        <v>8574</v>
      </c>
      <c r="D921" t="str">
        <f t="shared" si="14"/>
        <v>Full</v>
      </c>
      <c r="E921">
        <v>1350</v>
      </c>
      <c r="F921">
        <v>288.83999999999997</v>
      </c>
      <c r="G921">
        <v>505.81</v>
      </c>
      <c r="H921" s="4" t="s">
        <v>1105</v>
      </c>
      <c r="I921" t="s">
        <v>2006</v>
      </c>
      <c r="J921" t="s">
        <v>2007</v>
      </c>
      <c r="K921" t="s">
        <v>21</v>
      </c>
      <c r="L921">
        <v>175.04</v>
      </c>
    </row>
    <row r="922" spans="1:12" x14ac:dyDescent="0.3">
      <c r="A922" t="s">
        <v>66</v>
      </c>
      <c r="B922" t="s">
        <v>12</v>
      </c>
      <c r="C922">
        <v>7143</v>
      </c>
      <c r="D922" t="str">
        <f t="shared" si="14"/>
        <v>Full</v>
      </c>
      <c r="E922">
        <v>1455</v>
      </c>
      <c r="F922">
        <v>186.8</v>
      </c>
      <c r="G922">
        <v>445.36</v>
      </c>
      <c r="H922" s="4" t="s">
        <v>2008</v>
      </c>
      <c r="I922" t="s">
        <v>905</v>
      </c>
      <c r="J922" t="s">
        <v>2009</v>
      </c>
      <c r="K922" t="s">
        <v>40</v>
      </c>
      <c r="L922">
        <v>92.97</v>
      </c>
    </row>
    <row r="923" spans="1:12" x14ac:dyDescent="0.3">
      <c r="A923" t="s">
        <v>119</v>
      </c>
      <c r="B923" t="s">
        <v>32</v>
      </c>
      <c r="C923">
        <v>1193</v>
      </c>
      <c r="D923" t="str">
        <f t="shared" si="14"/>
        <v>Medium</v>
      </c>
      <c r="E923">
        <v>20902</v>
      </c>
      <c r="F923">
        <v>137.35</v>
      </c>
      <c r="G923">
        <v>194.91</v>
      </c>
      <c r="H923" s="4" t="s">
        <v>1290</v>
      </c>
      <c r="I923" t="s">
        <v>1052</v>
      </c>
      <c r="J923" t="s">
        <v>2010</v>
      </c>
      <c r="K923" t="s">
        <v>27</v>
      </c>
      <c r="L923">
        <v>75.11</v>
      </c>
    </row>
    <row r="924" spans="1:12" x14ac:dyDescent="0.3">
      <c r="A924" t="s">
        <v>123</v>
      </c>
      <c r="B924" t="s">
        <v>32</v>
      </c>
      <c r="C924">
        <v>6288</v>
      </c>
      <c r="D924" t="str">
        <f t="shared" si="14"/>
        <v>Full</v>
      </c>
      <c r="E924">
        <v>2668</v>
      </c>
      <c r="F924">
        <v>129.69999999999999</v>
      </c>
      <c r="G924">
        <v>219.56</v>
      </c>
      <c r="H924" s="4" t="s">
        <v>1853</v>
      </c>
      <c r="I924" t="s">
        <v>1375</v>
      </c>
      <c r="J924" t="s">
        <v>2011</v>
      </c>
      <c r="K924" t="s">
        <v>98</v>
      </c>
      <c r="L924">
        <v>95.03</v>
      </c>
    </row>
    <row r="925" spans="1:12" x14ac:dyDescent="0.3">
      <c r="A925" t="s">
        <v>11</v>
      </c>
      <c r="B925" t="s">
        <v>23</v>
      </c>
      <c r="C925">
        <v>5401</v>
      </c>
      <c r="D925" t="str">
        <f t="shared" si="14"/>
        <v>Full</v>
      </c>
      <c r="E925">
        <v>16831</v>
      </c>
      <c r="F925">
        <v>91.6</v>
      </c>
      <c r="G925">
        <v>135.29</v>
      </c>
      <c r="H925" s="4" t="s">
        <v>875</v>
      </c>
      <c r="I925" t="s">
        <v>1210</v>
      </c>
      <c r="J925" t="s">
        <v>2012</v>
      </c>
      <c r="K925" t="s">
        <v>98</v>
      </c>
      <c r="L925">
        <v>70.459999999999994</v>
      </c>
    </row>
    <row r="926" spans="1:12" x14ac:dyDescent="0.3">
      <c r="A926" t="s">
        <v>119</v>
      </c>
      <c r="B926" t="s">
        <v>12</v>
      </c>
      <c r="C926">
        <v>8086</v>
      </c>
      <c r="D926" t="str">
        <f t="shared" si="14"/>
        <v>Full</v>
      </c>
      <c r="E926">
        <v>21242</v>
      </c>
      <c r="F926">
        <v>255.26</v>
      </c>
      <c r="G926">
        <v>325.39</v>
      </c>
      <c r="H926" s="4" t="s">
        <v>1487</v>
      </c>
      <c r="I926" t="s">
        <v>393</v>
      </c>
      <c r="J926" t="s">
        <v>2013</v>
      </c>
      <c r="K926" t="s">
        <v>40</v>
      </c>
      <c r="L926">
        <v>132.57</v>
      </c>
    </row>
    <row r="927" spans="1:12" x14ac:dyDescent="0.3">
      <c r="A927" t="s">
        <v>11</v>
      </c>
      <c r="B927" t="s">
        <v>12</v>
      </c>
      <c r="C927">
        <v>6229</v>
      </c>
      <c r="D927" t="str">
        <f t="shared" si="14"/>
        <v>Full</v>
      </c>
      <c r="E927">
        <v>24672</v>
      </c>
      <c r="F927">
        <v>59.92</v>
      </c>
      <c r="G927">
        <v>99.52</v>
      </c>
      <c r="H927" s="4" t="s">
        <v>904</v>
      </c>
      <c r="I927" t="s">
        <v>2014</v>
      </c>
      <c r="J927" t="s">
        <v>2015</v>
      </c>
      <c r="K927" t="s">
        <v>98</v>
      </c>
      <c r="L927">
        <v>26</v>
      </c>
    </row>
    <row r="928" spans="1:12" x14ac:dyDescent="0.3">
      <c r="A928" t="s">
        <v>119</v>
      </c>
      <c r="B928" t="s">
        <v>84</v>
      </c>
      <c r="C928">
        <v>7229</v>
      </c>
      <c r="D928" t="str">
        <f t="shared" si="14"/>
        <v>Full</v>
      </c>
      <c r="E928">
        <v>5058</v>
      </c>
      <c r="F928">
        <v>274.37</v>
      </c>
      <c r="G928">
        <v>331.71</v>
      </c>
      <c r="H928" s="4" t="s">
        <v>1153</v>
      </c>
      <c r="I928" t="s">
        <v>2016</v>
      </c>
      <c r="J928" t="s">
        <v>2017</v>
      </c>
      <c r="K928" t="s">
        <v>21</v>
      </c>
      <c r="L928">
        <v>153.13999999999999</v>
      </c>
    </row>
    <row r="929" spans="1:12" x14ac:dyDescent="0.3">
      <c r="A929" t="s">
        <v>31</v>
      </c>
      <c r="B929" t="s">
        <v>23</v>
      </c>
      <c r="C929">
        <v>7517</v>
      </c>
      <c r="D929" t="str">
        <f t="shared" si="14"/>
        <v>Full</v>
      </c>
      <c r="E929">
        <v>6969</v>
      </c>
      <c r="F929">
        <v>163.25</v>
      </c>
      <c r="G929">
        <v>253.09</v>
      </c>
      <c r="H929" s="4" t="s">
        <v>2018</v>
      </c>
      <c r="I929" t="s">
        <v>2019</v>
      </c>
      <c r="J929" t="s">
        <v>2020</v>
      </c>
      <c r="K929" t="s">
        <v>98</v>
      </c>
      <c r="L929">
        <v>74.430000000000007</v>
      </c>
    </row>
    <row r="930" spans="1:12" x14ac:dyDescent="0.3">
      <c r="A930" t="s">
        <v>200</v>
      </c>
      <c r="B930" t="s">
        <v>12</v>
      </c>
      <c r="C930">
        <v>6385</v>
      </c>
      <c r="D930" t="str">
        <f t="shared" si="14"/>
        <v>Full</v>
      </c>
      <c r="E930">
        <v>24239</v>
      </c>
      <c r="F930">
        <v>63.55</v>
      </c>
      <c r="G930">
        <v>91.92</v>
      </c>
      <c r="H930" s="4" t="s">
        <v>2021</v>
      </c>
      <c r="I930" t="s">
        <v>472</v>
      </c>
      <c r="J930" t="s">
        <v>2022</v>
      </c>
      <c r="K930" t="s">
        <v>21</v>
      </c>
      <c r="L930">
        <v>44.33</v>
      </c>
    </row>
    <row r="931" spans="1:12" x14ac:dyDescent="0.3">
      <c r="A931" t="s">
        <v>127</v>
      </c>
      <c r="B931" t="s">
        <v>84</v>
      </c>
      <c r="C931">
        <v>3760</v>
      </c>
      <c r="D931" t="str">
        <f t="shared" si="14"/>
        <v>Full</v>
      </c>
      <c r="E931">
        <v>16705</v>
      </c>
      <c r="F931">
        <v>288.11</v>
      </c>
      <c r="G931">
        <v>713.88</v>
      </c>
      <c r="H931" s="4" t="s">
        <v>1123</v>
      </c>
      <c r="I931" t="s">
        <v>2023</v>
      </c>
      <c r="J931" t="s">
        <v>2024</v>
      </c>
      <c r="K931" t="s">
        <v>16</v>
      </c>
      <c r="L931">
        <v>172.36</v>
      </c>
    </row>
    <row r="932" spans="1:12" x14ac:dyDescent="0.3">
      <c r="A932" t="s">
        <v>123</v>
      </c>
      <c r="B932" t="s">
        <v>23</v>
      </c>
      <c r="C932">
        <v>7051</v>
      </c>
      <c r="D932" t="str">
        <f t="shared" si="14"/>
        <v>Full</v>
      </c>
      <c r="E932">
        <v>17444</v>
      </c>
      <c r="F932">
        <v>219.17</v>
      </c>
      <c r="G932">
        <v>474.38</v>
      </c>
      <c r="H932" s="4" t="s">
        <v>691</v>
      </c>
      <c r="I932" t="s">
        <v>256</v>
      </c>
      <c r="J932" t="s">
        <v>2025</v>
      </c>
      <c r="K932" t="s">
        <v>27</v>
      </c>
      <c r="L932">
        <v>157.16</v>
      </c>
    </row>
    <row r="933" spans="1:12" x14ac:dyDescent="0.3">
      <c r="A933" t="s">
        <v>123</v>
      </c>
      <c r="B933" t="s">
        <v>84</v>
      </c>
      <c r="C933">
        <v>6138</v>
      </c>
      <c r="D933" t="str">
        <f t="shared" si="14"/>
        <v>Full</v>
      </c>
      <c r="E933">
        <v>17384</v>
      </c>
      <c r="F933">
        <v>9.0299999999999994</v>
      </c>
      <c r="G933">
        <v>18.87</v>
      </c>
      <c r="H933" s="4" t="s">
        <v>2026</v>
      </c>
      <c r="I933" t="s">
        <v>1017</v>
      </c>
      <c r="J933" t="s">
        <v>2027</v>
      </c>
      <c r="K933" t="s">
        <v>21</v>
      </c>
      <c r="L933">
        <v>7.14</v>
      </c>
    </row>
    <row r="934" spans="1:12" x14ac:dyDescent="0.3">
      <c r="A934" t="s">
        <v>17</v>
      </c>
      <c r="B934" t="s">
        <v>36</v>
      </c>
      <c r="C934">
        <v>8367</v>
      </c>
      <c r="D934" t="str">
        <f t="shared" si="14"/>
        <v>Full</v>
      </c>
      <c r="E934">
        <v>10485</v>
      </c>
      <c r="F934">
        <v>88.26</v>
      </c>
      <c r="G934">
        <v>115.39</v>
      </c>
      <c r="H934" s="4" t="s">
        <v>801</v>
      </c>
      <c r="I934" t="s">
        <v>2028</v>
      </c>
      <c r="J934" t="s">
        <v>2029</v>
      </c>
      <c r="K934" t="s">
        <v>98</v>
      </c>
      <c r="L934">
        <v>61.05</v>
      </c>
    </row>
    <row r="935" spans="1:12" x14ac:dyDescent="0.3">
      <c r="A935" t="s">
        <v>56</v>
      </c>
      <c r="B935" t="s">
        <v>84</v>
      </c>
      <c r="C935">
        <v>5106</v>
      </c>
      <c r="D935" t="str">
        <f t="shared" si="14"/>
        <v>Full</v>
      </c>
      <c r="E935">
        <v>4768</v>
      </c>
      <c r="F935">
        <v>259.93</v>
      </c>
      <c r="G935">
        <v>647.88</v>
      </c>
      <c r="H935" s="4" t="s">
        <v>1306</v>
      </c>
      <c r="I935" t="s">
        <v>1408</v>
      </c>
      <c r="J935" t="s">
        <v>2030</v>
      </c>
      <c r="K935" t="s">
        <v>98</v>
      </c>
      <c r="L935">
        <v>153.24</v>
      </c>
    </row>
    <row r="936" spans="1:12" x14ac:dyDescent="0.3">
      <c r="A936" t="s">
        <v>11</v>
      </c>
      <c r="B936" t="s">
        <v>32</v>
      </c>
      <c r="C936">
        <v>3468</v>
      </c>
      <c r="D936" t="str">
        <f t="shared" si="14"/>
        <v>Full</v>
      </c>
      <c r="E936">
        <v>7182</v>
      </c>
      <c r="F936">
        <v>297.8</v>
      </c>
      <c r="G936">
        <v>586.24</v>
      </c>
      <c r="H936" s="4" t="s">
        <v>124</v>
      </c>
      <c r="I936" t="s">
        <v>2031</v>
      </c>
      <c r="J936" t="s">
        <v>2032</v>
      </c>
      <c r="K936" t="s">
        <v>27</v>
      </c>
      <c r="L936">
        <v>134.88</v>
      </c>
    </row>
    <row r="937" spans="1:12" x14ac:dyDescent="0.3">
      <c r="A937" t="s">
        <v>127</v>
      </c>
      <c r="B937" t="s">
        <v>23</v>
      </c>
      <c r="C937">
        <v>3648</v>
      </c>
      <c r="D937" t="str">
        <f t="shared" si="14"/>
        <v>Full</v>
      </c>
      <c r="E937">
        <v>5790</v>
      </c>
      <c r="F937">
        <v>130.76</v>
      </c>
      <c r="G937">
        <v>261.7</v>
      </c>
      <c r="H937" s="4" t="s">
        <v>392</v>
      </c>
      <c r="I937" t="s">
        <v>543</v>
      </c>
      <c r="J937" t="s">
        <v>2033</v>
      </c>
      <c r="K937" t="s">
        <v>21</v>
      </c>
      <c r="L937">
        <v>79.760000000000005</v>
      </c>
    </row>
    <row r="938" spans="1:12" x14ac:dyDescent="0.3">
      <c r="A938" t="s">
        <v>80</v>
      </c>
      <c r="B938" t="s">
        <v>84</v>
      </c>
      <c r="C938">
        <v>6007</v>
      </c>
      <c r="D938" t="str">
        <f t="shared" si="14"/>
        <v>Full</v>
      </c>
      <c r="E938">
        <v>14961</v>
      </c>
      <c r="F938">
        <v>146.36000000000001</v>
      </c>
      <c r="G938">
        <v>272.64</v>
      </c>
      <c r="H938" s="4" t="s">
        <v>1596</v>
      </c>
      <c r="I938" t="s">
        <v>1021</v>
      </c>
      <c r="J938" t="s">
        <v>2034</v>
      </c>
      <c r="K938" t="s">
        <v>27</v>
      </c>
      <c r="L938">
        <v>74.31</v>
      </c>
    </row>
    <row r="939" spans="1:12" x14ac:dyDescent="0.3">
      <c r="A939" t="s">
        <v>147</v>
      </c>
      <c r="B939" t="s">
        <v>23</v>
      </c>
      <c r="C939">
        <v>7349</v>
      </c>
      <c r="D939" t="str">
        <f t="shared" si="14"/>
        <v>Full</v>
      </c>
      <c r="E939">
        <v>9092</v>
      </c>
      <c r="F939">
        <v>99.35</v>
      </c>
      <c r="G939">
        <v>125.36</v>
      </c>
      <c r="H939" s="4" t="s">
        <v>2021</v>
      </c>
      <c r="I939" t="s">
        <v>1203</v>
      </c>
      <c r="J939" t="s">
        <v>2035</v>
      </c>
      <c r="K939" t="s">
        <v>40</v>
      </c>
      <c r="L939">
        <v>48.16</v>
      </c>
    </row>
    <row r="940" spans="1:12" x14ac:dyDescent="0.3">
      <c r="A940" t="s">
        <v>49</v>
      </c>
      <c r="B940" t="s">
        <v>23</v>
      </c>
      <c r="C940">
        <v>2150</v>
      </c>
      <c r="D940" t="str">
        <f t="shared" si="14"/>
        <v>Medium</v>
      </c>
      <c r="E940">
        <v>15119</v>
      </c>
      <c r="F940">
        <v>59.53</v>
      </c>
      <c r="G940">
        <v>144.83000000000001</v>
      </c>
      <c r="H940" s="4" t="s">
        <v>1522</v>
      </c>
      <c r="I940" t="s">
        <v>1629</v>
      </c>
      <c r="J940" t="s">
        <v>2036</v>
      </c>
      <c r="K940" t="s">
        <v>27</v>
      </c>
      <c r="L940">
        <v>26.12</v>
      </c>
    </row>
    <row r="941" spans="1:12" x14ac:dyDescent="0.3">
      <c r="A941" t="s">
        <v>17</v>
      </c>
      <c r="B941" t="s">
        <v>32</v>
      </c>
      <c r="C941">
        <v>2634</v>
      </c>
      <c r="D941" t="str">
        <f t="shared" si="14"/>
        <v>Medium</v>
      </c>
      <c r="E941">
        <v>11853</v>
      </c>
      <c r="F941">
        <v>111.37</v>
      </c>
      <c r="G941">
        <v>250.92</v>
      </c>
      <c r="H941" s="4" t="s">
        <v>987</v>
      </c>
      <c r="I941" t="s">
        <v>2037</v>
      </c>
      <c r="J941" t="s">
        <v>2038</v>
      </c>
      <c r="K941" t="s">
        <v>40</v>
      </c>
      <c r="L941">
        <v>55.16</v>
      </c>
    </row>
    <row r="942" spans="1:12" x14ac:dyDescent="0.3">
      <c r="A942" t="s">
        <v>147</v>
      </c>
      <c r="B942" t="s">
        <v>84</v>
      </c>
      <c r="C942">
        <v>6792</v>
      </c>
      <c r="D942" t="str">
        <f t="shared" si="14"/>
        <v>Full</v>
      </c>
      <c r="E942">
        <v>3858</v>
      </c>
      <c r="F942">
        <v>266.72000000000003</v>
      </c>
      <c r="G942">
        <v>365.31</v>
      </c>
      <c r="H942" s="4" t="s">
        <v>583</v>
      </c>
      <c r="I942" t="s">
        <v>2039</v>
      </c>
      <c r="J942" t="s">
        <v>2040</v>
      </c>
      <c r="K942" t="s">
        <v>16</v>
      </c>
      <c r="L942">
        <v>210</v>
      </c>
    </row>
    <row r="943" spans="1:12" x14ac:dyDescent="0.3">
      <c r="A943" t="s">
        <v>88</v>
      </c>
      <c r="B943" t="s">
        <v>84</v>
      </c>
      <c r="C943">
        <v>7803</v>
      </c>
      <c r="D943" t="str">
        <f t="shared" si="14"/>
        <v>Full</v>
      </c>
      <c r="E943">
        <v>4232</v>
      </c>
      <c r="F943">
        <v>27.09</v>
      </c>
      <c r="G943">
        <v>51.76</v>
      </c>
      <c r="H943" s="4" t="s">
        <v>1440</v>
      </c>
      <c r="I943" t="s">
        <v>2006</v>
      </c>
      <c r="J943" t="s">
        <v>2041</v>
      </c>
      <c r="K943" t="s">
        <v>98</v>
      </c>
      <c r="L943">
        <v>16.62</v>
      </c>
    </row>
    <row r="944" spans="1:12" x14ac:dyDescent="0.3">
      <c r="A944" t="s">
        <v>123</v>
      </c>
      <c r="B944" t="s">
        <v>12</v>
      </c>
      <c r="C944">
        <v>2594</v>
      </c>
      <c r="D944" t="str">
        <f t="shared" si="14"/>
        <v>Medium</v>
      </c>
      <c r="E944">
        <v>7281</v>
      </c>
      <c r="F944">
        <v>128.37</v>
      </c>
      <c r="G944">
        <v>272.8</v>
      </c>
      <c r="H944" s="4" t="s">
        <v>1365</v>
      </c>
      <c r="I944" t="s">
        <v>2016</v>
      </c>
      <c r="J944" t="s">
        <v>2042</v>
      </c>
      <c r="K944" t="s">
        <v>21</v>
      </c>
      <c r="L944">
        <v>83.69</v>
      </c>
    </row>
    <row r="945" spans="1:12" x14ac:dyDescent="0.3">
      <c r="A945" t="s">
        <v>11</v>
      </c>
      <c r="B945" t="s">
        <v>36</v>
      </c>
      <c r="C945">
        <v>1609</v>
      </c>
      <c r="D945" t="str">
        <f t="shared" si="14"/>
        <v>Medium</v>
      </c>
      <c r="E945">
        <v>16821</v>
      </c>
      <c r="F945">
        <v>128.61000000000001</v>
      </c>
      <c r="G945">
        <v>310.04000000000002</v>
      </c>
      <c r="H945" s="4" t="s">
        <v>820</v>
      </c>
      <c r="I945" t="s">
        <v>1194</v>
      </c>
      <c r="J945" t="s">
        <v>2043</v>
      </c>
      <c r="K945" t="s">
        <v>16</v>
      </c>
      <c r="L945">
        <v>65.55</v>
      </c>
    </row>
    <row r="946" spans="1:12" x14ac:dyDescent="0.3">
      <c r="A946" t="s">
        <v>123</v>
      </c>
      <c r="B946" t="s">
        <v>23</v>
      </c>
      <c r="C946">
        <v>1244</v>
      </c>
      <c r="D946" t="str">
        <f t="shared" si="14"/>
        <v>Medium</v>
      </c>
      <c r="E946">
        <v>19552</v>
      </c>
      <c r="F946">
        <v>22.93</v>
      </c>
      <c r="G946">
        <v>56.5</v>
      </c>
      <c r="H946" s="4" t="s">
        <v>1476</v>
      </c>
      <c r="I946" t="s">
        <v>2044</v>
      </c>
      <c r="J946" t="s">
        <v>2045</v>
      </c>
      <c r="K946" t="s">
        <v>16</v>
      </c>
      <c r="L946">
        <v>17.149999999999999</v>
      </c>
    </row>
    <row r="947" spans="1:12" x14ac:dyDescent="0.3">
      <c r="A947" t="s">
        <v>41</v>
      </c>
      <c r="B947" t="s">
        <v>84</v>
      </c>
      <c r="C947">
        <v>7672</v>
      </c>
      <c r="D947" t="str">
        <f t="shared" si="14"/>
        <v>Full</v>
      </c>
      <c r="E947">
        <v>17688</v>
      </c>
      <c r="F947">
        <v>118.32</v>
      </c>
      <c r="G947">
        <v>261.86</v>
      </c>
      <c r="H947" s="4" t="s">
        <v>272</v>
      </c>
      <c r="I947" t="s">
        <v>2046</v>
      </c>
      <c r="J947" t="s">
        <v>2047</v>
      </c>
      <c r="K947" t="s">
        <v>98</v>
      </c>
      <c r="L947">
        <v>56.04</v>
      </c>
    </row>
    <row r="948" spans="1:12" x14ac:dyDescent="0.3">
      <c r="A948" t="s">
        <v>56</v>
      </c>
      <c r="B948" t="s">
        <v>32</v>
      </c>
      <c r="C948">
        <v>4068</v>
      </c>
      <c r="D948" t="str">
        <f t="shared" si="14"/>
        <v>Full</v>
      </c>
      <c r="E948">
        <v>20402</v>
      </c>
      <c r="F948">
        <v>210.53</v>
      </c>
      <c r="G948">
        <v>493.25</v>
      </c>
      <c r="H948" s="4" t="s">
        <v>1578</v>
      </c>
      <c r="I948" t="s">
        <v>1470</v>
      </c>
      <c r="J948" t="s">
        <v>2048</v>
      </c>
      <c r="K948" t="s">
        <v>16</v>
      </c>
      <c r="L948">
        <v>106.01</v>
      </c>
    </row>
    <row r="949" spans="1:12" x14ac:dyDescent="0.3">
      <c r="A949" t="s">
        <v>80</v>
      </c>
      <c r="B949" t="s">
        <v>23</v>
      </c>
      <c r="C949">
        <v>4899</v>
      </c>
      <c r="D949" t="str">
        <f t="shared" si="14"/>
        <v>Full</v>
      </c>
      <c r="E949">
        <v>19092</v>
      </c>
      <c r="F949">
        <v>40.14</v>
      </c>
      <c r="G949">
        <v>59.85</v>
      </c>
      <c r="H949" s="4" t="s">
        <v>237</v>
      </c>
      <c r="I949" t="s">
        <v>738</v>
      </c>
      <c r="J949" t="s">
        <v>2049</v>
      </c>
      <c r="K949" t="s">
        <v>27</v>
      </c>
      <c r="L949">
        <v>26.33</v>
      </c>
    </row>
    <row r="950" spans="1:12" x14ac:dyDescent="0.3">
      <c r="A950" t="s">
        <v>147</v>
      </c>
      <c r="B950" t="s">
        <v>84</v>
      </c>
      <c r="C950">
        <v>4930</v>
      </c>
      <c r="D950" t="str">
        <f t="shared" si="14"/>
        <v>Full</v>
      </c>
      <c r="E950">
        <v>2688</v>
      </c>
      <c r="F950">
        <v>194.51</v>
      </c>
      <c r="G950">
        <v>296.38</v>
      </c>
      <c r="H950" s="4" t="s">
        <v>1073</v>
      </c>
      <c r="I950" t="s">
        <v>2050</v>
      </c>
      <c r="J950" t="s">
        <v>2051</v>
      </c>
      <c r="K950" t="s">
        <v>27</v>
      </c>
      <c r="L950">
        <v>128.27000000000001</v>
      </c>
    </row>
    <row r="951" spans="1:12" x14ac:dyDescent="0.3">
      <c r="A951" t="s">
        <v>176</v>
      </c>
      <c r="B951" t="s">
        <v>23</v>
      </c>
      <c r="C951">
        <v>5817</v>
      </c>
      <c r="D951" t="str">
        <f t="shared" si="14"/>
        <v>Full</v>
      </c>
      <c r="E951">
        <v>3727</v>
      </c>
      <c r="F951">
        <v>284.2</v>
      </c>
      <c r="G951">
        <v>667.64</v>
      </c>
      <c r="H951" s="4" t="s">
        <v>2052</v>
      </c>
      <c r="I951" t="s">
        <v>135</v>
      </c>
      <c r="J951" t="s">
        <v>2053</v>
      </c>
      <c r="K951" t="s">
        <v>16</v>
      </c>
      <c r="L951">
        <v>147.19999999999999</v>
      </c>
    </row>
    <row r="952" spans="1:12" x14ac:dyDescent="0.3">
      <c r="A952" t="s">
        <v>127</v>
      </c>
      <c r="B952" t="s">
        <v>12</v>
      </c>
      <c r="C952">
        <v>6324</v>
      </c>
      <c r="D952" t="str">
        <f t="shared" si="14"/>
        <v>Full</v>
      </c>
      <c r="E952">
        <v>8185</v>
      </c>
      <c r="F952">
        <v>220.49</v>
      </c>
      <c r="G952">
        <v>344.76</v>
      </c>
      <c r="H952" s="4" t="s">
        <v>2054</v>
      </c>
      <c r="I952" t="s">
        <v>2055</v>
      </c>
      <c r="J952" t="s">
        <v>2056</v>
      </c>
      <c r="K952" t="s">
        <v>16</v>
      </c>
      <c r="L952">
        <v>97.58</v>
      </c>
    </row>
    <row r="953" spans="1:12" x14ac:dyDescent="0.3">
      <c r="A953" t="s">
        <v>299</v>
      </c>
      <c r="B953" t="s">
        <v>23</v>
      </c>
      <c r="C953">
        <v>9525</v>
      </c>
      <c r="D953" t="str">
        <f t="shared" si="14"/>
        <v>Full</v>
      </c>
      <c r="E953">
        <v>7755</v>
      </c>
      <c r="F953">
        <v>245.97</v>
      </c>
      <c r="G953">
        <v>365.72</v>
      </c>
      <c r="H953" s="4" t="s">
        <v>2057</v>
      </c>
      <c r="I953" t="s">
        <v>2058</v>
      </c>
      <c r="J953" t="s">
        <v>2059</v>
      </c>
      <c r="K953" t="s">
        <v>21</v>
      </c>
      <c r="L953">
        <v>113.7</v>
      </c>
    </row>
    <row r="954" spans="1:12" x14ac:dyDescent="0.3">
      <c r="A954" t="s">
        <v>80</v>
      </c>
      <c r="B954" t="s">
        <v>36</v>
      </c>
      <c r="C954">
        <v>6539</v>
      </c>
      <c r="D954" t="str">
        <f t="shared" si="14"/>
        <v>Full</v>
      </c>
      <c r="E954">
        <v>5860</v>
      </c>
      <c r="F954">
        <v>271.14</v>
      </c>
      <c r="G954">
        <v>358.39</v>
      </c>
      <c r="H954" s="4" t="s">
        <v>1984</v>
      </c>
      <c r="I954" t="s">
        <v>1817</v>
      </c>
      <c r="J954" t="s">
        <v>2060</v>
      </c>
      <c r="K954" t="s">
        <v>98</v>
      </c>
      <c r="L954">
        <v>128.94</v>
      </c>
    </row>
    <row r="955" spans="1:12" x14ac:dyDescent="0.3">
      <c r="A955" t="s">
        <v>49</v>
      </c>
      <c r="B955" t="s">
        <v>84</v>
      </c>
      <c r="C955">
        <v>5121</v>
      </c>
      <c r="D955" t="str">
        <f t="shared" si="14"/>
        <v>Full</v>
      </c>
      <c r="E955">
        <v>1689</v>
      </c>
      <c r="F955">
        <v>96.5</v>
      </c>
      <c r="G955">
        <v>226.85</v>
      </c>
      <c r="H955" s="4" t="s">
        <v>1284</v>
      </c>
      <c r="I955" t="s">
        <v>2061</v>
      </c>
      <c r="J955" t="s">
        <v>2062</v>
      </c>
      <c r="K955" t="s">
        <v>98</v>
      </c>
      <c r="L955">
        <v>41.28</v>
      </c>
    </row>
    <row r="956" spans="1:12" x14ac:dyDescent="0.3">
      <c r="A956" t="s">
        <v>41</v>
      </c>
      <c r="B956" t="s">
        <v>36</v>
      </c>
      <c r="C956">
        <v>4518</v>
      </c>
      <c r="D956" t="str">
        <f t="shared" si="14"/>
        <v>Full</v>
      </c>
      <c r="E956">
        <v>15910</v>
      </c>
      <c r="F956">
        <v>273.19</v>
      </c>
      <c r="G956">
        <v>672.46</v>
      </c>
      <c r="H956" s="4" t="s">
        <v>933</v>
      </c>
      <c r="I956" t="s">
        <v>1683</v>
      </c>
      <c r="J956" t="s">
        <v>2063</v>
      </c>
      <c r="K956" t="s">
        <v>27</v>
      </c>
      <c r="L956">
        <v>175.2</v>
      </c>
    </row>
    <row r="957" spans="1:12" x14ac:dyDescent="0.3">
      <c r="A957" t="s">
        <v>299</v>
      </c>
      <c r="B957" t="s">
        <v>36</v>
      </c>
      <c r="C957">
        <v>839</v>
      </c>
      <c r="D957" t="str">
        <f t="shared" si="14"/>
        <v>Low</v>
      </c>
      <c r="E957">
        <v>4605</v>
      </c>
      <c r="F957">
        <v>248.84</v>
      </c>
      <c r="G957">
        <v>545.58000000000004</v>
      </c>
      <c r="H957" s="4" t="s">
        <v>1596</v>
      </c>
      <c r="I957" t="s">
        <v>1564</v>
      </c>
      <c r="J957" t="s">
        <v>795</v>
      </c>
      <c r="K957" t="s">
        <v>98</v>
      </c>
      <c r="L957">
        <v>176.19</v>
      </c>
    </row>
    <row r="958" spans="1:12" x14ac:dyDescent="0.3">
      <c r="A958" t="s">
        <v>147</v>
      </c>
      <c r="B958" t="s">
        <v>84</v>
      </c>
      <c r="C958">
        <v>721</v>
      </c>
      <c r="D958" t="str">
        <f t="shared" si="14"/>
        <v>Low</v>
      </c>
      <c r="E958">
        <v>1307</v>
      </c>
      <c r="F958">
        <v>287.5</v>
      </c>
      <c r="G958">
        <v>384.74</v>
      </c>
      <c r="H958" s="4" t="s">
        <v>77</v>
      </c>
      <c r="I958" t="s">
        <v>1045</v>
      </c>
      <c r="J958" t="s">
        <v>2064</v>
      </c>
      <c r="K958" t="s">
        <v>98</v>
      </c>
      <c r="L958">
        <v>131.01</v>
      </c>
    </row>
    <row r="959" spans="1:12" x14ac:dyDescent="0.3">
      <c r="A959" t="s">
        <v>22</v>
      </c>
      <c r="B959" t="s">
        <v>36</v>
      </c>
      <c r="C959">
        <v>3172</v>
      </c>
      <c r="D959" t="str">
        <f t="shared" si="14"/>
        <v>Full</v>
      </c>
      <c r="E959">
        <v>11072</v>
      </c>
      <c r="F959">
        <v>102.87</v>
      </c>
      <c r="G959">
        <v>144.11000000000001</v>
      </c>
      <c r="H959" s="4" t="s">
        <v>423</v>
      </c>
      <c r="I959" t="s">
        <v>2065</v>
      </c>
      <c r="J959" t="s">
        <v>2066</v>
      </c>
      <c r="K959" t="s">
        <v>16</v>
      </c>
      <c r="L959">
        <v>46.21</v>
      </c>
    </row>
    <row r="960" spans="1:12" x14ac:dyDescent="0.3">
      <c r="A960" t="s">
        <v>127</v>
      </c>
      <c r="B960" t="s">
        <v>12</v>
      </c>
      <c r="C960">
        <v>9423</v>
      </c>
      <c r="D960" t="str">
        <f t="shared" si="14"/>
        <v>Full</v>
      </c>
      <c r="E960">
        <v>10723</v>
      </c>
      <c r="F960">
        <v>35.26</v>
      </c>
      <c r="G960">
        <v>82.95</v>
      </c>
      <c r="H960" s="4" t="s">
        <v>185</v>
      </c>
      <c r="I960" t="s">
        <v>232</v>
      </c>
      <c r="J960" t="s">
        <v>2067</v>
      </c>
      <c r="K960" t="s">
        <v>98</v>
      </c>
      <c r="L960">
        <v>14.44</v>
      </c>
    </row>
    <row r="961" spans="1:12" x14ac:dyDescent="0.3">
      <c r="A961" t="s">
        <v>200</v>
      </c>
      <c r="B961" t="s">
        <v>36</v>
      </c>
      <c r="C961">
        <v>2914</v>
      </c>
      <c r="D961" t="str">
        <f t="shared" si="14"/>
        <v>Medium</v>
      </c>
      <c r="E961">
        <v>12577</v>
      </c>
      <c r="F961">
        <v>198.33</v>
      </c>
      <c r="G961">
        <v>296.24</v>
      </c>
      <c r="H961" s="4" t="s">
        <v>2068</v>
      </c>
      <c r="I961" t="s">
        <v>2069</v>
      </c>
      <c r="J961" t="s">
        <v>2070</v>
      </c>
      <c r="K961" t="s">
        <v>21</v>
      </c>
      <c r="L961">
        <v>92.78</v>
      </c>
    </row>
    <row r="962" spans="1:12" x14ac:dyDescent="0.3">
      <c r="A962" t="s">
        <v>11</v>
      </c>
      <c r="B962" t="s">
        <v>84</v>
      </c>
      <c r="C962">
        <v>2166</v>
      </c>
      <c r="D962" t="str">
        <f t="shared" si="14"/>
        <v>Medium</v>
      </c>
      <c r="E962">
        <v>10234</v>
      </c>
      <c r="F962">
        <v>110.41</v>
      </c>
      <c r="G962">
        <v>220.86</v>
      </c>
      <c r="H962" s="4" t="s">
        <v>1123</v>
      </c>
      <c r="I962" t="s">
        <v>1829</v>
      </c>
      <c r="J962" t="s">
        <v>2071</v>
      </c>
      <c r="K962" t="s">
        <v>27</v>
      </c>
      <c r="L962">
        <v>70.86</v>
      </c>
    </row>
    <row r="963" spans="1:12" x14ac:dyDescent="0.3">
      <c r="A963" t="s">
        <v>56</v>
      </c>
      <c r="B963" t="s">
        <v>36</v>
      </c>
      <c r="C963">
        <v>9191</v>
      </c>
      <c r="D963" t="str">
        <f t="shared" ref="D963:D1026" si="15">IF(C963&lt;1000,"Low",IF(C963&lt;=3000,"Medium","Full"))</f>
        <v>Full</v>
      </c>
      <c r="E963">
        <v>11972</v>
      </c>
      <c r="F963">
        <v>181.89</v>
      </c>
      <c r="G963">
        <v>378.92</v>
      </c>
      <c r="H963" s="4" t="s">
        <v>2072</v>
      </c>
      <c r="I963" t="s">
        <v>1761</v>
      </c>
      <c r="J963" t="s">
        <v>2073</v>
      </c>
      <c r="K963" t="s">
        <v>16</v>
      </c>
      <c r="L963">
        <v>132.24</v>
      </c>
    </row>
    <row r="964" spans="1:12" x14ac:dyDescent="0.3">
      <c r="A964" t="s">
        <v>76</v>
      </c>
      <c r="B964" t="s">
        <v>12</v>
      </c>
      <c r="C964">
        <v>4941</v>
      </c>
      <c r="D964" t="str">
        <f t="shared" si="15"/>
        <v>Full</v>
      </c>
      <c r="E964">
        <v>17359</v>
      </c>
      <c r="F964">
        <v>200.21</v>
      </c>
      <c r="G964">
        <v>483.06</v>
      </c>
      <c r="H964" s="4" t="s">
        <v>1104</v>
      </c>
      <c r="I964" t="s">
        <v>1075</v>
      </c>
      <c r="J964" t="s">
        <v>2074</v>
      </c>
      <c r="K964" t="s">
        <v>98</v>
      </c>
      <c r="L964">
        <v>105.73</v>
      </c>
    </row>
    <row r="965" spans="1:12" x14ac:dyDescent="0.3">
      <c r="A965" t="s">
        <v>299</v>
      </c>
      <c r="B965" t="s">
        <v>36</v>
      </c>
      <c r="C965">
        <v>8338</v>
      </c>
      <c r="D965" t="str">
        <f t="shared" si="15"/>
        <v>Full</v>
      </c>
      <c r="E965">
        <v>3205</v>
      </c>
      <c r="F965">
        <v>38.380000000000003</v>
      </c>
      <c r="G965">
        <v>67.38</v>
      </c>
      <c r="H965" s="4" t="s">
        <v>1058</v>
      </c>
      <c r="I965" t="s">
        <v>913</v>
      </c>
      <c r="J965" t="s">
        <v>2075</v>
      </c>
      <c r="K965" t="s">
        <v>40</v>
      </c>
      <c r="L965">
        <v>30.62</v>
      </c>
    </row>
    <row r="966" spans="1:12" x14ac:dyDescent="0.3">
      <c r="A966" t="s">
        <v>56</v>
      </c>
      <c r="B966" t="s">
        <v>36</v>
      </c>
      <c r="C966">
        <v>6277</v>
      </c>
      <c r="D966" t="str">
        <f t="shared" si="15"/>
        <v>Full</v>
      </c>
      <c r="E966">
        <v>11463</v>
      </c>
      <c r="F966">
        <v>150.79</v>
      </c>
      <c r="G966">
        <v>275.29000000000002</v>
      </c>
      <c r="H966" s="4" t="s">
        <v>1361</v>
      </c>
      <c r="I966" t="s">
        <v>1255</v>
      </c>
      <c r="J966" t="s">
        <v>2076</v>
      </c>
      <c r="K966" t="s">
        <v>40</v>
      </c>
      <c r="L966">
        <v>68.650000000000006</v>
      </c>
    </row>
    <row r="967" spans="1:12" x14ac:dyDescent="0.3">
      <c r="A967" t="s">
        <v>80</v>
      </c>
      <c r="B967" t="s">
        <v>36</v>
      </c>
      <c r="C967">
        <v>7359</v>
      </c>
      <c r="D967" t="str">
        <f t="shared" si="15"/>
        <v>Full</v>
      </c>
      <c r="E967">
        <v>19000</v>
      </c>
      <c r="F967">
        <v>151.65</v>
      </c>
      <c r="G967">
        <v>287.20999999999998</v>
      </c>
      <c r="H967" s="4" t="s">
        <v>70</v>
      </c>
      <c r="I967" t="s">
        <v>1205</v>
      </c>
      <c r="J967" t="s">
        <v>2077</v>
      </c>
      <c r="K967" t="s">
        <v>21</v>
      </c>
      <c r="L967">
        <v>65.73</v>
      </c>
    </row>
    <row r="968" spans="1:12" x14ac:dyDescent="0.3">
      <c r="A968" t="s">
        <v>200</v>
      </c>
      <c r="B968" t="s">
        <v>32</v>
      </c>
      <c r="C968">
        <v>9967</v>
      </c>
      <c r="D968" t="str">
        <f t="shared" si="15"/>
        <v>Full</v>
      </c>
      <c r="E968">
        <v>23724</v>
      </c>
      <c r="F968">
        <v>244.33</v>
      </c>
      <c r="G968">
        <v>362.86</v>
      </c>
      <c r="H968" s="4" t="s">
        <v>766</v>
      </c>
      <c r="I968" t="s">
        <v>1548</v>
      </c>
      <c r="J968" t="s">
        <v>2078</v>
      </c>
      <c r="K968" t="s">
        <v>27</v>
      </c>
      <c r="L968">
        <v>117.6</v>
      </c>
    </row>
    <row r="969" spans="1:12" x14ac:dyDescent="0.3">
      <c r="A969" t="s">
        <v>17</v>
      </c>
      <c r="B969" t="s">
        <v>23</v>
      </c>
      <c r="C969">
        <v>9648</v>
      </c>
      <c r="D969" t="str">
        <f t="shared" si="15"/>
        <v>Full</v>
      </c>
      <c r="E969">
        <v>16529</v>
      </c>
      <c r="F969">
        <v>287.5</v>
      </c>
      <c r="G969">
        <v>689.19</v>
      </c>
      <c r="H969" s="4" t="s">
        <v>1832</v>
      </c>
      <c r="I969" t="s">
        <v>459</v>
      </c>
      <c r="J969" t="s">
        <v>2079</v>
      </c>
      <c r="K969" t="s">
        <v>98</v>
      </c>
      <c r="L969">
        <v>148.88999999999999</v>
      </c>
    </row>
    <row r="970" spans="1:12" x14ac:dyDescent="0.3">
      <c r="A970" t="s">
        <v>123</v>
      </c>
      <c r="B970" t="s">
        <v>32</v>
      </c>
      <c r="C970">
        <v>7398</v>
      </c>
      <c r="D970" t="str">
        <f t="shared" si="15"/>
        <v>Full</v>
      </c>
      <c r="E970">
        <v>8946</v>
      </c>
      <c r="F970">
        <v>67.17</v>
      </c>
      <c r="G970">
        <v>100.22</v>
      </c>
      <c r="H970" s="4" t="s">
        <v>2080</v>
      </c>
      <c r="I970" t="s">
        <v>570</v>
      </c>
      <c r="J970" t="s">
        <v>2081</v>
      </c>
      <c r="K970" t="s">
        <v>21</v>
      </c>
      <c r="L970">
        <v>46.56</v>
      </c>
    </row>
    <row r="971" spans="1:12" x14ac:dyDescent="0.3">
      <c r="A971" t="s">
        <v>200</v>
      </c>
      <c r="B971" t="s">
        <v>23</v>
      </c>
      <c r="C971">
        <v>1386</v>
      </c>
      <c r="D971" t="str">
        <f t="shared" si="15"/>
        <v>Medium</v>
      </c>
      <c r="E971">
        <v>23983</v>
      </c>
      <c r="F971">
        <v>36.270000000000003</v>
      </c>
      <c r="G971">
        <v>70.95</v>
      </c>
      <c r="H971" s="4" t="s">
        <v>588</v>
      </c>
      <c r="I971" t="s">
        <v>2082</v>
      </c>
      <c r="J971" t="s">
        <v>2083</v>
      </c>
      <c r="K971" t="s">
        <v>27</v>
      </c>
      <c r="L971">
        <v>16.64</v>
      </c>
    </row>
    <row r="972" spans="1:12" x14ac:dyDescent="0.3">
      <c r="A972" t="s">
        <v>123</v>
      </c>
      <c r="B972" t="s">
        <v>12</v>
      </c>
      <c r="C972">
        <v>4514</v>
      </c>
      <c r="D972" t="str">
        <f t="shared" si="15"/>
        <v>Full</v>
      </c>
      <c r="E972">
        <v>3525</v>
      </c>
      <c r="F972">
        <v>8.68</v>
      </c>
      <c r="G972">
        <v>19.79</v>
      </c>
      <c r="H972" s="4" t="s">
        <v>1350</v>
      </c>
      <c r="I972" t="s">
        <v>2084</v>
      </c>
      <c r="J972" t="s">
        <v>2085</v>
      </c>
      <c r="K972" t="s">
        <v>21</v>
      </c>
      <c r="L972">
        <v>6.05</v>
      </c>
    </row>
    <row r="973" spans="1:12" x14ac:dyDescent="0.3">
      <c r="A973" t="s">
        <v>119</v>
      </c>
      <c r="B973" t="s">
        <v>23</v>
      </c>
      <c r="C973">
        <v>8203</v>
      </c>
      <c r="D973" t="str">
        <f t="shared" si="15"/>
        <v>Full</v>
      </c>
      <c r="E973">
        <v>14484</v>
      </c>
      <c r="F973">
        <v>218.15</v>
      </c>
      <c r="G973">
        <v>387.69</v>
      </c>
      <c r="H973" s="4" t="s">
        <v>754</v>
      </c>
      <c r="I973" t="s">
        <v>2086</v>
      </c>
      <c r="J973" t="s">
        <v>2087</v>
      </c>
      <c r="K973" t="s">
        <v>40</v>
      </c>
      <c r="L973">
        <v>96.97</v>
      </c>
    </row>
    <row r="974" spans="1:12" x14ac:dyDescent="0.3">
      <c r="A974" t="s">
        <v>127</v>
      </c>
      <c r="B974" t="s">
        <v>12</v>
      </c>
      <c r="C974">
        <v>3343</v>
      </c>
      <c r="D974" t="str">
        <f t="shared" si="15"/>
        <v>Full</v>
      </c>
      <c r="E974">
        <v>17491</v>
      </c>
      <c r="F974">
        <v>52.3</v>
      </c>
      <c r="G974">
        <v>89.71</v>
      </c>
      <c r="H974" s="4" t="s">
        <v>2088</v>
      </c>
      <c r="I974" t="s">
        <v>2089</v>
      </c>
      <c r="J974" t="s">
        <v>2090</v>
      </c>
      <c r="K974" t="s">
        <v>16</v>
      </c>
      <c r="L974">
        <v>35.799999999999997</v>
      </c>
    </row>
    <row r="975" spans="1:12" x14ac:dyDescent="0.3">
      <c r="A975" t="s">
        <v>147</v>
      </c>
      <c r="B975" t="s">
        <v>32</v>
      </c>
      <c r="C975">
        <v>8722</v>
      </c>
      <c r="D975" t="str">
        <f t="shared" si="15"/>
        <v>Full</v>
      </c>
      <c r="E975">
        <v>11028</v>
      </c>
      <c r="F975">
        <v>214.26</v>
      </c>
      <c r="G975">
        <v>375.12</v>
      </c>
      <c r="H975" s="4" t="s">
        <v>252</v>
      </c>
      <c r="I975" t="s">
        <v>2091</v>
      </c>
      <c r="J975" t="s">
        <v>1454</v>
      </c>
      <c r="K975" t="s">
        <v>16</v>
      </c>
      <c r="L975">
        <v>118.06</v>
      </c>
    </row>
    <row r="976" spans="1:12" x14ac:dyDescent="0.3">
      <c r="A976" t="s">
        <v>123</v>
      </c>
      <c r="B976" t="s">
        <v>84</v>
      </c>
      <c r="C976">
        <v>7060</v>
      </c>
      <c r="D976" t="str">
        <f t="shared" si="15"/>
        <v>Full</v>
      </c>
      <c r="E976">
        <v>21284</v>
      </c>
      <c r="F976">
        <v>21.52</v>
      </c>
      <c r="G976">
        <v>36.799999999999997</v>
      </c>
      <c r="H976" s="4" t="s">
        <v>1127</v>
      </c>
      <c r="I976" t="s">
        <v>396</v>
      </c>
      <c r="J976" t="s">
        <v>2092</v>
      </c>
      <c r="K976" t="s">
        <v>21</v>
      </c>
      <c r="L976">
        <v>12.72</v>
      </c>
    </row>
    <row r="977" spans="1:12" x14ac:dyDescent="0.3">
      <c r="A977" t="s">
        <v>299</v>
      </c>
      <c r="B977" t="s">
        <v>36</v>
      </c>
      <c r="C977">
        <v>3200</v>
      </c>
      <c r="D977" t="str">
        <f t="shared" si="15"/>
        <v>Full</v>
      </c>
      <c r="E977">
        <v>2791</v>
      </c>
      <c r="F977">
        <v>241.99</v>
      </c>
      <c r="G977">
        <v>493.81</v>
      </c>
      <c r="H977" s="4" t="s">
        <v>2093</v>
      </c>
      <c r="I977" t="s">
        <v>2094</v>
      </c>
      <c r="J977" t="s">
        <v>2095</v>
      </c>
      <c r="K977" t="s">
        <v>27</v>
      </c>
      <c r="L977">
        <v>104.33</v>
      </c>
    </row>
    <row r="978" spans="1:12" x14ac:dyDescent="0.3">
      <c r="A978" t="s">
        <v>176</v>
      </c>
      <c r="B978" t="s">
        <v>23</v>
      </c>
      <c r="C978">
        <v>959</v>
      </c>
      <c r="D978" t="str">
        <f t="shared" si="15"/>
        <v>Low</v>
      </c>
      <c r="E978">
        <v>8848</v>
      </c>
      <c r="F978">
        <v>88.25</v>
      </c>
      <c r="G978">
        <v>168.03</v>
      </c>
      <c r="H978" s="4" t="s">
        <v>243</v>
      </c>
      <c r="I978" t="s">
        <v>1042</v>
      </c>
      <c r="J978" t="s">
        <v>2096</v>
      </c>
      <c r="K978" t="s">
        <v>27</v>
      </c>
      <c r="L978">
        <v>62.01</v>
      </c>
    </row>
    <row r="979" spans="1:12" x14ac:dyDescent="0.3">
      <c r="A979" t="s">
        <v>31</v>
      </c>
      <c r="B979" t="s">
        <v>84</v>
      </c>
      <c r="C979">
        <v>9538</v>
      </c>
      <c r="D979" t="str">
        <f t="shared" si="15"/>
        <v>Full</v>
      </c>
      <c r="E979">
        <v>7610</v>
      </c>
      <c r="F979">
        <v>193.32</v>
      </c>
      <c r="G979">
        <v>240.12</v>
      </c>
      <c r="H979" s="4" t="s">
        <v>2057</v>
      </c>
      <c r="I979" t="s">
        <v>2097</v>
      </c>
      <c r="J979" t="s">
        <v>2098</v>
      </c>
      <c r="K979" t="s">
        <v>16</v>
      </c>
      <c r="L979">
        <v>80.8</v>
      </c>
    </row>
    <row r="980" spans="1:12" x14ac:dyDescent="0.3">
      <c r="A980" t="s">
        <v>49</v>
      </c>
      <c r="B980" t="s">
        <v>12</v>
      </c>
      <c r="C980">
        <v>1287</v>
      </c>
      <c r="D980" t="str">
        <f t="shared" si="15"/>
        <v>Medium</v>
      </c>
      <c r="E980">
        <v>11308</v>
      </c>
      <c r="F980">
        <v>32.5</v>
      </c>
      <c r="G980">
        <v>52.04</v>
      </c>
      <c r="H980" s="4" t="s">
        <v>486</v>
      </c>
      <c r="I980" t="s">
        <v>1571</v>
      </c>
      <c r="J980" t="s">
        <v>2099</v>
      </c>
      <c r="K980" t="s">
        <v>16</v>
      </c>
      <c r="L980">
        <v>15.53</v>
      </c>
    </row>
    <row r="981" spans="1:12" x14ac:dyDescent="0.3">
      <c r="A981" t="s">
        <v>299</v>
      </c>
      <c r="B981" t="s">
        <v>23</v>
      </c>
      <c r="C981">
        <v>2622</v>
      </c>
      <c r="D981" t="str">
        <f t="shared" si="15"/>
        <v>Medium</v>
      </c>
      <c r="E981">
        <v>24024</v>
      </c>
      <c r="F981">
        <v>204.03</v>
      </c>
      <c r="G981">
        <v>332.71</v>
      </c>
      <c r="H981" s="4" t="s">
        <v>820</v>
      </c>
      <c r="I981" t="s">
        <v>2100</v>
      </c>
      <c r="J981" t="s">
        <v>2101</v>
      </c>
      <c r="K981" t="s">
        <v>98</v>
      </c>
      <c r="L981">
        <v>83.55</v>
      </c>
    </row>
    <row r="982" spans="1:12" x14ac:dyDescent="0.3">
      <c r="A982" t="s">
        <v>299</v>
      </c>
      <c r="B982" t="s">
        <v>36</v>
      </c>
      <c r="C982">
        <v>1112</v>
      </c>
      <c r="D982" t="str">
        <f t="shared" si="15"/>
        <v>Medium</v>
      </c>
      <c r="E982">
        <v>10506</v>
      </c>
      <c r="F982">
        <v>52.56</v>
      </c>
      <c r="G982">
        <v>109.7</v>
      </c>
      <c r="H982" s="4" t="s">
        <v>580</v>
      </c>
      <c r="I982" t="s">
        <v>1325</v>
      </c>
      <c r="J982" t="s">
        <v>2102</v>
      </c>
      <c r="K982" t="s">
        <v>98</v>
      </c>
      <c r="L982">
        <v>39.619999999999997</v>
      </c>
    </row>
    <row r="983" spans="1:12" x14ac:dyDescent="0.3">
      <c r="A983" t="s">
        <v>123</v>
      </c>
      <c r="B983" t="s">
        <v>84</v>
      </c>
      <c r="C983">
        <v>8718</v>
      </c>
      <c r="D983" t="str">
        <f t="shared" si="15"/>
        <v>Full</v>
      </c>
      <c r="E983">
        <v>17918</v>
      </c>
      <c r="F983">
        <v>297.72000000000003</v>
      </c>
      <c r="G983">
        <v>592.87</v>
      </c>
      <c r="H983" s="4" t="s">
        <v>920</v>
      </c>
      <c r="I983" t="s">
        <v>2103</v>
      </c>
      <c r="J983" t="s">
        <v>2104</v>
      </c>
      <c r="K983" t="s">
        <v>98</v>
      </c>
      <c r="L983">
        <v>159.46</v>
      </c>
    </row>
    <row r="984" spans="1:12" x14ac:dyDescent="0.3">
      <c r="A984" t="s">
        <v>76</v>
      </c>
      <c r="B984" t="s">
        <v>32</v>
      </c>
      <c r="C984">
        <v>7559</v>
      </c>
      <c r="D984" t="str">
        <f t="shared" si="15"/>
        <v>Full</v>
      </c>
      <c r="E984">
        <v>2311</v>
      </c>
      <c r="F984">
        <v>267.75</v>
      </c>
      <c r="G984">
        <v>590.77</v>
      </c>
      <c r="H984" s="4" t="s">
        <v>2105</v>
      </c>
      <c r="I984" t="s">
        <v>2106</v>
      </c>
      <c r="J984" t="s">
        <v>2107</v>
      </c>
      <c r="K984" t="s">
        <v>16</v>
      </c>
      <c r="L984">
        <v>172.1</v>
      </c>
    </row>
    <row r="985" spans="1:12" x14ac:dyDescent="0.3">
      <c r="A985" t="s">
        <v>123</v>
      </c>
      <c r="B985" t="s">
        <v>32</v>
      </c>
      <c r="C985">
        <v>8651</v>
      </c>
      <c r="D985" t="str">
        <f t="shared" si="15"/>
        <v>Full</v>
      </c>
      <c r="E985">
        <v>4191</v>
      </c>
      <c r="F985">
        <v>242.39</v>
      </c>
      <c r="G985">
        <v>335.81</v>
      </c>
      <c r="H985" s="4" t="s">
        <v>1314</v>
      </c>
      <c r="I985" t="s">
        <v>2108</v>
      </c>
      <c r="J985" t="s">
        <v>2109</v>
      </c>
      <c r="K985" t="s">
        <v>21</v>
      </c>
      <c r="L985">
        <v>106.08</v>
      </c>
    </row>
    <row r="986" spans="1:12" x14ac:dyDescent="0.3">
      <c r="A986" t="s">
        <v>45</v>
      </c>
      <c r="B986" t="s">
        <v>84</v>
      </c>
      <c r="C986">
        <v>5343</v>
      </c>
      <c r="D986" t="str">
        <f t="shared" si="15"/>
        <v>Full</v>
      </c>
      <c r="E986">
        <v>6291</v>
      </c>
      <c r="F986">
        <v>25.11</v>
      </c>
      <c r="G986">
        <v>48.95</v>
      </c>
      <c r="H986" s="4" t="s">
        <v>2110</v>
      </c>
      <c r="I986" t="s">
        <v>908</v>
      </c>
      <c r="J986" t="s">
        <v>2111</v>
      </c>
      <c r="K986" t="s">
        <v>98</v>
      </c>
      <c r="L986">
        <v>17.18</v>
      </c>
    </row>
    <row r="987" spans="1:12" x14ac:dyDescent="0.3">
      <c r="A987" t="s">
        <v>143</v>
      </c>
      <c r="B987" t="s">
        <v>23</v>
      </c>
      <c r="C987">
        <v>8253</v>
      </c>
      <c r="D987" t="str">
        <f t="shared" si="15"/>
        <v>Full</v>
      </c>
      <c r="E987">
        <v>9389</v>
      </c>
      <c r="F987">
        <v>230.13</v>
      </c>
      <c r="G987">
        <v>408.4</v>
      </c>
      <c r="H987" s="4" t="s">
        <v>963</v>
      </c>
      <c r="I987" t="s">
        <v>108</v>
      </c>
      <c r="J987" t="s">
        <v>2112</v>
      </c>
      <c r="K987" t="s">
        <v>21</v>
      </c>
      <c r="L987">
        <v>95.7</v>
      </c>
    </row>
    <row r="988" spans="1:12" x14ac:dyDescent="0.3">
      <c r="A988" t="s">
        <v>31</v>
      </c>
      <c r="B988" t="s">
        <v>36</v>
      </c>
      <c r="C988">
        <v>7201</v>
      </c>
      <c r="D988" t="str">
        <f t="shared" si="15"/>
        <v>Full</v>
      </c>
      <c r="E988">
        <v>21305</v>
      </c>
      <c r="F988">
        <v>275.56</v>
      </c>
      <c r="G988">
        <v>376.88</v>
      </c>
      <c r="H988" s="4" t="s">
        <v>2113</v>
      </c>
      <c r="I988" t="s">
        <v>1116</v>
      </c>
      <c r="J988" t="s">
        <v>2114</v>
      </c>
      <c r="K988" t="s">
        <v>40</v>
      </c>
      <c r="L988">
        <v>151.41</v>
      </c>
    </row>
    <row r="989" spans="1:12" x14ac:dyDescent="0.3">
      <c r="A989" t="s">
        <v>200</v>
      </c>
      <c r="B989" t="s">
        <v>32</v>
      </c>
      <c r="C989">
        <v>7874</v>
      </c>
      <c r="D989" t="str">
        <f t="shared" si="15"/>
        <v>Full</v>
      </c>
      <c r="E989">
        <v>9612</v>
      </c>
      <c r="F989">
        <v>263.83999999999997</v>
      </c>
      <c r="G989">
        <v>656.6</v>
      </c>
      <c r="H989" s="4" t="s">
        <v>1172</v>
      </c>
      <c r="I989" t="s">
        <v>453</v>
      </c>
      <c r="J989" t="s">
        <v>2115</v>
      </c>
      <c r="K989" t="s">
        <v>27</v>
      </c>
      <c r="L989">
        <v>183.74</v>
      </c>
    </row>
    <row r="990" spans="1:12" x14ac:dyDescent="0.3">
      <c r="A990" t="s">
        <v>80</v>
      </c>
      <c r="B990" t="s">
        <v>32</v>
      </c>
      <c r="C990">
        <v>630</v>
      </c>
      <c r="D990" t="str">
        <f t="shared" si="15"/>
        <v>Low</v>
      </c>
      <c r="E990">
        <v>6064</v>
      </c>
      <c r="F990">
        <v>256.64999999999998</v>
      </c>
      <c r="G990">
        <v>404.96</v>
      </c>
      <c r="H990" s="4" t="s">
        <v>2116</v>
      </c>
      <c r="I990" t="s">
        <v>2117</v>
      </c>
      <c r="J990" t="s">
        <v>2118</v>
      </c>
      <c r="K990" t="s">
        <v>27</v>
      </c>
      <c r="L990">
        <v>125.56</v>
      </c>
    </row>
    <row r="991" spans="1:12" x14ac:dyDescent="0.3">
      <c r="A991" t="s">
        <v>143</v>
      </c>
      <c r="B991" t="s">
        <v>12</v>
      </c>
      <c r="C991">
        <v>6216</v>
      </c>
      <c r="D991" t="str">
        <f t="shared" si="15"/>
        <v>Full</v>
      </c>
      <c r="E991">
        <v>16265</v>
      </c>
      <c r="F991">
        <v>143.19999999999999</v>
      </c>
      <c r="G991">
        <v>271.45999999999998</v>
      </c>
      <c r="H991" s="4" t="s">
        <v>896</v>
      </c>
      <c r="I991" t="s">
        <v>202</v>
      </c>
      <c r="J991" t="s">
        <v>2119</v>
      </c>
      <c r="K991" t="s">
        <v>98</v>
      </c>
      <c r="L991">
        <v>99.2</v>
      </c>
    </row>
    <row r="992" spans="1:12" x14ac:dyDescent="0.3">
      <c r="A992" t="s">
        <v>299</v>
      </c>
      <c r="B992" t="s">
        <v>36</v>
      </c>
      <c r="C992">
        <v>3768</v>
      </c>
      <c r="D992" t="str">
        <f t="shared" si="15"/>
        <v>Full</v>
      </c>
      <c r="E992">
        <v>14157</v>
      </c>
      <c r="F992">
        <v>101.97</v>
      </c>
      <c r="G992">
        <v>164.42</v>
      </c>
      <c r="H992" s="4" t="s">
        <v>2120</v>
      </c>
      <c r="I992" t="s">
        <v>213</v>
      </c>
      <c r="J992" t="s">
        <v>2121</v>
      </c>
      <c r="K992" t="s">
        <v>21</v>
      </c>
      <c r="L992">
        <v>45.45</v>
      </c>
    </row>
    <row r="993" spans="1:12" x14ac:dyDescent="0.3">
      <c r="A993" t="s">
        <v>143</v>
      </c>
      <c r="B993" t="s">
        <v>12</v>
      </c>
      <c r="C993">
        <v>9430</v>
      </c>
      <c r="D993" t="str">
        <f t="shared" si="15"/>
        <v>Full</v>
      </c>
      <c r="E993">
        <v>6103</v>
      </c>
      <c r="F993">
        <v>284.82</v>
      </c>
      <c r="G993">
        <v>395.66</v>
      </c>
      <c r="H993" s="4" t="s">
        <v>1484</v>
      </c>
      <c r="I993" t="s">
        <v>2122</v>
      </c>
      <c r="J993" t="s">
        <v>2123</v>
      </c>
      <c r="K993" t="s">
        <v>27</v>
      </c>
      <c r="L993">
        <v>226.47</v>
      </c>
    </row>
    <row r="994" spans="1:12" x14ac:dyDescent="0.3">
      <c r="A994" t="s">
        <v>299</v>
      </c>
      <c r="B994" t="s">
        <v>12</v>
      </c>
      <c r="C994">
        <v>6422</v>
      </c>
      <c r="D994" t="str">
        <f t="shared" si="15"/>
        <v>Full</v>
      </c>
      <c r="E994">
        <v>15093</v>
      </c>
      <c r="F994">
        <v>293.68</v>
      </c>
      <c r="G994">
        <v>433.9</v>
      </c>
      <c r="H994" s="4" t="s">
        <v>926</v>
      </c>
      <c r="I994" t="s">
        <v>300</v>
      </c>
      <c r="J994" t="s">
        <v>2124</v>
      </c>
      <c r="K994" t="s">
        <v>21</v>
      </c>
      <c r="L994">
        <v>149.16999999999999</v>
      </c>
    </row>
    <row r="995" spans="1:12" x14ac:dyDescent="0.3">
      <c r="A995" t="s">
        <v>56</v>
      </c>
      <c r="B995" t="s">
        <v>12</v>
      </c>
      <c r="C995">
        <v>2822</v>
      </c>
      <c r="D995" t="str">
        <f t="shared" si="15"/>
        <v>Medium</v>
      </c>
      <c r="E995">
        <v>3269</v>
      </c>
      <c r="F995">
        <v>85.8</v>
      </c>
      <c r="G995">
        <v>112.07</v>
      </c>
      <c r="H995" s="4" t="s">
        <v>2125</v>
      </c>
      <c r="I995" t="s">
        <v>2126</v>
      </c>
      <c r="J995" t="s">
        <v>2127</v>
      </c>
      <c r="K995" t="s">
        <v>98</v>
      </c>
      <c r="L995">
        <v>57.3</v>
      </c>
    </row>
    <row r="996" spans="1:12" x14ac:dyDescent="0.3">
      <c r="A996" t="s">
        <v>147</v>
      </c>
      <c r="B996" t="s">
        <v>84</v>
      </c>
      <c r="C996">
        <v>1380</v>
      </c>
      <c r="D996" t="str">
        <f t="shared" si="15"/>
        <v>Medium</v>
      </c>
      <c r="E996">
        <v>4029</v>
      </c>
      <c r="F996">
        <v>269.01</v>
      </c>
      <c r="G996">
        <v>472.68</v>
      </c>
      <c r="H996" s="4" t="s">
        <v>1880</v>
      </c>
      <c r="I996" t="s">
        <v>2128</v>
      </c>
      <c r="J996" t="s">
        <v>2129</v>
      </c>
      <c r="K996" t="s">
        <v>40</v>
      </c>
      <c r="L996">
        <v>208.96</v>
      </c>
    </row>
    <row r="997" spans="1:12" x14ac:dyDescent="0.3">
      <c r="A997" t="s">
        <v>49</v>
      </c>
      <c r="B997" t="s">
        <v>36</v>
      </c>
      <c r="C997">
        <v>9273</v>
      </c>
      <c r="D997" t="str">
        <f t="shared" si="15"/>
        <v>Full</v>
      </c>
      <c r="E997">
        <v>23571</v>
      </c>
      <c r="F997">
        <v>236.24</v>
      </c>
      <c r="G997">
        <v>580.03</v>
      </c>
      <c r="H997" s="4" t="s">
        <v>1780</v>
      </c>
      <c r="I997" t="s">
        <v>1748</v>
      </c>
      <c r="J997" t="s">
        <v>2130</v>
      </c>
      <c r="K997" t="s">
        <v>21</v>
      </c>
      <c r="L997">
        <v>172.27</v>
      </c>
    </row>
    <row r="998" spans="1:12" x14ac:dyDescent="0.3">
      <c r="A998" t="s">
        <v>66</v>
      </c>
      <c r="B998" t="s">
        <v>32</v>
      </c>
      <c r="C998">
        <v>3753</v>
      </c>
      <c r="D998" t="str">
        <f t="shared" si="15"/>
        <v>Full</v>
      </c>
      <c r="E998">
        <v>3549</v>
      </c>
      <c r="F998">
        <v>218.2</v>
      </c>
      <c r="G998">
        <v>425.93</v>
      </c>
      <c r="H998" s="4" t="s">
        <v>2131</v>
      </c>
      <c r="I998" t="s">
        <v>378</v>
      </c>
      <c r="J998" t="s">
        <v>2132</v>
      </c>
      <c r="K998" t="s">
        <v>40</v>
      </c>
      <c r="L998">
        <v>88.52</v>
      </c>
    </row>
    <row r="999" spans="1:12" x14ac:dyDescent="0.3">
      <c r="A999" t="s">
        <v>143</v>
      </c>
      <c r="B999" t="s">
        <v>84</v>
      </c>
      <c r="C999">
        <v>8682</v>
      </c>
      <c r="D999" t="str">
        <f t="shared" si="15"/>
        <v>Full</v>
      </c>
      <c r="E999">
        <v>11368</v>
      </c>
      <c r="F999">
        <v>38.51</v>
      </c>
      <c r="G999">
        <v>94.77</v>
      </c>
      <c r="H999" s="4" t="s">
        <v>1757</v>
      </c>
      <c r="I999" t="s">
        <v>68</v>
      </c>
      <c r="J999" t="s">
        <v>2133</v>
      </c>
      <c r="K999" t="s">
        <v>27</v>
      </c>
      <c r="L999">
        <v>30.63</v>
      </c>
    </row>
    <row r="1000" spans="1:12" x14ac:dyDescent="0.3">
      <c r="A1000" t="s">
        <v>123</v>
      </c>
      <c r="B1000" t="s">
        <v>36</v>
      </c>
      <c r="C1000">
        <v>9976</v>
      </c>
      <c r="D1000" t="str">
        <f t="shared" si="15"/>
        <v>Full</v>
      </c>
      <c r="E1000">
        <v>4193</v>
      </c>
      <c r="F1000">
        <v>15.76</v>
      </c>
      <c r="G1000">
        <v>34.19</v>
      </c>
      <c r="H1000" s="4" t="s">
        <v>429</v>
      </c>
      <c r="I1000" t="s">
        <v>1082</v>
      </c>
      <c r="J1000" t="s">
        <v>2134</v>
      </c>
      <c r="K1000" t="s">
        <v>98</v>
      </c>
      <c r="L1000">
        <v>10.09</v>
      </c>
    </row>
    <row r="1001" spans="1:12" x14ac:dyDescent="0.3">
      <c r="A1001" t="s">
        <v>88</v>
      </c>
      <c r="B1001" t="s">
        <v>23</v>
      </c>
      <c r="C1001">
        <v>3936</v>
      </c>
      <c r="D1001" t="str">
        <f t="shared" si="15"/>
        <v>Full</v>
      </c>
      <c r="E1001">
        <v>7263</v>
      </c>
      <c r="F1001">
        <v>291.66000000000003</v>
      </c>
      <c r="G1001">
        <v>568.70000000000005</v>
      </c>
      <c r="H1001" s="4" t="s">
        <v>2135</v>
      </c>
      <c r="I1001" t="s">
        <v>1095</v>
      </c>
      <c r="J1001" t="s">
        <v>2136</v>
      </c>
      <c r="K1001" t="s">
        <v>27</v>
      </c>
      <c r="L1001">
        <v>151.88999999999999</v>
      </c>
    </row>
    <row r="1002" spans="1:12" x14ac:dyDescent="0.3">
      <c r="A1002" t="s">
        <v>31</v>
      </c>
      <c r="B1002" t="s">
        <v>32</v>
      </c>
      <c r="C1002">
        <v>2543</v>
      </c>
      <c r="D1002" t="str">
        <f t="shared" si="15"/>
        <v>Medium</v>
      </c>
      <c r="E1002">
        <v>23915</v>
      </c>
      <c r="F1002">
        <v>152.24</v>
      </c>
      <c r="G1002">
        <v>380.41</v>
      </c>
      <c r="H1002" s="4" t="s">
        <v>1361</v>
      </c>
      <c r="I1002" t="s">
        <v>1378</v>
      </c>
      <c r="J1002" t="s">
        <v>2137</v>
      </c>
      <c r="K1002" t="s">
        <v>40</v>
      </c>
      <c r="L1002">
        <v>111.33</v>
      </c>
    </row>
    <row r="1003" spans="1:12" x14ac:dyDescent="0.3">
      <c r="A1003" t="s">
        <v>200</v>
      </c>
      <c r="B1003" t="s">
        <v>32</v>
      </c>
      <c r="C1003">
        <v>6002</v>
      </c>
      <c r="D1003" t="str">
        <f t="shared" si="15"/>
        <v>Full</v>
      </c>
      <c r="E1003">
        <v>4715</v>
      </c>
      <c r="F1003">
        <v>278.27</v>
      </c>
      <c r="G1003">
        <v>499.9</v>
      </c>
      <c r="H1003" s="4" t="s">
        <v>1853</v>
      </c>
      <c r="I1003" t="s">
        <v>1226</v>
      </c>
      <c r="J1003" t="s">
        <v>2138</v>
      </c>
      <c r="K1003" t="s">
        <v>16</v>
      </c>
      <c r="L1003">
        <v>129.41</v>
      </c>
    </row>
    <row r="1004" spans="1:12" x14ac:dyDescent="0.3">
      <c r="A1004" t="s">
        <v>200</v>
      </c>
      <c r="B1004" t="s">
        <v>36</v>
      </c>
      <c r="C1004">
        <v>5169</v>
      </c>
      <c r="D1004" t="str">
        <f t="shared" si="15"/>
        <v>Full</v>
      </c>
      <c r="E1004">
        <v>22613</v>
      </c>
      <c r="F1004">
        <v>208.12</v>
      </c>
      <c r="G1004">
        <v>368.11</v>
      </c>
      <c r="H1004" s="4" t="s">
        <v>436</v>
      </c>
      <c r="I1004" t="s">
        <v>2139</v>
      </c>
      <c r="J1004" t="s">
        <v>2140</v>
      </c>
      <c r="K1004" t="s">
        <v>27</v>
      </c>
      <c r="L1004">
        <v>166.11</v>
      </c>
    </row>
    <row r="1005" spans="1:12" x14ac:dyDescent="0.3">
      <c r="A1005" t="s">
        <v>11</v>
      </c>
      <c r="B1005" t="s">
        <v>12</v>
      </c>
      <c r="C1005">
        <v>769</v>
      </c>
      <c r="D1005" t="str">
        <f t="shared" si="15"/>
        <v>Low</v>
      </c>
      <c r="E1005">
        <v>21193</v>
      </c>
      <c r="F1005">
        <v>280.08999999999997</v>
      </c>
      <c r="G1005">
        <v>373.86</v>
      </c>
      <c r="H1005" s="4" t="s">
        <v>930</v>
      </c>
      <c r="I1005" t="s">
        <v>1921</v>
      </c>
      <c r="J1005" t="s">
        <v>2141</v>
      </c>
      <c r="K1005" t="s">
        <v>21</v>
      </c>
      <c r="L1005">
        <v>168.43</v>
      </c>
    </row>
    <row r="1006" spans="1:12" x14ac:dyDescent="0.3">
      <c r="A1006" t="s">
        <v>127</v>
      </c>
      <c r="B1006" t="s">
        <v>23</v>
      </c>
      <c r="C1006">
        <v>7391</v>
      </c>
      <c r="D1006" t="str">
        <f t="shared" si="15"/>
        <v>Full</v>
      </c>
      <c r="E1006">
        <v>7942</v>
      </c>
      <c r="F1006">
        <v>70.75</v>
      </c>
      <c r="G1006">
        <v>126.71</v>
      </c>
      <c r="H1006" s="4" t="s">
        <v>975</v>
      </c>
      <c r="I1006" t="s">
        <v>329</v>
      </c>
      <c r="J1006" t="s">
        <v>2142</v>
      </c>
      <c r="K1006" t="s">
        <v>21</v>
      </c>
      <c r="L1006">
        <v>55.2</v>
      </c>
    </row>
    <row r="1007" spans="1:12" x14ac:dyDescent="0.3">
      <c r="A1007" t="s">
        <v>76</v>
      </c>
      <c r="B1007" t="s">
        <v>36</v>
      </c>
      <c r="C1007">
        <v>7265</v>
      </c>
      <c r="D1007" t="str">
        <f t="shared" si="15"/>
        <v>Full</v>
      </c>
      <c r="E1007">
        <v>22130</v>
      </c>
      <c r="F1007">
        <v>212.63</v>
      </c>
      <c r="G1007">
        <v>460.02</v>
      </c>
      <c r="H1007" s="4" t="s">
        <v>2008</v>
      </c>
      <c r="I1007" t="s">
        <v>2143</v>
      </c>
      <c r="J1007" t="s">
        <v>2144</v>
      </c>
      <c r="K1007" t="s">
        <v>16</v>
      </c>
      <c r="L1007">
        <v>109.17</v>
      </c>
    </row>
    <row r="1008" spans="1:12" x14ac:dyDescent="0.3">
      <c r="A1008" t="s">
        <v>147</v>
      </c>
      <c r="B1008" t="s">
        <v>23</v>
      </c>
      <c r="C1008">
        <v>7294</v>
      </c>
      <c r="D1008" t="str">
        <f t="shared" si="15"/>
        <v>Full</v>
      </c>
      <c r="E1008">
        <v>23062</v>
      </c>
      <c r="F1008">
        <v>76.260000000000005</v>
      </c>
      <c r="G1008">
        <v>180.75</v>
      </c>
      <c r="H1008" s="4" t="s">
        <v>290</v>
      </c>
      <c r="I1008" t="s">
        <v>1619</v>
      </c>
      <c r="J1008" t="s">
        <v>2145</v>
      </c>
      <c r="K1008" t="s">
        <v>27</v>
      </c>
      <c r="L1008">
        <v>35.18</v>
      </c>
    </row>
    <row r="1009" spans="1:12" x14ac:dyDescent="0.3">
      <c r="A1009" t="s">
        <v>76</v>
      </c>
      <c r="B1009" t="s">
        <v>32</v>
      </c>
      <c r="C1009">
        <v>5701</v>
      </c>
      <c r="D1009" t="str">
        <f t="shared" si="15"/>
        <v>Full</v>
      </c>
      <c r="E1009">
        <v>11980</v>
      </c>
      <c r="F1009">
        <v>55.27</v>
      </c>
      <c r="G1009">
        <v>107.44</v>
      </c>
      <c r="H1009" s="4" t="s">
        <v>2146</v>
      </c>
      <c r="I1009" t="s">
        <v>2147</v>
      </c>
      <c r="J1009" t="s">
        <v>2148</v>
      </c>
      <c r="K1009" t="s">
        <v>21</v>
      </c>
      <c r="L1009">
        <v>26.37</v>
      </c>
    </row>
    <row r="1010" spans="1:12" x14ac:dyDescent="0.3">
      <c r="A1010" t="s">
        <v>299</v>
      </c>
      <c r="B1010" t="s">
        <v>12</v>
      </c>
      <c r="C1010">
        <v>9967</v>
      </c>
      <c r="D1010" t="str">
        <f t="shared" si="15"/>
        <v>Full</v>
      </c>
      <c r="E1010">
        <v>15060</v>
      </c>
      <c r="F1010">
        <v>43.02</v>
      </c>
      <c r="G1010">
        <v>87.21</v>
      </c>
      <c r="H1010" s="4" t="s">
        <v>2149</v>
      </c>
      <c r="I1010" t="s">
        <v>1599</v>
      </c>
      <c r="J1010" t="s">
        <v>2150</v>
      </c>
      <c r="K1010" t="s">
        <v>16</v>
      </c>
      <c r="L1010">
        <v>19.93</v>
      </c>
    </row>
    <row r="1011" spans="1:12" x14ac:dyDescent="0.3">
      <c r="A1011" t="s">
        <v>80</v>
      </c>
      <c r="B1011" t="s">
        <v>12</v>
      </c>
      <c r="C1011">
        <v>2569</v>
      </c>
      <c r="D1011" t="str">
        <f t="shared" si="15"/>
        <v>Medium</v>
      </c>
      <c r="E1011">
        <v>17523</v>
      </c>
      <c r="F1011">
        <v>39.92</v>
      </c>
      <c r="G1011">
        <v>77.84</v>
      </c>
      <c r="H1011" s="4" t="s">
        <v>1390</v>
      </c>
      <c r="I1011" t="s">
        <v>1301</v>
      </c>
      <c r="J1011" t="s">
        <v>2151</v>
      </c>
      <c r="K1011" t="s">
        <v>16</v>
      </c>
      <c r="L1011">
        <v>18.510000000000002</v>
      </c>
    </row>
    <row r="1012" spans="1:12" x14ac:dyDescent="0.3">
      <c r="A1012" t="s">
        <v>45</v>
      </c>
      <c r="B1012" t="s">
        <v>84</v>
      </c>
      <c r="C1012">
        <v>2027</v>
      </c>
      <c r="D1012" t="str">
        <f t="shared" si="15"/>
        <v>Medium</v>
      </c>
      <c r="E1012">
        <v>4056</v>
      </c>
      <c r="F1012">
        <v>12.56</v>
      </c>
      <c r="G1012">
        <v>15.26</v>
      </c>
      <c r="H1012" s="4" t="s">
        <v>400</v>
      </c>
      <c r="I1012" t="s">
        <v>1808</v>
      </c>
      <c r="J1012" t="s">
        <v>2152</v>
      </c>
      <c r="K1012" t="s">
        <v>16</v>
      </c>
      <c r="L1012">
        <v>8.58</v>
      </c>
    </row>
    <row r="1013" spans="1:12" x14ac:dyDescent="0.3">
      <c r="A1013" t="s">
        <v>41</v>
      </c>
      <c r="B1013" t="s">
        <v>32</v>
      </c>
      <c r="C1013">
        <v>6765</v>
      </c>
      <c r="D1013" t="str">
        <f t="shared" si="15"/>
        <v>Full</v>
      </c>
      <c r="E1013">
        <v>1828</v>
      </c>
      <c r="F1013">
        <v>223.99</v>
      </c>
      <c r="G1013">
        <v>306.8</v>
      </c>
      <c r="H1013" s="4" t="s">
        <v>814</v>
      </c>
      <c r="I1013" t="s">
        <v>2153</v>
      </c>
      <c r="J1013" t="s">
        <v>2154</v>
      </c>
      <c r="K1013" t="s">
        <v>40</v>
      </c>
      <c r="L1013">
        <v>106.31</v>
      </c>
    </row>
    <row r="1014" spans="1:12" x14ac:dyDescent="0.3">
      <c r="A1014" t="s">
        <v>80</v>
      </c>
      <c r="B1014" t="s">
        <v>23</v>
      </c>
      <c r="C1014">
        <v>3675</v>
      </c>
      <c r="D1014" t="str">
        <f t="shared" si="15"/>
        <v>Full</v>
      </c>
      <c r="E1014">
        <v>18544</v>
      </c>
      <c r="F1014">
        <v>252.93</v>
      </c>
      <c r="G1014">
        <v>542.33000000000004</v>
      </c>
      <c r="H1014" s="4" t="s">
        <v>888</v>
      </c>
      <c r="I1014" t="s">
        <v>833</v>
      </c>
      <c r="J1014" t="s">
        <v>2155</v>
      </c>
      <c r="K1014" t="s">
        <v>27</v>
      </c>
      <c r="L1014">
        <v>128.99</v>
      </c>
    </row>
    <row r="1015" spans="1:12" x14ac:dyDescent="0.3">
      <c r="A1015" t="s">
        <v>123</v>
      </c>
      <c r="B1015" t="s">
        <v>12</v>
      </c>
      <c r="C1015">
        <v>9992</v>
      </c>
      <c r="D1015" t="str">
        <f t="shared" si="15"/>
        <v>Full</v>
      </c>
      <c r="E1015">
        <v>4388</v>
      </c>
      <c r="F1015">
        <v>37.72</v>
      </c>
      <c r="G1015">
        <v>90.73</v>
      </c>
      <c r="H1015" s="4" t="s">
        <v>349</v>
      </c>
      <c r="I1015" t="s">
        <v>2156</v>
      </c>
      <c r="J1015" t="s">
        <v>2157</v>
      </c>
      <c r="K1015" t="s">
        <v>40</v>
      </c>
      <c r="L1015">
        <v>19.04</v>
      </c>
    </row>
    <row r="1016" spans="1:12" x14ac:dyDescent="0.3">
      <c r="A1016" t="s">
        <v>56</v>
      </c>
      <c r="B1016" t="s">
        <v>12</v>
      </c>
      <c r="C1016">
        <v>1767</v>
      </c>
      <c r="D1016" t="str">
        <f t="shared" si="15"/>
        <v>Medium</v>
      </c>
      <c r="E1016">
        <v>17195</v>
      </c>
      <c r="F1016">
        <v>254.16</v>
      </c>
      <c r="G1016">
        <v>606.55999999999995</v>
      </c>
      <c r="H1016" s="4" t="s">
        <v>851</v>
      </c>
      <c r="I1016" t="s">
        <v>2158</v>
      </c>
      <c r="J1016" t="s">
        <v>2159</v>
      </c>
      <c r="K1016" t="s">
        <v>21</v>
      </c>
      <c r="L1016">
        <v>182.53</v>
      </c>
    </row>
    <row r="1017" spans="1:12" x14ac:dyDescent="0.3">
      <c r="A1017" t="s">
        <v>200</v>
      </c>
      <c r="B1017" t="s">
        <v>12</v>
      </c>
      <c r="C1017">
        <v>8471</v>
      </c>
      <c r="D1017" t="str">
        <f t="shared" si="15"/>
        <v>Full</v>
      </c>
      <c r="E1017">
        <v>21502</v>
      </c>
      <c r="F1017">
        <v>27.51</v>
      </c>
      <c r="G1017">
        <v>57.59</v>
      </c>
      <c r="H1017" s="4" t="s">
        <v>775</v>
      </c>
      <c r="I1017" t="s">
        <v>195</v>
      </c>
      <c r="J1017" t="s">
        <v>2160</v>
      </c>
      <c r="K1017" t="s">
        <v>21</v>
      </c>
      <c r="L1017">
        <v>19.899999999999999</v>
      </c>
    </row>
    <row r="1018" spans="1:12" x14ac:dyDescent="0.3">
      <c r="A1018" t="s">
        <v>56</v>
      </c>
      <c r="B1018" t="s">
        <v>23</v>
      </c>
      <c r="C1018">
        <v>666</v>
      </c>
      <c r="D1018" t="str">
        <f t="shared" si="15"/>
        <v>Low</v>
      </c>
      <c r="E1018">
        <v>6854</v>
      </c>
      <c r="F1018">
        <v>199.6</v>
      </c>
      <c r="G1018">
        <v>403.31</v>
      </c>
      <c r="H1018" s="4" t="s">
        <v>81</v>
      </c>
      <c r="I1018" t="s">
        <v>2161</v>
      </c>
      <c r="J1018" t="s">
        <v>2162</v>
      </c>
      <c r="K1018" t="s">
        <v>40</v>
      </c>
      <c r="L1018">
        <v>118.48</v>
      </c>
    </row>
    <row r="1019" spans="1:12" x14ac:dyDescent="0.3">
      <c r="A1019" t="s">
        <v>176</v>
      </c>
      <c r="B1019" t="s">
        <v>32</v>
      </c>
      <c r="C1019">
        <v>9453</v>
      </c>
      <c r="D1019" t="str">
        <f t="shared" si="15"/>
        <v>Full</v>
      </c>
      <c r="E1019">
        <v>1164</v>
      </c>
      <c r="F1019">
        <v>51.72</v>
      </c>
      <c r="G1019">
        <v>111.93</v>
      </c>
      <c r="H1019" s="4" t="s">
        <v>857</v>
      </c>
      <c r="I1019" t="s">
        <v>745</v>
      </c>
      <c r="J1019" t="s">
        <v>2163</v>
      </c>
      <c r="K1019" t="s">
        <v>27</v>
      </c>
      <c r="L1019">
        <v>31.78</v>
      </c>
    </row>
    <row r="1020" spans="1:12" x14ac:dyDescent="0.3">
      <c r="A1020" t="s">
        <v>119</v>
      </c>
      <c r="B1020" t="s">
        <v>32</v>
      </c>
      <c r="C1020">
        <v>2996</v>
      </c>
      <c r="D1020" t="str">
        <f t="shared" si="15"/>
        <v>Medium</v>
      </c>
      <c r="E1020">
        <v>8087</v>
      </c>
      <c r="F1020">
        <v>260.73</v>
      </c>
      <c r="G1020">
        <v>351.78</v>
      </c>
      <c r="H1020" s="4" t="s">
        <v>1404</v>
      </c>
      <c r="I1020" t="s">
        <v>853</v>
      </c>
      <c r="J1020" t="s">
        <v>2164</v>
      </c>
      <c r="K1020" t="s">
        <v>98</v>
      </c>
      <c r="L1020">
        <v>127.21</v>
      </c>
    </row>
    <row r="1021" spans="1:12" x14ac:dyDescent="0.3">
      <c r="A1021" t="s">
        <v>123</v>
      </c>
      <c r="B1021" t="s">
        <v>23</v>
      </c>
      <c r="C1021">
        <v>4983</v>
      </c>
      <c r="D1021" t="str">
        <f t="shared" si="15"/>
        <v>Full</v>
      </c>
      <c r="E1021">
        <v>16780</v>
      </c>
      <c r="F1021">
        <v>63.78</v>
      </c>
      <c r="G1021">
        <v>84.16</v>
      </c>
      <c r="H1021" s="4" t="s">
        <v>521</v>
      </c>
      <c r="I1021" t="s">
        <v>2165</v>
      </c>
      <c r="J1021" t="s">
        <v>2166</v>
      </c>
      <c r="K1021" t="s">
        <v>21</v>
      </c>
      <c r="L1021">
        <v>44.52</v>
      </c>
    </row>
    <row r="1022" spans="1:12" x14ac:dyDescent="0.3">
      <c r="A1022" t="s">
        <v>49</v>
      </c>
      <c r="B1022" t="s">
        <v>36</v>
      </c>
      <c r="C1022">
        <v>8899</v>
      </c>
      <c r="D1022" t="str">
        <f t="shared" si="15"/>
        <v>Full</v>
      </c>
      <c r="E1022">
        <v>14105</v>
      </c>
      <c r="F1022">
        <v>277.08999999999997</v>
      </c>
      <c r="G1022">
        <v>422.6</v>
      </c>
      <c r="H1022" s="4" t="s">
        <v>2167</v>
      </c>
      <c r="I1022" t="s">
        <v>294</v>
      </c>
      <c r="J1022" t="s">
        <v>2168</v>
      </c>
      <c r="K1022" t="s">
        <v>21</v>
      </c>
      <c r="L1022">
        <v>122.24</v>
      </c>
    </row>
    <row r="1023" spans="1:12" x14ac:dyDescent="0.3">
      <c r="A1023" t="s">
        <v>22</v>
      </c>
      <c r="B1023" t="s">
        <v>23</v>
      </c>
      <c r="C1023">
        <v>3214</v>
      </c>
      <c r="D1023" t="str">
        <f t="shared" si="15"/>
        <v>Full</v>
      </c>
      <c r="E1023">
        <v>7744</v>
      </c>
      <c r="F1023">
        <v>286.36</v>
      </c>
      <c r="G1023">
        <v>525.24</v>
      </c>
      <c r="H1023" s="4" t="s">
        <v>1343</v>
      </c>
      <c r="I1023" t="s">
        <v>1037</v>
      </c>
      <c r="J1023" t="s">
        <v>2169</v>
      </c>
      <c r="K1023" t="s">
        <v>40</v>
      </c>
      <c r="L1023">
        <v>208</v>
      </c>
    </row>
    <row r="1024" spans="1:12" x14ac:dyDescent="0.3">
      <c r="A1024" t="s">
        <v>176</v>
      </c>
      <c r="B1024" t="s">
        <v>12</v>
      </c>
      <c r="C1024">
        <v>6775</v>
      </c>
      <c r="D1024" t="str">
        <f t="shared" si="15"/>
        <v>Full</v>
      </c>
      <c r="E1024">
        <v>15067</v>
      </c>
      <c r="F1024">
        <v>63.92</v>
      </c>
      <c r="G1024">
        <v>106.03</v>
      </c>
      <c r="H1024" s="4" t="s">
        <v>1042</v>
      </c>
      <c r="I1024" t="s">
        <v>2170</v>
      </c>
      <c r="J1024" t="s">
        <v>2171</v>
      </c>
      <c r="K1024" t="s">
        <v>98</v>
      </c>
      <c r="L1024">
        <v>48.31</v>
      </c>
    </row>
    <row r="1025" spans="1:12" x14ac:dyDescent="0.3">
      <c r="A1025" t="s">
        <v>119</v>
      </c>
      <c r="B1025" t="s">
        <v>23</v>
      </c>
      <c r="C1025">
        <v>7214</v>
      </c>
      <c r="D1025" t="str">
        <f t="shared" si="15"/>
        <v>Full</v>
      </c>
      <c r="E1025">
        <v>10616</v>
      </c>
      <c r="F1025">
        <v>183.15</v>
      </c>
      <c r="G1025">
        <v>428.65</v>
      </c>
      <c r="H1025" s="4" t="s">
        <v>2172</v>
      </c>
      <c r="I1025" t="s">
        <v>2173</v>
      </c>
      <c r="J1025" t="s">
        <v>2174</v>
      </c>
      <c r="K1025" t="s">
        <v>27</v>
      </c>
      <c r="L1025">
        <v>81.66</v>
      </c>
    </row>
    <row r="1026" spans="1:12" x14ac:dyDescent="0.3">
      <c r="A1026" t="s">
        <v>45</v>
      </c>
      <c r="B1026" t="s">
        <v>36</v>
      </c>
      <c r="C1026">
        <v>3546</v>
      </c>
      <c r="D1026" t="str">
        <f t="shared" si="15"/>
        <v>Full</v>
      </c>
      <c r="E1026">
        <v>12722</v>
      </c>
      <c r="F1026">
        <v>77.37</v>
      </c>
      <c r="G1026">
        <v>114.49</v>
      </c>
      <c r="H1026" s="4" t="s">
        <v>2175</v>
      </c>
      <c r="I1026" t="s">
        <v>2176</v>
      </c>
      <c r="J1026" t="s">
        <v>2177</v>
      </c>
      <c r="K1026" t="s">
        <v>40</v>
      </c>
      <c r="L1026">
        <v>34.729999999999997</v>
      </c>
    </row>
    <row r="1027" spans="1:12" x14ac:dyDescent="0.3">
      <c r="A1027" t="s">
        <v>45</v>
      </c>
      <c r="B1027" t="s">
        <v>12</v>
      </c>
      <c r="C1027">
        <v>5888</v>
      </c>
      <c r="D1027" t="str">
        <f t="shared" ref="D1027:D1090" si="16">IF(C1027&lt;1000,"Low",IF(C1027&lt;=3000,"Medium","Full"))</f>
        <v>Full</v>
      </c>
      <c r="E1027">
        <v>8004</v>
      </c>
      <c r="F1027">
        <v>142.29</v>
      </c>
      <c r="G1027">
        <v>317.85000000000002</v>
      </c>
      <c r="H1027" s="4" t="s">
        <v>838</v>
      </c>
      <c r="I1027" t="s">
        <v>494</v>
      </c>
      <c r="J1027" t="s">
        <v>2178</v>
      </c>
      <c r="K1027" t="s">
        <v>21</v>
      </c>
      <c r="L1027">
        <v>73.06</v>
      </c>
    </row>
    <row r="1028" spans="1:12" x14ac:dyDescent="0.3">
      <c r="A1028" t="s">
        <v>88</v>
      </c>
      <c r="B1028" t="s">
        <v>32</v>
      </c>
      <c r="C1028">
        <v>4062</v>
      </c>
      <c r="D1028" t="str">
        <f t="shared" si="16"/>
        <v>Full</v>
      </c>
      <c r="E1028">
        <v>4372</v>
      </c>
      <c r="F1028">
        <v>170.48</v>
      </c>
      <c r="G1028">
        <v>363.32</v>
      </c>
      <c r="H1028" s="4" t="s">
        <v>1551</v>
      </c>
      <c r="I1028" t="s">
        <v>1808</v>
      </c>
      <c r="J1028" t="s">
        <v>2179</v>
      </c>
      <c r="K1028" t="s">
        <v>21</v>
      </c>
      <c r="L1028">
        <v>114.71</v>
      </c>
    </row>
    <row r="1029" spans="1:12" x14ac:dyDescent="0.3">
      <c r="A1029" t="s">
        <v>200</v>
      </c>
      <c r="B1029" t="s">
        <v>23</v>
      </c>
      <c r="C1029">
        <v>5744</v>
      </c>
      <c r="D1029" t="str">
        <f t="shared" si="16"/>
        <v>Full</v>
      </c>
      <c r="E1029">
        <v>7492</v>
      </c>
      <c r="F1029">
        <v>63.15</v>
      </c>
      <c r="G1029">
        <v>141.68</v>
      </c>
      <c r="H1029" s="4" t="s">
        <v>543</v>
      </c>
      <c r="I1029" t="s">
        <v>1917</v>
      </c>
      <c r="J1029" t="s">
        <v>1354</v>
      </c>
      <c r="K1029" t="s">
        <v>21</v>
      </c>
      <c r="L1029">
        <v>28.27</v>
      </c>
    </row>
    <row r="1030" spans="1:12" x14ac:dyDescent="0.3">
      <c r="A1030" t="s">
        <v>143</v>
      </c>
      <c r="B1030" t="s">
        <v>84</v>
      </c>
      <c r="C1030">
        <v>5855</v>
      </c>
      <c r="D1030" t="str">
        <f t="shared" si="16"/>
        <v>Full</v>
      </c>
      <c r="E1030">
        <v>20371</v>
      </c>
      <c r="F1030">
        <v>117.94</v>
      </c>
      <c r="G1030">
        <v>229.9</v>
      </c>
      <c r="H1030" s="4" t="s">
        <v>1220</v>
      </c>
      <c r="I1030" t="s">
        <v>1026</v>
      </c>
      <c r="J1030" t="s">
        <v>2180</v>
      </c>
      <c r="K1030" t="s">
        <v>16</v>
      </c>
      <c r="L1030">
        <v>93.78</v>
      </c>
    </row>
    <row r="1031" spans="1:12" x14ac:dyDescent="0.3">
      <c r="A1031" t="s">
        <v>143</v>
      </c>
      <c r="B1031" t="s">
        <v>23</v>
      </c>
      <c r="C1031">
        <v>2647</v>
      </c>
      <c r="D1031" t="str">
        <f t="shared" si="16"/>
        <v>Medium</v>
      </c>
      <c r="E1031">
        <v>14199</v>
      </c>
      <c r="F1031">
        <v>15.92</v>
      </c>
      <c r="G1031">
        <v>30.14</v>
      </c>
      <c r="H1031" s="4" t="s">
        <v>469</v>
      </c>
      <c r="I1031" t="s">
        <v>1678</v>
      </c>
      <c r="J1031" t="s">
        <v>2181</v>
      </c>
      <c r="K1031" t="s">
        <v>27</v>
      </c>
      <c r="L1031">
        <v>6.81</v>
      </c>
    </row>
    <row r="1032" spans="1:12" x14ac:dyDescent="0.3">
      <c r="A1032" t="s">
        <v>11</v>
      </c>
      <c r="B1032" t="s">
        <v>36</v>
      </c>
      <c r="C1032">
        <v>5431</v>
      </c>
      <c r="D1032" t="str">
        <f t="shared" si="16"/>
        <v>Full</v>
      </c>
      <c r="E1032">
        <v>10000</v>
      </c>
      <c r="F1032">
        <v>98.57</v>
      </c>
      <c r="G1032">
        <v>162.6</v>
      </c>
      <c r="H1032" s="4" t="s">
        <v>2182</v>
      </c>
      <c r="I1032" t="s">
        <v>2183</v>
      </c>
      <c r="J1032" t="s">
        <v>2184</v>
      </c>
      <c r="K1032" t="s">
        <v>21</v>
      </c>
      <c r="L1032">
        <v>63.57</v>
      </c>
    </row>
    <row r="1033" spans="1:12" x14ac:dyDescent="0.3">
      <c r="A1033" t="s">
        <v>299</v>
      </c>
      <c r="B1033" t="s">
        <v>23</v>
      </c>
      <c r="C1033">
        <v>7947</v>
      </c>
      <c r="D1033" t="str">
        <f t="shared" si="16"/>
        <v>Full</v>
      </c>
      <c r="E1033">
        <v>17165</v>
      </c>
      <c r="F1033">
        <v>255.36</v>
      </c>
      <c r="G1033">
        <v>627.5</v>
      </c>
      <c r="H1033" s="4" t="s">
        <v>857</v>
      </c>
      <c r="I1033" t="s">
        <v>2185</v>
      </c>
      <c r="J1033" t="s">
        <v>2186</v>
      </c>
      <c r="K1033" t="s">
        <v>27</v>
      </c>
      <c r="L1033">
        <v>105.14</v>
      </c>
    </row>
    <row r="1034" spans="1:12" x14ac:dyDescent="0.3">
      <c r="A1034" t="s">
        <v>127</v>
      </c>
      <c r="B1034" t="s">
        <v>12</v>
      </c>
      <c r="C1034">
        <v>2773</v>
      </c>
      <c r="D1034" t="str">
        <f t="shared" si="16"/>
        <v>Medium</v>
      </c>
      <c r="E1034">
        <v>4445</v>
      </c>
      <c r="F1034">
        <v>298.08999999999997</v>
      </c>
      <c r="G1034">
        <v>691.51</v>
      </c>
      <c r="H1034" s="4" t="s">
        <v>2187</v>
      </c>
      <c r="I1034" t="s">
        <v>1015</v>
      </c>
      <c r="J1034" t="s">
        <v>2188</v>
      </c>
      <c r="K1034" t="s">
        <v>27</v>
      </c>
      <c r="L1034">
        <v>142.03</v>
      </c>
    </row>
    <row r="1035" spans="1:12" x14ac:dyDescent="0.3">
      <c r="A1035" t="s">
        <v>76</v>
      </c>
      <c r="B1035" t="s">
        <v>32</v>
      </c>
      <c r="C1035">
        <v>580</v>
      </c>
      <c r="D1035" t="str">
        <f t="shared" si="16"/>
        <v>Low</v>
      </c>
      <c r="E1035">
        <v>23552</v>
      </c>
      <c r="F1035">
        <v>261.06</v>
      </c>
      <c r="G1035">
        <v>401.4</v>
      </c>
      <c r="H1035" s="4" t="s">
        <v>1070</v>
      </c>
      <c r="I1035" t="s">
        <v>730</v>
      </c>
      <c r="J1035" t="s">
        <v>2189</v>
      </c>
      <c r="K1035" t="s">
        <v>40</v>
      </c>
      <c r="L1035">
        <v>112.26</v>
      </c>
    </row>
    <row r="1036" spans="1:12" x14ac:dyDescent="0.3">
      <c r="A1036" t="s">
        <v>45</v>
      </c>
      <c r="B1036" t="s">
        <v>32</v>
      </c>
      <c r="C1036">
        <v>6718</v>
      </c>
      <c r="D1036" t="str">
        <f t="shared" si="16"/>
        <v>Full</v>
      </c>
      <c r="E1036">
        <v>9844</v>
      </c>
      <c r="F1036">
        <v>211.11</v>
      </c>
      <c r="G1036">
        <v>507.15</v>
      </c>
      <c r="H1036" s="4" t="s">
        <v>2190</v>
      </c>
      <c r="I1036" t="s">
        <v>1336</v>
      </c>
      <c r="J1036" t="s">
        <v>2191</v>
      </c>
      <c r="K1036" t="s">
        <v>98</v>
      </c>
      <c r="L1036">
        <v>111.41</v>
      </c>
    </row>
    <row r="1037" spans="1:12" x14ac:dyDescent="0.3">
      <c r="A1037" t="s">
        <v>123</v>
      </c>
      <c r="B1037" t="s">
        <v>32</v>
      </c>
      <c r="C1037">
        <v>7271</v>
      </c>
      <c r="D1037" t="str">
        <f t="shared" si="16"/>
        <v>Full</v>
      </c>
      <c r="E1037">
        <v>21870</v>
      </c>
      <c r="F1037">
        <v>136.80000000000001</v>
      </c>
      <c r="G1037">
        <v>185.92</v>
      </c>
      <c r="H1037" s="4" t="s">
        <v>469</v>
      </c>
      <c r="I1037" t="s">
        <v>1119</v>
      </c>
      <c r="J1037" t="s">
        <v>2192</v>
      </c>
      <c r="K1037" t="s">
        <v>21</v>
      </c>
      <c r="L1037">
        <v>90.9</v>
      </c>
    </row>
    <row r="1038" spans="1:12" x14ac:dyDescent="0.3">
      <c r="A1038" t="s">
        <v>147</v>
      </c>
      <c r="B1038" t="s">
        <v>23</v>
      </c>
      <c r="C1038">
        <v>8408</v>
      </c>
      <c r="D1038" t="str">
        <f t="shared" si="16"/>
        <v>Full</v>
      </c>
      <c r="E1038">
        <v>8400</v>
      </c>
      <c r="F1038">
        <v>32.08</v>
      </c>
      <c r="G1038">
        <v>70.45</v>
      </c>
      <c r="H1038" s="4" t="s">
        <v>2193</v>
      </c>
      <c r="I1038" t="s">
        <v>2194</v>
      </c>
      <c r="J1038" t="s">
        <v>2195</v>
      </c>
      <c r="K1038" t="s">
        <v>98</v>
      </c>
      <c r="L1038">
        <v>21.29</v>
      </c>
    </row>
    <row r="1039" spans="1:12" x14ac:dyDescent="0.3">
      <c r="A1039" t="s">
        <v>88</v>
      </c>
      <c r="B1039" t="s">
        <v>12</v>
      </c>
      <c r="C1039">
        <v>1731</v>
      </c>
      <c r="D1039" t="str">
        <f t="shared" si="16"/>
        <v>Medium</v>
      </c>
      <c r="E1039">
        <v>17207</v>
      </c>
      <c r="F1039">
        <v>22.78</v>
      </c>
      <c r="G1039">
        <v>27.72</v>
      </c>
      <c r="H1039" s="4" t="s">
        <v>1509</v>
      </c>
      <c r="I1039" t="s">
        <v>2196</v>
      </c>
      <c r="J1039" t="s">
        <v>2197</v>
      </c>
      <c r="K1039" t="s">
        <v>98</v>
      </c>
      <c r="L1039">
        <v>13.56</v>
      </c>
    </row>
    <row r="1040" spans="1:12" x14ac:dyDescent="0.3">
      <c r="A1040" t="s">
        <v>45</v>
      </c>
      <c r="B1040" t="s">
        <v>84</v>
      </c>
      <c r="C1040">
        <v>9144</v>
      </c>
      <c r="D1040" t="str">
        <f t="shared" si="16"/>
        <v>Full</v>
      </c>
      <c r="E1040">
        <v>17840</v>
      </c>
      <c r="F1040">
        <v>258.25</v>
      </c>
      <c r="G1040">
        <v>565.21</v>
      </c>
      <c r="H1040" s="4" t="s">
        <v>1228</v>
      </c>
      <c r="I1040" t="s">
        <v>2198</v>
      </c>
      <c r="J1040" t="s">
        <v>2199</v>
      </c>
      <c r="K1040" t="s">
        <v>98</v>
      </c>
      <c r="L1040">
        <v>190.88</v>
      </c>
    </row>
    <row r="1041" spans="1:12" x14ac:dyDescent="0.3">
      <c r="A1041" t="s">
        <v>11</v>
      </c>
      <c r="B1041" t="s">
        <v>84</v>
      </c>
      <c r="C1041">
        <v>4084</v>
      </c>
      <c r="D1041" t="str">
        <f t="shared" si="16"/>
        <v>Full</v>
      </c>
      <c r="E1041">
        <v>12915</v>
      </c>
      <c r="F1041">
        <v>118.74</v>
      </c>
      <c r="G1041">
        <v>212.33</v>
      </c>
      <c r="H1041" s="4" t="s">
        <v>1249</v>
      </c>
      <c r="I1041" t="s">
        <v>2200</v>
      </c>
      <c r="J1041" t="s">
        <v>2201</v>
      </c>
      <c r="K1041" t="s">
        <v>21</v>
      </c>
      <c r="L1041">
        <v>56.42</v>
      </c>
    </row>
    <row r="1042" spans="1:12" x14ac:dyDescent="0.3">
      <c r="A1042" t="s">
        <v>147</v>
      </c>
      <c r="B1042" t="s">
        <v>36</v>
      </c>
      <c r="C1042">
        <v>3190</v>
      </c>
      <c r="D1042" t="str">
        <f t="shared" si="16"/>
        <v>Full</v>
      </c>
      <c r="E1042">
        <v>23487</v>
      </c>
      <c r="F1042">
        <v>95.61</v>
      </c>
      <c r="G1042">
        <v>222.85</v>
      </c>
      <c r="H1042" s="4" t="s">
        <v>1085</v>
      </c>
      <c r="I1042" t="s">
        <v>151</v>
      </c>
      <c r="J1042" t="s">
        <v>2202</v>
      </c>
      <c r="K1042" t="s">
        <v>21</v>
      </c>
      <c r="L1042">
        <v>71.75</v>
      </c>
    </row>
    <row r="1043" spans="1:12" x14ac:dyDescent="0.3">
      <c r="A1043" t="s">
        <v>11</v>
      </c>
      <c r="B1043" t="s">
        <v>84</v>
      </c>
      <c r="C1043">
        <v>771</v>
      </c>
      <c r="D1043" t="str">
        <f t="shared" si="16"/>
        <v>Low</v>
      </c>
      <c r="E1043">
        <v>16101</v>
      </c>
      <c r="F1043">
        <v>60.17</v>
      </c>
      <c r="G1043">
        <v>74.44</v>
      </c>
      <c r="H1043" s="4" t="s">
        <v>33</v>
      </c>
      <c r="I1043" t="s">
        <v>2203</v>
      </c>
      <c r="J1043" t="s">
        <v>2204</v>
      </c>
      <c r="K1043" t="s">
        <v>40</v>
      </c>
      <c r="L1043">
        <v>30.46</v>
      </c>
    </row>
    <row r="1044" spans="1:12" x14ac:dyDescent="0.3">
      <c r="A1044" t="s">
        <v>66</v>
      </c>
      <c r="B1044" t="s">
        <v>12</v>
      </c>
      <c r="C1044">
        <v>6306</v>
      </c>
      <c r="D1044" t="str">
        <f t="shared" si="16"/>
        <v>Full</v>
      </c>
      <c r="E1044">
        <v>15138</v>
      </c>
      <c r="F1044">
        <v>67.56</v>
      </c>
      <c r="G1044">
        <v>115.93</v>
      </c>
      <c r="H1044" s="4" t="s">
        <v>549</v>
      </c>
      <c r="I1044" t="s">
        <v>2205</v>
      </c>
      <c r="J1044" t="s">
        <v>2206</v>
      </c>
      <c r="K1044" t="s">
        <v>27</v>
      </c>
      <c r="L1044">
        <v>38.950000000000003</v>
      </c>
    </row>
    <row r="1045" spans="1:12" x14ac:dyDescent="0.3">
      <c r="A1045" t="s">
        <v>76</v>
      </c>
      <c r="B1045" t="s">
        <v>12</v>
      </c>
      <c r="C1045">
        <v>1305</v>
      </c>
      <c r="D1045" t="str">
        <f t="shared" si="16"/>
        <v>Medium</v>
      </c>
      <c r="E1045">
        <v>22254</v>
      </c>
      <c r="F1045">
        <v>117.84</v>
      </c>
      <c r="G1045">
        <v>283.57</v>
      </c>
      <c r="H1045" s="4" t="s">
        <v>1055</v>
      </c>
      <c r="I1045" t="s">
        <v>1056</v>
      </c>
      <c r="J1045" t="s">
        <v>2207</v>
      </c>
      <c r="K1045" t="s">
        <v>21</v>
      </c>
      <c r="L1045">
        <v>55.46</v>
      </c>
    </row>
    <row r="1046" spans="1:12" x14ac:dyDescent="0.3">
      <c r="A1046" t="s">
        <v>147</v>
      </c>
      <c r="B1046" t="s">
        <v>32</v>
      </c>
      <c r="C1046">
        <v>8587</v>
      </c>
      <c r="D1046" t="str">
        <f t="shared" si="16"/>
        <v>Full</v>
      </c>
      <c r="E1046">
        <v>17994</v>
      </c>
      <c r="F1046">
        <v>132.9</v>
      </c>
      <c r="G1046">
        <v>277.16000000000003</v>
      </c>
      <c r="H1046" s="4" t="s">
        <v>432</v>
      </c>
      <c r="I1046" t="s">
        <v>2208</v>
      </c>
      <c r="J1046" t="s">
        <v>2209</v>
      </c>
      <c r="K1046" t="s">
        <v>98</v>
      </c>
      <c r="L1046">
        <v>59.28</v>
      </c>
    </row>
    <row r="1047" spans="1:12" x14ac:dyDescent="0.3">
      <c r="A1047" t="s">
        <v>127</v>
      </c>
      <c r="B1047" t="s">
        <v>32</v>
      </c>
      <c r="C1047">
        <v>4861</v>
      </c>
      <c r="D1047" t="str">
        <f t="shared" si="16"/>
        <v>Full</v>
      </c>
      <c r="E1047">
        <v>8823</v>
      </c>
      <c r="F1047">
        <v>24.42</v>
      </c>
      <c r="G1047">
        <v>32.51</v>
      </c>
      <c r="H1047" s="4" t="s">
        <v>679</v>
      </c>
      <c r="I1047" t="s">
        <v>2210</v>
      </c>
      <c r="J1047" t="s">
        <v>2211</v>
      </c>
      <c r="K1047" t="s">
        <v>21</v>
      </c>
      <c r="L1047">
        <v>13.61</v>
      </c>
    </row>
    <row r="1048" spans="1:12" x14ac:dyDescent="0.3">
      <c r="A1048" t="s">
        <v>80</v>
      </c>
      <c r="B1048" t="s">
        <v>23</v>
      </c>
      <c r="C1048">
        <v>8612</v>
      </c>
      <c r="D1048" t="str">
        <f t="shared" si="16"/>
        <v>Full</v>
      </c>
      <c r="E1048">
        <v>7740</v>
      </c>
      <c r="F1048">
        <v>55.45</v>
      </c>
      <c r="G1048">
        <v>81.209999999999994</v>
      </c>
      <c r="H1048" s="4" t="s">
        <v>682</v>
      </c>
      <c r="I1048" t="s">
        <v>2212</v>
      </c>
      <c r="J1048" t="s">
        <v>2213</v>
      </c>
      <c r="K1048" t="s">
        <v>40</v>
      </c>
      <c r="L1048">
        <v>38.46</v>
      </c>
    </row>
    <row r="1049" spans="1:12" x14ac:dyDescent="0.3">
      <c r="A1049" t="s">
        <v>11</v>
      </c>
      <c r="B1049" t="s">
        <v>84</v>
      </c>
      <c r="C1049">
        <v>8745</v>
      </c>
      <c r="D1049" t="str">
        <f t="shared" si="16"/>
        <v>Full</v>
      </c>
      <c r="E1049">
        <v>23953</v>
      </c>
      <c r="F1049">
        <v>188.52</v>
      </c>
      <c r="G1049">
        <v>407.36</v>
      </c>
      <c r="H1049" s="4" t="s">
        <v>204</v>
      </c>
      <c r="I1049" t="s">
        <v>459</v>
      </c>
      <c r="J1049" t="s">
        <v>2214</v>
      </c>
      <c r="K1049" t="s">
        <v>27</v>
      </c>
      <c r="L1049">
        <v>87.97</v>
      </c>
    </row>
    <row r="1050" spans="1:12" x14ac:dyDescent="0.3">
      <c r="A1050" t="s">
        <v>45</v>
      </c>
      <c r="B1050" t="s">
        <v>36</v>
      </c>
      <c r="C1050">
        <v>2823</v>
      </c>
      <c r="D1050" t="str">
        <f t="shared" si="16"/>
        <v>Medium</v>
      </c>
      <c r="E1050">
        <v>1417</v>
      </c>
      <c r="F1050">
        <v>201.48</v>
      </c>
      <c r="G1050">
        <v>353.86</v>
      </c>
      <c r="H1050" s="4" t="s">
        <v>2215</v>
      </c>
      <c r="I1050" t="s">
        <v>2216</v>
      </c>
      <c r="J1050" t="s">
        <v>2217</v>
      </c>
      <c r="K1050" t="s">
        <v>27</v>
      </c>
      <c r="L1050">
        <v>94.35</v>
      </c>
    </row>
    <row r="1051" spans="1:12" x14ac:dyDescent="0.3">
      <c r="A1051" t="s">
        <v>17</v>
      </c>
      <c r="B1051" t="s">
        <v>32</v>
      </c>
      <c r="C1051">
        <v>6269</v>
      </c>
      <c r="D1051" t="str">
        <f t="shared" si="16"/>
        <v>Full</v>
      </c>
      <c r="E1051">
        <v>16526</v>
      </c>
      <c r="F1051">
        <v>177.03</v>
      </c>
      <c r="G1051">
        <v>324.81</v>
      </c>
      <c r="H1051" s="4" t="s">
        <v>1306</v>
      </c>
      <c r="I1051" t="s">
        <v>1932</v>
      </c>
      <c r="J1051" t="s">
        <v>2218</v>
      </c>
      <c r="K1051" t="s">
        <v>27</v>
      </c>
      <c r="L1051">
        <v>128.80000000000001</v>
      </c>
    </row>
    <row r="1052" spans="1:12" x14ac:dyDescent="0.3">
      <c r="A1052" t="s">
        <v>22</v>
      </c>
      <c r="B1052" t="s">
        <v>23</v>
      </c>
      <c r="C1052">
        <v>4240</v>
      </c>
      <c r="D1052" t="str">
        <f t="shared" si="16"/>
        <v>Full</v>
      </c>
      <c r="E1052">
        <v>18212</v>
      </c>
      <c r="F1052">
        <v>153.43</v>
      </c>
      <c r="G1052">
        <v>334.71</v>
      </c>
      <c r="H1052" s="4" t="s">
        <v>2219</v>
      </c>
      <c r="I1052" t="s">
        <v>865</v>
      </c>
      <c r="J1052" t="s">
        <v>2220</v>
      </c>
      <c r="K1052" t="s">
        <v>40</v>
      </c>
      <c r="L1052">
        <v>89.15</v>
      </c>
    </row>
    <row r="1053" spans="1:12" x14ac:dyDescent="0.3">
      <c r="A1053" t="s">
        <v>76</v>
      </c>
      <c r="B1053" t="s">
        <v>32</v>
      </c>
      <c r="C1053">
        <v>4716</v>
      </c>
      <c r="D1053" t="str">
        <f t="shared" si="16"/>
        <v>Full</v>
      </c>
      <c r="E1053">
        <v>22738</v>
      </c>
      <c r="F1053">
        <v>148.52000000000001</v>
      </c>
      <c r="G1053">
        <v>248.56</v>
      </c>
      <c r="H1053" s="4" t="s">
        <v>2221</v>
      </c>
      <c r="I1053" t="s">
        <v>2222</v>
      </c>
      <c r="J1053" t="s">
        <v>2223</v>
      </c>
      <c r="K1053" t="s">
        <v>40</v>
      </c>
      <c r="L1053">
        <v>112.36</v>
      </c>
    </row>
    <row r="1054" spans="1:12" x14ac:dyDescent="0.3">
      <c r="A1054" t="s">
        <v>176</v>
      </c>
      <c r="B1054" t="s">
        <v>36</v>
      </c>
      <c r="C1054">
        <v>2347</v>
      </c>
      <c r="D1054" t="str">
        <f t="shared" si="16"/>
        <v>Medium</v>
      </c>
      <c r="E1054">
        <v>9845</v>
      </c>
      <c r="F1054">
        <v>207.31</v>
      </c>
      <c r="G1054">
        <v>445.03</v>
      </c>
      <c r="H1054" s="4" t="s">
        <v>2215</v>
      </c>
      <c r="I1054" t="s">
        <v>2224</v>
      </c>
      <c r="J1054" t="s">
        <v>2225</v>
      </c>
      <c r="K1054" t="s">
        <v>98</v>
      </c>
      <c r="L1054">
        <v>137.6</v>
      </c>
    </row>
    <row r="1055" spans="1:12" x14ac:dyDescent="0.3">
      <c r="A1055" t="s">
        <v>123</v>
      </c>
      <c r="B1055" t="s">
        <v>23</v>
      </c>
      <c r="C1055">
        <v>8656</v>
      </c>
      <c r="D1055" t="str">
        <f t="shared" si="16"/>
        <v>Full</v>
      </c>
      <c r="E1055">
        <v>2012</v>
      </c>
      <c r="F1055">
        <v>77.09</v>
      </c>
      <c r="G1055">
        <v>166.77</v>
      </c>
      <c r="H1055" s="4" t="s">
        <v>549</v>
      </c>
      <c r="I1055" t="s">
        <v>2226</v>
      </c>
      <c r="J1055" t="s">
        <v>2227</v>
      </c>
      <c r="K1055" t="s">
        <v>27</v>
      </c>
      <c r="L1055">
        <v>36.81</v>
      </c>
    </row>
    <row r="1056" spans="1:12" x14ac:dyDescent="0.3">
      <c r="A1056" t="s">
        <v>299</v>
      </c>
      <c r="B1056" t="s">
        <v>12</v>
      </c>
      <c r="C1056">
        <v>4987</v>
      </c>
      <c r="D1056" t="str">
        <f t="shared" si="16"/>
        <v>Full</v>
      </c>
      <c r="E1056">
        <v>21541</v>
      </c>
      <c r="F1056">
        <v>205.25</v>
      </c>
      <c r="G1056">
        <v>486.23</v>
      </c>
      <c r="H1056" s="4" t="s">
        <v>1420</v>
      </c>
      <c r="I1056" t="s">
        <v>2228</v>
      </c>
      <c r="J1056" t="s">
        <v>2229</v>
      </c>
      <c r="K1056" t="s">
        <v>40</v>
      </c>
      <c r="L1056">
        <v>156.84</v>
      </c>
    </row>
    <row r="1057" spans="1:12" x14ac:dyDescent="0.3">
      <c r="A1057" t="s">
        <v>76</v>
      </c>
      <c r="B1057" t="s">
        <v>23</v>
      </c>
      <c r="C1057">
        <v>6906</v>
      </c>
      <c r="D1057" t="str">
        <f t="shared" si="16"/>
        <v>Full</v>
      </c>
      <c r="E1057">
        <v>20305</v>
      </c>
      <c r="F1057">
        <v>128.1</v>
      </c>
      <c r="G1057">
        <v>319.24</v>
      </c>
      <c r="H1057" s="4" t="s">
        <v>1314</v>
      </c>
      <c r="I1057" t="s">
        <v>1068</v>
      </c>
      <c r="J1057" t="s">
        <v>2230</v>
      </c>
      <c r="K1057" t="s">
        <v>16</v>
      </c>
      <c r="L1057">
        <v>77.89</v>
      </c>
    </row>
    <row r="1058" spans="1:12" x14ac:dyDescent="0.3">
      <c r="A1058" t="s">
        <v>45</v>
      </c>
      <c r="B1058" t="s">
        <v>32</v>
      </c>
      <c r="C1058">
        <v>2514</v>
      </c>
      <c r="D1058" t="str">
        <f t="shared" si="16"/>
        <v>Medium</v>
      </c>
      <c r="E1058">
        <v>15203</v>
      </c>
      <c r="F1058">
        <v>239.62</v>
      </c>
      <c r="G1058">
        <v>464.06</v>
      </c>
      <c r="H1058" s="4" t="s">
        <v>2231</v>
      </c>
      <c r="I1058" t="s">
        <v>2183</v>
      </c>
      <c r="J1058" t="s">
        <v>2232</v>
      </c>
      <c r="K1058" t="s">
        <v>27</v>
      </c>
      <c r="L1058">
        <v>143.66999999999999</v>
      </c>
    </row>
    <row r="1059" spans="1:12" x14ac:dyDescent="0.3">
      <c r="A1059" t="s">
        <v>123</v>
      </c>
      <c r="B1059" t="s">
        <v>36</v>
      </c>
      <c r="C1059">
        <v>2961</v>
      </c>
      <c r="D1059" t="str">
        <f t="shared" si="16"/>
        <v>Medium</v>
      </c>
      <c r="E1059">
        <v>18143</v>
      </c>
      <c r="F1059">
        <v>290.17</v>
      </c>
      <c r="G1059">
        <v>583.51</v>
      </c>
      <c r="H1059" s="4" t="s">
        <v>1387</v>
      </c>
      <c r="I1059" t="s">
        <v>776</v>
      </c>
      <c r="J1059" t="s">
        <v>2233</v>
      </c>
      <c r="K1059" t="s">
        <v>21</v>
      </c>
      <c r="L1059">
        <v>149.53</v>
      </c>
    </row>
    <row r="1060" spans="1:12" x14ac:dyDescent="0.3">
      <c r="A1060" t="s">
        <v>31</v>
      </c>
      <c r="B1060" t="s">
        <v>12</v>
      </c>
      <c r="C1060">
        <v>7936</v>
      </c>
      <c r="D1060" t="str">
        <f t="shared" si="16"/>
        <v>Full</v>
      </c>
      <c r="E1060">
        <v>2341</v>
      </c>
      <c r="F1060">
        <v>69.11</v>
      </c>
      <c r="G1060">
        <v>157.09</v>
      </c>
      <c r="H1060" s="4" t="s">
        <v>2234</v>
      </c>
      <c r="I1060" t="s">
        <v>70</v>
      </c>
      <c r="J1060" t="s">
        <v>2235</v>
      </c>
      <c r="K1060" t="s">
        <v>40</v>
      </c>
      <c r="L1060">
        <v>27.78</v>
      </c>
    </row>
    <row r="1061" spans="1:12" x14ac:dyDescent="0.3">
      <c r="A1061" t="s">
        <v>76</v>
      </c>
      <c r="B1061" t="s">
        <v>12</v>
      </c>
      <c r="C1061">
        <v>1317</v>
      </c>
      <c r="D1061" t="str">
        <f t="shared" si="16"/>
        <v>Medium</v>
      </c>
      <c r="E1061">
        <v>9238</v>
      </c>
      <c r="F1061">
        <v>45.63</v>
      </c>
      <c r="G1061">
        <v>106.88</v>
      </c>
      <c r="H1061" s="4" t="s">
        <v>1081</v>
      </c>
      <c r="I1061" t="s">
        <v>1921</v>
      </c>
      <c r="J1061" t="s">
        <v>2236</v>
      </c>
      <c r="K1061" t="s">
        <v>98</v>
      </c>
      <c r="L1061">
        <v>35.659999999999997</v>
      </c>
    </row>
    <row r="1062" spans="1:12" x14ac:dyDescent="0.3">
      <c r="A1062" t="s">
        <v>147</v>
      </c>
      <c r="B1062" t="s">
        <v>84</v>
      </c>
      <c r="C1062">
        <v>3723</v>
      </c>
      <c r="D1062" t="str">
        <f t="shared" si="16"/>
        <v>Full</v>
      </c>
      <c r="E1062">
        <v>15157</v>
      </c>
      <c r="F1062">
        <v>177.64</v>
      </c>
      <c r="G1062">
        <v>231.81</v>
      </c>
      <c r="H1062" s="4" t="s">
        <v>2237</v>
      </c>
      <c r="I1062" t="s">
        <v>161</v>
      </c>
      <c r="J1062" t="s">
        <v>2238</v>
      </c>
      <c r="K1062" t="s">
        <v>40</v>
      </c>
      <c r="L1062">
        <v>88.73</v>
      </c>
    </row>
    <row r="1063" spans="1:12" x14ac:dyDescent="0.3">
      <c r="A1063" t="s">
        <v>299</v>
      </c>
      <c r="B1063" t="s">
        <v>36</v>
      </c>
      <c r="C1063">
        <v>7039</v>
      </c>
      <c r="D1063" t="str">
        <f t="shared" si="16"/>
        <v>Full</v>
      </c>
      <c r="E1063">
        <v>4215</v>
      </c>
      <c r="F1063">
        <v>268.44</v>
      </c>
      <c r="G1063">
        <v>643.25</v>
      </c>
      <c r="H1063" s="4" t="s">
        <v>484</v>
      </c>
      <c r="I1063" t="s">
        <v>2239</v>
      </c>
      <c r="J1063" t="s">
        <v>2240</v>
      </c>
      <c r="K1063" t="s">
        <v>16</v>
      </c>
      <c r="L1063">
        <v>154.16999999999999</v>
      </c>
    </row>
    <row r="1064" spans="1:12" x14ac:dyDescent="0.3">
      <c r="A1064" t="s">
        <v>45</v>
      </c>
      <c r="B1064" t="s">
        <v>32</v>
      </c>
      <c r="C1064">
        <v>2780</v>
      </c>
      <c r="D1064" t="str">
        <f t="shared" si="16"/>
        <v>Medium</v>
      </c>
      <c r="E1064">
        <v>23391</v>
      </c>
      <c r="F1064">
        <v>231.46</v>
      </c>
      <c r="G1064">
        <v>352.98</v>
      </c>
      <c r="H1064" s="4" t="s">
        <v>1350</v>
      </c>
      <c r="I1064" t="s">
        <v>1009</v>
      </c>
      <c r="J1064" t="s">
        <v>2241</v>
      </c>
      <c r="K1064" t="s">
        <v>40</v>
      </c>
      <c r="L1064">
        <v>120.82</v>
      </c>
    </row>
    <row r="1065" spans="1:12" x14ac:dyDescent="0.3">
      <c r="A1065" t="s">
        <v>31</v>
      </c>
      <c r="B1065" t="s">
        <v>32</v>
      </c>
      <c r="C1065">
        <v>8055</v>
      </c>
      <c r="D1065" t="str">
        <f t="shared" si="16"/>
        <v>Full</v>
      </c>
      <c r="E1065">
        <v>18885</v>
      </c>
      <c r="F1065">
        <v>59.09</v>
      </c>
      <c r="G1065">
        <v>131.01</v>
      </c>
      <c r="H1065" s="4" t="s">
        <v>1780</v>
      </c>
      <c r="I1065" t="s">
        <v>2122</v>
      </c>
      <c r="J1065" t="s">
        <v>2242</v>
      </c>
      <c r="K1065" t="s">
        <v>16</v>
      </c>
      <c r="L1065">
        <v>34.08</v>
      </c>
    </row>
    <row r="1066" spans="1:12" x14ac:dyDescent="0.3">
      <c r="A1066" t="s">
        <v>45</v>
      </c>
      <c r="B1066" t="s">
        <v>32</v>
      </c>
      <c r="C1066">
        <v>6358</v>
      </c>
      <c r="D1066" t="str">
        <f t="shared" si="16"/>
        <v>Full</v>
      </c>
      <c r="E1066">
        <v>16347</v>
      </c>
      <c r="F1066">
        <v>109.49</v>
      </c>
      <c r="G1066">
        <v>197.8</v>
      </c>
      <c r="H1066" s="4" t="s">
        <v>296</v>
      </c>
      <c r="I1066" t="s">
        <v>1177</v>
      </c>
      <c r="J1066" t="s">
        <v>2243</v>
      </c>
      <c r="K1066" t="s">
        <v>16</v>
      </c>
      <c r="L1066">
        <v>44.95</v>
      </c>
    </row>
    <row r="1067" spans="1:12" x14ac:dyDescent="0.3">
      <c r="A1067" t="s">
        <v>200</v>
      </c>
      <c r="B1067" t="s">
        <v>12</v>
      </c>
      <c r="C1067">
        <v>2803</v>
      </c>
      <c r="D1067" t="str">
        <f t="shared" si="16"/>
        <v>Medium</v>
      </c>
      <c r="E1067">
        <v>21159</v>
      </c>
      <c r="F1067">
        <v>272.52</v>
      </c>
      <c r="G1067">
        <v>605.71</v>
      </c>
      <c r="H1067" s="4" t="s">
        <v>527</v>
      </c>
      <c r="I1067" t="s">
        <v>1264</v>
      </c>
      <c r="J1067" t="s">
        <v>2244</v>
      </c>
      <c r="K1067" t="s">
        <v>98</v>
      </c>
      <c r="L1067">
        <v>176.69</v>
      </c>
    </row>
    <row r="1068" spans="1:12" x14ac:dyDescent="0.3">
      <c r="A1068" t="s">
        <v>22</v>
      </c>
      <c r="B1068" t="s">
        <v>23</v>
      </c>
      <c r="C1068">
        <v>1377</v>
      </c>
      <c r="D1068" t="str">
        <f t="shared" si="16"/>
        <v>Medium</v>
      </c>
      <c r="E1068">
        <v>13866</v>
      </c>
      <c r="F1068">
        <v>42.15</v>
      </c>
      <c r="G1068">
        <v>87.3</v>
      </c>
      <c r="H1068" s="4" t="s">
        <v>2245</v>
      </c>
      <c r="I1068" t="s">
        <v>2246</v>
      </c>
      <c r="J1068" t="s">
        <v>2247</v>
      </c>
      <c r="K1068" t="s">
        <v>27</v>
      </c>
      <c r="L1068">
        <v>18.29</v>
      </c>
    </row>
    <row r="1069" spans="1:12" x14ac:dyDescent="0.3">
      <c r="A1069" t="s">
        <v>147</v>
      </c>
      <c r="B1069" t="s">
        <v>12</v>
      </c>
      <c r="C1069">
        <v>5963</v>
      </c>
      <c r="D1069" t="str">
        <f t="shared" si="16"/>
        <v>Full</v>
      </c>
      <c r="E1069">
        <v>20475</v>
      </c>
      <c r="F1069">
        <v>33.729999999999997</v>
      </c>
      <c r="G1069">
        <v>53.22</v>
      </c>
      <c r="H1069" s="4" t="s">
        <v>1425</v>
      </c>
      <c r="I1069" t="s">
        <v>1426</v>
      </c>
      <c r="J1069" t="s">
        <v>2248</v>
      </c>
      <c r="K1069" t="s">
        <v>27</v>
      </c>
      <c r="L1069">
        <v>15.13</v>
      </c>
    </row>
    <row r="1070" spans="1:12" x14ac:dyDescent="0.3">
      <c r="A1070" t="s">
        <v>22</v>
      </c>
      <c r="B1070" t="s">
        <v>32</v>
      </c>
      <c r="C1070">
        <v>1368</v>
      </c>
      <c r="D1070" t="str">
        <f t="shared" si="16"/>
        <v>Medium</v>
      </c>
      <c r="E1070">
        <v>23989</v>
      </c>
      <c r="F1070">
        <v>65.489999999999995</v>
      </c>
      <c r="G1070">
        <v>90.86</v>
      </c>
      <c r="H1070" s="4" t="s">
        <v>710</v>
      </c>
      <c r="I1070" t="s">
        <v>605</v>
      </c>
      <c r="J1070" t="s">
        <v>2249</v>
      </c>
      <c r="K1070" t="s">
        <v>98</v>
      </c>
      <c r="L1070">
        <v>34.08</v>
      </c>
    </row>
    <row r="1071" spans="1:12" x14ac:dyDescent="0.3">
      <c r="A1071" t="s">
        <v>31</v>
      </c>
      <c r="B1071" t="s">
        <v>12</v>
      </c>
      <c r="C1071">
        <v>8445</v>
      </c>
      <c r="D1071" t="str">
        <f t="shared" si="16"/>
        <v>Full</v>
      </c>
      <c r="E1071">
        <v>21436</v>
      </c>
      <c r="F1071">
        <v>207.89</v>
      </c>
      <c r="G1071">
        <v>280.47000000000003</v>
      </c>
      <c r="H1071" s="4" t="s">
        <v>883</v>
      </c>
      <c r="I1071" t="s">
        <v>824</v>
      </c>
      <c r="J1071" t="s">
        <v>2250</v>
      </c>
      <c r="K1071" t="s">
        <v>27</v>
      </c>
      <c r="L1071">
        <v>126.38</v>
      </c>
    </row>
    <row r="1072" spans="1:12" x14ac:dyDescent="0.3">
      <c r="A1072" t="s">
        <v>80</v>
      </c>
      <c r="B1072" t="s">
        <v>84</v>
      </c>
      <c r="C1072">
        <v>2197</v>
      </c>
      <c r="D1072" t="str">
        <f t="shared" si="16"/>
        <v>Medium</v>
      </c>
      <c r="E1072">
        <v>16523</v>
      </c>
      <c r="F1072">
        <v>12.27</v>
      </c>
      <c r="G1072">
        <v>22.79</v>
      </c>
      <c r="H1072" s="4" t="s">
        <v>1870</v>
      </c>
      <c r="I1072" t="s">
        <v>2251</v>
      </c>
      <c r="J1072" t="s">
        <v>2252</v>
      </c>
      <c r="K1072" t="s">
        <v>40</v>
      </c>
      <c r="L1072">
        <v>6.89</v>
      </c>
    </row>
    <row r="1073" spans="1:12" x14ac:dyDescent="0.3">
      <c r="A1073" t="s">
        <v>56</v>
      </c>
      <c r="B1073" t="s">
        <v>84</v>
      </c>
      <c r="C1073">
        <v>9457</v>
      </c>
      <c r="D1073" t="str">
        <f t="shared" si="16"/>
        <v>Full</v>
      </c>
      <c r="E1073">
        <v>9528</v>
      </c>
      <c r="F1073">
        <v>247.4</v>
      </c>
      <c r="G1073">
        <v>516.01</v>
      </c>
      <c r="H1073" s="4" t="s">
        <v>1987</v>
      </c>
      <c r="I1073" t="s">
        <v>2253</v>
      </c>
      <c r="J1073" t="s">
        <v>2254</v>
      </c>
      <c r="K1073" t="s">
        <v>21</v>
      </c>
      <c r="L1073">
        <v>113.43</v>
      </c>
    </row>
    <row r="1074" spans="1:12" x14ac:dyDescent="0.3">
      <c r="A1074" t="s">
        <v>17</v>
      </c>
      <c r="B1074" t="s">
        <v>84</v>
      </c>
      <c r="C1074">
        <v>2821</v>
      </c>
      <c r="D1074" t="str">
        <f t="shared" si="16"/>
        <v>Medium</v>
      </c>
      <c r="E1074">
        <v>22543</v>
      </c>
      <c r="F1074">
        <v>76</v>
      </c>
      <c r="G1074">
        <v>141.74</v>
      </c>
      <c r="H1074" s="4" t="s">
        <v>1613</v>
      </c>
      <c r="I1074" t="s">
        <v>1332</v>
      </c>
      <c r="J1074" t="s">
        <v>2255</v>
      </c>
      <c r="K1074" t="s">
        <v>21</v>
      </c>
      <c r="L1074">
        <v>39.22</v>
      </c>
    </row>
    <row r="1075" spans="1:12" x14ac:dyDescent="0.3">
      <c r="A1075" t="s">
        <v>11</v>
      </c>
      <c r="B1075" t="s">
        <v>32</v>
      </c>
      <c r="C1075">
        <v>8576</v>
      </c>
      <c r="D1075" t="str">
        <f t="shared" si="16"/>
        <v>Full</v>
      </c>
      <c r="E1075">
        <v>13036</v>
      </c>
      <c r="F1075">
        <v>201.97</v>
      </c>
      <c r="G1075">
        <v>345.08</v>
      </c>
      <c r="H1075" s="4" t="s">
        <v>1243</v>
      </c>
      <c r="I1075" t="s">
        <v>326</v>
      </c>
      <c r="J1075" t="s">
        <v>2256</v>
      </c>
      <c r="K1075" t="s">
        <v>21</v>
      </c>
      <c r="L1075">
        <v>92.76</v>
      </c>
    </row>
    <row r="1076" spans="1:12" x14ac:dyDescent="0.3">
      <c r="A1076" t="s">
        <v>31</v>
      </c>
      <c r="B1076" t="s">
        <v>36</v>
      </c>
      <c r="C1076">
        <v>2468</v>
      </c>
      <c r="D1076" t="str">
        <f t="shared" si="16"/>
        <v>Medium</v>
      </c>
      <c r="E1076">
        <v>19488</v>
      </c>
      <c r="F1076">
        <v>119.88</v>
      </c>
      <c r="G1076">
        <v>234.33</v>
      </c>
      <c r="H1076" s="4" t="s">
        <v>2257</v>
      </c>
      <c r="I1076" t="s">
        <v>2258</v>
      </c>
      <c r="J1076" t="s">
        <v>2259</v>
      </c>
      <c r="K1076" t="s">
        <v>16</v>
      </c>
      <c r="L1076">
        <v>69.27</v>
      </c>
    </row>
    <row r="1077" spans="1:12" x14ac:dyDescent="0.3">
      <c r="A1077" t="s">
        <v>76</v>
      </c>
      <c r="B1077" t="s">
        <v>84</v>
      </c>
      <c r="C1077">
        <v>8166</v>
      </c>
      <c r="D1077" t="str">
        <f t="shared" si="16"/>
        <v>Full</v>
      </c>
      <c r="E1077">
        <v>24693</v>
      </c>
      <c r="F1077">
        <v>140.21</v>
      </c>
      <c r="G1077">
        <v>169.91</v>
      </c>
      <c r="H1077" s="4" t="s">
        <v>2116</v>
      </c>
      <c r="I1077" t="s">
        <v>2260</v>
      </c>
      <c r="J1077" t="s">
        <v>2261</v>
      </c>
      <c r="K1077" t="s">
        <v>16</v>
      </c>
      <c r="L1077">
        <v>67.91</v>
      </c>
    </row>
    <row r="1078" spans="1:12" x14ac:dyDescent="0.3">
      <c r="A1078" t="s">
        <v>119</v>
      </c>
      <c r="B1078" t="s">
        <v>36</v>
      </c>
      <c r="C1078">
        <v>8905</v>
      </c>
      <c r="D1078" t="str">
        <f t="shared" si="16"/>
        <v>Full</v>
      </c>
      <c r="E1078">
        <v>3056</v>
      </c>
      <c r="F1078">
        <v>56.48</v>
      </c>
      <c r="G1078">
        <v>78.89</v>
      </c>
      <c r="H1078" s="4" t="s">
        <v>419</v>
      </c>
      <c r="I1078" t="s">
        <v>2262</v>
      </c>
      <c r="J1078" t="s">
        <v>2263</v>
      </c>
      <c r="K1078" t="s">
        <v>21</v>
      </c>
      <c r="L1078">
        <v>38.75</v>
      </c>
    </row>
    <row r="1079" spans="1:12" x14ac:dyDescent="0.3">
      <c r="A1079" t="s">
        <v>123</v>
      </c>
      <c r="B1079" t="s">
        <v>23</v>
      </c>
      <c r="C1079">
        <v>5463</v>
      </c>
      <c r="D1079" t="str">
        <f t="shared" si="16"/>
        <v>Full</v>
      </c>
      <c r="E1079">
        <v>13908</v>
      </c>
      <c r="F1079">
        <v>25.12</v>
      </c>
      <c r="G1079">
        <v>57.55</v>
      </c>
      <c r="H1079" s="4" t="s">
        <v>234</v>
      </c>
      <c r="I1079" t="s">
        <v>218</v>
      </c>
      <c r="J1079" t="s">
        <v>2264</v>
      </c>
      <c r="K1079" t="s">
        <v>16</v>
      </c>
      <c r="L1079">
        <v>16.670000000000002</v>
      </c>
    </row>
    <row r="1080" spans="1:12" x14ac:dyDescent="0.3">
      <c r="A1080" t="s">
        <v>22</v>
      </c>
      <c r="B1080" t="s">
        <v>32</v>
      </c>
      <c r="C1080">
        <v>9108</v>
      </c>
      <c r="D1080" t="str">
        <f t="shared" si="16"/>
        <v>Full</v>
      </c>
      <c r="E1080">
        <v>9494</v>
      </c>
      <c r="F1080">
        <v>43.18</v>
      </c>
      <c r="G1080">
        <v>70.010000000000005</v>
      </c>
      <c r="H1080" s="4" t="s">
        <v>527</v>
      </c>
      <c r="I1080" t="s">
        <v>1896</v>
      </c>
      <c r="J1080" t="s">
        <v>2265</v>
      </c>
      <c r="K1080" t="s">
        <v>16</v>
      </c>
      <c r="L1080">
        <v>31.61</v>
      </c>
    </row>
    <row r="1081" spans="1:12" x14ac:dyDescent="0.3">
      <c r="A1081" t="s">
        <v>41</v>
      </c>
      <c r="B1081" t="s">
        <v>12</v>
      </c>
      <c r="C1081">
        <v>983</v>
      </c>
      <c r="D1081" t="str">
        <f t="shared" si="16"/>
        <v>Low</v>
      </c>
      <c r="E1081">
        <v>6215</v>
      </c>
      <c r="F1081">
        <v>73.349999999999994</v>
      </c>
      <c r="G1081">
        <v>151.46</v>
      </c>
      <c r="H1081" s="4" t="s">
        <v>1240</v>
      </c>
      <c r="I1081" t="s">
        <v>2266</v>
      </c>
      <c r="J1081" t="s">
        <v>2267</v>
      </c>
      <c r="K1081" t="s">
        <v>40</v>
      </c>
      <c r="L1081">
        <v>51.64</v>
      </c>
    </row>
    <row r="1082" spans="1:12" x14ac:dyDescent="0.3">
      <c r="A1082" t="s">
        <v>80</v>
      </c>
      <c r="B1082" t="s">
        <v>12</v>
      </c>
      <c r="C1082">
        <v>3350</v>
      </c>
      <c r="D1082" t="str">
        <f t="shared" si="16"/>
        <v>Full</v>
      </c>
      <c r="E1082">
        <v>24860</v>
      </c>
      <c r="F1082">
        <v>268.27999999999997</v>
      </c>
      <c r="G1082">
        <v>585.54</v>
      </c>
      <c r="H1082" s="4" t="s">
        <v>625</v>
      </c>
      <c r="I1082" t="s">
        <v>2268</v>
      </c>
      <c r="J1082" t="s">
        <v>2269</v>
      </c>
      <c r="K1082" t="s">
        <v>16</v>
      </c>
      <c r="L1082">
        <v>134.19</v>
      </c>
    </row>
    <row r="1083" spans="1:12" x14ac:dyDescent="0.3">
      <c r="A1083" t="s">
        <v>127</v>
      </c>
      <c r="B1083" t="s">
        <v>12</v>
      </c>
      <c r="C1083">
        <v>7734</v>
      </c>
      <c r="D1083" t="str">
        <f t="shared" si="16"/>
        <v>Full</v>
      </c>
      <c r="E1083">
        <v>13265</v>
      </c>
      <c r="F1083">
        <v>183.93</v>
      </c>
      <c r="G1083">
        <v>421.73</v>
      </c>
      <c r="H1083" s="4" t="s">
        <v>855</v>
      </c>
      <c r="I1083" t="s">
        <v>2185</v>
      </c>
      <c r="J1083" t="s">
        <v>2270</v>
      </c>
      <c r="K1083" t="s">
        <v>21</v>
      </c>
      <c r="L1083">
        <v>101.35</v>
      </c>
    </row>
    <row r="1084" spans="1:12" x14ac:dyDescent="0.3">
      <c r="A1084" t="s">
        <v>22</v>
      </c>
      <c r="B1084" t="s">
        <v>32</v>
      </c>
      <c r="C1084">
        <v>3772</v>
      </c>
      <c r="D1084" t="str">
        <f t="shared" si="16"/>
        <v>Full</v>
      </c>
      <c r="E1084">
        <v>7413</v>
      </c>
      <c r="F1084">
        <v>79.489999999999995</v>
      </c>
      <c r="G1084">
        <v>140.6</v>
      </c>
      <c r="H1084" s="4" t="s">
        <v>506</v>
      </c>
      <c r="I1084" t="s">
        <v>2271</v>
      </c>
      <c r="J1084" t="s">
        <v>2272</v>
      </c>
      <c r="K1084" t="s">
        <v>98</v>
      </c>
      <c r="L1084">
        <v>45.6</v>
      </c>
    </row>
    <row r="1085" spans="1:12" x14ac:dyDescent="0.3">
      <c r="A1085" t="s">
        <v>119</v>
      </c>
      <c r="B1085" t="s">
        <v>84</v>
      </c>
      <c r="C1085">
        <v>1909</v>
      </c>
      <c r="D1085" t="str">
        <f t="shared" si="16"/>
        <v>Medium</v>
      </c>
      <c r="E1085">
        <v>20074</v>
      </c>
      <c r="F1085">
        <v>12.15</v>
      </c>
      <c r="G1085">
        <v>29.74</v>
      </c>
      <c r="H1085" s="4" t="s">
        <v>377</v>
      </c>
      <c r="I1085" t="s">
        <v>419</v>
      </c>
      <c r="J1085" t="s">
        <v>2273</v>
      </c>
      <c r="K1085" t="s">
        <v>98</v>
      </c>
      <c r="L1085">
        <v>9.1999999999999993</v>
      </c>
    </row>
    <row r="1086" spans="1:12" x14ac:dyDescent="0.3">
      <c r="A1086" t="s">
        <v>76</v>
      </c>
      <c r="B1086" t="s">
        <v>36</v>
      </c>
      <c r="C1086">
        <v>9810</v>
      </c>
      <c r="D1086" t="str">
        <f t="shared" si="16"/>
        <v>Full</v>
      </c>
      <c r="E1086">
        <v>18910</v>
      </c>
      <c r="F1086">
        <v>260.02</v>
      </c>
      <c r="G1086">
        <v>427.19</v>
      </c>
      <c r="H1086" s="4" t="s">
        <v>509</v>
      </c>
      <c r="I1086" t="s">
        <v>2274</v>
      </c>
      <c r="J1086" t="s">
        <v>2275</v>
      </c>
      <c r="K1086" t="s">
        <v>21</v>
      </c>
      <c r="L1086">
        <v>123.78</v>
      </c>
    </row>
    <row r="1087" spans="1:12" x14ac:dyDescent="0.3">
      <c r="A1087" t="s">
        <v>88</v>
      </c>
      <c r="B1087" t="s">
        <v>32</v>
      </c>
      <c r="C1087">
        <v>8261</v>
      </c>
      <c r="D1087" t="str">
        <f t="shared" si="16"/>
        <v>Full</v>
      </c>
      <c r="E1087">
        <v>17411</v>
      </c>
      <c r="F1087">
        <v>108.87</v>
      </c>
      <c r="G1087">
        <v>218.18</v>
      </c>
      <c r="H1087" s="4" t="s">
        <v>1127</v>
      </c>
      <c r="I1087" t="s">
        <v>2276</v>
      </c>
      <c r="J1087" t="s">
        <v>2277</v>
      </c>
      <c r="K1087" t="s">
        <v>21</v>
      </c>
      <c r="L1087">
        <v>62.17</v>
      </c>
    </row>
    <row r="1088" spans="1:12" x14ac:dyDescent="0.3">
      <c r="A1088" t="s">
        <v>299</v>
      </c>
      <c r="B1088" t="s">
        <v>12</v>
      </c>
      <c r="C1088">
        <v>9824</v>
      </c>
      <c r="D1088" t="str">
        <f t="shared" si="16"/>
        <v>Full</v>
      </c>
      <c r="E1088">
        <v>3560</v>
      </c>
      <c r="F1088">
        <v>42.52</v>
      </c>
      <c r="G1088">
        <v>79.62</v>
      </c>
      <c r="H1088" s="4" t="s">
        <v>904</v>
      </c>
      <c r="I1088" t="s">
        <v>183</v>
      </c>
      <c r="J1088" t="s">
        <v>2278</v>
      </c>
      <c r="K1088" t="s">
        <v>98</v>
      </c>
      <c r="L1088">
        <v>17.88</v>
      </c>
    </row>
    <row r="1089" spans="1:12" x14ac:dyDescent="0.3">
      <c r="A1089" t="s">
        <v>66</v>
      </c>
      <c r="B1089" t="s">
        <v>23</v>
      </c>
      <c r="C1089">
        <v>869</v>
      </c>
      <c r="D1089" t="str">
        <f t="shared" si="16"/>
        <v>Low</v>
      </c>
      <c r="E1089">
        <v>8340</v>
      </c>
      <c r="F1089">
        <v>247.29</v>
      </c>
      <c r="G1089">
        <v>389.94</v>
      </c>
      <c r="H1089" s="4" t="s">
        <v>1200</v>
      </c>
      <c r="I1089" t="s">
        <v>2279</v>
      </c>
      <c r="J1089" t="s">
        <v>2280</v>
      </c>
      <c r="K1089" t="s">
        <v>27</v>
      </c>
      <c r="L1089">
        <v>185.21</v>
      </c>
    </row>
    <row r="1090" spans="1:12" x14ac:dyDescent="0.3">
      <c r="A1090" t="s">
        <v>56</v>
      </c>
      <c r="B1090" t="s">
        <v>23</v>
      </c>
      <c r="C1090">
        <v>1725</v>
      </c>
      <c r="D1090" t="str">
        <f t="shared" si="16"/>
        <v>Medium</v>
      </c>
      <c r="E1090">
        <v>18511</v>
      </c>
      <c r="F1090">
        <v>174.73</v>
      </c>
      <c r="G1090">
        <v>403.48</v>
      </c>
      <c r="H1090" s="4" t="s">
        <v>279</v>
      </c>
      <c r="I1090" t="s">
        <v>1491</v>
      </c>
      <c r="J1090" t="s">
        <v>2281</v>
      </c>
      <c r="K1090" t="s">
        <v>21</v>
      </c>
      <c r="L1090">
        <v>113.13</v>
      </c>
    </row>
    <row r="1091" spans="1:12" x14ac:dyDescent="0.3">
      <c r="A1091" t="s">
        <v>66</v>
      </c>
      <c r="B1091" t="s">
        <v>12</v>
      </c>
      <c r="C1091">
        <v>8216</v>
      </c>
      <c r="D1091" t="str">
        <f t="shared" ref="D1091:D1154" si="17">IF(C1091&lt;1000,"Low",IF(C1091&lt;=3000,"Medium","Full"))</f>
        <v>Full</v>
      </c>
      <c r="E1091">
        <v>9619</v>
      </c>
      <c r="F1091">
        <v>197.7</v>
      </c>
      <c r="G1091">
        <v>245.53</v>
      </c>
      <c r="H1091" s="4" t="s">
        <v>1184</v>
      </c>
      <c r="I1091" t="s">
        <v>1323</v>
      </c>
      <c r="J1091" t="s">
        <v>2282</v>
      </c>
      <c r="K1091" t="s">
        <v>40</v>
      </c>
      <c r="L1091">
        <v>149.31</v>
      </c>
    </row>
    <row r="1092" spans="1:12" x14ac:dyDescent="0.3">
      <c r="A1092" t="s">
        <v>127</v>
      </c>
      <c r="B1092" t="s">
        <v>84</v>
      </c>
      <c r="C1092">
        <v>3846</v>
      </c>
      <c r="D1092" t="str">
        <f t="shared" si="17"/>
        <v>Full</v>
      </c>
      <c r="E1092">
        <v>18926</v>
      </c>
      <c r="F1092">
        <v>245.94</v>
      </c>
      <c r="G1092">
        <v>400.51</v>
      </c>
      <c r="H1092" s="4" t="s">
        <v>164</v>
      </c>
      <c r="I1092" t="s">
        <v>38</v>
      </c>
      <c r="J1092" t="s">
        <v>2283</v>
      </c>
      <c r="K1092" t="s">
        <v>21</v>
      </c>
      <c r="L1092">
        <v>105.55</v>
      </c>
    </row>
    <row r="1093" spans="1:12" x14ac:dyDescent="0.3">
      <c r="A1093" t="s">
        <v>22</v>
      </c>
      <c r="B1093" t="s">
        <v>32</v>
      </c>
      <c r="C1093">
        <v>1079</v>
      </c>
      <c r="D1093" t="str">
        <f t="shared" si="17"/>
        <v>Medium</v>
      </c>
      <c r="E1093">
        <v>12332</v>
      </c>
      <c r="F1093">
        <v>294.41000000000003</v>
      </c>
      <c r="G1093">
        <v>716.85</v>
      </c>
      <c r="H1093" s="4" t="s">
        <v>1138</v>
      </c>
      <c r="I1093" t="s">
        <v>931</v>
      </c>
      <c r="J1093" t="s">
        <v>2284</v>
      </c>
      <c r="K1093" t="s">
        <v>16</v>
      </c>
      <c r="L1093">
        <v>174.15</v>
      </c>
    </row>
    <row r="1094" spans="1:12" x14ac:dyDescent="0.3">
      <c r="A1094" t="s">
        <v>123</v>
      </c>
      <c r="B1094" t="s">
        <v>23</v>
      </c>
      <c r="C1094">
        <v>1183</v>
      </c>
      <c r="D1094" t="str">
        <f t="shared" si="17"/>
        <v>Medium</v>
      </c>
      <c r="E1094">
        <v>4409</v>
      </c>
      <c r="F1094">
        <v>15.5</v>
      </c>
      <c r="G1094">
        <v>28.83</v>
      </c>
      <c r="H1094" s="4" t="s">
        <v>2285</v>
      </c>
      <c r="I1094" t="s">
        <v>1797</v>
      </c>
      <c r="J1094" t="s">
        <v>2286</v>
      </c>
      <c r="K1094" t="s">
        <v>21</v>
      </c>
      <c r="L1094">
        <v>8.08</v>
      </c>
    </row>
    <row r="1095" spans="1:12" x14ac:dyDescent="0.3">
      <c r="A1095" t="s">
        <v>80</v>
      </c>
      <c r="B1095" t="s">
        <v>12</v>
      </c>
      <c r="C1095">
        <v>1406</v>
      </c>
      <c r="D1095" t="str">
        <f t="shared" si="17"/>
        <v>Medium</v>
      </c>
      <c r="E1095">
        <v>1863</v>
      </c>
      <c r="F1095">
        <v>233.22</v>
      </c>
      <c r="G1095">
        <v>525.86</v>
      </c>
      <c r="H1095" s="4" t="s">
        <v>2287</v>
      </c>
      <c r="I1095" t="s">
        <v>671</v>
      </c>
      <c r="J1095" t="s">
        <v>2288</v>
      </c>
      <c r="K1095" t="s">
        <v>27</v>
      </c>
      <c r="L1095">
        <v>144.83000000000001</v>
      </c>
    </row>
    <row r="1096" spans="1:12" x14ac:dyDescent="0.3">
      <c r="A1096" t="s">
        <v>127</v>
      </c>
      <c r="B1096" t="s">
        <v>36</v>
      </c>
      <c r="C1096">
        <v>6680</v>
      </c>
      <c r="D1096" t="str">
        <f t="shared" si="17"/>
        <v>Full</v>
      </c>
      <c r="E1096">
        <v>23788</v>
      </c>
      <c r="F1096">
        <v>41.95</v>
      </c>
      <c r="G1096">
        <v>88.59</v>
      </c>
      <c r="H1096" s="4" t="s">
        <v>500</v>
      </c>
      <c r="I1096" t="s">
        <v>1564</v>
      </c>
      <c r="J1096" t="s">
        <v>2289</v>
      </c>
      <c r="K1096" t="s">
        <v>21</v>
      </c>
      <c r="L1096">
        <v>18.760000000000002</v>
      </c>
    </row>
    <row r="1097" spans="1:12" x14ac:dyDescent="0.3">
      <c r="A1097" t="s">
        <v>176</v>
      </c>
      <c r="B1097" t="s">
        <v>23</v>
      </c>
      <c r="C1097">
        <v>6263</v>
      </c>
      <c r="D1097" t="str">
        <f t="shared" si="17"/>
        <v>Full</v>
      </c>
      <c r="E1097">
        <v>7345</v>
      </c>
      <c r="F1097">
        <v>106.22</v>
      </c>
      <c r="G1097">
        <v>254.24</v>
      </c>
      <c r="H1097" s="4" t="s">
        <v>358</v>
      </c>
      <c r="I1097" t="s">
        <v>2290</v>
      </c>
      <c r="J1097" t="s">
        <v>2291</v>
      </c>
      <c r="K1097" t="s">
        <v>16</v>
      </c>
      <c r="L1097">
        <v>42.91</v>
      </c>
    </row>
    <row r="1098" spans="1:12" x14ac:dyDescent="0.3">
      <c r="A1098" t="s">
        <v>200</v>
      </c>
      <c r="B1098" t="s">
        <v>32</v>
      </c>
      <c r="C1098">
        <v>9806</v>
      </c>
      <c r="D1098" t="str">
        <f t="shared" si="17"/>
        <v>Full</v>
      </c>
      <c r="E1098">
        <v>2500</v>
      </c>
      <c r="F1098">
        <v>297.33</v>
      </c>
      <c r="G1098">
        <v>362.55</v>
      </c>
      <c r="H1098" s="4" t="s">
        <v>772</v>
      </c>
      <c r="I1098" t="s">
        <v>194</v>
      </c>
      <c r="J1098" t="s">
        <v>2292</v>
      </c>
      <c r="K1098" t="s">
        <v>27</v>
      </c>
      <c r="L1098">
        <v>134</v>
      </c>
    </row>
    <row r="1099" spans="1:12" x14ac:dyDescent="0.3">
      <c r="A1099" t="s">
        <v>56</v>
      </c>
      <c r="B1099" t="s">
        <v>23</v>
      </c>
      <c r="C1099">
        <v>1216</v>
      </c>
      <c r="D1099" t="str">
        <f t="shared" si="17"/>
        <v>Medium</v>
      </c>
      <c r="E1099">
        <v>11293</v>
      </c>
      <c r="F1099">
        <v>108.15</v>
      </c>
      <c r="G1099">
        <v>221.9</v>
      </c>
      <c r="H1099" s="4" t="s">
        <v>2293</v>
      </c>
      <c r="I1099" t="s">
        <v>924</v>
      </c>
      <c r="J1099" t="s">
        <v>2294</v>
      </c>
      <c r="K1099" t="s">
        <v>16</v>
      </c>
      <c r="L1099">
        <v>60.47</v>
      </c>
    </row>
    <row r="1100" spans="1:12" x14ac:dyDescent="0.3">
      <c r="A1100" t="s">
        <v>11</v>
      </c>
      <c r="B1100" t="s">
        <v>12</v>
      </c>
      <c r="C1100">
        <v>1751</v>
      </c>
      <c r="D1100" t="str">
        <f t="shared" si="17"/>
        <v>Medium</v>
      </c>
      <c r="E1100">
        <v>9198</v>
      </c>
      <c r="F1100">
        <v>281.82</v>
      </c>
      <c r="G1100">
        <v>413.6</v>
      </c>
      <c r="H1100" s="4" t="s">
        <v>486</v>
      </c>
      <c r="I1100" t="s">
        <v>350</v>
      </c>
      <c r="J1100" t="s">
        <v>2295</v>
      </c>
      <c r="K1100" t="s">
        <v>40</v>
      </c>
      <c r="L1100">
        <v>218.85</v>
      </c>
    </row>
    <row r="1101" spans="1:12" x14ac:dyDescent="0.3">
      <c r="A1101" t="s">
        <v>66</v>
      </c>
      <c r="B1101" t="s">
        <v>23</v>
      </c>
      <c r="C1101">
        <v>4501</v>
      </c>
      <c r="D1101" t="str">
        <f t="shared" si="17"/>
        <v>Full</v>
      </c>
      <c r="E1101">
        <v>18263</v>
      </c>
      <c r="F1101">
        <v>268.43</v>
      </c>
      <c r="G1101">
        <v>433.38</v>
      </c>
      <c r="H1101" s="4" t="s">
        <v>623</v>
      </c>
      <c r="I1101" t="s">
        <v>2296</v>
      </c>
      <c r="J1101" t="s">
        <v>2297</v>
      </c>
      <c r="K1101" t="s">
        <v>27</v>
      </c>
      <c r="L1101">
        <v>144.59</v>
      </c>
    </row>
    <row r="1102" spans="1:12" x14ac:dyDescent="0.3">
      <c r="A1102" t="s">
        <v>200</v>
      </c>
      <c r="B1102" t="s">
        <v>32</v>
      </c>
      <c r="C1102">
        <v>8466</v>
      </c>
      <c r="D1102" t="str">
        <f t="shared" si="17"/>
        <v>Full</v>
      </c>
      <c r="E1102">
        <v>10167</v>
      </c>
      <c r="F1102">
        <v>28.14</v>
      </c>
      <c r="G1102">
        <v>67.13</v>
      </c>
      <c r="H1102" s="4" t="s">
        <v>180</v>
      </c>
      <c r="I1102" t="s">
        <v>2298</v>
      </c>
      <c r="J1102" t="s">
        <v>2299</v>
      </c>
      <c r="K1102" t="s">
        <v>16</v>
      </c>
      <c r="L1102">
        <v>13.63</v>
      </c>
    </row>
    <row r="1103" spans="1:12" x14ac:dyDescent="0.3">
      <c r="A1103" t="s">
        <v>76</v>
      </c>
      <c r="B1103" t="s">
        <v>84</v>
      </c>
      <c r="C1103">
        <v>1087</v>
      </c>
      <c r="D1103" t="str">
        <f t="shared" si="17"/>
        <v>Medium</v>
      </c>
      <c r="E1103">
        <v>8703</v>
      </c>
      <c r="F1103">
        <v>211.01</v>
      </c>
      <c r="G1103">
        <v>431.49</v>
      </c>
      <c r="H1103" s="4" t="s">
        <v>814</v>
      </c>
      <c r="I1103" t="s">
        <v>1678</v>
      </c>
      <c r="J1103" t="s">
        <v>2300</v>
      </c>
      <c r="K1103" t="s">
        <v>21</v>
      </c>
      <c r="L1103">
        <v>154.99</v>
      </c>
    </row>
    <row r="1104" spans="1:12" x14ac:dyDescent="0.3">
      <c r="A1104" t="s">
        <v>147</v>
      </c>
      <c r="B1104" t="s">
        <v>23</v>
      </c>
      <c r="C1104">
        <v>6794</v>
      </c>
      <c r="D1104" t="str">
        <f t="shared" si="17"/>
        <v>Full</v>
      </c>
      <c r="E1104">
        <v>10843</v>
      </c>
      <c r="F1104">
        <v>249.02</v>
      </c>
      <c r="G1104">
        <v>326.18</v>
      </c>
      <c r="H1104" s="4" t="s">
        <v>1058</v>
      </c>
      <c r="I1104" t="s">
        <v>340</v>
      </c>
      <c r="J1104" t="s">
        <v>2301</v>
      </c>
      <c r="K1104" t="s">
        <v>21</v>
      </c>
      <c r="L1104">
        <v>101.49</v>
      </c>
    </row>
    <row r="1105" spans="1:12" x14ac:dyDescent="0.3">
      <c r="A1105" t="s">
        <v>299</v>
      </c>
      <c r="B1105" t="s">
        <v>36</v>
      </c>
      <c r="C1105">
        <v>7774</v>
      </c>
      <c r="D1105" t="str">
        <f t="shared" si="17"/>
        <v>Full</v>
      </c>
      <c r="E1105">
        <v>2455</v>
      </c>
      <c r="F1105">
        <v>71.209999999999994</v>
      </c>
      <c r="G1105">
        <v>120.57</v>
      </c>
      <c r="H1105" s="4" t="s">
        <v>674</v>
      </c>
      <c r="I1105" t="s">
        <v>1370</v>
      </c>
      <c r="J1105" t="s">
        <v>2302</v>
      </c>
      <c r="K1105" t="s">
        <v>27</v>
      </c>
      <c r="L1105">
        <v>47.29</v>
      </c>
    </row>
    <row r="1106" spans="1:12" x14ac:dyDescent="0.3">
      <c r="A1106" t="s">
        <v>127</v>
      </c>
      <c r="B1106" t="s">
        <v>32</v>
      </c>
      <c r="C1106">
        <v>6198</v>
      </c>
      <c r="D1106" t="str">
        <f t="shared" si="17"/>
        <v>Full</v>
      </c>
      <c r="E1106">
        <v>1851</v>
      </c>
      <c r="F1106">
        <v>273.47000000000003</v>
      </c>
      <c r="G1106">
        <v>596.39</v>
      </c>
      <c r="H1106" s="4" t="s">
        <v>2303</v>
      </c>
      <c r="I1106" t="s">
        <v>2158</v>
      </c>
      <c r="J1106" t="s">
        <v>2304</v>
      </c>
      <c r="K1106" t="s">
        <v>98</v>
      </c>
      <c r="L1106">
        <v>192.22</v>
      </c>
    </row>
    <row r="1107" spans="1:12" x14ac:dyDescent="0.3">
      <c r="A1107" t="s">
        <v>45</v>
      </c>
      <c r="B1107" t="s">
        <v>32</v>
      </c>
      <c r="C1107">
        <v>7611</v>
      </c>
      <c r="D1107" t="str">
        <f t="shared" si="17"/>
        <v>Full</v>
      </c>
      <c r="E1107">
        <v>15009</v>
      </c>
      <c r="F1107">
        <v>235.87</v>
      </c>
      <c r="G1107">
        <v>567.77</v>
      </c>
      <c r="H1107" s="4" t="s">
        <v>496</v>
      </c>
      <c r="I1107" t="s">
        <v>964</v>
      </c>
      <c r="J1107" t="s">
        <v>2305</v>
      </c>
      <c r="K1107" t="s">
        <v>21</v>
      </c>
      <c r="L1107">
        <v>184.21</v>
      </c>
    </row>
    <row r="1108" spans="1:12" x14ac:dyDescent="0.3">
      <c r="A1108" t="s">
        <v>31</v>
      </c>
      <c r="B1108" t="s">
        <v>32</v>
      </c>
      <c r="C1108">
        <v>8094</v>
      </c>
      <c r="D1108" t="str">
        <f t="shared" si="17"/>
        <v>Full</v>
      </c>
      <c r="E1108">
        <v>14888</v>
      </c>
      <c r="F1108">
        <v>173.92</v>
      </c>
      <c r="G1108">
        <v>337.2</v>
      </c>
      <c r="H1108" s="4" t="s">
        <v>2306</v>
      </c>
      <c r="I1108" t="s">
        <v>677</v>
      </c>
      <c r="J1108" t="s">
        <v>2307</v>
      </c>
      <c r="K1108" t="s">
        <v>21</v>
      </c>
      <c r="L1108">
        <v>102.08</v>
      </c>
    </row>
    <row r="1109" spans="1:12" x14ac:dyDescent="0.3">
      <c r="A1109" t="s">
        <v>80</v>
      </c>
      <c r="B1109" t="s">
        <v>84</v>
      </c>
      <c r="C1109">
        <v>748</v>
      </c>
      <c r="D1109" t="str">
        <f t="shared" si="17"/>
        <v>Low</v>
      </c>
      <c r="E1109">
        <v>10197</v>
      </c>
      <c r="F1109">
        <v>240.88</v>
      </c>
      <c r="G1109">
        <v>586.85</v>
      </c>
      <c r="H1109" s="4" t="s">
        <v>1821</v>
      </c>
      <c r="I1109" t="s">
        <v>2308</v>
      </c>
      <c r="J1109" t="s">
        <v>2309</v>
      </c>
      <c r="K1109" t="s">
        <v>40</v>
      </c>
      <c r="L1109">
        <v>128.87</v>
      </c>
    </row>
    <row r="1110" spans="1:12" x14ac:dyDescent="0.3">
      <c r="A1110" t="s">
        <v>299</v>
      </c>
      <c r="B1110" t="s">
        <v>12</v>
      </c>
      <c r="C1110">
        <v>4993</v>
      </c>
      <c r="D1110" t="str">
        <f t="shared" si="17"/>
        <v>Full</v>
      </c>
      <c r="E1110">
        <v>12852</v>
      </c>
      <c r="F1110">
        <v>84.28</v>
      </c>
      <c r="G1110">
        <v>128.58000000000001</v>
      </c>
      <c r="H1110" s="4" t="s">
        <v>1348</v>
      </c>
      <c r="I1110" t="s">
        <v>1450</v>
      </c>
      <c r="J1110" t="s">
        <v>2310</v>
      </c>
      <c r="K1110" t="s">
        <v>27</v>
      </c>
      <c r="L1110">
        <v>44.06</v>
      </c>
    </row>
    <row r="1111" spans="1:12" x14ac:dyDescent="0.3">
      <c r="A1111" t="s">
        <v>45</v>
      </c>
      <c r="B1111" t="s">
        <v>23</v>
      </c>
      <c r="C1111">
        <v>3429</v>
      </c>
      <c r="D1111" t="str">
        <f t="shared" si="17"/>
        <v>Full</v>
      </c>
      <c r="E1111">
        <v>15542</v>
      </c>
      <c r="F1111">
        <v>141.5</v>
      </c>
      <c r="G1111">
        <v>250.72</v>
      </c>
      <c r="H1111" s="4" t="s">
        <v>1598</v>
      </c>
      <c r="I1111" t="s">
        <v>1159</v>
      </c>
      <c r="J1111" t="s">
        <v>2311</v>
      </c>
      <c r="K1111" t="s">
        <v>21</v>
      </c>
      <c r="L1111">
        <v>92.7</v>
      </c>
    </row>
    <row r="1112" spans="1:12" x14ac:dyDescent="0.3">
      <c r="A1112" t="s">
        <v>66</v>
      </c>
      <c r="B1112" t="s">
        <v>84</v>
      </c>
      <c r="C1112">
        <v>7194</v>
      </c>
      <c r="D1112" t="str">
        <f t="shared" si="17"/>
        <v>Full</v>
      </c>
      <c r="E1112">
        <v>2919</v>
      </c>
      <c r="F1112">
        <v>175.97</v>
      </c>
      <c r="G1112">
        <v>229.36</v>
      </c>
      <c r="H1112" s="4" t="s">
        <v>1463</v>
      </c>
      <c r="I1112" t="s">
        <v>2312</v>
      </c>
      <c r="J1112" t="s">
        <v>2313</v>
      </c>
      <c r="K1112" t="s">
        <v>27</v>
      </c>
      <c r="L1112">
        <v>101.39</v>
      </c>
    </row>
    <row r="1113" spans="1:12" x14ac:dyDescent="0.3">
      <c r="A1113" t="s">
        <v>147</v>
      </c>
      <c r="B1113" t="s">
        <v>23</v>
      </c>
      <c r="C1113">
        <v>4752</v>
      </c>
      <c r="D1113" t="str">
        <f t="shared" si="17"/>
        <v>Full</v>
      </c>
      <c r="E1113">
        <v>17217</v>
      </c>
      <c r="F1113">
        <v>42.53</v>
      </c>
      <c r="G1113">
        <v>85.89</v>
      </c>
      <c r="H1113" s="4" t="s">
        <v>1126</v>
      </c>
      <c r="I1113" t="s">
        <v>602</v>
      </c>
      <c r="J1113" t="s">
        <v>2314</v>
      </c>
      <c r="K1113" t="s">
        <v>27</v>
      </c>
      <c r="L1113">
        <v>20.97</v>
      </c>
    </row>
    <row r="1114" spans="1:12" x14ac:dyDescent="0.3">
      <c r="A1114" t="s">
        <v>127</v>
      </c>
      <c r="B1114" t="s">
        <v>84</v>
      </c>
      <c r="C1114">
        <v>8802</v>
      </c>
      <c r="D1114" t="str">
        <f t="shared" si="17"/>
        <v>Full</v>
      </c>
      <c r="E1114">
        <v>15428</v>
      </c>
      <c r="F1114">
        <v>176.07</v>
      </c>
      <c r="G1114">
        <v>220.89</v>
      </c>
      <c r="H1114" s="4" t="s">
        <v>1859</v>
      </c>
      <c r="I1114" t="s">
        <v>754</v>
      </c>
      <c r="J1114" t="s">
        <v>2315</v>
      </c>
      <c r="K1114" t="s">
        <v>40</v>
      </c>
      <c r="L1114">
        <v>71.56</v>
      </c>
    </row>
    <row r="1115" spans="1:12" x14ac:dyDescent="0.3">
      <c r="A1115" t="s">
        <v>76</v>
      </c>
      <c r="B1115" t="s">
        <v>32</v>
      </c>
      <c r="C1115">
        <v>1232</v>
      </c>
      <c r="D1115" t="str">
        <f t="shared" si="17"/>
        <v>Medium</v>
      </c>
      <c r="E1115">
        <v>20679</v>
      </c>
      <c r="F1115">
        <v>74.239999999999995</v>
      </c>
      <c r="G1115">
        <v>99.62</v>
      </c>
      <c r="H1115" s="4" t="s">
        <v>477</v>
      </c>
      <c r="I1115" t="s">
        <v>273</v>
      </c>
      <c r="J1115" t="s">
        <v>2316</v>
      </c>
      <c r="K1115" t="s">
        <v>16</v>
      </c>
      <c r="L1115">
        <v>32</v>
      </c>
    </row>
    <row r="1116" spans="1:12" x14ac:dyDescent="0.3">
      <c r="A1116" t="s">
        <v>88</v>
      </c>
      <c r="B1116" t="s">
        <v>23</v>
      </c>
      <c r="C1116">
        <v>9844</v>
      </c>
      <c r="D1116" t="str">
        <f t="shared" si="17"/>
        <v>Full</v>
      </c>
      <c r="E1116">
        <v>13168</v>
      </c>
      <c r="F1116">
        <v>249.6</v>
      </c>
      <c r="G1116">
        <v>520.5</v>
      </c>
      <c r="H1116" s="4" t="s">
        <v>1196</v>
      </c>
      <c r="I1116" t="s">
        <v>1013</v>
      </c>
      <c r="J1116" t="s">
        <v>2317</v>
      </c>
      <c r="K1116" t="s">
        <v>40</v>
      </c>
      <c r="L1116">
        <v>114.13</v>
      </c>
    </row>
    <row r="1117" spans="1:12" x14ac:dyDescent="0.3">
      <c r="A1117" t="s">
        <v>45</v>
      </c>
      <c r="B1117" t="s">
        <v>32</v>
      </c>
      <c r="C1117">
        <v>6402</v>
      </c>
      <c r="D1117" t="str">
        <f t="shared" si="17"/>
        <v>Full</v>
      </c>
      <c r="E1117">
        <v>11976</v>
      </c>
      <c r="F1117">
        <v>292.64999999999998</v>
      </c>
      <c r="G1117">
        <v>692.59</v>
      </c>
      <c r="H1117" s="4" t="s">
        <v>312</v>
      </c>
      <c r="I1117" t="s">
        <v>2318</v>
      </c>
      <c r="J1117" t="s">
        <v>2319</v>
      </c>
      <c r="K1117" t="s">
        <v>16</v>
      </c>
      <c r="L1117">
        <v>120.71</v>
      </c>
    </row>
    <row r="1118" spans="1:12" x14ac:dyDescent="0.3">
      <c r="A1118" t="s">
        <v>76</v>
      </c>
      <c r="B1118" t="s">
        <v>12</v>
      </c>
      <c r="C1118">
        <v>5265</v>
      </c>
      <c r="D1118" t="str">
        <f t="shared" si="17"/>
        <v>Full</v>
      </c>
      <c r="E1118">
        <v>5917</v>
      </c>
      <c r="F1118">
        <v>274</v>
      </c>
      <c r="G1118">
        <v>337.9</v>
      </c>
      <c r="H1118" s="4" t="s">
        <v>63</v>
      </c>
      <c r="I1118" t="s">
        <v>1163</v>
      </c>
      <c r="J1118" t="s">
        <v>2320</v>
      </c>
      <c r="K1118" t="s">
        <v>16</v>
      </c>
      <c r="L1118">
        <v>188.05</v>
      </c>
    </row>
    <row r="1119" spans="1:12" x14ac:dyDescent="0.3">
      <c r="A1119" t="s">
        <v>119</v>
      </c>
      <c r="B1119" t="s">
        <v>32</v>
      </c>
      <c r="C1119">
        <v>6136</v>
      </c>
      <c r="D1119" t="str">
        <f t="shared" si="17"/>
        <v>Full</v>
      </c>
      <c r="E1119">
        <v>8040</v>
      </c>
      <c r="F1119">
        <v>116.76</v>
      </c>
      <c r="G1119">
        <v>228.56</v>
      </c>
      <c r="H1119" s="4" t="s">
        <v>1153</v>
      </c>
      <c r="I1119" t="s">
        <v>1727</v>
      </c>
      <c r="J1119" t="s">
        <v>2321</v>
      </c>
      <c r="K1119" t="s">
        <v>27</v>
      </c>
      <c r="L1119">
        <v>91.31</v>
      </c>
    </row>
    <row r="1120" spans="1:12" x14ac:dyDescent="0.3">
      <c r="A1120" t="s">
        <v>80</v>
      </c>
      <c r="B1120" t="s">
        <v>32</v>
      </c>
      <c r="C1120">
        <v>8749</v>
      </c>
      <c r="D1120" t="str">
        <f t="shared" si="17"/>
        <v>Full</v>
      </c>
      <c r="E1120">
        <v>19823</v>
      </c>
      <c r="F1120">
        <v>190.95</v>
      </c>
      <c r="G1120">
        <v>411.33</v>
      </c>
      <c r="H1120" s="4" t="s">
        <v>153</v>
      </c>
      <c r="I1120" t="s">
        <v>238</v>
      </c>
      <c r="J1120" t="s">
        <v>2322</v>
      </c>
      <c r="K1120" t="s">
        <v>27</v>
      </c>
      <c r="L1120">
        <v>122.75</v>
      </c>
    </row>
    <row r="1121" spans="1:12" x14ac:dyDescent="0.3">
      <c r="A1121" t="s">
        <v>119</v>
      </c>
      <c r="B1121" t="s">
        <v>32</v>
      </c>
      <c r="C1121">
        <v>7725</v>
      </c>
      <c r="D1121" t="str">
        <f t="shared" si="17"/>
        <v>Full</v>
      </c>
      <c r="E1121">
        <v>11385</v>
      </c>
      <c r="F1121">
        <v>84.41</v>
      </c>
      <c r="G1121">
        <v>193.03</v>
      </c>
      <c r="H1121" s="4" t="s">
        <v>1531</v>
      </c>
      <c r="I1121" t="s">
        <v>924</v>
      </c>
      <c r="J1121" t="s">
        <v>2323</v>
      </c>
      <c r="K1121" t="s">
        <v>98</v>
      </c>
      <c r="L1121">
        <v>60.74</v>
      </c>
    </row>
    <row r="1122" spans="1:12" x14ac:dyDescent="0.3">
      <c r="A1122" t="s">
        <v>76</v>
      </c>
      <c r="B1122" t="s">
        <v>84</v>
      </c>
      <c r="C1122">
        <v>7968</v>
      </c>
      <c r="D1122" t="str">
        <f t="shared" si="17"/>
        <v>Full</v>
      </c>
      <c r="E1122">
        <v>11315</v>
      </c>
      <c r="F1122">
        <v>225.72</v>
      </c>
      <c r="G1122">
        <v>304.73</v>
      </c>
      <c r="H1122" s="4" t="s">
        <v>226</v>
      </c>
      <c r="I1122" t="s">
        <v>504</v>
      </c>
      <c r="J1122" t="s">
        <v>2324</v>
      </c>
      <c r="K1122" t="s">
        <v>40</v>
      </c>
      <c r="L1122">
        <v>97.48</v>
      </c>
    </row>
    <row r="1123" spans="1:12" x14ac:dyDescent="0.3">
      <c r="A1123" t="s">
        <v>66</v>
      </c>
      <c r="B1123" t="s">
        <v>32</v>
      </c>
      <c r="C1123">
        <v>1752</v>
      </c>
      <c r="D1123" t="str">
        <f t="shared" si="17"/>
        <v>Medium</v>
      </c>
      <c r="E1123">
        <v>12871</v>
      </c>
      <c r="F1123">
        <v>197.73</v>
      </c>
      <c r="G1123">
        <v>392.85</v>
      </c>
      <c r="H1123" s="4" t="s">
        <v>361</v>
      </c>
      <c r="I1123" t="s">
        <v>2325</v>
      </c>
      <c r="J1123" t="s">
        <v>2326</v>
      </c>
      <c r="K1123" t="s">
        <v>16</v>
      </c>
      <c r="L1123">
        <v>144.57</v>
      </c>
    </row>
    <row r="1124" spans="1:12" x14ac:dyDescent="0.3">
      <c r="A1124" t="s">
        <v>123</v>
      </c>
      <c r="B1124" t="s">
        <v>32</v>
      </c>
      <c r="C1124">
        <v>4513</v>
      </c>
      <c r="D1124" t="str">
        <f t="shared" si="17"/>
        <v>Full</v>
      </c>
      <c r="E1124">
        <v>14356</v>
      </c>
      <c r="F1124">
        <v>203.86</v>
      </c>
      <c r="G1124">
        <v>421.11</v>
      </c>
      <c r="H1124" s="4" t="s">
        <v>1914</v>
      </c>
      <c r="I1124" t="s">
        <v>1923</v>
      </c>
      <c r="J1124" t="s">
        <v>2327</v>
      </c>
      <c r="K1124" t="s">
        <v>40</v>
      </c>
      <c r="L1124">
        <v>107.14</v>
      </c>
    </row>
    <row r="1125" spans="1:12" x14ac:dyDescent="0.3">
      <c r="A1125" t="s">
        <v>41</v>
      </c>
      <c r="B1125" t="s">
        <v>36</v>
      </c>
      <c r="C1125">
        <v>7398</v>
      </c>
      <c r="D1125" t="str">
        <f t="shared" si="17"/>
        <v>Full</v>
      </c>
      <c r="E1125">
        <v>17548</v>
      </c>
      <c r="F1125">
        <v>295.06</v>
      </c>
      <c r="G1125">
        <v>575.02</v>
      </c>
      <c r="H1125" s="4" t="s">
        <v>1042</v>
      </c>
      <c r="I1125" t="s">
        <v>2328</v>
      </c>
      <c r="J1125" t="s">
        <v>2329</v>
      </c>
      <c r="K1125" t="s">
        <v>21</v>
      </c>
      <c r="L1125">
        <v>119.85</v>
      </c>
    </row>
    <row r="1126" spans="1:12" x14ac:dyDescent="0.3">
      <c r="A1126" t="s">
        <v>11</v>
      </c>
      <c r="B1126" t="s">
        <v>36</v>
      </c>
      <c r="C1126">
        <v>4815</v>
      </c>
      <c r="D1126" t="str">
        <f t="shared" si="17"/>
        <v>Full</v>
      </c>
      <c r="E1126">
        <v>19172</v>
      </c>
      <c r="F1126">
        <v>214.86</v>
      </c>
      <c r="G1126">
        <v>389.07</v>
      </c>
      <c r="H1126" s="4" t="s">
        <v>904</v>
      </c>
      <c r="I1126" t="s">
        <v>2190</v>
      </c>
      <c r="J1126" t="s">
        <v>2330</v>
      </c>
      <c r="K1126" t="s">
        <v>21</v>
      </c>
      <c r="L1126">
        <v>88</v>
      </c>
    </row>
    <row r="1127" spans="1:12" x14ac:dyDescent="0.3">
      <c r="A1127" t="s">
        <v>56</v>
      </c>
      <c r="B1127" t="s">
        <v>12</v>
      </c>
      <c r="C1127">
        <v>2668</v>
      </c>
      <c r="D1127" t="str">
        <f t="shared" si="17"/>
        <v>Medium</v>
      </c>
      <c r="E1127">
        <v>17872</v>
      </c>
      <c r="F1127">
        <v>260.73</v>
      </c>
      <c r="G1127">
        <v>624.24</v>
      </c>
      <c r="H1127" s="4" t="s">
        <v>92</v>
      </c>
      <c r="I1127" t="s">
        <v>1962</v>
      </c>
      <c r="J1127" t="s">
        <v>2331</v>
      </c>
      <c r="K1127" t="s">
        <v>21</v>
      </c>
      <c r="L1127">
        <v>176.98</v>
      </c>
    </row>
    <row r="1128" spans="1:12" x14ac:dyDescent="0.3">
      <c r="A1128" t="s">
        <v>80</v>
      </c>
      <c r="B1128" t="s">
        <v>23</v>
      </c>
      <c r="C1128">
        <v>2450</v>
      </c>
      <c r="D1128" t="str">
        <f t="shared" si="17"/>
        <v>Medium</v>
      </c>
      <c r="E1128">
        <v>12036</v>
      </c>
      <c r="F1128">
        <v>269.74</v>
      </c>
      <c r="G1128">
        <v>638.71</v>
      </c>
      <c r="H1128" s="4" t="s">
        <v>643</v>
      </c>
      <c r="I1128" t="s">
        <v>1210</v>
      </c>
      <c r="J1128" t="s">
        <v>2332</v>
      </c>
      <c r="K1128" t="s">
        <v>27</v>
      </c>
      <c r="L1128">
        <v>215.16</v>
      </c>
    </row>
    <row r="1129" spans="1:12" x14ac:dyDescent="0.3">
      <c r="A1129" t="s">
        <v>127</v>
      </c>
      <c r="B1129" t="s">
        <v>12</v>
      </c>
      <c r="C1129">
        <v>6315</v>
      </c>
      <c r="D1129" t="str">
        <f t="shared" si="17"/>
        <v>Full</v>
      </c>
      <c r="E1129">
        <v>15709</v>
      </c>
      <c r="F1129">
        <v>273.64999999999998</v>
      </c>
      <c r="G1129">
        <v>552.79999999999995</v>
      </c>
      <c r="H1129" s="4" t="s">
        <v>2187</v>
      </c>
      <c r="I1129" t="s">
        <v>38</v>
      </c>
      <c r="J1129" t="s">
        <v>2333</v>
      </c>
      <c r="K1129" t="s">
        <v>98</v>
      </c>
      <c r="L1129">
        <v>189.74</v>
      </c>
    </row>
    <row r="1130" spans="1:12" x14ac:dyDescent="0.3">
      <c r="A1130" t="s">
        <v>22</v>
      </c>
      <c r="B1130" t="s">
        <v>32</v>
      </c>
      <c r="C1130">
        <v>1872</v>
      </c>
      <c r="D1130" t="str">
        <f t="shared" si="17"/>
        <v>Medium</v>
      </c>
      <c r="E1130">
        <v>5989</v>
      </c>
      <c r="F1130">
        <v>269.2</v>
      </c>
      <c r="G1130">
        <v>530.76</v>
      </c>
      <c r="H1130" s="4" t="s">
        <v>915</v>
      </c>
      <c r="I1130" t="s">
        <v>1336</v>
      </c>
      <c r="J1130" t="s">
        <v>2334</v>
      </c>
      <c r="K1130" t="s">
        <v>21</v>
      </c>
      <c r="L1130">
        <v>148.53</v>
      </c>
    </row>
    <row r="1131" spans="1:12" x14ac:dyDescent="0.3">
      <c r="A1131" t="s">
        <v>143</v>
      </c>
      <c r="B1131" t="s">
        <v>84</v>
      </c>
      <c r="C1131">
        <v>8834</v>
      </c>
      <c r="D1131" t="str">
        <f t="shared" si="17"/>
        <v>Full</v>
      </c>
      <c r="E1131">
        <v>24675</v>
      </c>
      <c r="F1131">
        <v>178.48</v>
      </c>
      <c r="G1131">
        <v>433.38</v>
      </c>
      <c r="H1131" s="4" t="s">
        <v>2335</v>
      </c>
      <c r="I1131" t="s">
        <v>1182</v>
      </c>
      <c r="J1131" t="s">
        <v>2336</v>
      </c>
      <c r="K1131" t="s">
        <v>21</v>
      </c>
      <c r="L1131">
        <v>95.75</v>
      </c>
    </row>
    <row r="1132" spans="1:12" x14ac:dyDescent="0.3">
      <c r="A1132" t="s">
        <v>22</v>
      </c>
      <c r="B1132" t="s">
        <v>32</v>
      </c>
      <c r="C1132">
        <v>9104</v>
      </c>
      <c r="D1132" t="str">
        <f t="shared" si="17"/>
        <v>Full</v>
      </c>
      <c r="E1132">
        <v>19999</v>
      </c>
      <c r="F1132">
        <v>154.93</v>
      </c>
      <c r="G1132">
        <v>372.83</v>
      </c>
      <c r="H1132" s="4" t="s">
        <v>506</v>
      </c>
      <c r="I1132" t="s">
        <v>1082</v>
      </c>
      <c r="J1132" t="s">
        <v>2337</v>
      </c>
      <c r="K1132" t="s">
        <v>40</v>
      </c>
      <c r="L1132">
        <v>108.9</v>
      </c>
    </row>
    <row r="1133" spans="1:12" x14ac:dyDescent="0.3">
      <c r="A1133" t="s">
        <v>123</v>
      </c>
      <c r="B1133" t="s">
        <v>12</v>
      </c>
      <c r="C1133">
        <v>3951</v>
      </c>
      <c r="D1133" t="str">
        <f t="shared" si="17"/>
        <v>Full</v>
      </c>
      <c r="E1133">
        <v>15107</v>
      </c>
      <c r="F1133">
        <v>158.13999999999999</v>
      </c>
      <c r="G1133">
        <v>308.01</v>
      </c>
      <c r="H1133" s="4" t="s">
        <v>1482</v>
      </c>
      <c r="I1133" t="s">
        <v>2338</v>
      </c>
      <c r="J1133" t="s">
        <v>2339</v>
      </c>
      <c r="K1133" t="s">
        <v>40</v>
      </c>
      <c r="L1133">
        <v>81.27</v>
      </c>
    </row>
    <row r="1134" spans="1:12" x14ac:dyDescent="0.3">
      <c r="A1134" t="s">
        <v>11</v>
      </c>
      <c r="B1134" t="s">
        <v>23</v>
      </c>
      <c r="C1134">
        <v>4986</v>
      </c>
      <c r="D1134" t="str">
        <f t="shared" si="17"/>
        <v>Full</v>
      </c>
      <c r="E1134">
        <v>16946</v>
      </c>
      <c r="F1134">
        <v>134.47999999999999</v>
      </c>
      <c r="G1134">
        <v>316.16000000000003</v>
      </c>
      <c r="H1134" s="4" t="s">
        <v>1445</v>
      </c>
      <c r="I1134" t="s">
        <v>2340</v>
      </c>
      <c r="J1134" t="s">
        <v>2341</v>
      </c>
      <c r="K1134" t="s">
        <v>27</v>
      </c>
      <c r="L1134">
        <v>103.52</v>
      </c>
    </row>
    <row r="1135" spans="1:12" x14ac:dyDescent="0.3">
      <c r="A1135" t="s">
        <v>147</v>
      </c>
      <c r="B1135" t="s">
        <v>84</v>
      </c>
      <c r="C1135">
        <v>2072</v>
      </c>
      <c r="D1135" t="str">
        <f t="shared" si="17"/>
        <v>Medium</v>
      </c>
      <c r="E1135">
        <v>7777</v>
      </c>
      <c r="F1135">
        <v>167.89</v>
      </c>
      <c r="G1135">
        <v>312.49</v>
      </c>
      <c r="H1135" s="4" t="s">
        <v>1782</v>
      </c>
      <c r="I1135" t="s">
        <v>1807</v>
      </c>
      <c r="J1135" t="s">
        <v>2342</v>
      </c>
      <c r="K1135" t="s">
        <v>27</v>
      </c>
      <c r="L1135">
        <v>131.62</v>
      </c>
    </row>
    <row r="1136" spans="1:12" x14ac:dyDescent="0.3">
      <c r="A1136" t="s">
        <v>66</v>
      </c>
      <c r="B1136" t="s">
        <v>32</v>
      </c>
      <c r="C1136">
        <v>3697</v>
      </c>
      <c r="D1136" t="str">
        <f t="shared" si="17"/>
        <v>Full</v>
      </c>
      <c r="E1136">
        <v>1218</v>
      </c>
      <c r="F1136">
        <v>149.07</v>
      </c>
      <c r="G1136">
        <v>338.26</v>
      </c>
      <c r="H1136" s="4" t="s">
        <v>915</v>
      </c>
      <c r="I1136" t="s">
        <v>2343</v>
      </c>
      <c r="J1136" t="s">
        <v>2344</v>
      </c>
      <c r="K1136" t="s">
        <v>16</v>
      </c>
      <c r="L1136">
        <v>85.06</v>
      </c>
    </row>
    <row r="1137" spans="1:12" x14ac:dyDescent="0.3">
      <c r="A1137" t="s">
        <v>143</v>
      </c>
      <c r="B1137" t="s">
        <v>32</v>
      </c>
      <c r="C1137">
        <v>2567</v>
      </c>
      <c r="D1137" t="str">
        <f t="shared" si="17"/>
        <v>Medium</v>
      </c>
      <c r="E1137">
        <v>15871</v>
      </c>
      <c r="F1137">
        <v>92.01</v>
      </c>
      <c r="G1137">
        <v>123.52</v>
      </c>
      <c r="H1137" s="4" t="s">
        <v>830</v>
      </c>
      <c r="I1137" t="s">
        <v>1614</v>
      </c>
      <c r="J1137" t="s">
        <v>2345</v>
      </c>
      <c r="K1137" t="s">
        <v>21</v>
      </c>
      <c r="L1137">
        <v>46.49</v>
      </c>
    </row>
    <row r="1138" spans="1:12" x14ac:dyDescent="0.3">
      <c r="A1138" t="s">
        <v>123</v>
      </c>
      <c r="B1138" t="s">
        <v>23</v>
      </c>
      <c r="C1138">
        <v>2408</v>
      </c>
      <c r="D1138" t="str">
        <f t="shared" si="17"/>
        <v>Medium</v>
      </c>
      <c r="E1138">
        <v>12590</v>
      </c>
      <c r="F1138">
        <v>242.07</v>
      </c>
      <c r="G1138">
        <v>524.70000000000005</v>
      </c>
      <c r="H1138" s="4" t="s">
        <v>972</v>
      </c>
      <c r="I1138" t="s">
        <v>1348</v>
      </c>
      <c r="J1138" t="s">
        <v>2346</v>
      </c>
      <c r="K1138" t="s">
        <v>98</v>
      </c>
      <c r="L1138">
        <v>145.93</v>
      </c>
    </row>
    <row r="1139" spans="1:12" x14ac:dyDescent="0.3">
      <c r="A1139" t="s">
        <v>147</v>
      </c>
      <c r="B1139" t="s">
        <v>36</v>
      </c>
      <c r="C1139">
        <v>8902</v>
      </c>
      <c r="D1139" t="str">
        <f t="shared" si="17"/>
        <v>Full</v>
      </c>
      <c r="E1139">
        <v>23022</v>
      </c>
      <c r="F1139">
        <v>234.23</v>
      </c>
      <c r="G1139">
        <v>496.3</v>
      </c>
      <c r="H1139" s="4" t="s">
        <v>688</v>
      </c>
      <c r="I1139" t="s">
        <v>2347</v>
      </c>
      <c r="J1139" t="s">
        <v>2348</v>
      </c>
      <c r="K1139" t="s">
        <v>27</v>
      </c>
      <c r="L1139">
        <v>181.05</v>
      </c>
    </row>
    <row r="1140" spans="1:12" x14ac:dyDescent="0.3">
      <c r="A1140" t="s">
        <v>119</v>
      </c>
      <c r="B1140" t="s">
        <v>23</v>
      </c>
      <c r="C1140">
        <v>3619</v>
      </c>
      <c r="D1140" t="str">
        <f t="shared" si="17"/>
        <v>Full</v>
      </c>
      <c r="E1140">
        <v>19290</v>
      </c>
      <c r="F1140">
        <v>200.03</v>
      </c>
      <c r="G1140">
        <v>468.24</v>
      </c>
      <c r="H1140" s="4" t="s">
        <v>827</v>
      </c>
      <c r="I1140" t="s">
        <v>68</v>
      </c>
      <c r="J1140" t="s">
        <v>2349</v>
      </c>
      <c r="K1140" t="s">
        <v>27</v>
      </c>
      <c r="L1140">
        <v>99.69</v>
      </c>
    </row>
    <row r="1141" spans="1:12" x14ac:dyDescent="0.3">
      <c r="A1141" t="s">
        <v>22</v>
      </c>
      <c r="B1141" t="s">
        <v>36</v>
      </c>
      <c r="C1141">
        <v>4107</v>
      </c>
      <c r="D1141" t="str">
        <f t="shared" si="17"/>
        <v>Full</v>
      </c>
      <c r="E1141">
        <v>23064</v>
      </c>
      <c r="F1141">
        <v>62.73</v>
      </c>
      <c r="G1141">
        <v>113.61</v>
      </c>
      <c r="H1141" s="4" t="s">
        <v>703</v>
      </c>
      <c r="I1141" t="s">
        <v>2147</v>
      </c>
      <c r="J1141" t="s">
        <v>2350</v>
      </c>
      <c r="K1141" t="s">
        <v>40</v>
      </c>
      <c r="L1141">
        <v>28.4</v>
      </c>
    </row>
    <row r="1142" spans="1:12" x14ac:dyDescent="0.3">
      <c r="A1142" t="s">
        <v>41</v>
      </c>
      <c r="B1142" t="s">
        <v>32</v>
      </c>
      <c r="C1142">
        <v>4009</v>
      </c>
      <c r="D1142" t="str">
        <f t="shared" si="17"/>
        <v>Full</v>
      </c>
      <c r="E1142">
        <v>1104</v>
      </c>
      <c r="F1142">
        <v>133.12</v>
      </c>
      <c r="G1142">
        <v>244.66</v>
      </c>
      <c r="H1142" s="4" t="s">
        <v>279</v>
      </c>
      <c r="I1142" t="s">
        <v>2351</v>
      </c>
      <c r="J1142" t="s">
        <v>2352</v>
      </c>
      <c r="K1142" t="s">
        <v>27</v>
      </c>
      <c r="L1142">
        <v>75.510000000000005</v>
      </c>
    </row>
    <row r="1143" spans="1:12" x14ac:dyDescent="0.3">
      <c r="A1143" t="s">
        <v>147</v>
      </c>
      <c r="B1143" t="s">
        <v>32</v>
      </c>
      <c r="C1143">
        <v>6730</v>
      </c>
      <c r="D1143" t="str">
        <f t="shared" si="17"/>
        <v>Full</v>
      </c>
      <c r="E1143">
        <v>21677</v>
      </c>
      <c r="F1143">
        <v>177.25</v>
      </c>
      <c r="G1143">
        <v>359.65</v>
      </c>
      <c r="H1143" s="4" t="s">
        <v>234</v>
      </c>
      <c r="I1143" t="s">
        <v>2353</v>
      </c>
      <c r="J1143" t="s">
        <v>2354</v>
      </c>
      <c r="K1143" t="s">
        <v>98</v>
      </c>
      <c r="L1143">
        <v>133.13999999999999</v>
      </c>
    </row>
    <row r="1144" spans="1:12" x14ac:dyDescent="0.3">
      <c r="A1144" t="s">
        <v>80</v>
      </c>
      <c r="B1144" t="s">
        <v>23</v>
      </c>
      <c r="C1144">
        <v>8447</v>
      </c>
      <c r="D1144" t="str">
        <f t="shared" si="17"/>
        <v>Full</v>
      </c>
      <c r="E1144">
        <v>17063</v>
      </c>
      <c r="F1144">
        <v>240.04</v>
      </c>
      <c r="G1144">
        <v>410.44</v>
      </c>
      <c r="H1144" s="4" t="s">
        <v>486</v>
      </c>
      <c r="I1144" t="s">
        <v>1643</v>
      </c>
      <c r="J1144" t="s">
        <v>2355</v>
      </c>
      <c r="K1144" t="s">
        <v>40</v>
      </c>
      <c r="L1144">
        <v>105.28</v>
      </c>
    </row>
    <row r="1145" spans="1:12" x14ac:dyDescent="0.3">
      <c r="A1145" t="s">
        <v>11</v>
      </c>
      <c r="B1145" t="s">
        <v>23</v>
      </c>
      <c r="C1145">
        <v>7374</v>
      </c>
      <c r="D1145" t="str">
        <f t="shared" si="17"/>
        <v>Full</v>
      </c>
      <c r="E1145">
        <v>15652</v>
      </c>
      <c r="F1145">
        <v>100.99</v>
      </c>
      <c r="G1145">
        <v>208.15</v>
      </c>
      <c r="H1145" s="4" t="s">
        <v>912</v>
      </c>
      <c r="I1145" t="s">
        <v>1085</v>
      </c>
      <c r="J1145" t="s">
        <v>2356</v>
      </c>
      <c r="K1145" t="s">
        <v>40</v>
      </c>
      <c r="L1145">
        <v>67.08</v>
      </c>
    </row>
    <row r="1146" spans="1:12" x14ac:dyDescent="0.3">
      <c r="A1146" t="s">
        <v>76</v>
      </c>
      <c r="B1146" t="s">
        <v>36</v>
      </c>
      <c r="C1146">
        <v>2598</v>
      </c>
      <c r="D1146" t="str">
        <f t="shared" si="17"/>
        <v>Medium</v>
      </c>
      <c r="E1146">
        <v>16851</v>
      </c>
      <c r="F1146">
        <v>252.84</v>
      </c>
      <c r="G1146">
        <v>587.4</v>
      </c>
      <c r="H1146" s="4" t="s">
        <v>2357</v>
      </c>
      <c r="I1146" t="s">
        <v>2358</v>
      </c>
      <c r="J1146" t="s">
        <v>2359</v>
      </c>
      <c r="K1146" t="s">
        <v>27</v>
      </c>
      <c r="L1146">
        <v>130.56</v>
      </c>
    </row>
    <row r="1147" spans="1:12" x14ac:dyDescent="0.3">
      <c r="A1147" t="s">
        <v>119</v>
      </c>
      <c r="B1147" t="s">
        <v>84</v>
      </c>
      <c r="C1147">
        <v>7201</v>
      </c>
      <c r="D1147" t="str">
        <f t="shared" si="17"/>
        <v>Full</v>
      </c>
      <c r="E1147">
        <v>2992</v>
      </c>
      <c r="F1147">
        <v>170.87</v>
      </c>
      <c r="G1147">
        <v>276.83</v>
      </c>
      <c r="H1147" s="4" t="s">
        <v>1270</v>
      </c>
      <c r="I1147" t="s">
        <v>1928</v>
      </c>
      <c r="J1147" t="s">
        <v>2360</v>
      </c>
      <c r="K1147" t="s">
        <v>21</v>
      </c>
      <c r="L1147">
        <v>123.64</v>
      </c>
    </row>
    <row r="1148" spans="1:12" x14ac:dyDescent="0.3">
      <c r="A1148" t="s">
        <v>200</v>
      </c>
      <c r="B1148" t="s">
        <v>36</v>
      </c>
      <c r="C1148">
        <v>4771</v>
      </c>
      <c r="D1148" t="str">
        <f t="shared" si="17"/>
        <v>Full</v>
      </c>
      <c r="E1148">
        <v>2790</v>
      </c>
      <c r="F1148">
        <v>84.15</v>
      </c>
      <c r="G1148">
        <v>180.64</v>
      </c>
      <c r="H1148" s="4" t="s">
        <v>389</v>
      </c>
      <c r="I1148" t="s">
        <v>2361</v>
      </c>
      <c r="J1148" t="s">
        <v>2362</v>
      </c>
      <c r="K1148" t="s">
        <v>40</v>
      </c>
      <c r="L1148">
        <v>48.73</v>
      </c>
    </row>
    <row r="1149" spans="1:12" x14ac:dyDescent="0.3">
      <c r="A1149" t="s">
        <v>80</v>
      </c>
      <c r="B1149" t="s">
        <v>32</v>
      </c>
      <c r="C1149">
        <v>3228</v>
      </c>
      <c r="D1149" t="str">
        <f t="shared" si="17"/>
        <v>Full</v>
      </c>
      <c r="E1149">
        <v>18564</v>
      </c>
      <c r="F1149">
        <v>65.83</v>
      </c>
      <c r="G1149">
        <v>132.51</v>
      </c>
      <c r="H1149" s="4" t="s">
        <v>1110</v>
      </c>
      <c r="I1149" t="s">
        <v>2363</v>
      </c>
      <c r="J1149" t="s">
        <v>2364</v>
      </c>
      <c r="K1149" t="s">
        <v>98</v>
      </c>
      <c r="L1149">
        <v>42.26</v>
      </c>
    </row>
    <row r="1150" spans="1:12" x14ac:dyDescent="0.3">
      <c r="A1150" t="s">
        <v>17</v>
      </c>
      <c r="B1150" t="s">
        <v>12</v>
      </c>
      <c r="C1150">
        <v>6712</v>
      </c>
      <c r="D1150" t="str">
        <f t="shared" si="17"/>
        <v>Full</v>
      </c>
      <c r="E1150">
        <v>3957</v>
      </c>
      <c r="F1150">
        <v>235.23</v>
      </c>
      <c r="G1150">
        <v>384.2</v>
      </c>
      <c r="H1150" s="4" t="s">
        <v>2110</v>
      </c>
      <c r="I1150" t="s">
        <v>981</v>
      </c>
      <c r="J1150" t="s">
        <v>2365</v>
      </c>
      <c r="K1150" t="s">
        <v>27</v>
      </c>
      <c r="L1150">
        <v>142.88999999999999</v>
      </c>
    </row>
    <row r="1151" spans="1:12" x14ac:dyDescent="0.3">
      <c r="A1151" t="s">
        <v>76</v>
      </c>
      <c r="B1151" t="s">
        <v>32</v>
      </c>
      <c r="C1151">
        <v>3751</v>
      </c>
      <c r="D1151" t="str">
        <f t="shared" si="17"/>
        <v>Full</v>
      </c>
      <c r="E1151">
        <v>6144</v>
      </c>
      <c r="F1151">
        <v>252.25</v>
      </c>
      <c r="G1151">
        <v>432.4</v>
      </c>
      <c r="H1151" s="4" t="s">
        <v>1181</v>
      </c>
      <c r="I1151" t="s">
        <v>796</v>
      </c>
      <c r="J1151" t="s">
        <v>2366</v>
      </c>
      <c r="K1151" t="s">
        <v>40</v>
      </c>
      <c r="L1151">
        <v>134.35</v>
      </c>
    </row>
    <row r="1152" spans="1:12" x14ac:dyDescent="0.3">
      <c r="A1152" t="s">
        <v>88</v>
      </c>
      <c r="B1152" t="s">
        <v>32</v>
      </c>
      <c r="C1152">
        <v>4574</v>
      </c>
      <c r="D1152" t="str">
        <f t="shared" si="17"/>
        <v>Full</v>
      </c>
      <c r="E1152">
        <v>1446</v>
      </c>
      <c r="F1152">
        <v>15.64</v>
      </c>
      <c r="G1152">
        <v>19.18</v>
      </c>
      <c r="H1152" s="4" t="s">
        <v>676</v>
      </c>
      <c r="I1152" t="s">
        <v>1077</v>
      </c>
      <c r="J1152" t="s">
        <v>2367</v>
      </c>
      <c r="K1152" t="s">
        <v>21</v>
      </c>
      <c r="L1152">
        <v>11.21</v>
      </c>
    </row>
    <row r="1153" spans="1:12" x14ac:dyDescent="0.3">
      <c r="A1153" t="s">
        <v>127</v>
      </c>
      <c r="B1153" t="s">
        <v>84</v>
      </c>
      <c r="C1153">
        <v>5138</v>
      </c>
      <c r="D1153" t="str">
        <f t="shared" si="17"/>
        <v>Full</v>
      </c>
      <c r="E1153">
        <v>10878</v>
      </c>
      <c r="F1153">
        <v>12.15</v>
      </c>
      <c r="G1153">
        <v>24.56</v>
      </c>
      <c r="H1153" s="4" t="s">
        <v>1306</v>
      </c>
      <c r="I1153" t="s">
        <v>682</v>
      </c>
      <c r="J1153" t="s">
        <v>2368</v>
      </c>
      <c r="K1153" t="s">
        <v>27</v>
      </c>
      <c r="L1153">
        <v>8.81</v>
      </c>
    </row>
    <row r="1154" spans="1:12" x14ac:dyDescent="0.3">
      <c r="A1154" t="s">
        <v>299</v>
      </c>
      <c r="B1154" t="s">
        <v>36</v>
      </c>
      <c r="C1154">
        <v>2649</v>
      </c>
      <c r="D1154" t="str">
        <f t="shared" si="17"/>
        <v>Medium</v>
      </c>
      <c r="E1154">
        <v>9847</v>
      </c>
      <c r="F1154">
        <v>259.29000000000002</v>
      </c>
      <c r="G1154">
        <v>336.94</v>
      </c>
      <c r="H1154" s="4" t="s">
        <v>1034</v>
      </c>
      <c r="I1154" t="s">
        <v>959</v>
      </c>
      <c r="J1154" t="s">
        <v>2369</v>
      </c>
      <c r="K1154" t="s">
        <v>27</v>
      </c>
      <c r="L1154">
        <v>105.24</v>
      </c>
    </row>
    <row r="1155" spans="1:12" x14ac:dyDescent="0.3">
      <c r="A1155" t="s">
        <v>66</v>
      </c>
      <c r="B1155" t="s">
        <v>32</v>
      </c>
      <c r="C1155">
        <v>2987</v>
      </c>
      <c r="D1155" t="str">
        <f t="shared" ref="D1155:D1201" si="18">IF(C1155&lt;1000,"Low",IF(C1155&lt;=3000,"Medium","Full"))</f>
        <v>Medium</v>
      </c>
      <c r="E1155">
        <v>4131</v>
      </c>
      <c r="F1155">
        <v>222.08</v>
      </c>
      <c r="G1155">
        <v>495.33</v>
      </c>
      <c r="H1155" s="4" t="s">
        <v>1055</v>
      </c>
      <c r="I1155" t="s">
        <v>462</v>
      </c>
      <c r="J1155" t="s">
        <v>2370</v>
      </c>
      <c r="K1155" t="s">
        <v>40</v>
      </c>
      <c r="L1155">
        <v>126.6</v>
      </c>
    </row>
    <row r="1156" spans="1:12" x14ac:dyDescent="0.3">
      <c r="A1156" t="s">
        <v>17</v>
      </c>
      <c r="B1156" t="s">
        <v>23</v>
      </c>
      <c r="C1156">
        <v>4990</v>
      </c>
      <c r="D1156" t="str">
        <f t="shared" si="18"/>
        <v>Full</v>
      </c>
      <c r="E1156">
        <v>16037</v>
      </c>
      <c r="F1156">
        <v>64.790000000000006</v>
      </c>
      <c r="G1156">
        <v>100.01</v>
      </c>
      <c r="H1156" s="4" t="s">
        <v>419</v>
      </c>
      <c r="I1156" t="s">
        <v>2371</v>
      </c>
      <c r="J1156" t="s">
        <v>2372</v>
      </c>
      <c r="K1156" t="s">
        <v>21</v>
      </c>
      <c r="L1156">
        <v>33.46</v>
      </c>
    </row>
    <row r="1157" spans="1:12" x14ac:dyDescent="0.3">
      <c r="A1157" t="s">
        <v>41</v>
      </c>
      <c r="B1157" t="s">
        <v>84</v>
      </c>
      <c r="C1157">
        <v>7157</v>
      </c>
      <c r="D1157" t="str">
        <f t="shared" si="18"/>
        <v>Full</v>
      </c>
      <c r="E1157">
        <v>19382</v>
      </c>
      <c r="F1157">
        <v>87.17</v>
      </c>
      <c r="G1157">
        <v>136.84</v>
      </c>
      <c r="H1157" s="4" t="s">
        <v>237</v>
      </c>
      <c r="I1157" t="s">
        <v>2373</v>
      </c>
      <c r="J1157" t="s">
        <v>2374</v>
      </c>
      <c r="K1157" t="s">
        <v>21</v>
      </c>
      <c r="L1157">
        <v>35.47</v>
      </c>
    </row>
    <row r="1158" spans="1:12" x14ac:dyDescent="0.3">
      <c r="A1158" t="s">
        <v>49</v>
      </c>
      <c r="B1158" t="s">
        <v>36</v>
      </c>
      <c r="C1158">
        <v>6606</v>
      </c>
      <c r="D1158" t="str">
        <f t="shared" si="18"/>
        <v>Full</v>
      </c>
      <c r="E1158">
        <v>18910</v>
      </c>
      <c r="F1158">
        <v>215.8</v>
      </c>
      <c r="G1158">
        <v>385.84</v>
      </c>
      <c r="H1158" s="4" t="s">
        <v>1418</v>
      </c>
      <c r="I1158" t="s">
        <v>2375</v>
      </c>
      <c r="J1158" t="s">
        <v>2376</v>
      </c>
      <c r="K1158" t="s">
        <v>98</v>
      </c>
      <c r="L1158">
        <v>124.91</v>
      </c>
    </row>
    <row r="1159" spans="1:12" x14ac:dyDescent="0.3">
      <c r="A1159" t="s">
        <v>49</v>
      </c>
      <c r="B1159" t="s">
        <v>32</v>
      </c>
      <c r="C1159">
        <v>2285</v>
      </c>
      <c r="D1159" t="str">
        <f t="shared" si="18"/>
        <v>Medium</v>
      </c>
      <c r="E1159">
        <v>22063</v>
      </c>
      <c r="F1159">
        <v>96.63</v>
      </c>
      <c r="G1159">
        <v>134.02000000000001</v>
      </c>
      <c r="H1159" s="4" t="s">
        <v>867</v>
      </c>
      <c r="I1159" t="s">
        <v>1013</v>
      </c>
      <c r="J1159" t="s">
        <v>2377</v>
      </c>
      <c r="K1159" t="s">
        <v>16</v>
      </c>
      <c r="L1159">
        <v>45.19</v>
      </c>
    </row>
    <row r="1160" spans="1:12" x14ac:dyDescent="0.3">
      <c r="A1160" t="s">
        <v>49</v>
      </c>
      <c r="B1160" t="s">
        <v>32</v>
      </c>
      <c r="C1160">
        <v>4595</v>
      </c>
      <c r="D1160" t="str">
        <f t="shared" si="18"/>
        <v>Full</v>
      </c>
      <c r="E1160">
        <v>3748</v>
      </c>
      <c r="F1160">
        <v>46.69</v>
      </c>
      <c r="G1160">
        <v>93.45</v>
      </c>
      <c r="H1160" s="4" t="s">
        <v>2378</v>
      </c>
      <c r="I1160" t="s">
        <v>29</v>
      </c>
      <c r="J1160" t="s">
        <v>2379</v>
      </c>
      <c r="K1160" t="s">
        <v>98</v>
      </c>
      <c r="L1160">
        <v>19.78</v>
      </c>
    </row>
    <row r="1161" spans="1:12" x14ac:dyDescent="0.3">
      <c r="A1161" t="s">
        <v>49</v>
      </c>
      <c r="B1161" t="s">
        <v>23</v>
      </c>
      <c r="C1161">
        <v>7247</v>
      </c>
      <c r="D1161" t="str">
        <f t="shared" si="18"/>
        <v>Full</v>
      </c>
      <c r="E1161">
        <v>11205</v>
      </c>
      <c r="F1161">
        <v>223.45</v>
      </c>
      <c r="G1161">
        <v>510.5</v>
      </c>
      <c r="H1161" s="4" t="s">
        <v>1380</v>
      </c>
      <c r="I1161" t="s">
        <v>2380</v>
      </c>
      <c r="J1161" t="s">
        <v>2381</v>
      </c>
      <c r="K1161" t="s">
        <v>16</v>
      </c>
      <c r="L1161">
        <v>125.72</v>
      </c>
    </row>
    <row r="1162" spans="1:12" x14ac:dyDescent="0.3">
      <c r="A1162" t="s">
        <v>17</v>
      </c>
      <c r="B1162" t="s">
        <v>23</v>
      </c>
      <c r="C1162">
        <v>3927</v>
      </c>
      <c r="D1162" t="str">
        <f t="shared" si="18"/>
        <v>Full</v>
      </c>
      <c r="E1162">
        <v>19429</v>
      </c>
      <c r="F1162">
        <v>239.44</v>
      </c>
      <c r="G1162">
        <v>457.15</v>
      </c>
      <c r="H1162" s="4" t="s">
        <v>374</v>
      </c>
      <c r="I1162" t="s">
        <v>2382</v>
      </c>
      <c r="J1162" t="s">
        <v>2383</v>
      </c>
      <c r="K1162" t="s">
        <v>40</v>
      </c>
      <c r="L1162">
        <v>139.96</v>
      </c>
    </row>
    <row r="1163" spans="1:12" x14ac:dyDescent="0.3">
      <c r="A1163" t="s">
        <v>49</v>
      </c>
      <c r="B1163" t="s">
        <v>32</v>
      </c>
      <c r="C1163">
        <v>9589</v>
      </c>
      <c r="D1163" t="str">
        <f t="shared" si="18"/>
        <v>Full</v>
      </c>
      <c r="E1163">
        <v>3668</v>
      </c>
      <c r="F1163">
        <v>276.76</v>
      </c>
      <c r="G1163">
        <v>485.27</v>
      </c>
      <c r="H1163" s="4" t="s">
        <v>791</v>
      </c>
      <c r="I1163" t="s">
        <v>2384</v>
      </c>
      <c r="J1163" t="s">
        <v>2385</v>
      </c>
      <c r="K1163" t="s">
        <v>27</v>
      </c>
      <c r="L1163">
        <v>128.65</v>
      </c>
    </row>
    <row r="1164" spans="1:12" x14ac:dyDescent="0.3">
      <c r="A1164" t="s">
        <v>11</v>
      </c>
      <c r="B1164" t="s">
        <v>84</v>
      </c>
      <c r="C1164">
        <v>3733</v>
      </c>
      <c r="D1164" t="str">
        <f t="shared" si="18"/>
        <v>Full</v>
      </c>
      <c r="E1164">
        <v>15339</v>
      </c>
      <c r="F1164">
        <v>261.58</v>
      </c>
      <c r="G1164">
        <v>352.55</v>
      </c>
      <c r="H1164" s="4" t="s">
        <v>1616</v>
      </c>
      <c r="I1164" t="s">
        <v>1190</v>
      </c>
      <c r="J1164" t="s">
        <v>2386</v>
      </c>
      <c r="K1164" t="s">
        <v>16</v>
      </c>
      <c r="L1164">
        <v>155.61000000000001</v>
      </c>
    </row>
    <row r="1165" spans="1:12" x14ac:dyDescent="0.3">
      <c r="A1165" t="s">
        <v>66</v>
      </c>
      <c r="B1165" t="s">
        <v>36</v>
      </c>
      <c r="C1165">
        <v>7043</v>
      </c>
      <c r="D1165" t="str">
        <f t="shared" si="18"/>
        <v>Full</v>
      </c>
      <c r="E1165">
        <v>1303</v>
      </c>
      <c r="F1165">
        <v>92.54</v>
      </c>
      <c r="G1165">
        <v>163.44</v>
      </c>
      <c r="H1165" s="4" t="s">
        <v>2387</v>
      </c>
      <c r="I1165" t="s">
        <v>1009</v>
      </c>
      <c r="J1165" t="s">
        <v>2388</v>
      </c>
      <c r="K1165" t="s">
        <v>16</v>
      </c>
      <c r="L1165">
        <v>48.95</v>
      </c>
    </row>
    <row r="1166" spans="1:12" x14ac:dyDescent="0.3">
      <c r="A1166" t="s">
        <v>76</v>
      </c>
      <c r="B1166" t="s">
        <v>32</v>
      </c>
      <c r="C1166">
        <v>3218</v>
      </c>
      <c r="D1166" t="str">
        <f t="shared" si="18"/>
        <v>Full</v>
      </c>
      <c r="E1166">
        <v>5637</v>
      </c>
      <c r="F1166">
        <v>90.61</v>
      </c>
      <c r="G1166">
        <v>189.42</v>
      </c>
      <c r="H1166" s="4" t="s">
        <v>1110</v>
      </c>
      <c r="I1166" t="s">
        <v>2139</v>
      </c>
      <c r="J1166" t="s">
        <v>2389</v>
      </c>
      <c r="K1166" t="s">
        <v>16</v>
      </c>
      <c r="L1166">
        <v>45.35</v>
      </c>
    </row>
    <row r="1167" spans="1:12" x14ac:dyDescent="0.3">
      <c r="A1167" t="s">
        <v>143</v>
      </c>
      <c r="B1167" t="s">
        <v>84</v>
      </c>
      <c r="C1167">
        <v>5909</v>
      </c>
      <c r="D1167" t="str">
        <f t="shared" si="18"/>
        <v>Full</v>
      </c>
      <c r="E1167">
        <v>24597</v>
      </c>
      <c r="F1167">
        <v>298.88</v>
      </c>
      <c r="G1167">
        <v>719.16</v>
      </c>
      <c r="H1167" s="4" t="s">
        <v>1029</v>
      </c>
      <c r="I1167" t="s">
        <v>189</v>
      </c>
      <c r="J1167" t="s">
        <v>2390</v>
      </c>
      <c r="K1167" t="s">
        <v>27</v>
      </c>
      <c r="L1167">
        <v>157.53</v>
      </c>
    </row>
    <row r="1168" spans="1:12" x14ac:dyDescent="0.3">
      <c r="A1168" t="s">
        <v>56</v>
      </c>
      <c r="B1168" t="s">
        <v>84</v>
      </c>
      <c r="C1168">
        <v>8208</v>
      </c>
      <c r="D1168" t="str">
        <f t="shared" si="18"/>
        <v>Full</v>
      </c>
      <c r="E1168">
        <v>3197</v>
      </c>
      <c r="F1168">
        <v>298.02999999999997</v>
      </c>
      <c r="G1168">
        <v>359.81</v>
      </c>
      <c r="H1168" s="4" t="s">
        <v>429</v>
      </c>
      <c r="I1168" t="s">
        <v>2391</v>
      </c>
      <c r="J1168" t="s">
        <v>2392</v>
      </c>
      <c r="K1168" t="s">
        <v>16</v>
      </c>
      <c r="L1168">
        <v>173.88</v>
      </c>
    </row>
    <row r="1169" spans="1:12" x14ac:dyDescent="0.3">
      <c r="A1169" t="s">
        <v>11</v>
      </c>
      <c r="B1169" t="s">
        <v>12</v>
      </c>
      <c r="C1169">
        <v>8179</v>
      </c>
      <c r="D1169" t="str">
        <f t="shared" si="18"/>
        <v>Full</v>
      </c>
      <c r="E1169">
        <v>20479</v>
      </c>
      <c r="F1169">
        <v>51.15</v>
      </c>
      <c r="G1169">
        <v>84.68</v>
      </c>
      <c r="H1169" s="4" t="s">
        <v>1127</v>
      </c>
      <c r="I1169" t="s">
        <v>1151</v>
      </c>
      <c r="J1169" t="s">
        <v>2393</v>
      </c>
      <c r="K1169" t="s">
        <v>27</v>
      </c>
      <c r="L1169">
        <v>39.44</v>
      </c>
    </row>
    <row r="1170" spans="1:12" x14ac:dyDescent="0.3">
      <c r="A1170" t="s">
        <v>147</v>
      </c>
      <c r="B1170" t="s">
        <v>23</v>
      </c>
      <c r="C1170">
        <v>7482</v>
      </c>
      <c r="D1170" t="str">
        <f t="shared" si="18"/>
        <v>Full</v>
      </c>
      <c r="E1170">
        <v>20151</v>
      </c>
      <c r="F1170">
        <v>220.15</v>
      </c>
      <c r="G1170">
        <v>369.29</v>
      </c>
      <c r="H1170" s="4" t="s">
        <v>2394</v>
      </c>
      <c r="I1170" t="s">
        <v>1030</v>
      </c>
      <c r="J1170" t="s">
        <v>2395</v>
      </c>
      <c r="K1170" t="s">
        <v>16</v>
      </c>
      <c r="L1170">
        <v>144.56</v>
      </c>
    </row>
    <row r="1171" spans="1:12" x14ac:dyDescent="0.3">
      <c r="A1171" t="s">
        <v>88</v>
      </c>
      <c r="B1171" t="s">
        <v>12</v>
      </c>
      <c r="C1171">
        <v>2997</v>
      </c>
      <c r="D1171" t="str">
        <f t="shared" si="18"/>
        <v>Medium</v>
      </c>
      <c r="E1171">
        <v>4374</v>
      </c>
      <c r="F1171">
        <v>220.54</v>
      </c>
      <c r="G1171">
        <v>344.92</v>
      </c>
      <c r="H1171" s="4" t="s">
        <v>1166</v>
      </c>
      <c r="I1171" t="s">
        <v>776</v>
      </c>
      <c r="J1171" t="s">
        <v>2396</v>
      </c>
      <c r="K1171" t="s">
        <v>98</v>
      </c>
      <c r="L1171">
        <v>158.51</v>
      </c>
    </row>
    <row r="1172" spans="1:12" x14ac:dyDescent="0.3">
      <c r="A1172" t="s">
        <v>22</v>
      </c>
      <c r="B1172" t="s">
        <v>36</v>
      </c>
      <c r="C1172">
        <v>5909</v>
      </c>
      <c r="D1172" t="str">
        <f t="shared" si="18"/>
        <v>Full</v>
      </c>
      <c r="E1172">
        <v>19863</v>
      </c>
      <c r="F1172">
        <v>232.73</v>
      </c>
      <c r="G1172">
        <v>458.44</v>
      </c>
      <c r="H1172" s="4" t="s">
        <v>355</v>
      </c>
      <c r="I1172" t="s">
        <v>2397</v>
      </c>
      <c r="J1172" t="s">
        <v>2398</v>
      </c>
      <c r="K1172" t="s">
        <v>21</v>
      </c>
      <c r="L1172">
        <v>112.58</v>
      </c>
    </row>
    <row r="1173" spans="1:12" x14ac:dyDescent="0.3">
      <c r="A1173" t="s">
        <v>17</v>
      </c>
      <c r="B1173" t="s">
        <v>84</v>
      </c>
      <c r="C1173">
        <v>4046</v>
      </c>
      <c r="D1173" t="str">
        <f t="shared" si="18"/>
        <v>Full</v>
      </c>
      <c r="E1173">
        <v>3992</v>
      </c>
      <c r="F1173">
        <v>279.22000000000003</v>
      </c>
      <c r="G1173">
        <v>558.27</v>
      </c>
      <c r="H1173" s="4" t="s">
        <v>2399</v>
      </c>
      <c r="I1173" t="s">
        <v>164</v>
      </c>
      <c r="J1173" t="s">
        <v>2400</v>
      </c>
      <c r="K1173" t="s">
        <v>27</v>
      </c>
      <c r="L1173">
        <v>147.80000000000001</v>
      </c>
    </row>
    <row r="1174" spans="1:12" x14ac:dyDescent="0.3">
      <c r="A1174" t="s">
        <v>127</v>
      </c>
      <c r="B1174" t="s">
        <v>84</v>
      </c>
      <c r="C1174">
        <v>8883</v>
      </c>
      <c r="D1174" t="str">
        <f t="shared" si="18"/>
        <v>Full</v>
      </c>
      <c r="E1174">
        <v>15407</v>
      </c>
      <c r="F1174">
        <v>130.49</v>
      </c>
      <c r="G1174">
        <v>236.6</v>
      </c>
      <c r="H1174" s="4" t="s">
        <v>957</v>
      </c>
      <c r="I1174" t="s">
        <v>586</v>
      </c>
      <c r="J1174" t="s">
        <v>2401</v>
      </c>
      <c r="K1174" t="s">
        <v>98</v>
      </c>
      <c r="L1174">
        <v>81.430000000000007</v>
      </c>
    </row>
    <row r="1175" spans="1:12" x14ac:dyDescent="0.3">
      <c r="A1175" t="s">
        <v>299</v>
      </c>
      <c r="B1175" t="s">
        <v>36</v>
      </c>
      <c r="C1175">
        <v>8273</v>
      </c>
      <c r="D1175" t="str">
        <f t="shared" si="18"/>
        <v>Full</v>
      </c>
      <c r="E1175">
        <v>12632</v>
      </c>
      <c r="F1175">
        <v>96.97</v>
      </c>
      <c r="G1175">
        <v>182.17</v>
      </c>
      <c r="H1175" s="4" t="s">
        <v>2172</v>
      </c>
      <c r="I1175" t="s">
        <v>1663</v>
      </c>
      <c r="J1175" t="s">
        <v>2402</v>
      </c>
      <c r="K1175" t="s">
        <v>98</v>
      </c>
      <c r="L1175">
        <v>75.84</v>
      </c>
    </row>
    <row r="1176" spans="1:12" x14ac:dyDescent="0.3">
      <c r="A1176" t="s">
        <v>147</v>
      </c>
      <c r="B1176" t="s">
        <v>84</v>
      </c>
      <c r="C1176">
        <v>7663</v>
      </c>
      <c r="D1176" t="str">
        <f t="shared" si="18"/>
        <v>Full</v>
      </c>
      <c r="E1176">
        <v>19366</v>
      </c>
      <c r="F1176">
        <v>135.29</v>
      </c>
      <c r="G1176">
        <v>284.60000000000002</v>
      </c>
      <c r="H1176" s="4" t="s">
        <v>2403</v>
      </c>
      <c r="I1176" t="s">
        <v>1394</v>
      </c>
      <c r="J1176" t="s">
        <v>2404</v>
      </c>
      <c r="K1176" t="s">
        <v>16</v>
      </c>
      <c r="L1176">
        <v>102.81</v>
      </c>
    </row>
    <row r="1177" spans="1:12" x14ac:dyDescent="0.3">
      <c r="A1177" t="s">
        <v>76</v>
      </c>
      <c r="B1177" t="s">
        <v>84</v>
      </c>
      <c r="C1177">
        <v>914</v>
      </c>
      <c r="D1177" t="str">
        <f t="shared" si="18"/>
        <v>Low</v>
      </c>
      <c r="E1177">
        <v>12982</v>
      </c>
      <c r="F1177">
        <v>257.33</v>
      </c>
      <c r="G1177">
        <v>566.63</v>
      </c>
      <c r="H1177" s="4" t="s">
        <v>632</v>
      </c>
      <c r="I1177" t="s">
        <v>353</v>
      </c>
      <c r="J1177" t="s">
        <v>2405</v>
      </c>
      <c r="K1177" t="s">
        <v>16</v>
      </c>
      <c r="L1177">
        <v>160.55000000000001</v>
      </c>
    </row>
    <row r="1178" spans="1:12" x14ac:dyDescent="0.3">
      <c r="A1178" t="s">
        <v>88</v>
      </c>
      <c r="B1178" t="s">
        <v>36</v>
      </c>
      <c r="C1178">
        <v>6630</v>
      </c>
      <c r="D1178" t="str">
        <f t="shared" si="18"/>
        <v>Full</v>
      </c>
      <c r="E1178">
        <v>6865</v>
      </c>
      <c r="F1178">
        <v>280.29000000000002</v>
      </c>
      <c r="G1178">
        <v>699.06</v>
      </c>
      <c r="H1178" s="4" t="s">
        <v>1406</v>
      </c>
      <c r="I1178" t="s">
        <v>1671</v>
      </c>
      <c r="J1178" t="s">
        <v>2406</v>
      </c>
      <c r="K1178" t="s">
        <v>16</v>
      </c>
      <c r="L1178">
        <v>133.97</v>
      </c>
    </row>
    <row r="1179" spans="1:12" x14ac:dyDescent="0.3">
      <c r="A1179" t="s">
        <v>22</v>
      </c>
      <c r="B1179" t="s">
        <v>23</v>
      </c>
      <c r="C1179">
        <v>5881</v>
      </c>
      <c r="D1179" t="str">
        <f t="shared" si="18"/>
        <v>Full</v>
      </c>
      <c r="E1179">
        <v>4083</v>
      </c>
      <c r="F1179">
        <v>273.76</v>
      </c>
      <c r="G1179">
        <v>654.44000000000005</v>
      </c>
      <c r="H1179" s="4" t="s">
        <v>1081</v>
      </c>
      <c r="I1179" t="s">
        <v>1238</v>
      </c>
      <c r="J1179" t="s">
        <v>2407</v>
      </c>
      <c r="K1179" t="s">
        <v>40</v>
      </c>
      <c r="L1179">
        <v>113.18</v>
      </c>
    </row>
    <row r="1180" spans="1:12" x14ac:dyDescent="0.3">
      <c r="A1180" t="s">
        <v>147</v>
      </c>
      <c r="B1180" t="s">
        <v>36</v>
      </c>
      <c r="C1180">
        <v>7025</v>
      </c>
      <c r="D1180" t="str">
        <f t="shared" si="18"/>
        <v>Full</v>
      </c>
      <c r="E1180">
        <v>2439</v>
      </c>
      <c r="F1180">
        <v>298.74</v>
      </c>
      <c r="G1180">
        <v>632</v>
      </c>
      <c r="H1180" s="4" t="s">
        <v>577</v>
      </c>
      <c r="I1180" t="s">
        <v>536</v>
      </c>
      <c r="J1180" t="s">
        <v>2408</v>
      </c>
      <c r="K1180" t="s">
        <v>16</v>
      </c>
      <c r="L1180">
        <v>217.88</v>
      </c>
    </row>
    <row r="1181" spans="1:12" x14ac:dyDescent="0.3">
      <c r="A1181" t="s">
        <v>49</v>
      </c>
      <c r="B1181" t="s">
        <v>32</v>
      </c>
      <c r="C1181">
        <v>7946</v>
      </c>
      <c r="D1181" t="str">
        <f t="shared" si="18"/>
        <v>Full</v>
      </c>
      <c r="E1181">
        <v>17066</v>
      </c>
      <c r="F1181">
        <v>56.26</v>
      </c>
      <c r="G1181">
        <v>122.36</v>
      </c>
      <c r="H1181" s="4" t="s">
        <v>1085</v>
      </c>
      <c r="I1181" t="s">
        <v>2409</v>
      </c>
      <c r="J1181" t="s">
        <v>2410</v>
      </c>
      <c r="K1181" t="s">
        <v>27</v>
      </c>
      <c r="L1181">
        <v>30.82</v>
      </c>
    </row>
    <row r="1182" spans="1:12" x14ac:dyDescent="0.3">
      <c r="A1182" t="s">
        <v>176</v>
      </c>
      <c r="B1182" t="s">
        <v>84</v>
      </c>
      <c r="C1182">
        <v>3398</v>
      </c>
      <c r="D1182" t="str">
        <f t="shared" si="18"/>
        <v>Full</v>
      </c>
      <c r="E1182">
        <v>5313</v>
      </c>
      <c r="F1182">
        <v>29.43</v>
      </c>
      <c r="G1182">
        <v>67.23</v>
      </c>
      <c r="H1182" s="4" t="s">
        <v>830</v>
      </c>
      <c r="I1182" t="s">
        <v>2411</v>
      </c>
      <c r="J1182" t="s">
        <v>2412</v>
      </c>
      <c r="K1182" t="s">
        <v>27</v>
      </c>
      <c r="L1182">
        <v>15.47</v>
      </c>
    </row>
    <row r="1183" spans="1:12" x14ac:dyDescent="0.3">
      <c r="A1183" t="s">
        <v>66</v>
      </c>
      <c r="B1183" t="s">
        <v>23</v>
      </c>
      <c r="C1183">
        <v>3681</v>
      </c>
      <c r="D1183" t="str">
        <f t="shared" si="18"/>
        <v>Full</v>
      </c>
      <c r="E1183">
        <v>22466</v>
      </c>
      <c r="F1183">
        <v>186.13</v>
      </c>
      <c r="G1183">
        <v>227.39</v>
      </c>
      <c r="H1183" s="4" t="s">
        <v>1449</v>
      </c>
      <c r="I1183" t="s">
        <v>2413</v>
      </c>
      <c r="J1183" t="s">
        <v>2414</v>
      </c>
      <c r="K1183" t="s">
        <v>16</v>
      </c>
      <c r="L1183">
        <v>128.22</v>
      </c>
    </row>
    <row r="1184" spans="1:12" x14ac:dyDescent="0.3">
      <c r="A1184" t="s">
        <v>76</v>
      </c>
      <c r="B1184" t="s">
        <v>32</v>
      </c>
      <c r="C1184">
        <v>732</v>
      </c>
      <c r="D1184" t="str">
        <f t="shared" si="18"/>
        <v>Low</v>
      </c>
      <c r="E1184">
        <v>22774</v>
      </c>
      <c r="F1184">
        <v>123.94</v>
      </c>
      <c r="G1184">
        <v>283.7</v>
      </c>
      <c r="H1184" s="4" t="s">
        <v>601</v>
      </c>
      <c r="I1184" t="s">
        <v>1017</v>
      </c>
      <c r="J1184" t="s">
        <v>2415</v>
      </c>
      <c r="K1184" t="s">
        <v>98</v>
      </c>
      <c r="L1184">
        <v>90.48</v>
      </c>
    </row>
    <row r="1185" spans="1:12" x14ac:dyDescent="0.3">
      <c r="A1185" t="s">
        <v>119</v>
      </c>
      <c r="B1185" t="s">
        <v>84</v>
      </c>
      <c r="C1185">
        <v>4868</v>
      </c>
      <c r="D1185" t="str">
        <f t="shared" si="18"/>
        <v>Full</v>
      </c>
      <c r="E1185">
        <v>3751</v>
      </c>
      <c r="F1185">
        <v>55.91</v>
      </c>
      <c r="G1185">
        <v>70.33</v>
      </c>
      <c r="H1185" s="4" t="s">
        <v>63</v>
      </c>
      <c r="I1185" t="s">
        <v>64</v>
      </c>
      <c r="J1185" t="s">
        <v>2416</v>
      </c>
      <c r="K1185" t="s">
        <v>21</v>
      </c>
      <c r="L1185">
        <v>26.23</v>
      </c>
    </row>
    <row r="1186" spans="1:12" x14ac:dyDescent="0.3">
      <c r="A1186" t="s">
        <v>17</v>
      </c>
      <c r="B1186" t="s">
        <v>23</v>
      </c>
      <c r="C1186">
        <v>4985</v>
      </c>
      <c r="D1186" t="str">
        <f t="shared" si="18"/>
        <v>Full</v>
      </c>
      <c r="E1186">
        <v>19368</v>
      </c>
      <c r="F1186">
        <v>108.45</v>
      </c>
      <c r="G1186">
        <v>178.28</v>
      </c>
      <c r="H1186" s="4" t="s">
        <v>395</v>
      </c>
      <c r="I1186" t="s">
        <v>2417</v>
      </c>
      <c r="J1186" t="s">
        <v>2418</v>
      </c>
      <c r="K1186" t="s">
        <v>16</v>
      </c>
      <c r="L1186">
        <v>83.74</v>
      </c>
    </row>
    <row r="1187" spans="1:12" x14ac:dyDescent="0.3">
      <c r="A1187" t="s">
        <v>41</v>
      </c>
      <c r="B1187" t="s">
        <v>12</v>
      </c>
      <c r="C1187">
        <v>1983</v>
      </c>
      <c r="D1187" t="str">
        <f t="shared" si="18"/>
        <v>Medium</v>
      </c>
      <c r="E1187">
        <v>6980</v>
      </c>
      <c r="F1187">
        <v>220.22</v>
      </c>
      <c r="G1187">
        <v>317.42</v>
      </c>
      <c r="H1187" s="4" t="s">
        <v>643</v>
      </c>
      <c r="I1187" t="s">
        <v>2419</v>
      </c>
      <c r="J1187" t="s">
        <v>2420</v>
      </c>
      <c r="K1187" t="s">
        <v>98</v>
      </c>
      <c r="L1187">
        <v>157.57</v>
      </c>
    </row>
    <row r="1188" spans="1:12" x14ac:dyDescent="0.3">
      <c r="A1188" t="s">
        <v>88</v>
      </c>
      <c r="B1188" t="s">
        <v>23</v>
      </c>
      <c r="C1188">
        <v>8042</v>
      </c>
      <c r="D1188" t="str">
        <f t="shared" si="18"/>
        <v>Full</v>
      </c>
      <c r="E1188">
        <v>3663</v>
      </c>
      <c r="F1188">
        <v>263.77</v>
      </c>
      <c r="G1188">
        <v>639.96</v>
      </c>
      <c r="H1188" s="4" t="s">
        <v>620</v>
      </c>
      <c r="I1188" t="s">
        <v>2413</v>
      </c>
      <c r="J1188" t="s">
        <v>2421</v>
      </c>
      <c r="K1188" t="s">
        <v>98</v>
      </c>
      <c r="L1188">
        <v>184.37</v>
      </c>
    </row>
    <row r="1189" spans="1:12" x14ac:dyDescent="0.3">
      <c r="A1189" t="s">
        <v>123</v>
      </c>
      <c r="B1189" t="s">
        <v>23</v>
      </c>
      <c r="C1189">
        <v>1373</v>
      </c>
      <c r="D1189" t="str">
        <f t="shared" si="18"/>
        <v>Medium</v>
      </c>
      <c r="E1189">
        <v>13429</v>
      </c>
      <c r="F1189">
        <v>213.24</v>
      </c>
      <c r="G1189">
        <v>305.23</v>
      </c>
      <c r="H1189" s="4" t="s">
        <v>963</v>
      </c>
      <c r="I1189" t="s">
        <v>427</v>
      </c>
      <c r="J1189" t="s">
        <v>2422</v>
      </c>
      <c r="K1189" t="s">
        <v>21</v>
      </c>
      <c r="L1189">
        <v>104.57</v>
      </c>
    </row>
    <row r="1190" spans="1:12" x14ac:dyDescent="0.3">
      <c r="A1190" t="s">
        <v>88</v>
      </c>
      <c r="B1190" t="s">
        <v>23</v>
      </c>
      <c r="C1190">
        <v>3764</v>
      </c>
      <c r="D1190" t="str">
        <f t="shared" si="18"/>
        <v>Full</v>
      </c>
      <c r="E1190">
        <v>6803</v>
      </c>
      <c r="F1190">
        <v>293.89</v>
      </c>
      <c r="G1190">
        <v>451.76</v>
      </c>
      <c r="H1190" s="4" t="s">
        <v>2423</v>
      </c>
      <c r="I1190" t="s">
        <v>1325</v>
      </c>
      <c r="J1190" t="s">
        <v>2424</v>
      </c>
      <c r="K1190" t="s">
        <v>21</v>
      </c>
      <c r="L1190">
        <v>159.31</v>
      </c>
    </row>
    <row r="1191" spans="1:12" x14ac:dyDescent="0.3">
      <c r="A1191" t="s">
        <v>76</v>
      </c>
      <c r="B1191" t="s">
        <v>23</v>
      </c>
      <c r="C1191">
        <v>9069</v>
      </c>
      <c r="D1191" t="str">
        <f t="shared" si="18"/>
        <v>Full</v>
      </c>
      <c r="E1191">
        <v>15734</v>
      </c>
      <c r="F1191">
        <v>249.7</v>
      </c>
      <c r="G1191">
        <v>522.66</v>
      </c>
      <c r="H1191" s="4" t="s">
        <v>1340</v>
      </c>
      <c r="I1191" t="s">
        <v>2425</v>
      </c>
      <c r="J1191" t="s">
        <v>2426</v>
      </c>
      <c r="K1191" t="s">
        <v>21</v>
      </c>
      <c r="L1191">
        <v>115.43</v>
      </c>
    </row>
    <row r="1192" spans="1:12" x14ac:dyDescent="0.3">
      <c r="A1192" t="s">
        <v>22</v>
      </c>
      <c r="B1192" t="s">
        <v>84</v>
      </c>
      <c r="C1192">
        <v>7608</v>
      </c>
      <c r="D1192" t="str">
        <f t="shared" si="18"/>
        <v>Full</v>
      </c>
      <c r="E1192">
        <v>12367</v>
      </c>
      <c r="F1192">
        <v>195.57</v>
      </c>
      <c r="G1192">
        <v>408.08</v>
      </c>
      <c r="H1192" s="4" t="s">
        <v>1445</v>
      </c>
      <c r="I1192" t="s">
        <v>329</v>
      </c>
      <c r="J1192" t="s">
        <v>2427</v>
      </c>
      <c r="K1192" t="s">
        <v>16</v>
      </c>
      <c r="L1192">
        <v>121.38</v>
      </c>
    </row>
    <row r="1193" spans="1:12" x14ac:dyDescent="0.3">
      <c r="A1193" t="s">
        <v>147</v>
      </c>
      <c r="B1193" t="s">
        <v>12</v>
      </c>
      <c r="C1193">
        <v>8909</v>
      </c>
      <c r="D1193" t="str">
        <f t="shared" si="18"/>
        <v>Full</v>
      </c>
      <c r="E1193">
        <v>7904</v>
      </c>
      <c r="F1193">
        <v>81.17</v>
      </c>
      <c r="G1193">
        <v>146.75</v>
      </c>
      <c r="H1193" s="4" t="s">
        <v>81</v>
      </c>
      <c r="I1193" t="s">
        <v>820</v>
      </c>
      <c r="J1193" t="s">
        <v>2428</v>
      </c>
      <c r="K1193" t="s">
        <v>98</v>
      </c>
      <c r="L1193">
        <v>47.9</v>
      </c>
    </row>
    <row r="1194" spans="1:12" x14ac:dyDescent="0.3">
      <c r="A1194" t="s">
        <v>143</v>
      </c>
      <c r="B1194" t="s">
        <v>32</v>
      </c>
      <c r="C1194">
        <v>5791</v>
      </c>
      <c r="D1194" t="str">
        <f t="shared" si="18"/>
        <v>Full</v>
      </c>
      <c r="E1194">
        <v>13198</v>
      </c>
      <c r="F1194">
        <v>171.31</v>
      </c>
      <c r="G1194">
        <v>352.18</v>
      </c>
      <c r="H1194" s="4" t="s">
        <v>2257</v>
      </c>
      <c r="I1194" t="s">
        <v>1405</v>
      </c>
      <c r="J1194" t="s">
        <v>2429</v>
      </c>
      <c r="K1194" t="s">
        <v>40</v>
      </c>
      <c r="L1194">
        <v>128.09</v>
      </c>
    </row>
    <row r="1195" spans="1:12" x14ac:dyDescent="0.3">
      <c r="A1195" t="s">
        <v>17</v>
      </c>
      <c r="B1195" t="s">
        <v>84</v>
      </c>
      <c r="C1195">
        <v>7404</v>
      </c>
      <c r="D1195" t="str">
        <f t="shared" si="18"/>
        <v>Full</v>
      </c>
      <c r="E1195">
        <v>16581</v>
      </c>
      <c r="F1195">
        <v>103.74</v>
      </c>
      <c r="G1195">
        <v>211.86</v>
      </c>
      <c r="H1195" s="4" t="s">
        <v>933</v>
      </c>
      <c r="I1195" t="s">
        <v>938</v>
      </c>
      <c r="J1195" t="s">
        <v>2430</v>
      </c>
      <c r="K1195" t="s">
        <v>40</v>
      </c>
      <c r="L1195">
        <v>48.25</v>
      </c>
    </row>
    <row r="1196" spans="1:12" x14ac:dyDescent="0.3">
      <c r="A1196" t="s">
        <v>66</v>
      </c>
      <c r="B1196" t="s">
        <v>84</v>
      </c>
      <c r="C1196">
        <v>856</v>
      </c>
      <c r="D1196" t="str">
        <f t="shared" si="18"/>
        <v>Low</v>
      </c>
      <c r="E1196">
        <v>15385</v>
      </c>
      <c r="F1196">
        <v>243.72</v>
      </c>
      <c r="G1196">
        <v>437.08</v>
      </c>
      <c r="H1196" s="4" t="s">
        <v>409</v>
      </c>
      <c r="I1196" t="s">
        <v>2431</v>
      </c>
      <c r="J1196" t="s">
        <v>2432</v>
      </c>
      <c r="K1196" t="s">
        <v>21</v>
      </c>
      <c r="L1196">
        <v>143.66</v>
      </c>
    </row>
    <row r="1197" spans="1:12" x14ac:dyDescent="0.3">
      <c r="A1197" t="s">
        <v>80</v>
      </c>
      <c r="B1197" t="s">
        <v>23</v>
      </c>
      <c r="C1197">
        <v>6614</v>
      </c>
      <c r="D1197" t="str">
        <f t="shared" si="18"/>
        <v>Full</v>
      </c>
      <c r="E1197">
        <v>20691</v>
      </c>
      <c r="F1197">
        <v>104.67</v>
      </c>
      <c r="G1197">
        <v>217.94</v>
      </c>
      <c r="H1197" s="4" t="s">
        <v>156</v>
      </c>
      <c r="I1197" t="s">
        <v>2433</v>
      </c>
      <c r="J1197" t="s">
        <v>2434</v>
      </c>
      <c r="K1197" t="s">
        <v>16</v>
      </c>
      <c r="L1197">
        <v>46.38</v>
      </c>
    </row>
    <row r="1198" spans="1:12" x14ac:dyDescent="0.3">
      <c r="A1198" t="s">
        <v>200</v>
      </c>
      <c r="B1198" t="s">
        <v>23</v>
      </c>
      <c r="C1198">
        <v>9961</v>
      </c>
      <c r="D1198" t="str">
        <f t="shared" si="18"/>
        <v>Full</v>
      </c>
      <c r="E1198">
        <v>14131</v>
      </c>
      <c r="F1198">
        <v>179.96</v>
      </c>
      <c r="G1198">
        <v>254.33</v>
      </c>
      <c r="H1198" s="4" t="s">
        <v>2435</v>
      </c>
      <c r="I1198" t="s">
        <v>2436</v>
      </c>
      <c r="J1198" t="s">
        <v>2437</v>
      </c>
      <c r="K1198" t="s">
        <v>16</v>
      </c>
      <c r="L1198">
        <v>86.27</v>
      </c>
    </row>
    <row r="1199" spans="1:12" x14ac:dyDescent="0.3">
      <c r="A1199" t="s">
        <v>22</v>
      </c>
      <c r="B1199" t="s">
        <v>84</v>
      </c>
      <c r="C1199">
        <v>2628</v>
      </c>
      <c r="D1199" t="str">
        <f t="shared" si="18"/>
        <v>Medium</v>
      </c>
      <c r="E1199">
        <v>22738</v>
      </c>
      <c r="F1199">
        <v>103.28</v>
      </c>
      <c r="G1199">
        <v>252.82</v>
      </c>
      <c r="H1199" s="4" t="s">
        <v>426</v>
      </c>
      <c r="I1199" t="s">
        <v>138</v>
      </c>
      <c r="J1199" t="s">
        <v>2438</v>
      </c>
      <c r="K1199" t="s">
        <v>40</v>
      </c>
      <c r="L1199">
        <v>60.26</v>
      </c>
    </row>
    <row r="1200" spans="1:12" x14ac:dyDescent="0.3">
      <c r="A1200" t="s">
        <v>56</v>
      </c>
      <c r="B1200" t="s">
        <v>36</v>
      </c>
      <c r="C1200">
        <v>513</v>
      </c>
      <c r="D1200" t="str">
        <f t="shared" si="18"/>
        <v>Low</v>
      </c>
      <c r="E1200">
        <v>22581</v>
      </c>
      <c r="F1200">
        <v>48.51</v>
      </c>
      <c r="G1200">
        <v>113.89</v>
      </c>
      <c r="H1200" s="4" t="s">
        <v>1654</v>
      </c>
      <c r="I1200" t="s">
        <v>1082</v>
      </c>
      <c r="J1200" t="s">
        <v>2439</v>
      </c>
      <c r="K1200" t="s">
        <v>98</v>
      </c>
      <c r="L1200">
        <v>23.99</v>
      </c>
    </row>
    <row r="1201" spans="1:12" x14ac:dyDescent="0.3">
      <c r="A1201" t="s">
        <v>88</v>
      </c>
      <c r="B1201" t="s">
        <v>36</v>
      </c>
      <c r="C1201">
        <v>1977</v>
      </c>
      <c r="D1201" t="str">
        <f t="shared" si="18"/>
        <v>Medium</v>
      </c>
      <c r="E1201">
        <v>24728</v>
      </c>
      <c r="F1201">
        <v>77.2</v>
      </c>
      <c r="G1201">
        <v>161.36000000000001</v>
      </c>
      <c r="H1201" s="4" t="s">
        <v>312</v>
      </c>
      <c r="I1201" t="s">
        <v>1590</v>
      </c>
      <c r="J1201" t="s">
        <v>2440</v>
      </c>
      <c r="K1201" t="s">
        <v>98</v>
      </c>
      <c r="L1201">
        <v>41.52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01"/>
  <sheetViews>
    <sheetView zoomScale="81" workbookViewId="0">
      <selection activeCell="C3" sqref="C3"/>
    </sheetView>
  </sheetViews>
  <sheetFormatPr defaultRowHeight="14.4" x14ac:dyDescent="0.3"/>
  <cols>
    <col min="1" max="11" width="22" customWidth="1"/>
  </cols>
  <sheetData>
    <row r="1" spans="1:12" x14ac:dyDescent="0.3">
      <c r="A1" s="1" t="s">
        <v>2441</v>
      </c>
      <c r="B1" s="1" t="s">
        <v>2442</v>
      </c>
      <c r="C1" s="1" t="s">
        <v>2443</v>
      </c>
      <c r="D1" s="1" t="s">
        <v>2444</v>
      </c>
      <c r="E1" s="1" t="s">
        <v>2445</v>
      </c>
      <c r="F1" s="1" t="s">
        <v>2446</v>
      </c>
      <c r="G1" s="1" t="s">
        <v>2447</v>
      </c>
      <c r="H1" s="1" t="s">
        <v>2448</v>
      </c>
      <c r="I1" s="1" t="s">
        <v>2449</v>
      </c>
      <c r="J1" s="1" t="s">
        <v>2450</v>
      </c>
      <c r="K1" s="1" t="s">
        <v>2451</v>
      </c>
      <c r="L1" s="1" t="s">
        <v>3571</v>
      </c>
    </row>
    <row r="2" spans="1:12" x14ac:dyDescent="0.3">
      <c r="A2" t="s">
        <v>2452</v>
      </c>
      <c r="B2" t="s">
        <v>2453</v>
      </c>
      <c r="C2" s="4">
        <v>45909</v>
      </c>
      <c r="D2">
        <v>55</v>
      </c>
      <c r="E2">
        <v>18265.38</v>
      </c>
      <c r="F2">
        <v>4248.99</v>
      </c>
      <c r="G2">
        <v>14016.39</v>
      </c>
      <c r="H2" t="s">
        <v>2454</v>
      </c>
      <c r="I2" t="s">
        <v>2455</v>
      </c>
      <c r="J2" t="s">
        <v>2456</v>
      </c>
      <c r="K2" t="s">
        <v>2457</v>
      </c>
      <c r="L2" t="s">
        <v>12</v>
      </c>
    </row>
    <row r="3" spans="1:12" x14ac:dyDescent="0.3">
      <c r="A3" t="s">
        <v>2458</v>
      </c>
      <c r="B3" t="s">
        <v>2459</v>
      </c>
      <c r="C3" s="4">
        <v>45684</v>
      </c>
      <c r="D3">
        <v>35</v>
      </c>
      <c r="E3">
        <v>8057.68</v>
      </c>
      <c r="F3">
        <v>2974.53</v>
      </c>
      <c r="G3">
        <v>5083.1499999999996</v>
      </c>
      <c r="H3" t="s">
        <v>2460</v>
      </c>
      <c r="I3" t="s">
        <v>2461</v>
      </c>
      <c r="J3" t="s">
        <v>2462</v>
      </c>
      <c r="K3" t="s">
        <v>2463</v>
      </c>
      <c r="L3" t="s">
        <v>12</v>
      </c>
    </row>
    <row r="4" spans="1:12" x14ac:dyDescent="0.3">
      <c r="A4" t="s">
        <v>2464</v>
      </c>
      <c r="B4" t="s">
        <v>2465</v>
      </c>
      <c r="C4" s="4">
        <v>45765</v>
      </c>
      <c r="D4">
        <v>190</v>
      </c>
      <c r="E4">
        <v>19407.490000000002</v>
      </c>
      <c r="F4">
        <v>9494.9500000000007</v>
      </c>
      <c r="G4">
        <v>9912.5400000000009</v>
      </c>
      <c r="H4" t="s">
        <v>2466</v>
      </c>
      <c r="I4" t="s">
        <v>2467</v>
      </c>
      <c r="J4" t="s">
        <v>2468</v>
      </c>
      <c r="K4" t="s">
        <v>2469</v>
      </c>
      <c r="L4" t="s">
        <v>23</v>
      </c>
    </row>
    <row r="5" spans="1:12" x14ac:dyDescent="0.3">
      <c r="A5" t="s">
        <v>2470</v>
      </c>
      <c r="B5" t="s">
        <v>2471</v>
      </c>
      <c r="C5" s="4">
        <v>45667</v>
      </c>
      <c r="D5">
        <v>1</v>
      </c>
      <c r="E5">
        <v>12250.27</v>
      </c>
      <c r="F5">
        <v>2441.8000000000002</v>
      </c>
      <c r="G5">
        <v>9808.4699999999993</v>
      </c>
      <c r="H5" t="s">
        <v>2472</v>
      </c>
      <c r="I5" t="s">
        <v>2455</v>
      </c>
      <c r="J5" t="s">
        <v>2468</v>
      </c>
      <c r="K5" t="s">
        <v>2457</v>
      </c>
      <c r="L5" t="s">
        <v>23</v>
      </c>
    </row>
    <row r="6" spans="1:12" x14ac:dyDescent="0.3">
      <c r="A6" t="s">
        <v>2473</v>
      </c>
      <c r="B6" t="s">
        <v>2474</v>
      </c>
      <c r="C6" s="4">
        <v>45870</v>
      </c>
      <c r="D6">
        <v>78</v>
      </c>
      <c r="E6">
        <v>8764.4699999999993</v>
      </c>
      <c r="F6">
        <v>3191.72</v>
      </c>
      <c r="G6">
        <v>5572.75</v>
      </c>
      <c r="H6" t="s">
        <v>2475</v>
      </c>
      <c r="I6" t="s">
        <v>2461</v>
      </c>
      <c r="J6" t="s">
        <v>2468</v>
      </c>
      <c r="K6" t="s">
        <v>2469</v>
      </c>
      <c r="L6" t="s">
        <v>32</v>
      </c>
    </row>
    <row r="7" spans="1:12" x14ac:dyDescent="0.3">
      <c r="A7" t="s">
        <v>2476</v>
      </c>
      <c r="B7" t="s">
        <v>2477</v>
      </c>
      <c r="C7" s="4">
        <v>45885</v>
      </c>
      <c r="D7">
        <v>124</v>
      </c>
      <c r="E7">
        <v>793.05</v>
      </c>
      <c r="F7">
        <v>92.47</v>
      </c>
      <c r="G7">
        <v>700.58</v>
      </c>
      <c r="H7" t="s">
        <v>2454</v>
      </c>
      <c r="I7" t="s">
        <v>2467</v>
      </c>
      <c r="J7" t="s">
        <v>2468</v>
      </c>
      <c r="K7" t="s">
        <v>2457</v>
      </c>
      <c r="L7" t="s">
        <v>36</v>
      </c>
    </row>
    <row r="8" spans="1:12" x14ac:dyDescent="0.3">
      <c r="A8" t="s">
        <v>2478</v>
      </c>
      <c r="B8" t="s">
        <v>2479</v>
      </c>
      <c r="C8" s="4">
        <v>45962</v>
      </c>
      <c r="D8">
        <v>22</v>
      </c>
      <c r="E8">
        <v>6991.11</v>
      </c>
      <c r="F8">
        <v>1446.68</v>
      </c>
      <c r="G8">
        <v>5544.43</v>
      </c>
      <c r="H8" t="s">
        <v>2454</v>
      </c>
      <c r="I8" t="s">
        <v>2480</v>
      </c>
      <c r="J8" t="s">
        <v>2468</v>
      </c>
      <c r="K8" t="s">
        <v>2469</v>
      </c>
      <c r="L8" t="s">
        <v>32</v>
      </c>
    </row>
    <row r="9" spans="1:12" x14ac:dyDescent="0.3">
      <c r="A9" t="s">
        <v>2481</v>
      </c>
      <c r="B9" t="s">
        <v>2482</v>
      </c>
      <c r="C9" s="4">
        <v>45784</v>
      </c>
      <c r="D9">
        <v>117</v>
      </c>
      <c r="E9">
        <v>330.61</v>
      </c>
      <c r="F9">
        <v>78.84</v>
      </c>
      <c r="G9">
        <v>251.77</v>
      </c>
      <c r="H9" t="s">
        <v>2454</v>
      </c>
      <c r="I9" t="s">
        <v>2461</v>
      </c>
      <c r="J9" t="s">
        <v>2456</v>
      </c>
      <c r="K9" t="s">
        <v>2469</v>
      </c>
      <c r="L9" t="s">
        <v>12</v>
      </c>
    </row>
    <row r="10" spans="1:12" x14ac:dyDescent="0.3">
      <c r="A10" t="s">
        <v>2483</v>
      </c>
      <c r="B10" t="s">
        <v>2484</v>
      </c>
      <c r="C10" s="4">
        <v>45829</v>
      </c>
      <c r="D10">
        <v>163</v>
      </c>
      <c r="E10">
        <v>2407.5700000000002</v>
      </c>
      <c r="F10">
        <v>426.5</v>
      </c>
      <c r="G10">
        <v>1981.07</v>
      </c>
      <c r="H10" t="s">
        <v>2454</v>
      </c>
      <c r="I10" t="s">
        <v>2485</v>
      </c>
      <c r="J10" t="s">
        <v>2462</v>
      </c>
      <c r="K10" t="s">
        <v>2469</v>
      </c>
      <c r="L10" t="s">
        <v>36</v>
      </c>
    </row>
    <row r="11" spans="1:12" x14ac:dyDescent="0.3">
      <c r="A11" t="s">
        <v>2486</v>
      </c>
      <c r="B11" t="s">
        <v>2487</v>
      </c>
      <c r="C11" s="4">
        <v>45875</v>
      </c>
      <c r="D11">
        <v>46</v>
      </c>
      <c r="E11">
        <v>19616.62</v>
      </c>
      <c r="F11">
        <v>5636.16</v>
      </c>
      <c r="G11">
        <v>13980.46</v>
      </c>
      <c r="H11" t="s">
        <v>2454</v>
      </c>
      <c r="I11" t="s">
        <v>2488</v>
      </c>
      <c r="J11" t="s">
        <v>2468</v>
      </c>
      <c r="K11" t="s">
        <v>2463</v>
      </c>
      <c r="L11" t="s">
        <v>36</v>
      </c>
    </row>
    <row r="12" spans="1:12" x14ac:dyDescent="0.3">
      <c r="A12" t="s">
        <v>2489</v>
      </c>
      <c r="B12" t="s">
        <v>2490</v>
      </c>
      <c r="C12" s="4">
        <v>45771</v>
      </c>
      <c r="D12">
        <v>132</v>
      </c>
      <c r="E12">
        <v>16275.42</v>
      </c>
      <c r="F12">
        <v>3400.72</v>
      </c>
      <c r="G12">
        <v>12874.7</v>
      </c>
      <c r="H12" t="s">
        <v>2454</v>
      </c>
      <c r="I12" t="s">
        <v>2461</v>
      </c>
      <c r="J12" t="s">
        <v>2456</v>
      </c>
      <c r="K12" t="s">
        <v>2457</v>
      </c>
      <c r="L12" t="s">
        <v>36</v>
      </c>
    </row>
    <row r="13" spans="1:12" x14ac:dyDescent="0.3">
      <c r="A13" t="s">
        <v>2491</v>
      </c>
      <c r="B13" t="s">
        <v>2492</v>
      </c>
      <c r="C13" s="4">
        <v>45677</v>
      </c>
      <c r="D13">
        <v>126</v>
      </c>
      <c r="E13">
        <v>9258.99</v>
      </c>
      <c r="F13">
        <v>4444.04</v>
      </c>
      <c r="G13">
        <v>4814.95</v>
      </c>
      <c r="H13" t="s">
        <v>2466</v>
      </c>
      <c r="I13" t="s">
        <v>2485</v>
      </c>
      <c r="J13" t="s">
        <v>2493</v>
      </c>
      <c r="K13" t="s">
        <v>2457</v>
      </c>
      <c r="L13" t="s">
        <v>32</v>
      </c>
    </row>
    <row r="14" spans="1:12" x14ac:dyDescent="0.3">
      <c r="A14" t="s">
        <v>2489</v>
      </c>
      <c r="B14" t="s">
        <v>2494</v>
      </c>
      <c r="C14" s="4">
        <v>45770</v>
      </c>
      <c r="D14">
        <v>7</v>
      </c>
      <c r="E14">
        <v>10900.7</v>
      </c>
      <c r="F14">
        <v>4671.05</v>
      </c>
      <c r="G14">
        <v>6229.65</v>
      </c>
      <c r="H14" t="s">
        <v>2460</v>
      </c>
      <c r="I14" t="s">
        <v>2461</v>
      </c>
      <c r="J14" t="s">
        <v>2456</v>
      </c>
      <c r="K14" t="s">
        <v>2457</v>
      </c>
      <c r="L14" t="s">
        <v>32</v>
      </c>
    </row>
    <row r="15" spans="1:12" x14ac:dyDescent="0.3">
      <c r="A15" t="s">
        <v>2489</v>
      </c>
      <c r="B15" t="s">
        <v>2495</v>
      </c>
      <c r="C15" s="4">
        <v>45967</v>
      </c>
      <c r="D15">
        <v>10</v>
      </c>
      <c r="E15">
        <v>11956</v>
      </c>
      <c r="F15">
        <v>4269.51</v>
      </c>
      <c r="G15">
        <v>7686.49</v>
      </c>
      <c r="H15" t="s">
        <v>2472</v>
      </c>
      <c r="I15" t="s">
        <v>2461</v>
      </c>
      <c r="J15" t="s">
        <v>2468</v>
      </c>
      <c r="K15" t="s">
        <v>2496</v>
      </c>
      <c r="L15" t="s">
        <v>32</v>
      </c>
    </row>
    <row r="16" spans="1:12" x14ac:dyDescent="0.3">
      <c r="A16" t="s">
        <v>2497</v>
      </c>
      <c r="B16" t="s">
        <v>2498</v>
      </c>
      <c r="C16" s="4">
        <v>45738</v>
      </c>
      <c r="D16">
        <v>187</v>
      </c>
      <c r="E16">
        <v>2978.42</v>
      </c>
      <c r="F16">
        <v>901.33</v>
      </c>
      <c r="G16">
        <v>2077.09</v>
      </c>
      <c r="H16" t="s">
        <v>2460</v>
      </c>
      <c r="I16" t="s">
        <v>2485</v>
      </c>
      <c r="J16" t="s">
        <v>2462</v>
      </c>
      <c r="K16" t="s">
        <v>2496</v>
      </c>
      <c r="L16" t="s">
        <v>12</v>
      </c>
    </row>
    <row r="17" spans="1:12" x14ac:dyDescent="0.3">
      <c r="A17" t="s">
        <v>2499</v>
      </c>
      <c r="B17" t="s">
        <v>2500</v>
      </c>
      <c r="C17" s="4">
        <v>45859</v>
      </c>
      <c r="D17">
        <v>20</v>
      </c>
      <c r="E17">
        <v>6599.11</v>
      </c>
      <c r="F17">
        <v>3198.49</v>
      </c>
      <c r="G17">
        <v>3400.62</v>
      </c>
      <c r="H17" t="s">
        <v>2466</v>
      </c>
      <c r="I17" t="s">
        <v>2488</v>
      </c>
      <c r="J17" t="s">
        <v>2462</v>
      </c>
      <c r="K17" t="s">
        <v>2463</v>
      </c>
      <c r="L17" t="s">
        <v>23</v>
      </c>
    </row>
    <row r="18" spans="1:12" x14ac:dyDescent="0.3">
      <c r="A18" t="s">
        <v>2489</v>
      </c>
      <c r="B18" t="s">
        <v>2501</v>
      </c>
      <c r="C18" s="4">
        <v>45745</v>
      </c>
      <c r="D18">
        <v>103</v>
      </c>
      <c r="E18">
        <v>545.42999999999995</v>
      </c>
      <c r="F18">
        <v>65.37</v>
      </c>
      <c r="G18">
        <v>480.06</v>
      </c>
      <c r="H18" t="s">
        <v>2460</v>
      </c>
      <c r="I18" t="s">
        <v>2488</v>
      </c>
      <c r="J18" t="s">
        <v>2462</v>
      </c>
      <c r="K18" t="s">
        <v>2463</v>
      </c>
      <c r="L18" t="s">
        <v>36</v>
      </c>
    </row>
    <row r="19" spans="1:12" x14ac:dyDescent="0.3">
      <c r="A19" t="s">
        <v>2502</v>
      </c>
      <c r="B19" t="s">
        <v>2503</v>
      </c>
      <c r="C19" s="4">
        <v>45701</v>
      </c>
      <c r="D19">
        <v>158</v>
      </c>
      <c r="E19">
        <v>10329.39</v>
      </c>
      <c r="F19">
        <v>1635.17</v>
      </c>
      <c r="G19">
        <v>8694.2199999999993</v>
      </c>
      <c r="H19" t="s">
        <v>2475</v>
      </c>
      <c r="I19" t="s">
        <v>2480</v>
      </c>
      <c r="J19" t="s">
        <v>2493</v>
      </c>
      <c r="K19" t="s">
        <v>2457</v>
      </c>
      <c r="L19" t="s">
        <v>12</v>
      </c>
    </row>
    <row r="20" spans="1:12" x14ac:dyDescent="0.3">
      <c r="A20" t="s">
        <v>2504</v>
      </c>
      <c r="B20" t="s">
        <v>2505</v>
      </c>
      <c r="C20" s="4">
        <v>45899</v>
      </c>
      <c r="D20">
        <v>192</v>
      </c>
      <c r="E20">
        <v>13808.38</v>
      </c>
      <c r="F20">
        <v>5878.43</v>
      </c>
      <c r="G20">
        <v>7929.95</v>
      </c>
      <c r="H20" t="s">
        <v>2466</v>
      </c>
      <c r="I20" t="s">
        <v>2480</v>
      </c>
      <c r="J20" t="s">
        <v>2462</v>
      </c>
      <c r="K20" t="s">
        <v>2496</v>
      </c>
      <c r="L20" t="s">
        <v>84</v>
      </c>
    </row>
    <row r="21" spans="1:12" x14ac:dyDescent="0.3">
      <c r="A21" t="s">
        <v>2506</v>
      </c>
      <c r="B21" t="s">
        <v>2507</v>
      </c>
      <c r="C21" s="4">
        <v>45981</v>
      </c>
      <c r="D21">
        <v>105</v>
      </c>
      <c r="E21">
        <v>4222.01</v>
      </c>
      <c r="F21">
        <v>790.27</v>
      </c>
      <c r="G21">
        <v>3431.74</v>
      </c>
      <c r="H21" t="s">
        <v>2475</v>
      </c>
      <c r="I21" t="s">
        <v>2508</v>
      </c>
      <c r="J21" t="s">
        <v>2493</v>
      </c>
      <c r="K21" t="s">
        <v>2457</v>
      </c>
      <c r="L21" t="s">
        <v>12</v>
      </c>
    </row>
    <row r="22" spans="1:12" x14ac:dyDescent="0.3">
      <c r="A22" t="s">
        <v>2509</v>
      </c>
      <c r="B22" t="s">
        <v>2510</v>
      </c>
      <c r="C22" s="4">
        <v>45910</v>
      </c>
      <c r="D22">
        <v>57</v>
      </c>
      <c r="E22">
        <v>4574.01</v>
      </c>
      <c r="F22">
        <v>989.8</v>
      </c>
      <c r="G22">
        <v>3584.21</v>
      </c>
      <c r="H22" t="s">
        <v>2475</v>
      </c>
      <c r="I22" t="s">
        <v>2488</v>
      </c>
      <c r="J22" t="s">
        <v>2493</v>
      </c>
      <c r="K22" t="s">
        <v>2457</v>
      </c>
      <c r="L22" t="s">
        <v>12</v>
      </c>
    </row>
    <row r="23" spans="1:12" x14ac:dyDescent="0.3">
      <c r="A23" t="s">
        <v>2511</v>
      </c>
      <c r="B23" t="s">
        <v>2512</v>
      </c>
      <c r="C23" s="4">
        <v>45846</v>
      </c>
      <c r="D23">
        <v>153</v>
      </c>
      <c r="E23">
        <v>6642.17</v>
      </c>
      <c r="F23">
        <v>2287.46</v>
      </c>
      <c r="G23">
        <v>4354.71</v>
      </c>
      <c r="H23" t="s">
        <v>2466</v>
      </c>
      <c r="I23" t="s">
        <v>2480</v>
      </c>
      <c r="J23" t="s">
        <v>2493</v>
      </c>
      <c r="K23" t="s">
        <v>2469</v>
      </c>
      <c r="L23" t="s">
        <v>36</v>
      </c>
    </row>
    <row r="24" spans="1:12" x14ac:dyDescent="0.3">
      <c r="A24" t="s">
        <v>2470</v>
      </c>
      <c r="B24" t="s">
        <v>2513</v>
      </c>
      <c r="C24" s="4">
        <v>45968</v>
      </c>
      <c r="D24">
        <v>114</v>
      </c>
      <c r="E24">
        <v>3120.39</v>
      </c>
      <c r="F24">
        <v>493.83</v>
      </c>
      <c r="G24">
        <v>2626.56</v>
      </c>
      <c r="H24" t="s">
        <v>2454</v>
      </c>
      <c r="I24" t="s">
        <v>2455</v>
      </c>
      <c r="J24" t="s">
        <v>2468</v>
      </c>
      <c r="K24" t="s">
        <v>2457</v>
      </c>
      <c r="L24" t="s">
        <v>84</v>
      </c>
    </row>
    <row r="25" spans="1:12" x14ac:dyDescent="0.3">
      <c r="A25" t="s">
        <v>2476</v>
      </c>
      <c r="B25" t="s">
        <v>2514</v>
      </c>
      <c r="C25" s="4">
        <v>45736</v>
      </c>
      <c r="D25">
        <v>170</v>
      </c>
      <c r="E25">
        <v>17060.599999999999</v>
      </c>
      <c r="F25">
        <v>1926.32</v>
      </c>
      <c r="G25">
        <v>15134.28</v>
      </c>
      <c r="H25" t="s">
        <v>2454</v>
      </c>
      <c r="I25" t="s">
        <v>2485</v>
      </c>
      <c r="J25" t="s">
        <v>2456</v>
      </c>
      <c r="K25" t="s">
        <v>2496</v>
      </c>
      <c r="L25" t="s">
        <v>36</v>
      </c>
    </row>
    <row r="26" spans="1:12" x14ac:dyDescent="0.3">
      <c r="A26" t="s">
        <v>2486</v>
      </c>
      <c r="B26" t="s">
        <v>2515</v>
      </c>
      <c r="C26" s="4">
        <v>45842</v>
      </c>
      <c r="D26">
        <v>75</v>
      </c>
      <c r="E26">
        <v>15042.06</v>
      </c>
      <c r="F26">
        <v>4804.4399999999996</v>
      </c>
      <c r="G26">
        <v>10237.620000000001</v>
      </c>
      <c r="H26" t="s">
        <v>2454</v>
      </c>
      <c r="I26" t="s">
        <v>2480</v>
      </c>
      <c r="J26" t="s">
        <v>2468</v>
      </c>
      <c r="K26" t="s">
        <v>2496</v>
      </c>
      <c r="L26" t="s">
        <v>36</v>
      </c>
    </row>
    <row r="27" spans="1:12" x14ac:dyDescent="0.3">
      <c r="A27" t="s">
        <v>2509</v>
      </c>
      <c r="B27" t="s">
        <v>2516</v>
      </c>
      <c r="C27" s="4">
        <v>45758</v>
      </c>
      <c r="D27">
        <v>111</v>
      </c>
      <c r="E27">
        <v>8366.32</v>
      </c>
      <c r="F27">
        <v>1623.27</v>
      </c>
      <c r="G27">
        <v>6743.05</v>
      </c>
      <c r="H27" t="s">
        <v>2460</v>
      </c>
      <c r="I27" t="s">
        <v>2517</v>
      </c>
      <c r="J27" t="s">
        <v>2468</v>
      </c>
      <c r="K27" t="s">
        <v>2457</v>
      </c>
      <c r="L27" t="s">
        <v>36</v>
      </c>
    </row>
    <row r="28" spans="1:12" x14ac:dyDescent="0.3">
      <c r="A28" t="s">
        <v>2518</v>
      </c>
      <c r="B28" t="s">
        <v>2519</v>
      </c>
      <c r="C28" s="4">
        <v>45948</v>
      </c>
      <c r="D28">
        <v>156</v>
      </c>
      <c r="E28">
        <v>18981.5</v>
      </c>
      <c r="F28">
        <v>8553.11</v>
      </c>
      <c r="G28">
        <v>10428.39</v>
      </c>
      <c r="H28" t="s">
        <v>2454</v>
      </c>
      <c r="I28" t="s">
        <v>2455</v>
      </c>
      <c r="J28" t="s">
        <v>2468</v>
      </c>
      <c r="K28" t="s">
        <v>2463</v>
      </c>
      <c r="L28" t="s">
        <v>23</v>
      </c>
    </row>
    <row r="29" spans="1:12" x14ac:dyDescent="0.3">
      <c r="A29" t="s">
        <v>2520</v>
      </c>
      <c r="B29" t="s">
        <v>2521</v>
      </c>
      <c r="C29" s="4">
        <v>45700</v>
      </c>
      <c r="D29">
        <v>41</v>
      </c>
      <c r="E29">
        <v>15360.81</v>
      </c>
      <c r="F29">
        <v>1632.04</v>
      </c>
      <c r="G29">
        <v>13728.77</v>
      </c>
      <c r="H29" t="s">
        <v>2454</v>
      </c>
      <c r="I29" t="s">
        <v>2461</v>
      </c>
      <c r="J29" t="s">
        <v>2493</v>
      </c>
      <c r="K29" t="s">
        <v>2496</v>
      </c>
      <c r="L29" t="s">
        <v>12</v>
      </c>
    </row>
    <row r="30" spans="1:12" x14ac:dyDescent="0.3">
      <c r="A30" t="s">
        <v>2483</v>
      </c>
      <c r="B30" t="s">
        <v>2522</v>
      </c>
      <c r="C30" s="4">
        <v>45707</v>
      </c>
      <c r="D30">
        <v>198</v>
      </c>
      <c r="E30">
        <v>7327.18</v>
      </c>
      <c r="F30">
        <v>3353.98</v>
      </c>
      <c r="G30">
        <v>3973.2</v>
      </c>
      <c r="H30" t="s">
        <v>2460</v>
      </c>
      <c r="I30" t="s">
        <v>2461</v>
      </c>
      <c r="J30" t="s">
        <v>2468</v>
      </c>
      <c r="K30" t="s">
        <v>2457</v>
      </c>
      <c r="L30" t="s">
        <v>12</v>
      </c>
    </row>
    <row r="31" spans="1:12" x14ac:dyDescent="0.3">
      <c r="A31" t="s">
        <v>2523</v>
      </c>
      <c r="B31" t="s">
        <v>2524</v>
      </c>
      <c r="C31" s="4">
        <v>45910</v>
      </c>
      <c r="D31">
        <v>116</v>
      </c>
      <c r="E31">
        <v>3223.66</v>
      </c>
      <c r="F31">
        <v>485.69</v>
      </c>
      <c r="G31">
        <v>2737.97</v>
      </c>
      <c r="H31" t="s">
        <v>2454</v>
      </c>
      <c r="I31" t="s">
        <v>2508</v>
      </c>
      <c r="J31" t="s">
        <v>2456</v>
      </c>
      <c r="K31" t="s">
        <v>2469</v>
      </c>
      <c r="L31" t="s">
        <v>12</v>
      </c>
    </row>
    <row r="32" spans="1:12" x14ac:dyDescent="0.3">
      <c r="A32" t="s">
        <v>2525</v>
      </c>
      <c r="B32" t="s">
        <v>2526</v>
      </c>
      <c r="C32" s="4">
        <v>45839</v>
      </c>
      <c r="D32">
        <v>26</v>
      </c>
      <c r="E32">
        <v>7728.73</v>
      </c>
      <c r="F32">
        <v>1845.3</v>
      </c>
      <c r="G32">
        <v>5883.43</v>
      </c>
      <c r="H32" t="s">
        <v>2454</v>
      </c>
      <c r="I32" t="s">
        <v>2461</v>
      </c>
      <c r="J32" t="s">
        <v>2468</v>
      </c>
      <c r="K32" t="s">
        <v>2463</v>
      </c>
      <c r="L32" t="s">
        <v>23</v>
      </c>
    </row>
    <row r="33" spans="1:12" x14ac:dyDescent="0.3">
      <c r="A33" t="s">
        <v>2527</v>
      </c>
      <c r="B33" t="s">
        <v>2528</v>
      </c>
      <c r="C33" s="4">
        <v>46000</v>
      </c>
      <c r="D33">
        <v>157</v>
      </c>
      <c r="E33">
        <v>12436.41</v>
      </c>
      <c r="F33">
        <v>1249.06</v>
      </c>
      <c r="G33">
        <v>11187.35</v>
      </c>
      <c r="H33" t="s">
        <v>2466</v>
      </c>
      <c r="I33" t="s">
        <v>2461</v>
      </c>
      <c r="J33" t="s">
        <v>2456</v>
      </c>
      <c r="K33" t="s">
        <v>2469</v>
      </c>
      <c r="L33" t="s">
        <v>12</v>
      </c>
    </row>
    <row r="34" spans="1:12" x14ac:dyDescent="0.3">
      <c r="A34" t="s">
        <v>2527</v>
      </c>
      <c r="B34" t="s">
        <v>2529</v>
      </c>
      <c r="C34" s="4">
        <v>45728</v>
      </c>
      <c r="D34">
        <v>146</v>
      </c>
      <c r="E34">
        <v>12547.35</v>
      </c>
      <c r="F34">
        <v>2838.9</v>
      </c>
      <c r="G34">
        <v>9708.4500000000007</v>
      </c>
      <c r="H34" t="s">
        <v>2460</v>
      </c>
      <c r="I34" t="s">
        <v>2480</v>
      </c>
      <c r="J34" t="s">
        <v>2462</v>
      </c>
      <c r="K34" t="s">
        <v>2496</v>
      </c>
      <c r="L34" t="s">
        <v>36</v>
      </c>
    </row>
    <row r="35" spans="1:12" x14ac:dyDescent="0.3">
      <c r="A35" t="s">
        <v>2530</v>
      </c>
      <c r="B35" t="s">
        <v>2531</v>
      </c>
      <c r="C35" s="4">
        <v>45936</v>
      </c>
      <c r="D35">
        <v>186</v>
      </c>
      <c r="E35">
        <v>17505.54</v>
      </c>
      <c r="F35">
        <v>7525.9</v>
      </c>
      <c r="G35">
        <v>9979.64</v>
      </c>
      <c r="H35" t="s">
        <v>2475</v>
      </c>
      <c r="I35" t="s">
        <v>2485</v>
      </c>
      <c r="J35" t="s">
        <v>2468</v>
      </c>
      <c r="K35" t="s">
        <v>2469</v>
      </c>
      <c r="L35" t="s">
        <v>36</v>
      </c>
    </row>
    <row r="36" spans="1:12" x14ac:dyDescent="0.3">
      <c r="A36" t="s">
        <v>2532</v>
      </c>
      <c r="B36" t="s">
        <v>2533</v>
      </c>
      <c r="C36" s="4">
        <v>45775</v>
      </c>
      <c r="D36">
        <v>148</v>
      </c>
      <c r="E36">
        <v>9277.4699999999993</v>
      </c>
      <c r="F36">
        <v>3729.37</v>
      </c>
      <c r="G36">
        <v>5548.1</v>
      </c>
      <c r="H36" t="s">
        <v>2466</v>
      </c>
      <c r="I36" t="s">
        <v>2517</v>
      </c>
      <c r="J36" t="s">
        <v>2468</v>
      </c>
      <c r="K36" t="s">
        <v>2496</v>
      </c>
      <c r="L36" t="s">
        <v>32</v>
      </c>
    </row>
    <row r="37" spans="1:12" x14ac:dyDescent="0.3">
      <c r="A37" t="s">
        <v>2534</v>
      </c>
      <c r="B37" t="s">
        <v>2535</v>
      </c>
      <c r="C37" s="4">
        <v>45765</v>
      </c>
      <c r="D37">
        <v>155</v>
      </c>
      <c r="E37">
        <v>16773.72</v>
      </c>
      <c r="F37">
        <v>2535.61</v>
      </c>
      <c r="G37">
        <v>14238.11</v>
      </c>
      <c r="H37" t="s">
        <v>2475</v>
      </c>
      <c r="I37" t="s">
        <v>2455</v>
      </c>
      <c r="J37" t="s">
        <v>2462</v>
      </c>
      <c r="K37" t="s">
        <v>2463</v>
      </c>
      <c r="L37" t="s">
        <v>36</v>
      </c>
    </row>
    <row r="38" spans="1:12" x14ac:dyDescent="0.3">
      <c r="A38" t="s">
        <v>2536</v>
      </c>
      <c r="B38" t="s">
        <v>2537</v>
      </c>
      <c r="C38" s="4">
        <v>45949</v>
      </c>
      <c r="D38">
        <v>174</v>
      </c>
      <c r="E38">
        <v>8186.3</v>
      </c>
      <c r="F38">
        <v>2391.16</v>
      </c>
      <c r="G38">
        <v>5795.14</v>
      </c>
      <c r="H38" t="s">
        <v>2454</v>
      </c>
      <c r="I38" t="s">
        <v>2461</v>
      </c>
      <c r="J38" t="s">
        <v>2456</v>
      </c>
      <c r="K38" t="s">
        <v>2457</v>
      </c>
      <c r="L38" t="s">
        <v>23</v>
      </c>
    </row>
    <row r="39" spans="1:12" x14ac:dyDescent="0.3">
      <c r="A39" t="s">
        <v>2538</v>
      </c>
      <c r="B39" t="s">
        <v>2539</v>
      </c>
      <c r="C39" s="4">
        <v>45764</v>
      </c>
      <c r="D39">
        <v>199</v>
      </c>
      <c r="E39">
        <v>12178.84</v>
      </c>
      <c r="F39">
        <v>1270.45</v>
      </c>
      <c r="G39">
        <v>10908.39</v>
      </c>
      <c r="H39" t="s">
        <v>2472</v>
      </c>
      <c r="I39" t="s">
        <v>2517</v>
      </c>
      <c r="J39" t="s">
        <v>2462</v>
      </c>
      <c r="K39" t="s">
        <v>2463</v>
      </c>
      <c r="L39" t="s">
        <v>23</v>
      </c>
    </row>
    <row r="40" spans="1:12" x14ac:dyDescent="0.3">
      <c r="A40" t="s">
        <v>2476</v>
      </c>
      <c r="B40" t="s">
        <v>2540</v>
      </c>
      <c r="C40" s="4">
        <v>45886</v>
      </c>
      <c r="D40">
        <v>186</v>
      </c>
      <c r="E40">
        <v>15398.35</v>
      </c>
      <c r="F40">
        <v>5461.04</v>
      </c>
      <c r="G40">
        <v>9937.31</v>
      </c>
      <c r="H40" t="s">
        <v>2466</v>
      </c>
      <c r="I40" t="s">
        <v>2517</v>
      </c>
      <c r="J40" t="s">
        <v>2462</v>
      </c>
      <c r="K40" t="s">
        <v>2463</v>
      </c>
      <c r="L40" t="s">
        <v>12</v>
      </c>
    </row>
    <row r="41" spans="1:12" x14ac:dyDescent="0.3">
      <c r="A41" t="s">
        <v>2541</v>
      </c>
      <c r="B41" t="s">
        <v>2542</v>
      </c>
      <c r="C41" s="4">
        <v>45811</v>
      </c>
      <c r="D41">
        <v>195</v>
      </c>
      <c r="E41">
        <v>16522.05</v>
      </c>
      <c r="F41">
        <v>3280.76</v>
      </c>
      <c r="G41">
        <v>13241.29</v>
      </c>
      <c r="H41" t="s">
        <v>2472</v>
      </c>
      <c r="I41" t="s">
        <v>2467</v>
      </c>
      <c r="J41" t="s">
        <v>2493</v>
      </c>
      <c r="K41" t="s">
        <v>2457</v>
      </c>
      <c r="L41" t="s">
        <v>84</v>
      </c>
    </row>
    <row r="42" spans="1:12" x14ac:dyDescent="0.3">
      <c r="A42" t="s">
        <v>2543</v>
      </c>
      <c r="B42" t="s">
        <v>2544</v>
      </c>
      <c r="C42" s="4">
        <v>45715</v>
      </c>
      <c r="D42">
        <v>124</v>
      </c>
      <c r="E42">
        <v>4280.6899999999996</v>
      </c>
      <c r="F42">
        <v>1974.04</v>
      </c>
      <c r="G42">
        <v>2306.65</v>
      </c>
      <c r="H42" t="s">
        <v>2472</v>
      </c>
      <c r="I42" t="s">
        <v>2517</v>
      </c>
      <c r="J42" t="s">
        <v>2462</v>
      </c>
      <c r="K42" t="s">
        <v>2496</v>
      </c>
      <c r="L42" t="s">
        <v>23</v>
      </c>
    </row>
    <row r="43" spans="1:12" x14ac:dyDescent="0.3">
      <c r="A43" t="s">
        <v>2545</v>
      </c>
      <c r="B43" t="s">
        <v>2546</v>
      </c>
      <c r="C43" s="4">
        <v>45972</v>
      </c>
      <c r="D43">
        <v>177</v>
      </c>
      <c r="E43">
        <v>8948.9699999999993</v>
      </c>
      <c r="F43">
        <v>1656.01</v>
      </c>
      <c r="G43">
        <v>7292.96</v>
      </c>
      <c r="H43" t="s">
        <v>2460</v>
      </c>
      <c r="I43" t="s">
        <v>2508</v>
      </c>
      <c r="J43" t="s">
        <v>2456</v>
      </c>
      <c r="K43" t="s">
        <v>2496</v>
      </c>
      <c r="L43" t="s">
        <v>32</v>
      </c>
    </row>
    <row r="44" spans="1:12" x14ac:dyDescent="0.3">
      <c r="A44" t="s">
        <v>2547</v>
      </c>
      <c r="B44" t="s">
        <v>2548</v>
      </c>
      <c r="C44" s="4">
        <v>45721</v>
      </c>
      <c r="D44">
        <v>57</v>
      </c>
      <c r="E44">
        <v>17615.39</v>
      </c>
      <c r="F44">
        <v>4836.91</v>
      </c>
      <c r="G44">
        <v>12778.48</v>
      </c>
      <c r="H44" t="s">
        <v>2460</v>
      </c>
      <c r="I44" t="s">
        <v>2508</v>
      </c>
      <c r="J44" t="s">
        <v>2468</v>
      </c>
      <c r="K44" t="s">
        <v>2469</v>
      </c>
      <c r="L44" t="s">
        <v>12</v>
      </c>
    </row>
    <row r="45" spans="1:12" x14ac:dyDescent="0.3">
      <c r="A45" t="s">
        <v>2523</v>
      </c>
      <c r="B45" t="s">
        <v>2549</v>
      </c>
      <c r="C45" s="4">
        <v>46010</v>
      </c>
      <c r="D45">
        <v>76</v>
      </c>
      <c r="E45">
        <v>3173.38</v>
      </c>
      <c r="F45">
        <v>564.61</v>
      </c>
      <c r="G45">
        <v>2608.77</v>
      </c>
      <c r="H45" t="s">
        <v>2475</v>
      </c>
      <c r="I45" t="s">
        <v>2467</v>
      </c>
      <c r="J45" t="s">
        <v>2493</v>
      </c>
      <c r="K45" t="s">
        <v>2457</v>
      </c>
      <c r="L45" t="s">
        <v>32</v>
      </c>
    </row>
    <row r="46" spans="1:12" x14ac:dyDescent="0.3">
      <c r="A46" t="s">
        <v>2550</v>
      </c>
      <c r="B46" t="s">
        <v>2551</v>
      </c>
      <c r="C46" s="4">
        <v>45977</v>
      </c>
      <c r="D46">
        <v>55</v>
      </c>
      <c r="E46">
        <v>11706.28</v>
      </c>
      <c r="F46">
        <v>5158.43</v>
      </c>
      <c r="G46">
        <v>6547.85</v>
      </c>
      <c r="H46" t="s">
        <v>2472</v>
      </c>
      <c r="I46" t="s">
        <v>2508</v>
      </c>
      <c r="J46" t="s">
        <v>2493</v>
      </c>
      <c r="K46" t="s">
        <v>2457</v>
      </c>
      <c r="L46" t="s">
        <v>23</v>
      </c>
    </row>
    <row r="47" spans="1:12" x14ac:dyDescent="0.3">
      <c r="A47" t="s">
        <v>2525</v>
      </c>
      <c r="B47" t="s">
        <v>2552</v>
      </c>
      <c r="C47" s="4">
        <v>45812</v>
      </c>
      <c r="D47">
        <v>165</v>
      </c>
      <c r="E47">
        <v>3201.95</v>
      </c>
      <c r="F47">
        <v>508.97</v>
      </c>
      <c r="G47">
        <v>2692.98</v>
      </c>
      <c r="H47" t="s">
        <v>2460</v>
      </c>
      <c r="I47" t="s">
        <v>2485</v>
      </c>
      <c r="J47" t="s">
        <v>2462</v>
      </c>
      <c r="K47" t="s">
        <v>2457</v>
      </c>
      <c r="L47" t="s">
        <v>84</v>
      </c>
    </row>
    <row r="48" spans="1:12" x14ac:dyDescent="0.3">
      <c r="A48" t="s">
        <v>2530</v>
      </c>
      <c r="B48" t="s">
        <v>2553</v>
      </c>
      <c r="C48" s="4">
        <v>45900</v>
      </c>
      <c r="D48">
        <v>124</v>
      </c>
      <c r="E48">
        <v>17952.96</v>
      </c>
      <c r="F48">
        <v>8874.27</v>
      </c>
      <c r="G48">
        <v>9078.69</v>
      </c>
      <c r="H48" t="s">
        <v>2472</v>
      </c>
      <c r="I48" t="s">
        <v>2485</v>
      </c>
      <c r="J48" t="s">
        <v>2468</v>
      </c>
      <c r="K48" t="s">
        <v>2469</v>
      </c>
      <c r="L48" t="s">
        <v>36</v>
      </c>
    </row>
    <row r="49" spans="1:12" x14ac:dyDescent="0.3">
      <c r="A49" t="s">
        <v>2554</v>
      </c>
      <c r="B49" t="s">
        <v>2555</v>
      </c>
      <c r="C49" s="4">
        <v>45768</v>
      </c>
      <c r="D49">
        <v>72</v>
      </c>
      <c r="E49">
        <v>12211.96</v>
      </c>
      <c r="F49">
        <v>2546.14</v>
      </c>
      <c r="G49">
        <v>9665.82</v>
      </c>
      <c r="H49" t="s">
        <v>2472</v>
      </c>
      <c r="I49" t="s">
        <v>2455</v>
      </c>
      <c r="J49" t="s">
        <v>2493</v>
      </c>
      <c r="K49" t="s">
        <v>2457</v>
      </c>
      <c r="L49" t="s">
        <v>23</v>
      </c>
    </row>
    <row r="50" spans="1:12" x14ac:dyDescent="0.3">
      <c r="A50" t="s">
        <v>2556</v>
      </c>
      <c r="B50" t="s">
        <v>2557</v>
      </c>
      <c r="C50" s="4">
        <v>45809</v>
      </c>
      <c r="D50">
        <v>135</v>
      </c>
      <c r="E50">
        <v>17972.88</v>
      </c>
      <c r="F50">
        <v>3656.56</v>
      </c>
      <c r="G50">
        <v>14316.32</v>
      </c>
      <c r="H50" t="s">
        <v>2460</v>
      </c>
      <c r="I50" t="s">
        <v>2480</v>
      </c>
      <c r="J50" t="s">
        <v>2462</v>
      </c>
      <c r="K50" t="s">
        <v>2463</v>
      </c>
      <c r="L50" t="s">
        <v>36</v>
      </c>
    </row>
    <row r="51" spans="1:12" x14ac:dyDescent="0.3">
      <c r="A51" t="s">
        <v>2558</v>
      </c>
      <c r="B51" t="s">
        <v>2559</v>
      </c>
      <c r="C51" s="4">
        <v>46022</v>
      </c>
      <c r="D51">
        <v>142</v>
      </c>
      <c r="E51">
        <v>19236.96</v>
      </c>
      <c r="F51">
        <v>3104.03</v>
      </c>
      <c r="G51">
        <v>16132.93</v>
      </c>
      <c r="H51" t="s">
        <v>2466</v>
      </c>
      <c r="I51" t="s">
        <v>2488</v>
      </c>
      <c r="J51" t="s">
        <v>2456</v>
      </c>
      <c r="K51" t="s">
        <v>2457</v>
      </c>
      <c r="L51" t="s">
        <v>23</v>
      </c>
    </row>
    <row r="52" spans="1:12" x14ac:dyDescent="0.3">
      <c r="A52" t="s">
        <v>2527</v>
      </c>
      <c r="B52" t="s">
        <v>2560</v>
      </c>
      <c r="C52" s="4">
        <v>45680</v>
      </c>
      <c r="D52">
        <v>66</v>
      </c>
      <c r="E52">
        <v>15965.67</v>
      </c>
      <c r="F52">
        <v>6816.16</v>
      </c>
      <c r="G52">
        <v>9149.51</v>
      </c>
      <c r="H52" t="s">
        <v>2475</v>
      </c>
      <c r="I52" t="s">
        <v>2455</v>
      </c>
      <c r="J52" t="s">
        <v>2462</v>
      </c>
      <c r="K52" t="s">
        <v>2496</v>
      </c>
      <c r="L52" t="s">
        <v>84</v>
      </c>
    </row>
    <row r="53" spans="1:12" x14ac:dyDescent="0.3">
      <c r="A53" t="s">
        <v>2561</v>
      </c>
      <c r="B53" t="s">
        <v>2562</v>
      </c>
      <c r="C53" s="4">
        <v>45807</v>
      </c>
      <c r="D53">
        <v>72</v>
      </c>
      <c r="E53">
        <v>1918.05</v>
      </c>
      <c r="F53">
        <v>813.24</v>
      </c>
      <c r="G53">
        <v>1104.81</v>
      </c>
      <c r="H53" t="s">
        <v>2472</v>
      </c>
      <c r="I53" t="s">
        <v>2467</v>
      </c>
      <c r="J53" t="s">
        <v>2493</v>
      </c>
      <c r="K53" t="s">
        <v>2463</v>
      </c>
      <c r="L53" t="s">
        <v>12</v>
      </c>
    </row>
    <row r="54" spans="1:12" x14ac:dyDescent="0.3">
      <c r="A54" t="s">
        <v>2554</v>
      </c>
      <c r="B54" t="s">
        <v>2563</v>
      </c>
      <c r="C54" s="4">
        <v>45893</v>
      </c>
      <c r="D54">
        <v>150</v>
      </c>
      <c r="E54">
        <v>15257.44</v>
      </c>
      <c r="F54">
        <v>4715.88</v>
      </c>
      <c r="G54">
        <v>10541.56</v>
      </c>
      <c r="H54" t="s">
        <v>2472</v>
      </c>
      <c r="I54" t="s">
        <v>2480</v>
      </c>
      <c r="J54" t="s">
        <v>2493</v>
      </c>
      <c r="K54" t="s">
        <v>2463</v>
      </c>
      <c r="L54" t="s">
        <v>32</v>
      </c>
    </row>
    <row r="55" spans="1:12" x14ac:dyDescent="0.3">
      <c r="A55" t="s">
        <v>2564</v>
      </c>
      <c r="B55" t="s">
        <v>2565</v>
      </c>
      <c r="C55" s="4">
        <v>46022</v>
      </c>
      <c r="D55">
        <v>114</v>
      </c>
      <c r="E55">
        <v>1759.39</v>
      </c>
      <c r="F55">
        <v>740.78</v>
      </c>
      <c r="G55">
        <v>1018.61</v>
      </c>
      <c r="H55" t="s">
        <v>2466</v>
      </c>
      <c r="I55" t="s">
        <v>2455</v>
      </c>
      <c r="J55" t="s">
        <v>2462</v>
      </c>
      <c r="K55" t="s">
        <v>2469</v>
      </c>
      <c r="L55" t="s">
        <v>84</v>
      </c>
    </row>
    <row r="56" spans="1:12" x14ac:dyDescent="0.3">
      <c r="A56" t="s">
        <v>2566</v>
      </c>
      <c r="B56" t="s">
        <v>2567</v>
      </c>
      <c r="C56" s="4">
        <v>45889</v>
      </c>
      <c r="D56">
        <v>111</v>
      </c>
      <c r="E56">
        <v>17236.669999999998</v>
      </c>
      <c r="F56">
        <v>7849.41</v>
      </c>
      <c r="G56">
        <v>9387.26</v>
      </c>
      <c r="H56" t="s">
        <v>2454</v>
      </c>
      <c r="I56" t="s">
        <v>2455</v>
      </c>
      <c r="J56" t="s">
        <v>2462</v>
      </c>
      <c r="K56" t="s">
        <v>2463</v>
      </c>
      <c r="L56" t="s">
        <v>84</v>
      </c>
    </row>
    <row r="57" spans="1:12" x14ac:dyDescent="0.3">
      <c r="A57" t="s">
        <v>2476</v>
      </c>
      <c r="B57" t="s">
        <v>2568</v>
      </c>
      <c r="C57" s="4">
        <v>45825</v>
      </c>
      <c r="D57">
        <v>70</v>
      </c>
      <c r="E57">
        <v>9902.84</v>
      </c>
      <c r="F57">
        <v>4252.1499999999996</v>
      </c>
      <c r="G57">
        <v>5650.69</v>
      </c>
      <c r="H57" t="s">
        <v>2466</v>
      </c>
      <c r="I57" t="s">
        <v>2517</v>
      </c>
      <c r="J57" t="s">
        <v>2493</v>
      </c>
      <c r="K57" t="s">
        <v>2469</v>
      </c>
      <c r="L57" t="s">
        <v>23</v>
      </c>
    </row>
    <row r="58" spans="1:12" x14ac:dyDescent="0.3">
      <c r="A58" t="s">
        <v>2550</v>
      </c>
      <c r="B58" t="s">
        <v>2569</v>
      </c>
      <c r="C58" s="4">
        <v>45985</v>
      </c>
      <c r="D58">
        <v>71</v>
      </c>
      <c r="E58">
        <v>13589.07</v>
      </c>
      <c r="F58">
        <v>4060.08</v>
      </c>
      <c r="G58">
        <v>9528.99</v>
      </c>
      <c r="H58" t="s">
        <v>2454</v>
      </c>
      <c r="I58" t="s">
        <v>2488</v>
      </c>
      <c r="J58" t="s">
        <v>2468</v>
      </c>
      <c r="K58" t="s">
        <v>2457</v>
      </c>
      <c r="L58" t="s">
        <v>12</v>
      </c>
    </row>
    <row r="59" spans="1:12" x14ac:dyDescent="0.3">
      <c r="A59" t="s">
        <v>2570</v>
      </c>
      <c r="B59" t="s">
        <v>2571</v>
      </c>
      <c r="C59" s="4">
        <v>45900</v>
      </c>
      <c r="D59">
        <v>121</v>
      </c>
      <c r="E59">
        <v>9966.18</v>
      </c>
      <c r="F59">
        <v>4270.33</v>
      </c>
      <c r="G59">
        <v>5695.85</v>
      </c>
      <c r="H59" t="s">
        <v>2454</v>
      </c>
      <c r="I59" t="s">
        <v>2508</v>
      </c>
      <c r="J59" t="s">
        <v>2456</v>
      </c>
      <c r="K59" t="s">
        <v>2457</v>
      </c>
      <c r="L59" t="s">
        <v>36</v>
      </c>
    </row>
    <row r="60" spans="1:12" x14ac:dyDescent="0.3">
      <c r="A60" t="s">
        <v>2543</v>
      </c>
      <c r="B60" t="s">
        <v>2572</v>
      </c>
      <c r="C60" s="4">
        <v>45907</v>
      </c>
      <c r="D60">
        <v>200</v>
      </c>
      <c r="E60">
        <v>2263.36</v>
      </c>
      <c r="F60">
        <v>921.82</v>
      </c>
      <c r="G60">
        <v>1341.54</v>
      </c>
      <c r="H60" t="s">
        <v>2460</v>
      </c>
      <c r="I60" t="s">
        <v>2508</v>
      </c>
      <c r="J60" t="s">
        <v>2493</v>
      </c>
      <c r="K60" t="s">
        <v>2457</v>
      </c>
      <c r="L60" t="s">
        <v>32</v>
      </c>
    </row>
    <row r="61" spans="1:12" x14ac:dyDescent="0.3">
      <c r="A61" t="s">
        <v>2573</v>
      </c>
      <c r="B61" t="s">
        <v>2574</v>
      </c>
      <c r="C61" s="4">
        <v>45922</v>
      </c>
      <c r="D61">
        <v>54</v>
      </c>
      <c r="E61">
        <v>11463.07</v>
      </c>
      <c r="F61">
        <v>5022.67</v>
      </c>
      <c r="G61">
        <v>6440.4</v>
      </c>
      <c r="H61" t="s">
        <v>2475</v>
      </c>
      <c r="I61" t="s">
        <v>2455</v>
      </c>
      <c r="J61" t="s">
        <v>2462</v>
      </c>
      <c r="K61" t="s">
        <v>2496</v>
      </c>
      <c r="L61" t="s">
        <v>32</v>
      </c>
    </row>
    <row r="62" spans="1:12" x14ac:dyDescent="0.3">
      <c r="A62" t="s">
        <v>2575</v>
      </c>
      <c r="B62" t="s">
        <v>2576</v>
      </c>
      <c r="C62" s="4">
        <v>45743</v>
      </c>
      <c r="D62">
        <v>133</v>
      </c>
      <c r="E62">
        <v>19624.97</v>
      </c>
      <c r="F62">
        <v>4682.59</v>
      </c>
      <c r="G62">
        <v>14942.38</v>
      </c>
      <c r="H62" t="s">
        <v>2454</v>
      </c>
      <c r="I62" t="s">
        <v>2508</v>
      </c>
      <c r="J62" t="s">
        <v>2468</v>
      </c>
      <c r="K62" t="s">
        <v>2469</v>
      </c>
      <c r="L62" t="s">
        <v>12</v>
      </c>
    </row>
    <row r="63" spans="1:12" x14ac:dyDescent="0.3">
      <c r="A63" t="s">
        <v>2577</v>
      </c>
      <c r="B63" t="s">
        <v>2578</v>
      </c>
      <c r="C63" s="4">
        <v>45849</v>
      </c>
      <c r="D63">
        <v>38</v>
      </c>
      <c r="E63">
        <v>6194.02</v>
      </c>
      <c r="F63">
        <v>1296.51</v>
      </c>
      <c r="G63">
        <v>4897.51</v>
      </c>
      <c r="H63" t="s">
        <v>2460</v>
      </c>
      <c r="I63" t="s">
        <v>2517</v>
      </c>
      <c r="J63" t="s">
        <v>2493</v>
      </c>
      <c r="K63" t="s">
        <v>2457</v>
      </c>
      <c r="L63" t="s">
        <v>23</v>
      </c>
    </row>
    <row r="64" spans="1:12" x14ac:dyDescent="0.3">
      <c r="A64" t="s">
        <v>2511</v>
      </c>
      <c r="B64" t="s">
        <v>2579</v>
      </c>
      <c r="C64" s="4">
        <v>45799</v>
      </c>
      <c r="D64">
        <v>107</v>
      </c>
      <c r="E64">
        <v>212.88</v>
      </c>
      <c r="F64">
        <v>26.4</v>
      </c>
      <c r="G64">
        <v>186.48</v>
      </c>
      <c r="H64" t="s">
        <v>2472</v>
      </c>
      <c r="I64" t="s">
        <v>2461</v>
      </c>
      <c r="J64" t="s">
        <v>2493</v>
      </c>
      <c r="K64" t="s">
        <v>2496</v>
      </c>
      <c r="L64" t="s">
        <v>23</v>
      </c>
    </row>
    <row r="65" spans="1:12" x14ac:dyDescent="0.3">
      <c r="A65" t="s">
        <v>2577</v>
      </c>
      <c r="B65" t="s">
        <v>2580</v>
      </c>
      <c r="C65" s="4">
        <v>45947</v>
      </c>
      <c r="D65">
        <v>181</v>
      </c>
      <c r="E65">
        <v>4124.04</v>
      </c>
      <c r="F65">
        <v>969.88</v>
      </c>
      <c r="G65">
        <v>3154.16</v>
      </c>
      <c r="H65" t="s">
        <v>2460</v>
      </c>
      <c r="I65" t="s">
        <v>2508</v>
      </c>
      <c r="J65" t="s">
        <v>2493</v>
      </c>
      <c r="K65" t="s">
        <v>2463</v>
      </c>
      <c r="L65" t="s">
        <v>84</v>
      </c>
    </row>
    <row r="66" spans="1:12" x14ac:dyDescent="0.3">
      <c r="A66" t="s">
        <v>2581</v>
      </c>
      <c r="B66" t="s">
        <v>2582</v>
      </c>
      <c r="C66" s="4">
        <v>45912</v>
      </c>
      <c r="D66">
        <v>98</v>
      </c>
      <c r="E66">
        <v>6581.13</v>
      </c>
      <c r="F66">
        <v>1816.46</v>
      </c>
      <c r="G66">
        <v>4764.67</v>
      </c>
      <c r="H66" t="s">
        <v>2475</v>
      </c>
      <c r="I66" t="s">
        <v>2455</v>
      </c>
      <c r="J66" t="s">
        <v>2462</v>
      </c>
      <c r="K66" t="s">
        <v>2469</v>
      </c>
      <c r="L66" t="s">
        <v>12</v>
      </c>
    </row>
    <row r="67" spans="1:12" x14ac:dyDescent="0.3">
      <c r="A67" t="s">
        <v>2497</v>
      </c>
      <c r="B67" t="s">
        <v>2583</v>
      </c>
      <c r="C67" s="4">
        <v>45801</v>
      </c>
      <c r="D67">
        <v>42</v>
      </c>
      <c r="E67">
        <v>6577.11</v>
      </c>
      <c r="F67">
        <v>2026.58</v>
      </c>
      <c r="G67">
        <v>4550.53</v>
      </c>
      <c r="H67" t="s">
        <v>2466</v>
      </c>
      <c r="I67" t="s">
        <v>2517</v>
      </c>
      <c r="J67" t="s">
        <v>2456</v>
      </c>
      <c r="K67" t="s">
        <v>2457</v>
      </c>
      <c r="L67" t="s">
        <v>12</v>
      </c>
    </row>
    <row r="68" spans="1:12" x14ac:dyDescent="0.3">
      <c r="A68" t="s">
        <v>2584</v>
      </c>
      <c r="B68" t="s">
        <v>2585</v>
      </c>
      <c r="C68" s="4">
        <v>45755</v>
      </c>
      <c r="D68">
        <v>156</v>
      </c>
      <c r="E68">
        <v>11763.68</v>
      </c>
      <c r="F68">
        <v>5602.73</v>
      </c>
      <c r="G68">
        <v>6160.95</v>
      </c>
      <c r="H68" t="s">
        <v>2472</v>
      </c>
      <c r="I68" t="s">
        <v>2485</v>
      </c>
      <c r="J68" t="s">
        <v>2493</v>
      </c>
      <c r="K68" t="s">
        <v>2469</v>
      </c>
      <c r="L68" t="s">
        <v>36</v>
      </c>
    </row>
    <row r="69" spans="1:12" x14ac:dyDescent="0.3">
      <c r="A69" t="s">
        <v>2577</v>
      </c>
      <c r="B69" t="s">
        <v>2586</v>
      </c>
      <c r="C69" s="4">
        <v>46015</v>
      </c>
      <c r="D69">
        <v>121</v>
      </c>
      <c r="E69">
        <v>2772.27</v>
      </c>
      <c r="F69">
        <v>554.65</v>
      </c>
      <c r="G69">
        <v>2217.62</v>
      </c>
      <c r="H69" t="s">
        <v>2460</v>
      </c>
      <c r="I69" t="s">
        <v>2461</v>
      </c>
      <c r="J69" t="s">
        <v>2468</v>
      </c>
      <c r="K69" t="s">
        <v>2496</v>
      </c>
      <c r="L69" t="s">
        <v>12</v>
      </c>
    </row>
    <row r="70" spans="1:12" x14ac:dyDescent="0.3">
      <c r="A70" t="s">
        <v>2520</v>
      </c>
      <c r="B70" t="s">
        <v>2587</v>
      </c>
      <c r="C70" s="4">
        <v>45724</v>
      </c>
      <c r="D70">
        <v>52</v>
      </c>
      <c r="E70">
        <v>11280.54</v>
      </c>
      <c r="F70">
        <v>3662.74</v>
      </c>
      <c r="G70">
        <v>7617.8</v>
      </c>
      <c r="H70" t="s">
        <v>2460</v>
      </c>
      <c r="I70" t="s">
        <v>2508</v>
      </c>
      <c r="J70" t="s">
        <v>2493</v>
      </c>
      <c r="K70" t="s">
        <v>2463</v>
      </c>
      <c r="L70" t="s">
        <v>84</v>
      </c>
    </row>
    <row r="71" spans="1:12" x14ac:dyDescent="0.3">
      <c r="A71" t="s">
        <v>2588</v>
      </c>
      <c r="B71" t="s">
        <v>2589</v>
      </c>
      <c r="C71" s="4">
        <v>45860</v>
      </c>
      <c r="D71">
        <v>180</v>
      </c>
      <c r="E71">
        <v>14256.91</v>
      </c>
      <c r="F71">
        <v>5338.01</v>
      </c>
      <c r="G71">
        <v>8918.9</v>
      </c>
      <c r="H71" t="s">
        <v>2460</v>
      </c>
      <c r="I71" t="s">
        <v>2517</v>
      </c>
      <c r="J71" t="s">
        <v>2468</v>
      </c>
      <c r="K71" t="s">
        <v>2496</v>
      </c>
      <c r="L71" t="s">
        <v>23</v>
      </c>
    </row>
    <row r="72" spans="1:12" x14ac:dyDescent="0.3">
      <c r="A72" t="s">
        <v>2464</v>
      </c>
      <c r="B72" t="s">
        <v>2590</v>
      </c>
      <c r="C72" s="4">
        <v>45974</v>
      </c>
      <c r="D72">
        <v>118</v>
      </c>
      <c r="E72">
        <v>7307.86</v>
      </c>
      <c r="F72">
        <v>3072.27</v>
      </c>
      <c r="G72">
        <v>4235.59</v>
      </c>
      <c r="H72" t="s">
        <v>2460</v>
      </c>
      <c r="I72" t="s">
        <v>2508</v>
      </c>
      <c r="J72" t="s">
        <v>2456</v>
      </c>
      <c r="K72" t="s">
        <v>2496</v>
      </c>
      <c r="L72" t="s">
        <v>84</v>
      </c>
    </row>
    <row r="73" spans="1:12" x14ac:dyDescent="0.3">
      <c r="A73" t="s">
        <v>2591</v>
      </c>
      <c r="B73" t="s">
        <v>2592</v>
      </c>
      <c r="C73" s="4">
        <v>45807</v>
      </c>
      <c r="D73">
        <v>102</v>
      </c>
      <c r="E73">
        <v>16140.69</v>
      </c>
      <c r="F73">
        <v>2917.61</v>
      </c>
      <c r="G73">
        <v>13223.08</v>
      </c>
      <c r="H73" t="s">
        <v>2466</v>
      </c>
      <c r="I73" t="s">
        <v>2480</v>
      </c>
      <c r="J73" t="s">
        <v>2493</v>
      </c>
      <c r="K73" t="s">
        <v>2463</v>
      </c>
      <c r="L73" t="s">
        <v>84</v>
      </c>
    </row>
    <row r="74" spans="1:12" x14ac:dyDescent="0.3">
      <c r="A74" t="s">
        <v>2511</v>
      </c>
      <c r="B74" t="s">
        <v>2593</v>
      </c>
      <c r="C74" s="4">
        <v>45720</v>
      </c>
      <c r="D74">
        <v>130</v>
      </c>
      <c r="E74">
        <v>17474.310000000001</v>
      </c>
      <c r="F74">
        <v>6451.03</v>
      </c>
      <c r="G74">
        <v>11023.28</v>
      </c>
      <c r="H74" t="s">
        <v>2466</v>
      </c>
      <c r="I74" t="s">
        <v>2517</v>
      </c>
      <c r="J74" t="s">
        <v>2493</v>
      </c>
      <c r="K74" t="s">
        <v>2469</v>
      </c>
      <c r="L74" t="s">
        <v>84</v>
      </c>
    </row>
    <row r="75" spans="1:12" x14ac:dyDescent="0.3">
      <c r="A75" t="s">
        <v>2497</v>
      </c>
      <c r="B75" t="s">
        <v>2594</v>
      </c>
      <c r="C75" s="4">
        <v>45670</v>
      </c>
      <c r="D75">
        <v>24</v>
      </c>
      <c r="E75">
        <v>19487.13</v>
      </c>
      <c r="F75">
        <v>3659</v>
      </c>
      <c r="G75">
        <v>15828.13</v>
      </c>
      <c r="H75" t="s">
        <v>2466</v>
      </c>
      <c r="I75" t="s">
        <v>2467</v>
      </c>
      <c r="J75" t="s">
        <v>2456</v>
      </c>
      <c r="K75" t="s">
        <v>2457</v>
      </c>
      <c r="L75" t="s">
        <v>12</v>
      </c>
    </row>
    <row r="76" spans="1:12" x14ac:dyDescent="0.3">
      <c r="A76" t="s">
        <v>2527</v>
      </c>
      <c r="B76" t="s">
        <v>2595</v>
      </c>
      <c r="C76" s="4">
        <v>45971</v>
      </c>
      <c r="D76">
        <v>19</v>
      </c>
      <c r="E76">
        <v>15365.59</v>
      </c>
      <c r="F76">
        <v>5034.09</v>
      </c>
      <c r="G76">
        <v>10331.5</v>
      </c>
      <c r="H76" t="s">
        <v>2460</v>
      </c>
      <c r="I76" t="s">
        <v>2517</v>
      </c>
      <c r="J76" t="s">
        <v>2462</v>
      </c>
      <c r="K76" t="s">
        <v>2496</v>
      </c>
      <c r="L76" t="s">
        <v>36</v>
      </c>
    </row>
    <row r="77" spans="1:12" x14ac:dyDescent="0.3">
      <c r="A77" t="s">
        <v>2558</v>
      </c>
      <c r="B77" t="s">
        <v>2596</v>
      </c>
      <c r="C77" s="4">
        <v>45946</v>
      </c>
      <c r="D77">
        <v>166</v>
      </c>
      <c r="E77">
        <v>11546.95</v>
      </c>
      <c r="F77">
        <v>3676.33</v>
      </c>
      <c r="G77">
        <v>7870.62</v>
      </c>
      <c r="H77" t="s">
        <v>2454</v>
      </c>
      <c r="I77" t="s">
        <v>2480</v>
      </c>
      <c r="J77" t="s">
        <v>2462</v>
      </c>
      <c r="K77" t="s">
        <v>2469</v>
      </c>
      <c r="L77" t="s">
        <v>23</v>
      </c>
    </row>
    <row r="78" spans="1:12" x14ac:dyDescent="0.3">
      <c r="A78" t="s">
        <v>2597</v>
      </c>
      <c r="B78" t="s">
        <v>2598</v>
      </c>
      <c r="C78" s="4">
        <v>45685</v>
      </c>
      <c r="D78">
        <v>3</v>
      </c>
      <c r="E78">
        <v>4582.08</v>
      </c>
      <c r="F78">
        <v>1508.15</v>
      </c>
      <c r="G78">
        <v>3073.93</v>
      </c>
      <c r="H78" t="s">
        <v>2460</v>
      </c>
      <c r="I78" t="s">
        <v>2455</v>
      </c>
      <c r="J78" t="s">
        <v>2493</v>
      </c>
      <c r="K78" t="s">
        <v>2457</v>
      </c>
      <c r="L78" t="s">
        <v>32</v>
      </c>
    </row>
    <row r="79" spans="1:12" x14ac:dyDescent="0.3">
      <c r="A79" t="s">
        <v>2599</v>
      </c>
      <c r="B79" t="s">
        <v>2600</v>
      </c>
      <c r="C79" s="4">
        <v>45818</v>
      </c>
      <c r="D79">
        <v>148</v>
      </c>
      <c r="E79">
        <v>3136.84</v>
      </c>
      <c r="F79">
        <v>598.52</v>
      </c>
      <c r="G79">
        <v>2538.3200000000002</v>
      </c>
      <c r="H79" t="s">
        <v>2475</v>
      </c>
      <c r="I79" t="s">
        <v>2508</v>
      </c>
      <c r="J79" t="s">
        <v>2468</v>
      </c>
      <c r="K79" t="s">
        <v>2463</v>
      </c>
      <c r="L79" t="s">
        <v>36</v>
      </c>
    </row>
    <row r="80" spans="1:12" x14ac:dyDescent="0.3">
      <c r="A80" t="s">
        <v>2536</v>
      </c>
      <c r="B80" t="s">
        <v>2601</v>
      </c>
      <c r="C80" s="4">
        <v>45911</v>
      </c>
      <c r="D80">
        <v>33</v>
      </c>
      <c r="E80">
        <v>10847.52</v>
      </c>
      <c r="F80">
        <v>1281.48</v>
      </c>
      <c r="G80">
        <v>9566.0400000000009</v>
      </c>
      <c r="H80" t="s">
        <v>2460</v>
      </c>
      <c r="I80" t="s">
        <v>2485</v>
      </c>
      <c r="J80" t="s">
        <v>2468</v>
      </c>
      <c r="K80" t="s">
        <v>2496</v>
      </c>
      <c r="L80" t="s">
        <v>32</v>
      </c>
    </row>
    <row r="81" spans="1:12" x14ac:dyDescent="0.3">
      <c r="A81" t="s">
        <v>2502</v>
      </c>
      <c r="B81" t="s">
        <v>2602</v>
      </c>
      <c r="C81" s="4">
        <v>45930</v>
      </c>
      <c r="D81">
        <v>109</v>
      </c>
      <c r="E81">
        <v>19820.97</v>
      </c>
      <c r="F81">
        <v>8063.34</v>
      </c>
      <c r="G81">
        <v>11757.63</v>
      </c>
      <c r="H81" t="s">
        <v>2475</v>
      </c>
      <c r="I81" t="s">
        <v>2485</v>
      </c>
      <c r="J81" t="s">
        <v>2456</v>
      </c>
      <c r="K81" t="s">
        <v>2496</v>
      </c>
      <c r="L81" t="s">
        <v>32</v>
      </c>
    </row>
    <row r="82" spans="1:12" x14ac:dyDescent="0.3">
      <c r="A82" t="s">
        <v>2534</v>
      </c>
      <c r="B82" t="s">
        <v>2603</v>
      </c>
      <c r="C82" s="4">
        <v>45835</v>
      </c>
      <c r="D82">
        <v>7</v>
      </c>
      <c r="E82">
        <v>8934.65</v>
      </c>
      <c r="F82">
        <v>1808.58</v>
      </c>
      <c r="G82">
        <v>7126.07</v>
      </c>
      <c r="H82" t="s">
        <v>2475</v>
      </c>
      <c r="I82" t="s">
        <v>2461</v>
      </c>
      <c r="J82" t="s">
        <v>2456</v>
      </c>
      <c r="K82" t="s">
        <v>2457</v>
      </c>
      <c r="L82" t="s">
        <v>84</v>
      </c>
    </row>
    <row r="83" spans="1:12" x14ac:dyDescent="0.3">
      <c r="A83" t="s">
        <v>2452</v>
      </c>
      <c r="B83" t="s">
        <v>2604</v>
      </c>
      <c r="C83" s="4">
        <v>45853</v>
      </c>
      <c r="D83">
        <v>53</v>
      </c>
      <c r="E83">
        <v>15442.58</v>
      </c>
      <c r="F83">
        <v>4075.5</v>
      </c>
      <c r="G83">
        <v>11367.08</v>
      </c>
      <c r="H83" t="s">
        <v>2472</v>
      </c>
      <c r="I83" t="s">
        <v>2488</v>
      </c>
      <c r="J83" t="s">
        <v>2468</v>
      </c>
      <c r="K83" t="s">
        <v>2463</v>
      </c>
      <c r="L83" t="s">
        <v>23</v>
      </c>
    </row>
    <row r="84" spans="1:12" x14ac:dyDescent="0.3">
      <c r="A84" t="s">
        <v>2605</v>
      </c>
      <c r="B84" t="s">
        <v>2606</v>
      </c>
      <c r="C84" s="4">
        <v>45897</v>
      </c>
      <c r="D84">
        <v>126</v>
      </c>
      <c r="E84">
        <v>14838.78</v>
      </c>
      <c r="F84">
        <v>5292.16</v>
      </c>
      <c r="G84">
        <v>9546.6200000000008</v>
      </c>
      <c r="H84" t="s">
        <v>2460</v>
      </c>
      <c r="I84" t="s">
        <v>2461</v>
      </c>
      <c r="J84" t="s">
        <v>2468</v>
      </c>
      <c r="K84" t="s">
        <v>2496</v>
      </c>
      <c r="L84" t="s">
        <v>32</v>
      </c>
    </row>
    <row r="85" spans="1:12" x14ac:dyDescent="0.3">
      <c r="A85" t="s">
        <v>2607</v>
      </c>
      <c r="B85" t="s">
        <v>2608</v>
      </c>
      <c r="C85" s="4">
        <v>45837</v>
      </c>
      <c r="D85">
        <v>66</v>
      </c>
      <c r="E85">
        <v>10223.83</v>
      </c>
      <c r="F85">
        <v>1247.73</v>
      </c>
      <c r="G85">
        <v>8976.1</v>
      </c>
      <c r="H85" t="s">
        <v>2472</v>
      </c>
      <c r="I85" t="s">
        <v>2480</v>
      </c>
      <c r="J85" t="s">
        <v>2462</v>
      </c>
      <c r="K85" t="s">
        <v>2457</v>
      </c>
      <c r="L85" t="s">
        <v>36</v>
      </c>
    </row>
    <row r="86" spans="1:12" x14ac:dyDescent="0.3">
      <c r="A86" t="s">
        <v>2609</v>
      </c>
      <c r="B86" t="s">
        <v>2610</v>
      </c>
      <c r="C86" s="4">
        <v>45843</v>
      </c>
      <c r="D86">
        <v>93</v>
      </c>
      <c r="E86">
        <v>18920.060000000001</v>
      </c>
      <c r="F86">
        <v>3129.12</v>
      </c>
      <c r="G86">
        <v>15790.94</v>
      </c>
      <c r="H86" t="s">
        <v>2454</v>
      </c>
      <c r="I86" t="s">
        <v>2508</v>
      </c>
      <c r="J86" t="s">
        <v>2468</v>
      </c>
      <c r="K86" t="s">
        <v>2463</v>
      </c>
      <c r="L86" t="s">
        <v>36</v>
      </c>
    </row>
    <row r="87" spans="1:12" x14ac:dyDescent="0.3">
      <c r="A87" t="s">
        <v>2611</v>
      </c>
      <c r="B87" t="s">
        <v>2612</v>
      </c>
      <c r="C87" s="4">
        <v>45757</v>
      </c>
      <c r="D87">
        <v>71</v>
      </c>
      <c r="E87">
        <v>14619.62</v>
      </c>
      <c r="F87">
        <v>2062.35</v>
      </c>
      <c r="G87">
        <v>12557.27</v>
      </c>
      <c r="H87" t="s">
        <v>2472</v>
      </c>
      <c r="I87" t="s">
        <v>2467</v>
      </c>
      <c r="J87" t="s">
        <v>2468</v>
      </c>
      <c r="K87" t="s">
        <v>2496</v>
      </c>
      <c r="L87" t="s">
        <v>32</v>
      </c>
    </row>
    <row r="88" spans="1:12" x14ac:dyDescent="0.3">
      <c r="A88" t="s">
        <v>2566</v>
      </c>
      <c r="B88" t="s">
        <v>2613</v>
      </c>
      <c r="C88" s="4">
        <v>45921</v>
      </c>
      <c r="D88">
        <v>133</v>
      </c>
      <c r="E88">
        <v>3199.59</v>
      </c>
      <c r="F88">
        <v>710.22</v>
      </c>
      <c r="G88">
        <v>2489.37</v>
      </c>
      <c r="H88" t="s">
        <v>2472</v>
      </c>
      <c r="I88" t="s">
        <v>2480</v>
      </c>
      <c r="J88" t="s">
        <v>2468</v>
      </c>
      <c r="K88" t="s">
        <v>2469</v>
      </c>
      <c r="L88" t="s">
        <v>32</v>
      </c>
    </row>
    <row r="89" spans="1:12" x14ac:dyDescent="0.3">
      <c r="A89" t="s">
        <v>2581</v>
      </c>
      <c r="B89" t="s">
        <v>2614</v>
      </c>
      <c r="C89" s="4">
        <v>45710</v>
      </c>
      <c r="D89">
        <v>41</v>
      </c>
      <c r="E89">
        <v>8442.86</v>
      </c>
      <c r="F89">
        <v>3631.65</v>
      </c>
      <c r="G89">
        <v>4811.21</v>
      </c>
      <c r="H89" t="s">
        <v>2466</v>
      </c>
      <c r="I89" t="s">
        <v>2467</v>
      </c>
      <c r="J89" t="s">
        <v>2468</v>
      </c>
      <c r="K89" t="s">
        <v>2469</v>
      </c>
      <c r="L89" t="s">
        <v>23</v>
      </c>
    </row>
    <row r="90" spans="1:12" x14ac:dyDescent="0.3">
      <c r="A90" t="s">
        <v>2541</v>
      </c>
      <c r="B90" t="s">
        <v>2615</v>
      </c>
      <c r="C90" s="4">
        <v>45833</v>
      </c>
      <c r="D90">
        <v>128</v>
      </c>
      <c r="E90">
        <v>4161.13</v>
      </c>
      <c r="F90">
        <v>1408.7</v>
      </c>
      <c r="G90">
        <v>2752.43</v>
      </c>
      <c r="H90" t="s">
        <v>2460</v>
      </c>
      <c r="I90" t="s">
        <v>2508</v>
      </c>
      <c r="J90" t="s">
        <v>2493</v>
      </c>
      <c r="K90" t="s">
        <v>2463</v>
      </c>
      <c r="L90" t="s">
        <v>84</v>
      </c>
    </row>
    <row r="91" spans="1:12" x14ac:dyDescent="0.3">
      <c r="A91" t="s">
        <v>2570</v>
      </c>
      <c r="B91" t="s">
        <v>2616</v>
      </c>
      <c r="C91" s="4">
        <v>45704</v>
      </c>
      <c r="D91">
        <v>121</v>
      </c>
      <c r="E91">
        <v>781.03</v>
      </c>
      <c r="F91">
        <v>118.08</v>
      </c>
      <c r="G91">
        <v>662.95</v>
      </c>
      <c r="H91" t="s">
        <v>2454</v>
      </c>
      <c r="I91" t="s">
        <v>2480</v>
      </c>
      <c r="J91" t="s">
        <v>2462</v>
      </c>
      <c r="K91" t="s">
        <v>2496</v>
      </c>
      <c r="L91" t="s">
        <v>36</v>
      </c>
    </row>
    <row r="92" spans="1:12" x14ac:dyDescent="0.3">
      <c r="A92" t="s">
        <v>2588</v>
      </c>
      <c r="B92" t="s">
        <v>2617</v>
      </c>
      <c r="C92" s="4">
        <v>45994</v>
      </c>
      <c r="D92">
        <v>90</v>
      </c>
      <c r="E92">
        <v>17954.060000000001</v>
      </c>
      <c r="F92">
        <v>8315.43</v>
      </c>
      <c r="G92">
        <v>9638.6299999999992</v>
      </c>
      <c r="H92" t="s">
        <v>2472</v>
      </c>
      <c r="I92" t="s">
        <v>2488</v>
      </c>
      <c r="J92" t="s">
        <v>2462</v>
      </c>
      <c r="K92" t="s">
        <v>2457</v>
      </c>
      <c r="L92" t="s">
        <v>12</v>
      </c>
    </row>
    <row r="93" spans="1:12" x14ac:dyDescent="0.3">
      <c r="A93" t="s">
        <v>2611</v>
      </c>
      <c r="B93" t="s">
        <v>2618</v>
      </c>
      <c r="C93" s="4">
        <v>45945</v>
      </c>
      <c r="D93">
        <v>155</v>
      </c>
      <c r="E93">
        <v>16207.56</v>
      </c>
      <c r="F93">
        <v>8099.1</v>
      </c>
      <c r="G93">
        <v>8108.46</v>
      </c>
      <c r="H93" t="s">
        <v>2454</v>
      </c>
      <c r="I93" t="s">
        <v>2517</v>
      </c>
      <c r="J93" t="s">
        <v>2493</v>
      </c>
      <c r="K93" t="s">
        <v>2496</v>
      </c>
      <c r="L93" t="s">
        <v>12</v>
      </c>
    </row>
    <row r="94" spans="1:12" x14ac:dyDescent="0.3">
      <c r="A94" t="s">
        <v>2470</v>
      </c>
      <c r="B94" t="s">
        <v>2619</v>
      </c>
      <c r="C94" s="4">
        <v>45966</v>
      </c>
      <c r="D94">
        <v>172</v>
      </c>
      <c r="E94">
        <v>14354.67</v>
      </c>
      <c r="F94">
        <v>4433.93</v>
      </c>
      <c r="G94">
        <v>9920.74</v>
      </c>
      <c r="H94" t="s">
        <v>2466</v>
      </c>
      <c r="I94" t="s">
        <v>2455</v>
      </c>
      <c r="J94" t="s">
        <v>2468</v>
      </c>
      <c r="K94" t="s">
        <v>2496</v>
      </c>
      <c r="L94" t="s">
        <v>84</v>
      </c>
    </row>
    <row r="95" spans="1:12" x14ac:dyDescent="0.3">
      <c r="A95" t="s">
        <v>2518</v>
      </c>
      <c r="B95" t="s">
        <v>2620</v>
      </c>
      <c r="C95" s="4">
        <v>45781</v>
      </c>
      <c r="D95">
        <v>37</v>
      </c>
      <c r="E95">
        <v>4588.4799999999996</v>
      </c>
      <c r="F95">
        <v>2143.39</v>
      </c>
      <c r="G95">
        <v>2445.09</v>
      </c>
      <c r="H95" t="s">
        <v>2472</v>
      </c>
      <c r="I95" t="s">
        <v>2461</v>
      </c>
      <c r="J95" t="s">
        <v>2493</v>
      </c>
      <c r="K95" t="s">
        <v>2463</v>
      </c>
      <c r="L95" t="s">
        <v>12</v>
      </c>
    </row>
    <row r="96" spans="1:12" x14ac:dyDescent="0.3">
      <c r="A96" t="s">
        <v>2554</v>
      </c>
      <c r="B96" t="s">
        <v>2621</v>
      </c>
      <c r="C96" s="4">
        <v>45715</v>
      </c>
      <c r="D96">
        <v>48</v>
      </c>
      <c r="E96">
        <v>14627.6</v>
      </c>
      <c r="F96">
        <v>5552</v>
      </c>
      <c r="G96">
        <v>9075.6</v>
      </c>
      <c r="H96" t="s">
        <v>2454</v>
      </c>
      <c r="I96" t="s">
        <v>2508</v>
      </c>
      <c r="J96" t="s">
        <v>2468</v>
      </c>
      <c r="K96" t="s">
        <v>2469</v>
      </c>
      <c r="L96" t="s">
        <v>84</v>
      </c>
    </row>
    <row r="97" spans="1:12" x14ac:dyDescent="0.3">
      <c r="A97" t="s">
        <v>2622</v>
      </c>
      <c r="B97" t="s">
        <v>2623</v>
      </c>
      <c r="C97" s="4">
        <v>45688</v>
      </c>
      <c r="D97">
        <v>38</v>
      </c>
      <c r="E97">
        <v>11629.43</v>
      </c>
      <c r="F97">
        <v>1467.06</v>
      </c>
      <c r="G97">
        <v>10162.370000000001</v>
      </c>
      <c r="H97" t="s">
        <v>2472</v>
      </c>
      <c r="I97" t="s">
        <v>2461</v>
      </c>
      <c r="J97" t="s">
        <v>2456</v>
      </c>
      <c r="K97" t="s">
        <v>2496</v>
      </c>
      <c r="L97" t="s">
        <v>84</v>
      </c>
    </row>
    <row r="98" spans="1:12" x14ac:dyDescent="0.3">
      <c r="A98" t="s">
        <v>2624</v>
      </c>
      <c r="B98" t="s">
        <v>2625</v>
      </c>
      <c r="C98" s="4">
        <v>45671</v>
      </c>
      <c r="D98">
        <v>163</v>
      </c>
      <c r="E98">
        <v>778.87</v>
      </c>
      <c r="F98">
        <v>141.83000000000001</v>
      </c>
      <c r="G98">
        <v>637.04</v>
      </c>
      <c r="H98" t="s">
        <v>2475</v>
      </c>
      <c r="I98" t="s">
        <v>2461</v>
      </c>
      <c r="J98" t="s">
        <v>2493</v>
      </c>
      <c r="K98" t="s">
        <v>2463</v>
      </c>
      <c r="L98" t="s">
        <v>23</v>
      </c>
    </row>
    <row r="99" spans="1:12" x14ac:dyDescent="0.3">
      <c r="A99" t="s">
        <v>2626</v>
      </c>
      <c r="B99" t="s">
        <v>2627</v>
      </c>
      <c r="C99" s="4">
        <v>45914</v>
      </c>
      <c r="D99">
        <v>89</v>
      </c>
      <c r="E99">
        <v>3836.19</v>
      </c>
      <c r="F99">
        <v>583.83000000000004</v>
      </c>
      <c r="G99">
        <v>3252.36</v>
      </c>
      <c r="H99" t="s">
        <v>2466</v>
      </c>
      <c r="I99" t="s">
        <v>2461</v>
      </c>
      <c r="J99" t="s">
        <v>2462</v>
      </c>
      <c r="K99" t="s">
        <v>2496</v>
      </c>
      <c r="L99" t="s">
        <v>84</v>
      </c>
    </row>
    <row r="100" spans="1:12" x14ac:dyDescent="0.3">
      <c r="A100" t="s">
        <v>2577</v>
      </c>
      <c r="B100" t="s">
        <v>2628</v>
      </c>
      <c r="C100" s="4">
        <v>45663</v>
      </c>
      <c r="D100">
        <v>113</v>
      </c>
      <c r="E100">
        <v>2444.6</v>
      </c>
      <c r="F100">
        <v>949.18</v>
      </c>
      <c r="G100">
        <v>1495.42</v>
      </c>
      <c r="H100" t="s">
        <v>2466</v>
      </c>
      <c r="I100" t="s">
        <v>2485</v>
      </c>
      <c r="J100" t="s">
        <v>2493</v>
      </c>
      <c r="K100" t="s">
        <v>2496</v>
      </c>
      <c r="L100" t="s">
        <v>12</v>
      </c>
    </row>
    <row r="101" spans="1:12" x14ac:dyDescent="0.3">
      <c r="A101" t="s">
        <v>2545</v>
      </c>
      <c r="B101" t="s">
        <v>2629</v>
      </c>
      <c r="C101" s="4">
        <v>45689</v>
      </c>
      <c r="D101">
        <v>125</v>
      </c>
      <c r="E101">
        <v>15462.96</v>
      </c>
      <c r="F101">
        <v>4909.08</v>
      </c>
      <c r="G101">
        <v>10553.88</v>
      </c>
      <c r="H101" t="s">
        <v>2472</v>
      </c>
      <c r="I101" t="s">
        <v>2485</v>
      </c>
      <c r="J101" t="s">
        <v>2493</v>
      </c>
      <c r="K101" t="s">
        <v>2463</v>
      </c>
      <c r="L101" t="s">
        <v>12</v>
      </c>
    </row>
    <row r="102" spans="1:12" x14ac:dyDescent="0.3">
      <c r="A102" t="s">
        <v>2581</v>
      </c>
      <c r="B102" t="s">
        <v>2630</v>
      </c>
      <c r="C102" s="4">
        <v>45865</v>
      </c>
      <c r="D102">
        <v>7</v>
      </c>
      <c r="E102">
        <v>19298.599999999999</v>
      </c>
      <c r="F102">
        <v>8674.89</v>
      </c>
      <c r="G102">
        <v>10623.71</v>
      </c>
      <c r="H102" t="s">
        <v>2475</v>
      </c>
      <c r="I102" t="s">
        <v>2517</v>
      </c>
      <c r="J102" t="s">
        <v>2456</v>
      </c>
      <c r="K102" t="s">
        <v>2463</v>
      </c>
      <c r="L102" t="s">
        <v>84</v>
      </c>
    </row>
    <row r="103" spans="1:12" x14ac:dyDescent="0.3">
      <c r="A103" t="s">
        <v>2631</v>
      </c>
      <c r="B103" t="s">
        <v>2632</v>
      </c>
      <c r="C103" s="4">
        <v>45820</v>
      </c>
      <c r="D103">
        <v>89</v>
      </c>
      <c r="E103">
        <v>6209.91</v>
      </c>
      <c r="F103">
        <v>2021.54</v>
      </c>
      <c r="G103">
        <v>4188.37</v>
      </c>
      <c r="H103" t="s">
        <v>2472</v>
      </c>
      <c r="I103" t="s">
        <v>2467</v>
      </c>
      <c r="J103" t="s">
        <v>2462</v>
      </c>
      <c r="K103" t="s">
        <v>2496</v>
      </c>
      <c r="L103" t="s">
        <v>36</v>
      </c>
    </row>
    <row r="104" spans="1:12" x14ac:dyDescent="0.3">
      <c r="A104" t="s">
        <v>2605</v>
      </c>
      <c r="B104" t="s">
        <v>2633</v>
      </c>
      <c r="C104" s="4">
        <v>45700</v>
      </c>
      <c r="D104">
        <v>5</v>
      </c>
      <c r="E104">
        <v>4053.67</v>
      </c>
      <c r="F104">
        <v>819.5</v>
      </c>
      <c r="G104">
        <v>3234.17</v>
      </c>
      <c r="H104" t="s">
        <v>2466</v>
      </c>
      <c r="I104" t="s">
        <v>2467</v>
      </c>
      <c r="J104" t="s">
        <v>2456</v>
      </c>
      <c r="K104" t="s">
        <v>2469</v>
      </c>
      <c r="L104" t="s">
        <v>23</v>
      </c>
    </row>
    <row r="105" spans="1:12" x14ac:dyDescent="0.3">
      <c r="A105" t="s">
        <v>2634</v>
      </c>
      <c r="B105" t="s">
        <v>2635</v>
      </c>
      <c r="C105" s="4">
        <v>45973</v>
      </c>
      <c r="D105">
        <v>136</v>
      </c>
      <c r="E105">
        <v>3418.39</v>
      </c>
      <c r="F105">
        <v>1492.13</v>
      </c>
      <c r="G105">
        <v>1926.26</v>
      </c>
      <c r="H105" t="s">
        <v>2475</v>
      </c>
      <c r="I105" t="s">
        <v>2455</v>
      </c>
      <c r="J105" t="s">
        <v>2468</v>
      </c>
      <c r="K105" t="s">
        <v>2457</v>
      </c>
      <c r="L105" t="s">
        <v>12</v>
      </c>
    </row>
    <row r="106" spans="1:12" x14ac:dyDescent="0.3">
      <c r="A106" t="s">
        <v>2502</v>
      </c>
      <c r="B106" t="s">
        <v>2636</v>
      </c>
      <c r="C106" s="4">
        <v>45947</v>
      </c>
      <c r="D106">
        <v>103</v>
      </c>
      <c r="E106">
        <v>6000.28</v>
      </c>
      <c r="F106">
        <v>837.74</v>
      </c>
      <c r="G106">
        <v>5162.54</v>
      </c>
      <c r="H106" t="s">
        <v>2454</v>
      </c>
      <c r="I106" t="s">
        <v>2517</v>
      </c>
      <c r="J106" t="s">
        <v>2462</v>
      </c>
      <c r="K106" t="s">
        <v>2469</v>
      </c>
      <c r="L106" t="s">
        <v>23</v>
      </c>
    </row>
    <row r="107" spans="1:12" x14ac:dyDescent="0.3">
      <c r="A107" t="s">
        <v>2547</v>
      </c>
      <c r="B107" t="s">
        <v>2637</v>
      </c>
      <c r="C107" s="4">
        <v>45904</v>
      </c>
      <c r="D107">
        <v>20</v>
      </c>
      <c r="E107">
        <v>5101.45</v>
      </c>
      <c r="F107">
        <v>1416.66</v>
      </c>
      <c r="G107">
        <v>3684.79</v>
      </c>
      <c r="H107" t="s">
        <v>2460</v>
      </c>
      <c r="I107" t="s">
        <v>2455</v>
      </c>
      <c r="J107" t="s">
        <v>2456</v>
      </c>
      <c r="K107" t="s">
        <v>2463</v>
      </c>
      <c r="L107" t="s">
        <v>84</v>
      </c>
    </row>
    <row r="108" spans="1:12" x14ac:dyDescent="0.3">
      <c r="A108" t="s">
        <v>2638</v>
      </c>
      <c r="B108" t="s">
        <v>2639</v>
      </c>
      <c r="C108" s="4">
        <v>45783</v>
      </c>
      <c r="D108">
        <v>124</v>
      </c>
      <c r="E108">
        <v>16466.580000000002</v>
      </c>
      <c r="F108">
        <v>3197.2</v>
      </c>
      <c r="G108">
        <v>13269.38</v>
      </c>
      <c r="H108" t="s">
        <v>2475</v>
      </c>
      <c r="I108" t="s">
        <v>2461</v>
      </c>
      <c r="J108" t="s">
        <v>2468</v>
      </c>
      <c r="K108" t="s">
        <v>2457</v>
      </c>
      <c r="L108" t="s">
        <v>36</v>
      </c>
    </row>
    <row r="109" spans="1:12" x14ac:dyDescent="0.3">
      <c r="A109" t="s">
        <v>2640</v>
      </c>
      <c r="B109" t="s">
        <v>2641</v>
      </c>
      <c r="C109" s="4">
        <v>45991</v>
      </c>
      <c r="D109">
        <v>90</v>
      </c>
      <c r="E109">
        <v>1503.58</v>
      </c>
      <c r="F109">
        <v>172.4</v>
      </c>
      <c r="G109">
        <v>1331.18</v>
      </c>
      <c r="H109" t="s">
        <v>2460</v>
      </c>
      <c r="I109" t="s">
        <v>2467</v>
      </c>
      <c r="J109" t="s">
        <v>2462</v>
      </c>
      <c r="K109" t="s">
        <v>2463</v>
      </c>
      <c r="L109" t="s">
        <v>32</v>
      </c>
    </row>
    <row r="110" spans="1:12" x14ac:dyDescent="0.3">
      <c r="A110" t="s">
        <v>2642</v>
      </c>
      <c r="B110" t="s">
        <v>2643</v>
      </c>
      <c r="C110" s="4">
        <v>45973</v>
      </c>
      <c r="D110">
        <v>114</v>
      </c>
      <c r="E110">
        <v>2933.93</v>
      </c>
      <c r="F110">
        <v>1143.68</v>
      </c>
      <c r="G110">
        <v>1790.25</v>
      </c>
      <c r="H110" t="s">
        <v>2460</v>
      </c>
      <c r="I110" t="s">
        <v>2480</v>
      </c>
      <c r="J110" t="s">
        <v>2456</v>
      </c>
      <c r="K110" t="s">
        <v>2469</v>
      </c>
      <c r="L110" t="s">
        <v>12</v>
      </c>
    </row>
    <row r="111" spans="1:12" x14ac:dyDescent="0.3">
      <c r="A111" t="s">
        <v>2478</v>
      </c>
      <c r="B111" t="s">
        <v>2644</v>
      </c>
      <c r="C111" s="4">
        <v>45835</v>
      </c>
      <c r="D111">
        <v>161</v>
      </c>
      <c r="E111">
        <v>12009.09</v>
      </c>
      <c r="F111">
        <v>4889.2299999999996</v>
      </c>
      <c r="G111">
        <v>7119.86</v>
      </c>
      <c r="H111" t="s">
        <v>2454</v>
      </c>
      <c r="I111" t="s">
        <v>2508</v>
      </c>
      <c r="J111" t="s">
        <v>2456</v>
      </c>
      <c r="K111" t="s">
        <v>2457</v>
      </c>
      <c r="L111" t="s">
        <v>84</v>
      </c>
    </row>
    <row r="112" spans="1:12" x14ac:dyDescent="0.3">
      <c r="A112" t="s">
        <v>2588</v>
      </c>
      <c r="B112" t="s">
        <v>2645</v>
      </c>
      <c r="C112" s="4">
        <v>45956</v>
      </c>
      <c r="D112">
        <v>185</v>
      </c>
      <c r="E112">
        <v>6893.41</v>
      </c>
      <c r="F112">
        <v>2696.42</v>
      </c>
      <c r="G112">
        <v>4196.99</v>
      </c>
      <c r="H112" t="s">
        <v>2472</v>
      </c>
      <c r="I112" t="s">
        <v>2461</v>
      </c>
      <c r="J112" t="s">
        <v>2493</v>
      </c>
      <c r="K112" t="s">
        <v>2463</v>
      </c>
      <c r="L112" t="s">
        <v>12</v>
      </c>
    </row>
    <row r="113" spans="1:12" x14ac:dyDescent="0.3">
      <c r="A113" t="s">
        <v>2452</v>
      </c>
      <c r="B113" t="s">
        <v>2646</v>
      </c>
      <c r="C113" s="4">
        <v>45811</v>
      </c>
      <c r="D113">
        <v>44</v>
      </c>
      <c r="E113">
        <v>17537.22</v>
      </c>
      <c r="F113">
        <v>3918.26</v>
      </c>
      <c r="G113">
        <v>13618.96</v>
      </c>
      <c r="H113" t="s">
        <v>2454</v>
      </c>
      <c r="I113" t="s">
        <v>2508</v>
      </c>
      <c r="J113" t="s">
        <v>2468</v>
      </c>
      <c r="K113" t="s">
        <v>2463</v>
      </c>
      <c r="L113" t="s">
        <v>84</v>
      </c>
    </row>
    <row r="114" spans="1:12" x14ac:dyDescent="0.3">
      <c r="A114" t="s">
        <v>2607</v>
      </c>
      <c r="B114" t="s">
        <v>2647</v>
      </c>
      <c r="C114" s="4">
        <v>45714</v>
      </c>
      <c r="D114">
        <v>171</v>
      </c>
      <c r="E114">
        <v>9941.18</v>
      </c>
      <c r="F114">
        <v>2180.6999999999998</v>
      </c>
      <c r="G114">
        <v>7760.48</v>
      </c>
      <c r="H114" t="s">
        <v>2454</v>
      </c>
      <c r="I114" t="s">
        <v>2461</v>
      </c>
      <c r="J114" t="s">
        <v>2456</v>
      </c>
      <c r="K114" t="s">
        <v>2463</v>
      </c>
      <c r="L114" t="s">
        <v>84</v>
      </c>
    </row>
    <row r="115" spans="1:12" x14ac:dyDescent="0.3">
      <c r="A115" t="s">
        <v>2506</v>
      </c>
      <c r="B115" t="s">
        <v>2648</v>
      </c>
      <c r="C115" s="4">
        <v>45870</v>
      </c>
      <c r="D115">
        <v>164</v>
      </c>
      <c r="E115">
        <v>10205.69</v>
      </c>
      <c r="F115">
        <v>3389.74</v>
      </c>
      <c r="G115">
        <v>6815.95</v>
      </c>
      <c r="H115" t="s">
        <v>2460</v>
      </c>
      <c r="I115" t="s">
        <v>2485</v>
      </c>
      <c r="J115" t="s">
        <v>2456</v>
      </c>
      <c r="K115" t="s">
        <v>2463</v>
      </c>
      <c r="L115" t="s">
        <v>36</v>
      </c>
    </row>
    <row r="116" spans="1:12" x14ac:dyDescent="0.3">
      <c r="A116" t="s">
        <v>2649</v>
      </c>
      <c r="B116" t="s">
        <v>2650</v>
      </c>
      <c r="C116" s="4">
        <v>45865</v>
      </c>
      <c r="D116">
        <v>150</v>
      </c>
      <c r="E116">
        <v>9950.02</v>
      </c>
      <c r="F116">
        <v>2622.49</v>
      </c>
      <c r="G116">
        <v>7327.53</v>
      </c>
      <c r="H116" t="s">
        <v>2460</v>
      </c>
      <c r="I116" t="s">
        <v>2488</v>
      </c>
      <c r="J116" t="s">
        <v>2462</v>
      </c>
      <c r="K116" t="s">
        <v>2457</v>
      </c>
      <c r="L116" t="s">
        <v>84</v>
      </c>
    </row>
    <row r="117" spans="1:12" x14ac:dyDescent="0.3">
      <c r="A117" t="s">
        <v>2511</v>
      </c>
      <c r="B117" t="s">
        <v>2651</v>
      </c>
      <c r="C117" s="4">
        <v>45814</v>
      </c>
      <c r="D117">
        <v>155</v>
      </c>
      <c r="E117">
        <v>2245.17</v>
      </c>
      <c r="F117">
        <v>369.82</v>
      </c>
      <c r="G117">
        <v>1875.35</v>
      </c>
      <c r="H117" t="s">
        <v>2472</v>
      </c>
      <c r="I117" t="s">
        <v>2488</v>
      </c>
      <c r="J117" t="s">
        <v>2456</v>
      </c>
      <c r="K117" t="s">
        <v>2496</v>
      </c>
      <c r="L117" t="s">
        <v>32</v>
      </c>
    </row>
    <row r="118" spans="1:12" x14ac:dyDescent="0.3">
      <c r="A118" t="s">
        <v>2581</v>
      </c>
      <c r="B118" t="s">
        <v>2652</v>
      </c>
      <c r="C118" s="4">
        <v>45881</v>
      </c>
      <c r="D118">
        <v>101</v>
      </c>
      <c r="E118">
        <v>14393.95</v>
      </c>
      <c r="F118">
        <v>6967.45</v>
      </c>
      <c r="G118">
        <v>7426.5</v>
      </c>
      <c r="H118" t="s">
        <v>2454</v>
      </c>
      <c r="I118" t="s">
        <v>2517</v>
      </c>
      <c r="J118" t="s">
        <v>2456</v>
      </c>
      <c r="K118" t="s">
        <v>2457</v>
      </c>
      <c r="L118" t="s">
        <v>36</v>
      </c>
    </row>
    <row r="119" spans="1:12" x14ac:dyDescent="0.3">
      <c r="A119" t="s">
        <v>2653</v>
      </c>
      <c r="B119" t="s">
        <v>2654</v>
      </c>
      <c r="C119" s="4">
        <v>45722</v>
      </c>
      <c r="D119">
        <v>146</v>
      </c>
      <c r="E119">
        <v>3696.68</v>
      </c>
      <c r="F119">
        <v>916.01</v>
      </c>
      <c r="G119">
        <v>2780.67</v>
      </c>
      <c r="H119" t="s">
        <v>2460</v>
      </c>
      <c r="I119" t="s">
        <v>2488</v>
      </c>
      <c r="J119" t="s">
        <v>2493</v>
      </c>
      <c r="K119" t="s">
        <v>2457</v>
      </c>
      <c r="L119" t="s">
        <v>36</v>
      </c>
    </row>
    <row r="120" spans="1:12" x14ac:dyDescent="0.3">
      <c r="A120" t="s">
        <v>2655</v>
      </c>
      <c r="B120" t="s">
        <v>2656</v>
      </c>
      <c r="C120" s="4">
        <v>45950</v>
      </c>
      <c r="D120">
        <v>92</v>
      </c>
      <c r="E120">
        <v>16385.53</v>
      </c>
      <c r="F120">
        <v>5937.79</v>
      </c>
      <c r="G120">
        <v>10447.74</v>
      </c>
      <c r="H120" t="s">
        <v>2475</v>
      </c>
      <c r="I120" t="s">
        <v>2508</v>
      </c>
      <c r="J120" t="s">
        <v>2462</v>
      </c>
      <c r="K120" t="s">
        <v>2463</v>
      </c>
      <c r="L120" t="s">
        <v>32</v>
      </c>
    </row>
    <row r="121" spans="1:12" x14ac:dyDescent="0.3">
      <c r="A121" t="s">
        <v>2464</v>
      </c>
      <c r="B121" t="s">
        <v>2657</v>
      </c>
      <c r="C121" s="4">
        <v>45857</v>
      </c>
      <c r="D121">
        <v>163</v>
      </c>
      <c r="E121">
        <v>5337.16</v>
      </c>
      <c r="F121">
        <v>974.26</v>
      </c>
      <c r="G121">
        <v>4362.8999999999996</v>
      </c>
      <c r="H121" t="s">
        <v>2475</v>
      </c>
      <c r="I121" t="s">
        <v>2485</v>
      </c>
      <c r="J121" t="s">
        <v>2462</v>
      </c>
      <c r="K121" t="s">
        <v>2469</v>
      </c>
      <c r="L121" t="s">
        <v>12</v>
      </c>
    </row>
    <row r="122" spans="1:12" x14ac:dyDescent="0.3">
      <c r="A122" t="s">
        <v>2530</v>
      </c>
      <c r="B122" t="s">
        <v>2658</v>
      </c>
      <c r="C122" s="4">
        <v>45928</v>
      </c>
      <c r="D122">
        <v>86</v>
      </c>
      <c r="E122">
        <v>7100.91</v>
      </c>
      <c r="F122">
        <v>2021.67</v>
      </c>
      <c r="G122">
        <v>5079.24</v>
      </c>
      <c r="H122" t="s">
        <v>2475</v>
      </c>
      <c r="I122" t="s">
        <v>2485</v>
      </c>
      <c r="J122" t="s">
        <v>2493</v>
      </c>
      <c r="K122" t="s">
        <v>2463</v>
      </c>
      <c r="L122" t="s">
        <v>32</v>
      </c>
    </row>
    <row r="123" spans="1:12" x14ac:dyDescent="0.3">
      <c r="A123" t="s">
        <v>2591</v>
      </c>
      <c r="B123" t="s">
        <v>2659</v>
      </c>
      <c r="C123" s="4">
        <v>45716</v>
      </c>
      <c r="D123">
        <v>160</v>
      </c>
      <c r="E123">
        <v>9994.1299999999992</v>
      </c>
      <c r="F123">
        <v>4252.7299999999996</v>
      </c>
      <c r="G123">
        <v>5741.4</v>
      </c>
      <c r="H123" t="s">
        <v>2454</v>
      </c>
      <c r="I123" t="s">
        <v>2455</v>
      </c>
      <c r="J123" t="s">
        <v>2493</v>
      </c>
      <c r="K123" t="s">
        <v>2457</v>
      </c>
      <c r="L123" t="s">
        <v>12</v>
      </c>
    </row>
    <row r="124" spans="1:12" x14ac:dyDescent="0.3">
      <c r="A124" t="s">
        <v>2470</v>
      </c>
      <c r="B124" t="s">
        <v>2660</v>
      </c>
      <c r="C124" s="4">
        <v>45860</v>
      </c>
      <c r="D124">
        <v>113</v>
      </c>
      <c r="E124">
        <v>17926.03</v>
      </c>
      <c r="F124">
        <v>3551</v>
      </c>
      <c r="G124">
        <v>14375.03</v>
      </c>
      <c r="H124" t="s">
        <v>2475</v>
      </c>
      <c r="I124" t="s">
        <v>2485</v>
      </c>
      <c r="J124" t="s">
        <v>2456</v>
      </c>
      <c r="K124" t="s">
        <v>2463</v>
      </c>
      <c r="L124" t="s">
        <v>36</v>
      </c>
    </row>
    <row r="125" spans="1:12" x14ac:dyDescent="0.3">
      <c r="A125" t="s">
        <v>2502</v>
      </c>
      <c r="B125" t="s">
        <v>2661</v>
      </c>
      <c r="C125" s="4">
        <v>45778</v>
      </c>
      <c r="D125">
        <v>180</v>
      </c>
      <c r="E125">
        <v>12881.92</v>
      </c>
      <c r="F125">
        <v>4914.6899999999996</v>
      </c>
      <c r="G125">
        <v>7967.23</v>
      </c>
      <c r="H125" t="s">
        <v>2466</v>
      </c>
      <c r="I125" t="s">
        <v>2467</v>
      </c>
      <c r="J125" t="s">
        <v>2462</v>
      </c>
      <c r="K125" t="s">
        <v>2463</v>
      </c>
      <c r="L125" t="s">
        <v>84</v>
      </c>
    </row>
    <row r="126" spans="1:12" x14ac:dyDescent="0.3">
      <c r="A126" t="s">
        <v>2662</v>
      </c>
      <c r="B126" t="s">
        <v>2663</v>
      </c>
      <c r="C126" s="4">
        <v>45691</v>
      </c>
      <c r="D126">
        <v>183</v>
      </c>
      <c r="E126">
        <v>11999.59</v>
      </c>
      <c r="F126">
        <v>1790.66</v>
      </c>
      <c r="G126">
        <v>10208.93</v>
      </c>
      <c r="H126" t="s">
        <v>2454</v>
      </c>
      <c r="I126" t="s">
        <v>2508</v>
      </c>
      <c r="J126" t="s">
        <v>2468</v>
      </c>
      <c r="K126" t="s">
        <v>2469</v>
      </c>
      <c r="L126" t="s">
        <v>12</v>
      </c>
    </row>
    <row r="127" spans="1:12" x14ac:dyDescent="0.3">
      <c r="A127" t="s">
        <v>2486</v>
      </c>
      <c r="B127" t="s">
        <v>2664</v>
      </c>
      <c r="C127" s="4">
        <v>45702</v>
      </c>
      <c r="D127">
        <v>35</v>
      </c>
      <c r="E127">
        <v>18433.04</v>
      </c>
      <c r="F127">
        <v>8452.4599999999991</v>
      </c>
      <c r="G127">
        <v>9980.58</v>
      </c>
      <c r="H127" t="s">
        <v>2460</v>
      </c>
      <c r="I127" t="s">
        <v>2488</v>
      </c>
      <c r="J127" t="s">
        <v>2493</v>
      </c>
      <c r="K127" t="s">
        <v>2496</v>
      </c>
      <c r="L127" t="s">
        <v>12</v>
      </c>
    </row>
    <row r="128" spans="1:12" x14ac:dyDescent="0.3">
      <c r="A128" t="s">
        <v>2556</v>
      </c>
      <c r="B128" t="s">
        <v>2665</v>
      </c>
      <c r="C128" s="4">
        <v>45854</v>
      </c>
      <c r="D128">
        <v>141</v>
      </c>
      <c r="E128">
        <v>3184.74</v>
      </c>
      <c r="F128">
        <v>327.8</v>
      </c>
      <c r="G128">
        <v>2856.94</v>
      </c>
      <c r="H128" t="s">
        <v>2472</v>
      </c>
      <c r="I128" t="s">
        <v>2517</v>
      </c>
      <c r="J128" t="s">
        <v>2468</v>
      </c>
      <c r="K128" t="s">
        <v>2496</v>
      </c>
      <c r="L128" t="s">
        <v>32</v>
      </c>
    </row>
    <row r="129" spans="1:12" x14ac:dyDescent="0.3">
      <c r="A129" t="s">
        <v>2554</v>
      </c>
      <c r="B129" t="s">
        <v>2666</v>
      </c>
      <c r="C129" s="4">
        <v>45848</v>
      </c>
      <c r="D129">
        <v>166</v>
      </c>
      <c r="E129">
        <v>16249.35</v>
      </c>
      <c r="F129">
        <v>7179.76</v>
      </c>
      <c r="G129">
        <v>9069.59</v>
      </c>
      <c r="H129" t="s">
        <v>2460</v>
      </c>
      <c r="I129" t="s">
        <v>2455</v>
      </c>
      <c r="J129" t="s">
        <v>2456</v>
      </c>
      <c r="K129" t="s">
        <v>2457</v>
      </c>
      <c r="L129" t="s">
        <v>36</v>
      </c>
    </row>
    <row r="130" spans="1:12" x14ac:dyDescent="0.3">
      <c r="A130" t="s">
        <v>2452</v>
      </c>
      <c r="B130" t="s">
        <v>2667</v>
      </c>
      <c r="C130" s="4">
        <v>45875</v>
      </c>
      <c r="D130">
        <v>142</v>
      </c>
      <c r="E130">
        <v>19967.61</v>
      </c>
      <c r="F130">
        <v>8448.3799999999992</v>
      </c>
      <c r="G130">
        <v>11519.23</v>
      </c>
      <c r="H130" t="s">
        <v>2475</v>
      </c>
      <c r="I130" t="s">
        <v>2461</v>
      </c>
      <c r="J130" t="s">
        <v>2462</v>
      </c>
      <c r="K130" t="s">
        <v>2469</v>
      </c>
      <c r="L130" t="s">
        <v>36</v>
      </c>
    </row>
    <row r="131" spans="1:12" x14ac:dyDescent="0.3">
      <c r="A131" t="s">
        <v>2489</v>
      </c>
      <c r="B131" t="s">
        <v>2668</v>
      </c>
      <c r="C131" s="4">
        <v>45816</v>
      </c>
      <c r="D131">
        <v>95</v>
      </c>
      <c r="E131">
        <v>7353.84</v>
      </c>
      <c r="F131">
        <v>954.51</v>
      </c>
      <c r="G131">
        <v>6399.33</v>
      </c>
      <c r="H131" t="s">
        <v>2475</v>
      </c>
      <c r="I131" t="s">
        <v>2485</v>
      </c>
      <c r="J131" t="s">
        <v>2493</v>
      </c>
      <c r="K131" t="s">
        <v>2463</v>
      </c>
      <c r="L131" t="s">
        <v>23</v>
      </c>
    </row>
    <row r="132" spans="1:12" x14ac:dyDescent="0.3">
      <c r="A132" t="s">
        <v>2458</v>
      </c>
      <c r="B132" t="s">
        <v>2669</v>
      </c>
      <c r="C132" s="4">
        <v>45962</v>
      </c>
      <c r="D132">
        <v>180</v>
      </c>
      <c r="E132">
        <v>5013.22</v>
      </c>
      <c r="F132">
        <v>1427.21</v>
      </c>
      <c r="G132">
        <v>3586.01</v>
      </c>
      <c r="H132" t="s">
        <v>2475</v>
      </c>
      <c r="I132" t="s">
        <v>2488</v>
      </c>
      <c r="J132" t="s">
        <v>2462</v>
      </c>
      <c r="K132" t="s">
        <v>2469</v>
      </c>
      <c r="L132" t="s">
        <v>84</v>
      </c>
    </row>
    <row r="133" spans="1:12" x14ac:dyDescent="0.3">
      <c r="A133" t="s">
        <v>2670</v>
      </c>
      <c r="B133" t="s">
        <v>2671</v>
      </c>
      <c r="C133" s="4">
        <v>45845</v>
      </c>
      <c r="D133">
        <v>90</v>
      </c>
      <c r="E133">
        <v>14379.53</v>
      </c>
      <c r="F133">
        <v>3480.04</v>
      </c>
      <c r="G133">
        <v>10899.49</v>
      </c>
      <c r="H133" t="s">
        <v>2466</v>
      </c>
      <c r="I133" t="s">
        <v>2455</v>
      </c>
      <c r="J133" t="s">
        <v>2462</v>
      </c>
      <c r="K133" t="s">
        <v>2469</v>
      </c>
      <c r="L133" t="s">
        <v>32</v>
      </c>
    </row>
    <row r="134" spans="1:12" x14ac:dyDescent="0.3">
      <c r="A134" t="s">
        <v>2566</v>
      </c>
      <c r="B134" t="s">
        <v>2672</v>
      </c>
      <c r="C134" s="4">
        <v>45692</v>
      </c>
      <c r="D134">
        <v>159</v>
      </c>
      <c r="E134">
        <v>8813.6299999999992</v>
      </c>
      <c r="F134">
        <v>2323.0500000000002</v>
      </c>
      <c r="G134">
        <v>6490.58</v>
      </c>
      <c r="H134" t="s">
        <v>2472</v>
      </c>
      <c r="I134" t="s">
        <v>2467</v>
      </c>
      <c r="J134" t="s">
        <v>2456</v>
      </c>
      <c r="K134" t="s">
        <v>2457</v>
      </c>
      <c r="L134" t="s">
        <v>23</v>
      </c>
    </row>
    <row r="135" spans="1:12" x14ac:dyDescent="0.3">
      <c r="A135" t="s">
        <v>2673</v>
      </c>
      <c r="B135" t="s">
        <v>2674</v>
      </c>
      <c r="C135" s="4">
        <v>45947</v>
      </c>
      <c r="D135">
        <v>123</v>
      </c>
      <c r="E135">
        <v>17364.79</v>
      </c>
      <c r="F135">
        <v>7655.23</v>
      </c>
      <c r="G135">
        <v>9709.56</v>
      </c>
      <c r="H135" t="s">
        <v>2460</v>
      </c>
      <c r="I135" t="s">
        <v>2488</v>
      </c>
      <c r="J135" t="s">
        <v>2493</v>
      </c>
      <c r="K135" t="s">
        <v>2469</v>
      </c>
      <c r="L135" t="s">
        <v>32</v>
      </c>
    </row>
    <row r="136" spans="1:12" x14ac:dyDescent="0.3">
      <c r="A136" t="s">
        <v>2655</v>
      </c>
      <c r="B136" t="s">
        <v>2675</v>
      </c>
      <c r="C136" s="4">
        <v>46022</v>
      </c>
      <c r="D136">
        <v>181</v>
      </c>
      <c r="E136">
        <v>15310.87</v>
      </c>
      <c r="F136">
        <v>6838.71</v>
      </c>
      <c r="G136">
        <v>8472.16</v>
      </c>
      <c r="H136" t="s">
        <v>2454</v>
      </c>
      <c r="I136" t="s">
        <v>2455</v>
      </c>
      <c r="J136" t="s">
        <v>2462</v>
      </c>
      <c r="K136" t="s">
        <v>2469</v>
      </c>
      <c r="L136" t="s">
        <v>36</v>
      </c>
    </row>
    <row r="137" spans="1:12" x14ac:dyDescent="0.3">
      <c r="A137" t="s">
        <v>2631</v>
      </c>
      <c r="B137" t="s">
        <v>2676</v>
      </c>
      <c r="C137" s="4">
        <v>45695</v>
      </c>
      <c r="D137">
        <v>60</v>
      </c>
      <c r="E137">
        <v>11440.16</v>
      </c>
      <c r="F137">
        <v>1711.59</v>
      </c>
      <c r="G137">
        <v>9728.57</v>
      </c>
      <c r="H137" t="s">
        <v>2454</v>
      </c>
      <c r="I137" t="s">
        <v>2467</v>
      </c>
      <c r="J137" t="s">
        <v>2493</v>
      </c>
      <c r="K137" t="s">
        <v>2463</v>
      </c>
      <c r="L137" t="s">
        <v>12</v>
      </c>
    </row>
    <row r="138" spans="1:12" x14ac:dyDescent="0.3">
      <c r="A138" t="s">
        <v>2566</v>
      </c>
      <c r="B138" t="s">
        <v>2677</v>
      </c>
      <c r="C138" s="4">
        <v>45733</v>
      </c>
      <c r="D138">
        <v>194</v>
      </c>
      <c r="E138">
        <v>7231.16</v>
      </c>
      <c r="F138">
        <v>3269.4</v>
      </c>
      <c r="G138">
        <v>3961.76</v>
      </c>
      <c r="H138" t="s">
        <v>2472</v>
      </c>
      <c r="I138" t="s">
        <v>2488</v>
      </c>
      <c r="J138" t="s">
        <v>2462</v>
      </c>
      <c r="K138" t="s">
        <v>2496</v>
      </c>
      <c r="L138" t="s">
        <v>32</v>
      </c>
    </row>
    <row r="139" spans="1:12" x14ac:dyDescent="0.3">
      <c r="A139" t="s">
        <v>2554</v>
      </c>
      <c r="B139" t="s">
        <v>2678</v>
      </c>
      <c r="C139" s="4">
        <v>45842</v>
      </c>
      <c r="D139">
        <v>199</v>
      </c>
      <c r="E139">
        <v>15200.54</v>
      </c>
      <c r="F139">
        <v>6509.84</v>
      </c>
      <c r="G139">
        <v>8690.7000000000007</v>
      </c>
      <c r="H139" t="s">
        <v>2475</v>
      </c>
      <c r="I139" t="s">
        <v>2480</v>
      </c>
      <c r="J139" t="s">
        <v>2462</v>
      </c>
      <c r="K139" t="s">
        <v>2463</v>
      </c>
      <c r="L139" t="s">
        <v>36</v>
      </c>
    </row>
    <row r="140" spans="1:12" x14ac:dyDescent="0.3">
      <c r="A140" t="s">
        <v>2558</v>
      </c>
      <c r="B140" t="s">
        <v>2679</v>
      </c>
      <c r="C140" s="4">
        <v>45993</v>
      </c>
      <c r="D140">
        <v>104</v>
      </c>
      <c r="E140">
        <v>11522.66</v>
      </c>
      <c r="F140">
        <v>1387.19</v>
      </c>
      <c r="G140">
        <v>10135.469999999999</v>
      </c>
      <c r="H140" t="s">
        <v>2454</v>
      </c>
      <c r="I140" t="s">
        <v>2461</v>
      </c>
      <c r="J140" t="s">
        <v>2462</v>
      </c>
      <c r="K140" t="s">
        <v>2457</v>
      </c>
      <c r="L140" t="s">
        <v>32</v>
      </c>
    </row>
    <row r="141" spans="1:12" x14ac:dyDescent="0.3">
      <c r="A141" t="s">
        <v>2458</v>
      </c>
      <c r="B141" t="s">
        <v>2680</v>
      </c>
      <c r="C141" s="4">
        <v>45943</v>
      </c>
      <c r="D141">
        <v>25</v>
      </c>
      <c r="E141">
        <v>6292.79</v>
      </c>
      <c r="F141">
        <v>2699.83</v>
      </c>
      <c r="G141">
        <v>3592.96</v>
      </c>
      <c r="H141" t="s">
        <v>2454</v>
      </c>
      <c r="I141" t="s">
        <v>2508</v>
      </c>
      <c r="J141" t="s">
        <v>2462</v>
      </c>
      <c r="K141" t="s">
        <v>2463</v>
      </c>
      <c r="L141" t="s">
        <v>23</v>
      </c>
    </row>
    <row r="142" spans="1:12" x14ac:dyDescent="0.3">
      <c r="A142" t="s">
        <v>2547</v>
      </c>
      <c r="B142" t="s">
        <v>2681</v>
      </c>
      <c r="C142" s="4">
        <v>45884</v>
      </c>
      <c r="D142">
        <v>52</v>
      </c>
      <c r="E142">
        <v>4610.1400000000003</v>
      </c>
      <c r="F142">
        <v>487.5</v>
      </c>
      <c r="G142">
        <v>4122.6400000000003</v>
      </c>
      <c r="H142" t="s">
        <v>2472</v>
      </c>
      <c r="I142" t="s">
        <v>2485</v>
      </c>
      <c r="J142" t="s">
        <v>2462</v>
      </c>
      <c r="K142" t="s">
        <v>2463</v>
      </c>
      <c r="L142" t="s">
        <v>12</v>
      </c>
    </row>
    <row r="143" spans="1:12" x14ac:dyDescent="0.3">
      <c r="A143" t="s">
        <v>2631</v>
      </c>
      <c r="B143" t="s">
        <v>2682</v>
      </c>
      <c r="C143" s="4">
        <v>45717</v>
      </c>
      <c r="D143">
        <v>156</v>
      </c>
      <c r="E143">
        <v>1311.93</v>
      </c>
      <c r="F143">
        <v>363.6</v>
      </c>
      <c r="G143">
        <v>948.33</v>
      </c>
      <c r="H143" t="s">
        <v>2460</v>
      </c>
      <c r="I143" t="s">
        <v>2488</v>
      </c>
      <c r="J143" t="s">
        <v>2468</v>
      </c>
      <c r="K143" t="s">
        <v>2463</v>
      </c>
      <c r="L143" t="s">
        <v>23</v>
      </c>
    </row>
    <row r="144" spans="1:12" x14ac:dyDescent="0.3">
      <c r="A144" t="s">
        <v>2673</v>
      </c>
      <c r="B144" t="s">
        <v>2683</v>
      </c>
      <c r="C144" s="4">
        <v>45883</v>
      </c>
      <c r="D144">
        <v>84</v>
      </c>
      <c r="E144">
        <v>7756.6</v>
      </c>
      <c r="F144">
        <v>3792.5</v>
      </c>
      <c r="G144">
        <v>3964.1</v>
      </c>
      <c r="H144" t="s">
        <v>2466</v>
      </c>
      <c r="I144" t="s">
        <v>2485</v>
      </c>
      <c r="J144" t="s">
        <v>2456</v>
      </c>
      <c r="K144" t="s">
        <v>2496</v>
      </c>
      <c r="L144" t="s">
        <v>32</v>
      </c>
    </row>
    <row r="145" spans="1:12" x14ac:dyDescent="0.3">
      <c r="A145" t="s">
        <v>2564</v>
      </c>
      <c r="B145" t="s">
        <v>2684</v>
      </c>
      <c r="C145" s="4">
        <v>45937</v>
      </c>
      <c r="D145">
        <v>138</v>
      </c>
      <c r="E145">
        <v>4445.6400000000003</v>
      </c>
      <c r="F145">
        <v>1608.88</v>
      </c>
      <c r="G145">
        <v>2836.76</v>
      </c>
      <c r="H145" t="s">
        <v>2475</v>
      </c>
      <c r="I145" t="s">
        <v>2485</v>
      </c>
      <c r="J145" t="s">
        <v>2468</v>
      </c>
      <c r="K145" t="s">
        <v>2457</v>
      </c>
      <c r="L145" t="s">
        <v>84</v>
      </c>
    </row>
    <row r="146" spans="1:12" x14ac:dyDescent="0.3">
      <c r="A146" t="s">
        <v>2575</v>
      </c>
      <c r="B146" t="s">
        <v>2685</v>
      </c>
      <c r="C146" s="4">
        <v>45908</v>
      </c>
      <c r="D146">
        <v>114</v>
      </c>
      <c r="E146">
        <v>703.8</v>
      </c>
      <c r="F146">
        <v>340.98</v>
      </c>
      <c r="G146">
        <v>362.82</v>
      </c>
      <c r="H146" t="s">
        <v>2466</v>
      </c>
      <c r="I146" t="s">
        <v>2488</v>
      </c>
      <c r="J146" t="s">
        <v>2493</v>
      </c>
      <c r="K146" t="s">
        <v>2469</v>
      </c>
      <c r="L146" t="s">
        <v>84</v>
      </c>
    </row>
    <row r="147" spans="1:12" x14ac:dyDescent="0.3">
      <c r="A147" t="s">
        <v>2607</v>
      </c>
      <c r="B147" t="s">
        <v>2686</v>
      </c>
      <c r="C147" s="4">
        <v>45673</v>
      </c>
      <c r="D147">
        <v>47</v>
      </c>
      <c r="E147">
        <v>11843.12</v>
      </c>
      <c r="F147">
        <v>5128.6099999999997</v>
      </c>
      <c r="G147">
        <v>6714.51</v>
      </c>
      <c r="H147" t="s">
        <v>2472</v>
      </c>
      <c r="I147" t="s">
        <v>2517</v>
      </c>
      <c r="J147" t="s">
        <v>2468</v>
      </c>
      <c r="K147" t="s">
        <v>2496</v>
      </c>
      <c r="L147" t="s">
        <v>36</v>
      </c>
    </row>
    <row r="148" spans="1:12" x14ac:dyDescent="0.3">
      <c r="A148" t="s">
        <v>2509</v>
      </c>
      <c r="B148" t="s">
        <v>2687</v>
      </c>
      <c r="C148" s="4">
        <v>45930</v>
      </c>
      <c r="D148">
        <v>169</v>
      </c>
      <c r="E148">
        <v>11004.81</v>
      </c>
      <c r="F148">
        <v>3790.74</v>
      </c>
      <c r="G148">
        <v>7214.07</v>
      </c>
      <c r="H148" t="s">
        <v>2454</v>
      </c>
      <c r="I148" t="s">
        <v>2488</v>
      </c>
      <c r="J148" t="s">
        <v>2456</v>
      </c>
      <c r="K148" t="s">
        <v>2469</v>
      </c>
      <c r="L148" t="s">
        <v>23</v>
      </c>
    </row>
    <row r="149" spans="1:12" x14ac:dyDescent="0.3">
      <c r="A149" t="s">
        <v>2599</v>
      </c>
      <c r="B149" t="s">
        <v>2688</v>
      </c>
      <c r="C149" s="4">
        <v>45855</v>
      </c>
      <c r="D149">
        <v>62</v>
      </c>
      <c r="E149">
        <v>19211.7</v>
      </c>
      <c r="F149">
        <v>5834.45</v>
      </c>
      <c r="G149">
        <v>13377.25</v>
      </c>
      <c r="H149" t="s">
        <v>2454</v>
      </c>
      <c r="I149" t="s">
        <v>2480</v>
      </c>
      <c r="J149" t="s">
        <v>2493</v>
      </c>
      <c r="K149" t="s">
        <v>2463</v>
      </c>
      <c r="L149" t="s">
        <v>23</v>
      </c>
    </row>
    <row r="150" spans="1:12" x14ac:dyDescent="0.3">
      <c r="A150" t="s">
        <v>2534</v>
      </c>
      <c r="B150" t="s">
        <v>2689</v>
      </c>
      <c r="C150" s="4">
        <v>45906</v>
      </c>
      <c r="D150">
        <v>24</v>
      </c>
      <c r="E150">
        <v>13303.9</v>
      </c>
      <c r="F150">
        <v>4946.1099999999997</v>
      </c>
      <c r="G150">
        <v>8357.7900000000009</v>
      </c>
      <c r="H150" t="s">
        <v>2466</v>
      </c>
      <c r="I150" t="s">
        <v>2461</v>
      </c>
      <c r="J150" t="s">
        <v>2468</v>
      </c>
      <c r="K150" t="s">
        <v>2469</v>
      </c>
      <c r="L150" t="s">
        <v>84</v>
      </c>
    </row>
    <row r="151" spans="1:12" x14ac:dyDescent="0.3">
      <c r="A151" t="s">
        <v>2543</v>
      </c>
      <c r="B151" t="s">
        <v>2690</v>
      </c>
      <c r="C151" s="4">
        <v>45721</v>
      </c>
      <c r="D151">
        <v>196</v>
      </c>
      <c r="E151">
        <v>4041.03</v>
      </c>
      <c r="F151">
        <v>494.22</v>
      </c>
      <c r="G151">
        <v>3546.81</v>
      </c>
      <c r="H151" t="s">
        <v>2454</v>
      </c>
      <c r="I151" t="s">
        <v>2461</v>
      </c>
      <c r="J151" t="s">
        <v>2462</v>
      </c>
      <c r="K151" t="s">
        <v>2457</v>
      </c>
      <c r="L151" t="s">
        <v>23</v>
      </c>
    </row>
    <row r="152" spans="1:12" x14ac:dyDescent="0.3">
      <c r="A152" t="s">
        <v>2649</v>
      </c>
      <c r="B152" t="s">
        <v>2691</v>
      </c>
      <c r="C152" s="4">
        <v>45799</v>
      </c>
      <c r="D152">
        <v>126</v>
      </c>
      <c r="E152">
        <v>2175.94</v>
      </c>
      <c r="F152">
        <v>599.47</v>
      </c>
      <c r="G152">
        <v>1576.47</v>
      </c>
      <c r="H152" t="s">
        <v>2466</v>
      </c>
      <c r="I152" t="s">
        <v>2461</v>
      </c>
      <c r="J152" t="s">
        <v>2493</v>
      </c>
      <c r="K152" t="s">
        <v>2457</v>
      </c>
      <c r="L152" t="s">
        <v>12</v>
      </c>
    </row>
    <row r="153" spans="1:12" x14ac:dyDescent="0.3">
      <c r="A153" t="s">
        <v>2491</v>
      </c>
      <c r="B153" t="s">
        <v>2692</v>
      </c>
      <c r="C153" s="4">
        <v>45923</v>
      </c>
      <c r="D153">
        <v>11</v>
      </c>
      <c r="E153">
        <v>3842.77</v>
      </c>
      <c r="F153">
        <v>1784.29</v>
      </c>
      <c r="G153">
        <v>2058.48</v>
      </c>
      <c r="H153" t="s">
        <v>2466</v>
      </c>
      <c r="I153" t="s">
        <v>2467</v>
      </c>
      <c r="J153" t="s">
        <v>2493</v>
      </c>
      <c r="K153" t="s">
        <v>2463</v>
      </c>
      <c r="L153" t="s">
        <v>23</v>
      </c>
    </row>
    <row r="154" spans="1:12" x14ac:dyDescent="0.3">
      <c r="A154" t="s">
        <v>2673</v>
      </c>
      <c r="B154" t="s">
        <v>2693</v>
      </c>
      <c r="C154" s="4">
        <v>45824</v>
      </c>
      <c r="D154">
        <v>78</v>
      </c>
      <c r="E154">
        <v>7759.54</v>
      </c>
      <c r="F154">
        <v>2787.95</v>
      </c>
      <c r="G154">
        <v>4971.59</v>
      </c>
      <c r="H154" t="s">
        <v>2466</v>
      </c>
      <c r="I154" t="s">
        <v>2480</v>
      </c>
      <c r="J154" t="s">
        <v>2462</v>
      </c>
      <c r="K154" t="s">
        <v>2496</v>
      </c>
      <c r="L154" t="s">
        <v>12</v>
      </c>
    </row>
    <row r="155" spans="1:12" x14ac:dyDescent="0.3">
      <c r="A155" t="s">
        <v>2486</v>
      </c>
      <c r="B155" t="s">
        <v>2694</v>
      </c>
      <c r="C155" s="4">
        <v>45785</v>
      </c>
      <c r="D155">
        <v>179</v>
      </c>
      <c r="E155">
        <v>989.94</v>
      </c>
      <c r="F155">
        <v>410.04</v>
      </c>
      <c r="G155">
        <v>579.9</v>
      </c>
      <c r="H155" t="s">
        <v>2454</v>
      </c>
      <c r="I155" t="s">
        <v>2467</v>
      </c>
      <c r="J155" t="s">
        <v>2468</v>
      </c>
      <c r="K155" t="s">
        <v>2469</v>
      </c>
      <c r="L155" t="s">
        <v>32</v>
      </c>
    </row>
    <row r="156" spans="1:12" x14ac:dyDescent="0.3">
      <c r="A156" t="s">
        <v>2670</v>
      </c>
      <c r="B156" t="s">
        <v>2695</v>
      </c>
      <c r="C156" s="4">
        <v>45890</v>
      </c>
      <c r="D156">
        <v>53</v>
      </c>
      <c r="E156">
        <v>11465.79</v>
      </c>
      <c r="F156">
        <v>2921.41</v>
      </c>
      <c r="G156">
        <v>8544.3799999999992</v>
      </c>
      <c r="H156" t="s">
        <v>2472</v>
      </c>
      <c r="I156" t="s">
        <v>2461</v>
      </c>
      <c r="J156" t="s">
        <v>2468</v>
      </c>
      <c r="K156" t="s">
        <v>2463</v>
      </c>
      <c r="L156" t="s">
        <v>32</v>
      </c>
    </row>
    <row r="157" spans="1:12" x14ac:dyDescent="0.3">
      <c r="A157" t="s">
        <v>2491</v>
      </c>
      <c r="B157" t="s">
        <v>2696</v>
      </c>
      <c r="C157" s="4">
        <v>45968</v>
      </c>
      <c r="D157">
        <v>169</v>
      </c>
      <c r="E157">
        <v>16291.39</v>
      </c>
      <c r="F157">
        <v>2728.46</v>
      </c>
      <c r="G157">
        <v>13562.93</v>
      </c>
      <c r="H157" t="s">
        <v>2475</v>
      </c>
      <c r="I157" t="s">
        <v>2461</v>
      </c>
      <c r="J157" t="s">
        <v>2468</v>
      </c>
      <c r="K157" t="s">
        <v>2469</v>
      </c>
      <c r="L157" t="s">
        <v>36</v>
      </c>
    </row>
    <row r="158" spans="1:12" x14ac:dyDescent="0.3">
      <c r="A158" t="s">
        <v>2653</v>
      </c>
      <c r="B158" t="s">
        <v>2697</v>
      </c>
      <c r="C158" s="4">
        <v>45949</v>
      </c>
      <c r="D158">
        <v>37</v>
      </c>
      <c r="E158">
        <v>12015.16</v>
      </c>
      <c r="F158">
        <v>3019.34</v>
      </c>
      <c r="G158">
        <v>8995.82</v>
      </c>
      <c r="H158" t="s">
        <v>2460</v>
      </c>
      <c r="I158" t="s">
        <v>2461</v>
      </c>
      <c r="J158" t="s">
        <v>2493</v>
      </c>
      <c r="K158" t="s">
        <v>2496</v>
      </c>
      <c r="L158" t="s">
        <v>84</v>
      </c>
    </row>
    <row r="159" spans="1:12" x14ac:dyDescent="0.3">
      <c r="A159" t="s">
        <v>2476</v>
      </c>
      <c r="B159" t="s">
        <v>2698</v>
      </c>
      <c r="C159" s="4">
        <v>45720</v>
      </c>
      <c r="D159">
        <v>3</v>
      </c>
      <c r="E159">
        <v>8376.16</v>
      </c>
      <c r="F159">
        <v>2802.19</v>
      </c>
      <c r="G159">
        <v>5573.97</v>
      </c>
      <c r="H159" t="s">
        <v>2460</v>
      </c>
      <c r="I159" t="s">
        <v>2455</v>
      </c>
      <c r="J159" t="s">
        <v>2462</v>
      </c>
      <c r="K159" t="s">
        <v>2469</v>
      </c>
      <c r="L159" t="s">
        <v>12</v>
      </c>
    </row>
    <row r="160" spans="1:12" x14ac:dyDescent="0.3">
      <c r="A160" t="s">
        <v>2566</v>
      </c>
      <c r="B160" t="s">
        <v>2699</v>
      </c>
      <c r="C160" s="4">
        <v>45671</v>
      </c>
      <c r="D160">
        <v>178</v>
      </c>
      <c r="E160">
        <v>7969.82</v>
      </c>
      <c r="F160">
        <v>1766.11</v>
      </c>
      <c r="G160">
        <v>6203.71</v>
      </c>
      <c r="H160" t="s">
        <v>2454</v>
      </c>
      <c r="I160" t="s">
        <v>2467</v>
      </c>
      <c r="J160" t="s">
        <v>2468</v>
      </c>
      <c r="K160" t="s">
        <v>2463</v>
      </c>
      <c r="L160" t="s">
        <v>36</v>
      </c>
    </row>
    <row r="161" spans="1:12" x14ac:dyDescent="0.3">
      <c r="A161" t="s">
        <v>2497</v>
      </c>
      <c r="B161" t="s">
        <v>2700</v>
      </c>
      <c r="C161" s="4">
        <v>45791</v>
      </c>
      <c r="D161">
        <v>126</v>
      </c>
      <c r="E161">
        <v>1423.36</v>
      </c>
      <c r="F161">
        <v>405.98</v>
      </c>
      <c r="G161">
        <v>1017.38</v>
      </c>
      <c r="H161" t="s">
        <v>2475</v>
      </c>
      <c r="I161" t="s">
        <v>2508</v>
      </c>
      <c r="J161" t="s">
        <v>2462</v>
      </c>
      <c r="K161" t="s">
        <v>2469</v>
      </c>
      <c r="L161" t="s">
        <v>36</v>
      </c>
    </row>
    <row r="162" spans="1:12" x14ac:dyDescent="0.3">
      <c r="A162" t="s">
        <v>2631</v>
      </c>
      <c r="B162" t="s">
        <v>2701</v>
      </c>
      <c r="C162" s="4">
        <v>45766</v>
      </c>
      <c r="D162">
        <v>146</v>
      </c>
      <c r="E162">
        <v>5303.83</v>
      </c>
      <c r="F162">
        <v>1037.45</v>
      </c>
      <c r="G162">
        <v>4266.38</v>
      </c>
      <c r="H162" t="s">
        <v>2454</v>
      </c>
      <c r="I162" t="s">
        <v>2455</v>
      </c>
      <c r="J162" t="s">
        <v>2456</v>
      </c>
      <c r="K162" t="s">
        <v>2457</v>
      </c>
      <c r="L162" t="s">
        <v>23</v>
      </c>
    </row>
    <row r="163" spans="1:12" x14ac:dyDescent="0.3">
      <c r="A163" t="s">
        <v>2702</v>
      </c>
      <c r="B163" t="s">
        <v>2703</v>
      </c>
      <c r="C163" s="4">
        <v>45933</v>
      </c>
      <c r="D163">
        <v>10</v>
      </c>
      <c r="E163">
        <v>9432.24</v>
      </c>
      <c r="F163">
        <v>4303.58</v>
      </c>
      <c r="G163">
        <v>5128.66</v>
      </c>
      <c r="H163" t="s">
        <v>2475</v>
      </c>
      <c r="I163" t="s">
        <v>2480</v>
      </c>
      <c r="J163" t="s">
        <v>2462</v>
      </c>
      <c r="K163" t="s">
        <v>2496</v>
      </c>
      <c r="L163" t="s">
        <v>23</v>
      </c>
    </row>
    <row r="164" spans="1:12" x14ac:dyDescent="0.3">
      <c r="A164" t="s">
        <v>2497</v>
      </c>
      <c r="B164" t="s">
        <v>2704</v>
      </c>
      <c r="C164" s="4">
        <v>45745</v>
      </c>
      <c r="D164">
        <v>112</v>
      </c>
      <c r="E164">
        <v>12344.88</v>
      </c>
      <c r="F164">
        <v>4009.08</v>
      </c>
      <c r="G164">
        <v>8335.7999999999993</v>
      </c>
      <c r="H164" t="s">
        <v>2475</v>
      </c>
      <c r="I164" t="s">
        <v>2517</v>
      </c>
      <c r="J164" t="s">
        <v>2456</v>
      </c>
      <c r="K164" t="s">
        <v>2496</v>
      </c>
      <c r="L164" t="s">
        <v>32</v>
      </c>
    </row>
    <row r="165" spans="1:12" x14ac:dyDescent="0.3">
      <c r="A165" t="s">
        <v>2599</v>
      </c>
      <c r="B165" t="s">
        <v>2705</v>
      </c>
      <c r="C165" s="4">
        <v>45964</v>
      </c>
      <c r="D165">
        <v>146</v>
      </c>
      <c r="E165">
        <v>382.8</v>
      </c>
      <c r="F165">
        <v>168.02</v>
      </c>
      <c r="G165">
        <v>214.78</v>
      </c>
      <c r="H165" t="s">
        <v>2460</v>
      </c>
      <c r="I165" t="s">
        <v>2467</v>
      </c>
      <c r="J165" t="s">
        <v>2493</v>
      </c>
      <c r="K165" t="s">
        <v>2457</v>
      </c>
      <c r="L165" t="s">
        <v>12</v>
      </c>
    </row>
    <row r="166" spans="1:12" x14ac:dyDescent="0.3">
      <c r="A166" t="s">
        <v>2473</v>
      </c>
      <c r="B166" t="s">
        <v>2706</v>
      </c>
      <c r="C166" s="4">
        <v>45917</v>
      </c>
      <c r="D166">
        <v>98</v>
      </c>
      <c r="E166">
        <v>3146.64</v>
      </c>
      <c r="F166">
        <v>1206.04</v>
      </c>
      <c r="G166">
        <v>1940.6</v>
      </c>
      <c r="H166" t="s">
        <v>2472</v>
      </c>
      <c r="I166" t="s">
        <v>2455</v>
      </c>
      <c r="J166" t="s">
        <v>2468</v>
      </c>
      <c r="K166" t="s">
        <v>2496</v>
      </c>
      <c r="L166" t="s">
        <v>12</v>
      </c>
    </row>
    <row r="167" spans="1:12" x14ac:dyDescent="0.3">
      <c r="A167" t="s">
        <v>2464</v>
      </c>
      <c r="B167" t="s">
        <v>2707</v>
      </c>
      <c r="C167" s="4">
        <v>45980</v>
      </c>
      <c r="D167">
        <v>113</v>
      </c>
      <c r="E167">
        <v>1480.72</v>
      </c>
      <c r="F167">
        <v>594.79</v>
      </c>
      <c r="G167">
        <v>885.93</v>
      </c>
      <c r="H167" t="s">
        <v>2466</v>
      </c>
      <c r="I167" t="s">
        <v>2508</v>
      </c>
      <c r="J167" t="s">
        <v>2468</v>
      </c>
      <c r="K167" t="s">
        <v>2496</v>
      </c>
      <c r="L167" t="s">
        <v>23</v>
      </c>
    </row>
    <row r="168" spans="1:12" x14ac:dyDescent="0.3">
      <c r="A168" t="s">
        <v>2486</v>
      </c>
      <c r="B168" t="s">
        <v>2708</v>
      </c>
      <c r="C168" s="4">
        <v>45812</v>
      </c>
      <c r="D168">
        <v>29</v>
      </c>
      <c r="E168">
        <v>13726.78</v>
      </c>
      <c r="F168">
        <v>4612.6099999999997</v>
      </c>
      <c r="G168">
        <v>9114.17</v>
      </c>
      <c r="H168" t="s">
        <v>2466</v>
      </c>
      <c r="I168" t="s">
        <v>2480</v>
      </c>
      <c r="J168" t="s">
        <v>2468</v>
      </c>
      <c r="K168" t="s">
        <v>2469</v>
      </c>
      <c r="L168" t="s">
        <v>23</v>
      </c>
    </row>
    <row r="169" spans="1:12" x14ac:dyDescent="0.3">
      <c r="A169" t="s">
        <v>2709</v>
      </c>
      <c r="B169" t="s">
        <v>2710</v>
      </c>
      <c r="C169" s="4">
        <v>45879</v>
      </c>
      <c r="D169">
        <v>27</v>
      </c>
      <c r="E169">
        <v>13717.9</v>
      </c>
      <c r="F169">
        <v>6826.57</v>
      </c>
      <c r="G169">
        <v>6891.33</v>
      </c>
      <c r="H169" t="s">
        <v>2472</v>
      </c>
      <c r="I169" t="s">
        <v>2480</v>
      </c>
      <c r="J169" t="s">
        <v>2462</v>
      </c>
      <c r="K169" t="s">
        <v>2463</v>
      </c>
      <c r="L169" t="s">
        <v>36</v>
      </c>
    </row>
    <row r="170" spans="1:12" x14ac:dyDescent="0.3">
      <c r="A170" t="s">
        <v>2473</v>
      </c>
      <c r="B170" t="s">
        <v>2711</v>
      </c>
      <c r="C170" s="4">
        <v>45987</v>
      </c>
      <c r="D170">
        <v>140</v>
      </c>
      <c r="E170">
        <v>1571.09</v>
      </c>
      <c r="F170">
        <v>377.78</v>
      </c>
      <c r="G170">
        <v>1193.31</v>
      </c>
      <c r="H170" t="s">
        <v>2454</v>
      </c>
      <c r="I170" t="s">
        <v>2461</v>
      </c>
      <c r="J170" t="s">
        <v>2493</v>
      </c>
      <c r="K170" t="s">
        <v>2457</v>
      </c>
      <c r="L170" t="s">
        <v>32</v>
      </c>
    </row>
    <row r="171" spans="1:12" x14ac:dyDescent="0.3">
      <c r="A171" t="s">
        <v>2584</v>
      </c>
      <c r="B171" t="s">
        <v>2712</v>
      </c>
      <c r="C171" s="4">
        <v>45730</v>
      </c>
      <c r="D171">
        <v>126</v>
      </c>
      <c r="E171">
        <v>12290.91</v>
      </c>
      <c r="F171">
        <v>4448.59</v>
      </c>
      <c r="G171">
        <v>7842.32</v>
      </c>
      <c r="H171" t="s">
        <v>2454</v>
      </c>
      <c r="I171" t="s">
        <v>2517</v>
      </c>
      <c r="J171" t="s">
        <v>2468</v>
      </c>
      <c r="K171" t="s">
        <v>2457</v>
      </c>
      <c r="L171" t="s">
        <v>84</v>
      </c>
    </row>
    <row r="172" spans="1:12" x14ac:dyDescent="0.3">
      <c r="A172" t="s">
        <v>2486</v>
      </c>
      <c r="B172" t="s">
        <v>2713</v>
      </c>
      <c r="C172" s="4">
        <v>45853</v>
      </c>
      <c r="D172">
        <v>37</v>
      </c>
      <c r="E172">
        <v>5808.58</v>
      </c>
      <c r="F172">
        <v>1205.9100000000001</v>
      </c>
      <c r="G172">
        <v>4602.67</v>
      </c>
      <c r="H172" t="s">
        <v>2454</v>
      </c>
      <c r="I172" t="s">
        <v>2508</v>
      </c>
      <c r="J172" t="s">
        <v>2468</v>
      </c>
      <c r="K172" t="s">
        <v>2469</v>
      </c>
      <c r="L172" t="s">
        <v>12</v>
      </c>
    </row>
    <row r="173" spans="1:12" x14ac:dyDescent="0.3">
      <c r="A173" t="s">
        <v>2597</v>
      </c>
      <c r="B173" t="s">
        <v>2714</v>
      </c>
      <c r="C173" s="4">
        <v>45780</v>
      </c>
      <c r="D173">
        <v>77</v>
      </c>
      <c r="E173">
        <v>2965.28</v>
      </c>
      <c r="F173">
        <v>937.11</v>
      </c>
      <c r="G173">
        <v>2028.17</v>
      </c>
      <c r="H173" t="s">
        <v>2466</v>
      </c>
      <c r="I173" t="s">
        <v>2455</v>
      </c>
      <c r="J173" t="s">
        <v>2462</v>
      </c>
      <c r="K173" t="s">
        <v>2496</v>
      </c>
      <c r="L173" t="s">
        <v>12</v>
      </c>
    </row>
    <row r="174" spans="1:12" x14ac:dyDescent="0.3">
      <c r="A174" t="s">
        <v>2715</v>
      </c>
      <c r="B174" t="s">
        <v>2716</v>
      </c>
      <c r="C174" s="4">
        <v>45664</v>
      </c>
      <c r="D174">
        <v>108</v>
      </c>
      <c r="E174">
        <v>17684.07</v>
      </c>
      <c r="F174">
        <v>5584.05</v>
      </c>
      <c r="G174">
        <v>12100.02</v>
      </c>
      <c r="H174" t="s">
        <v>2454</v>
      </c>
      <c r="I174" t="s">
        <v>2517</v>
      </c>
      <c r="J174" t="s">
        <v>2462</v>
      </c>
      <c r="K174" t="s">
        <v>2457</v>
      </c>
      <c r="L174" t="s">
        <v>36</v>
      </c>
    </row>
    <row r="175" spans="1:12" x14ac:dyDescent="0.3">
      <c r="A175" t="s">
        <v>2470</v>
      </c>
      <c r="B175" t="s">
        <v>2717</v>
      </c>
      <c r="C175" s="4">
        <v>45794</v>
      </c>
      <c r="D175">
        <v>171</v>
      </c>
      <c r="E175">
        <v>8037.77</v>
      </c>
      <c r="F175">
        <v>1693.37</v>
      </c>
      <c r="G175">
        <v>6344.4</v>
      </c>
      <c r="H175" t="s">
        <v>2475</v>
      </c>
      <c r="I175" t="s">
        <v>2455</v>
      </c>
      <c r="J175" t="s">
        <v>2468</v>
      </c>
      <c r="K175" t="s">
        <v>2496</v>
      </c>
      <c r="L175" t="s">
        <v>23</v>
      </c>
    </row>
    <row r="176" spans="1:12" x14ac:dyDescent="0.3">
      <c r="A176" t="s">
        <v>2527</v>
      </c>
      <c r="B176" t="s">
        <v>2718</v>
      </c>
      <c r="C176" s="4">
        <v>45844</v>
      </c>
      <c r="D176">
        <v>169</v>
      </c>
      <c r="E176">
        <v>15704.1</v>
      </c>
      <c r="F176">
        <v>5569.21</v>
      </c>
      <c r="G176">
        <v>10134.89</v>
      </c>
      <c r="H176" t="s">
        <v>2454</v>
      </c>
      <c r="I176" t="s">
        <v>2461</v>
      </c>
      <c r="J176" t="s">
        <v>2493</v>
      </c>
      <c r="K176" t="s">
        <v>2469</v>
      </c>
      <c r="L176" t="s">
        <v>32</v>
      </c>
    </row>
    <row r="177" spans="1:12" x14ac:dyDescent="0.3">
      <c r="A177" t="s">
        <v>2504</v>
      </c>
      <c r="B177" t="s">
        <v>2719</v>
      </c>
      <c r="C177" s="4">
        <v>45835</v>
      </c>
      <c r="D177">
        <v>121</v>
      </c>
      <c r="E177">
        <v>2262.14</v>
      </c>
      <c r="F177">
        <v>540.89</v>
      </c>
      <c r="G177">
        <v>1721.25</v>
      </c>
      <c r="H177" t="s">
        <v>2460</v>
      </c>
      <c r="I177" t="s">
        <v>2461</v>
      </c>
      <c r="J177" t="s">
        <v>2456</v>
      </c>
      <c r="K177" t="s">
        <v>2496</v>
      </c>
      <c r="L177" t="s">
        <v>23</v>
      </c>
    </row>
    <row r="178" spans="1:12" x14ac:dyDescent="0.3">
      <c r="A178" t="s">
        <v>2599</v>
      </c>
      <c r="B178" t="s">
        <v>2720</v>
      </c>
      <c r="C178" s="4">
        <v>45885</v>
      </c>
      <c r="D178">
        <v>41</v>
      </c>
      <c r="E178">
        <v>13227.06</v>
      </c>
      <c r="F178">
        <v>1655.38</v>
      </c>
      <c r="G178">
        <v>11571.68</v>
      </c>
      <c r="H178" t="s">
        <v>2454</v>
      </c>
      <c r="I178" t="s">
        <v>2467</v>
      </c>
      <c r="J178" t="s">
        <v>2462</v>
      </c>
      <c r="K178" t="s">
        <v>2463</v>
      </c>
      <c r="L178" t="s">
        <v>36</v>
      </c>
    </row>
    <row r="179" spans="1:12" x14ac:dyDescent="0.3">
      <c r="A179" t="s">
        <v>2504</v>
      </c>
      <c r="B179" t="s">
        <v>2721</v>
      </c>
      <c r="C179" s="4">
        <v>45874</v>
      </c>
      <c r="D179">
        <v>171</v>
      </c>
      <c r="E179">
        <v>3529.58</v>
      </c>
      <c r="F179">
        <v>376.07</v>
      </c>
      <c r="G179">
        <v>3153.51</v>
      </c>
      <c r="H179" t="s">
        <v>2466</v>
      </c>
      <c r="I179" t="s">
        <v>2467</v>
      </c>
      <c r="J179" t="s">
        <v>2462</v>
      </c>
      <c r="K179" t="s">
        <v>2496</v>
      </c>
      <c r="L179" t="s">
        <v>23</v>
      </c>
    </row>
    <row r="180" spans="1:12" x14ac:dyDescent="0.3">
      <c r="A180" t="s">
        <v>2481</v>
      </c>
      <c r="B180" t="s">
        <v>2722</v>
      </c>
      <c r="C180" s="4">
        <v>45976</v>
      </c>
      <c r="D180">
        <v>120</v>
      </c>
      <c r="E180">
        <v>4989.3999999999996</v>
      </c>
      <c r="F180">
        <v>1020.9</v>
      </c>
      <c r="G180">
        <v>3968.5</v>
      </c>
      <c r="H180" t="s">
        <v>2454</v>
      </c>
      <c r="I180" t="s">
        <v>2485</v>
      </c>
      <c r="J180" t="s">
        <v>2456</v>
      </c>
      <c r="K180" t="s">
        <v>2463</v>
      </c>
      <c r="L180" t="s">
        <v>23</v>
      </c>
    </row>
    <row r="181" spans="1:12" x14ac:dyDescent="0.3">
      <c r="A181" t="s">
        <v>2497</v>
      </c>
      <c r="B181" t="s">
        <v>2723</v>
      </c>
      <c r="C181" s="4">
        <v>45683</v>
      </c>
      <c r="D181">
        <v>3</v>
      </c>
      <c r="E181">
        <v>18411.419999999998</v>
      </c>
      <c r="F181">
        <v>2802.49</v>
      </c>
      <c r="G181">
        <v>15608.93</v>
      </c>
      <c r="H181" t="s">
        <v>2460</v>
      </c>
      <c r="I181" t="s">
        <v>2488</v>
      </c>
      <c r="J181" t="s">
        <v>2493</v>
      </c>
      <c r="K181" t="s">
        <v>2469</v>
      </c>
      <c r="L181" t="s">
        <v>12</v>
      </c>
    </row>
    <row r="182" spans="1:12" x14ac:dyDescent="0.3">
      <c r="A182" t="s">
        <v>2702</v>
      </c>
      <c r="B182" t="s">
        <v>2724</v>
      </c>
      <c r="C182" s="4">
        <v>45661</v>
      </c>
      <c r="D182">
        <v>79</v>
      </c>
      <c r="E182">
        <v>16829.5</v>
      </c>
      <c r="F182">
        <v>5971.51</v>
      </c>
      <c r="G182">
        <v>10857.99</v>
      </c>
      <c r="H182" t="s">
        <v>2460</v>
      </c>
      <c r="I182" t="s">
        <v>2517</v>
      </c>
      <c r="J182" t="s">
        <v>2462</v>
      </c>
      <c r="K182" t="s">
        <v>2469</v>
      </c>
      <c r="L182" t="s">
        <v>23</v>
      </c>
    </row>
    <row r="183" spans="1:12" x14ac:dyDescent="0.3">
      <c r="A183" t="s">
        <v>2547</v>
      </c>
      <c r="B183" t="s">
        <v>2725</v>
      </c>
      <c r="C183" s="4">
        <v>45799</v>
      </c>
      <c r="D183">
        <v>26</v>
      </c>
      <c r="E183">
        <v>16066.48</v>
      </c>
      <c r="F183">
        <v>7006.19</v>
      </c>
      <c r="G183">
        <v>9060.2900000000009</v>
      </c>
      <c r="H183" t="s">
        <v>2475</v>
      </c>
      <c r="I183" t="s">
        <v>2467</v>
      </c>
      <c r="J183" t="s">
        <v>2462</v>
      </c>
      <c r="K183" t="s">
        <v>2463</v>
      </c>
      <c r="L183" t="s">
        <v>12</v>
      </c>
    </row>
    <row r="184" spans="1:12" x14ac:dyDescent="0.3">
      <c r="A184" t="s">
        <v>2726</v>
      </c>
      <c r="B184" t="s">
        <v>2727</v>
      </c>
      <c r="C184" s="4">
        <v>45945</v>
      </c>
      <c r="D184">
        <v>144</v>
      </c>
      <c r="E184">
        <v>11091.19</v>
      </c>
      <c r="F184">
        <v>3462.37</v>
      </c>
      <c r="G184">
        <v>7628.82</v>
      </c>
      <c r="H184" t="s">
        <v>2460</v>
      </c>
      <c r="I184" t="s">
        <v>2455</v>
      </c>
      <c r="J184" t="s">
        <v>2456</v>
      </c>
      <c r="K184" t="s">
        <v>2496</v>
      </c>
      <c r="L184" t="s">
        <v>32</v>
      </c>
    </row>
    <row r="185" spans="1:12" x14ac:dyDescent="0.3">
      <c r="A185" t="s">
        <v>2534</v>
      </c>
      <c r="B185" t="s">
        <v>2728</v>
      </c>
      <c r="C185" s="4">
        <v>45934</v>
      </c>
      <c r="D185">
        <v>11</v>
      </c>
      <c r="E185">
        <v>2798.41</v>
      </c>
      <c r="F185">
        <v>972.78</v>
      </c>
      <c r="G185">
        <v>1825.63</v>
      </c>
      <c r="H185" t="s">
        <v>2454</v>
      </c>
      <c r="I185" t="s">
        <v>2517</v>
      </c>
      <c r="J185" t="s">
        <v>2468</v>
      </c>
      <c r="K185" t="s">
        <v>2463</v>
      </c>
      <c r="L185" t="s">
        <v>12</v>
      </c>
    </row>
    <row r="186" spans="1:12" x14ac:dyDescent="0.3">
      <c r="A186" t="s">
        <v>2509</v>
      </c>
      <c r="B186" t="s">
        <v>2729</v>
      </c>
      <c r="C186" s="4">
        <v>45696</v>
      </c>
      <c r="D186">
        <v>150</v>
      </c>
      <c r="E186">
        <v>11481.01</v>
      </c>
      <c r="F186">
        <v>3686.17</v>
      </c>
      <c r="G186">
        <v>7794.84</v>
      </c>
      <c r="H186" t="s">
        <v>2472</v>
      </c>
      <c r="I186" t="s">
        <v>2517</v>
      </c>
      <c r="J186" t="s">
        <v>2493</v>
      </c>
      <c r="K186" t="s">
        <v>2469</v>
      </c>
      <c r="L186" t="s">
        <v>23</v>
      </c>
    </row>
    <row r="187" spans="1:12" x14ac:dyDescent="0.3">
      <c r="A187" t="s">
        <v>2607</v>
      </c>
      <c r="B187" t="s">
        <v>2730</v>
      </c>
      <c r="C187" s="4">
        <v>46003</v>
      </c>
      <c r="D187">
        <v>46</v>
      </c>
      <c r="E187">
        <v>2785.37</v>
      </c>
      <c r="F187">
        <v>1058.32</v>
      </c>
      <c r="G187">
        <v>1727.05</v>
      </c>
      <c r="H187" t="s">
        <v>2454</v>
      </c>
      <c r="I187" t="s">
        <v>2467</v>
      </c>
      <c r="J187" t="s">
        <v>2456</v>
      </c>
      <c r="K187" t="s">
        <v>2496</v>
      </c>
      <c r="L187" t="s">
        <v>36</v>
      </c>
    </row>
    <row r="188" spans="1:12" x14ac:dyDescent="0.3">
      <c r="A188" t="s">
        <v>2489</v>
      </c>
      <c r="B188" t="s">
        <v>2731</v>
      </c>
      <c r="C188" s="4">
        <v>45838</v>
      </c>
      <c r="D188">
        <v>22</v>
      </c>
      <c r="E188">
        <v>7158.77</v>
      </c>
      <c r="F188">
        <v>762.92</v>
      </c>
      <c r="G188">
        <v>6395.85</v>
      </c>
      <c r="H188" t="s">
        <v>2454</v>
      </c>
      <c r="I188" t="s">
        <v>2480</v>
      </c>
      <c r="J188" t="s">
        <v>2462</v>
      </c>
      <c r="K188" t="s">
        <v>2496</v>
      </c>
      <c r="L188" t="s">
        <v>84</v>
      </c>
    </row>
    <row r="189" spans="1:12" x14ac:dyDescent="0.3">
      <c r="A189" t="s">
        <v>2489</v>
      </c>
      <c r="B189" t="s">
        <v>2732</v>
      </c>
      <c r="C189" s="4">
        <v>45897</v>
      </c>
      <c r="D189">
        <v>132</v>
      </c>
      <c r="E189">
        <v>5676.89</v>
      </c>
      <c r="F189">
        <v>1656.67</v>
      </c>
      <c r="G189">
        <v>4020.22</v>
      </c>
      <c r="H189" t="s">
        <v>2472</v>
      </c>
      <c r="I189" t="s">
        <v>2517</v>
      </c>
      <c r="J189" t="s">
        <v>2493</v>
      </c>
      <c r="K189" t="s">
        <v>2496</v>
      </c>
      <c r="L189" t="s">
        <v>32</v>
      </c>
    </row>
    <row r="190" spans="1:12" x14ac:dyDescent="0.3">
      <c r="A190" t="s">
        <v>2733</v>
      </c>
      <c r="B190" t="s">
        <v>2734</v>
      </c>
      <c r="C190" s="4">
        <v>45978</v>
      </c>
      <c r="D190">
        <v>79</v>
      </c>
      <c r="E190">
        <v>5335.96</v>
      </c>
      <c r="F190">
        <v>541.79999999999995</v>
      </c>
      <c r="G190">
        <v>4794.16</v>
      </c>
      <c r="H190" t="s">
        <v>2460</v>
      </c>
      <c r="I190" t="s">
        <v>2480</v>
      </c>
      <c r="J190" t="s">
        <v>2493</v>
      </c>
      <c r="K190" t="s">
        <v>2457</v>
      </c>
      <c r="L190" t="s">
        <v>23</v>
      </c>
    </row>
    <row r="191" spans="1:12" x14ac:dyDescent="0.3">
      <c r="A191" t="s">
        <v>2607</v>
      </c>
      <c r="B191" t="s">
        <v>2735</v>
      </c>
      <c r="C191" s="4">
        <v>45675</v>
      </c>
      <c r="D191">
        <v>9</v>
      </c>
      <c r="E191">
        <v>2699.93</v>
      </c>
      <c r="F191">
        <v>293.48</v>
      </c>
      <c r="G191">
        <v>2406.4499999999998</v>
      </c>
      <c r="H191" t="s">
        <v>2466</v>
      </c>
      <c r="I191" t="s">
        <v>2480</v>
      </c>
      <c r="J191" t="s">
        <v>2456</v>
      </c>
      <c r="K191" t="s">
        <v>2469</v>
      </c>
      <c r="L191" t="s">
        <v>32</v>
      </c>
    </row>
    <row r="192" spans="1:12" x14ac:dyDescent="0.3">
      <c r="A192" t="s">
        <v>2640</v>
      </c>
      <c r="B192" t="s">
        <v>2736</v>
      </c>
      <c r="C192" s="4">
        <v>45676</v>
      </c>
      <c r="D192">
        <v>98</v>
      </c>
      <c r="E192">
        <v>7829.1</v>
      </c>
      <c r="F192">
        <v>1737.16</v>
      </c>
      <c r="G192">
        <v>6091.94</v>
      </c>
      <c r="H192" t="s">
        <v>2460</v>
      </c>
      <c r="I192" t="s">
        <v>2461</v>
      </c>
      <c r="J192" t="s">
        <v>2493</v>
      </c>
      <c r="K192" t="s">
        <v>2469</v>
      </c>
      <c r="L192" t="s">
        <v>36</v>
      </c>
    </row>
    <row r="193" spans="1:12" x14ac:dyDescent="0.3">
      <c r="A193" t="s">
        <v>2726</v>
      </c>
      <c r="B193" t="s">
        <v>2737</v>
      </c>
      <c r="C193" s="4">
        <v>45985</v>
      </c>
      <c r="D193">
        <v>182</v>
      </c>
      <c r="E193">
        <v>6908.36</v>
      </c>
      <c r="F193">
        <v>848.61</v>
      </c>
      <c r="G193">
        <v>6059.75</v>
      </c>
      <c r="H193" t="s">
        <v>2460</v>
      </c>
      <c r="I193" t="s">
        <v>2455</v>
      </c>
      <c r="J193" t="s">
        <v>2462</v>
      </c>
      <c r="K193" t="s">
        <v>2469</v>
      </c>
      <c r="L193" t="s">
        <v>23</v>
      </c>
    </row>
    <row r="194" spans="1:12" x14ac:dyDescent="0.3">
      <c r="A194" t="s">
        <v>2538</v>
      </c>
      <c r="B194" t="s">
        <v>2738</v>
      </c>
      <c r="C194" s="4">
        <v>45957</v>
      </c>
      <c r="D194">
        <v>172</v>
      </c>
      <c r="E194">
        <v>1787.43</v>
      </c>
      <c r="F194">
        <v>417.38</v>
      </c>
      <c r="G194">
        <v>1370.05</v>
      </c>
      <c r="H194" t="s">
        <v>2460</v>
      </c>
      <c r="I194" t="s">
        <v>2488</v>
      </c>
      <c r="J194" t="s">
        <v>2456</v>
      </c>
      <c r="K194" t="s">
        <v>2496</v>
      </c>
      <c r="L194" t="s">
        <v>32</v>
      </c>
    </row>
    <row r="195" spans="1:12" x14ac:dyDescent="0.3">
      <c r="A195" t="s">
        <v>2670</v>
      </c>
      <c r="B195" t="s">
        <v>2739</v>
      </c>
      <c r="C195" s="4">
        <v>45733</v>
      </c>
      <c r="D195">
        <v>46</v>
      </c>
      <c r="E195">
        <v>7530.43</v>
      </c>
      <c r="F195">
        <v>3301.32</v>
      </c>
      <c r="G195">
        <v>4229.1099999999997</v>
      </c>
      <c r="H195" t="s">
        <v>2475</v>
      </c>
      <c r="I195" t="s">
        <v>2488</v>
      </c>
      <c r="J195" t="s">
        <v>2456</v>
      </c>
      <c r="K195" t="s">
        <v>2463</v>
      </c>
      <c r="L195" t="s">
        <v>23</v>
      </c>
    </row>
    <row r="196" spans="1:12" x14ac:dyDescent="0.3">
      <c r="A196" t="s">
        <v>2570</v>
      </c>
      <c r="B196" t="s">
        <v>2740</v>
      </c>
      <c r="C196" s="4">
        <v>46016</v>
      </c>
      <c r="D196">
        <v>19</v>
      </c>
      <c r="E196">
        <v>3209.25</v>
      </c>
      <c r="F196">
        <v>800.87</v>
      </c>
      <c r="G196">
        <v>2408.38</v>
      </c>
      <c r="H196" t="s">
        <v>2454</v>
      </c>
      <c r="I196" t="s">
        <v>2485</v>
      </c>
      <c r="J196" t="s">
        <v>2456</v>
      </c>
      <c r="K196" t="s">
        <v>2463</v>
      </c>
      <c r="L196" t="s">
        <v>36</v>
      </c>
    </row>
    <row r="197" spans="1:12" x14ac:dyDescent="0.3">
      <c r="A197" t="s">
        <v>2741</v>
      </c>
      <c r="B197" t="s">
        <v>2742</v>
      </c>
      <c r="C197" s="4">
        <v>45715</v>
      </c>
      <c r="D197">
        <v>191</v>
      </c>
      <c r="E197">
        <v>18538.580000000002</v>
      </c>
      <c r="F197">
        <v>7893.17</v>
      </c>
      <c r="G197">
        <v>10645.41</v>
      </c>
      <c r="H197" t="s">
        <v>2472</v>
      </c>
      <c r="I197" t="s">
        <v>2480</v>
      </c>
      <c r="J197" t="s">
        <v>2462</v>
      </c>
      <c r="K197" t="s">
        <v>2496</v>
      </c>
      <c r="L197" t="s">
        <v>84</v>
      </c>
    </row>
    <row r="198" spans="1:12" x14ac:dyDescent="0.3">
      <c r="A198" t="s">
        <v>2473</v>
      </c>
      <c r="B198" t="s">
        <v>2743</v>
      </c>
      <c r="C198" s="4">
        <v>45956</v>
      </c>
      <c r="D198">
        <v>21</v>
      </c>
      <c r="E198">
        <v>7799.33</v>
      </c>
      <c r="F198">
        <v>1948.42</v>
      </c>
      <c r="G198">
        <v>5850.91</v>
      </c>
      <c r="H198" t="s">
        <v>2475</v>
      </c>
      <c r="I198" t="s">
        <v>2517</v>
      </c>
      <c r="J198" t="s">
        <v>2468</v>
      </c>
      <c r="K198" t="s">
        <v>2457</v>
      </c>
      <c r="L198" t="s">
        <v>32</v>
      </c>
    </row>
    <row r="199" spans="1:12" x14ac:dyDescent="0.3">
      <c r="A199" t="s">
        <v>2642</v>
      </c>
      <c r="B199" t="s">
        <v>2744</v>
      </c>
      <c r="C199" s="4">
        <v>46001</v>
      </c>
      <c r="D199">
        <v>74</v>
      </c>
      <c r="E199">
        <v>14658.14</v>
      </c>
      <c r="F199">
        <v>3859.12</v>
      </c>
      <c r="G199">
        <v>10799.02</v>
      </c>
      <c r="H199" t="s">
        <v>2472</v>
      </c>
      <c r="I199" t="s">
        <v>2517</v>
      </c>
      <c r="J199" t="s">
        <v>2468</v>
      </c>
      <c r="K199" t="s">
        <v>2463</v>
      </c>
      <c r="L199" t="s">
        <v>84</v>
      </c>
    </row>
    <row r="200" spans="1:12" x14ac:dyDescent="0.3">
      <c r="A200" t="s">
        <v>2541</v>
      </c>
      <c r="B200" t="s">
        <v>2745</v>
      </c>
      <c r="C200" s="4">
        <v>45687</v>
      </c>
      <c r="D200">
        <v>68</v>
      </c>
      <c r="E200">
        <v>2963.47</v>
      </c>
      <c r="F200">
        <v>839.26</v>
      </c>
      <c r="G200">
        <v>2124.21</v>
      </c>
      <c r="H200" t="s">
        <v>2475</v>
      </c>
      <c r="I200" t="s">
        <v>2488</v>
      </c>
      <c r="J200" t="s">
        <v>2456</v>
      </c>
      <c r="K200" t="s">
        <v>2496</v>
      </c>
      <c r="L200" t="s">
        <v>12</v>
      </c>
    </row>
    <row r="201" spans="1:12" x14ac:dyDescent="0.3">
      <c r="A201" t="s">
        <v>2458</v>
      </c>
      <c r="B201" t="s">
        <v>2746</v>
      </c>
      <c r="C201" s="4">
        <v>46009</v>
      </c>
      <c r="D201">
        <v>59</v>
      </c>
      <c r="E201">
        <v>3332.23</v>
      </c>
      <c r="F201">
        <v>819.33</v>
      </c>
      <c r="G201">
        <v>2512.9</v>
      </c>
      <c r="H201" t="s">
        <v>2466</v>
      </c>
      <c r="I201" t="s">
        <v>2508</v>
      </c>
      <c r="J201" t="s">
        <v>2462</v>
      </c>
      <c r="K201" t="s">
        <v>2469</v>
      </c>
      <c r="L201" t="s">
        <v>36</v>
      </c>
    </row>
    <row r="202" spans="1:12" x14ac:dyDescent="0.3">
      <c r="A202" t="s">
        <v>2504</v>
      </c>
      <c r="B202" t="s">
        <v>2747</v>
      </c>
      <c r="C202" s="4">
        <v>45679</v>
      </c>
      <c r="D202">
        <v>89</v>
      </c>
      <c r="E202">
        <v>14735.32</v>
      </c>
      <c r="F202">
        <v>4240.53</v>
      </c>
      <c r="G202">
        <v>10494.79</v>
      </c>
      <c r="H202" t="s">
        <v>2460</v>
      </c>
      <c r="I202" t="s">
        <v>2508</v>
      </c>
      <c r="J202" t="s">
        <v>2468</v>
      </c>
      <c r="K202" t="s">
        <v>2463</v>
      </c>
      <c r="L202" t="s">
        <v>23</v>
      </c>
    </row>
    <row r="203" spans="1:12" x14ac:dyDescent="0.3">
      <c r="A203" t="s">
        <v>2748</v>
      </c>
      <c r="B203" t="s">
        <v>2749</v>
      </c>
      <c r="C203" s="4">
        <v>45864</v>
      </c>
      <c r="D203">
        <v>89</v>
      </c>
      <c r="E203">
        <v>18063.599999999999</v>
      </c>
      <c r="F203">
        <v>8595.35</v>
      </c>
      <c r="G203">
        <v>9468.25</v>
      </c>
      <c r="H203" t="s">
        <v>2454</v>
      </c>
      <c r="I203" t="s">
        <v>2488</v>
      </c>
      <c r="J203" t="s">
        <v>2462</v>
      </c>
      <c r="K203" t="s">
        <v>2463</v>
      </c>
      <c r="L203" t="s">
        <v>23</v>
      </c>
    </row>
    <row r="204" spans="1:12" x14ac:dyDescent="0.3">
      <c r="A204" t="s">
        <v>2607</v>
      </c>
      <c r="B204" t="s">
        <v>2750</v>
      </c>
      <c r="C204" s="4">
        <v>45786</v>
      </c>
      <c r="D204">
        <v>198</v>
      </c>
      <c r="E204">
        <v>18335.03</v>
      </c>
      <c r="F204">
        <v>6516.42</v>
      </c>
      <c r="G204">
        <v>11818.61</v>
      </c>
      <c r="H204" t="s">
        <v>2466</v>
      </c>
      <c r="I204" t="s">
        <v>2488</v>
      </c>
      <c r="J204" t="s">
        <v>2493</v>
      </c>
      <c r="K204" t="s">
        <v>2469</v>
      </c>
      <c r="L204" t="s">
        <v>84</v>
      </c>
    </row>
    <row r="205" spans="1:12" x14ac:dyDescent="0.3">
      <c r="A205" t="s">
        <v>2751</v>
      </c>
      <c r="B205" t="s">
        <v>2752</v>
      </c>
      <c r="C205" s="4">
        <v>45905</v>
      </c>
      <c r="D205">
        <v>123</v>
      </c>
      <c r="E205">
        <v>7471.82</v>
      </c>
      <c r="F205">
        <v>2838.55</v>
      </c>
      <c r="G205">
        <v>4633.2700000000004</v>
      </c>
      <c r="H205" t="s">
        <v>2454</v>
      </c>
      <c r="I205" t="s">
        <v>2485</v>
      </c>
      <c r="J205" t="s">
        <v>2468</v>
      </c>
      <c r="K205" t="s">
        <v>2496</v>
      </c>
      <c r="L205" t="s">
        <v>12</v>
      </c>
    </row>
    <row r="206" spans="1:12" x14ac:dyDescent="0.3">
      <c r="A206" t="s">
        <v>2642</v>
      </c>
      <c r="B206" t="s">
        <v>2753</v>
      </c>
      <c r="C206" s="4">
        <v>45843</v>
      </c>
      <c r="D206">
        <v>177</v>
      </c>
      <c r="E206">
        <v>7122.61</v>
      </c>
      <c r="F206">
        <v>2236.66</v>
      </c>
      <c r="G206">
        <v>4885.95</v>
      </c>
      <c r="H206" t="s">
        <v>2454</v>
      </c>
      <c r="I206" t="s">
        <v>2485</v>
      </c>
      <c r="J206" t="s">
        <v>2462</v>
      </c>
      <c r="K206" t="s">
        <v>2457</v>
      </c>
      <c r="L206" t="s">
        <v>84</v>
      </c>
    </row>
    <row r="207" spans="1:12" x14ac:dyDescent="0.3">
      <c r="A207" t="s">
        <v>2523</v>
      </c>
      <c r="B207" t="s">
        <v>2754</v>
      </c>
      <c r="C207" s="4">
        <v>45918</v>
      </c>
      <c r="D207">
        <v>37</v>
      </c>
      <c r="E207">
        <v>14783.4</v>
      </c>
      <c r="F207">
        <v>5111.72</v>
      </c>
      <c r="G207">
        <v>9671.68</v>
      </c>
      <c r="H207" t="s">
        <v>2472</v>
      </c>
      <c r="I207" t="s">
        <v>2467</v>
      </c>
      <c r="J207" t="s">
        <v>2493</v>
      </c>
      <c r="K207" t="s">
        <v>2457</v>
      </c>
      <c r="L207" t="s">
        <v>23</v>
      </c>
    </row>
    <row r="208" spans="1:12" x14ac:dyDescent="0.3">
      <c r="A208" t="s">
        <v>2481</v>
      </c>
      <c r="B208" t="s">
        <v>2755</v>
      </c>
      <c r="C208" s="4">
        <v>45704</v>
      </c>
      <c r="D208">
        <v>4</v>
      </c>
      <c r="E208">
        <v>8744.19</v>
      </c>
      <c r="F208">
        <v>1513.08</v>
      </c>
      <c r="G208">
        <v>7231.11</v>
      </c>
      <c r="H208" t="s">
        <v>2475</v>
      </c>
      <c r="I208" t="s">
        <v>2467</v>
      </c>
      <c r="J208" t="s">
        <v>2468</v>
      </c>
      <c r="K208" t="s">
        <v>2496</v>
      </c>
      <c r="L208" t="s">
        <v>32</v>
      </c>
    </row>
    <row r="209" spans="1:12" x14ac:dyDescent="0.3">
      <c r="A209" t="s">
        <v>2532</v>
      </c>
      <c r="B209" t="s">
        <v>2756</v>
      </c>
      <c r="C209" s="4">
        <v>45908</v>
      </c>
      <c r="D209">
        <v>121</v>
      </c>
      <c r="E209">
        <v>3083.01</v>
      </c>
      <c r="F209">
        <v>1125.53</v>
      </c>
      <c r="G209">
        <v>1957.48</v>
      </c>
      <c r="H209" t="s">
        <v>2472</v>
      </c>
      <c r="I209" t="s">
        <v>2517</v>
      </c>
      <c r="J209" t="s">
        <v>2462</v>
      </c>
      <c r="K209" t="s">
        <v>2496</v>
      </c>
      <c r="L209" t="s">
        <v>32</v>
      </c>
    </row>
    <row r="210" spans="1:12" x14ac:dyDescent="0.3">
      <c r="A210" t="s">
        <v>2506</v>
      </c>
      <c r="B210" t="s">
        <v>2757</v>
      </c>
      <c r="C210" s="4">
        <v>45993</v>
      </c>
      <c r="D210">
        <v>49</v>
      </c>
      <c r="E210">
        <v>9782.0400000000009</v>
      </c>
      <c r="F210">
        <v>2059.1999999999998</v>
      </c>
      <c r="G210">
        <v>7722.84</v>
      </c>
      <c r="H210" t="s">
        <v>2454</v>
      </c>
      <c r="I210" t="s">
        <v>2461</v>
      </c>
      <c r="J210" t="s">
        <v>2468</v>
      </c>
      <c r="K210" t="s">
        <v>2457</v>
      </c>
      <c r="L210" t="s">
        <v>36</v>
      </c>
    </row>
    <row r="211" spans="1:12" x14ac:dyDescent="0.3">
      <c r="A211" t="s">
        <v>2570</v>
      </c>
      <c r="B211" t="s">
        <v>2758</v>
      </c>
      <c r="C211" s="4">
        <v>45849</v>
      </c>
      <c r="D211">
        <v>18</v>
      </c>
      <c r="E211">
        <v>19063.71</v>
      </c>
      <c r="F211">
        <v>4148.08</v>
      </c>
      <c r="G211">
        <v>14915.63</v>
      </c>
      <c r="H211" t="s">
        <v>2466</v>
      </c>
      <c r="I211" t="s">
        <v>2508</v>
      </c>
      <c r="J211" t="s">
        <v>2468</v>
      </c>
      <c r="K211" t="s">
        <v>2496</v>
      </c>
      <c r="L211" t="s">
        <v>36</v>
      </c>
    </row>
    <row r="212" spans="1:12" x14ac:dyDescent="0.3">
      <c r="A212" t="s">
        <v>2499</v>
      </c>
      <c r="B212" t="s">
        <v>2759</v>
      </c>
      <c r="C212" s="4">
        <v>45913</v>
      </c>
      <c r="D212">
        <v>56</v>
      </c>
      <c r="E212">
        <v>8385.27</v>
      </c>
      <c r="F212">
        <v>4149.1400000000003</v>
      </c>
      <c r="G212">
        <v>4236.13</v>
      </c>
      <c r="H212" t="s">
        <v>2460</v>
      </c>
      <c r="I212" t="s">
        <v>2467</v>
      </c>
      <c r="J212" t="s">
        <v>2493</v>
      </c>
      <c r="K212" t="s">
        <v>2469</v>
      </c>
      <c r="L212" t="s">
        <v>32</v>
      </c>
    </row>
    <row r="213" spans="1:12" x14ac:dyDescent="0.3">
      <c r="A213" t="s">
        <v>2511</v>
      </c>
      <c r="B213" t="s">
        <v>2760</v>
      </c>
      <c r="C213" s="4">
        <v>45920</v>
      </c>
      <c r="D213">
        <v>32</v>
      </c>
      <c r="E213">
        <v>12022.4</v>
      </c>
      <c r="F213">
        <v>3464.2</v>
      </c>
      <c r="G213">
        <v>8558.2000000000007</v>
      </c>
      <c r="H213" t="s">
        <v>2460</v>
      </c>
      <c r="I213" t="s">
        <v>2485</v>
      </c>
      <c r="J213" t="s">
        <v>2468</v>
      </c>
      <c r="K213" t="s">
        <v>2469</v>
      </c>
      <c r="L213" t="s">
        <v>84</v>
      </c>
    </row>
    <row r="214" spans="1:12" x14ac:dyDescent="0.3">
      <c r="A214" t="s">
        <v>2626</v>
      </c>
      <c r="B214" t="s">
        <v>2761</v>
      </c>
      <c r="C214" s="4">
        <v>45675</v>
      </c>
      <c r="D214">
        <v>5</v>
      </c>
      <c r="E214">
        <v>8996.86</v>
      </c>
      <c r="F214">
        <v>2997.75</v>
      </c>
      <c r="G214">
        <v>5999.11</v>
      </c>
      <c r="H214" t="s">
        <v>2475</v>
      </c>
      <c r="I214" t="s">
        <v>2485</v>
      </c>
      <c r="J214" t="s">
        <v>2468</v>
      </c>
      <c r="K214" t="s">
        <v>2469</v>
      </c>
      <c r="L214" t="s">
        <v>36</v>
      </c>
    </row>
    <row r="215" spans="1:12" x14ac:dyDescent="0.3">
      <c r="A215" t="s">
        <v>2577</v>
      </c>
      <c r="B215" t="s">
        <v>2762</v>
      </c>
      <c r="C215" s="4">
        <v>46010</v>
      </c>
      <c r="D215">
        <v>88</v>
      </c>
      <c r="E215">
        <v>11586.67</v>
      </c>
      <c r="F215">
        <v>4258.9799999999996</v>
      </c>
      <c r="G215">
        <v>7327.69</v>
      </c>
      <c r="H215" t="s">
        <v>2475</v>
      </c>
      <c r="I215" t="s">
        <v>2467</v>
      </c>
      <c r="J215" t="s">
        <v>2493</v>
      </c>
      <c r="K215" t="s">
        <v>2496</v>
      </c>
      <c r="L215" t="s">
        <v>36</v>
      </c>
    </row>
    <row r="216" spans="1:12" x14ac:dyDescent="0.3">
      <c r="A216" t="s">
        <v>2527</v>
      </c>
      <c r="B216" t="s">
        <v>2763</v>
      </c>
      <c r="C216" s="4">
        <v>45659</v>
      </c>
      <c r="D216">
        <v>64</v>
      </c>
      <c r="E216">
        <v>9822.9</v>
      </c>
      <c r="F216">
        <v>3065.72</v>
      </c>
      <c r="G216">
        <v>6757.18</v>
      </c>
      <c r="H216" t="s">
        <v>2472</v>
      </c>
      <c r="I216" t="s">
        <v>2485</v>
      </c>
      <c r="J216" t="s">
        <v>2456</v>
      </c>
      <c r="K216" t="s">
        <v>2457</v>
      </c>
      <c r="L216" t="s">
        <v>36</v>
      </c>
    </row>
    <row r="217" spans="1:12" x14ac:dyDescent="0.3">
      <c r="A217" t="s">
        <v>2458</v>
      </c>
      <c r="B217" t="s">
        <v>2764</v>
      </c>
      <c r="C217" s="4">
        <v>45722</v>
      </c>
      <c r="D217">
        <v>136</v>
      </c>
      <c r="E217">
        <v>9869.7199999999993</v>
      </c>
      <c r="F217">
        <v>2555.86</v>
      </c>
      <c r="G217">
        <v>7313.86</v>
      </c>
      <c r="H217" t="s">
        <v>2460</v>
      </c>
      <c r="I217" t="s">
        <v>2488</v>
      </c>
      <c r="J217" t="s">
        <v>2462</v>
      </c>
      <c r="K217" t="s">
        <v>2457</v>
      </c>
      <c r="L217" t="s">
        <v>12</v>
      </c>
    </row>
    <row r="218" spans="1:12" x14ac:dyDescent="0.3">
      <c r="A218" t="s">
        <v>2502</v>
      </c>
      <c r="B218" t="s">
        <v>2765</v>
      </c>
      <c r="C218" s="4">
        <v>45952</v>
      </c>
      <c r="D218">
        <v>37</v>
      </c>
      <c r="E218">
        <v>7339.27</v>
      </c>
      <c r="F218">
        <v>1386.36</v>
      </c>
      <c r="G218">
        <v>5952.91</v>
      </c>
      <c r="H218" t="s">
        <v>2454</v>
      </c>
      <c r="I218" t="s">
        <v>2455</v>
      </c>
      <c r="J218" t="s">
        <v>2468</v>
      </c>
      <c r="K218" t="s">
        <v>2463</v>
      </c>
      <c r="L218" t="s">
        <v>36</v>
      </c>
    </row>
    <row r="219" spans="1:12" x14ac:dyDescent="0.3">
      <c r="A219" t="s">
        <v>2470</v>
      </c>
      <c r="B219" t="s">
        <v>2766</v>
      </c>
      <c r="C219" s="4">
        <v>45936</v>
      </c>
      <c r="D219">
        <v>159</v>
      </c>
      <c r="E219">
        <v>9702.81</v>
      </c>
      <c r="F219">
        <v>4284.29</v>
      </c>
      <c r="G219">
        <v>5418.52</v>
      </c>
      <c r="H219" t="s">
        <v>2460</v>
      </c>
      <c r="I219" t="s">
        <v>2485</v>
      </c>
      <c r="J219" t="s">
        <v>2462</v>
      </c>
      <c r="K219" t="s">
        <v>2469</v>
      </c>
      <c r="L219" t="s">
        <v>84</v>
      </c>
    </row>
    <row r="220" spans="1:12" x14ac:dyDescent="0.3">
      <c r="A220" t="s">
        <v>2527</v>
      </c>
      <c r="B220" t="s">
        <v>2767</v>
      </c>
      <c r="C220" s="4">
        <v>46002</v>
      </c>
      <c r="D220">
        <v>166</v>
      </c>
      <c r="E220">
        <v>3845.08</v>
      </c>
      <c r="F220">
        <v>501.85</v>
      </c>
      <c r="G220">
        <v>3343.23</v>
      </c>
      <c r="H220" t="s">
        <v>2466</v>
      </c>
      <c r="I220" t="s">
        <v>2488</v>
      </c>
      <c r="J220" t="s">
        <v>2493</v>
      </c>
      <c r="K220" t="s">
        <v>2463</v>
      </c>
      <c r="L220" t="s">
        <v>84</v>
      </c>
    </row>
    <row r="221" spans="1:12" x14ac:dyDescent="0.3">
      <c r="A221" t="s">
        <v>2502</v>
      </c>
      <c r="B221" t="s">
        <v>2768</v>
      </c>
      <c r="C221" s="4">
        <v>45880</v>
      </c>
      <c r="D221">
        <v>97</v>
      </c>
      <c r="E221">
        <v>8517.5300000000007</v>
      </c>
      <c r="F221">
        <v>1469.83</v>
      </c>
      <c r="G221">
        <v>7047.7</v>
      </c>
      <c r="H221" t="s">
        <v>2472</v>
      </c>
      <c r="I221" t="s">
        <v>2508</v>
      </c>
      <c r="J221" t="s">
        <v>2493</v>
      </c>
      <c r="K221" t="s">
        <v>2496</v>
      </c>
      <c r="L221" t="s">
        <v>23</v>
      </c>
    </row>
    <row r="222" spans="1:12" x14ac:dyDescent="0.3">
      <c r="A222" t="s">
        <v>2547</v>
      </c>
      <c r="B222" t="s">
        <v>2769</v>
      </c>
      <c r="C222" s="4">
        <v>45788</v>
      </c>
      <c r="D222">
        <v>8</v>
      </c>
      <c r="E222">
        <v>13067.54</v>
      </c>
      <c r="F222">
        <v>2548.83</v>
      </c>
      <c r="G222">
        <v>10518.71</v>
      </c>
      <c r="H222" t="s">
        <v>2472</v>
      </c>
      <c r="I222" t="s">
        <v>2485</v>
      </c>
      <c r="J222" t="s">
        <v>2462</v>
      </c>
      <c r="K222" t="s">
        <v>2496</v>
      </c>
      <c r="L222" t="s">
        <v>84</v>
      </c>
    </row>
    <row r="223" spans="1:12" x14ac:dyDescent="0.3">
      <c r="A223" t="s">
        <v>2452</v>
      </c>
      <c r="B223" t="s">
        <v>2770</v>
      </c>
      <c r="C223" s="4">
        <v>45964</v>
      </c>
      <c r="D223">
        <v>41</v>
      </c>
      <c r="E223">
        <v>11917.52</v>
      </c>
      <c r="F223">
        <v>2343.17</v>
      </c>
      <c r="G223">
        <v>9574.35</v>
      </c>
      <c r="H223" t="s">
        <v>2472</v>
      </c>
      <c r="I223" t="s">
        <v>2508</v>
      </c>
      <c r="J223" t="s">
        <v>2462</v>
      </c>
      <c r="K223" t="s">
        <v>2469</v>
      </c>
      <c r="L223" t="s">
        <v>32</v>
      </c>
    </row>
    <row r="224" spans="1:12" x14ac:dyDescent="0.3">
      <c r="A224" t="s">
        <v>2564</v>
      </c>
      <c r="B224" t="s">
        <v>2771</v>
      </c>
      <c r="C224" s="4">
        <v>45713</v>
      </c>
      <c r="D224">
        <v>42</v>
      </c>
      <c r="E224">
        <v>11770.96</v>
      </c>
      <c r="F224">
        <v>4365.6000000000004</v>
      </c>
      <c r="G224">
        <v>7405.36</v>
      </c>
      <c r="H224" t="s">
        <v>2472</v>
      </c>
      <c r="I224" t="s">
        <v>2488</v>
      </c>
      <c r="J224" t="s">
        <v>2456</v>
      </c>
      <c r="K224" t="s">
        <v>2469</v>
      </c>
      <c r="L224" t="s">
        <v>12</v>
      </c>
    </row>
    <row r="225" spans="1:12" x14ac:dyDescent="0.3">
      <c r="A225" t="s">
        <v>2499</v>
      </c>
      <c r="B225" t="s">
        <v>2772</v>
      </c>
      <c r="C225" s="4">
        <v>45704</v>
      </c>
      <c r="D225">
        <v>37</v>
      </c>
      <c r="E225">
        <v>6373.85</v>
      </c>
      <c r="F225">
        <v>1349.98</v>
      </c>
      <c r="G225">
        <v>5023.87</v>
      </c>
      <c r="H225" t="s">
        <v>2466</v>
      </c>
      <c r="I225" t="s">
        <v>2480</v>
      </c>
      <c r="J225" t="s">
        <v>2462</v>
      </c>
      <c r="K225" t="s">
        <v>2469</v>
      </c>
      <c r="L225" t="s">
        <v>23</v>
      </c>
    </row>
    <row r="226" spans="1:12" x14ac:dyDescent="0.3">
      <c r="A226" t="s">
        <v>2638</v>
      </c>
      <c r="B226" t="s">
        <v>2773</v>
      </c>
      <c r="C226" s="4">
        <v>45844</v>
      </c>
      <c r="D226">
        <v>157</v>
      </c>
      <c r="E226">
        <v>16737.86</v>
      </c>
      <c r="F226">
        <v>8137.72</v>
      </c>
      <c r="G226">
        <v>8600.14</v>
      </c>
      <c r="H226" t="s">
        <v>2460</v>
      </c>
      <c r="I226" t="s">
        <v>2485</v>
      </c>
      <c r="J226" t="s">
        <v>2456</v>
      </c>
      <c r="K226" t="s">
        <v>2463</v>
      </c>
      <c r="L226" t="s">
        <v>84</v>
      </c>
    </row>
    <row r="227" spans="1:12" x14ac:dyDescent="0.3">
      <c r="A227" t="s">
        <v>2530</v>
      </c>
      <c r="B227" t="s">
        <v>2774</v>
      </c>
      <c r="C227" s="4">
        <v>45984</v>
      </c>
      <c r="D227">
        <v>18</v>
      </c>
      <c r="E227">
        <v>2884.24</v>
      </c>
      <c r="F227">
        <v>1324.15</v>
      </c>
      <c r="G227">
        <v>1560.09</v>
      </c>
      <c r="H227" t="s">
        <v>2475</v>
      </c>
      <c r="I227" t="s">
        <v>2455</v>
      </c>
      <c r="J227" t="s">
        <v>2456</v>
      </c>
      <c r="K227" t="s">
        <v>2469</v>
      </c>
      <c r="L227" t="s">
        <v>36</v>
      </c>
    </row>
    <row r="228" spans="1:12" x14ac:dyDescent="0.3">
      <c r="A228" t="s">
        <v>2470</v>
      </c>
      <c r="B228" t="s">
        <v>2775</v>
      </c>
      <c r="C228" s="4">
        <v>45707</v>
      </c>
      <c r="D228">
        <v>106</v>
      </c>
      <c r="E228">
        <v>6937.1</v>
      </c>
      <c r="F228">
        <v>3275.49</v>
      </c>
      <c r="G228">
        <v>3661.61</v>
      </c>
      <c r="H228" t="s">
        <v>2454</v>
      </c>
      <c r="I228" t="s">
        <v>2480</v>
      </c>
      <c r="J228" t="s">
        <v>2462</v>
      </c>
      <c r="K228" t="s">
        <v>2457</v>
      </c>
      <c r="L228" t="s">
        <v>84</v>
      </c>
    </row>
    <row r="229" spans="1:12" x14ac:dyDescent="0.3">
      <c r="A229" t="s">
        <v>2588</v>
      </c>
      <c r="B229" t="s">
        <v>2776</v>
      </c>
      <c r="C229" s="4">
        <v>45934</v>
      </c>
      <c r="D229">
        <v>54</v>
      </c>
      <c r="E229">
        <v>9025.11</v>
      </c>
      <c r="F229">
        <v>4096.5</v>
      </c>
      <c r="G229">
        <v>4928.6099999999997</v>
      </c>
      <c r="H229" t="s">
        <v>2460</v>
      </c>
      <c r="I229" t="s">
        <v>2455</v>
      </c>
      <c r="J229" t="s">
        <v>2468</v>
      </c>
      <c r="K229" t="s">
        <v>2463</v>
      </c>
      <c r="L229" t="s">
        <v>36</v>
      </c>
    </row>
    <row r="230" spans="1:12" x14ac:dyDescent="0.3">
      <c r="A230" t="s">
        <v>2673</v>
      </c>
      <c r="B230" t="s">
        <v>2777</v>
      </c>
      <c r="C230" s="4">
        <v>45994</v>
      </c>
      <c r="D230">
        <v>165</v>
      </c>
      <c r="E230">
        <v>16873.57</v>
      </c>
      <c r="F230">
        <v>6914.65</v>
      </c>
      <c r="G230">
        <v>9958.92</v>
      </c>
      <c r="H230" t="s">
        <v>2472</v>
      </c>
      <c r="I230" t="s">
        <v>2480</v>
      </c>
      <c r="J230" t="s">
        <v>2468</v>
      </c>
      <c r="K230" t="s">
        <v>2496</v>
      </c>
      <c r="L230" t="s">
        <v>84</v>
      </c>
    </row>
    <row r="231" spans="1:12" x14ac:dyDescent="0.3">
      <c r="A231" t="s">
        <v>2575</v>
      </c>
      <c r="B231" t="s">
        <v>2778</v>
      </c>
      <c r="C231" s="4">
        <v>45923</v>
      </c>
      <c r="D231">
        <v>82</v>
      </c>
      <c r="E231">
        <v>6526.71</v>
      </c>
      <c r="F231">
        <v>1289.77</v>
      </c>
      <c r="G231">
        <v>5236.9399999999996</v>
      </c>
      <c r="H231" t="s">
        <v>2454</v>
      </c>
      <c r="I231" t="s">
        <v>2480</v>
      </c>
      <c r="J231" t="s">
        <v>2493</v>
      </c>
      <c r="K231" t="s">
        <v>2457</v>
      </c>
      <c r="L231" t="s">
        <v>12</v>
      </c>
    </row>
    <row r="232" spans="1:12" x14ac:dyDescent="0.3">
      <c r="A232" t="s">
        <v>2597</v>
      </c>
      <c r="B232" t="s">
        <v>2779</v>
      </c>
      <c r="C232" s="4">
        <v>45884</v>
      </c>
      <c r="D232">
        <v>18</v>
      </c>
      <c r="E232">
        <v>898.59</v>
      </c>
      <c r="F232">
        <v>237.35</v>
      </c>
      <c r="G232">
        <v>661.24</v>
      </c>
      <c r="H232" t="s">
        <v>2475</v>
      </c>
      <c r="I232" t="s">
        <v>2455</v>
      </c>
      <c r="J232" t="s">
        <v>2462</v>
      </c>
      <c r="K232" t="s">
        <v>2463</v>
      </c>
      <c r="L232" t="s">
        <v>23</v>
      </c>
    </row>
    <row r="233" spans="1:12" x14ac:dyDescent="0.3">
      <c r="A233" t="s">
        <v>2558</v>
      </c>
      <c r="B233" t="s">
        <v>2780</v>
      </c>
      <c r="C233" s="4">
        <v>46017</v>
      </c>
      <c r="D233">
        <v>95</v>
      </c>
      <c r="E233">
        <v>10232.06</v>
      </c>
      <c r="F233">
        <v>1722.93</v>
      </c>
      <c r="G233">
        <v>8509.1299999999992</v>
      </c>
      <c r="H233" t="s">
        <v>2454</v>
      </c>
      <c r="I233" t="s">
        <v>2455</v>
      </c>
      <c r="J233" t="s">
        <v>2468</v>
      </c>
      <c r="K233" t="s">
        <v>2463</v>
      </c>
      <c r="L233" t="s">
        <v>36</v>
      </c>
    </row>
    <row r="234" spans="1:12" x14ac:dyDescent="0.3">
      <c r="A234" t="s">
        <v>2520</v>
      </c>
      <c r="B234" t="s">
        <v>2781</v>
      </c>
      <c r="C234" s="4">
        <v>45675</v>
      </c>
      <c r="D234">
        <v>143</v>
      </c>
      <c r="E234">
        <v>7548.58</v>
      </c>
      <c r="F234">
        <v>2601.48</v>
      </c>
      <c r="G234">
        <v>4947.1000000000004</v>
      </c>
      <c r="H234" t="s">
        <v>2475</v>
      </c>
      <c r="I234" t="s">
        <v>2508</v>
      </c>
      <c r="J234" t="s">
        <v>2493</v>
      </c>
      <c r="K234" t="s">
        <v>2496</v>
      </c>
      <c r="L234" t="s">
        <v>12</v>
      </c>
    </row>
    <row r="235" spans="1:12" x14ac:dyDescent="0.3">
      <c r="A235" t="s">
        <v>2489</v>
      </c>
      <c r="B235" t="s">
        <v>2782</v>
      </c>
      <c r="C235" s="4">
        <v>45781</v>
      </c>
      <c r="D235">
        <v>31</v>
      </c>
      <c r="E235">
        <v>13044.21</v>
      </c>
      <c r="F235">
        <v>4165.54</v>
      </c>
      <c r="G235">
        <v>8878.67</v>
      </c>
      <c r="H235" t="s">
        <v>2454</v>
      </c>
      <c r="I235" t="s">
        <v>2461</v>
      </c>
      <c r="J235" t="s">
        <v>2468</v>
      </c>
      <c r="K235" t="s">
        <v>2496</v>
      </c>
      <c r="L235" t="s">
        <v>23</v>
      </c>
    </row>
    <row r="236" spans="1:12" x14ac:dyDescent="0.3">
      <c r="A236" t="s">
        <v>2532</v>
      </c>
      <c r="B236" t="s">
        <v>2783</v>
      </c>
      <c r="C236" s="4">
        <v>45926</v>
      </c>
      <c r="D236">
        <v>28</v>
      </c>
      <c r="E236">
        <v>14881.99</v>
      </c>
      <c r="F236">
        <v>2236.86</v>
      </c>
      <c r="G236">
        <v>12645.13</v>
      </c>
      <c r="H236" t="s">
        <v>2475</v>
      </c>
      <c r="I236" t="s">
        <v>2508</v>
      </c>
      <c r="J236" t="s">
        <v>2468</v>
      </c>
      <c r="K236" t="s">
        <v>2469</v>
      </c>
      <c r="L236" t="s">
        <v>12</v>
      </c>
    </row>
    <row r="237" spans="1:12" x14ac:dyDescent="0.3">
      <c r="A237" t="s">
        <v>2464</v>
      </c>
      <c r="B237" t="s">
        <v>2784</v>
      </c>
      <c r="C237" s="4">
        <v>45660</v>
      </c>
      <c r="D237">
        <v>166</v>
      </c>
      <c r="E237">
        <v>12559.74</v>
      </c>
      <c r="F237">
        <v>3432.09</v>
      </c>
      <c r="G237">
        <v>9127.65</v>
      </c>
      <c r="H237" t="s">
        <v>2460</v>
      </c>
      <c r="I237" t="s">
        <v>2455</v>
      </c>
      <c r="J237" t="s">
        <v>2456</v>
      </c>
      <c r="K237" t="s">
        <v>2469</v>
      </c>
      <c r="L237" t="s">
        <v>23</v>
      </c>
    </row>
    <row r="238" spans="1:12" x14ac:dyDescent="0.3">
      <c r="A238" t="s">
        <v>2733</v>
      </c>
      <c r="B238" t="s">
        <v>2785</v>
      </c>
      <c r="C238" s="4">
        <v>45790</v>
      </c>
      <c r="D238">
        <v>47</v>
      </c>
      <c r="E238">
        <v>17221.12</v>
      </c>
      <c r="F238">
        <v>7189.11</v>
      </c>
      <c r="G238">
        <v>10032.01</v>
      </c>
      <c r="H238" t="s">
        <v>2454</v>
      </c>
      <c r="I238" t="s">
        <v>2485</v>
      </c>
      <c r="J238" t="s">
        <v>2462</v>
      </c>
      <c r="K238" t="s">
        <v>2457</v>
      </c>
      <c r="L238" t="s">
        <v>23</v>
      </c>
    </row>
    <row r="239" spans="1:12" x14ac:dyDescent="0.3">
      <c r="A239" t="s">
        <v>2642</v>
      </c>
      <c r="B239" t="s">
        <v>2786</v>
      </c>
      <c r="C239" s="4">
        <v>45762</v>
      </c>
      <c r="D239">
        <v>123</v>
      </c>
      <c r="E239">
        <v>11260.51</v>
      </c>
      <c r="F239">
        <v>4345.01</v>
      </c>
      <c r="G239">
        <v>6915.5</v>
      </c>
      <c r="H239" t="s">
        <v>2475</v>
      </c>
      <c r="I239" t="s">
        <v>2488</v>
      </c>
      <c r="J239" t="s">
        <v>2456</v>
      </c>
      <c r="K239" t="s">
        <v>2463</v>
      </c>
      <c r="L239" t="s">
        <v>12</v>
      </c>
    </row>
    <row r="240" spans="1:12" x14ac:dyDescent="0.3">
      <c r="A240" t="s">
        <v>2536</v>
      </c>
      <c r="B240" t="s">
        <v>2787</v>
      </c>
      <c r="C240" s="4">
        <v>45830</v>
      </c>
      <c r="D240">
        <v>71</v>
      </c>
      <c r="E240">
        <v>18610.169999999998</v>
      </c>
      <c r="F240">
        <v>7046.21</v>
      </c>
      <c r="G240">
        <v>11563.96</v>
      </c>
      <c r="H240" t="s">
        <v>2454</v>
      </c>
      <c r="I240" t="s">
        <v>2467</v>
      </c>
      <c r="J240" t="s">
        <v>2456</v>
      </c>
      <c r="K240" t="s">
        <v>2463</v>
      </c>
      <c r="L240" t="s">
        <v>12</v>
      </c>
    </row>
    <row r="241" spans="1:12" x14ac:dyDescent="0.3">
      <c r="A241" t="s">
        <v>2715</v>
      </c>
      <c r="B241" t="s">
        <v>2788</v>
      </c>
      <c r="C241" s="4">
        <v>45692</v>
      </c>
      <c r="D241">
        <v>49</v>
      </c>
      <c r="E241">
        <v>19421.71</v>
      </c>
      <c r="F241">
        <v>3947.68</v>
      </c>
      <c r="G241">
        <v>15474.03</v>
      </c>
      <c r="H241" t="s">
        <v>2460</v>
      </c>
      <c r="I241" t="s">
        <v>2488</v>
      </c>
      <c r="J241" t="s">
        <v>2493</v>
      </c>
      <c r="K241" t="s">
        <v>2457</v>
      </c>
      <c r="L241" t="s">
        <v>23</v>
      </c>
    </row>
    <row r="242" spans="1:12" x14ac:dyDescent="0.3">
      <c r="A242" t="s">
        <v>2561</v>
      </c>
      <c r="B242" t="s">
        <v>2789</v>
      </c>
      <c r="C242" s="4">
        <v>45790</v>
      </c>
      <c r="D242">
        <v>9</v>
      </c>
      <c r="E242">
        <v>17980.580000000002</v>
      </c>
      <c r="F242">
        <v>6817.88</v>
      </c>
      <c r="G242">
        <v>11162.7</v>
      </c>
      <c r="H242" t="s">
        <v>2460</v>
      </c>
      <c r="I242" t="s">
        <v>2517</v>
      </c>
      <c r="J242" t="s">
        <v>2468</v>
      </c>
      <c r="K242" t="s">
        <v>2463</v>
      </c>
      <c r="L242" t="s">
        <v>84</v>
      </c>
    </row>
    <row r="243" spans="1:12" x14ac:dyDescent="0.3">
      <c r="A243" t="s">
        <v>2655</v>
      </c>
      <c r="B243" t="s">
        <v>2790</v>
      </c>
      <c r="C243" s="4">
        <v>45798</v>
      </c>
      <c r="D243">
        <v>4</v>
      </c>
      <c r="E243">
        <v>2340.48</v>
      </c>
      <c r="F243">
        <v>491.68</v>
      </c>
      <c r="G243">
        <v>1848.8</v>
      </c>
      <c r="H243" t="s">
        <v>2454</v>
      </c>
      <c r="I243" t="s">
        <v>2508</v>
      </c>
      <c r="J243" t="s">
        <v>2493</v>
      </c>
      <c r="K243" t="s">
        <v>2463</v>
      </c>
      <c r="L243" t="s">
        <v>84</v>
      </c>
    </row>
    <row r="244" spans="1:12" x14ac:dyDescent="0.3">
      <c r="A244" t="s">
        <v>2626</v>
      </c>
      <c r="B244" t="s">
        <v>2791</v>
      </c>
      <c r="C244" s="4">
        <v>45862</v>
      </c>
      <c r="D244">
        <v>188</v>
      </c>
      <c r="E244">
        <v>13866.85</v>
      </c>
      <c r="F244">
        <v>5738.24</v>
      </c>
      <c r="G244">
        <v>8128.61</v>
      </c>
      <c r="H244" t="s">
        <v>2454</v>
      </c>
      <c r="I244" t="s">
        <v>2461</v>
      </c>
      <c r="J244" t="s">
        <v>2456</v>
      </c>
      <c r="K244" t="s">
        <v>2463</v>
      </c>
      <c r="L244" t="s">
        <v>84</v>
      </c>
    </row>
    <row r="245" spans="1:12" x14ac:dyDescent="0.3">
      <c r="A245" t="s">
        <v>2452</v>
      </c>
      <c r="B245" t="s">
        <v>2792</v>
      </c>
      <c r="C245" s="4">
        <v>45777</v>
      </c>
      <c r="D245">
        <v>120</v>
      </c>
      <c r="E245">
        <v>8307.24</v>
      </c>
      <c r="F245">
        <v>920.75</v>
      </c>
      <c r="G245">
        <v>7386.49</v>
      </c>
      <c r="H245" t="s">
        <v>2466</v>
      </c>
      <c r="I245" t="s">
        <v>2480</v>
      </c>
      <c r="J245" t="s">
        <v>2456</v>
      </c>
      <c r="K245" t="s">
        <v>2469</v>
      </c>
      <c r="L245" t="s">
        <v>32</v>
      </c>
    </row>
    <row r="246" spans="1:12" x14ac:dyDescent="0.3">
      <c r="A246" t="s">
        <v>2793</v>
      </c>
      <c r="B246" t="s">
        <v>2794</v>
      </c>
      <c r="C246" s="4">
        <v>46021</v>
      </c>
      <c r="D246">
        <v>69</v>
      </c>
      <c r="E246">
        <v>585.82000000000005</v>
      </c>
      <c r="F246">
        <v>229.18</v>
      </c>
      <c r="G246">
        <v>356.64</v>
      </c>
      <c r="H246" t="s">
        <v>2475</v>
      </c>
      <c r="I246" t="s">
        <v>2455</v>
      </c>
      <c r="J246" t="s">
        <v>2462</v>
      </c>
      <c r="K246" t="s">
        <v>2463</v>
      </c>
      <c r="L246" t="s">
        <v>84</v>
      </c>
    </row>
    <row r="247" spans="1:12" x14ac:dyDescent="0.3">
      <c r="A247" t="s">
        <v>2597</v>
      </c>
      <c r="B247" t="s">
        <v>2795</v>
      </c>
      <c r="C247" s="4">
        <v>45936</v>
      </c>
      <c r="D247">
        <v>180</v>
      </c>
      <c r="E247">
        <v>9821.7000000000007</v>
      </c>
      <c r="F247">
        <v>4001.28</v>
      </c>
      <c r="G247">
        <v>5820.42</v>
      </c>
      <c r="H247" t="s">
        <v>2472</v>
      </c>
      <c r="I247" t="s">
        <v>2508</v>
      </c>
      <c r="J247" t="s">
        <v>2493</v>
      </c>
      <c r="K247" t="s">
        <v>2463</v>
      </c>
      <c r="L247" t="s">
        <v>12</v>
      </c>
    </row>
    <row r="248" spans="1:12" x14ac:dyDescent="0.3">
      <c r="A248" t="s">
        <v>2509</v>
      </c>
      <c r="B248" t="s">
        <v>2796</v>
      </c>
      <c r="C248" s="4">
        <v>45743</v>
      </c>
      <c r="D248">
        <v>121</v>
      </c>
      <c r="E248">
        <v>10937.36</v>
      </c>
      <c r="F248">
        <v>3835.66</v>
      </c>
      <c r="G248">
        <v>7101.7</v>
      </c>
      <c r="H248" t="s">
        <v>2460</v>
      </c>
      <c r="I248" t="s">
        <v>2467</v>
      </c>
      <c r="J248" t="s">
        <v>2493</v>
      </c>
      <c r="K248" t="s">
        <v>2469</v>
      </c>
      <c r="L248" t="s">
        <v>23</v>
      </c>
    </row>
    <row r="249" spans="1:12" x14ac:dyDescent="0.3">
      <c r="A249" t="s">
        <v>2638</v>
      </c>
      <c r="B249" t="s">
        <v>2797</v>
      </c>
      <c r="C249" s="4">
        <v>45998</v>
      </c>
      <c r="D249">
        <v>103</v>
      </c>
      <c r="E249">
        <v>7504.99</v>
      </c>
      <c r="F249">
        <v>799.99</v>
      </c>
      <c r="G249">
        <v>6705</v>
      </c>
      <c r="H249" t="s">
        <v>2460</v>
      </c>
      <c r="I249" t="s">
        <v>2467</v>
      </c>
      <c r="J249" t="s">
        <v>2462</v>
      </c>
      <c r="K249" t="s">
        <v>2457</v>
      </c>
      <c r="L249" t="s">
        <v>84</v>
      </c>
    </row>
    <row r="250" spans="1:12" x14ac:dyDescent="0.3">
      <c r="A250" t="s">
        <v>2581</v>
      </c>
      <c r="B250" t="s">
        <v>2798</v>
      </c>
      <c r="C250" s="4">
        <v>45782</v>
      </c>
      <c r="D250">
        <v>155</v>
      </c>
      <c r="E250">
        <v>5138.6899999999996</v>
      </c>
      <c r="F250">
        <v>2286.4299999999998</v>
      </c>
      <c r="G250">
        <v>2852.26</v>
      </c>
      <c r="H250" t="s">
        <v>2460</v>
      </c>
      <c r="I250" t="s">
        <v>2517</v>
      </c>
      <c r="J250" t="s">
        <v>2462</v>
      </c>
      <c r="K250" t="s">
        <v>2496</v>
      </c>
      <c r="L250" t="s">
        <v>36</v>
      </c>
    </row>
    <row r="251" spans="1:12" x14ac:dyDescent="0.3">
      <c r="A251" t="s">
        <v>2570</v>
      </c>
      <c r="B251" t="s">
        <v>2799</v>
      </c>
      <c r="C251" s="4">
        <v>45785</v>
      </c>
      <c r="D251">
        <v>161</v>
      </c>
      <c r="E251">
        <v>2986.5</v>
      </c>
      <c r="F251">
        <v>1085.1199999999999</v>
      </c>
      <c r="G251">
        <v>1901.38</v>
      </c>
      <c r="H251" t="s">
        <v>2475</v>
      </c>
      <c r="I251" t="s">
        <v>2467</v>
      </c>
      <c r="J251" t="s">
        <v>2468</v>
      </c>
      <c r="K251" t="s">
        <v>2457</v>
      </c>
      <c r="L251" t="s">
        <v>84</v>
      </c>
    </row>
    <row r="252" spans="1:12" x14ac:dyDescent="0.3">
      <c r="A252" t="s">
        <v>2591</v>
      </c>
      <c r="B252" t="s">
        <v>2800</v>
      </c>
      <c r="C252" s="4">
        <v>45770</v>
      </c>
      <c r="D252">
        <v>129</v>
      </c>
      <c r="E252">
        <v>10925.54</v>
      </c>
      <c r="F252">
        <v>3192.14</v>
      </c>
      <c r="G252">
        <v>7733.4</v>
      </c>
      <c r="H252" t="s">
        <v>2466</v>
      </c>
      <c r="I252" t="s">
        <v>2480</v>
      </c>
      <c r="J252" t="s">
        <v>2493</v>
      </c>
      <c r="K252" t="s">
        <v>2496</v>
      </c>
      <c r="L252" t="s">
        <v>36</v>
      </c>
    </row>
    <row r="253" spans="1:12" x14ac:dyDescent="0.3">
      <c r="A253" t="s">
        <v>2599</v>
      </c>
      <c r="B253" t="s">
        <v>2801</v>
      </c>
      <c r="C253" s="4">
        <v>45908</v>
      </c>
      <c r="D253">
        <v>30</v>
      </c>
      <c r="E253">
        <v>6577.2</v>
      </c>
      <c r="F253">
        <v>1087.95</v>
      </c>
      <c r="G253">
        <v>5489.25</v>
      </c>
      <c r="H253" t="s">
        <v>2460</v>
      </c>
      <c r="I253" t="s">
        <v>2461</v>
      </c>
      <c r="J253" t="s">
        <v>2462</v>
      </c>
      <c r="K253" t="s">
        <v>2496</v>
      </c>
      <c r="L253" t="s">
        <v>36</v>
      </c>
    </row>
    <row r="254" spans="1:12" x14ac:dyDescent="0.3">
      <c r="A254" t="s">
        <v>2509</v>
      </c>
      <c r="B254" t="s">
        <v>2802</v>
      </c>
      <c r="C254" s="4">
        <v>45732</v>
      </c>
      <c r="D254">
        <v>105</v>
      </c>
      <c r="E254">
        <v>13787.24</v>
      </c>
      <c r="F254">
        <v>1445.18</v>
      </c>
      <c r="G254">
        <v>12342.06</v>
      </c>
      <c r="H254" t="s">
        <v>2475</v>
      </c>
      <c r="I254" t="s">
        <v>2517</v>
      </c>
      <c r="J254" t="s">
        <v>2468</v>
      </c>
      <c r="K254" t="s">
        <v>2496</v>
      </c>
      <c r="L254" t="s">
        <v>32</v>
      </c>
    </row>
    <row r="255" spans="1:12" x14ac:dyDescent="0.3">
      <c r="A255" t="s">
        <v>2748</v>
      </c>
      <c r="B255" t="s">
        <v>2803</v>
      </c>
      <c r="C255" s="4">
        <v>45955</v>
      </c>
      <c r="D255">
        <v>37</v>
      </c>
      <c r="E255">
        <v>18325.29</v>
      </c>
      <c r="F255">
        <v>4068.67</v>
      </c>
      <c r="G255">
        <v>14256.62</v>
      </c>
      <c r="H255" t="s">
        <v>2460</v>
      </c>
      <c r="I255" t="s">
        <v>2455</v>
      </c>
      <c r="J255" t="s">
        <v>2462</v>
      </c>
      <c r="K255" t="s">
        <v>2469</v>
      </c>
      <c r="L255" t="s">
        <v>23</v>
      </c>
    </row>
    <row r="256" spans="1:12" x14ac:dyDescent="0.3">
      <c r="A256" t="s">
        <v>2662</v>
      </c>
      <c r="B256" t="s">
        <v>2804</v>
      </c>
      <c r="C256" s="4">
        <v>46006</v>
      </c>
      <c r="D256">
        <v>49</v>
      </c>
      <c r="E256">
        <v>567.76</v>
      </c>
      <c r="F256">
        <v>276.82</v>
      </c>
      <c r="G256">
        <v>290.94</v>
      </c>
      <c r="H256" t="s">
        <v>2472</v>
      </c>
      <c r="I256" t="s">
        <v>2455</v>
      </c>
      <c r="J256" t="s">
        <v>2468</v>
      </c>
      <c r="K256" t="s">
        <v>2463</v>
      </c>
      <c r="L256" t="s">
        <v>36</v>
      </c>
    </row>
    <row r="257" spans="1:12" x14ac:dyDescent="0.3">
      <c r="A257" t="s">
        <v>2573</v>
      </c>
      <c r="B257" t="s">
        <v>2805</v>
      </c>
      <c r="C257" s="4">
        <v>45897</v>
      </c>
      <c r="D257">
        <v>31</v>
      </c>
      <c r="E257">
        <v>8496.16</v>
      </c>
      <c r="F257">
        <v>3033.08</v>
      </c>
      <c r="G257">
        <v>5463.08</v>
      </c>
      <c r="H257" t="s">
        <v>2454</v>
      </c>
      <c r="I257" t="s">
        <v>2480</v>
      </c>
      <c r="J257" t="s">
        <v>2493</v>
      </c>
      <c r="K257" t="s">
        <v>2469</v>
      </c>
      <c r="L257" t="s">
        <v>36</v>
      </c>
    </row>
    <row r="258" spans="1:12" x14ac:dyDescent="0.3">
      <c r="A258" t="s">
        <v>2622</v>
      </c>
      <c r="B258" t="s">
        <v>2806</v>
      </c>
      <c r="C258" s="4">
        <v>45711</v>
      </c>
      <c r="D258">
        <v>78</v>
      </c>
      <c r="E258">
        <v>8627.6299999999992</v>
      </c>
      <c r="F258">
        <v>2278.7600000000002</v>
      </c>
      <c r="G258">
        <v>6348.87</v>
      </c>
      <c r="H258" t="s">
        <v>2454</v>
      </c>
      <c r="I258" t="s">
        <v>2480</v>
      </c>
      <c r="J258" t="s">
        <v>2462</v>
      </c>
      <c r="K258" t="s">
        <v>2463</v>
      </c>
      <c r="L258" t="s">
        <v>36</v>
      </c>
    </row>
    <row r="259" spans="1:12" x14ac:dyDescent="0.3">
      <c r="A259" t="s">
        <v>2751</v>
      </c>
      <c r="B259" t="s">
        <v>2807</v>
      </c>
      <c r="C259" s="4">
        <v>45664</v>
      </c>
      <c r="D259">
        <v>8</v>
      </c>
      <c r="E259">
        <v>5190.07</v>
      </c>
      <c r="F259">
        <v>1611.83</v>
      </c>
      <c r="G259">
        <v>3578.24</v>
      </c>
      <c r="H259" t="s">
        <v>2454</v>
      </c>
      <c r="I259" t="s">
        <v>2488</v>
      </c>
      <c r="J259" t="s">
        <v>2462</v>
      </c>
      <c r="K259" t="s">
        <v>2469</v>
      </c>
      <c r="L259" t="s">
        <v>12</v>
      </c>
    </row>
    <row r="260" spans="1:12" x14ac:dyDescent="0.3">
      <c r="A260" t="s">
        <v>2556</v>
      </c>
      <c r="B260" t="s">
        <v>2808</v>
      </c>
      <c r="C260" s="4">
        <v>45875</v>
      </c>
      <c r="D260">
        <v>10</v>
      </c>
      <c r="E260">
        <v>19259.09</v>
      </c>
      <c r="F260">
        <v>3782.1</v>
      </c>
      <c r="G260">
        <v>15476.99</v>
      </c>
      <c r="H260" t="s">
        <v>2472</v>
      </c>
      <c r="I260" t="s">
        <v>2517</v>
      </c>
      <c r="J260" t="s">
        <v>2493</v>
      </c>
      <c r="K260" t="s">
        <v>2463</v>
      </c>
      <c r="L260" t="s">
        <v>36</v>
      </c>
    </row>
    <row r="261" spans="1:12" x14ac:dyDescent="0.3">
      <c r="A261" t="s">
        <v>2670</v>
      </c>
      <c r="B261" t="s">
        <v>2809</v>
      </c>
      <c r="C261" s="4">
        <v>45772</v>
      </c>
      <c r="D261">
        <v>184</v>
      </c>
      <c r="E261">
        <v>12662.85</v>
      </c>
      <c r="F261">
        <v>5855.27</v>
      </c>
      <c r="G261">
        <v>6807.58</v>
      </c>
      <c r="H261" t="s">
        <v>2454</v>
      </c>
      <c r="I261" t="s">
        <v>2485</v>
      </c>
      <c r="J261" t="s">
        <v>2468</v>
      </c>
      <c r="K261" t="s">
        <v>2457</v>
      </c>
      <c r="L261" t="s">
        <v>84</v>
      </c>
    </row>
    <row r="262" spans="1:12" x14ac:dyDescent="0.3">
      <c r="A262" t="s">
        <v>2570</v>
      </c>
      <c r="B262" t="s">
        <v>2810</v>
      </c>
      <c r="C262" s="4">
        <v>45893</v>
      </c>
      <c r="D262">
        <v>142</v>
      </c>
      <c r="E262">
        <v>15565.56</v>
      </c>
      <c r="F262">
        <v>2461.59</v>
      </c>
      <c r="G262">
        <v>13103.97</v>
      </c>
      <c r="H262" t="s">
        <v>2475</v>
      </c>
      <c r="I262" t="s">
        <v>2461</v>
      </c>
      <c r="J262" t="s">
        <v>2456</v>
      </c>
      <c r="K262" t="s">
        <v>2463</v>
      </c>
      <c r="L262" t="s">
        <v>84</v>
      </c>
    </row>
    <row r="263" spans="1:12" x14ac:dyDescent="0.3">
      <c r="A263" t="s">
        <v>2624</v>
      </c>
      <c r="B263" t="s">
        <v>2811</v>
      </c>
      <c r="C263" s="4">
        <v>45749</v>
      </c>
      <c r="D263">
        <v>114</v>
      </c>
      <c r="E263">
        <v>1475.08</v>
      </c>
      <c r="F263">
        <v>630.61</v>
      </c>
      <c r="G263">
        <v>844.47</v>
      </c>
      <c r="H263" t="s">
        <v>2460</v>
      </c>
      <c r="I263" t="s">
        <v>2461</v>
      </c>
      <c r="J263" t="s">
        <v>2456</v>
      </c>
      <c r="K263" t="s">
        <v>2469</v>
      </c>
      <c r="L263" t="s">
        <v>36</v>
      </c>
    </row>
    <row r="264" spans="1:12" x14ac:dyDescent="0.3">
      <c r="A264" t="s">
        <v>2812</v>
      </c>
      <c r="B264" t="s">
        <v>2813</v>
      </c>
      <c r="C264" s="4">
        <v>45861</v>
      </c>
      <c r="D264">
        <v>133</v>
      </c>
      <c r="E264">
        <v>9872.8700000000008</v>
      </c>
      <c r="F264">
        <v>1373.27</v>
      </c>
      <c r="G264">
        <v>8499.6</v>
      </c>
      <c r="H264" t="s">
        <v>2460</v>
      </c>
      <c r="I264" t="s">
        <v>2467</v>
      </c>
      <c r="J264" t="s">
        <v>2456</v>
      </c>
      <c r="K264" t="s">
        <v>2469</v>
      </c>
      <c r="L264" t="s">
        <v>23</v>
      </c>
    </row>
    <row r="265" spans="1:12" x14ac:dyDescent="0.3">
      <c r="A265" t="s">
        <v>2509</v>
      </c>
      <c r="B265" t="s">
        <v>2814</v>
      </c>
      <c r="C265" s="4">
        <v>45767</v>
      </c>
      <c r="D265">
        <v>29</v>
      </c>
      <c r="E265">
        <v>13767.47</v>
      </c>
      <c r="F265">
        <v>1549.86</v>
      </c>
      <c r="G265">
        <v>12217.61</v>
      </c>
      <c r="H265" t="s">
        <v>2472</v>
      </c>
      <c r="I265" t="s">
        <v>2455</v>
      </c>
      <c r="J265" t="s">
        <v>2462</v>
      </c>
      <c r="K265" t="s">
        <v>2457</v>
      </c>
      <c r="L265" t="s">
        <v>36</v>
      </c>
    </row>
    <row r="266" spans="1:12" x14ac:dyDescent="0.3">
      <c r="A266" t="s">
        <v>2473</v>
      </c>
      <c r="B266" t="s">
        <v>2815</v>
      </c>
      <c r="C266" s="4">
        <v>45962</v>
      </c>
      <c r="D266">
        <v>199</v>
      </c>
      <c r="E266">
        <v>14916.16</v>
      </c>
      <c r="F266">
        <v>3556.78</v>
      </c>
      <c r="G266">
        <v>11359.38</v>
      </c>
      <c r="H266" t="s">
        <v>2475</v>
      </c>
      <c r="I266" t="s">
        <v>2461</v>
      </c>
      <c r="J266" t="s">
        <v>2456</v>
      </c>
      <c r="K266" t="s">
        <v>2469</v>
      </c>
      <c r="L266" t="s">
        <v>84</v>
      </c>
    </row>
    <row r="267" spans="1:12" x14ac:dyDescent="0.3">
      <c r="A267" t="s">
        <v>2605</v>
      </c>
      <c r="B267" t="s">
        <v>2816</v>
      </c>
      <c r="C267" s="4">
        <v>45677</v>
      </c>
      <c r="D267">
        <v>175</v>
      </c>
      <c r="E267">
        <v>11713.04</v>
      </c>
      <c r="F267">
        <v>3545.06</v>
      </c>
      <c r="G267">
        <v>8167.98</v>
      </c>
      <c r="H267" t="s">
        <v>2454</v>
      </c>
      <c r="I267" t="s">
        <v>2488</v>
      </c>
      <c r="J267" t="s">
        <v>2456</v>
      </c>
      <c r="K267" t="s">
        <v>2496</v>
      </c>
      <c r="L267" t="s">
        <v>32</v>
      </c>
    </row>
    <row r="268" spans="1:12" x14ac:dyDescent="0.3">
      <c r="A268" t="s">
        <v>2575</v>
      </c>
      <c r="B268" t="s">
        <v>2817</v>
      </c>
      <c r="C268" s="4">
        <v>45665</v>
      </c>
      <c r="D268">
        <v>155</v>
      </c>
      <c r="E268">
        <v>11299.14</v>
      </c>
      <c r="F268">
        <v>3669.52</v>
      </c>
      <c r="G268">
        <v>7629.62</v>
      </c>
      <c r="H268" t="s">
        <v>2460</v>
      </c>
      <c r="I268" t="s">
        <v>2461</v>
      </c>
      <c r="J268" t="s">
        <v>2456</v>
      </c>
      <c r="K268" t="s">
        <v>2469</v>
      </c>
      <c r="L268" t="s">
        <v>23</v>
      </c>
    </row>
    <row r="269" spans="1:12" x14ac:dyDescent="0.3">
      <c r="A269" t="s">
        <v>2478</v>
      </c>
      <c r="B269" t="s">
        <v>2818</v>
      </c>
      <c r="C269" s="4">
        <v>45867</v>
      </c>
      <c r="D269">
        <v>122</v>
      </c>
      <c r="E269">
        <v>767.38</v>
      </c>
      <c r="F269">
        <v>249.77</v>
      </c>
      <c r="G269">
        <v>517.61</v>
      </c>
      <c r="H269" t="s">
        <v>2454</v>
      </c>
      <c r="I269" t="s">
        <v>2488</v>
      </c>
      <c r="J269" t="s">
        <v>2456</v>
      </c>
      <c r="K269" t="s">
        <v>2463</v>
      </c>
      <c r="L269" t="s">
        <v>12</v>
      </c>
    </row>
    <row r="270" spans="1:12" x14ac:dyDescent="0.3">
      <c r="A270" t="s">
        <v>2545</v>
      </c>
      <c r="B270" t="s">
        <v>2819</v>
      </c>
      <c r="C270" s="4">
        <v>45942</v>
      </c>
      <c r="D270">
        <v>103</v>
      </c>
      <c r="E270">
        <v>10191.56</v>
      </c>
      <c r="F270">
        <v>4104.21</v>
      </c>
      <c r="G270">
        <v>6087.35</v>
      </c>
      <c r="H270" t="s">
        <v>2475</v>
      </c>
      <c r="I270" t="s">
        <v>2488</v>
      </c>
      <c r="J270" t="s">
        <v>2456</v>
      </c>
      <c r="K270" t="s">
        <v>2496</v>
      </c>
      <c r="L270" t="s">
        <v>84</v>
      </c>
    </row>
    <row r="271" spans="1:12" x14ac:dyDescent="0.3">
      <c r="A271" t="s">
        <v>2541</v>
      </c>
      <c r="B271" t="s">
        <v>2820</v>
      </c>
      <c r="C271" s="4">
        <v>45879</v>
      </c>
      <c r="D271">
        <v>51</v>
      </c>
      <c r="E271">
        <v>8977.43</v>
      </c>
      <c r="F271">
        <v>910.24</v>
      </c>
      <c r="G271">
        <v>8067.19</v>
      </c>
      <c r="H271" t="s">
        <v>2460</v>
      </c>
      <c r="I271" t="s">
        <v>2508</v>
      </c>
      <c r="J271" t="s">
        <v>2462</v>
      </c>
      <c r="K271" t="s">
        <v>2463</v>
      </c>
      <c r="L271" t="s">
        <v>23</v>
      </c>
    </row>
    <row r="272" spans="1:12" x14ac:dyDescent="0.3">
      <c r="A272" t="s">
        <v>2481</v>
      </c>
      <c r="B272" t="s">
        <v>2821</v>
      </c>
      <c r="C272" s="4">
        <v>45912</v>
      </c>
      <c r="D272">
        <v>144</v>
      </c>
      <c r="E272">
        <v>891.14</v>
      </c>
      <c r="F272">
        <v>373.41</v>
      </c>
      <c r="G272">
        <v>517.73</v>
      </c>
      <c r="H272" t="s">
        <v>2460</v>
      </c>
      <c r="I272" t="s">
        <v>2467</v>
      </c>
      <c r="J272" t="s">
        <v>2462</v>
      </c>
      <c r="K272" t="s">
        <v>2463</v>
      </c>
      <c r="L272" t="s">
        <v>32</v>
      </c>
    </row>
    <row r="273" spans="1:12" x14ac:dyDescent="0.3">
      <c r="A273" t="s">
        <v>2709</v>
      </c>
      <c r="B273" t="s">
        <v>2822</v>
      </c>
      <c r="C273" s="4">
        <v>45896</v>
      </c>
      <c r="D273">
        <v>4</v>
      </c>
      <c r="E273">
        <v>2343.7800000000002</v>
      </c>
      <c r="F273">
        <v>547.59</v>
      </c>
      <c r="G273">
        <v>1796.19</v>
      </c>
      <c r="H273" t="s">
        <v>2466</v>
      </c>
      <c r="I273" t="s">
        <v>2480</v>
      </c>
      <c r="J273" t="s">
        <v>2493</v>
      </c>
      <c r="K273" t="s">
        <v>2496</v>
      </c>
      <c r="L273" t="s">
        <v>12</v>
      </c>
    </row>
    <row r="274" spans="1:12" x14ac:dyDescent="0.3">
      <c r="A274" t="s">
        <v>2715</v>
      </c>
      <c r="B274" t="s">
        <v>2823</v>
      </c>
      <c r="C274" s="4">
        <v>45737</v>
      </c>
      <c r="D274">
        <v>55</v>
      </c>
      <c r="E274">
        <v>3854.47</v>
      </c>
      <c r="F274">
        <v>1195.26</v>
      </c>
      <c r="G274">
        <v>2659.21</v>
      </c>
      <c r="H274" t="s">
        <v>2454</v>
      </c>
      <c r="I274" t="s">
        <v>2455</v>
      </c>
      <c r="J274" t="s">
        <v>2456</v>
      </c>
      <c r="K274" t="s">
        <v>2496</v>
      </c>
      <c r="L274" t="s">
        <v>36</v>
      </c>
    </row>
    <row r="275" spans="1:12" x14ac:dyDescent="0.3">
      <c r="A275" t="s">
        <v>2609</v>
      </c>
      <c r="B275" t="s">
        <v>2824</v>
      </c>
      <c r="C275" s="4">
        <v>45935</v>
      </c>
      <c r="D275">
        <v>171</v>
      </c>
      <c r="E275">
        <v>2626.42</v>
      </c>
      <c r="F275">
        <v>777.56</v>
      </c>
      <c r="G275">
        <v>1848.86</v>
      </c>
      <c r="H275" t="s">
        <v>2472</v>
      </c>
      <c r="I275" t="s">
        <v>2517</v>
      </c>
      <c r="J275" t="s">
        <v>2456</v>
      </c>
      <c r="K275" t="s">
        <v>2496</v>
      </c>
      <c r="L275" t="s">
        <v>23</v>
      </c>
    </row>
    <row r="276" spans="1:12" x14ac:dyDescent="0.3">
      <c r="A276" t="s">
        <v>2504</v>
      </c>
      <c r="B276" t="s">
        <v>2825</v>
      </c>
      <c r="C276" s="4">
        <v>45659</v>
      </c>
      <c r="D276">
        <v>93</v>
      </c>
      <c r="E276">
        <v>18758.41</v>
      </c>
      <c r="F276">
        <v>3166.6</v>
      </c>
      <c r="G276">
        <v>15591.81</v>
      </c>
      <c r="H276" t="s">
        <v>2454</v>
      </c>
      <c r="I276" t="s">
        <v>2480</v>
      </c>
      <c r="J276" t="s">
        <v>2462</v>
      </c>
      <c r="K276" t="s">
        <v>2463</v>
      </c>
      <c r="L276" t="s">
        <v>36</v>
      </c>
    </row>
    <row r="277" spans="1:12" x14ac:dyDescent="0.3">
      <c r="A277" t="s">
        <v>2581</v>
      </c>
      <c r="B277" t="s">
        <v>2826</v>
      </c>
      <c r="C277" s="4">
        <v>45961</v>
      </c>
      <c r="D277">
        <v>50</v>
      </c>
      <c r="E277">
        <v>13465.95</v>
      </c>
      <c r="F277">
        <v>1719.44</v>
      </c>
      <c r="G277">
        <v>11746.51</v>
      </c>
      <c r="H277" t="s">
        <v>2454</v>
      </c>
      <c r="I277" t="s">
        <v>2517</v>
      </c>
      <c r="J277" t="s">
        <v>2468</v>
      </c>
      <c r="K277" t="s">
        <v>2496</v>
      </c>
      <c r="L277" t="s">
        <v>36</v>
      </c>
    </row>
    <row r="278" spans="1:12" x14ac:dyDescent="0.3">
      <c r="A278" t="s">
        <v>2452</v>
      </c>
      <c r="B278" t="s">
        <v>2827</v>
      </c>
      <c r="C278" s="4">
        <v>45769</v>
      </c>
      <c r="D278">
        <v>194</v>
      </c>
      <c r="E278">
        <v>12743.35</v>
      </c>
      <c r="F278">
        <v>5141.4799999999996</v>
      </c>
      <c r="G278">
        <v>7601.87</v>
      </c>
      <c r="H278" t="s">
        <v>2466</v>
      </c>
      <c r="I278" t="s">
        <v>2508</v>
      </c>
      <c r="J278" t="s">
        <v>2462</v>
      </c>
      <c r="K278" t="s">
        <v>2463</v>
      </c>
      <c r="L278" t="s">
        <v>36</v>
      </c>
    </row>
    <row r="279" spans="1:12" x14ac:dyDescent="0.3">
      <c r="A279" t="s">
        <v>2653</v>
      </c>
      <c r="B279" t="s">
        <v>2828</v>
      </c>
      <c r="C279" s="4">
        <v>45669</v>
      </c>
      <c r="D279">
        <v>17</v>
      </c>
      <c r="E279">
        <v>11277.56</v>
      </c>
      <c r="F279">
        <v>2460.88</v>
      </c>
      <c r="G279">
        <v>8816.68</v>
      </c>
      <c r="H279" t="s">
        <v>2475</v>
      </c>
      <c r="I279" t="s">
        <v>2480</v>
      </c>
      <c r="J279" t="s">
        <v>2493</v>
      </c>
      <c r="K279" t="s">
        <v>2469</v>
      </c>
      <c r="L279" t="s">
        <v>12</v>
      </c>
    </row>
    <row r="280" spans="1:12" x14ac:dyDescent="0.3">
      <c r="A280" t="s">
        <v>2483</v>
      </c>
      <c r="B280" t="s">
        <v>2829</v>
      </c>
      <c r="C280" s="4">
        <v>45668</v>
      </c>
      <c r="D280">
        <v>167</v>
      </c>
      <c r="E280">
        <v>16155.55</v>
      </c>
      <c r="F280">
        <v>2151.1999999999998</v>
      </c>
      <c r="G280">
        <v>14004.35</v>
      </c>
      <c r="H280" t="s">
        <v>2460</v>
      </c>
      <c r="I280" t="s">
        <v>2485</v>
      </c>
      <c r="J280" t="s">
        <v>2493</v>
      </c>
      <c r="K280" t="s">
        <v>2457</v>
      </c>
      <c r="L280" t="s">
        <v>36</v>
      </c>
    </row>
    <row r="281" spans="1:12" x14ac:dyDescent="0.3">
      <c r="A281" t="s">
        <v>2499</v>
      </c>
      <c r="B281" t="s">
        <v>2830</v>
      </c>
      <c r="C281" s="4">
        <v>45671</v>
      </c>
      <c r="D281">
        <v>194</v>
      </c>
      <c r="E281">
        <v>17436.07</v>
      </c>
      <c r="F281">
        <v>3916.48</v>
      </c>
      <c r="G281">
        <v>13519.59</v>
      </c>
      <c r="H281" t="s">
        <v>2466</v>
      </c>
      <c r="I281" t="s">
        <v>2467</v>
      </c>
      <c r="J281" t="s">
        <v>2462</v>
      </c>
      <c r="K281" t="s">
        <v>2469</v>
      </c>
      <c r="L281" t="s">
        <v>12</v>
      </c>
    </row>
    <row r="282" spans="1:12" x14ac:dyDescent="0.3">
      <c r="A282" t="s">
        <v>2649</v>
      </c>
      <c r="B282" t="s">
        <v>2831</v>
      </c>
      <c r="C282" s="4">
        <v>45850</v>
      </c>
      <c r="D282">
        <v>137</v>
      </c>
      <c r="E282">
        <v>10388.25</v>
      </c>
      <c r="F282">
        <v>2570.61</v>
      </c>
      <c r="G282">
        <v>7817.64</v>
      </c>
      <c r="H282" t="s">
        <v>2460</v>
      </c>
      <c r="I282" t="s">
        <v>2508</v>
      </c>
      <c r="J282" t="s">
        <v>2493</v>
      </c>
      <c r="K282" t="s">
        <v>2469</v>
      </c>
      <c r="L282" t="s">
        <v>12</v>
      </c>
    </row>
    <row r="283" spans="1:12" x14ac:dyDescent="0.3">
      <c r="A283" t="s">
        <v>2527</v>
      </c>
      <c r="B283" t="s">
        <v>2832</v>
      </c>
      <c r="C283" s="4">
        <v>45811</v>
      </c>
      <c r="D283">
        <v>83</v>
      </c>
      <c r="E283">
        <v>18153.63</v>
      </c>
      <c r="F283">
        <v>4966.72</v>
      </c>
      <c r="G283">
        <v>13186.91</v>
      </c>
      <c r="H283" t="s">
        <v>2460</v>
      </c>
      <c r="I283" t="s">
        <v>2508</v>
      </c>
      <c r="J283" t="s">
        <v>2468</v>
      </c>
      <c r="K283" t="s">
        <v>2469</v>
      </c>
      <c r="L283" t="s">
        <v>12</v>
      </c>
    </row>
    <row r="284" spans="1:12" x14ac:dyDescent="0.3">
      <c r="A284" t="s">
        <v>2726</v>
      </c>
      <c r="B284" t="s">
        <v>2833</v>
      </c>
      <c r="C284" s="4">
        <v>45768</v>
      </c>
      <c r="D284">
        <v>68</v>
      </c>
      <c r="E284">
        <v>11995.43</v>
      </c>
      <c r="F284">
        <v>2784.45</v>
      </c>
      <c r="G284">
        <v>9210.98</v>
      </c>
      <c r="H284" t="s">
        <v>2475</v>
      </c>
      <c r="I284" t="s">
        <v>2467</v>
      </c>
      <c r="J284" t="s">
        <v>2493</v>
      </c>
      <c r="K284" t="s">
        <v>2496</v>
      </c>
      <c r="L284" t="s">
        <v>12</v>
      </c>
    </row>
    <row r="285" spans="1:12" x14ac:dyDescent="0.3">
      <c r="A285" t="s">
        <v>2470</v>
      </c>
      <c r="B285" t="s">
        <v>2834</v>
      </c>
      <c r="C285" s="4">
        <v>45688</v>
      </c>
      <c r="D285">
        <v>119</v>
      </c>
      <c r="E285">
        <v>11676.81</v>
      </c>
      <c r="F285">
        <v>5028.43</v>
      </c>
      <c r="G285">
        <v>6648.38</v>
      </c>
      <c r="H285" t="s">
        <v>2460</v>
      </c>
      <c r="I285" t="s">
        <v>2455</v>
      </c>
      <c r="J285" t="s">
        <v>2468</v>
      </c>
      <c r="K285" t="s">
        <v>2469</v>
      </c>
      <c r="L285" t="s">
        <v>84</v>
      </c>
    </row>
    <row r="286" spans="1:12" x14ac:dyDescent="0.3">
      <c r="A286" t="s">
        <v>2530</v>
      </c>
      <c r="B286" t="s">
        <v>2835</v>
      </c>
      <c r="C286" s="4">
        <v>46013</v>
      </c>
      <c r="D286">
        <v>63</v>
      </c>
      <c r="E286">
        <v>7893.44</v>
      </c>
      <c r="F286">
        <v>1682.75</v>
      </c>
      <c r="G286">
        <v>6210.69</v>
      </c>
      <c r="H286" t="s">
        <v>2466</v>
      </c>
      <c r="I286" t="s">
        <v>2517</v>
      </c>
      <c r="J286" t="s">
        <v>2493</v>
      </c>
      <c r="K286" t="s">
        <v>2496</v>
      </c>
      <c r="L286" t="s">
        <v>84</v>
      </c>
    </row>
    <row r="287" spans="1:12" x14ac:dyDescent="0.3">
      <c r="A287" t="s">
        <v>2538</v>
      </c>
      <c r="B287" t="s">
        <v>2836</v>
      </c>
      <c r="C287" s="4">
        <v>45788</v>
      </c>
      <c r="D287">
        <v>32</v>
      </c>
      <c r="E287">
        <v>19333.62</v>
      </c>
      <c r="F287">
        <v>3378.63</v>
      </c>
      <c r="G287">
        <v>15954.99</v>
      </c>
      <c r="H287" t="s">
        <v>2454</v>
      </c>
      <c r="I287" t="s">
        <v>2480</v>
      </c>
      <c r="J287" t="s">
        <v>2456</v>
      </c>
      <c r="K287" t="s">
        <v>2496</v>
      </c>
      <c r="L287" t="s">
        <v>12</v>
      </c>
    </row>
    <row r="288" spans="1:12" x14ac:dyDescent="0.3">
      <c r="A288" t="s">
        <v>2793</v>
      </c>
      <c r="B288" t="s">
        <v>2837</v>
      </c>
      <c r="C288" s="4">
        <v>46006</v>
      </c>
      <c r="D288">
        <v>141</v>
      </c>
      <c r="E288">
        <v>11713.31</v>
      </c>
      <c r="F288">
        <v>4558.3900000000003</v>
      </c>
      <c r="G288">
        <v>7154.92</v>
      </c>
      <c r="H288" t="s">
        <v>2466</v>
      </c>
      <c r="I288" t="s">
        <v>2461</v>
      </c>
      <c r="J288" t="s">
        <v>2468</v>
      </c>
      <c r="K288" t="s">
        <v>2469</v>
      </c>
      <c r="L288" t="s">
        <v>36</v>
      </c>
    </row>
    <row r="289" spans="1:12" x14ac:dyDescent="0.3">
      <c r="A289" t="s">
        <v>2597</v>
      </c>
      <c r="B289" t="s">
        <v>2838</v>
      </c>
      <c r="C289" s="4">
        <v>45904</v>
      </c>
      <c r="D289">
        <v>126</v>
      </c>
      <c r="E289">
        <v>11945.91</v>
      </c>
      <c r="F289">
        <v>3696.69</v>
      </c>
      <c r="G289">
        <v>8249.2199999999993</v>
      </c>
      <c r="H289" t="s">
        <v>2454</v>
      </c>
      <c r="I289" t="s">
        <v>2485</v>
      </c>
      <c r="J289" t="s">
        <v>2456</v>
      </c>
      <c r="K289" t="s">
        <v>2496</v>
      </c>
      <c r="L289" t="s">
        <v>36</v>
      </c>
    </row>
    <row r="290" spans="1:12" x14ac:dyDescent="0.3">
      <c r="A290" t="s">
        <v>2588</v>
      </c>
      <c r="B290" t="s">
        <v>2839</v>
      </c>
      <c r="C290" s="4">
        <v>45673</v>
      </c>
      <c r="D290">
        <v>195</v>
      </c>
      <c r="E290">
        <v>16045.87</v>
      </c>
      <c r="F290">
        <v>7673.12</v>
      </c>
      <c r="G290">
        <v>8372.75</v>
      </c>
      <c r="H290" t="s">
        <v>2472</v>
      </c>
      <c r="I290" t="s">
        <v>2508</v>
      </c>
      <c r="J290" t="s">
        <v>2456</v>
      </c>
      <c r="K290" t="s">
        <v>2469</v>
      </c>
      <c r="L290" t="s">
        <v>32</v>
      </c>
    </row>
    <row r="291" spans="1:12" x14ac:dyDescent="0.3">
      <c r="A291" t="s">
        <v>2588</v>
      </c>
      <c r="B291" t="s">
        <v>2840</v>
      </c>
      <c r="C291" s="4">
        <v>45910</v>
      </c>
      <c r="D291">
        <v>176</v>
      </c>
      <c r="E291">
        <v>8522.9500000000007</v>
      </c>
      <c r="F291">
        <v>4125.32</v>
      </c>
      <c r="G291">
        <v>4397.63</v>
      </c>
      <c r="H291" t="s">
        <v>2466</v>
      </c>
      <c r="I291" t="s">
        <v>2480</v>
      </c>
      <c r="J291" t="s">
        <v>2456</v>
      </c>
      <c r="K291" t="s">
        <v>2463</v>
      </c>
      <c r="L291" t="s">
        <v>84</v>
      </c>
    </row>
    <row r="292" spans="1:12" x14ac:dyDescent="0.3">
      <c r="A292" t="s">
        <v>2489</v>
      </c>
      <c r="B292" t="s">
        <v>2841</v>
      </c>
      <c r="C292" s="4">
        <v>45800</v>
      </c>
      <c r="D292">
        <v>111</v>
      </c>
      <c r="E292">
        <v>4889.54</v>
      </c>
      <c r="F292">
        <v>2013.63</v>
      </c>
      <c r="G292">
        <v>2875.91</v>
      </c>
      <c r="H292" t="s">
        <v>2466</v>
      </c>
      <c r="I292" t="s">
        <v>2508</v>
      </c>
      <c r="J292" t="s">
        <v>2493</v>
      </c>
      <c r="K292" t="s">
        <v>2496</v>
      </c>
      <c r="L292" t="s">
        <v>12</v>
      </c>
    </row>
    <row r="293" spans="1:12" x14ac:dyDescent="0.3">
      <c r="A293" t="s">
        <v>2624</v>
      </c>
      <c r="B293" t="s">
        <v>2842</v>
      </c>
      <c r="C293" s="4">
        <v>45838</v>
      </c>
      <c r="D293">
        <v>150</v>
      </c>
      <c r="E293">
        <v>6402.68</v>
      </c>
      <c r="F293">
        <v>2638.23</v>
      </c>
      <c r="G293">
        <v>3764.45</v>
      </c>
      <c r="H293" t="s">
        <v>2454</v>
      </c>
      <c r="I293" t="s">
        <v>2455</v>
      </c>
      <c r="J293" t="s">
        <v>2456</v>
      </c>
      <c r="K293" t="s">
        <v>2496</v>
      </c>
      <c r="L293" t="s">
        <v>84</v>
      </c>
    </row>
    <row r="294" spans="1:12" x14ac:dyDescent="0.3">
      <c r="A294" t="s">
        <v>2573</v>
      </c>
      <c r="B294" t="s">
        <v>2843</v>
      </c>
      <c r="C294" s="4">
        <v>45773</v>
      </c>
      <c r="D294">
        <v>125</v>
      </c>
      <c r="E294">
        <v>2578.81</v>
      </c>
      <c r="F294">
        <v>1035.45</v>
      </c>
      <c r="G294">
        <v>1543.36</v>
      </c>
      <c r="H294" t="s">
        <v>2454</v>
      </c>
      <c r="I294" t="s">
        <v>2455</v>
      </c>
      <c r="J294" t="s">
        <v>2468</v>
      </c>
      <c r="K294" t="s">
        <v>2457</v>
      </c>
      <c r="L294" t="s">
        <v>23</v>
      </c>
    </row>
    <row r="295" spans="1:12" x14ac:dyDescent="0.3">
      <c r="A295" t="s">
        <v>2642</v>
      </c>
      <c r="B295" t="s">
        <v>2844</v>
      </c>
      <c r="C295" s="4">
        <v>45712</v>
      </c>
      <c r="D295">
        <v>57</v>
      </c>
      <c r="E295">
        <v>5661.47</v>
      </c>
      <c r="F295">
        <v>2823.56</v>
      </c>
      <c r="G295">
        <v>2837.91</v>
      </c>
      <c r="H295" t="s">
        <v>2460</v>
      </c>
      <c r="I295" t="s">
        <v>2461</v>
      </c>
      <c r="J295" t="s">
        <v>2462</v>
      </c>
      <c r="K295" t="s">
        <v>2457</v>
      </c>
      <c r="L295" t="s">
        <v>23</v>
      </c>
    </row>
    <row r="296" spans="1:12" x14ac:dyDescent="0.3">
      <c r="A296" t="s">
        <v>2554</v>
      </c>
      <c r="B296" t="s">
        <v>2845</v>
      </c>
      <c r="C296" s="4">
        <v>45671</v>
      </c>
      <c r="D296">
        <v>21</v>
      </c>
      <c r="E296">
        <v>8229.84</v>
      </c>
      <c r="F296">
        <v>2652.86</v>
      </c>
      <c r="G296">
        <v>5576.98</v>
      </c>
      <c r="H296" t="s">
        <v>2475</v>
      </c>
      <c r="I296" t="s">
        <v>2461</v>
      </c>
      <c r="J296" t="s">
        <v>2462</v>
      </c>
      <c r="K296" t="s">
        <v>2463</v>
      </c>
      <c r="L296" t="s">
        <v>23</v>
      </c>
    </row>
    <row r="297" spans="1:12" x14ac:dyDescent="0.3">
      <c r="A297" t="s">
        <v>2631</v>
      </c>
      <c r="B297" t="s">
        <v>2846</v>
      </c>
      <c r="C297" s="4">
        <v>45854</v>
      </c>
      <c r="D297">
        <v>173</v>
      </c>
      <c r="E297">
        <v>9881.24</v>
      </c>
      <c r="F297">
        <v>1819.78</v>
      </c>
      <c r="G297">
        <v>8061.46</v>
      </c>
      <c r="H297" t="s">
        <v>2466</v>
      </c>
      <c r="I297" t="s">
        <v>2485</v>
      </c>
      <c r="J297" t="s">
        <v>2493</v>
      </c>
      <c r="K297" t="s">
        <v>2463</v>
      </c>
      <c r="L297" t="s">
        <v>36</v>
      </c>
    </row>
    <row r="298" spans="1:12" x14ac:dyDescent="0.3">
      <c r="A298" t="s">
        <v>2452</v>
      </c>
      <c r="B298" t="s">
        <v>2847</v>
      </c>
      <c r="C298" s="4">
        <v>45787</v>
      </c>
      <c r="D298">
        <v>156</v>
      </c>
      <c r="E298">
        <v>4188.84</v>
      </c>
      <c r="F298">
        <v>1852.28</v>
      </c>
      <c r="G298">
        <v>2336.56</v>
      </c>
      <c r="H298" t="s">
        <v>2472</v>
      </c>
      <c r="I298" t="s">
        <v>2461</v>
      </c>
      <c r="J298" t="s">
        <v>2468</v>
      </c>
      <c r="K298" t="s">
        <v>2457</v>
      </c>
      <c r="L298" t="s">
        <v>12</v>
      </c>
    </row>
    <row r="299" spans="1:12" x14ac:dyDescent="0.3">
      <c r="A299" t="s">
        <v>2554</v>
      </c>
      <c r="B299" t="s">
        <v>2848</v>
      </c>
      <c r="C299" s="4">
        <v>45805</v>
      </c>
      <c r="D299">
        <v>91</v>
      </c>
      <c r="E299">
        <v>8161.54</v>
      </c>
      <c r="F299">
        <v>3268.65</v>
      </c>
      <c r="G299">
        <v>4892.8900000000003</v>
      </c>
      <c r="H299" t="s">
        <v>2460</v>
      </c>
      <c r="I299" t="s">
        <v>2455</v>
      </c>
      <c r="J299" t="s">
        <v>2462</v>
      </c>
      <c r="K299" t="s">
        <v>2457</v>
      </c>
      <c r="L299" t="s">
        <v>84</v>
      </c>
    </row>
    <row r="300" spans="1:12" x14ac:dyDescent="0.3">
      <c r="A300" t="s">
        <v>2733</v>
      </c>
      <c r="B300" t="s">
        <v>2849</v>
      </c>
      <c r="C300" s="4">
        <v>45663</v>
      </c>
      <c r="D300">
        <v>179</v>
      </c>
      <c r="E300">
        <v>1387.43</v>
      </c>
      <c r="F300">
        <v>297.98</v>
      </c>
      <c r="G300">
        <v>1089.45</v>
      </c>
      <c r="H300" t="s">
        <v>2472</v>
      </c>
      <c r="I300" t="s">
        <v>2461</v>
      </c>
      <c r="J300" t="s">
        <v>2493</v>
      </c>
      <c r="K300" t="s">
        <v>2469</v>
      </c>
      <c r="L300" t="s">
        <v>32</v>
      </c>
    </row>
    <row r="301" spans="1:12" x14ac:dyDescent="0.3">
      <c r="A301" t="s">
        <v>2653</v>
      </c>
      <c r="B301" t="s">
        <v>2850</v>
      </c>
      <c r="C301" s="4">
        <v>45837</v>
      </c>
      <c r="D301">
        <v>112</v>
      </c>
      <c r="E301">
        <v>14511.15</v>
      </c>
      <c r="F301">
        <v>1978.23</v>
      </c>
      <c r="G301">
        <v>12532.92</v>
      </c>
      <c r="H301" t="s">
        <v>2472</v>
      </c>
      <c r="I301" t="s">
        <v>2461</v>
      </c>
      <c r="J301" t="s">
        <v>2493</v>
      </c>
      <c r="K301" t="s">
        <v>2469</v>
      </c>
      <c r="L301" t="s">
        <v>36</v>
      </c>
    </row>
    <row r="302" spans="1:12" x14ac:dyDescent="0.3">
      <c r="A302" t="s">
        <v>2502</v>
      </c>
      <c r="B302" t="s">
        <v>2851</v>
      </c>
      <c r="C302" s="4">
        <v>45873</v>
      </c>
      <c r="D302">
        <v>67</v>
      </c>
      <c r="E302">
        <v>9622.76</v>
      </c>
      <c r="F302">
        <v>4162.6499999999996</v>
      </c>
      <c r="G302">
        <v>5460.11</v>
      </c>
      <c r="H302" t="s">
        <v>2466</v>
      </c>
      <c r="I302" t="s">
        <v>2455</v>
      </c>
      <c r="J302" t="s">
        <v>2456</v>
      </c>
      <c r="K302" t="s">
        <v>2457</v>
      </c>
      <c r="L302" t="s">
        <v>12</v>
      </c>
    </row>
    <row r="303" spans="1:12" x14ac:dyDescent="0.3">
      <c r="A303" t="s">
        <v>2709</v>
      </c>
      <c r="B303" t="s">
        <v>2852</v>
      </c>
      <c r="C303" s="4">
        <v>45952</v>
      </c>
      <c r="D303">
        <v>59</v>
      </c>
      <c r="E303">
        <v>1890.45</v>
      </c>
      <c r="F303">
        <v>252.68</v>
      </c>
      <c r="G303">
        <v>1637.77</v>
      </c>
      <c r="H303" t="s">
        <v>2472</v>
      </c>
      <c r="I303" t="s">
        <v>2480</v>
      </c>
      <c r="J303" t="s">
        <v>2493</v>
      </c>
      <c r="K303" t="s">
        <v>2463</v>
      </c>
      <c r="L303" t="s">
        <v>12</v>
      </c>
    </row>
    <row r="304" spans="1:12" x14ac:dyDescent="0.3">
      <c r="A304" t="s">
        <v>2631</v>
      </c>
      <c r="B304" t="s">
        <v>2853</v>
      </c>
      <c r="C304" s="4">
        <v>45747</v>
      </c>
      <c r="D304">
        <v>39</v>
      </c>
      <c r="E304">
        <v>5933.74</v>
      </c>
      <c r="F304">
        <v>929.22</v>
      </c>
      <c r="G304">
        <v>5004.5200000000004</v>
      </c>
      <c r="H304" t="s">
        <v>2460</v>
      </c>
      <c r="I304" t="s">
        <v>2467</v>
      </c>
      <c r="J304" t="s">
        <v>2468</v>
      </c>
      <c r="K304" t="s">
        <v>2457</v>
      </c>
      <c r="L304" t="s">
        <v>23</v>
      </c>
    </row>
    <row r="305" spans="1:12" x14ac:dyDescent="0.3">
      <c r="A305" t="s">
        <v>2854</v>
      </c>
      <c r="B305" t="s">
        <v>2855</v>
      </c>
      <c r="C305" s="4">
        <v>45872</v>
      </c>
      <c r="D305">
        <v>18</v>
      </c>
      <c r="E305">
        <v>4713.13</v>
      </c>
      <c r="F305">
        <v>2182.61</v>
      </c>
      <c r="G305">
        <v>2530.52</v>
      </c>
      <c r="H305" t="s">
        <v>2472</v>
      </c>
      <c r="I305" t="s">
        <v>2467</v>
      </c>
      <c r="J305" t="s">
        <v>2493</v>
      </c>
      <c r="K305" t="s">
        <v>2457</v>
      </c>
      <c r="L305" t="s">
        <v>36</v>
      </c>
    </row>
    <row r="306" spans="1:12" x14ac:dyDescent="0.3">
      <c r="A306" t="s">
        <v>2638</v>
      </c>
      <c r="B306" t="s">
        <v>2856</v>
      </c>
      <c r="C306" s="4">
        <v>45779</v>
      </c>
      <c r="D306">
        <v>5</v>
      </c>
      <c r="E306">
        <v>16173.8</v>
      </c>
      <c r="F306">
        <v>6822.85</v>
      </c>
      <c r="G306">
        <v>9350.9500000000007</v>
      </c>
      <c r="H306" t="s">
        <v>2472</v>
      </c>
      <c r="I306" t="s">
        <v>2488</v>
      </c>
      <c r="J306" t="s">
        <v>2456</v>
      </c>
      <c r="K306" t="s">
        <v>2469</v>
      </c>
      <c r="L306" t="s">
        <v>12</v>
      </c>
    </row>
    <row r="307" spans="1:12" x14ac:dyDescent="0.3">
      <c r="A307" t="s">
        <v>2588</v>
      </c>
      <c r="B307" t="s">
        <v>2857</v>
      </c>
      <c r="C307" s="4">
        <v>45987</v>
      </c>
      <c r="D307">
        <v>119</v>
      </c>
      <c r="E307">
        <v>11113.43</v>
      </c>
      <c r="F307">
        <v>3916.68</v>
      </c>
      <c r="G307">
        <v>7196.75</v>
      </c>
      <c r="H307" t="s">
        <v>2475</v>
      </c>
      <c r="I307" t="s">
        <v>2467</v>
      </c>
      <c r="J307" t="s">
        <v>2468</v>
      </c>
      <c r="K307" t="s">
        <v>2496</v>
      </c>
      <c r="L307" t="s">
        <v>23</v>
      </c>
    </row>
    <row r="308" spans="1:12" x14ac:dyDescent="0.3">
      <c r="A308" t="s">
        <v>2570</v>
      </c>
      <c r="B308" t="s">
        <v>2858</v>
      </c>
      <c r="C308" s="4">
        <v>45791</v>
      </c>
      <c r="D308">
        <v>197</v>
      </c>
      <c r="E308">
        <v>5519.52</v>
      </c>
      <c r="F308">
        <v>964.14</v>
      </c>
      <c r="G308">
        <v>4555.38</v>
      </c>
      <c r="H308" t="s">
        <v>2466</v>
      </c>
      <c r="I308" t="s">
        <v>2480</v>
      </c>
      <c r="J308" t="s">
        <v>2462</v>
      </c>
      <c r="K308" t="s">
        <v>2496</v>
      </c>
      <c r="L308" t="s">
        <v>84</v>
      </c>
    </row>
    <row r="309" spans="1:12" x14ac:dyDescent="0.3">
      <c r="A309" t="s">
        <v>2624</v>
      </c>
      <c r="B309" t="s">
        <v>2859</v>
      </c>
      <c r="C309" s="4">
        <v>45898</v>
      </c>
      <c r="D309">
        <v>40</v>
      </c>
      <c r="E309">
        <v>16946.09</v>
      </c>
      <c r="F309">
        <v>6833.17</v>
      </c>
      <c r="G309">
        <v>10112.92</v>
      </c>
      <c r="H309" t="s">
        <v>2466</v>
      </c>
      <c r="I309" t="s">
        <v>2485</v>
      </c>
      <c r="J309" t="s">
        <v>2493</v>
      </c>
      <c r="K309" t="s">
        <v>2457</v>
      </c>
      <c r="L309" t="s">
        <v>23</v>
      </c>
    </row>
    <row r="310" spans="1:12" x14ac:dyDescent="0.3">
      <c r="A310" t="s">
        <v>2564</v>
      </c>
      <c r="B310" t="s">
        <v>2860</v>
      </c>
      <c r="C310" s="4">
        <v>45690</v>
      </c>
      <c r="D310">
        <v>182</v>
      </c>
      <c r="E310">
        <v>2286.54</v>
      </c>
      <c r="F310">
        <v>916.25</v>
      </c>
      <c r="G310">
        <v>1370.29</v>
      </c>
      <c r="H310" t="s">
        <v>2466</v>
      </c>
      <c r="I310" t="s">
        <v>2480</v>
      </c>
      <c r="J310" t="s">
        <v>2456</v>
      </c>
      <c r="K310" t="s">
        <v>2457</v>
      </c>
      <c r="L310" t="s">
        <v>84</v>
      </c>
    </row>
    <row r="311" spans="1:12" x14ac:dyDescent="0.3">
      <c r="A311" t="s">
        <v>2624</v>
      </c>
      <c r="B311" t="s">
        <v>2861</v>
      </c>
      <c r="C311" s="4">
        <v>45761</v>
      </c>
      <c r="D311">
        <v>118</v>
      </c>
      <c r="E311">
        <v>10624.97</v>
      </c>
      <c r="F311">
        <v>3230.18</v>
      </c>
      <c r="G311">
        <v>7394.79</v>
      </c>
      <c r="H311" t="s">
        <v>2454</v>
      </c>
      <c r="I311" t="s">
        <v>2461</v>
      </c>
      <c r="J311" t="s">
        <v>2462</v>
      </c>
      <c r="K311" t="s">
        <v>2469</v>
      </c>
      <c r="L311" t="s">
        <v>36</v>
      </c>
    </row>
    <row r="312" spans="1:12" x14ac:dyDescent="0.3">
      <c r="A312" t="s">
        <v>2511</v>
      </c>
      <c r="B312" t="s">
        <v>2862</v>
      </c>
      <c r="C312" s="4">
        <v>45999</v>
      </c>
      <c r="D312">
        <v>65</v>
      </c>
      <c r="E312">
        <v>10517.06</v>
      </c>
      <c r="F312">
        <v>3543.5</v>
      </c>
      <c r="G312">
        <v>6973.56</v>
      </c>
      <c r="H312" t="s">
        <v>2466</v>
      </c>
      <c r="I312" t="s">
        <v>2517</v>
      </c>
      <c r="J312" t="s">
        <v>2468</v>
      </c>
      <c r="K312" t="s">
        <v>2463</v>
      </c>
      <c r="L312" t="s">
        <v>12</v>
      </c>
    </row>
    <row r="313" spans="1:12" x14ac:dyDescent="0.3">
      <c r="A313" t="s">
        <v>2662</v>
      </c>
      <c r="B313" t="s">
        <v>2863</v>
      </c>
      <c r="C313" s="4">
        <v>45815</v>
      </c>
      <c r="D313">
        <v>95</v>
      </c>
      <c r="E313">
        <v>16854.73</v>
      </c>
      <c r="F313">
        <v>7648.43</v>
      </c>
      <c r="G313">
        <v>9206.2999999999993</v>
      </c>
      <c r="H313" t="s">
        <v>2454</v>
      </c>
      <c r="I313" t="s">
        <v>2461</v>
      </c>
      <c r="J313" t="s">
        <v>2462</v>
      </c>
      <c r="K313" t="s">
        <v>2469</v>
      </c>
      <c r="L313" t="s">
        <v>36</v>
      </c>
    </row>
    <row r="314" spans="1:12" x14ac:dyDescent="0.3">
      <c r="A314" t="s">
        <v>2709</v>
      </c>
      <c r="B314" t="s">
        <v>2864</v>
      </c>
      <c r="C314" s="4">
        <v>45764</v>
      </c>
      <c r="D314">
        <v>125</v>
      </c>
      <c r="E314">
        <v>4054.19</v>
      </c>
      <c r="F314">
        <v>2001.08</v>
      </c>
      <c r="G314">
        <v>2053.11</v>
      </c>
      <c r="H314" t="s">
        <v>2454</v>
      </c>
      <c r="I314" t="s">
        <v>2467</v>
      </c>
      <c r="J314" t="s">
        <v>2462</v>
      </c>
      <c r="K314" t="s">
        <v>2496</v>
      </c>
      <c r="L314" t="s">
        <v>36</v>
      </c>
    </row>
    <row r="315" spans="1:12" x14ac:dyDescent="0.3">
      <c r="A315" t="s">
        <v>2476</v>
      </c>
      <c r="B315" t="s">
        <v>2865</v>
      </c>
      <c r="C315" s="4">
        <v>45871</v>
      </c>
      <c r="D315">
        <v>37</v>
      </c>
      <c r="E315">
        <v>425.92</v>
      </c>
      <c r="F315">
        <v>174.27</v>
      </c>
      <c r="G315">
        <v>251.65</v>
      </c>
      <c r="H315" t="s">
        <v>2454</v>
      </c>
      <c r="I315" t="s">
        <v>2508</v>
      </c>
      <c r="J315" t="s">
        <v>2462</v>
      </c>
      <c r="K315" t="s">
        <v>2457</v>
      </c>
      <c r="L315" t="s">
        <v>84</v>
      </c>
    </row>
    <row r="316" spans="1:12" x14ac:dyDescent="0.3">
      <c r="A316" t="s">
        <v>2523</v>
      </c>
      <c r="B316" t="s">
        <v>2866</v>
      </c>
      <c r="C316" s="4">
        <v>45883</v>
      </c>
      <c r="D316">
        <v>53</v>
      </c>
      <c r="E316">
        <v>9319.66</v>
      </c>
      <c r="F316">
        <v>3109.78</v>
      </c>
      <c r="G316">
        <v>6209.88</v>
      </c>
      <c r="H316" t="s">
        <v>2472</v>
      </c>
      <c r="I316" t="s">
        <v>2455</v>
      </c>
      <c r="J316" t="s">
        <v>2468</v>
      </c>
      <c r="K316" t="s">
        <v>2463</v>
      </c>
      <c r="L316" t="s">
        <v>84</v>
      </c>
    </row>
    <row r="317" spans="1:12" x14ac:dyDescent="0.3">
      <c r="A317" t="s">
        <v>2545</v>
      </c>
      <c r="B317" t="s">
        <v>2867</v>
      </c>
      <c r="C317" s="4">
        <v>45939</v>
      </c>
      <c r="D317">
        <v>90</v>
      </c>
      <c r="E317">
        <v>9355.2800000000007</v>
      </c>
      <c r="F317">
        <v>3231.1</v>
      </c>
      <c r="G317">
        <v>6124.18</v>
      </c>
      <c r="H317" t="s">
        <v>2454</v>
      </c>
      <c r="I317" t="s">
        <v>2488</v>
      </c>
      <c r="J317" t="s">
        <v>2493</v>
      </c>
      <c r="K317" t="s">
        <v>2469</v>
      </c>
      <c r="L317" t="s">
        <v>84</v>
      </c>
    </row>
    <row r="318" spans="1:12" x14ac:dyDescent="0.3">
      <c r="A318" t="s">
        <v>2499</v>
      </c>
      <c r="B318" t="s">
        <v>2868</v>
      </c>
      <c r="C318" s="4">
        <v>45715</v>
      </c>
      <c r="D318">
        <v>123</v>
      </c>
      <c r="E318">
        <v>1448.34</v>
      </c>
      <c r="F318">
        <v>532.15</v>
      </c>
      <c r="G318">
        <v>916.19</v>
      </c>
      <c r="H318" t="s">
        <v>2460</v>
      </c>
      <c r="I318" t="s">
        <v>2467</v>
      </c>
      <c r="J318" t="s">
        <v>2456</v>
      </c>
      <c r="K318" t="s">
        <v>2463</v>
      </c>
      <c r="L318" t="s">
        <v>84</v>
      </c>
    </row>
    <row r="319" spans="1:12" x14ac:dyDescent="0.3">
      <c r="A319" t="s">
        <v>2547</v>
      </c>
      <c r="B319" t="s">
        <v>2869</v>
      </c>
      <c r="C319" s="4">
        <v>45995</v>
      </c>
      <c r="D319">
        <v>7</v>
      </c>
      <c r="E319">
        <v>10239.18</v>
      </c>
      <c r="F319">
        <v>2536.5500000000002</v>
      </c>
      <c r="G319">
        <v>7702.63</v>
      </c>
      <c r="H319" t="s">
        <v>2460</v>
      </c>
      <c r="I319" t="s">
        <v>2480</v>
      </c>
      <c r="J319" t="s">
        <v>2462</v>
      </c>
      <c r="K319" t="s">
        <v>2457</v>
      </c>
      <c r="L319" t="s">
        <v>12</v>
      </c>
    </row>
    <row r="320" spans="1:12" x14ac:dyDescent="0.3">
      <c r="A320" t="s">
        <v>2464</v>
      </c>
      <c r="B320" t="s">
        <v>2870</v>
      </c>
      <c r="C320" s="4">
        <v>45990</v>
      </c>
      <c r="D320">
        <v>160</v>
      </c>
      <c r="E320">
        <v>6598.24</v>
      </c>
      <c r="F320">
        <v>2327.94</v>
      </c>
      <c r="G320">
        <v>4270.3</v>
      </c>
      <c r="H320" t="s">
        <v>2466</v>
      </c>
      <c r="I320" t="s">
        <v>2488</v>
      </c>
      <c r="J320" t="s">
        <v>2462</v>
      </c>
      <c r="K320" t="s">
        <v>2457</v>
      </c>
      <c r="L320" t="s">
        <v>84</v>
      </c>
    </row>
    <row r="321" spans="1:12" x14ac:dyDescent="0.3">
      <c r="A321" t="s">
        <v>2653</v>
      </c>
      <c r="B321" t="s">
        <v>2871</v>
      </c>
      <c r="C321" s="4">
        <v>45689</v>
      </c>
      <c r="D321">
        <v>200</v>
      </c>
      <c r="E321">
        <v>11005</v>
      </c>
      <c r="F321">
        <v>2205.6799999999998</v>
      </c>
      <c r="G321">
        <v>8799.32</v>
      </c>
      <c r="H321" t="s">
        <v>2466</v>
      </c>
      <c r="I321" t="s">
        <v>2488</v>
      </c>
      <c r="J321" t="s">
        <v>2468</v>
      </c>
      <c r="K321" t="s">
        <v>2457</v>
      </c>
      <c r="L321" t="s">
        <v>36</v>
      </c>
    </row>
    <row r="322" spans="1:12" x14ac:dyDescent="0.3">
      <c r="A322" t="s">
        <v>2464</v>
      </c>
      <c r="B322" t="s">
        <v>2872</v>
      </c>
      <c r="C322" s="4">
        <v>45667</v>
      </c>
      <c r="D322">
        <v>185</v>
      </c>
      <c r="E322">
        <v>12740.57</v>
      </c>
      <c r="F322">
        <v>5636.68</v>
      </c>
      <c r="G322">
        <v>7103.89</v>
      </c>
      <c r="H322" t="s">
        <v>2475</v>
      </c>
      <c r="I322" t="s">
        <v>2488</v>
      </c>
      <c r="J322" t="s">
        <v>2462</v>
      </c>
      <c r="K322" t="s">
        <v>2469</v>
      </c>
      <c r="L322" t="s">
        <v>32</v>
      </c>
    </row>
    <row r="323" spans="1:12" x14ac:dyDescent="0.3">
      <c r="A323" t="s">
        <v>2640</v>
      </c>
      <c r="B323" t="s">
        <v>2873</v>
      </c>
      <c r="C323" s="4">
        <v>45867</v>
      </c>
      <c r="D323">
        <v>12</v>
      </c>
      <c r="E323">
        <v>6127.91</v>
      </c>
      <c r="F323">
        <v>726.62</v>
      </c>
      <c r="G323">
        <v>5401.29</v>
      </c>
      <c r="H323" t="s">
        <v>2475</v>
      </c>
      <c r="I323" t="s">
        <v>2461</v>
      </c>
      <c r="J323" t="s">
        <v>2468</v>
      </c>
      <c r="K323" t="s">
        <v>2457</v>
      </c>
      <c r="L323" t="s">
        <v>32</v>
      </c>
    </row>
    <row r="324" spans="1:12" x14ac:dyDescent="0.3">
      <c r="A324" t="s">
        <v>2481</v>
      </c>
      <c r="B324" t="s">
        <v>2874</v>
      </c>
      <c r="C324" s="4">
        <v>45840</v>
      </c>
      <c r="D324">
        <v>146</v>
      </c>
      <c r="E324">
        <v>5177.4399999999996</v>
      </c>
      <c r="F324">
        <v>691.56</v>
      </c>
      <c r="G324">
        <v>4485.88</v>
      </c>
      <c r="H324" t="s">
        <v>2472</v>
      </c>
      <c r="I324" t="s">
        <v>2488</v>
      </c>
      <c r="J324" t="s">
        <v>2468</v>
      </c>
      <c r="K324" t="s">
        <v>2463</v>
      </c>
      <c r="L324" t="s">
        <v>84</v>
      </c>
    </row>
    <row r="325" spans="1:12" x14ac:dyDescent="0.3">
      <c r="A325" t="s">
        <v>2793</v>
      </c>
      <c r="B325" t="s">
        <v>2875</v>
      </c>
      <c r="C325" s="4">
        <v>45917</v>
      </c>
      <c r="D325">
        <v>17</v>
      </c>
      <c r="E325">
        <v>4459.9799999999996</v>
      </c>
      <c r="F325">
        <v>597.4</v>
      </c>
      <c r="G325">
        <v>3862.58</v>
      </c>
      <c r="H325" t="s">
        <v>2475</v>
      </c>
      <c r="I325" t="s">
        <v>2517</v>
      </c>
      <c r="J325" t="s">
        <v>2456</v>
      </c>
      <c r="K325" t="s">
        <v>2463</v>
      </c>
      <c r="L325" t="s">
        <v>84</v>
      </c>
    </row>
    <row r="326" spans="1:12" x14ac:dyDescent="0.3">
      <c r="A326" t="s">
        <v>2751</v>
      </c>
      <c r="B326" t="s">
        <v>2876</v>
      </c>
      <c r="C326" s="4">
        <v>45799</v>
      </c>
      <c r="D326">
        <v>187</v>
      </c>
      <c r="E326">
        <v>19591.22</v>
      </c>
      <c r="F326">
        <v>3129.94</v>
      </c>
      <c r="G326">
        <v>16461.28</v>
      </c>
      <c r="H326" t="s">
        <v>2460</v>
      </c>
      <c r="I326" t="s">
        <v>2485</v>
      </c>
      <c r="J326" t="s">
        <v>2493</v>
      </c>
      <c r="K326" t="s">
        <v>2496</v>
      </c>
      <c r="L326" t="s">
        <v>84</v>
      </c>
    </row>
    <row r="327" spans="1:12" x14ac:dyDescent="0.3">
      <c r="A327" t="s">
        <v>2520</v>
      </c>
      <c r="B327" t="s">
        <v>2877</v>
      </c>
      <c r="C327" s="4">
        <v>45981</v>
      </c>
      <c r="D327">
        <v>153</v>
      </c>
      <c r="E327">
        <v>15588.09</v>
      </c>
      <c r="F327">
        <v>6264.56</v>
      </c>
      <c r="G327">
        <v>9323.5300000000007</v>
      </c>
      <c r="H327" t="s">
        <v>2472</v>
      </c>
      <c r="I327" t="s">
        <v>2461</v>
      </c>
      <c r="J327" t="s">
        <v>2462</v>
      </c>
      <c r="K327" t="s">
        <v>2469</v>
      </c>
      <c r="L327" t="s">
        <v>84</v>
      </c>
    </row>
    <row r="328" spans="1:12" x14ac:dyDescent="0.3">
      <c r="A328" t="s">
        <v>2489</v>
      </c>
      <c r="B328" t="s">
        <v>2878</v>
      </c>
      <c r="C328" s="4">
        <v>45931</v>
      </c>
      <c r="D328">
        <v>186</v>
      </c>
      <c r="E328">
        <v>19827.13</v>
      </c>
      <c r="F328">
        <v>9506.82</v>
      </c>
      <c r="G328">
        <v>10320.31</v>
      </c>
      <c r="H328" t="s">
        <v>2466</v>
      </c>
      <c r="I328" t="s">
        <v>2508</v>
      </c>
      <c r="J328" t="s">
        <v>2493</v>
      </c>
      <c r="K328" t="s">
        <v>2463</v>
      </c>
      <c r="L328" t="s">
        <v>36</v>
      </c>
    </row>
    <row r="329" spans="1:12" x14ac:dyDescent="0.3">
      <c r="A329" t="s">
        <v>2605</v>
      </c>
      <c r="B329" t="s">
        <v>2879</v>
      </c>
      <c r="C329" s="4">
        <v>45791</v>
      </c>
      <c r="D329">
        <v>57</v>
      </c>
      <c r="E329">
        <v>17626.849999999999</v>
      </c>
      <c r="F329">
        <v>7059.64</v>
      </c>
      <c r="G329">
        <v>10567.21</v>
      </c>
      <c r="H329" t="s">
        <v>2475</v>
      </c>
      <c r="I329" t="s">
        <v>2488</v>
      </c>
      <c r="J329" t="s">
        <v>2493</v>
      </c>
      <c r="K329" t="s">
        <v>2457</v>
      </c>
      <c r="L329" t="s">
        <v>36</v>
      </c>
    </row>
    <row r="330" spans="1:12" x14ac:dyDescent="0.3">
      <c r="A330" t="s">
        <v>2880</v>
      </c>
      <c r="B330" t="s">
        <v>2881</v>
      </c>
      <c r="C330" s="4">
        <v>45704</v>
      </c>
      <c r="D330">
        <v>85</v>
      </c>
      <c r="E330">
        <v>6051.78</v>
      </c>
      <c r="F330">
        <v>2438.88</v>
      </c>
      <c r="G330">
        <v>3612.9</v>
      </c>
      <c r="H330" t="s">
        <v>2466</v>
      </c>
      <c r="I330" t="s">
        <v>2517</v>
      </c>
      <c r="J330" t="s">
        <v>2456</v>
      </c>
      <c r="K330" t="s">
        <v>2469</v>
      </c>
      <c r="L330" t="s">
        <v>32</v>
      </c>
    </row>
    <row r="331" spans="1:12" x14ac:dyDescent="0.3">
      <c r="A331" t="s">
        <v>2597</v>
      </c>
      <c r="B331" t="s">
        <v>2882</v>
      </c>
      <c r="C331" s="4">
        <v>45979</v>
      </c>
      <c r="D331">
        <v>111</v>
      </c>
      <c r="E331">
        <v>3165.51</v>
      </c>
      <c r="F331">
        <v>983.62</v>
      </c>
      <c r="G331">
        <v>2181.89</v>
      </c>
      <c r="H331" t="s">
        <v>2472</v>
      </c>
      <c r="I331" t="s">
        <v>2485</v>
      </c>
      <c r="J331" t="s">
        <v>2493</v>
      </c>
      <c r="K331" t="s">
        <v>2463</v>
      </c>
      <c r="L331" t="s">
        <v>12</v>
      </c>
    </row>
    <row r="332" spans="1:12" x14ac:dyDescent="0.3">
      <c r="A332" t="s">
        <v>2550</v>
      </c>
      <c r="B332" t="s">
        <v>2883</v>
      </c>
      <c r="C332" s="4">
        <v>45878</v>
      </c>
      <c r="D332">
        <v>126</v>
      </c>
      <c r="E332">
        <v>18563.93</v>
      </c>
      <c r="F332">
        <v>6338.88</v>
      </c>
      <c r="G332">
        <v>12225.05</v>
      </c>
      <c r="H332" t="s">
        <v>2475</v>
      </c>
      <c r="I332" t="s">
        <v>2461</v>
      </c>
      <c r="J332" t="s">
        <v>2462</v>
      </c>
      <c r="K332" t="s">
        <v>2496</v>
      </c>
      <c r="L332" t="s">
        <v>84</v>
      </c>
    </row>
    <row r="333" spans="1:12" x14ac:dyDescent="0.3">
      <c r="A333" t="s">
        <v>2550</v>
      </c>
      <c r="B333" t="s">
        <v>2884</v>
      </c>
      <c r="C333" s="4">
        <v>45980</v>
      </c>
      <c r="D333">
        <v>43</v>
      </c>
      <c r="E333">
        <v>6788.61</v>
      </c>
      <c r="F333">
        <v>1770.52</v>
      </c>
      <c r="G333">
        <v>5018.09</v>
      </c>
      <c r="H333" t="s">
        <v>2466</v>
      </c>
      <c r="I333" t="s">
        <v>2461</v>
      </c>
      <c r="J333" t="s">
        <v>2456</v>
      </c>
      <c r="K333" t="s">
        <v>2463</v>
      </c>
      <c r="L333" t="s">
        <v>12</v>
      </c>
    </row>
    <row r="334" spans="1:12" x14ac:dyDescent="0.3">
      <c r="A334" t="s">
        <v>2497</v>
      </c>
      <c r="B334" t="s">
        <v>2885</v>
      </c>
      <c r="C334" s="4">
        <v>45859</v>
      </c>
      <c r="D334">
        <v>189</v>
      </c>
      <c r="E334">
        <v>268.95</v>
      </c>
      <c r="F334">
        <v>76.34</v>
      </c>
      <c r="G334">
        <v>192.61</v>
      </c>
      <c r="H334" t="s">
        <v>2454</v>
      </c>
      <c r="I334" t="s">
        <v>2488</v>
      </c>
      <c r="J334" t="s">
        <v>2468</v>
      </c>
      <c r="K334" t="s">
        <v>2463</v>
      </c>
      <c r="L334" t="s">
        <v>23</v>
      </c>
    </row>
    <row r="335" spans="1:12" x14ac:dyDescent="0.3">
      <c r="A335" t="s">
        <v>2655</v>
      </c>
      <c r="B335" t="s">
        <v>2886</v>
      </c>
      <c r="C335" s="4">
        <v>45987</v>
      </c>
      <c r="D335">
        <v>9</v>
      </c>
      <c r="E335">
        <v>2756.32</v>
      </c>
      <c r="F335">
        <v>293.60000000000002</v>
      </c>
      <c r="G335">
        <v>2462.7199999999998</v>
      </c>
      <c r="H335" t="s">
        <v>2460</v>
      </c>
      <c r="I335" t="s">
        <v>2485</v>
      </c>
      <c r="J335" t="s">
        <v>2456</v>
      </c>
      <c r="K335" t="s">
        <v>2463</v>
      </c>
      <c r="L335" t="s">
        <v>32</v>
      </c>
    </row>
    <row r="336" spans="1:12" x14ac:dyDescent="0.3">
      <c r="A336" t="s">
        <v>2547</v>
      </c>
      <c r="B336" t="s">
        <v>2887</v>
      </c>
      <c r="C336" s="4">
        <v>45821</v>
      </c>
      <c r="D336">
        <v>26</v>
      </c>
      <c r="E336">
        <v>874.95</v>
      </c>
      <c r="F336">
        <v>233.48</v>
      </c>
      <c r="G336">
        <v>641.47</v>
      </c>
      <c r="H336" t="s">
        <v>2472</v>
      </c>
      <c r="I336" t="s">
        <v>2480</v>
      </c>
      <c r="J336" t="s">
        <v>2468</v>
      </c>
      <c r="K336" t="s">
        <v>2496</v>
      </c>
      <c r="L336" t="s">
        <v>36</v>
      </c>
    </row>
    <row r="337" spans="1:12" x14ac:dyDescent="0.3">
      <c r="A337" t="s">
        <v>2611</v>
      </c>
      <c r="B337" t="s">
        <v>2888</v>
      </c>
      <c r="C337" s="4">
        <v>45784</v>
      </c>
      <c r="D337">
        <v>69</v>
      </c>
      <c r="E337">
        <v>11908.07</v>
      </c>
      <c r="F337">
        <v>3022.58</v>
      </c>
      <c r="G337">
        <v>8885.49</v>
      </c>
      <c r="H337" t="s">
        <v>2466</v>
      </c>
      <c r="I337" t="s">
        <v>2488</v>
      </c>
      <c r="J337" t="s">
        <v>2493</v>
      </c>
      <c r="K337" t="s">
        <v>2496</v>
      </c>
      <c r="L337" t="s">
        <v>84</v>
      </c>
    </row>
    <row r="338" spans="1:12" x14ac:dyDescent="0.3">
      <c r="A338" t="s">
        <v>2649</v>
      </c>
      <c r="B338" t="s">
        <v>2889</v>
      </c>
      <c r="C338" s="4">
        <v>45783</v>
      </c>
      <c r="D338">
        <v>67</v>
      </c>
      <c r="E338">
        <v>3232.14</v>
      </c>
      <c r="F338">
        <v>612.72</v>
      </c>
      <c r="G338">
        <v>2619.42</v>
      </c>
      <c r="H338" t="s">
        <v>2466</v>
      </c>
      <c r="I338" t="s">
        <v>2488</v>
      </c>
      <c r="J338" t="s">
        <v>2462</v>
      </c>
      <c r="K338" t="s">
        <v>2496</v>
      </c>
      <c r="L338" t="s">
        <v>84</v>
      </c>
    </row>
    <row r="339" spans="1:12" x14ac:dyDescent="0.3">
      <c r="A339" t="s">
        <v>2491</v>
      </c>
      <c r="B339" t="s">
        <v>2890</v>
      </c>
      <c r="C339" s="4">
        <v>45730</v>
      </c>
      <c r="D339">
        <v>87</v>
      </c>
      <c r="E339">
        <v>13333.67</v>
      </c>
      <c r="F339">
        <v>2960.56</v>
      </c>
      <c r="G339">
        <v>10373.11</v>
      </c>
      <c r="H339" t="s">
        <v>2454</v>
      </c>
      <c r="I339" t="s">
        <v>2485</v>
      </c>
      <c r="J339" t="s">
        <v>2493</v>
      </c>
      <c r="K339" t="s">
        <v>2469</v>
      </c>
      <c r="L339" t="s">
        <v>23</v>
      </c>
    </row>
    <row r="340" spans="1:12" x14ac:dyDescent="0.3">
      <c r="A340" t="s">
        <v>2880</v>
      </c>
      <c r="B340" t="s">
        <v>2891</v>
      </c>
      <c r="C340" s="4">
        <v>45989</v>
      </c>
      <c r="D340">
        <v>61</v>
      </c>
      <c r="E340">
        <v>15905.72</v>
      </c>
      <c r="F340">
        <v>2563.2199999999998</v>
      </c>
      <c r="G340">
        <v>13342.5</v>
      </c>
      <c r="H340" t="s">
        <v>2460</v>
      </c>
      <c r="I340" t="s">
        <v>2455</v>
      </c>
      <c r="J340" t="s">
        <v>2468</v>
      </c>
      <c r="K340" t="s">
        <v>2457</v>
      </c>
      <c r="L340" t="s">
        <v>84</v>
      </c>
    </row>
    <row r="341" spans="1:12" x14ac:dyDescent="0.3">
      <c r="A341" t="s">
        <v>2575</v>
      </c>
      <c r="B341" t="s">
        <v>2892</v>
      </c>
      <c r="C341" s="4">
        <v>45811</v>
      </c>
      <c r="D341">
        <v>21</v>
      </c>
      <c r="E341">
        <v>1269.0899999999999</v>
      </c>
      <c r="F341">
        <v>190.29</v>
      </c>
      <c r="G341">
        <v>1078.8</v>
      </c>
      <c r="H341" t="s">
        <v>2475</v>
      </c>
      <c r="I341" t="s">
        <v>2488</v>
      </c>
      <c r="J341" t="s">
        <v>2462</v>
      </c>
      <c r="K341" t="s">
        <v>2496</v>
      </c>
      <c r="L341" t="s">
        <v>23</v>
      </c>
    </row>
    <row r="342" spans="1:12" x14ac:dyDescent="0.3">
      <c r="A342" t="s">
        <v>2588</v>
      </c>
      <c r="B342" t="s">
        <v>2893</v>
      </c>
      <c r="C342" s="4">
        <v>45669</v>
      </c>
      <c r="D342">
        <v>198</v>
      </c>
      <c r="E342">
        <v>6721.29</v>
      </c>
      <c r="F342">
        <v>2500.4499999999998</v>
      </c>
      <c r="G342">
        <v>4220.84</v>
      </c>
      <c r="H342" t="s">
        <v>2475</v>
      </c>
      <c r="I342" t="s">
        <v>2517</v>
      </c>
      <c r="J342" t="s">
        <v>2462</v>
      </c>
      <c r="K342" t="s">
        <v>2457</v>
      </c>
      <c r="L342" t="s">
        <v>32</v>
      </c>
    </row>
    <row r="343" spans="1:12" x14ac:dyDescent="0.3">
      <c r="A343" t="s">
        <v>2573</v>
      </c>
      <c r="B343" t="s">
        <v>2894</v>
      </c>
      <c r="C343" s="4">
        <v>45994</v>
      </c>
      <c r="D343">
        <v>54</v>
      </c>
      <c r="E343">
        <v>17922.23</v>
      </c>
      <c r="F343">
        <v>4257.0200000000004</v>
      </c>
      <c r="G343">
        <v>13665.21</v>
      </c>
      <c r="H343" t="s">
        <v>2460</v>
      </c>
      <c r="I343" t="s">
        <v>2467</v>
      </c>
      <c r="J343" t="s">
        <v>2462</v>
      </c>
      <c r="K343" t="s">
        <v>2496</v>
      </c>
      <c r="L343" t="s">
        <v>23</v>
      </c>
    </row>
    <row r="344" spans="1:12" x14ac:dyDescent="0.3">
      <c r="A344" t="s">
        <v>2558</v>
      </c>
      <c r="B344" t="s">
        <v>2895</v>
      </c>
      <c r="C344" s="4">
        <v>45744</v>
      </c>
      <c r="D344">
        <v>9</v>
      </c>
      <c r="E344">
        <v>16838.310000000001</v>
      </c>
      <c r="F344">
        <v>3006.46</v>
      </c>
      <c r="G344">
        <v>13831.85</v>
      </c>
      <c r="H344" t="s">
        <v>2454</v>
      </c>
      <c r="I344" t="s">
        <v>2467</v>
      </c>
      <c r="J344" t="s">
        <v>2462</v>
      </c>
      <c r="K344" t="s">
        <v>2457</v>
      </c>
      <c r="L344" t="s">
        <v>23</v>
      </c>
    </row>
    <row r="345" spans="1:12" x14ac:dyDescent="0.3">
      <c r="A345" t="s">
        <v>2622</v>
      </c>
      <c r="B345" t="s">
        <v>2896</v>
      </c>
      <c r="C345" s="4">
        <v>45993</v>
      </c>
      <c r="D345">
        <v>35</v>
      </c>
      <c r="E345">
        <v>16334.05</v>
      </c>
      <c r="F345">
        <v>3297.64</v>
      </c>
      <c r="G345">
        <v>13036.41</v>
      </c>
      <c r="H345" t="s">
        <v>2454</v>
      </c>
      <c r="I345" t="s">
        <v>2485</v>
      </c>
      <c r="J345" t="s">
        <v>2468</v>
      </c>
      <c r="K345" t="s">
        <v>2463</v>
      </c>
      <c r="L345" t="s">
        <v>23</v>
      </c>
    </row>
    <row r="346" spans="1:12" x14ac:dyDescent="0.3">
      <c r="A346" t="s">
        <v>2547</v>
      </c>
      <c r="B346" t="s">
        <v>2897</v>
      </c>
      <c r="C346" s="4">
        <v>45749</v>
      </c>
      <c r="D346">
        <v>24</v>
      </c>
      <c r="E346">
        <v>9789.19</v>
      </c>
      <c r="F346">
        <v>1024.46</v>
      </c>
      <c r="G346">
        <v>8764.73</v>
      </c>
      <c r="H346" t="s">
        <v>2475</v>
      </c>
      <c r="I346" t="s">
        <v>2480</v>
      </c>
      <c r="J346" t="s">
        <v>2468</v>
      </c>
      <c r="K346" t="s">
        <v>2496</v>
      </c>
      <c r="L346" t="s">
        <v>84</v>
      </c>
    </row>
    <row r="347" spans="1:12" x14ac:dyDescent="0.3">
      <c r="A347" t="s">
        <v>2499</v>
      </c>
      <c r="B347" t="s">
        <v>2898</v>
      </c>
      <c r="C347" s="4">
        <v>45852</v>
      </c>
      <c r="D347">
        <v>52</v>
      </c>
      <c r="E347">
        <v>14443.61</v>
      </c>
      <c r="F347">
        <v>4807.58</v>
      </c>
      <c r="G347">
        <v>9636.0300000000007</v>
      </c>
      <c r="H347" t="s">
        <v>2472</v>
      </c>
      <c r="I347" t="s">
        <v>2485</v>
      </c>
      <c r="J347" t="s">
        <v>2493</v>
      </c>
      <c r="K347" t="s">
        <v>2469</v>
      </c>
      <c r="L347" t="s">
        <v>32</v>
      </c>
    </row>
    <row r="348" spans="1:12" x14ac:dyDescent="0.3">
      <c r="A348" t="s">
        <v>2709</v>
      </c>
      <c r="B348" t="s">
        <v>2899</v>
      </c>
      <c r="C348" s="4">
        <v>45687</v>
      </c>
      <c r="D348">
        <v>124</v>
      </c>
      <c r="E348">
        <v>15454.2</v>
      </c>
      <c r="F348">
        <v>1735.36</v>
      </c>
      <c r="G348">
        <v>13718.84</v>
      </c>
      <c r="H348" t="s">
        <v>2475</v>
      </c>
      <c r="I348" t="s">
        <v>2455</v>
      </c>
      <c r="J348" t="s">
        <v>2468</v>
      </c>
      <c r="K348" t="s">
        <v>2469</v>
      </c>
      <c r="L348" t="s">
        <v>32</v>
      </c>
    </row>
    <row r="349" spans="1:12" x14ac:dyDescent="0.3">
      <c r="A349" t="s">
        <v>2631</v>
      </c>
      <c r="B349" t="s">
        <v>2900</v>
      </c>
      <c r="C349" s="4">
        <v>45836</v>
      </c>
      <c r="D349">
        <v>101</v>
      </c>
      <c r="E349">
        <v>17802.77</v>
      </c>
      <c r="F349">
        <v>1825.63</v>
      </c>
      <c r="G349">
        <v>15977.14</v>
      </c>
      <c r="H349" t="s">
        <v>2466</v>
      </c>
      <c r="I349" t="s">
        <v>2455</v>
      </c>
      <c r="J349" t="s">
        <v>2462</v>
      </c>
      <c r="K349" t="s">
        <v>2463</v>
      </c>
      <c r="L349" t="s">
        <v>84</v>
      </c>
    </row>
    <row r="350" spans="1:12" x14ac:dyDescent="0.3">
      <c r="A350" t="s">
        <v>2577</v>
      </c>
      <c r="B350" t="s">
        <v>2901</v>
      </c>
      <c r="C350" s="4">
        <v>46017</v>
      </c>
      <c r="D350">
        <v>194</v>
      </c>
      <c r="E350">
        <v>9183.08</v>
      </c>
      <c r="F350">
        <v>3546.56</v>
      </c>
      <c r="G350">
        <v>5636.52</v>
      </c>
      <c r="H350" t="s">
        <v>2472</v>
      </c>
      <c r="I350" t="s">
        <v>2461</v>
      </c>
      <c r="J350" t="s">
        <v>2456</v>
      </c>
      <c r="K350" t="s">
        <v>2457</v>
      </c>
      <c r="L350" t="s">
        <v>36</v>
      </c>
    </row>
    <row r="351" spans="1:12" x14ac:dyDescent="0.3">
      <c r="A351" t="s">
        <v>2611</v>
      </c>
      <c r="B351" t="s">
        <v>2902</v>
      </c>
      <c r="C351" s="4">
        <v>45729</v>
      </c>
      <c r="D351">
        <v>147</v>
      </c>
      <c r="E351">
        <v>4695.8100000000004</v>
      </c>
      <c r="F351">
        <v>1755.9</v>
      </c>
      <c r="G351">
        <v>2939.91</v>
      </c>
      <c r="H351" t="s">
        <v>2466</v>
      </c>
      <c r="I351" t="s">
        <v>2455</v>
      </c>
      <c r="J351" t="s">
        <v>2462</v>
      </c>
      <c r="K351" t="s">
        <v>2469</v>
      </c>
      <c r="L351" t="s">
        <v>36</v>
      </c>
    </row>
    <row r="352" spans="1:12" x14ac:dyDescent="0.3">
      <c r="A352" t="s">
        <v>2491</v>
      </c>
      <c r="B352" t="s">
        <v>2903</v>
      </c>
      <c r="C352" s="4">
        <v>45945</v>
      </c>
      <c r="D352">
        <v>59</v>
      </c>
      <c r="E352">
        <v>13401.8</v>
      </c>
      <c r="F352">
        <v>3594.02</v>
      </c>
      <c r="G352">
        <v>9807.7800000000007</v>
      </c>
      <c r="H352" t="s">
        <v>2454</v>
      </c>
      <c r="I352" t="s">
        <v>2508</v>
      </c>
      <c r="J352" t="s">
        <v>2456</v>
      </c>
      <c r="K352" t="s">
        <v>2496</v>
      </c>
      <c r="L352" t="s">
        <v>12</v>
      </c>
    </row>
    <row r="353" spans="1:12" x14ac:dyDescent="0.3">
      <c r="A353" t="s">
        <v>2733</v>
      </c>
      <c r="B353" t="s">
        <v>2904</v>
      </c>
      <c r="C353" s="4">
        <v>45711</v>
      </c>
      <c r="D353">
        <v>116</v>
      </c>
      <c r="E353">
        <v>4855.7</v>
      </c>
      <c r="F353">
        <v>2423.48</v>
      </c>
      <c r="G353">
        <v>2432.2199999999998</v>
      </c>
      <c r="H353" t="s">
        <v>2472</v>
      </c>
      <c r="I353" t="s">
        <v>2488</v>
      </c>
      <c r="J353" t="s">
        <v>2493</v>
      </c>
      <c r="K353" t="s">
        <v>2457</v>
      </c>
      <c r="L353" t="s">
        <v>36</v>
      </c>
    </row>
    <row r="354" spans="1:12" x14ac:dyDescent="0.3">
      <c r="A354" t="s">
        <v>2561</v>
      </c>
      <c r="B354" t="s">
        <v>2905</v>
      </c>
      <c r="C354" s="4">
        <v>45741</v>
      </c>
      <c r="D354">
        <v>154</v>
      </c>
      <c r="E354">
        <v>13299.95</v>
      </c>
      <c r="F354">
        <v>4007.88</v>
      </c>
      <c r="G354">
        <v>9292.07</v>
      </c>
      <c r="H354" t="s">
        <v>2466</v>
      </c>
      <c r="I354" t="s">
        <v>2455</v>
      </c>
      <c r="J354" t="s">
        <v>2493</v>
      </c>
      <c r="K354" t="s">
        <v>2463</v>
      </c>
      <c r="L354" t="s">
        <v>84</v>
      </c>
    </row>
    <row r="355" spans="1:12" x14ac:dyDescent="0.3">
      <c r="A355" t="s">
        <v>2504</v>
      </c>
      <c r="B355" t="s">
        <v>2906</v>
      </c>
      <c r="C355" s="4">
        <v>45705</v>
      </c>
      <c r="D355">
        <v>186</v>
      </c>
      <c r="E355">
        <v>6638.89</v>
      </c>
      <c r="F355">
        <v>1872</v>
      </c>
      <c r="G355">
        <v>4766.8900000000003</v>
      </c>
      <c r="H355" t="s">
        <v>2475</v>
      </c>
      <c r="I355" t="s">
        <v>2480</v>
      </c>
      <c r="J355" t="s">
        <v>2462</v>
      </c>
      <c r="K355" t="s">
        <v>2463</v>
      </c>
      <c r="L355" t="s">
        <v>36</v>
      </c>
    </row>
    <row r="356" spans="1:12" x14ac:dyDescent="0.3">
      <c r="A356" t="s">
        <v>2715</v>
      </c>
      <c r="B356" t="s">
        <v>2907</v>
      </c>
      <c r="C356" s="4">
        <v>45918</v>
      </c>
      <c r="D356">
        <v>6</v>
      </c>
      <c r="E356">
        <v>2079.25</v>
      </c>
      <c r="F356">
        <v>265.24</v>
      </c>
      <c r="G356">
        <v>1814.01</v>
      </c>
      <c r="H356" t="s">
        <v>2460</v>
      </c>
      <c r="I356" t="s">
        <v>2467</v>
      </c>
      <c r="J356" t="s">
        <v>2493</v>
      </c>
      <c r="K356" t="s">
        <v>2469</v>
      </c>
      <c r="L356" t="s">
        <v>23</v>
      </c>
    </row>
    <row r="357" spans="1:12" x14ac:dyDescent="0.3">
      <c r="A357" t="s">
        <v>2638</v>
      </c>
      <c r="B357" t="s">
        <v>2908</v>
      </c>
      <c r="C357" s="4">
        <v>45701</v>
      </c>
      <c r="D357">
        <v>53</v>
      </c>
      <c r="E357">
        <v>14610.32</v>
      </c>
      <c r="F357">
        <v>5192.92</v>
      </c>
      <c r="G357">
        <v>9417.4</v>
      </c>
      <c r="H357" t="s">
        <v>2460</v>
      </c>
      <c r="I357" t="s">
        <v>2508</v>
      </c>
      <c r="J357" t="s">
        <v>2456</v>
      </c>
      <c r="K357" t="s">
        <v>2463</v>
      </c>
      <c r="L357" t="s">
        <v>32</v>
      </c>
    </row>
    <row r="358" spans="1:12" x14ac:dyDescent="0.3">
      <c r="A358" t="s">
        <v>2588</v>
      </c>
      <c r="B358" t="s">
        <v>2909</v>
      </c>
      <c r="C358" s="4">
        <v>45809</v>
      </c>
      <c r="D358">
        <v>62</v>
      </c>
      <c r="E358">
        <v>1413.05</v>
      </c>
      <c r="F358">
        <v>271.11</v>
      </c>
      <c r="G358">
        <v>1141.94</v>
      </c>
      <c r="H358" t="s">
        <v>2460</v>
      </c>
      <c r="I358" t="s">
        <v>2467</v>
      </c>
      <c r="J358" t="s">
        <v>2456</v>
      </c>
      <c r="K358" t="s">
        <v>2457</v>
      </c>
      <c r="L358" t="s">
        <v>23</v>
      </c>
    </row>
    <row r="359" spans="1:12" x14ac:dyDescent="0.3">
      <c r="A359" t="s">
        <v>2558</v>
      </c>
      <c r="B359" t="s">
        <v>2910</v>
      </c>
      <c r="C359" s="4">
        <v>45769</v>
      </c>
      <c r="D359">
        <v>197</v>
      </c>
      <c r="E359">
        <v>16720.310000000001</v>
      </c>
      <c r="F359">
        <v>4784.74</v>
      </c>
      <c r="G359">
        <v>11935.57</v>
      </c>
      <c r="H359" t="s">
        <v>2466</v>
      </c>
      <c r="I359" t="s">
        <v>2488</v>
      </c>
      <c r="J359" t="s">
        <v>2462</v>
      </c>
      <c r="K359" t="s">
        <v>2469</v>
      </c>
      <c r="L359" t="s">
        <v>12</v>
      </c>
    </row>
    <row r="360" spans="1:12" x14ac:dyDescent="0.3">
      <c r="A360" t="s">
        <v>2607</v>
      </c>
      <c r="B360" t="s">
        <v>2911</v>
      </c>
      <c r="C360" s="4">
        <v>45691</v>
      </c>
      <c r="D360">
        <v>24</v>
      </c>
      <c r="E360">
        <v>7129.48</v>
      </c>
      <c r="F360">
        <v>2458.58</v>
      </c>
      <c r="G360">
        <v>4670.8999999999996</v>
      </c>
      <c r="H360" t="s">
        <v>2475</v>
      </c>
      <c r="I360" t="s">
        <v>2508</v>
      </c>
      <c r="J360" t="s">
        <v>2456</v>
      </c>
      <c r="K360" t="s">
        <v>2463</v>
      </c>
      <c r="L360" t="s">
        <v>84</v>
      </c>
    </row>
    <row r="361" spans="1:12" x14ac:dyDescent="0.3">
      <c r="A361" t="s">
        <v>2541</v>
      </c>
      <c r="B361" t="s">
        <v>2912</v>
      </c>
      <c r="C361" s="4">
        <v>45668</v>
      </c>
      <c r="D361">
        <v>88</v>
      </c>
      <c r="E361">
        <v>3290.76</v>
      </c>
      <c r="F361">
        <v>572.30999999999995</v>
      </c>
      <c r="G361">
        <v>2718.45</v>
      </c>
      <c r="H361" t="s">
        <v>2466</v>
      </c>
      <c r="I361" t="s">
        <v>2455</v>
      </c>
      <c r="J361" t="s">
        <v>2462</v>
      </c>
      <c r="K361" t="s">
        <v>2469</v>
      </c>
      <c r="L361" t="s">
        <v>23</v>
      </c>
    </row>
    <row r="362" spans="1:12" x14ac:dyDescent="0.3">
      <c r="A362" t="s">
        <v>2570</v>
      </c>
      <c r="B362" t="s">
        <v>2913</v>
      </c>
      <c r="C362" s="4">
        <v>45830</v>
      </c>
      <c r="D362">
        <v>194</v>
      </c>
      <c r="E362">
        <v>8704.7900000000009</v>
      </c>
      <c r="F362">
        <v>1541.53</v>
      </c>
      <c r="G362">
        <v>7163.26</v>
      </c>
      <c r="H362" t="s">
        <v>2454</v>
      </c>
      <c r="I362" t="s">
        <v>2455</v>
      </c>
      <c r="J362" t="s">
        <v>2468</v>
      </c>
      <c r="K362" t="s">
        <v>2496</v>
      </c>
      <c r="L362" t="s">
        <v>12</v>
      </c>
    </row>
    <row r="363" spans="1:12" x14ac:dyDescent="0.3">
      <c r="A363" t="s">
        <v>2626</v>
      </c>
      <c r="B363" t="s">
        <v>2914</v>
      </c>
      <c r="C363" s="4">
        <v>45857</v>
      </c>
      <c r="D363">
        <v>151</v>
      </c>
      <c r="E363">
        <v>14979.91</v>
      </c>
      <c r="F363">
        <v>7089.09</v>
      </c>
      <c r="G363">
        <v>7890.82</v>
      </c>
      <c r="H363" t="s">
        <v>2475</v>
      </c>
      <c r="I363" t="s">
        <v>2517</v>
      </c>
      <c r="J363" t="s">
        <v>2462</v>
      </c>
      <c r="K363" t="s">
        <v>2457</v>
      </c>
      <c r="L363" t="s">
        <v>23</v>
      </c>
    </row>
    <row r="364" spans="1:12" x14ac:dyDescent="0.3">
      <c r="A364" t="s">
        <v>2470</v>
      </c>
      <c r="B364" t="s">
        <v>2915</v>
      </c>
      <c r="C364" s="4">
        <v>45948</v>
      </c>
      <c r="D364">
        <v>11</v>
      </c>
      <c r="E364">
        <v>823.95</v>
      </c>
      <c r="F364">
        <v>349.99</v>
      </c>
      <c r="G364">
        <v>473.96</v>
      </c>
      <c r="H364" t="s">
        <v>2466</v>
      </c>
      <c r="I364" t="s">
        <v>2485</v>
      </c>
      <c r="J364" t="s">
        <v>2456</v>
      </c>
      <c r="K364" t="s">
        <v>2469</v>
      </c>
      <c r="L364" t="s">
        <v>23</v>
      </c>
    </row>
    <row r="365" spans="1:12" x14ac:dyDescent="0.3">
      <c r="A365" t="s">
        <v>2581</v>
      </c>
      <c r="B365" t="s">
        <v>2916</v>
      </c>
      <c r="C365" s="4">
        <v>45813</v>
      </c>
      <c r="D365">
        <v>2</v>
      </c>
      <c r="E365">
        <v>19394.72</v>
      </c>
      <c r="F365">
        <v>3010.01</v>
      </c>
      <c r="G365">
        <v>16384.71</v>
      </c>
      <c r="H365" t="s">
        <v>2472</v>
      </c>
      <c r="I365" t="s">
        <v>2467</v>
      </c>
      <c r="J365" t="s">
        <v>2456</v>
      </c>
      <c r="K365" t="s">
        <v>2463</v>
      </c>
      <c r="L365" t="s">
        <v>32</v>
      </c>
    </row>
    <row r="366" spans="1:12" x14ac:dyDescent="0.3">
      <c r="A366" t="s">
        <v>2642</v>
      </c>
      <c r="B366" t="s">
        <v>2917</v>
      </c>
      <c r="C366" s="4">
        <v>45876</v>
      </c>
      <c r="D366">
        <v>127</v>
      </c>
      <c r="E366">
        <v>11116.34</v>
      </c>
      <c r="F366">
        <v>3105.44</v>
      </c>
      <c r="G366">
        <v>8010.9</v>
      </c>
      <c r="H366" t="s">
        <v>2460</v>
      </c>
      <c r="I366" t="s">
        <v>2488</v>
      </c>
      <c r="J366" t="s">
        <v>2456</v>
      </c>
      <c r="K366" t="s">
        <v>2469</v>
      </c>
      <c r="L366" t="s">
        <v>36</v>
      </c>
    </row>
    <row r="367" spans="1:12" x14ac:dyDescent="0.3">
      <c r="A367" t="s">
        <v>2502</v>
      </c>
      <c r="B367" t="s">
        <v>2918</v>
      </c>
      <c r="C367" s="4">
        <v>45861</v>
      </c>
      <c r="D367">
        <v>109</v>
      </c>
      <c r="E367">
        <v>5939.68</v>
      </c>
      <c r="F367">
        <v>929.78</v>
      </c>
      <c r="G367">
        <v>5009.8999999999996</v>
      </c>
      <c r="H367" t="s">
        <v>2472</v>
      </c>
      <c r="I367" t="s">
        <v>2508</v>
      </c>
      <c r="J367" t="s">
        <v>2468</v>
      </c>
      <c r="K367" t="s">
        <v>2469</v>
      </c>
      <c r="L367" t="s">
        <v>12</v>
      </c>
    </row>
    <row r="368" spans="1:12" x14ac:dyDescent="0.3">
      <c r="A368" t="s">
        <v>2638</v>
      </c>
      <c r="B368" t="s">
        <v>2919</v>
      </c>
      <c r="C368" s="4">
        <v>45914</v>
      </c>
      <c r="D368">
        <v>88</v>
      </c>
      <c r="E368">
        <v>17009.77</v>
      </c>
      <c r="F368">
        <v>1828.14</v>
      </c>
      <c r="G368">
        <v>15181.63</v>
      </c>
      <c r="H368" t="s">
        <v>2466</v>
      </c>
      <c r="I368" t="s">
        <v>2485</v>
      </c>
      <c r="J368" t="s">
        <v>2456</v>
      </c>
      <c r="K368" t="s">
        <v>2457</v>
      </c>
      <c r="L368" t="s">
        <v>12</v>
      </c>
    </row>
    <row r="369" spans="1:12" x14ac:dyDescent="0.3">
      <c r="A369" t="s">
        <v>2506</v>
      </c>
      <c r="B369" t="s">
        <v>2920</v>
      </c>
      <c r="C369" s="4">
        <v>45937</v>
      </c>
      <c r="D369">
        <v>6</v>
      </c>
      <c r="E369">
        <v>620.34</v>
      </c>
      <c r="F369">
        <v>239.41</v>
      </c>
      <c r="G369">
        <v>380.93</v>
      </c>
      <c r="H369" t="s">
        <v>2475</v>
      </c>
      <c r="I369" t="s">
        <v>2488</v>
      </c>
      <c r="J369" t="s">
        <v>2468</v>
      </c>
      <c r="K369" t="s">
        <v>2463</v>
      </c>
      <c r="L369" t="s">
        <v>23</v>
      </c>
    </row>
    <row r="370" spans="1:12" x14ac:dyDescent="0.3">
      <c r="A370" t="s">
        <v>2558</v>
      </c>
      <c r="B370" t="s">
        <v>2921</v>
      </c>
      <c r="C370" s="4">
        <v>45748</v>
      </c>
      <c r="D370">
        <v>68</v>
      </c>
      <c r="E370">
        <v>15383.18</v>
      </c>
      <c r="F370">
        <v>5732.93</v>
      </c>
      <c r="G370">
        <v>9650.25</v>
      </c>
      <c r="H370" t="s">
        <v>2472</v>
      </c>
      <c r="I370" t="s">
        <v>2467</v>
      </c>
      <c r="J370" t="s">
        <v>2468</v>
      </c>
      <c r="K370" t="s">
        <v>2463</v>
      </c>
      <c r="L370" t="s">
        <v>32</v>
      </c>
    </row>
    <row r="371" spans="1:12" x14ac:dyDescent="0.3">
      <c r="A371" t="s">
        <v>2473</v>
      </c>
      <c r="B371" t="s">
        <v>2922</v>
      </c>
      <c r="C371" s="4">
        <v>45726</v>
      </c>
      <c r="D371">
        <v>80</v>
      </c>
      <c r="E371">
        <v>16845.2</v>
      </c>
      <c r="F371">
        <v>4715.25</v>
      </c>
      <c r="G371">
        <v>12129.95</v>
      </c>
      <c r="H371" t="s">
        <v>2466</v>
      </c>
      <c r="I371" t="s">
        <v>2488</v>
      </c>
      <c r="J371" t="s">
        <v>2493</v>
      </c>
      <c r="K371" t="s">
        <v>2469</v>
      </c>
      <c r="L371" t="s">
        <v>23</v>
      </c>
    </row>
    <row r="372" spans="1:12" x14ac:dyDescent="0.3">
      <c r="A372" t="s">
        <v>2591</v>
      </c>
      <c r="B372" t="s">
        <v>2923</v>
      </c>
      <c r="C372" s="4">
        <v>45983</v>
      </c>
      <c r="D372">
        <v>11</v>
      </c>
      <c r="E372">
        <v>6306.65</v>
      </c>
      <c r="F372">
        <v>938.52</v>
      </c>
      <c r="G372">
        <v>5368.13</v>
      </c>
      <c r="H372" t="s">
        <v>2472</v>
      </c>
      <c r="I372" t="s">
        <v>2485</v>
      </c>
      <c r="J372" t="s">
        <v>2493</v>
      </c>
      <c r="K372" t="s">
        <v>2463</v>
      </c>
      <c r="L372" t="s">
        <v>12</v>
      </c>
    </row>
    <row r="373" spans="1:12" x14ac:dyDescent="0.3">
      <c r="A373" t="s">
        <v>2588</v>
      </c>
      <c r="B373" t="s">
        <v>2924</v>
      </c>
      <c r="C373" s="4">
        <v>45695</v>
      </c>
      <c r="D373">
        <v>151</v>
      </c>
      <c r="E373">
        <v>179.79</v>
      </c>
      <c r="F373">
        <v>25.79</v>
      </c>
      <c r="G373">
        <v>154</v>
      </c>
      <c r="H373" t="s">
        <v>2472</v>
      </c>
      <c r="I373" t="s">
        <v>2517</v>
      </c>
      <c r="J373" t="s">
        <v>2493</v>
      </c>
      <c r="K373" t="s">
        <v>2457</v>
      </c>
      <c r="L373" t="s">
        <v>36</v>
      </c>
    </row>
    <row r="374" spans="1:12" x14ac:dyDescent="0.3">
      <c r="A374" t="s">
        <v>2478</v>
      </c>
      <c r="B374" t="s">
        <v>2925</v>
      </c>
      <c r="C374" s="4">
        <v>45910</v>
      </c>
      <c r="D374">
        <v>41</v>
      </c>
      <c r="E374">
        <v>11857.99</v>
      </c>
      <c r="F374">
        <v>3267.16</v>
      </c>
      <c r="G374">
        <v>8590.83</v>
      </c>
      <c r="H374" t="s">
        <v>2475</v>
      </c>
      <c r="I374" t="s">
        <v>2488</v>
      </c>
      <c r="J374" t="s">
        <v>2493</v>
      </c>
      <c r="K374" t="s">
        <v>2496</v>
      </c>
      <c r="L374" t="s">
        <v>36</v>
      </c>
    </row>
    <row r="375" spans="1:12" x14ac:dyDescent="0.3">
      <c r="A375" t="s">
        <v>2588</v>
      </c>
      <c r="B375" t="s">
        <v>2926</v>
      </c>
      <c r="C375" s="4">
        <v>45730</v>
      </c>
      <c r="D375">
        <v>5</v>
      </c>
      <c r="E375">
        <v>9459.2800000000007</v>
      </c>
      <c r="F375">
        <v>1972.26</v>
      </c>
      <c r="G375">
        <v>7487.02</v>
      </c>
      <c r="H375" t="s">
        <v>2475</v>
      </c>
      <c r="I375" t="s">
        <v>2467</v>
      </c>
      <c r="J375" t="s">
        <v>2468</v>
      </c>
      <c r="K375" t="s">
        <v>2457</v>
      </c>
      <c r="L375" t="s">
        <v>32</v>
      </c>
    </row>
    <row r="376" spans="1:12" x14ac:dyDescent="0.3">
      <c r="A376" t="s">
        <v>2561</v>
      </c>
      <c r="B376" t="s">
        <v>2927</v>
      </c>
      <c r="C376" s="4">
        <v>45994</v>
      </c>
      <c r="D376">
        <v>187</v>
      </c>
      <c r="E376">
        <v>15547.62</v>
      </c>
      <c r="F376">
        <v>6607.43</v>
      </c>
      <c r="G376">
        <v>8940.19</v>
      </c>
      <c r="H376" t="s">
        <v>2466</v>
      </c>
      <c r="I376" t="s">
        <v>2455</v>
      </c>
      <c r="J376" t="s">
        <v>2456</v>
      </c>
      <c r="K376" t="s">
        <v>2457</v>
      </c>
      <c r="L376" t="s">
        <v>36</v>
      </c>
    </row>
    <row r="377" spans="1:12" x14ac:dyDescent="0.3">
      <c r="A377" t="s">
        <v>2504</v>
      </c>
      <c r="B377" t="s">
        <v>2928</v>
      </c>
      <c r="C377" s="4">
        <v>45927</v>
      </c>
      <c r="D377">
        <v>136</v>
      </c>
      <c r="E377">
        <v>5924.86</v>
      </c>
      <c r="F377">
        <v>2639.62</v>
      </c>
      <c r="G377">
        <v>3285.24</v>
      </c>
      <c r="H377" t="s">
        <v>2466</v>
      </c>
      <c r="I377" t="s">
        <v>2461</v>
      </c>
      <c r="J377" t="s">
        <v>2493</v>
      </c>
      <c r="K377" t="s">
        <v>2469</v>
      </c>
      <c r="L377" t="s">
        <v>36</v>
      </c>
    </row>
    <row r="378" spans="1:12" x14ac:dyDescent="0.3">
      <c r="A378" t="s">
        <v>2662</v>
      </c>
      <c r="B378" t="s">
        <v>2929</v>
      </c>
      <c r="C378" s="4">
        <v>45949</v>
      </c>
      <c r="D378">
        <v>108</v>
      </c>
      <c r="E378">
        <v>5174.49</v>
      </c>
      <c r="F378">
        <v>1334.49</v>
      </c>
      <c r="G378">
        <v>3840</v>
      </c>
      <c r="H378" t="s">
        <v>2472</v>
      </c>
      <c r="I378" t="s">
        <v>2488</v>
      </c>
      <c r="J378" t="s">
        <v>2462</v>
      </c>
      <c r="K378" t="s">
        <v>2496</v>
      </c>
      <c r="L378" t="s">
        <v>12</v>
      </c>
    </row>
    <row r="379" spans="1:12" x14ac:dyDescent="0.3">
      <c r="A379" t="s">
        <v>2854</v>
      </c>
      <c r="B379" t="s">
        <v>2930</v>
      </c>
      <c r="C379" s="4">
        <v>45713</v>
      </c>
      <c r="D379">
        <v>48</v>
      </c>
      <c r="E379">
        <v>16307.48</v>
      </c>
      <c r="F379">
        <v>4369.07</v>
      </c>
      <c r="G379">
        <v>11938.41</v>
      </c>
      <c r="H379" t="s">
        <v>2475</v>
      </c>
      <c r="I379" t="s">
        <v>2467</v>
      </c>
      <c r="J379" t="s">
        <v>2456</v>
      </c>
      <c r="K379" t="s">
        <v>2496</v>
      </c>
      <c r="L379" t="s">
        <v>32</v>
      </c>
    </row>
    <row r="380" spans="1:12" x14ac:dyDescent="0.3">
      <c r="A380" t="s">
        <v>2473</v>
      </c>
      <c r="B380" t="s">
        <v>2931</v>
      </c>
      <c r="C380" s="4">
        <v>45996</v>
      </c>
      <c r="D380">
        <v>19</v>
      </c>
      <c r="E380">
        <v>13712.96</v>
      </c>
      <c r="F380">
        <v>6127.16</v>
      </c>
      <c r="G380">
        <v>7585.8</v>
      </c>
      <c r="H380" t="s">
        <v>2475</v>
      </c>
      <c r="I380" t="s">
        <v>2508</v>
      </c>
      <c r="J380" t="s">
        <v>2456</v>
      </c>
      <c r="K380" t="s">
        <v>2463</v>
      </c>
      <c r="L380" t="s">
        <v>84</v>
      </c>
    </row>
    <row r="381" spans="1:12" x14ac:dyDescent="0.3">
      <c r="A381" t="s">
        <v>2662</v>
      </c>
      <c r="B381" t="s">
        <v>2932</v>
      </c>
      <c r="C381" s="4">
        <v>45839</v>
      </c>
      <c r="D381">
        <v>179</v>
      </c>
      <c r="E381">
        <v>373.82</v>
      </c>
      <c r="F381">
        <v>170.92</v>
      </c>
      <c r="G381">
        <v>202.9</v>
      </c>
      <c r="H381" t="s">
        <v>2475</v>
      </c>
      <c r="I381" t="s">
        <v>2517</v>
      </c>
      <c r="J381" t="s">
        <v>2468</v>
      </c>
      <c r="K381" t="s">
        <v>2496</v>
      </c>
      <c r="L381" t="s">
        <v>36</v>
      </c>
    </row>
    <row r="382" spans="1:12" x14ac:dyDescent="0.3">
      <c r="A382" t="s">
        <v>2607</v>
      </c>
      <c r="B382" t="s">
        <v>2933</v>
      </c>
      <c r="C382" s="4">
        <v>46012</v>
      </c>
      <c r="D382">
        <v>106</v>
      </c>
      <c r="E382">
        <v>7636.62</v>
      </c>
      <c r="F382">
        <v>2233.36</v>
      </c>
      <c r="G382">
        <v>5403.26</v>
      </c>
      <c r="H382" t="s">
        <v>2460</v>
      </c>
      <c r="I382" t="s">
        <v>2517</v>
      </c>
      <c r="J382" t="s">
        <v>2468</v>
      </c>
      <c r="K382" t="s">
        <v>2496</v>
      </c>
      <c r="L382" t="s">
        <v>12</v>
      </c>
    </row>
    <row r="383" spans="1:12" x14ac:dyDescent="0.3">
      <c r="A383" t="s">
        <v>2504</v>
      </c>
      <c r="B383" t="s">
        <v>2934</v>
      </c>
      <c r="C383" s="4">
        <v>45934</v>
      </c>
      <c r="D383">
        <v>49</v>
      </c>
      <c r="E383">
        <v>17412.03</v>
      </c>
      <c r="F383">
        <v>2729.42</v>
      </c>
      <c r="G383">
        <v>14682.61</v>
      </c>
      <c r="H383" t="s">
        <v>2475</v>
      </c>
      <c r="I383" t="s">
        <v>2517</v>
      </c>
      <c r="J383" t="s">
        <v>2462</v>
      </c>
      <c r="K383" t="s">
        <v>2469</v>
      </c>
      <c r="L383" t="s">
        <v>12</v>
      </c>
    </row>
    <row r="384" spans="1:12" x14ac:dyDescent="0.3">
      <c r="A384" t="s">
        <v>2653</v>
      </c>
      <c r="B384" t="s">
        <v>2935</v>
      </c>
      <c r="C384" s="4">
        <v>45931</v>
      </c>
      <c r="D384">
        <v>1</v>
      </c>
      <c r="E384">
        <v>8722.5400000000009</v>
      </c>
      <c r="F384">
        <v>3807.89</v>
      </c>
      <c r="G384">
        <v>4914.6499999999996</v>
      </c>
      <c r="H384" t="s">
        <v>2472</v>
      </c>
      <c r="I384" t="s">
        <v>2517</v>
      </c>
      <c r="J384" t="s">
        <v>2493</v>
      </c>
      <c r="K384" t="s">
        <v>2496</v>
      </c>
      <c r="L384" t="s">
        <v>84</v>
      </c>
    </row>
    <row r="385" spans="1:12" x14ac:dyDescent="0.3">
      <c r="A385" t="s">
        <v>2609</v>
      </c>
      <c r="B385" t="s">
        <v>2936</v>
      </c>
      <c r="C385" s="4">
        <v>45872</v>
      </c>
      <c r="D385">
        <v>37</v>
      </c>
      <c r="E385">
        <v>5740.58</v>
      </c>
      <c r="F385">
        <v>2463.7199999999998</v>
      </c>
      <c r="G385">
        <v>3276.86</v>
      </c>
      <c r="H385" t="s">
        <v>2472</v>
      </c>
      <c r="I385" t="s">
        <v>2517</v>
      </c>
      <c r="J385" t="s">
        <v>2456</v>
      </c>
      <c r="K385" t="s">
        <v>2457</v>
      </c>
      <c r="L385" t="s">
        <v>36</v>
      </c>
    </row>
    <row r="386" spans="1:12" x14ac:dyDescent="0.3">
      <c r="A386" t="s">
        <v>2489</v>
      </c>
      <c r="B386" t="s">
        <v>2937</v>
      </c>
      <c r="C386" s="4">
        <v>45705</v>
      </c>
      <c r="D386">
        <v>58</v>
      </c>
      <c r="E386">
        <v>9041.93</v>
      </c>
      <c r="F386">
        <v>2031.07</v>
      </c>
      <c r="G386">
        <v>7010.86</v>
      </c>
      <c r="H386" t="s">
        <v>2460</v>
      </c>
      <c r="I386" t="s">
        <v>2517</v>
      </c>
      <c r="J386" t="s">
        <v>2462</v>
      </c>
      <c r="K386" t="s">
        <v>2469</v>
      </c>
      <c r="L386" t="s">
        <v>32</v>
      </c>
    </row>
    <row r="387" spans="1:12" x14ac:dyDescent="0.3">
      <c r="A387" t="s">
        <v>2530</v>
      </c>
      <c r="B387" t="s">
        <v>2938</v>
      </c>
      <c r="C387" s="4">
        <v>46015</v>
      </c>
      <c r="D387">
        <v>113</v>
      </c>
      <c r="E387">
        <v>18105.650000000001</v>
      </c>
      <c r="F387">
        <v>8928.65</v>
      </c>
      <c r="G387">
        <v>9177</v>
      </c>
      <c r="H387" t="s">
        <v>2475</v>
      </c>
      <c r="I387" t="s">
        <v>2517</v>
      </c>
      <c r="J387" t="s">
        <v>2462</v>
      </c>
      <c r="K387" t="s">
        <v>2496</v>
      </c>
      <c r="L387" t="s">
        <v>84</v>
      </c>
    </row>
    <row r="388" spans="1:12" x14ac:dyDescent="0.3">
      <c r="A388" t="s">
        <v>2518</v>
      </c>
      <c r="B388" t="s">
        <v>2939</v>
      </c>
      <c r="C388" s="4">
        <v>46010</v>
      </c>
      <c r="D388">
        <v>69</v>
      </c>
      <c r="E388">
        <v>14452.73</v>
      </c>
      <c r="F388">
        <v>4208.47</v>
      </c>
      <c r="G388">
        <v>10244.26</v>
      </c>
      <c r="H388" t="s">
        <v>2472</v>
      </c>
      <c r="I388" t="s">
        <v>2508</v>
      </c>
      <c r="J388" t="s">
        <v>2493</v>
      </c>
      <c r="K388" t="s">
        <v>2457</v>
      </c>
      <c r="L388" t="s">
        <v>32</v>
      </c>
    </row>
    <row r="389" spans="1:12" x14ac:dyDescent="0.3">
      <c r="A389" t="s">
        <v>2748</v>
      </c>
      <c r="B389" t="s">
        <v>2940</v>
      </c>
      <c r="C389" s="4">
        <v>45862</v>
      </c>
      <c r="D389">
        <v>28</v>
      </c>
      <c r="E389">
        <v>4900.3900000000003</v>
      </c>
      <c r="F389">
        <v>1895.84</v>
      </c>
      <c r="G389">
        <v>3004.55</v>
      </c>
      <c r="H389" t="s">
        <v>2475</v>
      </c>
      <c r="I389" t="s">
        <v>2467</v>
      </c>
      <c r="J389" t="s">
        <v>2462</v>
      </c>
      <c r="K389" t="s">
        <v>2463</v>
      </c>
      <c r="L389" t="s">
        <v>32</v>
      </c>
    </row>
    <row r="390" spans="1:12" x14ac:dyDescent="0.3">
      <c r="A390" t="s">
        <v>2624</v>
      </c>
      <c r="B390" t="s">
        <v>2941</v>
      </c>
      <c r="C390" s="4">
        <v>45716</v>
      </c>
      <c r="D390">
        <v>197</v>
      </c>
      <c r="E390">
        <v>13823.79</v>
      </c>
      <c r="F390">
        <v>3849.25</v>
      </c>
      <c r="G390">
        <v>9974.5400000000009</v>
      </c>
      <c r="H390" t="s">
        <v>2466</v>
      </c>
      <c r="I390" t="s">
        <v>2485</v>
      </c>
      <c r="J390" t="s">
        <v>2456</v>
      </c>
      <c r="K390" t="s">
        <v>2457</v>
      </c>
      <c r="L390" t="s">
        <v>12</v>
      </c>
    </row>
    <row r="391" spans="1:12" x14ac:dyDescent="0.3">
      <c r="A391" t="s">
        <v>2702</v>
      </c>
      <c r="B391" t="s">
        <v>2942</v>
      </c>
      <c r="C391" s="4">
        <v>45661</v>
      </c>
      <c r="D391">
        <v>188</v>
      </c>
      <c r="E391">
        <v>6196.13</v>
      </c>
      <c r="F391">
        <v>1204.1300000000001</v>
      </c>
      <c r="G391">
        <v>4992</v>
      </c>
      <c r="H391" t="s">
        <v>2460</v>
      </c>
      <c r="I391" t="s">
        <v>2508</v>
      </c>
      <c r="J391" t="s">
        <v>2468</v>
      </c>
      <c r="K391" t="s">
        <v>2457</v>
      </c>
      <c r="L391" t="s">
        <v>23</v>
      </c>
    </row>
    <row r="392" spans="1:12" x14ac:dyDescent="0.3">
      <c r="A392" t="s">
        <v>2509</v>
      </c>
      <c r="B392" t="s">
        <v>2943</v>
      </c>
      <c r="C392" s="4">
        <v>45791</v>
      </c>
      <c r="D392">
        <v>98</v>
      </c>
      <c r="E392">
        <v>9489.9</v>
      </c>
      <c r="F392">
        <v>3999.92</v>
      </c>
      <c r="G392">
        <v>5489.98</v>
      </c>
      <c r="H392" t="s">
        <v>2475</v>
      </c>
      <c r="I392" t="s">
        <v>2485</v>
      </c>
      <c r="J392" t="s">
        <v>2456</v>
      </c>
      <c r="K392" t="s">
        <v>2469</v>
      </c>
      <c r="L392" t="s">
        <v>23</v>
      </c>
    </row>
    <row r="393" spans="1:12" x14ac:dyDescent="0.3">
      <c r="A393" t="s">
        <v>2464</v>
      </c>
      <c r="B393" t="s">
        <v>2944</v>
      </c>
      <c r="C393" s="4">
        <v>45809</v>
      </c>
      <c r="D393">
        <v>62</v>
      </c>
      <c r="E393">
        <v>10696.47</v>
      </c>
      <c r="F393">
        <v>3238.25</v>
      </c>
      <c r="G393">
        <v>7458.22</v>
      </c>
      <c r="H393" t="s">
        <v>2454</v>
      </c>
      <c r="I393" t="s">
        <v>2480</v>
      </c>
      <c r="J393" t="s">
        <v>2456</v>
      </c>
      <c r="K393" t="s">
        <v>2463</v>
      </c>
      <c r="L393" t="s">
        <v>23</v>
      </c>
    </row>
    <row r="394" spans="1:12" x14ac:dyDescent="0.3">
      <c r="A394" t="s">
        <v>2642</v>
      </c>
      <c r="B394" t="s">
        <v>2945</v>
      </c>
      <c r="C394" s="4">
        <v>45950</v>
      </c>
      <c r="D394">
        <v>106</v>
      </c>
      <c r="E394">
        <v>17344.38</v>
      </c>
      <c r="F394">
        <v>7250.23</v>
      </c>
      <c r="G394">
        <v>10094.15</v>
      </c>
      <c r="H394" t="s">
        <v>2454</v>
      </c>
      <c r="I394" t="s">
        <v>2488</v>
      </c>
      <c r="J394" t="s">
        <v>2456</v>
      </c>
      <c r="K394" t="s">
        <v>2457</v>
      </c>
      <c r="L394" t="s">
        <v>32</v>
      </c>
    </row>
    <row r="395" spans="1:12" x14ac:dyDescent="0.3">
      <c r="A395" t="s">
        <v>2605</v>
      </c>
      <c r="B395" t="s">
        <v>2946</v>
      </c>
      <c r="C395" s="4">
        <v>45806</v>
      </c>
      <c r="D395">
        <v>55</v>
      </c>
      <c r="E395">
        <v>4447.5600000000004</v>
      </c>
      <c r="F395">
        <v>2051.4699999999998</v>
      </c>
      <c r="G395">
        <v>2396.09</v>
      </c>
      <c r="H395" t="s">
        <v>2460</v>
      </c>
      <c r="I395" t="s">
        <v>2480</v>
      </c>
      <c r="J395" t="s">
        <v>2462</v>
      </c>
      <c r="K395" t="s">
        <v>2463</v>
      </c>
      <c r="L395" t="s">
        <v>12</v>
      </c>
    </row>
    <row r="396" spans="1:12" x14ac:dyDescent="0.3">
      <c r="A396" t="s">
        <v>2793</v>
      </c>
      <c r="B396" t="s">
        <v>2947</v>
      </c>
      <c r="C396" s="4">
        <v>45894</v>
      </c>
      <c r="D396">
        <v>24</v>
      </c>
      <c r="E396">
        <v>6882.2</v>
      </c>
      <c r="F396">
        <v>2789.47</v>
      </c>
      <c r="G396">
        <v>4092.73</v>
      </c>
      <c r="H396" t="s">
        <v>2472</v>
      </c>
      <c r="I396" t="s">
        <v>2488</v>
      </c>
      <c r="J396" t="s">
        <v>2493</v>
      </c>
      <c r="K396" t="s">
        <v>2496</v>
      </c>
      <c r="L396" t="s">
        <v>23</v>
      </c>
    </row>
    <row r="397" spans="1:12" x14ac:dyDescent="0.3">
      <c r="A397" t="s">
        <v>2655</v>
      </c>
      <c r="B397" t="s">
        <v>2948</v>
      </c>
      <c r="C397" s="4">
        <v>45811</v>
      </c>
      <c r="D397">
        <v>71</v>
      </c>
      <c r="E397">
        <v>10867.4</v>
      </c>
      <c r="F397">
        <v>2576.46</v>
      </c>
      <c r="G397">
        <v>8290.94</v>
      </c>
      <c r="H397" t="s">
        <v>2472</v>
      </c>
      <c r="I397" t="s">
        <v>2517</v>
      </c>
      <c r="J397" t="s">
        <v>2468</v>
      </c>
      <c r="K397" t="s">
        <v>2457</v>
      </c>
      <c r="L397" t="s">
        <v>12</v>
      </c>
    </row>
    <row r="398" spans="1:12" x14ac:dyDescent="0.3">
      <c r="A398" t="s">
        <v>2558</v>
      </c>
      <c r="B398" t="s">
        <v>2949</v>
      </c>
      <c r="C398" s="4">
        <v>45952</v>
      </c>
      <c r="D398">
        <v>129</v>
      </c>
      <c r="E398">
        <v>11699.3</v>
      </c>
      <c r="F398">
        <v>1521.79</v>
      </c>
      <c r="G398">
        <v>10177.51</v>
      </c>
      <c r="H398" t="s">
        <v>2460</v>
      </c>
      <c r="I398" t="s">
        <v>2480</v>
      </c>
      <c r="J398" t="s">
        <v>2462</v>
      </c>
      <c r="K398" t="s">
        <v>2469</v>
      </c>
      <c r="L398" t="s">
        <v>36</v>
      </c>
    </row>
    <row r="399" spans="1:12" x14ac:dyDescent="0.3">
      <c r="A399" t="s">
        <v>2464</v>
      </c>
      <c r="B399" t="s">
        <v>2950</v>
      </c>
      <c r="C399" s="4">
        <v>45679</v>
      </c>
      <c r="D399">
        <v>179</v>
      </c>
      <c r="E399">
        <v>3369.46</v>
      </c>
      <c r="F399">
        <v>688.85</v>
      </c>
      <c r="G399">
        <v>2680.61</v>
      </c>
      <c r="H399" t="s">
        <v>2466</v>
      </c>
      <c r="I399" t="s">
        <v>2480</v>
      </c>
      <c r="J399" t="s">
        <v>2493</v>
      </c>
      <c r="K399" t="s">
        <v>2496</v>
      </c>
      <c r="L399" t="s">
        <v>32</v>
      </c>
    </row>
    <row r="400" spans="1:12" x14ac:dyDescent="0.3">
      <c r="A400" t="s">
        <v>2575</v>
      </c>
      <c r="B400" t="s">
        <v>2951</v>
      </c>
      <c r="C400" s="4">
        <v>45767</v>
      </c>
      <c r="D400">
        <v>189</v>
      </c>
      <c r="E400">
        <v>999.56</v>
      </c>
      <c r="F400">
        <v>428.05</v>
      </c>
      <c r="G400">
        <v>571.51</v>
      </c>
      <c r="H400" t="s">
        <v>2475</v>
      </c>
      <c r="I400" t="s">
        <v>2455</v>
      </c>
      <c r="J400" t="s">
        <v>2468</v>
      </c>
      <c r="K400" t="s">
        <v>2469</v>
      </c>
      <c r="L400" t="s">
        <v>84</v>
      </c>
    </row>
    <row r="401" spans="1:12" x14ac:dyDescent="0.3">
      <c r="A401" t="s">
        <v>2556</v>
      </c>
      <c r="B401" t="s">
        <v>2952</v>
      </c>
      <c r="C401" s="4">
        <v>45658</v>
      </c>
      <c r="D401">
        <v>116</v>
      </c>
      <c r="E401">
        <v>4589.9399999999996</v>
      </c>
      <c r="F401">
        <v>2048</v>
      </c>
      <c r="G401">
        <v>2541.94</v>
      </c>
      <c r="H401" t="s">
        <v>2472</v>
      </c>
      <c r="I401" t="s">
        <v>2455</v>
      </c>
      <c r="J401" t="s">
        <v>2493</v>
      </c>
      <c r="K401" t="s">
        <v>2469</v>
      </c>
      <c r="L401" t="s">
        <v>12</v>
      </c>
    </row>
    <row r="402" spans="1:12" x14ac:dyDescent="0.3">
      <c r="A402" t="s">
        <v>2638</v>
      </c>
      <c r="B402" t="s">
        <v>2953</v>
      </c>
      <c r="C402" s="4">
        <v>45917</v>
      </c>
      <c r="D402">
        <v>17</v>
      </c>
      <c r="E402">
        <v>16689.03</v>
      </c>
      <c r="F402">
        <v>7282.63</v>
      </c>
      <c r="G402">
        <v>9406.4</v>
      </c>
      <c r="H402" t="s">
        <v>2454</v>
      </c>
      <c r="I402" t="s">
        <v>2480</v>
      </c>
      <c r="J402" t="s">
        <v>2468</v>
      </c>
      <c r="K402" t="s">
        <v>2469</v>
      </c>
      <c r="L402" t="s">
        <v>23</v>
      </c>
    </row>
    <row r="403" spans="1:12" x14ac:dyDescent="0.3">
      <c r="A403" t="s">
        <v>2741</v>
      </c>
      <c r="B403" t="s">
        <v>2954</v>
      </c>
      <c r="C403" s="4">
        <v>45991</v>
      </c>
      <c r="D403">
        <v>108</v>
      </c>
      <c r="E403">
        <v>2259.64</v>
      </c>
      <c r="F403">
        <v>438.9</v>
      </c>
      <c r="G403">
        <v>1820.74</v>
      </c>
      <c r="H403" t="s">
        <v>2475</v>
      </c>
      <c r="I403" t="s">
        <v>2488</v>
      </c>
      <c r="J403" t="s">
        <v>2468</v>
      </c>
      <c r="K403" t="s">
        <v>2457</v>
      </c>
      <c r="L403" t="s">
        <v>84</v>
      </c>
    </row>
    <row r="404" spans="1:12" x14ac:dyDescent="0.3">
      <c r="A404" t="s">
        <v>2591</v>
      </c>
      <c r="B404" t="s">
        <v>2955</v>
      </c>
      <c r="C404" s="4">
        <v>45764</v>
      </c>
      <c r="D404">
        <v>180</v>
      </c>
      <c r="E404">
        <v>16270.73</v>
      </c>
      <c r="F404">
        <v>6403.25</v>
      </c>
      <c r="G404">
        <v>9867.48</v>
      </c>
      <c r="H404" t="s">
        <v>2466</v>
      </c>
      <c r="I404" t="s">
        <v>2485</v>
      </c>
      <c r="J404" t="s">
        <v>2462</v>
      </c>
      <c r="K404" t="s">
        <v>2496</v>
      </c>
      <c r="L404" t="s">
        <v>84</v>
      </c>
    </row>
    <row r="405" spans="1:12" x14ac:dyDescent="0.3">
      <c r="A405" t="s">
        <v>2527</v>
      </c>
      <c r="B405" t="s">
        <v>2956</v>
      </c>
      <c r="C405" s="4">
        <v>45948</v>
      </c>
      <c r="D405">
        <v>109</v>
      </c>
      <c r="E405">
        <v>3525.49</v>
      </c>
      <c r="F405">
        <v>582.85</v>
      </c>
      <c r="G405">
        <v>2942.64</v>
      </c>
      <c r="H405" t="s">
        <v>2454</v>
      </c>
      <c r="I405" t="s">
        <v>2508</v>
      </c>
      <c r="J405" t="s">
        <v>2493</v>
      </c>
      <c r="K405" t="s">
        <v>2469</v>
      </c>
      <c r="L405" t="s">
        <v>32</v>
      </c>
    </row>
    <row r="406" spans="1:12" x14ac:dyDescent="0.3">
      <c r="A406" t="s">
        <v>2527</v>
      </c>
      <c r="B406" t="s">
        <v>2957</v>
      </c>
      <c r="C406" s="4">
        <v>45837</v>
      </c>
      <c r="D406">
        <v>198</v>
      </c>
      <c r="E406">
        <v>16728.91</v>
      </c>
      <c r="F406">
        <v>7051.1</v>
      </c>
      <c r="G406">
        <v>9677.81</v>
      </c>
      <c r="H406" t="s">
        <v>2460</v>
      </c>
      <c r="I406" t="s">
        <v>2461</v>
      </c>
      <c r="J406" t="s">
        <v>2462</v>
      </c>
      <c r="K406" t="s">
        <v>2463</v>
      </c>
      <c r="L406" t="s">
        <v>32</v>
      </c>
    </row>
    <row r="407" spans="1:12" x14ac:dyDescent="0.3">
      <c r="A407" t="s">
        <v>2812</v>
      </c>
      <c r="B407" t="s">
        <v>2958</v>
      </c>
      <c r="C407" s="4">
        <v>45925</v>
      </c>
      <c r="D407">
        <v>178</v>
      </c>
      <c r="E407">
        <v>2622.9</v>
      </c>
      <c r="F407">
        <v>1255.01</v>
      </c>
      <c r="G407">
        <v>1367.89</v>
      </c>
      <c r="H407" t="s">
        <v>2466</v>
      </c>
      <c r="I407" t="s">
        <v>2488</v>
      </c>
      <c r="J407" t="s">
        <v>2462</v>
      </c>
      <c r="K407" t="s">
        <v>2457</v>
      </c>
      <c r="L407" t="s">
        <v>12</v>
      </c>
    </row>
    <row r="408" spans="1:12" x14ac:dyDescent="0.3">
      <c r="A408" t="s">
        <v>2642</v>
      </c>
      <c r="B408" t="s">
        <v>2959</v>
      </c>
      <c r="C408" s="4">
        <v>46005</v>
      </c>
      <c r="D408">
        <v>133</v>
      </c>
      <c r="E408">
        <v>3677.87</v>
      </c>
      <c r="F408">
        <v>550.5</v>
      </c>
      <c r="G408">
        <v>3127.37</v>
      </c>
      <c r="H408" t="s">
        <v>2475</v>
      </c>
      <c r="I408" t="s">
        <v>2455</v>
      </c>
      <c r="J408" t="s">
        <v>2456</v>
      </c>
      <c r="K408" t="s">
        <v>2463</v>
      </c>
      <c r="L408" t="s">
        <v>12</v>
      </c>
    </row>
    <row r="409" spans="1:12" x14ac:dyDescent="0.3">
      <c r="A409" t="s">
        <v>2662</v>
      </c>
      <c r="B409" t="s">
        <v>2960</v>
      </c>
      <c r="C409" s="4">
        <v>45666</v>
      </c>
      <c r="D409">
        <v>135</v>
      </c>
      <c r="E409">
        <v>10797.57</v>
      </c>
      <c r="F409">
        <v>4277.3100000000004</v>
      </c>
      <c r="G409">
        <v>6520.26</v>
      </c>
      <c r="H409" t="s">
        <v>2460</v>
      </c>
      <c r="I409" t="s">
        <v>2467</v>
      </c>
      <c r="J409" t="s">
        <v>2468</v>
      </c>
      <c r="K409" t="s">
        <v>2463</v>
      </c>
      <c r="L409" t="s">
        <v>12</v>
      </c>
    </row>
    <row r="410" spans="1:12" x14ac:dyDescent="0.3">
      <c r="A410" t="s">
        <v>2611</v>
      </c>
      <c r="B410" t="s">
        <v>2961</v>
      </c>
      <c r="C410" s="4">
        <v>45781</v>
      </c>
      <c r="D410">
        <v>36</v>
      </c>
      <c r="E410">
        <v>16077.11</v>
      </c>
      <c r="F410">
        <v>6620.5</v>
      </c>
      <c r="G410">
        <v>9456.61</v>
      </c>
      <c r="H410" t="s">
        <v>2472</v>
      </c>
      <c r="I410" t="s">
        <v>2467</v>
      </c>
      <c r="J410" t="s">
        <v>2462</v>
      </c>
      <c r="K410" t="s">
        <v>2463</v>
      </c>
      <c r="L410" t="s">
        <v>36</v>
      </c>
    </row>
    <row r="411" spans="1:12" x14ac:dyDescent="0.3">
      <c r="A411" t="s">
        <v>2609</v>
      </c>
      <c r="B411" t="s">
        <v>2962</v>
      </c>
      <c r="C411" s="4">
        <v>45678</v>
      </c>
      <c r="D411">
        <v>195</v>
      </c>
      <c r="E411">
        <v>6504.66</v>
      </c>
      <c r="F411">
        <v>2823.97</v>
      </c>
      <c r="G411">
        <v>3680.69</v>
      </c>
      <c r="H411" t="s">
        <v>2460</v>
      </c>
      <c r="I411" t="s">
        <v>2485</v>
      </c>
      <c r="J411" t="s">
        <v>2456</v>
      </c>
      <c r="K411" t="s">
        <v>2463</v>
      </c>
      <c r="L411" t="s">
        <v>12</v>
      </c>
    </row>
    <row r="412" spans="1:12" x14ac:dyDescent="0.3">
      <c r="A412" t="s">
        <v>2536</v>
      </c>
      <c r="B412" t="s">
        <v>2963</v>
      </c>
      <c r="C412" s="4">
        <v>45877</v>
      </c>
      <c r="D412">
        <v>171</v>
      </c>
      <c r="E412">
        <v>13848.58</v>
      </c>
      <c r="F412">
        <v>2144.39</v>
      </c>
      <c r="G412">
        <v>11704.19</v>
      </c>
      <c r="H412" t="s">
        <v>2472</v>
      </c>
      <c r="I412" t="s">
        <v>2488</v>
      </c>
      <c r="J412" t="s">
        <v>2493</v>
      </c>
      <c r="K412" t="s">
        <v>2496</v>
      </c>
      <c r="L412" t="s">
        <v>36</v>
      </c>
    </row>
    <row r="413" spans="1:12" x14ac:dyDescent="0.3">
      <c r="A413" t="s">
        <v>2812</v>
      </c>
      <c r="B413" t="s">
        <v>2964</v>
      </c>
      <c r="C413" s="4">
        <v>45684</v>
      </c>
      <c r="D413">
        <v>177</v>
      </c>
      <c r="E413">
        <v>3889.4</v>
      </c>
      <c r="F413">
        <v>461.92</v>
      </c>
      <c r="G413">
        <v>3427.48</v>
      </c>
      <c r="H413" t="s">
        <v>2472</v>
      </c>
      <c r="I413" t="s">
        <v>2517</v>
      </c>
      <c r="J413" t="s">
        <v>2493</v>
      </c>
      <c r="K413" t="s">
        <v>2463</v>
      </c>
      <c r="L413" t="s">
        <v>23</v>
      </c>
    </row>
    <row r="414" spans="1:12" x14ac:dyDescent="0.3">
      <c r="A414" t="s">
        <v>2566</v>
      </c>
      <c r="B414" t="s">
        <v>2965</v>
      </c>
      <c r="C414" s="4">
        <v>45890</v>
      </c>
      <c r="D414">
        <v>39</v>
      </c>
      <c r="E414">
        <v>19769.22</v>
      </c>
      <c r="F414">
        <v>7410.74</v>
      </c>
      <c r="G414">
        <v>12358.48</v>
      </c>
      <c r="H414" t="s">
        <v>2472</v>
      </c>
      <c r="I414" t="s">
        <v>2508</v>
      </c>
      <c r="J414" t="s">
        <v>2493</v>
      </c>
      <c r="K414" t="s">
        <v>2469</v>
      </c>
      <c r="L414" t="s">
        <v>12</v>
      </c>
    </row>
    <row r="415" spans="1:12" x14ac:dyDescent="0.3">
      <c r="A415" t="s">
        <v>2588</v>
      </c>
      <c r="B415" t="s">
        <v>2966</v>
      </c>
      <c r="C415" s="4">
        <v>45901</v>
      </c>
      <c r="D415">
        <v>38</v>
      </c>
      <c r="E415">
        <v>12046.93</v>
      </c>
      <c r="F415">
        <v>3246</v>
      </c>
      <c r="G415">
        <v>8800.93</v>
      </c>
      <c r="H415" t="s">
        <v>2454</v>
      </c>
      <c r="I415" t="s">
        <v>2508</v>
      </c>
      <c r="J415" t="s">
        <v>2462</v>
      </c>
      <c r="K415" t="s">
        <v>2463</v>
      </c>
      <c r="L415" t="s">
        <v>84</v>
      </c>
    </row>
    <row r="416" spans="1:12" x14ac:dyDescent="0.3">
      <c r="A416" t="s">
        <v>2575</v>
      </c>
      <c r="B416" t="s">
        <v>2967</v>
      </c>
      <c r="C416" s="4">
        <v>45942</v>
      </c>
      <c r="D416">
        <v>196</v>
      </c>
      <c r="E416">
        <v>5850.65</v>
      </c>
      <c r="F416">
        <v>1470.49</v>
      </c>
      <c r="G416">
        <v>4380.16</v>
      </c>
      <c r="H416" t="s">
        <v>2472</v>
      </c>
      <c r="I416" t="s">
        <v>2485</v>
      </c>
      <c r="J416" t="s">
        <v>2462</v>
      </c>
      <c r="K416" t="s">
        <v>2457</v>
      </c>
      <c r="L416" t="s">
        <v>32</v>
      </c>
    </row>
    <row r="417" spans="1:12" x14ac:dyDescent="0.3">
      <c r="A417" t="s">
        <v>2597</v>
      </c>
      <c r="B417" t="s">
        <v>2968</v>
      </c>
      <c r="C417" s="4">
        <v>45933</v>
      </c>
      <c r="D417">
        <v>7</v>
      </c>
      <c r="E417">
        <v>978.51</v>
      </c>
      <c r="F417">
        <v>470.13</v>
      </c>
      <c r="G417">
        <v>508.38</v>
      </c>
      <c r="H417" t="s">
        <v>2460</v>
      </c>
      <c r="I417" t="s">
        <v>2455</v>
      </c>
      <c r="J417" t="s">
        <v>2462</v>
      </c>
      <c r="K417" t="s">
        <v>2469</v>
      </c>
      <c r="L417" t="s">
        <v>36</v>
      </c>
    </row>
    <row r="418" spans="1:12" x14ac:dyDescent="0.3">
      <c r="A418" t="s">
        <v>2558</v>
      </c>
      <c r="B418" t="s">
        <v>2969</v>
      </c>
      <c r="C418" s="4">
        <v>45857</v>
      </c>
      <c r="D418">
        <v>186</v>
      </c>
      <c r="E418">
        <v>10366.23</v>
      </c>
      <c r="F418">
        <v>2985.33</v>
      </c>
      <c r="G418">
        <v>7380.9</v>
      </c>
      <c r="H418" t="s">
        <v>2454</v>
      </c>
      <c r="I418" t="s">
        <v>2461</v>
      </c>
      <c r="J418" t="s">
        <v>2456</v>
      </c>
      <c r="K418" t="s">
        <v>2496</v>
      </c>
      <c r="L418" t="s">
        <v>36</v>
      </c>
    </row>
    <row r="419" spans="1:12" x14ac:dyDescent="0.3">
      <c r="A419" t="s">
        <v>2638</v>
      </c>
      <c r="B419" t="s">
        <v>2970</v>
      </c>
      <c r="C419" s="4">
        <v>45913</v>
      </c>
      <c r="D419">
        <v>69</v>
      </c>
      <c r="E419">
        <v>10282.48</v>
      </c>
      <c r="F419">
        <v>1066.6300000000001</v>
      </c>
      <c r="G419">
        <v>9215.85</v>
      </c>
      <c r="H419" t="s">
        <v>2460</v>
      </c>
      <c r="I419" t="s">
        <v>2480</v>
      </c>
      <c r="J419" t="s">
        <v>2493</v>
      </c>
      <c r="K419" t="s">
        <v>2469</v>
      </c>
      <c r="L419" t="s">
        <v>36</v>
      </c>
    </row>
    <row r="420" spans="1:12" x14ac:dyDescent="0.3">
      <c r="A420" t="s">
        <v>2481</v>
      </c>
      <c r="B420" t="s">
        <v>2971</v>
      </c>
      <c r="C420" s="4">
        <v>45695</v>
      </c>
      <c r="D420">
        <v>11</v>
      </c>
      <c r="E420">
        <v>11095.61</v>
      </c>
      <c r="F420">
        <v>5373.04</v>
      </c>
      <c r="G420">
        <v>5722.57</v>
      </c>
      <c r="H420" t="s">
        <v>2454</v>
      </c>
      <c r="I420" t="s">
        <v>2480</v>
      </c>
      <c r="J420" t="s">
        <v>2462</v>
      </c>
      <c r="K420" t="s">
        <v>2496</v>
      </c>
      <c r="L420" t="s">
        <v>36</v>
      </c>
    </row>
    <row r="421" spans="1:12" x14ac:dyDescent="0.3">
      <c r="A421" t="s">
        <v>2504</v>
      </c>
      <c r="B421" t="s">
        <v>2972</v>
      </c>
      <c r="C421" s="4">
        <v>45670</v>
      </c>
      <c r="D421">
        <v>158</v>
      </c>
      <c r="E421">
        <v>11209.42</v>
      </c>
      <c r="F421">
        <v>2833.33</v>
      </c>
      <c r="G421">
        <v>8376.09</v>
      </c>
      <c r="H421" t="s">
        <v>2472</v>
      </c>
      <c r="I421" t="s">
        <v>2467</v>
      </c>
      <c r="J421" t="s">
        <v>2468</v>
      </c>
      <c r="K421" t="s">
        <v>2463</v>
      </c>
      <c r="L421" t="s">
        <v>84</v>
      </c>
    </row>
    <row r="422" spans="1:12" x14ac:dyDescent="0.3">
      <c r="A422" t="s">
        <v>2561</v>
      </c>
      <c r="B422" t="s">
        <v>2973</v>
      </c>
      <c r="C422" s="4">
        <v>45688</v>
      </c>
      <c r="D422">
        <v>13</v>
      </c>
      <c r="E422">
        <v>18569.96</v>
      </c>
      <c r="F422">
        <v>2857.91</v>
      </c>
      <c r="G422">
        <v>15712.05</v>
      </c>
      <c r="H422" t="s">
        <v>2460</v>
      </c>
      <c r="I422" t="s">
        <v>2488</v>
      </c>
      <c r="J422" t="s">
        <v>2456</v>
      </c>
      <c r="K422" t="s">
        <v>2469</v>
      </c>
      <c r="L422" t="s">
        <v>32</v>
      </c>
    </row>
    <row r="423" spans="1:12" x14ac:dyDescent="0.3">
      <c r="A423" t="s">
        <v>2854</v>
      </c>
      <c r="B423" t="s">
        <v>2974</v>
      </c>
      <c r="C423" s="4">
        <v>45730</v>
      </c>
      <c r="D423">
        <v>122</v>
      </c>
      <c r="E423">
        <v>10019.1</v>
      </c>
      <c r="F423">
        <v>1278.8399999999999</v>
      </c>
      <c r="G423">
        <v>8740.26</v>
      </c>
      <c r="H423" t="s">
        <v>2466</v>
      </c>
      <c r="I423" t="s">
        <v>2455</v>
      </c>
      <c r="J423" t="s">
        <v>2462</v>
      </c>
      <c r="K423" t="s">
        <v>2496</v>
      </c>
      <c r="L423" t="s">
        <v>23</v>
      </c>
    </row>
    <row r="424" spans="1:12" x14ac:dyDescent="0.3">
      <c r="A424" t="s">
        <v>2478</v>
      </c>
      <c r="B424" t="s">
        <v>2975</v>
      </c>
      <c r="C424" s="4">
        <v>45725</v>
      </c>
      <c r="D424">
        <v>69</v>
      </c>
      <c r="E424">
        <v>4920.32</v>
      </c>
      <c r="F424">
        <v>1135.6099999999999</v>
      </c>
      <c r="G424">
        <v>3784.71</v>
      </c>
      <c r="H424" t="s">
        <v>2475</v>
      </c>
      <c r="I424" t="s">
        <v>2461</v>
      </c>
      <c r="J424" t="s">
        <v>2493</v>
      </c>
      <c r="K424" t="s">
        <v>2496</v>
      </c>
      <c r="L424" t="s">
        <v>23</v>
      </c>
    </row>
    <row r="425" spans="1:12" x14ac:dyDescent="0.3">
      <c r="A425" t="s">
        <v>2631</v>
      </c>
      <c r="B425" t="s">
        <v>2976</v>
      </c>
      <c r="C425" s="4">
        <v>45975</v>
      </c>
      <c r="D425">
        <v>77</v>
      </c>
      <c r="E425">
        <v>3256</v>
      </c>
      <c r="F425">
        <v>1311.89</v>
      </c>
      <c r="G425">
        <v>1944.11</v>
      </c>
      <c r="H425" t="s">
        <v>2454</v>
      </c>
      <c r="I425" t="s">
        <v>2467</v>
      </c>
      <c r="J425" t="s">
        <v>2493</v>
      </c>
      <c r="K425" t="s">
        <v>2457</v>
      </c>
      <c r="L425" t="s">
        <v>84</v>
      </c>
    </row>
    <row r="426" spans="1:12" x14ac:dyDescent="0.3">
      <c r="A426" t="s">
        <v>2662</v>
      </c>
      <c r="B426" t="s">
        <v>2977</v>
      </c>
      <c r="C426" s="4">
        <v>45886</v>
      </c>
      <c r="D426">
        <v>200</v>
      </c>
      <c r="E426">
        <v>5111.8100000000004</v>
      </c>
      <c r="F426">
        <v>1611.31</v>
      </c>
      <c r="G426">
        <v>3500.5</v>
      </c>
      <c r="H426" t="s">
        <v>2472</v>
      </c>
      <c r="I426" t="s">
        <v>2461</v>
      </c>
      <c r="J426" t="s">
        <v>2493</v>
      </c>
      <c r="K426" t="s">
        <v>2457</v>
      </c>
      <c r="L426" t="s">
        <v>12</v>
      </c>
    </row>
    <row r="427" spans="1:12" x14ac:dyDescent="0.3">
      <c r="A427" t="s">
        <v>2458</v>
      </c>
      <c r="B427" t="s">
        <v>2978</v>
      </c>
      <c r="C427" s="4">
        <v>45793</v>
      </c>
      <c r="D427">
        <v>96</v>
      </c>
      <c r="E427">
        <v>15177.39</v>
      </c>
      <c r="F427">
        <v>2329.59</v>
      </c>
      <c r="G427">
        <v>12847.8</v>
      </c>
      <c r="H427" t="s">
        <v>2472</v>
      </c>
      <c r="I427" t="s">
        <v>2467</v>
      </c>
      <c r="J427" t="s">
        <v>2462</v>
      </c>
      <c r="K427" t="s">
        <v>2496</v>
      </c>
      <c r="L427" t="s">
        <v>12</v>
      </c>
    </row>
    <row r="428" spans="1:12" x14ac:dyDescent="0.3">
      <c r="A428" t="s">
        <v>2470</v>
      </c>
      <c r="B428" t="s">
        <v>2979</v>
      </c>
      <c r="C428" s="4">
        <v>45714</v>
      </c>
      <c r="D428">
        <v>175</v>
      </c>
      <c r="E428">
        <v>3820.41</v>
      </c>
      <c r="F428">
        <v>1617.3</v>
      </c>
      <c r="G428">
        <v>2203.11</v>
      </c>
      <c r="H428" t="s">
        <v>2472</v>
      </c>
      <c r="I428" t="s">
        <v>2488</v>
      </c>
      <c r="J428" t="s">
        <v>2462</v>
      </c>
      <c r="K428" t="s">
        <v>2457</v>
      </c>
      <c r="L428" t="s">
        <v>36</v>
      </c>
    </row>
    <row r="429" spans="1:12" x14ac:dyDescent="0.3">
      <c r="A429" t="s">
        <v>2476</v>
      </c>
      <c r="B429" t="s">
        <v>2980</v>
      </c>
      <c r="C429" s="4">
        <v>45756</v>
      </c>
      <c r="D429">
        <v>72</v>
      </c>
      <c r="E429">
        <v>17275.38</v>
      </c>
      <c r="F429">
        <v>5092.92</v>
      </c>
      <c r="G429">
        <v>12182.46</v>
      </c>
      <c r="H429" t="s">
        <v>2466</v>
      </c>
      <c r="I429" t="s">
        <v>2480</v>
      </c>
      <c r="J429" t="s">
        <v>2468</v>
      </c>
      <c r="K429" t="s">
        <v>2463</v>
      </c>
      <c r="L429" t="s">
        <v>23</v>
      </c>
    </row>
    <row r="430" spans="1:12" x14ac:dyDescent="0.3">
      <c r="A430" t="s">
        <v>2715</v>
      </c>
      <c r="B430" t="s">
        <v>2981</v>
      </c>
      <c r="C430" s="4">
        <v>45909</v>
      </c>
      <c r="D430">
        <v>179</v>
      </c>
      <c r="E430">
        <v>10069.299999999999</v>
      </c>
      <c r="F430">
        <v>4315.88</v>
      </c>
      <c r="G430">
        <v>5753.42</v>
      </c>
      <c r="H430" t="s">
        <v>2460</v>
      </c>
      <c r="I430" t="s">
        <v>2485</v>
      </c>
      <c r="J430" t="s">
        <v>2468</v>
      </c>
      <c r="K430" t="s">
        <v>2457</v>
      </c>
      <c r="L430" t="s">
        <v>84</v>
      </c>
    </row>
    <row r="431" spans="1:12" x14ac:dyDescent="0.3">
      <c r="A431" t="s">
        <v>2566</v>
      </c>
      <c r="B431" t="s">
        <v>2982</v>
      </c>
      <c r="C431" s="4">
        <v>45844</v>
      </c>
      <c r="D431">
        <v>177</v>
      </c>
      <c r="E431">
        <v>6864.59</v>
      </c>
      <c r="F431">
        <v>2636.84</v>
      </c>
      <c r="G431">
        <v>4227.75</v>
      </c>
      <c r="H431" t="s">
        <v>2472</v>
      </c>
      <c r="I431" t="s">
        <v>2508</v>
      </c>
      <c r="J431" t="s">
        <v>2468</v>
      </c>
      <c r="K431" t="s">
        <v>2496</v>
      </c>
      <c r="L431" t="s">
        <v>36</v>
      </c>
    </row>
    <row r="432" spans="1:12" x14ac:dyDescent="0.3">
      <c r="A432" t="s">
        <v>2554</v>
      </c>
      <c r="B432" t="s">
        <v>2983</v>
      </c>
      <c r="C432" s="4">
        <v>45781</v>
      </c>
      <c r="D432">
        <v>91</v>
      </c>
      <c r="E432">
        <v>3967.15</v>
      </c>
      <c r="F432">
        <v>1148.55</v>
      </c>
      <c r="G432">
        <v>2818.6</v>
      </c>
      <c r="H432" t="s">
        <v>2466</v>
      </c>
      <c r="I432" t="s">
        <v>2485</v>
      </c>
      <c r="J432" t="s">
        <v>2456</v>
      </c>
      <c r="K432" t="s">
        <v>2457</v>
      </c>
      <c r="L432" t="s">
        <v>84</v>
      </c>
    </row>
    <row r="433" spans="1:12" x14ac:dyDescent="0.3">
      <c r="A433" t="s">
        <v>2702</v>
      </c>
      <c r="B433" t="s">
        <v>2984</v>
      </c>
      <c r="C433" s="4">
        <v>45729</v>
      </c>
      <c r="D433">
        <v>27</v>
      </c>
      <c r="E433">
        <v>1892.15</v>
      </c>
      <c r="F433">
        <v>407.72</v>
      </c>
      <c r="G433">
        <v>1484.43</v>
      </c>
      <c r="H433" t="s">
        <v>2454</v>
      </c>
      <c r="I433" t="s">
        <v>2517</v>
      </c>
      <c r="J433" t="s">
        <v>2456</v>
      </c>
      <c r="K433" t="s">
        <v>2463</v>
      </c>
      <c r="L433" t="s">
        <v>36</v>
      </c>
    </row>
    <row r="434" spans="1:12" x14ac:dyDescent="0.3">
      <c r="A434" t="s">
        <v>2527</v>
      </c>
      <c r="B434" t="s">
        <v>2985</v>
      </c>
      <c r="C434" s="4">
        <v>45910</v>
      </c>
      <c r="D434">
        <v>152</v>
      </c>
      <c r="E434">
        <v>1919.23</v>
      </c>
      <c r="F434">
        <v>438.52</v>
      </c>
      <c r="G434">
        <v>1480.71</v>
      </c>
      <c r="H434" t="s">
        <v>2454</v>
      </c>
      <c r="I434" t="s">
        <v>2455</v>
      </c>
      <c r="J434" t="s">
        <v>2468</v>
      </c>
      <c r="K434" t="s">
        <v>2457</v>
      </c>
      <c r="L434" t="s">
        <v>36</v>
      </c>
    </row>
    <row r="435" spans="1:12" x14ac:dyDescent="0.3">
      <c r="A435" t="s">
        <v>2715</v>
      </c>
      <c r="B435" t="s">
        <v>2986</v>
      </c>
      <c r="C435" s="4">
        <v>45991</v>
      </c>
      <c r="D435">
        <v>105</v>
      </c>
      <c r="E435">
        <v>17110.79</v>
      </c>
      <c r="F435">
        <v>3604.49</v>
      </c>
      <c r="G435">
        <v>13506.3</v>
      </c>
      <c r="H435" t="s">
        <v>2472</v>
      </c>
      <c r="I435" t="s">
        <v>2517</v>
      </c>
      <c r="J435" t="s">
        <v>2493</v>
      </c>
      <c r="K435" t="s">
        <v>2457</v>
      </c>
      <c r="L435" t="s">
        <v>36</v>
      </c>
    </row>
    <row r="436" spans="1:12" x14ac:dyDescent="0.3">
      <c r="A436" t="s">
        <v>2649</v>
      </c>
      <c r="B436" t="s">
        <v>2987</v>
      </c>
      <c r="C436" s="4">
        <v>45685</v>
      </c>
      <c r="D436">
        <v>105</v>
      </c>
      <c r="E436">
        <v>15600.38</v>
      </c>
      <c r="F436">
        <v>3305.5</v>
      </c>
      <c r="G436">
        <v>12294.88</v>
      </c>
      <c r="H436" t="s">
        <v>2466</v>
      </c>
      <c r="I436" t="s">
        <v>2480</v>
      </c>
      <c r="J436" t="s">
        <v>2456</v>
      </c>
      <c r="K436" t="s">
        <v>2496</v>
      </c>
      <c r="L436" t="s">
        <v>32</v>
      </c>
    </row>
    <row r="437" spans="1:12" x14ac:dyDescent="0.3">
      <c r="A437" t="s">
        <v>2473</v>
      </c>
      <c r="B437" t="s">
        <v>2988</v>
      </c>
      <c r="C437" s="4">
        <v>45989</v>
      </c>
      <c r="D437">
        <v>8</v>
      </c>
      <c r="E437">
        <v>11763.2</v>
      </c>
      <c r="F437">
        <v>4307.2700000000004</v>
      </c>
      <c r="G437">
        <v>7455.93</v>
      </c>
      <c r="H437" t="s">
        <v>2454</v>
      </c>
      <c r="I437" t="s">
        <v>2488</v>
      </c>
      <c r="J437" t="s">
        <v>2468</v>
      </c>
      <c r="K437" t="s">
        <v>2463</v>
      </c>
      <c r="L437" t="s">
        <v>32</v>
      </c>
    </row>
    <row r="438" spans="1:12" x14ac:dyDescent="0.3">
      <c r="A438" t="s">
        <v>2504</v>
      </c>
      <c r="B438" t="s">
        <v>2989</v>
      </c>
      <c r="C438" s="4">
        <v>46006</v>
      </c>
      <c r="D438">
        <v>121</v>
      </c>
      <c r="E438">
        <v>12772.99</v>
      </c>
      <c r="F438">
        <v>3845.43</v>
      </c>
      <c r="G438">
        <v>8927.56</v>
      </c>
      <c r="H438" t="s">
        <v>2460</v>
      </c>
      <c r="I438" t="s">
        <v>2488</v>
      </c>
      <c r="J438" t="s">
        <v>2462</v>
      </c>
      <c r="K438" t="s">
        <v>2463</v>
      </c>
      <c r="L438" t="s">
        <v>32</v>
      </c>
    </row>
    <row r="439" spans="1:12" x14ac:dyDescent="0.3">
      <c r="A439" t="s">
        <v>2527</v>
      </c>
      <c r="B439" t="s">
        <v>2990</v>
      </c>
      <c r="C439" s="4">
        <v>45975</v>
      </c>
      <c r="D439">
        <v>95</v>
      </c>
      <c r="E439">
        <v>12233.88</v>
      </c>
      <c r="F439">
        <v>4424.79</v>
      </c>
      <c r="G439">
        <v>7809.09</v>
      </c>
      <c r="H439" t="s">
        <v>2472</v>
      </c>
      <c r="I439" t="s">
        <v>2488</v>
      </c>
      <c r="J439" t="s">
        <v>2493</v>
      </c>
      <c r="K439" t="s">
        <v>2463</v>
      </c>
      <c r="L439" t="s">
        <v>23</v>
      </c>
    </row>
    <row r="440" spans="1:12" x14ac:dyDescent="0.3">
      <c r="A440" t="s">
        <v>2573</v>
      </c>
      <c r="B440" t="s">
        <v>2991</v>
      </c>
      <c r="C440" s="4">
        <v>45828</v>
      </c>
      <c r="D440">
        <v>139</v>
      </c>
      <c r="E440">
        <v>5915.65</v>
      </c>
      <c r="F440">
        <v>2410.39</v>
      </c>
      <c r="G440">
        <v>3505.26</v>
      </c>
      <c r="H440" t="s">
        <v>2466</v>
      </c>
      <c r="I440" t="s">
        <v>2517</v>
      </c>
      <c r="J440" t="s">
        <v>2493</v>
      </c>
      <c r="K440" t="s">
        <v>2463</v>
      </c>
      <c r="L440" t="s">
        <v>32</v>
      </c>
    </row>
    <row r="441" spans="1:12" x14ac:dyDescent="0.3">
      <c r="A441" t="s">
        <v>2642</v>
      </c>
      <c r="B441" t="s">
        <v>2992</v>
      </c>
      <c r="C441" s="4">
        <v>45801</v>
      </c>
      <c r="D441">
        <v>105</v>
      </c>
      <c r="E441">
        <v>3974.65</v>
      </c>
      <c r="F441">
        <v>691.67</v>
      </c>
      <c r="G441">
        <v>3282.98</v>
      </c>
      <c r="H441" t="s">
        <v>2475</v>
      </c>
      <c r="I441" t="s">
        <v>2455</v>
      </c>
      <c r="J441" t="s">
        <v>2468</v>
      </c>
      <c r="K441" t="s">
        <v>2463</v>
      </c>
      <c r="L441" t="s">
        <v>36</v>
      </c>
    </row>
    <row r="442" spans="1:12" x14ac:dyDescent="0.3">
      <c r="A442" t="s">
        <v>2564</v>
      </c>
      <c r="B442" t="s">
        <v>2993</v>
      </c>
      <c r="C442" s="4">
        <v>45897</v>
      </c>
      <c r="D442">
        <v>86</v>
      </c>
      <c r="E442">
        <v>6820.12</v>
      </c>
      <c r="F442">
        <v>3200.7</v>
      </c>
      <c r="G442">
        <v>3619.42</v>
      </c>
      <c r="H442" t="s">
        <v>2460</v>
      </c>
      <c r="I442" t="s">
        <v>2480</v>
      </c>
      <c r="J442" t="s">
        <v>2493</v>
      </c>
      <c r="K442" t="s">
        <v>2496</v>
      </c>
      <c r="L442" t="s">
        <v>32</v>
      </c>
    </row>
    <row r="443" spans="1:12" x14ac:dyDescent="0.3">
      <c r="A443" t="s">
        <v>2726</v>
      </c>
      <c r="B443" t="s">
        <v>2994</v>
      </c>
      <c r="C443" s="4">
        <v>45916</v>
      </c>
      <c r="D443">
        <v>11</v>
      </c>
      <c r="E443">
        <v>16608.7</v>
      </c>
      <c r="F443">
        <v>4115.78</v>
      </c>
      <c r="G443">
        <v>12492.92</v>
      </c>
      <c r="H443" t="s">
        <v>2460</v>
      </c>
      <c r="I443" t="s">
        <v>2455</v>
      </c>
      <c r="J443" t="s">
        <v>2462</v>
      </c>
      <c r="K443" t="s">
        <v>2457</v>
      </c>
      <c r="L443" t="s">
        <v>84</v>
      </c>
    </row>
    <row r="444" spans="1:12" x14ac:dyDescent="0.3">
      <c r="A444" t="s">
        <v>2880</v>
      </c>
      <c r="B444" t="s">
        <v>2995</v>
      </c>
      <c r="C444" s="4">
        <v>45878</v>
      </c>
      <c r="D444">
        <v>191</v>
      </c>
      <c r="E444">
        <v>1022.53</v>
      </c>
      <c r="F444">
        <v>227.54</v>
      </c>
      <c r="G444">
        <v>794.99</v>
      </c>
      <c r="H444" t="s">
        <v>2472</v>
      </c>
      <c r="I444" t="s">
        <v>2467</v>
      </c>
      <c r="J444" t="s">
        <v>2462</v>
      </c>
      <c r="K444" t="s">
        <v>2463</v>
      </c>
      <c r="L444" t="s">
        <v>32</v>
      </c>
    </row>
    <row r="445" spans="1:12" x14ac:dyDescent="0.3">
      <c r="A445" t="s">
        <v>2733</v>
      </c>
      <c r="B445" t="s">
        <v>2996</v>
      </c>
      <c r="C445" s="4">
        <v>45969</v>
      </c>
      <c r="D445">
        <v>134</v>
      </c>
      <c r="E445">
        <v>17710.25</v>
      </c>
      <c r="F445">
        <v>6295.48</v>
      </c>
      <c r="G445">
        <v>11414.77</v>
      </c>
      <c r="H445" t="s">
        <v>2454</v>
      </c>
      <c r="I445" t="s">
        <v>2488</v>
      </c>
      <c r="J445" t="s">
        <v>2456</v>
      </c>
      <c r="K445" t="s">
        <v>2457</v>
      </c>
      <c r="L445" t="s">
        <v>23</v>
      </c>
    </row>
    <row r="446" spans="1:12" x14ac:dyDescent="0.3">
      <c r="A446" t="s">
        <v>2530</v>
      </c>
      <c r="B446" t="s">
        <v>2997</v>
      </c>
      <c r="C446" s="4">
        <v>45890</v>
      </c>
      <c r="D446">
        <v>83</v>
      </c>
      <c r="E446">
        <v>18812.150000000001</v>
      </c>
      <c r="F446">
        <v>7804.38</v>
      </c>
      <c r="G446">
        <v>11007.77</v>
      </c>
      <c r="H446" t="s">
        <v>2475</v>
      </c>
      <c r="I446" t="s">
        <v>2455</v>
      </c>
      <c r="J446" t="s">
        <v>2493</v>
      </c>
      <c r="K446" t="s">
        <v>2469</v>
      </c>
      <c r="L446" t="s">
        <v>12</v>
      </c>
    </row>
    <row r="447" spans="1:12" x14ac:dyDescent="0.3">
      <c r="A447" t="s">
        <v>2709</v>
      </c>
      <c r="B447" t="s">
        <v>2998</v>
      </c>
      <c r="C447" s="4">
        <v>45696</v>
      </c>
      <c r="D447">
        <v>111</v>
      </c>
      <c r="E447">
        <v>10230.61</v>
      </c>
      <c r="F447">
        <v>4364.7700000000004</v>
      </c>
      <c r="G447">
        <v>5865.84</v>
      </c>
      <c r="H447" t="s">
        <v>2466</v>
      </c>
      <c r="I447" t="s">
        <v>2488</v>
      </c>
      <c r="J447" t="s">
        <v>2462</v>
      </c>
      <c r="K447" t="s">
        <v>2457</v>
      </c>
      <c r="L447" t="s">
        <v>32</v>
      </c>
    </row>
    <row r="448" spans="1:12" x14ac:dyDescent="0.3">
      <c r="A448" t="s">
        <v>2638</v>
      </c>
      <c r="B448" t="s">
        <v>2999</v>
      </c>
      <c r="C448" s="4">
        <v>45745</v>
      </c>
      <c r="D448">
        <v>54</v>
      </c>
      <c r="E448">
        <v>19680.009999999998</v>
      </c>
      <c r="F448">
        <v>3295.29</v>
      </c>
      <c r="G448">
        <v>16384.72</v>
      </c>
      <c r="H448" t="s">
        <v>2460</v>
      </c>
      <c r="I448" t="s">
        <v>2480</v>
      </c>
      <c r="J448" t="s">
        <v>2456</v>
      </c>
      <c r="K448" t="s">
        <v>2496</v>
      </c>
      <c r="L448" t="s">
        <v>23</v>
      </c>
    </row>
    <row r="449" spans="1:12" x14ac:dyDescent="0.3">
      <c r="A449" t="s">
        <v>2491</v>
      </c>
      <c r="B449" t="s">
        <v>3000</v>
      </c>
      <c r="C449" s="4">
        <v>45715</v>
      </c>
      <c r="D449">
        <v>136</v>
      </c>
      <c r="E449">
        <v>19704.419999999998</v>
      </c>
      <c r="F449">
        <v>3702.51</v>
      </c>
      <c r="G449">
        <v>16001.91</v>
      </c>
      <c r="H449" t="s">
        <v>2460</v>
      </c>
      <c r="I449" t="s">
        <v>2508</v>
      </c>
      <c r="J449" t="s">
        <v>2468</v>
      </c>
      <c r="K449" t="s">
        <v>2457</v>
      </c>
      <c r="L449" t="s">
        <v>23</v>
      </c>
    </row>
    <row r="450" spans="1:12" x14ac:dyDescent="0.3">
      <c r="A450" t="s">
        <v>2518</v>
      </c>
      <c r="B450" t="s">
        <v>3001</v>
      </c>
      <c r="C450" s="4">
        <v>45743</v>
      </c>
      <c r="D450">
        <v>12</v>
      </c>
      <c r="E450">
        <v>4318.0200000000004</v>
      </c>
      <c r="F450">
        <v>1044.73</v>
      </c>
      <c r="G450">
        <v>3273.29</v>
      </c>
      <c r="H450" t="s">
        <v>2466</v>
      </c>
      <c r="I450" t="s">
        <v>2488</v>
      </c>
      <c r="J450" t="s">
        <v>2456</v>
      </c>
      <c r="K450" t="s">
        <v>2463</v>
      </c>
      <c r="L450" t="s">
        <v>32</v>
      </c>
    </row>
    <row r="451" spans="1:12" x14ac:dyDescent="0.3">
      <c r="A451" t="s">
        <v>2464</v>
      </c>
      <c r="B451" t="s">
        <v>3002</v>
      </c>
      <c r="C451" s="4">
        <v>45842</v>
      </c>
      <c r="D451">
        <v>178</v>
      </c>
      <c r="E451">
        <v>459.28</v>
      </c>
      <c r="F451">
        <v>78.58</v>
      </c>
      <c r="G451">
        <v>380.7</v>
      </c>
      <c r="H451" t="s">
        <v>2466</v>
      </c>
      <c r="I451" t="s">
        <v>2485</v>
      </c>
      <c r="J451" t="s">
        <v>2456</v>
      </c>
      <c r="K451" t="s">
        <v>2469</v>
      </c>
      <c r="L451" t="s">
        <v>32</v>
      </c>
    </row>
    <row r="452" spans="1:12" x14ac:dyDescent="0.3">
      <c r="A452" t="s">
        <v>2854</v>
      </c>
      <c r="B452" t="s">
        <v>3003</v>
      </c>
      <c r="C452" s="4">
        <v>45739</v>
      </c>
      <c r="D452">
        <v>183</v>
      </c>
      <c r="E452">
        <v>19907.73</v>
      </c>
      <c r="F452">
        <v>2055.3200000000002</v>
      </c>
      <c r="G452">
        <v>17852.41</v>
      </c>
      <c r="H452" t="s">
        <v>2466</v>
      </c>
      <c r="I452" t="s">
        <v>2467</v>
      </c>
      <c r="J452" t="s">
        <v>2462</v>
      </c>
      <c r="K452" t="s">
        <v>2457</v>
      </c>
      <c r="L452" t="s">
        <v>36</v>
      </c>
    </row>
    <row r="453" spans="1:12" x14ac:dyDescent="0.3">
      <c r="A453" t="s">
        <v>2511</v>
      </c>
      <c r="B453" t="s">
        <v>3004</v>
      </c>
      <c r="C453" s="4">
        <v>45727</v>
      </c>
      <c r="D453">
        <v>169</v>
      </c>
      <c r="E453">
        <v>5998.59</v>
      </c>
      <c r="F453">
        <v>1673.13</v>
      </c>
      <c r="G453">
        <v>4325.46</v>
      </c>
      <c r="H453" t="s">
        <v>2466</v>
      </c>
      <c r="I453" t="s">
        <v>2517</v>
      </c>
      <c r="J453" t="s">
        <v>2456</v>
      </c>
      <c r="K453" t="s">
        <v>2469</v>
      </c>
      <c r="L453" t="s">
        <v>23</v>
      </c>
    </row>
    <row r="454" spans="1:12" x14ac:dyDescent="0.3">
      <c r="A454" t="s">
        <v>2458</v>
      </c>
      <c r="B454" t="s">
        <v>3005</v>
      </c>
      <c r="C454" s="4">
        <v>45937</v>
      </c>
      <c r="D454">
        <v>99</v>
      </c>
      <c r="E454">
        <v>12771.86</v>
      </c>
      <c r="F454">
        <v>3480.27</v>
      </c>
      <c r="G454">
        <v>9291.59</v>
      </c>
      <c r="H454" t="s">
        <v>2475</v>
      </c>
      <c r="I454" t="s">
        <v>2485</v>
      </c>
      <c r="J454" t="s">
        <v>2456</v>
      </c>
      <c r="K454" t="s">
        <v>2469</v>
      </c>
      <c r="L454" t="s">
        <v>12</v>
      </c>
    </row>
    <row r="455" spans="1:12" x14ac:dyDescent="0.3">
      <c r="A455" t="s">
        <v>2561</v>
      </c>
      <c r="B455" t="s">
        <v>3006</v>
      </c>
      <c r="C455" s="4">
        <v>45795</v>
      </c>
      <c r="D455">
        <v>159</v>
      </c>
      <c r="E455">
        <v>15866.74</v>
      </c>
      <c r="F455">
        <v>2495.3000000000002</v>
      </c>
      <c r="G455">
        <v>13371.44</v>
      </c>
      <c r="H455" t="s">
        <v>2475</v>
      </c>
      <c r="I455" t="s">
        <v>2455</v>
      </c>
      <c r="J455" t="s">
        <v>2456</v>
      </c>
      <c r="K455" t="s">
        <v>2496</v>
      </c>
      <c r="L455" t="s">
        <v>84</v>
      </c>
    </row>
    <row r="456" spans="1:12" x14ac:dyDescent="0.3">
      <c r="A456" t="s">
        <v>2502</v>
      </c>
      <c r="B456" t="s">
        <v>3007</v>
      </c>
      <c r="C456" s="4">
        <v>45680</v>
      </c>
      <c r="D456">
        <v>37</v>
      </c>
      <c r="E456">
        <v>15547.75</v>
      </c>
      <c r="F456">
        <v>5100.4399999999996</v>
      </c>
      <c r="G456">
        <v>10447.31</v>
      </c>
      <c r="H456" t="s">
        <v>2466</v>
      </c>
      <c r="I456" t="s">
        <v>2480</v>
      </c>
      <c r="J456" t="s">
        <v>2462</v>
      </c>
      <c r="K456" t="s">
        <v>2463</v>
      </c>
      <c r="L456" t="s">
        <v>12</v>
      </c>
    </row>
    <row r="457" spans="1:12" x14ac:dyDescent="0.3">
      <c r="A457" t="s">
        <v>2499</v>
      </c>
      <c r="B457" t="s">
        <v>3008</v>
      </c>
      <c r="C457" s="4">
        <v>45750</v>
      </c>
      <c r="D457">
        <v>102</v>
      </c>
      <c r="E457">
        <v>12840.77</v>
      </c>
      <c r="F457">
        <v>4072.16</v>
      </c>
      <c r="G457">
        <v>8768.61</v>
      </c>
      <c r="H457" t="s">
        <v>2454</v>
      </c>
      <c r="I457" t="s">
        <v>2480</v>
      </c>
      <c r="J457" t="s">
        <v>2462</v>
      </c>
      <c r="K457" t="s">
        <v>2496</v>
      </c>
      <c r="L457" t="s">
        <v>23</v>
      </c>
    </row>
    <row r="458" spans="1:12" x14ac:dyDescent="0.3">
      <c r="A458" t="s">
        <v>2502</v>
      </c>
      <c r="B458" t="s">
        <v>3009</v>
      </c>
      <c r="C458" s="4">
        <v>46008</v>
      </c>
      <c r="D458">
        <v>186</v>
      </c>
      <c r="E458">
        <v>4639.3999999999996</v>
      </c>
      <c r="F458">
        <v>1193.75</v>
      </c>
      <c r="G458">
        <v>3445.65</v>
      </c>
      <c r="H458" t="s">
        <v>2460</v>
      </c>
      <c r="I458" t="s">
        <v>2485</v>
      </c>
      <c r="J458" t="s">
        <v>2468</v>
      </c>
      <c r="K458" t="s">
        <v>2496</v>
      </c>
      <c r="L458" t="s">
        <v>36</v>
      </c>
    </row>
    <row r="459" spans="1:12" x14ac:dyDescent="0.3">
      <c r="A459" t="s">
        <v>2673</v>
      </c>
      <c r="B459" t="s">
        <v>3010</v>
      </c>
      <c r="C459" s="4">
        <v>45895</v>
      </c>
      <c r="D459">
        <v>73</v>
      </c>
      <c r="E459">
        <v>16577.47</v>
      </c>
      <c r="F459">
        <v>2339.08</v>
      </c>
      <c r="G459">
        <v>14238.39</v>
      </c>
      <c r="H459" t="s">
        <v>2454</v>
      </c>
      <c r="I459" t="s">
        <v>2488</v>
      </c>
      <c r="J459" t="s">
        <v>2468</v>
      </c>
      <c r="K459" t="s">
        <v>2457</v>
      </c>
      <c r="L459" t="s">
        <v>12</v>
      </c>
    </row>
    <row r="460" spans="1:12" x14ac:dyDescent="0.3">
      <c r="A460" t="s">
        <v>2709</v>
      </c>
      <c r="B460" t="s">
        <v>3011</v>
      </c>
      <c r="C460" s="4">
        <v>45935</v>
      </c>
      <c r="D460">
        <v>38</v>
      </c>
      <c r="E460">
        <v>8184</v>
      </c>
      <c r="F460">
        <v>1593.9</v>
      </c>
      <c r="G460">
        <v>6590.1</v>
      </c>
      <c r="H460" t="s">
        <v>2466</v>
      </c>
      <c r="I460" t="s">
        <v>2467</v>
      </c>
      <c r="J460" t="s">
        <v>2462</v>
      </c>
      <c r="K460" t="s">
        <v>2469</v>
      </c>
      <c r="L460" t="s">
        <v>36</v>
      </c>
    </row>
    <row r="461" spans="1:12" x14ac:dyDescent="0.3">
      <c r="A461" t="s">
        <v>2591</v>
      </c>
      <c r="B461" t="s">
        <v>3012</v>
      </c>
      <c r="C461" s="4">
        <v>45894</v>
      </c>
      <c r="D461">
        <v>97</v>
      </c>
      <c r="E461">
        <v>6959.88</v>
      </c>
      <c r="F461">
        <v>1725.07</v>
      </c>
      <c r="G461">
        <v>5234.8100000000004</v>
      </c>
      <c r="H461" t="s">
        <v>2475</v>
      </c>
      <c r="I461" t="s">
        <v>2480</v>
      </c>
      <c r="J461" t="s">
        <v>2462</v>
      </c>
      <c r="K461" t="s">
        <v>2457</v>
      </c>
      <c r="L461" t="s">
        <v>36</v>
      </c>
    </row>
    <row r="462" spans="1:12" x14ac:dyDescent="0.3">
      <c r="A462" t="s">
        <v>2541</v>
      </c>
      <c r="B462" t="s">
        <v>3013</v>
      </c>
      <c r="C462" s="4">
        <v>45948</v>
      </c>
      <c r="D462">
        <v>49</v>
      </c>
      <c r="E462">
        <v>16163.93</v>
      </c>
      <c r="F462">
        <v>6053.75</v>
      </c>
      <c r="G462">
        <v>10110.18</v>
      </c>
      <c r="H462" t="s">
        <v>2460</v>
      </c>
      <c r="I462" t="s">
        <v>2488</v>
      </c>
      <c r="J462" t="s">
        <v>2493</v>
      </c>
      <c r="K462" t="s">
        <v>2496</v>
      </c>
      <c r="L462" t="s">
        <v>84</v>
      </c>
    </row>
    <row r="463" spans="1:12" x14ac:dyDescent="0.3">
      <c r="A463" t="s">
        <v>2476</v>
      </c>
      <c r="B463" t="s">
        <v>3014</v>
      </c>
      <c r="C463" s="4">
        <v>46001</v>
      </c>
      <c r="D463">
        <v>39</v>
      </c>
      <c r="E463">
        <v>4887.96</v>
      </c>
      <c r="F463">
        <v>887.1</v>
      </c>
      <c r="G463">
        <v>4000.86</v>
      </c>
      <c r="H463" t="s">
        <v>2460</v>
      </c>
      <c r="I463" t="s">
        <v>2508</v>
      </c>
      <c r="J463" t="s">
        <v>2456</v>
      </c>
      <c r="K463" t="s">
        <v>2463</v>
      </c>
      <c r="L463" t="s">
        <v>36</v>
      </c>
    </row>
    <row r="464" spans="1:12" x14ac:dyDescent="0.3">
      <c r="A464" t="s">
        <v>2530</v>
      </c>
      <c r="B464" t="s">
        <v>3015</v>
      </c>
      <c r="C464" s="4">
        <v>45843</v>
      </c>
      <c r="D464">
        <v>58</v>
      </c>
      <c r="E464">
        <v>119.47</v>
      </c>
      <c r="F464">
        <v>27.83</v>
      </c>
      <c r="G464">
        <v>91.64</v>
      </c>
      <c r="H464" t="s">
        <v>2466</v>
      </c>
      <c r="I464" t="s">
        <v>2461</v>
      </c>
      <c r="J464" t="s">
        <v>2462</v>
      </c>
      <c r="K464" t="s">
        <v>2457</v>
      </c>
      <c r="L464" t="s">
        <v>36</v>
      </c>
    </row>
    <row r="465" spans="1:12" x14ac:dyDescent="0.3">
      <c r="A465" t="s">
        <v>2532</v>
      </c>
      <c r="B465" t="s">
        <v>3016</v>
      </c>
      <c r="C465" s="4">
        <v>45887</v>
      </c>
      <c r="D465">
        <v>196</v>
      </c>
      <c r="E465">
        <v>7805.03</v>
      </c>
      <c r="F465">
        <v>3271.69</v>
      </c>
      <c r="G465">
        <v>4533.34</v>
      </c>
      <c r="H465" t="s">
        <v>2472</v>
      </c>
      <c r="I465" t="s">
        <v>2455</v>
      </c>
      <c r="J465" t="s">
        <v>2493</v>
      </c>
      <c r="K465" t="s">
        <v>2463</v>
      </c>
      <c r="L465" t="s">
        <v>12</v>
      </c>
    </row>
    <row r="466" spans="1:12" x14ac:dyDescent="0.3">
      <c r="A466" t="s">
        <v>2748</v>
      </c>
      <c r="B466" t="s">
        <v>3017</v>
      </c>
      <c r="C466" s="4">
        <v>45768</v>
      </c>
      <c r="D466">
        <v>136</v>
      </c>
      <c r="E466">
        <v>1214.1300000000001</v>
      </c>
      <c r="F466">
        <v>292.22000000000003</v>
      </c>
      <c r="G466">
        <v>921.91</v>
      </c>
      <c r="H466" t="s">
        <v>2472</v>
      </c>
      <c r="I466" t="s">
        <v>2508</v>
      </c>
      <c r="J466" t="s">
        <v>2456</v>
      </c>
      <c r="K466" t="s">
        <v>2469</v>
      </c>
      <c r="L466" t="s">
        <v>23</v>
      </c>
    </row>
    <row r="467" spans="1:12" x14ac:dyDescent="0.3">
      <c r="A467" t="s">
        <v>2655</v>
      </c>
      <c r="B467" t="s">
        <v>3018</v>
      </c>
      <c r="C467" s="4">
        <v>45968</v>
      </c>
      <c r="D467">
        <v>199</v>
      </c>
      <c r="E467">
        <v>3626.07</v>
      </c>
      <c r="F467">
        <v>899.94</v>
      </c>
      <c r="G467">
        <v>2726.13</v>
      </c>
      <c r="H467" t="s">
        <v>2475</v>
      </c>
      <c r="I467" t="s">
        <v>2517</v>
      </c>
      <c r="J467" t="s">
        <v>2462</v>
      </c>
      <c r="K467" t="s">
        <v>2496</v>
      </c>
      <c r="L467" t="s">
        <v>84</v>
      </c>
    </row>
    <row r="468" spans="1:12" x14ac:dyDescent="0.3">
      <c r="A468" t="s">
        <v>2570</v>
      </c>
      <c r="B468" t="s">
        <v>3019</v>
      </c>
      <c r="C468" s="4">
        <v>45743</v>
      </c>
      <c r="D468">
        <v>164</v>
      </c>
      <c r="E468">
        <v>5668.02</v>
      </c>
      <c r="F468">
        <v>2795.88</v>
      </c>
      <c r="G468">
        <v>2872.14</v>
      </c>
      <c r="H468" t="s">
        <v>2454</v>
      </c>
      <c r="I468" t="s">
        <v>2517</v>
      </c>
      <c r="J468" t="s">
        <v>2462</v>
      </c>
      <c r="K468" t="s">
        <v>2469</v>
      </c>
      <c r="L468" t="s">
        <v>23</v>
      </c>
    </row>
    <row r="469" spans="1:12" x14ac:dyDescent="0.3">
      <c r="A469" t="s">
        <v>2638</v>
      </c>
      <c r="B469" t="s">
        <v>3020</v>
      </c>
      <c r="C469" s="4">
        <v>45966</v>
      </c>
      <c r="D469">
        <v>183</v>
      </c>
      <c r="E469">
        <v>18864.330000000002</v>
      </c>
      <c r="F469">
        <v>2750.91</v>
      </c>
      <c r="G469">
        <v>16113.42</v>
      </c>
      <c r="H469" t="s">
        <v>2454</v>
      </c>
      <c r="I469" t="s">
        <v>2461</v>
      </c>
      <c r="J469" t="s">
        <v>2468</v>
      </c>
      <c r="K469" t="s">
        <v>2496</v>
      </c>
      <c r="L469" t="s">
        <v>84</v>
      </c>
    </row>
    <row r="470" spans="1:12" x14ac:dyDescent="0.3">
      <c r="A470" t="s">
        <v>2709</v>
      </c>
      <c r="B470" t="s">
        <v>3021</v>
      </c>
      <c r="C470" s="4">
        <v>45694</v>
      </c>
      <c r="D470">
        <v>24</v>
      </c>
      <c r="E470">
        <v>14942.67</v>
      </c>
      <c r="F470">
        <v>4530.0600000000004</v>
      </c>
      <c r="G470">
        <v>10412.61</v>
      </c>
      <c r="H470" t="s">
        <v>2454</v>
      </c>
      <c r="I470" t="s">
        <v>2461</v>
      </c>
      <c r="J470" t="s">
        <v>2456</v>
      </c>
      <c r="K470" t="s">
        <v>2496</v>
      </c>
      <c r="L470" t="s">
        <v>12</v>
      </c>
    </row>
    <row r="471" spans="1:12" x14ac:dyDescent="0.3">
      <c r="A471" t="s">
        <v>2812</v>
      </c>
      <c r="B471" t="s">
        <v>3022</v>
      </c>
      <c r="C471" s="4">
        <v>46022</v>
      </c>
      <c r="D471">
        <v>200</v>
      </c>
      <c r="E471">
        <v>5344.56</v>
      </c>
      <c r="F471">
        <v>1822.97</v>
      </c>
      <c r="G471">
        <v>3521.59</v>
      </c>
      <c r="H471" t="s">
        <v>2466</v>
      </c>
      <c r="I471" t="s">
        <v>2508</v>
      </c>
      <c r="J471" t="s">
        <v>2456</v>
      </c>
      <c r="K471" t="s">
        <v>2496</v>
      </c>
      <c r="L471" t="s">
        <v>12</v>
      </c>
    </row>
    <row r="472" spans="1:12" x14ac:dyDescent="0.3">
      <c r="A472" t="s">
        <v>2554</v>
      </c>
      <c r="B472" t="s">
        <v>3023</v>
      </c>
      <c r="C472" s="4">
        <v>45756</v>
      </c>
      <c r="D472">
        <v>60</v>
      </c>
      <c r="E472">
        <v>1874.82</v>
      </c>
      <c r="F472">
        <v>837.92</v>
      </c>
      <c r="G472">
        <v>1036.9000000000001</v>
      </c>
      <c r="H472" t="s">
        <v>2460</v>
      </c>
      <c r="I472" t="s">
        <v>2485</v>
      </c>
      <c r="J472" t="s">
        <v>2468</v>
      </c>
      <c r="K472" t="s">
        <v>2496</v>
      </c>
      <c r="L472" t="s">
        <v>12</v>
      </c>
    </row>
    <row r="473" spans="1:12" x14ac:dyDescent="0.3">
      <c r="A473" t="s">
        <v>2581</v>
      </c>
      <c r="B473" t="s">
        <v>3024</v>
      </c>
      <c r="C473" s="4">
        <v>46003</v>
      </c>
      <c r="D473">
        <v>120</v>
      </c>
      <c r="E473">
        <v>10939.24</v>
      </c>
      <c r="F473">
        <v>5123.28</v>
      </c>
      <c r="G473">
        <v>5815.96</v>
      </c>
      <c r="H473" t="s">
        <v>2472</v>
      </c>
      <c r="I473" t="s">
        <v>2455</v>
      </c>
      <c r="J473" t="s">
        <v>2468</v>
      </c>
      <c r="K473" t="s">
        <v>2463</v>
      </c>
      <c r="L473" t="s">
        <v>32</v>
      </c>
    </row>
    <row r="474" spans="1:12" x14ac:dyDescent="0.3">
      <c r="A474" t="s">
        <v>2541</v>
      </c>
      <c r="B474" t="s">
        <v>3025</v>
      </c>
      <c r="C474" s="4">
        <v>45942</v>
      </c>
      <c r="D474">
        <v>98</v>
      </c>
      <c r="E474">
        <v>2341.14</v>
      </c>
      <c r="F474">
        <v>467.91</v>
      </c>
      <c r="G474">
        <v>1873.23</v>
      </c>
      <c r="H474" t="s">
        <v>2475</v>
      </c>
      <c r="I474" t="s">
        <v>2485</v>
      </c>
      <c r="J474" t="s">
        <v>2468</v>
      </c>
      <c r="K474" t="s">
        <v>2457</v>
      </c>
      <c r="L474" t="s">
        <v>23</v>
      </c>
    </row>
    <row r="475" spans="1:12" x14ac:dyDescent="0.3">
      <c r="A475" t="s">
        <v>2751</v>
      </c>
      <c r="B475" t="s">
        <v>3026</v>
      </c>
      <c r="C475" s="4">
        <v>45985</v>
      </c>
      <c r="D475">
        <v>32</v>
      </c>
      <c r="E475">
        <v>3888.71</v>
      </c>
      <c r="F475">
        <v>1248.29</v>
      </c>
      <c r="G475">
        <v>2640.42</v>
      </c>
      <c r="H475" t="s">
        <v>2466</v>
      </c>
      <c r="I475" t="s">
        <v>2508</v>
      </c>
      <c r="J475" t="s">
        <v>2493</v>
      </c>
      <c r="K475" t="s">
        <v>2469</v>
      </c>
      <c r="L475" t="s">
        <v>12</v>
      </c>
    </row>
    <row r="476" spans="1:12" x14ac:dyDescent="0.3">
      <c r="A476" t="s">
        <v>2566</v>
      </c>
      <c r="B476" t="s">
        <v>3027</v>
      </c>
      <c r="C476" s="4">
        <v>45989</v>
      </c>
      <c r="D476">
        <v>44</v>
      </c>
      <c r="E476">
        <v>17304.7</v>
      </c>
      <c r="F476">
        <v>6416.43</v>
      </c>
      <c r="G476">
        <v>10888.27</v>
      </c>
      <c r="H476" t="s">
        <v>2475</v>
      </c>
      <c r="I476" t="s">
        <v>2461</v>
      </c>
      <c r="J476" t="s">
        <v>2493</v>
      </c>
      <c r="K476" t="s">
        <v>2463</v>
      </c>
      <c r="L476" t="s">
        <v>36</v>
      </c>
    </row>
    <row r="477" spans="1:12" x14ac:dyDescent="0.3">
      <c r="A477" t="s">
        <v>2591</v>
      </c>
      <c r="B477" t="s">
        <v>3028</v>
      </c>
      <c r="C477" s="4">
        <v>45708</v>
      </c>
      <c r="D477">
        <v>73</v>
      </c>
      <c r="E477">
        <v>19899.080000000002</v>
      </c>
      <c r="F477">
        <v>8067.03</v>
      </c>
      <c r="G477">
        <v>11832.05</v>
      </c>
      <c r="H477" t="s">
        <v>2475</v>
      </c>
      <c r="I477" t="s">
        <v>2508</v>
      </c>
      <c r="J477" t="s">
        <v>2456</v>
      </c>
      <c r="K477" t="s">
        <v>2457</v>
      </c>
      <c r="L477" t="s">
        <v>32</v>
      </c>
    </row>
    <row r="478" spans="1:12" x14ac:dyDescent="0.3">
      <c r="A478" t="s">
        <v>2534</v>
      </c>
      <c r="B478" t="s">
        <v>3029</v>
      </c>
      <c r="C478" s="4">
        <v>45746</v>
      </c>
      <c r="D478">
        <v>119</v>
      </c>
      <c r="E478">
        <v>14844.24</v>
      </c>
      <c r="F478">
        <v>4455.3</v>
      </c>
      <c r="G478">
        <v>10388.94</v>
      </c>
      <c r="H478" t="s">
        <v>2466</v>
      </c>
      <c r="I478" t="s">
        <v>2467</v>
      </c>
      <c r="J478" t="s">
        <v>2468</v>
      </c>
      <c r="K478" t="s">
        <v>2463</v>
      </c>
      <c r="L478" t="s">
        <v>84</v>
      </c>
    </row>
    <row r="479" spans="1:12" x14ac:dyDescent="0.3">
      <c r="A479" t="s">
        <v>2741</v>
      </c>
      <c r="B479" t="s">
        <v>3030</v>
      </c>
      <c r="C479" s="4">
        <v>45872</v>
      </c>
      <c r="D479">
        <v>24</v>
      </c>
      <c r="E479">
        <v>17575.810000000001</v>
      </c>
      <c r="F479">
        <v>2500.92</v>
      </c>
      <c r="G479">
        <v>15074.89</v>
      </c>
      <c r="H479" t="s">
        <v>2466</v>
      </c>
      <c r="I479" t="s">
        <v>2467</v>
      </c>
      <c r="J479" t="s">
        <v>2456</v>
      </c>
      <c r="K479" t="s">
        <v>2496</v>
      </c>
      <c r="L479" t="s">
        <v>84</v>
      </c>
    </row>
    <row r="480" spans="1:12" x14ac:dyDescent="0.3">
      <c r="A480" t="s">
        <v>2476</v>
      </c>
      <c r="B480" t="s">
        <v>3031</v>
      </c>
      <c r="C480" s="4">
        <v>45763</v>
      </c>
      <c r="D480">
        <v>147</v>
      </c>
      <c r="E480">
        <v>10967.89</v>
      </c>
      <c r="F480">
        <v>2261.37</v>
      </c>
      <c r="G480">
        <v>8706.52</v>
      </c>
      <c r="H480" t="s">
        <v>2454</v>
      </c>
      <c r="I480" t="s">
        <v>2517</v>
      </c>
      <c r="J480" t="s">
        <v>2468</v>
      </c>
      <c r="K480" t="s">
        <v>2457</v>
      </c>
      <c r="L480" t="s">
        <v>84</v>
      </c>
    </row>
    <row r="481" spans="1:12" x14ac:dyDescent="0.3">
      <c r="A481" t="s">
        <v>2554</v>
      </c>
      <c r="B481" t="s">
        <v>3032</v>
      </c>
      <c r="C481" s="4">
        <v>45855</v>
      </c>
      <c r="D481">
        <v>132</v>
      </c>
      <c r="E481">
        <v>3626.61</v>
      </c>
      <c r="F481">
        <v>824.65</v>
      </c>
      <c r="G481">
        <v>2801.96</v>
      </c>
      <c r="H481" t="s">
        <v>2460</v>
      </c>
      <c r="I481" t="s">
        <v>2461</v>
      </c>
      <c r="J481" t="s">
        <v>2456</v>
      </c>
      <c r="K481" t="s">
        <v>2469</v>
      </c>
      <c r="L481" t="s">
        <v>12</v>
      </c>
    </row>
    <row r="482" spans="1:12" x14ac:dyDescent="0.3">
      <c r="A482" t="s">
        <v>2564</v>
      </c>
      <c r="B482" t="s">
        <v>3033</v>
      </c>
      <c r="C482" s="4">
        <v>45687</v>
      </c>
      <c r="D482">
        <v>6</v>
      </c>
      <c r="E482">
        <v>9907.24</v>
      </c>
      <c r="F482">
        <v>2168.42</v>
      </c>
      <c r="G482">
        <v>7738.82</v>
      </c>
      <c r="H482" t="s">
        <v>2466</v>
      </c>
      <c r="I482" t="s">
        <v>2461</v>
      </c>
      <c r="J482" t="s">
        <v>2462</v>
      </c>
      <c r="K482" t="s">
        <v>2463</v>
      </c>
      <c r="L482" t="s">
        <v>23</v>
      </c>
    </row>
    <row r="483" spans="1:12" x14ac:dyDescent="0.3">
      <c r="A483" t="s">
        <v>2523</v>
      </c>
      <c r="B483" t="s">
        <v>3034</v>
      </c>
      <c r="C483" s="4">
        <v>45908</v>
      </c>
      <c r="D483">
        <v>16</v>
      </c>
      <c r="E483">
        <v>8112.92</v>
      </c>
      <c r="F483">
        <v>1011.86</v>
      </c>
      <c r="G483">
        <v>7101.06</v>
      </c>
      <c r="H483" t="s">
        <v>2475</v>
      </c>
      <c r="I483" t="s">
        <v>2461</v>
      </c>
      <c r="J483" t="s">
        <v>2468</v>
      </c>
      <c r="K483" t="s">
        <v>2463</v>
      </c>
      <c r="L483" t="s">
        <v>36</v>
      </c>
    </row>
    <row r="484" spans="1:12" x14ac:dyDescent="0.3">
      <c r="A484" t="s">
        <v>2709</v>
      </c>
      <c r="B484" t="s">
        <v>3035</v>
      </c>
      <c r="C484" s="4">
        <v>45720</v>
      </c>
      <c r="D484">
        <v>139</v>
      </c>
      <c r="E484">
        <v>2958.23</v>
      </c>
      <c r="F484">
        <v>699.43</v>
      </c>
      <c r="G484">
        <v>2258.8000000000002</v>
      </c>
      <c r="H484" t="s">
        <v>2475</v>
      </c>
      <c r="I484" t="s">
        <v>2467</v>
      </c>
      <c r="J484" t="s">
        <v>2468</v>
      </c>
      <c r="K484" t="s">
        <v>2469</v>
      </c>
      <c r="L484" t="s">
        <v>32</v>
      </c>
    </row>
    <row r="485" spans="1:12" x14ac:dyDescent="0.3">
      <c r="A485" t="s">
        <v>2543</v>
      </c>
      <c r="B485" t="s">
        <v>3036</v>
      </c>
      <c r="C485" s="4">
        <v>45780</v>
      </c>
      <c r="D485">
        <v>101</v>
      </c>
      <c r="E485">
        <v>13607.07</v>
      </c>
      <c r="F485">
        <v>3213.69</v>
      </c>
      <c r="G485">
        <v>10393.379999999999</v>
      </c>
      <c r="H485" t="s">
        <v>2472</v>
      </c>
      <c r="I485" t="s">
        <v>2485</v>
      </c>
      <c r="J485" t="s">
        <v>2462</v>
      </c>
      <c r="K485" t="s">
        <v>2463</v>
      </c>
      <c r="L485" t="s">
        <v>32</v>
      </c>
    </row>
    <row r="486" spans="1:12" x14ac:dyDescent="0.3">
      <c r="A486" t="s">
        <v>2476</v>
      </c>
      <c r="B486" t="s">
        <v>3037</v>
      </c>
      <c r="C486" s="4">
        <v>45880</v>
      </c>
      <c r="D486">
        <v>39</v>
      </c>
      <c r="E486">
        <v>14676.54</v>
      </c>
      <c r="F486">
        <v>4268.8900000000003</v>
      </c>
      <c r="G486">
        <v>10407.65</v>
      </c>
      <c r="H486" t="s">
        <v>2475</v>
      </c>
      <c r="I486" t="s">
        <v>2488</v>
      </c>
      <c r="J486" t="s">
        <v>2468</v>
      </c>
      <c r="K486" t="s">
        <v>2469</v>
      </c>
      <c r="L486" t="s">
        <v>36</v>
      </c>
    </row>
    <row r="487" spans="1:12" x14ac:dyDescent="0.3">
      <c r="A487" t="s">
        <v>2511</v>
      </c>
      <c r="B487" t="s">
        <v>3038</v>
      </c>
      <c r="C487" s="4">
        <v>45806</v>
      </c>
      <c r="D487">
        <v>194</v>
      </c>
      <c r="E487">
        <v>11924.01</v>
      </c>
      <c r="F487">
        <v>5773.92</v>
      </c>
      <c r="G487">
        <v>6150.09</v>
      </c>
      <c r="H487" t="s">
        <v>2466</v>
      </c>
      <c r="I487" t="s">
        <v>2508</v>
      </c>
      <c r="J487" t="s">
        <v>2468</v>
      </c>
      <c r="K487" t="s">
        <v>2457</v>
      </c>
      <c r="L487" t="s">
        <v>36</v>
      </c>
    </row>
    <row r="488" spans="1:12" x14ac:dyDescent="0.3">
      <c r="A488" t="s">
        <v>2520</v>
      </c>
      <c r="B488" t="s">
        <v>3039</v>
      </c>
      <c r="C488" s="4">
        <v>45901</v>
      </c>
      <c r="D488">
        <v>140</v>
      </c>
      <c r="E488">
        <v>17374.75</v>
      </c>
      <c r="F488">
        <v>2063.52</v>
      </c>
      <c r="G488">
        <v>15311.23</v>
      </c>
      <c r="H488" t="s">
        <v>2475</v>
      </c>
      <c r="I488" t="s">
        <v>2480</v>
      </c>
      <c r="J488" t="s">
        <v>2493</v>
      </c>
      <c r="K488" t="s">
        <v>2463</v>
      </c>
      <c r="L488" t="s">
        <v>12</v>
      </c>
    </row>
    <row r="489" spans="1:12" x14ac:dyDescent="0.3">
      <c r="A489" t="s">
        <v>2527</v>
      </c>
      <c r="B489" t="s">
        <v>3040</v>
      </c>
      <c r="C489" s="4">
        <v>45704</v>
      </c>
      <c r="D489">
        <v>139</v>
      </c>
      <c r="E489">
        <v>8719.7000000000007</v>
      </c>
      <c r="F489">
        <v>1851.41</v>
      </c>
      <c r="G489">
        <v>6868.29</v>
      </c>
      <c r="H489" t="s">
        <v>2460</v>
      </c>
      <c r="I489" t="s">
        <v>2508</v>
      </c>
      <c r="J489" t="s">
        <v>2468</v>
      </c>
      <c r="K489" t="s">
        <v>2469</v>
      </c>
      <c r="L489" t="s">
        <v>23</v>
      </c>
    </row>
    <row r="490" spans="1:12" x14ac:dyDescent="0.3">
      <c r="A490" t="s">
        <v>2509</v>
      </c>
      <c r="B490" t="s">
        <v>3041</v>
      </c>
      <c r="C490" s="4">
        <v>45924</v>
      </c>
      <c r="D490">
        <v>157</v>
      </c>
      <c r="E490">
        <v>10292.89</v>
      </c>
      <c r="F490">
        <v>2554.63</v>
      </c>
      <c r="G490">
        <v>7738.26</v>
      </c>
      <c r="H490" t="s">
        <v>2472</v>
      </c>
      <c r="I490" t="s">
        <v>2508</v>
      </c>
      <c r="J490" t="s">
        <v>2493</v>
      </c>
      <c r="K490" t="s">
        <v>2457</v>
      </c>
      <c r="L490" t="s">
        <v>23</v>
      </c>
    </row>
    <row r="491" spans="1:12" x14ac:dyDescent="0.3">
      <c r="A491" t="s">
        <v>2499</v>
      </c>
      <c r="B491" t="s">
        <v>3042</v>
      </c>
      <c r="C491" s="4">
        <v>45680</v>
      </c>
      <c r="D491">
        <v>193</v>
      </c>
      <c r="E491">
        <v>18267.080000000002</v>
      </c>
      <c r="F491">
        <v>4053.24</v>
      </c>
      <c r="G491">
        <v>14213.84</v>
      </c>
      <c r="H491" t="s">
        <v>2454</v>
      </c>
      <c r="I491" t="s">
        <v>2488</v>
      </c>
      <c r="J491" t="s">
        <v>2493</v>
      </c>
      <c r="K491" t="s">
        <v>2496</v>
      </c>
      <c r="L491" t="s">
        <v>32</v>
      </c>
    </row>
    <row r="492" spans="1:12" x14ac:dyDescent="0.3">
      <c r="A492" t="s">
        <v>2504</v>
      </c>
      <c r="B492" t="s">
        <v>3043</v>
      </c>
      <c r="C492" s="4">
        <v>45887</v>
      </c>
      <c r="D492">
        <v>100</v>
      </c>
      <c r="E492">
        <v>9604.27</v>
      </c>
      <c r="F492">
        <v>2730.42</v>
      </c>
      <c r="G492">
        <v>6873.85</v>
      </c>
      <c r="H492" t="s">
        <v>2475</v>
      </c>
      <c r="I492" t="s">
        <v>2480</v>
      </c>
      <c r="J492" t="s">
        <v>2462</v>
      </c>
      <c r="K492" t="s">
        <v>2469</v>
      </c>
      <c r="L492" t="s">
        <v>36</v>
      </c>
    </row>
    <row r="493" spans="1:12" x14ac:dyDescent="0.3">
      <c r="A493" t="s">
        <v>2609</v>
      </c>
      <c r="B493" t="s">
        <v>3044</v>
      </c>
      <c r="C493" s="4">
        <v>45658</v>
      </c>
      <c r="D493">
        <v>17</v>
      </c>
      <c r="E493">
        <v>14416.23</v>
      </c>
      <c r="F493">
        <v>3380.94</v>
      </c>
      <c r="G493">
        <v>11035.29</v>
      </c>
      <c r="H493" t="s">
        <v>2454</v>
      </c>
      <c r="I493" t="s">
        <v>2517</v>
      </c>
      <c r="J493" t="s">
        <v>2462</v>
      </c>
      <c r="K493" t="s">
        <v>2457</v>
      </c>
      <c r="L493" t="s">
        <v>36</v>
      </c>
    </row>
    <row r="494" spans="1:12" x14ac:dyDescent="0.3">
      <c r="A494" t="s">
        <v>2518</v>
      </c>
      <c r="B494" t="s">
        <v>3045</v>
      </c>
      <c r="C494" s="4">
        <v>45783</v>
      </c>
      <c r="D494">
        <v>148</v>
      </c>
      <c r="E494">
        <v>18314.830000000002</v>
      </c>
      <c r="F494">
        <v>5451.92</v>
      </c>
      <c r="G494">
        <v>12862.91</v>
      </c>
      <c r="H494" t="s">
        <v>2475</v>
      </c>
      <c r="I494" t="s">
        <v>2467</v>
      </c>
      <c r="J494" t="s">
        <v>2493</v>
      </c>
      <c r="K494" t="s">
        <v>2496</v>
      </c>
      <c r="L494" t="s">
        <v>12</v>
      </c>
    </row>
    <row r="495" spans="1:12" x14ac:dyDescent="0.3">
      <c r="A495" t="s">
        <v>2556</v>
      </c>
      <c r="B495" t="s">
        <v>3046</v>
      </c>
      <c r="C495" s="4">
        <v>45965</v>
      </c>
      <c r="D495">
        <v>165</v>
      </c>
      <c r="E495">
        <v>10689.6</v>
      </c>
      <c r="F495">
        <v>2430.5500000000002</v>
      </c>
      <c r="G495">
        <v>8259.0499999999993</v>
      </c>
      <c r="H495" t="s">
        <v>2472</v>
      </c>
      <c r="I495" t="s">
        <v>2461</v>
      </c>
      <c r="J495" t="s">
        <v>2468</v>
      </c>
      <c r="K495" t="s">
        <v>2496</v>
      </c>
      <c r="L495" t="s">
        <v>12</v>
      </c>
    </row>
    <row r="496" spans="1:12" x14ac:dyDescent="0.3">
      <c r="A496" t="s">
        <v>2709</v>
      </c>
      <c r="B496" t="s">
        <v>3047</v>
      </c>
      <c r="C496" s="4">
        <v>45904</v>
      </c>
      <c r="D496">
        <v>69</v>
      </c>
      <c r="E496">
        <v>17672.11</v>
      </c>
      <c r="F496">
        <v>4145.38</v>
      </c>
      <c r="G496">
        <v>13526.73</v>
      </c>
      <c r="H496" t="s">
        <v>2460</v>
      </c>
      <c r="I496" t="s">
        <v>2461</v>
      </c>
      <c r="J496" t="s">
        <v>2462</v>
      </c>
      <c r="K496" t="s">
        <v>2469</v>
      </c>
      <c r="L496" t="s">
        <v>84</v>
      </c>
    </row>
    <row r="497" spans="1:12" x14ac:dyDescent="0.3">
      <c r="A497" t="s">
        <v>2556</v>
      </c>
      <c r="B497" t="s">
        <v>3048</v>
      </c>
      <c r="C497" s="4">
        <v>45764</v>
      </c>
      <c r="D497">
        <v>173</v>
      </c>
      <c r="E497">
        <v>2584.0300000000002</v>
      </c>
      <c r="F497">
        <v>1003.02</v>
      </c>
      <c r="G497">
        <v>1581.01</v>
      </c>
      <c r="H497" t="s">
        <v>2466</v>
      </c>
      <c r="I497" t="s">
        <v>2467</v>
      </c>
      <c r="J497" t="s">
        <v>2493</v>
      </c>
      <c r="K497" t="s">
        <v>2469</v>
      </c>
      <c r="L497" t="s">
        <v>23</v>
      </c>
    </row>
    <row r="498" spans="1:12" x14ac:dyDescent="0.3">
      <c r="A498" t="s">
        <v>2506</v>
      </c>
      <c r="B498" t="s">
        <v>3049</v>
      </c>
      <c r="C498" s="4">
        <v>45730</v>
      </c>
      <c r="D498">
        <v>135</v>
      </c>
      <c r="E498">
        <v>7924.15</v>
      </c>
      <c r="F498">
        <v>2080.58</v>
      </c>
      <c r="G498">
        <v>5843.57</v>
      </c>
      <c r="H498" t="s">
        <v>2475</v>
      </c>
      <c r="I498" t="s">
        <v>2467</v>
      </c>
      <c r="J498" t="s">
        <v>2493</v>
      </c>
      <c r="K498" t="s">
        <v>2469</v>
      </c>
      <c r="L498" t="s">
        <v>12</v>
      </c>
    </row>
    <row r="499" spans="1:12" x14ac:dyDescent="0.3">
      <c r="A499" t="s">
        <v>2605</v>
      </c>
      <c r="B499" t="s">
        <v>3050</v>
      </c>
      <c r="C499" s="4">
        <v>45852</v>
      </c>
      <c r="D499">
        <v>35</v>
      </c>
      <c r="E499">
        <v>13702.16</v>
      </c>
      <c r="F499">
        <v>2798.75</v>
      </c>
      <c r="G499">
        <v>10903.41</v>
      </c>
      <c r="H499" t="s">
        <v>2460</v>
      </c>
      <c r="I499" t="s">
        <v>2461</v>
      </c>
      <c r="J499" t="s">
        <v>2468</v>
      </c>
      <c r="K499" t="s">
        <v>2496</v>
      </c>
      <c r="L499" t="s">
        <v>36</v>
      </c>
    </row>
    <row r="500" spans="1:12" x14ac:dyDescent="0.3">
      <c r="A500" t="s">
        <v>2478</v>
      </c>
      <c r="B500" t="s">
        <v>3051</v>
      </c>
      <c r="C500" s="4">
        <v>45916</v>
      </c>
      <c r="D500">
        <v>104</v>
      </c>
      <c r="E500">
        <v>3371.99</v>
      </c>
      <c r="F500">
        <v>1578.62</v>
      </c>
      <c r="G500">
        <v>1793.37</v>
      </c>
      <c r="H500" t="s">
        <v>2460</v>
      </c>
      <c r="I500" t="s">
        <v>2467</v>
      </c>
      <c r="J500" t="s">
        <v>2493</v>
      </c>
      <c r="K500" t="s">
        <v>2457</v>
      </c>
      <c r="L500" t="s">
        <v>36</v>
      </c>
    </row>
    <row r="501" spans="1:12" x14ac:dyDescent="0.3">
      <c r="A501" t="s">
        <v>2458</v>
      </c>
      <c r="B501" t="s">
        <v>3052</v>
      </c>
      <c r="C501" s="4">
        <v>45815</v>
      </c>
      <c r="D501">
        <v>43</v>
      </c>
      <c r="E501">
        <v>19375.7</v>
      </c>
      <c r="F501">
        <v>8355.91</v>
      </c>
      <c r="G501">
        <v>11019.79</v>
      </c>
      <c r="H501" t="s">
        <v>2466</v>
      </c>
      <c r="I501" t="s">
        <v>2455</v>
      </c>
      <c r="J501" t="s">
        <v>2468</v>
      </c>
      <c r="K501" t="s">
        <v>2469</v>
      </c>
      <c r="L501" t="s">
        <v>23</v>
      </c>
    </row>
    <row r="502" spans="1:12" x14ac:dyDescent="0.3">
      <c r="A502" t="s">
        <v>2486</v>
      </c>
      <c r="B502" t="s">
        <v>3053</v>
      </c>
      <c r="C502" s="4">
        <v>45741</v>
      </c>
      <c r="D502">
        <v>58</v>
      </c>
      <c r="E502">
        <v>17222.96</v>
      </c>
      <c r="F502">
        <v>2138.54</v>
      </c>
      <c r="G502">
        <v>15084.42</v>
      </c>
      <c r="H502" t="s">
        <v>2472</v>
      </c>
      <c r="I502" t="s">
        <v>2461</v>
      </c>
      <c r="J502" t="s">
        <v>2493</v>
      </c>
      <c r="K502" t="s">
        <v>2469</v>
      </c>
      <c r="L502" t="s">
        <v>23</v>
      </c>
    </row>
    <row r="503" spans="1:12" x14ac:dyDescent="0.3">
      <c r="A503" t="s">
        <v>2655</v>
      </c>
      <c r="B503" t="s">
        <v>3054</v>
      </c>
      <c r="C503" s="4">
        <v>45797</v>
      </c>
      <c r="D503">
        <v>68</v>
      </c>
      <c r="E503">
        <v>19129.55</v>
      </c>
      <c r="F503">
        <v>2298.7800000000002</v>
      </c>
      <c r="G503">
        <v>16830.77</v>
      </c>
      <c r="H503" t="s">
        <v>2466</v>
      </c>
      <c r="I503" t="s">
        <v>2485</v>
      </c>
      <c r="J503" t="s">
        <v>2456</v>
      </c>
      <c r="K503" t="s">
        <v>2469</v>
      </c>
      <c r="L503" t="s">
        <v>12</v>
      </c>
    </row>
    <row r="504" spans="1:12" x14ac:dyDescent="0.3">
      <c r="A504" t="s">
        <v>2577</v>
      </c>
      <c r="B504" t="s">
        <v>3055</v>
      </c>
      <c r="C504" s="4">
        <v>45840</v>
      </c>
      <c r="D504">
        <v>67</v>
      </c>
      <c r="E504">
        <v>4561.71</v>
      </c>
      <c r="F504">
        <v>1926.58</v>
      </c>
      <c r="G504">
        <v>2635.13</v>
      </c>
      <c r="H504" t="s">
        <v>2466</v>
      </c>
      <c r="I504" t="s">
        <v>2488</v>
      </c>
      <c r="J504" t="s">
        <v>2456</v>
      </c>
      <c r="K504" t="s">
        <v>2463</v>
      </c>
      <c r="L504" t="s">
        <v>84</v>
      </c>
    </row>
    <row r="505" spans="1:12" x14ac:dyDescent="0.3">
      <c r="A505" t="s">
        <v>2523</v>
      </c>
      <c r="B505" t="s">
        <v>3056</v>
      </c>
      <c r="C505" s="4">
        <v>45900</v>
      </c>
      <c r="D505">
        <v>13</v>
      </c>
      <c r="E505">
        <v>4063.04</v>
      </c>
      <c r="F505">
        <v>677.68</v>
      </c>
      <c r="G505">
        <v>3385.36</v>
      </c>
      <c r="H505" t="s">
        <v>2460</v>
      </c>
      <c r="I505" t="s">
        <v>2455</v>
      </c>
      <c r="J505" t="s">
        <v>2493</v>
      </c>
      <c r="K505" t="s">
        <v>2463</v>
      </c>
      <c r="L505" t="s">
        <v>12</v>
      </c>
    </row>
    <row r="506" spans="1:12" x14ac:dyDescent="0.3">
      <c r="A506" t="s">
        <v>2607</v>
      </c>
      <c r="B506" t="s">
        <v>3057</v>
      </c>
      <c r="C506" s="4">
        <v>45727</v>
      </c>
      <c r="D506">
        <v>101</v>
      </c>
      <c r="E506">
        <v>6220.85</v>
      </c>
      <c r="F506">
        <v>2301.1</v>
      </c>
      <c r="G506">
        <v>3919.75</v>
      </c>
      <c r="H506" t="s">
        <v>2454</v>
      </c>
      <c r="I506" t="s">
        <v>2488</v>
      </c>
      <c r="J506" t="s">
        <v>2493</v>
      </c>
      <c r="K506" t="s">
        <v>2469</v>
      </c>
      <c r="L506" t="s">
        <v>12</v>
      </c>
    </row>
    <row r="507" spans="1:12" x14ac:dyDescent="0.3">
      <c r="A507" t="s">
        <v>2662</v>
      </c>
      <c r="B507" t="s">
        <v>3058</v>
      </c>
      <c r="C507" s="4">
        <v>45668</v>
      </c>
      <c r="D507">
        <v>187</v>
      </c>
      <c r="E507">
        <v>3552.84</v>
      </c>
      <c r="F507">
        <v>896.2</v>
      </c>
      <c r="G507">
        <v>2656.64</v>
      </c>
      <c r="H507" t="s">
        <v>2475</v>
      </c>
      <c r="I507" t="s">
        <v>2461</v>
      </c>
      <c r="J507" t="s">
        <v>2462</v>
      </c>
      <c r="K507" t="s">
        <v>2463</v>
      </c>
      <c r="L507" t="s">
        <v>36</v>
      </c>
    </row>
    <row r="508" spans="1:12" x14ac:dyDescent="0.3">
      <c r="A508" t="s">
        <v>2504</v>
      </c>
      <c r="B508" t="s">
        <v>3059</v>
      </c>
      <c r="C508" s="4">
        <v>45887</v>
      </c>
      <c r="D508">
        <v>82</v>
      </c>
      <c r="E508">
        <v>1011.26</v>
      </c>
      <c r="F508">
        <v>117.39</v>
      </c>
      <c r="G508">
        <v>893.87</v>
      </c>
      <c r="H508" t="s">
        <v>2460</v>
      </c>
      <c r="I508" t="s">
        <v>2467</v>
      </c>
      <c r="J508" t="s">
        <v>2456</v>
      </c>
      <c r="K508" t="s">
        <v>2469</v>
      </c>
      <c r="L508" t="s">
        <v>12</v>
      </c>
    </row>
    <row r="509" spans="1:12" x14ac:dyDescent="0.3">
      <c r="A509" t="s">
        <v>2532</v>
      </c>
      <c r="B509" t="s">
        <v>3060</v>
      </c>
      <c r="C509" s="4">
        <v>45745</v>
      </c>
      <c r="D509">
        <v>91</v>
      </c>
      <c r="E509">
        <v>3628.76</v>
      </c>
      <c r="F509">
        <v>1258.55</v>
      </c>
      <c r="G509">
        <v>2370.21</v>
      </c>
      <c r="H509" t="s">
        <v>2466</v>
      </c>
      <c r="I509" t="s">
        <v>2488</v>
      </c>
      <c r="J509" t="s">
        <v>2462</v>
      </c>
      <c r="K509" t="s">
        <v>2463</v>
      </c>
      <c r="L509" t="s">
        <v>32</v>
      </c>
    </row>
    <row r="510" spans="1:12" x14ac:dyDescent="0.3">
      <c r="A510" t="s">
        <v>2642</v>
      </c>
      <c r="B510" t="s">
        <v>3061</v>
      </c>
      <c r="C510" s="4">
        <v>45946</v>
      </c>
      <c r="D510">
        <v>123</v>
      </c>
      <c r="E510">
        <v>233.86</v>
      </c>
      <c r="F510">
        <v>83.16</v>
      </c>
      <c r="G510">
        <v>150.69999999999999</v>
      </c>
      <c r="H510" t="s">
        <v>2475</v>
      </c>
      <c r="I510" t="s">
        <v>2485</v>
      </c>
      <c r="J510" t="s">
        <v>2462</v>
      </c>
      <c r="K510" t="s">
        <v>2496</v>
      </c>
      <c r="L510" t="s">
        <v>12</v>
      </c>
    </row>
    <row r="511" spans="1:12" x14ac:dyDescent="0.3">
      <c r="A511" t="s">
        <v>2458</v>
      </c>
      <c r="B511" t="s">
        <v>3062</v>
      </c>
      <c r="C511" s="4">
        <v>45838</v>
      </c>
      <c r="D511">
        <v>199</v>
      </c>
      <c r="E511">
        <v>8620.2199999999993</v>
      </c>
      <c r="F511">
        <v>4108.8500000000004</v>
      </c>
      <c r="G511">
        <v>4511.37</v>
      </c>
      <c r="H511" t="s">
        <v>2460</v>
      </c>
      <c r="I511" t="s">
        <v>2461</v>
      </c>
      <c r="J511" t="s">
        <v>2462</v>
      </c>
      <c r="K511" t="s">
        <v>2457</v>
      </c>
      <c r="L511" t="s">
        <v>36</v>
      </c>
    </row>
    <row r="512" spans="1:12" x14ac:dyDescent="0.3">
      <c r="A512" t="s">
        <v>2506</v>
      </c>
      <c r="B512" t="s">
        <v>3063</v>
      </c>
      <c r="C512" s="4">
        <v>45852</v>
      </c>
      <c r="D512">
        <v>36</v>
      </c>
      <c r="E512">
        <v>9904.9699999999993</v>
      </c>
      <c r="F512">
        <v>3613.77</v>
      </c>
      <c r="G512">
        <v>6291.2</v>
      </c>
      <c r="H512" t="s">
        <v>2460</v>
      </c>
      <c r="I512" t="s">
        <v>2508</v>
      </c>
      <c r="J512" t="s">
        <v>2493</v>
      </c>
      <c r="K512" t="s">
        <v>2457</v>
      </c>
      <c r="L512" t="s">
        <v>23</v>
      </c>
    </row>
    <row r="513" spans="1:12" x14ac:dyDescent="0.3">
      <c r="A513" t="s">
        <v>2470</v>
      </c>
      <c r="B513" t="s">
        <v>3064</v>
      </c>
      <c r="C513" s="4">
        <v>45993</v>
      </c>
      <c r="D513">
        <v>183</v>
      </c>
      <c r="E513">
        <v>16847.37</v>
      </c>
      <c r="F513">
        <v>6482.65</v>
      </c>
      <c r="G513">
        <v>10364.719999999999</v>
      </c>
      <c r="H513" t="s">
        <v>2466</v>
      </c>
      <c r="I513" t="s">
        <v>2467</v>
      </c>
      <c r="J513" t="s">
        <v>2493</v>
      </c>
      <c r="K513" t="s">
        <v>2463</v>
      </c>
      <c r="L513" t="s">
        <v>23</v>
      </c>
    </row>
    <row r="514" spans="1:12" x14ac:dyDescent="0.3">
      <c r="A514" t="s">
        <v>2591</v>
      </c>
      <c r="B514" t="s">
        <v>3065</v>
      </c>
      <c r="C514" s="4">
        <v>45697</v>
      </c>
      <c r="D514">
        <v>7</v>
      </c>
      <c r="E514">
        <v>2808.89</v>
      </c>
      <c r="F514">
        <v>448.28</v>
      </c>
      <c r="G514">
        <v>2360.61</v>
      </c>
      <c r="H514" t="s">
        <v>2472</v>
      </c>
      <c r="I514" t="s">
        <v>2480</v>
      </c>
      <c r="J514" t="s">
        <v>2468</v>
      </c>
      <c r="K514" t="s">
        <v>2469</v>
      </c>
      <c r="L514" t="s">
        <v>84</v>
      </c>
    </row>
    <row r="515" spans="1:12" x14ac:dyDescent="0.3">
      <c r="A515" t="s">
        <v>2715</v>
      </c>
      <c r="B515" t="s">
        <v>3066</v>
      </c>
      <c r="C515" s="4">
        <v>45827</v>
      </c>
      <c r="D515">
        <v>166</v>
      </c>
      <c r="E515">
        <v>17580.310000000001</v>
      </c>
      <c r="F515">
        <v>8278.58</v>
      </c>
      <c r="G515">
        <v>9301.73</v>
      </c>
      <c r="H515" t="s">
        <v>2475</v>
      </c>
      <c r="I515" t="s">
        <v>2467</v>
      </c>
      <c r="J515" t="s">
        <v>2456</v>
      </c>
      <c r="K515" t="s">
        <v>2469</v>
      </c>
      <c r="L515" t="s">
        <v>12</v>
      </c>
    </row>
    <row r="516" spans="1:12" x14ac:dyDescent="0.3">
      <c r="A516" t="s">
        <v>2558</v>
      </c>
      <c r="B516" t="s">
        <v>3067</v>
      </c>
      <c r="C516" s="4">
        <v>45835</v>
      </c>
      <c r="D516">
        <v>2</v>
      </c>
      <c r="E516">
        <v>6547.13</v>
      </c>
      <c r="F516">
        <v>2015.13</v>
      </c>
      <c r="G516">
        <v>4532</v>
      </c>
      <c r="H516" t="s">
        <v>2466</v>
      </c>
      <c r="I516" t="s">
        <v>2455</v>
      </c>
      <c r="J516" t="s">
        <v>2462</v>
      </c>
      <c r="K516" t="s">
        <v>2496</v>
      </c>
      <c r="L516" t="s">
        <v>84</v>
      </c>
    </row>
    <row r="517" spans="1:12" x14ac:dyDescent="0.3">
      <c r="A517" t="s">
        <v>2573</v>
      </c>
      <c r="B517" t="s">
        <v>3068</v>
      </c>
      <c r="C517" s="4">
        <v>45701</v>
      </c>
      <c r="D517">
        <v>73</v>
      </c>
      <c r="E517">
        <v>17037.330000000002</v>
      </c>
      <c r="F517">
        <v>4942.24</v>
      </c>
      <c r="G517">
        <v>12095.09</v>
      </c>
      <c r="H517" t="s">
        <v>2454</v>
      </c>
      <c r="I517" t="s">
        <v>2461</v>
      </c>
      <c r="J517" t="s">
        <v>2462</v>
      </c>
      <c r="K517" t="s">
        <v>2496</v>
      </c>
      <c r="L517" t="s">
        <v>12</v>
      </c>
    </row>
    <row r="518" spans="1:12" x14ac:dyDescent="0.3">
      <c r="A518" t="s">
        <v>2584</v>
      </c>
      <c r="B518" t="s">
        <v>3069</v>
      </c>
      <c r="C518" s="4">
        <v>45860</v>
      </c>
      <c r="D518">
        <v>115</v>
      </c>
      <c r="E518">
        <v>17987.490000000002</v>
      </c>
      <c r="F518">
        <v>3318.13</v>
      </c>
      <c r="G518">
        <v>14669.36</v>
      </c>
      <c r="H518" t="s">
        <v>2460</v>
      </c>
      <c r="I518" t="s">
        <v>2461</v>
      </c>
      <c r="J518" t="s">
        <v>2468</v>
      </c>
      <c r="K518" t="s">
        <v>2463</v>
      </c>
      <c r="L518" t="s">
        <v>12</v>
      </c>
    </row>
    <row r="519" spans="1:12" x14ac:dyDescent="0.3">
      <c r="A519" t="s">
        <v>2458</v>
      </c>
      <c r="B519" t="s">
        <v>3070</v>
      </c>
      <c r="C519" s="4">
        <v>45867</v>
      </c>
      <c r="D519">
        <v>190</v>
      </c>
      <c r="E519">
        <v>14103.32</v>
      </c>
      <c r="F519">
        <v>1865.92</v>
      </c>
      <c r="G519">
        <v>12237.4</v>
      </c>
      <c r="H519" t="s">
        <v>2460</v>
      </c>
      <c r="I519" t="s">
        <v>2455</v>
      </c>
      <c r="J519" t="s">
        <v>2456</v>
      </c>
      <c r="K519" t="s">
        <v>2496</v>
      </c>
      <c r="L519" t="s">
        <v>84</v>
      </c>
    </row>
    <row r="520" spans="1:12" x14ac:dyDescent="0.3">
      <c r="A520" t="s">
        <v>2588</v>
      </c>
      <c r="B520" t="s">
        <v>3071</v>
      </c>
      <c r="C520" s="4">
        <v>45982</v>
      </c>
      <c r="D520">
        <v>35</v>
      </c>
      <c r="E520">
        <v>3889.43</v>
      </c>
      <c r="F520">
        <v>1846.83</v>
      </c>
      <c r="G520">
        <v>2042.6</v>
      </c>
      <c r="H520" t="s">
        <v>2475</v>
      </c>
      <c r="I520" t="s">
        <v>2467</v>
      </c>
      <c r="J520" t="s">
        <v>2456</v>
      </c>
      <c r="K520" t="s">
        <v>2469</v>
      </c>
      <c r="L520" t="s">
        <v>32</v>
      </c>
    </row>
    <row r="521" spans="1:12" x14ac:dyDescent="0.3">
      <c r="A521" t="s">
        <v>2812</v>
      </c>
      <c r="B521" t="s">
        <v>3072</v>
      </c>
      <c r="C521" s="4">
        <v>46020</v>
      </c>
      <c r="D521">
        <v>97</v>
      </c>
      <c r="E521">
        <v>14792.1</v>
      </c>
      <c r="F521">
        <v>2156.79</v>
      </c>
      <c r="G521">
        <v>12635.31</v>
      </c>
      <c r="H521" t="s">
        <v>2466</v>
      </c>
      <c r="I521" t="s">
        <v>2455</v>
      </c>
      <c r="J521" t="s">
        <v>2462</v>
      </c>
      <c r="K521" t="s">
        <v>2469</v>
      </c>
      <c r="L521" t="s">
        <v>12</v>
      </c>
    </row>
    <row r="522" spans="1:12" x14ac:dyDescent="0.3">
      <c r="A522" t="s">
        <v>2525</v>
      </c>
      <c r="B522" t="s">
        <v>3073</v>
      </c>
      <c r="C522" s="4">
        <v>45762</v>
      </c>
      <c r="D522">
        <v>184</v>
      </c>
      <c r="E522">
        <v>11099.65</v>
      </c>
      <c r="F522">
        <v>4018.04</v>
      </c>
      <c r="G522">
        <v>7081.61</v>
      </c>
      <c r="H522" t="s">
        <v>2466</v>
      </c>
      <c r="I522" t="s">
        <v>2467</v>
      </c>
      <c r="J522" t="s">
        <v>2462</v>
      </c>
      <c r="K522" t="s">
        <v>2457</v>
      </c>
      <c r="L522" t="s">
        <v>12</v>
      </c>
    </row>
    <row r="523" spans="1:12" x14ac:dyDescent="0.3">
      <c r="A523" t="s">
        <v>2478</v>
      </c>
      <c r="B523" t="s">
        <v>3074</v>
      </c>
      <c r="C523" s="4">
        <v>46013</v>
      </c>
      <c r="D523">
        <v>117</v>
      </c>
      <c r="E523">
        <v>3621.13</v>
      </c>
      <c r="F523">
        <v>1548.88</v>
      </c>
      <c r="G523">
        <v>2072.25</v>
      </c>
      <c r="H523" t="s">
        <v>2460</v>
      </c>
      <c r="I523" t="s">
        <v>2517</v>
      </c>
      <c r="J523" t="s">
        <v>2462</v>
      </c>
      <c r="K523" t="s">
        <v>2469</v>
      </c>
      <c r="L523" t="s">
        <v>32</v>
      </c>
    </row>
    <row r="524" spans="1:12" x14ac:dyDescent="0.3">
      <c r="A524" t="s">
        <v>2545</v>
      </c>
      <c r="B524" t="s">
        <v>3075</v>
      </c>
      <c r="C524" s="4">
        <v>45836</v>
      </c>
      <c r="D524">
        <v>161</v>
      </c>
      <c r="E524">
        <v>5386.04</v>
      </c>
      <c r="F524">
        <v>2400.7399999999998</v>
      </c>
      <c r="G524">
        <v>2985.3</v>
      </c>
      <c r="H524" t="s">
        <v>2475</v>
      </c>
      <c r="I524" t="s">
        <v>2480</v>
      </c>
      <c r="J524" t="s">
        <v>2493</v>
      </c>
      <c r="K524" t="s">
        <v>2496</v>
      </c>
      <c r="L524" t="s">
        <v>84</v>
      </c>
    </row>
    <row r="525" spans="1:12" x14ac:dyDescent="0.3">
      <c r="A525" t="s">
        <v>2812</v>
      </c>
      <c r="B525" t="s">
        <v>3076</v>
      </c>
      <c r="C525" s="4">
        <v>45742</v>
      </c>
      <c r="D525">
        <v>199</v>
      </c>
      <c r="E525">
        <v>17112.099999999999</v>
      </c>
      <c r="F525">
        <v>3477.85</v>
      </c>
      <c r="G525">
        <v>13634.25</v>
      </c>
      <c r="H525" t="s">
        <v>2454</v>
      </c>
      <c r="I525" t="s">
        <v>2455</v>
      </c>
      <c r="J525" t="s">
        <v>2456</v>
      </c>
      <c r="K525" t="s">
        <v>2457</v>
      </c>
      <c r="L525" t="s">
        <v>32</v>
      </c>
    </row>
    <row r="526" spans="1:12" x14ac:dyDescent="0.3">
      <c r="A526" t="s">
        <v>2741</v>
      </c>
      <c r="B526" t="s">
        <v>3077</v>
      </c>
      <c r="C526" s="4">
        <v>46005</v>
      </c>
      <c r="D526">
        <v>113</v>
      </c>
      <c r="E526">
        <v>19210.98</v>
      </c>
      <c r="F526">
        <v>4645.83</v>
      </c>
      <c r="G526">
        <v>14565.15</v>
      </c>
      <c r="H526" t="s">
        <v>2475</v>
      </c>
      <c r="I526" t="s">
        <v>2488</v>
      </c>
      <c r="J526" t="s">
        <v>2462</v>
      </c>
      <c r="K526" t="s">
        <v>2496</v>
      </c>
      <c r="L526" t="s">
        <v>36</v>
      </c>
    </row>
    <row r="527" spans="1:12" x14ac:dyDescent="0.3">
      <c r="A527" t="s">
        <v>2564</v>
      </c>
      <c r="B527" t="s">
        <v>3078</v>
      </c>
      <c r="C527" s="4">
        <v>45865</v>
      </c>
      <c r="D527">
        <v>184</v>
      </c>
      <c r="E527">
        <v>14593.24</v>
      </c>
      <c r="F527">
        <v>1892.48</v>
      </c>
      <c r="G527">
        <v>12700.76</v>
      </c>
      <c r="H527" t="s">
        <v>2466</v>
      </c>
      <c r="I527" t="s">
        <v>2467</v>
      </c>
      <c r="J527" t="s">
        <v>2456</v>
      </c>
      <c r="K527" t="s">
        <v>2469</v>
      </c>
      <c r="L527" t="s">
        <v>12</v>
      </c>
    </row>
    <row r="528" spans="1:12" x14ac:dyDescent="0.3">
      <c r="A528" t="s">
        <v>2575</v>
      </c>
      <c r="B528" t="s">
        <v>3079</v>
      </c>
      <c r="C528" s="4">
        <v>45779</v>
      </c>
      <c r="D528">
        <v>148</v>
      </c>
      <c r="E528">
        <v>19108.34</v>
      </c>
      <c r="F528">
        <v>2601.4699999999998</v>
      </c>
      <c r="G528">
        <v>16506.87</v>
      </c>
      <c r="H528" t="s">
        <v>2475</v>
      </c>
      <c r="I528" t="s">
        <v>2461</v>
      </c>
      <c r="J528" t="s">
        <v>2468</v>
      </c>
      <c r="K528" t="s">
        <v>2463</v>
      </c>
      <c r="L528" t="s">
        <v>84</v>
      </c>
    </row>
    <row r="529" spans="1:12" x14ac:dyDescent="0.3">
      <c r="A529" t="s">
        <v>2622</v>
      </c>
      <c r="B529" t="s">
        <v>3080</v>
      </c>
      <c r="C529" s="4">
        <v>45768</v>
      </c>
      <c r="D529">
        <v>150</v>
      </c>
      <c r="E529">
        <v>1599.72</v>
      </c>
      <c r="F529">
        <v>605.85</v>
      </c>
      <c r="G529">
        <v>993.87</v>
      </c>
      <c r="H529" t="s">
        <v>2466</v>
      </c>
      <c r="I529" t="s">
        <v>2467</v>
      </c>
      <c r="J529" t="s">
        <v>2468</v>
      </c>
      <c r="K529" t="s">
        <v>2496</v>
      </c>
      <c r="L529" t="s">
        <v>84</v>
      </c>
    </row>
    <row r="530" spans="1:12" x14ac:dyDescent="0.3">
      <c r="A530" t="s">
        <v>2470</v>
      </c>
      <c r="B530" t="s">
        <v>3081</v>
      </c>
      <c r="C530" s="4">
        <v>45679</v>
      </c>
      <c r="D530">
        <v>63</v>
      </c>
      <c r="E530">
        <v>15808.1</v>
      </c>
      <c r="F530">
        <v>2493.2600000000002</v>
      </c>
      <c r="G530">
        <v>13314.84</v>
      </c>
      <c r="H530" t="s">
        <v>2466</v>
      </c>
      <c r="I530" t="s">
        <v>2455</v>
      </c>
      <c r="J530" t="s">
        <v>2493</v>
      </c>
      <c r="K530" t="s">
        <v>2469</v>
      </c>
      <c r="L530" t="s">
        <v>84</v>
      </c>
    </row>
    <row r="531" spans="1:12" x14ac:dyDescent="0.3">
      <c r="A531" t="s">
        <v>2476</v>
      </c>
      <c r="B531" t="s">
        <v>3082</v>
      </c>
      <c r="C531" s="4">
        <v>45748</v>
      </c>
      <c r="D531">
        <v>126</v>
      </c>
      <c r="E531">
        <v>14523.24</v>
      </c>
      <c r="F531">
        <v>4571.76</v>
      </c>
      <c r="G531">
        <v>9951.48</v>
      </c>
      <c r="H531" t="s">
        <v>2454</v>
      </c>
      <c r="I531" t="s">
        <v>2455</v>
      </c>
      <c r="J531" t="s">
        <v>2468</v>
      </c>
      <c r="K531" t="s">
        <v>2457</v>
      </c>
      <c r="L531" t="s">
        <v>36</v>
      </c>
    </row>
    <row r="532" spans="1:12" x14ac:dyDescent="0.3">
      <c r="A532" t="s">
        <v>2550</v>
      </c>
      <c r="B532" t="s">
        <v>3083</v>
      </c>
      <c r="C532" s="4">
        <v>45913</v>
      </c>
      <c r="D532">
        <v>147</v>
      </c>
      <c r="E532">
        <v>6719.22</v>
      </c>
      <c r="F532">
        <v>1033.5999999999999</v>
      </c>
      <c r="G532">
        <v>5685.62</v>
      </c>
      <c r="H532" t="s">
        <v>2466</v>
      </c>
      <c r="I532" t="s">
        <v>2517</v>
      </c>
      <c r="J532" t="s">
        <v>2456</v>
      </c>
      <c r="K532" t="s">
        <v>2496</v>
      </c>
      <c r="L532" t="s">
        <v>36</v>
      </c>
    </row>
    <row r="533" spans="1:12" x14ac:dyDescent="0.3">
      <c r="A533" t="s">
        <v>2523</v>
      </c>
      <c r="B533" t="s">
        <v>3084</v>
      </c>
      <c r="C533" s="4">
        <v>45999</v>
      </c>
      <c r="D533">
        <v>48</v>
      </c>
      <c r="E533">
        <v>11463.76</v>
      </c>
      <c r="F533">
        <v>3713.61</v>
      </c>
      <c r="G533">
        <v>7750.15</v>
      </c>
      <c r="H533" t="s">
        <v>2475</v>
      </c>
      <c r="I533" t="s">
        <v>2480</v>
      </c>
      <c r="J533" t="s">
        <v>2493</v>
      </c>
      <c r="K533" t="s">
        <v>2496</v>
      </c>
      <c r="L533" t="s">
        <v>84</v>
      </c>
    </row>
    <row r="534" spans="1:12" x14ac:dyDescent="0.3">
      <c r="A534" t="s">
        <v>2626</v>
      </c>
      <c r="B534" t="s">
        <v>3085</v>
      </c>
      <c r="C534" s="4">
        <v>45696</v>
      </c>
      <c r="D534">
        <v>135</v>
      </c>
      <c r="E534">
        <v>18222.2</v>
      </c>
      <c r="F534">
        <v>3872.11</v>
      </c>
      <c r="G534">
        <v>14350.09</v>
      </c>
      <c r="H534" t="s">
        <v>2475</v>
      </c>
      <c r="I534" t="s">
        <v>2517</v>
      </c>
      <c r="J534" t="s">
        <v>2493</v>
      </c>
      <c r="K534" t="s">
        <v>2496</v>
      </c>
      <c r="L534" t="s">
        <v>32</v>
      </c>
    </row>
    <row r="535" spans="1:12" x14ac:dyDescent="0.3">
      <c r="A535" t="s">
        <v>2527</v>
      </c>
      <c r="B535" t="s">
        <v>3086</v>
      </c>
      <c r="C535" s="4">
        <v>45896</v>
      </c>
      <c r="D535">
        <v>39</v>
      </c>
      <c r="E535">
        <v>658.76</v>
      </c>
      <c r="F535">
        <v>151.46</v>
      </c>
      <c r="G535">
        <v>507.3</v>
      </c>
      <c r="H535" t="s">
        <v>2472</v>
      </c>
      <c r="I535" t="s">
        <v>2467</v>
      </c>
      <c r="J535" t="s">
        <v>2493</v>
      </c>
      <c r="K535" t="s">
        <v>2457</v>
      </c>
      <c r="L535" t="s">
        <v>84</v>
      </c>
    </row>
    <row r="536" spans="1:12" x14ac:dyDescent="0.3">
      <c r="A536" t="s">
        <v>2733</v>
      </c>
      <c r="B536" t="s">
        <v>3087</v>
      </c>
      <c r="C536" s="4">
        <v>45673</v>
      </c>
      <c r="D536">
        <v>10</v>
      </c>
      <c r="E536">
        <v>17679.09</v>
      </c>
      <c r="F536">
        <v>6963.36</v>
      </c>
      <c r="G536">
        <v>10715.73</v>
      </c>
      <c r="H536" t="s">
        <v>2466</v>
      </c>
      <c r="I536" t="s">
        <v>2517</v>
      </c>
      <c r="J536" t="s">
        <v>2462</v>
      </c>
      <c r="K536" t="s">
        <v>2457</v>
      </c>
      <c r="L536" t="s">
        <v>84</v>
      </c>
    </row>
    <row r="537" spans="1:12" x14ac:dyDescent="0.3">
      <c r="A537" t="s">
        <v>2715</v>
      </c>
      <c r="B537" t="s">
        <v>3088</v>
      </c>
      <c r="C537" s="4">
        <v>45920</v>
      </c>
      <c r="D537">
        <v>190</v>
      </c>
      <c r="E537">
        <v>14468.69</v>
      </c>
      <c r="F537">
        <v>2149.96</v>
      </c>
      <c r="G537">
        <v>12318.73</v>
      </c>
      <c r="H537" t="s">
        <v>2466</v>
      </c>
      <c r="I537" t="s">
        <v>2485</v>
      </c>
      <c r="J537" t="s">
        <v>2468</v>
      </c>
      <c r="K537" t="s">
        <v>2496</v>
      </c>
      <c r="L537" t="s">
        <v>32</v>
      </c>
    </row>
    <row r="538" spans="1:12" x14ac:dyDescent="0.3">
      <c r="A538" t="s">
        <v>2726</v>
      </c>
      <c r="B538" t="s">
        <v>3089</v>
      </c>
      <c r="C538" s="4">
        <v>45816</v>
      </c>
      <c r="D538">
        <v>193</v>
      </c>
      <c r="E538">
        <v>15827.69</v>
      </c>
      <c r="F538">
        <v>2762.81</v>
      </c>
      <c r="G538">
        <v>13064.88</v>
      </c>
      <c r="H538" t="s">
        <v>2472</v>
      </c>
      <c r="I538" t="s">
        <v>2455</v>
      </c>
      <c r="J538" t="s">
        <v>2456</v>
      </c>
      <c r="K538" t="s">
        <v>2469</v>
      </c>
      <c r="L538" t="s">
        <v>84</v>
      </c>
    </row>
    <row r="539" spans="1:12" x14ac:dyDescent="0.3">
      <c r="A539" t="s">
        <v>2550</v>
      </c>
      <c r="B539" t="s">
        <v>3090</v>
      </c>
      <c r="C539" s="4">
        <v>45742</v>
      </c>
      <c r="D539">
        <v>166</v>
      </c>
      <c r="E539">
        <v>1732</v>
      </c>
      <c r="F539">
        <v>469.26</v>
      </c>
      <c r="G539">
        <v>1262.74</v>
      </c>
      <c r="H539" t="s">
        <v>2466</v>
      </c>
      <c r="I539" t="s">
        <v>2485</v>
      </c>
      <c r="J539" t="s">
        <v>2456</v>
      </c>
      <c r="K539" t="s">
        <v>2457</v>
      </c>
      <c r="L539" t="s">
        <v>84</v>
      </c>
    </row>
    <row r="540" spans="1:12" x14ac:dyDescent="0.3">
      <c r="A540" t="s">
        <v>2607</v>
      </c>
      <c r="B540" t="s">
        <v>3091</v>
      </c>
      <c r="C540" s="4">
        <v>45865</v>
      </c>
      <c r="D540">
        <v>54</v>
      </c>
      <c r="E540">
        <v>17452.93</v>
      </c>
      <c r="F540">
        <v>4743.59</v>
      </c>
      <c r="G540">
        <v>12709.34</v>
      </c>
      <c r="H540" t="s">
        <v>2472</v>
      </c>
      <c r="I540" t="s">
        <v>2480</v>
      </c>
      <c r="J540" t="s">
        <v>2468</v>
      </c>
      <c r="K540" t="s">
        <v>2496</v>
      </c>
      <c r="L540" t="s">
        <v>84</v>
      </c>
    </row>
    <row r="541" spans="1:12" x14ac:dyDescent="0.3">
      <c r="A541" t="s">
        <v>2509</v>
      </c>
      <c r="B541" t="s">
        <v>3092</v>
      </c>
      <c r="C541" s="4">
        <v>45755</v>
      </c>
      <c r="D541">
        <v>7</v>
      </c>
      <c r="E541">
        <v>1940.25</v>
      </c>
      <c r="F541">
        <v>815.81</v>
      </c>
      <c r="G541">
        <v>1124.44</v>
      </c>
      <c r="H541" t="s">
        <v>2460</v>
      </c>
      <c r="I541" t="s">
        <v>2455</v>
      </c>
      <c r="J541" t="s">
        <v>2456</v>
      </c>
      <c r="K541" t="s">
        <v>2496</v>
      </c>
      <c r="L541" t="s">
        <v>23</v>
      </c>
    </row>
    <row r="542" spans="1:12" x14ac:dyDescent="0.3">
      <c r="A542" t="s">
        <v>2597</v>
      </c>
      <c r="B542" t="s">
        <v>3093</v>
      </c>
      <c r="C542" s="4">
        <v>45686</v>
      </c>
      <c r="D542">
        <v>22</v>
      </c>
      <c r="E542">
        <v>4287.3</v>
      </c>
      <c r="F542">
        <v>1125.8699999999999</v>
      </c>
      <c r="G542">
        <v>3161.43</v>
      </c>
      <c r="H542" t="s">
        <v>2472</v>
      </c>
      <c r="I542" t="s">
        <v>2488</v>
      </c>
      <c r="J542" t="s">
        <v>2468</v>
      </c>
      <c r="K542" t="s">
        <v>2457</v>
      </c>
      <c r="L542" t="s">
        <v>32</v>
      </c>
    </row>
    <row r="543" spans="1:12" x14ac:dyDescent="0.3">
      <c r="A543" t="s">
        <v>2741</v>
      </c>
      <c r="B543" t="s">
        <v>3094</v>
      </c>
      <c r="C543" s="4">
        <v>45740</v>
      </c>
      <c r="D543">
        <v>39</v>
      </c>
      <c r="E543">
        <v>2399.64</v>
      </c>
      <c r="F543">
        <v>1048.73</v>
      </c>
      <c r="G543">
        <v>1350.91</v>
      </c>
      <c r="H543" t="s">
        <v>2454</v>
      </c>
      <c r="I543" t="s">
        <v>2461</v>
      </c>
      <c r="J543" t="s">
        <v>2462</v>
      </c>
      <c r="K543" t="s">
        <v>2496</v>
      </c>
      <c r="L543" t="s">
        <v>32</v>
      </c>
    </row>
    <row r="544" spans="1:12" x14ac:dyDescent="0.3">
      <c r="A544" t="s">
        <v>2748</v>
      </c>
      <c r="B544" t="s">
        <v>3095</v>
      </c>
      <c r="C544" s="4">
        <v>45705</v>
      </c>
      <c r="D544">
        <v>198</v>
      </c>
      <c r="E544">
        <v>14945.82</v>
      </c>
      <c r="F544">
        <v>6939.42</v>
      </c>
      <c r="G544">
        <v>8006.4</v>
      </c>
      <c r="H544" t="s">
        <v>2472</v>
      </c>
      <c r="I544" t="s">
        <v>2461</v>
      </c>
      <c r="J544" t="s">
        <v>2462</v>
      </c>
      <c r="K544" t="s">
        <v>2463</v>
      </c>
      <c r="L544" t="s">
        <v>12</v>
      </c>
    </row>
    <row r="545" spans="1:12" x14ac:dyDescent="0.3">
      <c r="A545" t="s">
        <v>2575</v>
      </c>
      <c r="B545" t="s">
        <v>3096</v>
      </c>
      <c r="C545" s="4">
        <v>45856</v>
      </c>
      <c r="D545">
        <v>31</v>
      </c>
      <c r="E545">
        <v>12388.41</v>
      </c>
      <c r="F545">
        <v>6036.04</v>
      </c>
      <c r="G545">
        <v>6352.37</v>
      </c>
      <c r="H545" t="s">
        <v>2475</v>
      </c>
      <c r="I545" t="s">
        <v>2485</v>
      </c>
      <c r="J545" t="s">
        <v>2462</v>
      </c>
      <c r="K545" t="s">
        <v>2496</v>
      </c>
      <c r="L545" t="s">
        <v>84</v>
      </c>
    </row>
    <row r="546" spans="1:12" x14ac:dyDescent="0.3">
      <c r="A546" t="s">
        <v>2554</v>
      </c>
      <c r="B546" t="s">
        <v>3097</v>
      </c>
      <c r="C546" s="4">
        <v>45817</v>
      </c>
      <c r="D546">
        <v>76</v>
      </c>
      <c r="E546">
        <v>11480.49</v>
      </c>
      <c r="F546">
        <v>3758.95</v>
      </c>
      <c r="G546">
        <v>7721.54</v>
      </c>
      <c r="H546" t="s">
        <v>2460</v>
      </c>
      <c r="I546" t="s">
        <v>2455</v>
      </c>
      <c r="J546" t="s">
        <v>2456</v>
      </c>
      <c r="K546" t="s">
        <v>2496</v>
      </c>
      <c r="L546" t="s">
        <v>23</v>
      </c>
    </row>
    <row r="547" spans="1:12" x14ac:dyDescent="0.3">
      <c r="A547" t="s">
        <v>2577</v>
      </c>
      <c r="B547" t="s">
        <v>3098</v>
      </c>
      <c r="C547" s="4">
        <v>45721</v>
      </c>
      <c r="D547">
        <v>134</v>
      </c>
      <c r="E547">
        <v>2162.23</v>
      </c>
      <c r="F547">
        <v>420.03</v>
      </c>
      <c r="G547">
        <v>1742.2</v>
      </c>
      <c r="H547" t="s">
        <v>2460</v>
      </c>
      <c r="I547" t="s">
        <v>2467</v>
      </c>
      <c r="J547" t="s">
        <v>2456</v>
      </c>
      <c r="K547" t="s">
        <v>2463</v>
      </c>
      <c r="L547" t="s">
        <v>32</v>
      </c>
    </row>
    <row r="548" spans="1:12" x14ac:dyDescent="0.3">
      <c r="A548" t="s">
        <v>2491</v>
      </c>
      <c r="B548" t="s">
        <v>3099</v>
      </c>
      <c r="C548" s="4">
        <v>45981</v>
      </c>
      <c r="D548">
        <v>143</v>
      </c>
      <c r="E548">
        <v>13692.53</v>
      </c>
      <c r="F548">
        <v>3421.22</v>
      </c>
      <c r="G548">
        <v>10271.31</v>
      </c>
      <c r="H548" t="s">
        <v>2475</v>
      </c>
      <c r="I548" t="s">
        <v>2485</v>
      </c>
      <c r="J548" t="s">
        <v>2456</v>
      </c>
      <c r="K548" t="s">
        <v>2469</v>
      </c>
      <c r="L548" t="s">
        <v>36</v>
      </c>
    </row>
    <row r="549" spans="1:12" x14ac:dyDescent="0.3">
      <c r="A549" t="s">
        <v>2575</v>
      </c>
      <c r="B549" t="s">
        <v>3100</v>
      </c>
      <c r="C549" s="4">
        <v>45965</v>
      </c>
      <c r="D549">
        <v>74</v>
      </c>
      <c r="E549">
        <v>7573.98</v>
      </c>
      <c r="F549">
        <v>3735.14</v>
      </c>
      <c r="G549">
        <v>3838.84</v>
      </c>
      <c r="H549" t="s">
        <v>2466</v>
      </c>
      <c r="I549" t="s">
        <v>2455</v>
      </c>
      <c r="J549" t="s">
        <v>2493</v>
      </c>
      <c r="K549" t="s">
        <v>2469</v>
      </c>
      <c r="L549" t="s">
        <v>12</v>
      </c>
    </row>
    <row r="550" spans="1:12" x14ac:dyDescent="0.3">
      <c r="A550" t="s">
        <v>2609</v>
      </c>
      <c r="B550" t="s">
        <v>3101</v>
      </c>
      <c r="C550" s="4">
        <v>45898</v>
      </c>
      <c r="D550">
        <v>190</v>
      </c>
      <c r="E550">
        <v>14746.07</v>
      </c>
      <c r="F550">
        <v>7365.74</v>
      </c>
      <c r="G550">
        <v>7380.33</v>
      </c>
      <c r="H550" t="s">
        <v>2475</v>
      </c>
      <c r="I550" t="s">
        <v>2485</v>
      </c>
      <c r="J550" t="s">
        <v>2468</v>
      </c>
      <c r="K550" t="s">
        <v>2457</v>
      </c>
      <c r="L550" t="s">
        <v>12</v>
      </c>
    </row>
    <row r="551" spans="1:12" x14ac:dyDescent="0.3">
      <c r="A551" t="s">
        <v>2748</v>
      </c>
      <c r="B551" t="s">
        <v>3102</v>
      </c>
      <c r="C551" s="4">
        <v>45999</v>
      </c>
      <c r="D551">
        <v>117</v>
      </c>
      <c r="E551">
        <v>2461.14</v>
      </c>
      <c r="F551">
        <v>959.39</v>
      </c>
      <c r="G551">
        <v>1501.75</v>
      </c>
      <c r="H551" t="s">
        <v>2454</v>
      </c>
      <c r="I551" t="s">
        <v>2485</v>
      </c>
      <c r="J551" t="s">
        <v>2493</v>
      </c>
      <c r="K551" t="s">
        <v>2469</v>
      </c>
      <c r="L551" t="s">
        <v>36</v>
      </c>
    </row>
    <row r="552" spans="1:12" x14ac:dyDescent="0.3">
      <c r="A552" t="s">
        <v>2483</v>
      </c>
      <c r="B552" t="s">
        <v>3103</v>
      </c>
      <c r="C552" s="4">
        <v>45926</v>
      </c>
      <c r="D552">
        <v>34</v>
      </c>
      <c r="E552">
        <v>4319.05</v>
      </c>
      <c r="F552">
        <v>2112.81</v>
      </c>
      <c r="G552">
        <v>2206.2399999999998</v>
      </c>
      <c r="H552" t="s">
        <v>2472</v>
      </c>
      <c r="I552" t="s">
        <v>2467</v>
      </c>
      <c r="J552" t="s">
        <v>2456</v>
      </c>
      <c r="K552" t="s">
        <v>2496</v>
      </c>
      <c r="L552" t="s">
        <v>12</v>
      </c>
    </row>
    <row r="553" spans="1:12" x14ac:dyDescent="0.3">
      <c r="A553" t="s">
        <v>2556</v>
      </c>
      <c r="B553" t="s">
        <v>3104</v>
      </c>
      <c r="C553" s="4">
        <v>45721</v>
      </c>
      <c r="D553">
        <v>32</v>
      </c>
      <c r="E553">
        <v>7300.27</v>
      </c>
      <c r="F553">
        <v>3177.21</v>
      </c>
      <c r="G553">
        <v>4123.0600000000004</v>
      </c>
      <c r="H553" t="s">
        <v>2475</v>
      </c>
      <c r="I553" t="s">
        <v>2517</v>
      </c>
      <c r="J553" t="s">
        <v>2493</v>
      </c>
      <c r="K553" t="s">
        <v>2463</v>
      </c>
      <c r="L553" t="s">
        <v>23</v>
      </c>
    </row>
    <row r="554" spans="1:12" x14ac:dyDescent="0.3">
      <c r="A554" t="s">
        <v>2624</v>
      </c>
      <c r="B554" t="s">
        <v>3105</v>
      </c>
      <c r="C554" s="4">
        <v>45795</v>
      </c>
      <c r="D554">
        <v>185</v>
      </c>
      <c r="E554">
        <v>14458.8</v>
      </c>
      <c r="F554">
        <v>6735.64</v>
      </c>
      <c r="G554">
        <v>7723.16</v>
      </c>
      <c r="H554" t="s">
        <v>2454</v>
      </c>
      <c r="I554" t="s">
        <v>2480</v>
      </c>
      <c r="J554" t="s">
        <v>2462</v>
      </c>
      <c r="K554" t="s">
        <v>2496</v>
      </c>
      <c r="L554" t="s">
        <v>84</v>
      </c>
    </row>
    <row r="555" spans="1:12" x14ac:dyDescent="0.3">
      <c r="A555" t="s">
        <v>2575</v>
      </c>
      <c r="B555" t="s">
        <v>3106</v>
      </c>
      <c r="C555" s="4">
        <v>45960</v>
      </c>
      <c r="D555">
        <v>136</v>
      </c>
      <c r="E555">
        <v>13036.88</v>
      </c>
      <c r="F555">
        <v>1819.32</v>
      </c>
      <c r="G555">
        <v>11217.56</v>
      </c>
      <c r="H555" t="s">
        <v>2460</v>
      </c>
      <c r="I555" t="s">
        <v>2485</v>
      </c>
      <c r="J555" t="s">
        <v>2493</v>
      </c>
      <c r="K555" t="s">
        <v>2496</v>
      </c>
      <c r="L555" t="s">
        <v>23</v>
      </c>
    </row>
    <row r="556" spans="1:12" x14ac:dyDescent="0.3">
      <c r="A556" t="s">
        <v>2733</v>
      </c>
      <c r="B556" t="s">
        <v>3107</v>
      </c>
      <c r="C556" s="4">
        <v>45660</v>
      </c>
      <c r="D556">
        <v>182</v>
      </c>
      <c r="E556">
        <v>17342.439999999999</v>
      </c>
      <c r="F556">
        <v>8446.58</v>
      </c>
      <c r="G556">
        <v>8895.86</v>
      </c>
      <c r="H556" t="s">
        <v>2472</v>
      </c>
      <c r="I556" t="s">
        <v>2488</v>
      </c>
      <c r="J556" t="s">
        <v>2456</v>
      </c>
      <c r="K556" t="s">
        <v>2469</v>
      </c>
      <c r="L556" t="s">
        <v>32</v>
      </c>
    </row>
    <row r="557" spans="1:12" x14ac:dyDescent="0.3">
      <c r="A557" t="s">
        <v>2611</v>
      </c>
      <c r="B557" t="s">
        <v>3108</v>
      </c>
      <c r="C557" s="4">
        <v>45796</v>
      </c>
      <c r="D557">
        <v>197</v>
      </c>
      <c r="E557">
        <v>12832.79</v>
      </c>
      <c r="F557">
        <v>4524.5</v>
      </c>
      <c r="G557">
        <v>8308.2900000000009</v>
      </c>
      <c r="H557" t="s">
        <v>2460</v>
      </c>
      <c r="I557" t="s">
        <v>2488</v>
      </c>
      <c r="J557" t="s">
        <v>2493</v>
      </c>
      <c r="K557" t="s">
        <v>2457</v>
      </c>
      <c r="L557" t="s">
        <v>12</v>
      </c>
    </row>
    <row r="558" spans="1:12" x14ac:dyDescent="0.3">
      <c r="A558" t="s">
        <v>2509</v>
      </c>
      <c r="B558" t="s">
        <v>3109</v>
      </c>
      <c r="C558" s="4">
        <v>45795</v>
      </c>
      <c r="D558">
        <v>73</v>
      </c>
      <c r="E558">
        <v>8560.89</v>
      </c>
      <c r="F558">
        <v>3689.8</v>
      </c>
      <c r="G558">
        <v>4871.09</v>
      </c>
      <c r="H558" t="s">
        <v>2475</v>
      </c>
      <c r="I558" t="s">
        <v>2508</v>
      </c>
      <c r="J558" t="s">
        <v>2462</v>
      </c>
      <c r="K558" t="s">
        <v>2463</v>
      </c>
      <c r="L558" t="s">
        <v>12</v>
      </c>
    </row>
    <row r="559" spans="1:12" x14ac:dyDescent="0.3">
      <c r="A559" t="s">
        <v>2547</v>
      </c>
      <c r="B559" t="s">
        <v>3110</v>
      </c>
      <c r="C559" s="4">
        <v>46011</v>
      </c>
      <c r="D559">
        <v>112</v>
      </c>
      <c r="E559">
        <v>154.37</v>
      </c>
      <c r="F559">
        <v>74.459999999999994</v>
      </c>
      <c r="G559">
        <v>79.91</v>
      </c>
      <c r="H559" t="s">
        <v>2472</v>
      </c>
      <c r="I559" t="s">
        <v>2488</v>
      </c>
      <c r="J559" t="s">
        <v>2456</v>
      </c>
      <c r="K559" t="s">
        <v>2463</v>
      </c>
      <c r="L559" t="s">
        <v>84</v>
      </c>
    </row>
    <row r="560" spans="1:12" x14ac:dyDescent="0.3">
      <c r="A560" t="s">
        <v>2473</v>
      </c>
      <c r="B560" t="s">
        <v>3111</v>
      </c>
      <c r="C560" s="4">
        <v>45752</v>
      </c>
      <c r="D560">
        <v>189</v>
      </c>
      <c r="E560">
        <v>15871.35</v>
      </c>
      <c r="F560">
        <v>4419.58</v>
      </c>
      <c r="G560">
        <v>11451.77</v>
      </c>
      <c r="H560" t="s">
        <v>2472</v>
      </c>
      <c r="I560" t="s">
        <v>2517</v>
      </c>
      <c r="J560" t="s">
        <v>2462</v>
      </c>
      <c r="K560" t="s">
        <v>2469</v>
      </c>
      <c r="L560" t="s">
        <v>23</v>
      </c>
    </row>
    <row r="561" spans="1:12" x14ac:dyDescent="0.3">
      <c r="A561" t="s">
        <v>2649</v>
      </c>
      <c r="B561" t="s">
        <v>3112</v>
      </c>
      <c r="C561" s="4">
        <v>45850</v>
      </c>
      <c r="D561">
        <v>109</v>
      </c>
      <c r="E561">
        <v>10373.969999999999</v>
      </c>
      <c r="F561">
        <v>2928.06</v>
      </c>
      <c r="G561">
        <v>7445.91</v>
      </c>
      <c r="H561" t="s">
        <v>2466</v>
      </c>
      <c r="I561" t="s">
        <v>2488</v>
      </c>
      <c r="J561" t="s">
        <v>2493</v>
      </c>
      <c r="K561" t="s">
        <v>2457</v>
      </c>
      <c r="L561" t="s">
        <v>84</v>
      </c>
    </row>
    <row r="562" spans="1:12" x14ac:dyDescent="0.3">
      <c r="A562" t="s">
        <v>2541</v>
      </c>
      <c r="B562" t="s">
        <v>3113</v>
      </c>
      <c r="C562" s="4">
        <v>45676</v>
      </c>
      <c r="D562">
        <v>8</v>
      </c>
      <c r="E562">
        <v>17381.810000000001</v>
      </c>
      <c r="F562">
        <v>7938.75</v>
      </c>
      <c r="G562">
        <v>9443.06</v>
      </c>
      <c r="H562" t="s">
        <v>2460</v>
      </c>
      <c r="I562" t="s">
        <v>2480</v>
      </c>
      <c r="J562" t="s">
        <v>2462</v>
      </c>
      <c r="K562" t="s">
        <v>2463</v>
      </c>
      <c r="L562" t="s">
        <v>36</v>
      </c>
    </row>
    <row r="563" spans="1:12" x14ac:dyDescent="0.3">
      <c r="A563" t="s">
        <v>2473</v>
      </c>
      <c r="B563" t="s">
        <v>3114</v>
      </c>
      <c r="C563" s="4">
        <v>46016</v>
      </c>
      <c r="D563">
        <v>116</v>
      </c>
      <c r="E563">
        <v>2123.16</v>
      </c>
      <c r="F563">
        <v>1015.82</v>
      </c>
      <c r="G563">
        <v>1107.3399999999999</v>
      </c>
      <c r="H563" t="s">
        <v>2475</v>
      </c>
      <c r="I563" t="s">
        <v>2485</v>
      </c>
      <c r="J563" t="s">
        <v>2456</v>
      </c>
      <c r="K563" t="s">
        <v>2463</v>
      </c>
      <c r="L563" t="s">
        <v>32</v>
      </c>
    </row>
    <row r="564" spans="1:12" x14ac:dyDescent="0.3">
      <c r="A564" t="s">
        <v>2545</v>
      </c>
      <c r="B564" t="s">
        <v>3115</v>
      </c>
      <c r="C564" s="4">
        <v>45718</v>
      </c>
      <c r="D564">
        <v>71</v>
      </c>
      <c r="E564">
        <v>9891.4599999999991</v>
      </c>
      <c r="F564">
        <v>4156.41</v>
      </c>
      <c r="G564">
        <v>5735.05</v>
      </c>
      <c r="H564" t="s">
        <v>2454</v>
      </c>
      <c r="I564" t="s">
        <v>2467</v>
      </c>
      <c r="J564" t="s">
        <v>2456</v>
      </c>
      <c r="K564" t="s">
        <v>2496</v>
      </c>
      <c r="L564" t="s">
        <v>36</v>
      </c>
    </row>
    <row r="565" spans="1:12" x14ac:dyDescent="0.3">
      <c r="A565" t="s">
        <v>2536</v>
      </c>
      <c r="B565" t="s">
        <v>3116</v>
      </c>
      <c r="C565" s="4">
        <v>45685</v>
      </c>
      <c r="D565">
        <v>112</v>
      </c>
      <c r="E565">
        <v>3716.34</v>
      </c>
      <c r="F565">
        <v>1067.79</v>
      </c>
      <c r="G565">
        <v>2648.55</v>
      </c>
      <c r="H565" t="s">
        <v>2466</v>
      </c>
      <c r="I565" t="s">
        <v>2485</v>
      </c>
      <c r="J565" t="s">
        <v>2462</v>
      </c>
      <c r="K565" t="s">
        <v>2457</v>
      </c>
      <c r="L565" t="s">
        <v>23</v>
      </c>
    </row>
    <row r="566" spans="1:12" x14ac:dyDescent="0.3">
      <c r="A566" t="s">
        <v>2483</v>
      </c>
      <c r="B566" t="s">
        <v>3117</v>
      </c>
      <c r="C566" s="4">
        <v>45772</v>
      </c>
      <c r="D566">
        <v>8</v>
      </c>
      <c r="E566">
        <v>4170.78</v>
      </c>
      <c r="F566">
        <v>1149.04</v>
      </c>
      <c r="G566">
        <v>3021.74</v>
      </c>
      <c r="H566" t="s">
        <v>2460</v>
      </c>
      <c r="I566" t="s">
        <v>2455</v>
      </c>
      <c r="J566" t="s">
        <v>2468</v>
      </c>
      <c r="K566" t="s">
        <v>2457</v>
      </c>
      <c r="L566" t="s">
        <v>12</v>
      </c>
    </row>
    <row r="567" spans="1:12" x14ac:dyDescent="0.3">
      <c r="A567" t="s">
        <v>2530</v>
      </c>
      <c r="B567" t="s">
        <v>3118</v>
      </c>
      <c r="C567" s="4">
        <v>45938</v>
      </c>
      <c r="D567">
        <v>112</v>
      </c>
      <c r="E567">
        <v>17803.77</v>
      </c>
      <c r="F567">
        <v>5791.15</v>
      </c>
      <c r="G567">
        <v>12012.62</v>
      </c>
      <c r="H567" t="s">
        <v>2475</v>
      </c>
      <c r="I567" t="s">
        <v>2488</v>
      </c>
      <c r="J567" t="s">
        <v>2493</v>
      </c>
      <c r="K567" t="s">
        <v>2463</v>
      </c>
      <c r="L567" t="s">
        <v>12</v>
      </c>
    </row>
    <row r="568" spans="1:12" x14ac:dyDescent="0.3">
      <c r="A568" t="s">
        <v>2634</v>
      </c>
      <c r="B568" t="s">
        <v>3119</v>
      </c>
      <c r="C568" s="4">
        <v>45707</v>
      </c>
      <c r="D568">
        <v>36</v>
      </c>
      <c r="E568">
        <v>14019.6</v>
      </c>
      <c r="F568">
        <v>4346.0600000000004</v>
      </c>
      <c r="G568">
        <v>9673.5400000000009</v>
      </c>
      <c r="H568" t="s">
        <v>2472</v>
      </c>
      <c r="I568" t="s">
        <v>2480</v>
      </c>
      <c r="J568" t="s">
        <v>2493</v>
      </c>
      <c r="K568" t="s">
        <v>2457</v>
      </c>
      <c r="L568" t="s">
        <v>84</v>
      </c>
    </row>
    <row r="569" spans="1:12" x14ac:dyDescent="0.3">
      <c r="A569" t="s">
        <v>2880</v>
      </c>
      <c r="B569" t="s">
        <v>3120</v>
      </c>
      <c r="C569" s="4">
        <v>45718</v>
      </c>
      <c r="D569">
        <v>80</v>
      </c>
      <c r="E569">
        <v>19305.11</v>
      </c>
      <c r="F569">
        <v>4812.09</v>
      </c>
      <c r="G569">
        <v>14493.02</v>
      </c>
      <c r="H569" t="s">
        <v>2472</v>
      </c>
      <c r="I569" t="s">
        <v>2488</v>
      </c>
      <c r="J569" t="s">
        <v>2456</v>
      </c>
      <c r="K569" t="s">
        <v>2463</v>
      </c>
      <c r="L569" t="s">
        <v>32</v>
      </c>
    </row>
    <row r="570" spans="1:12" x14ac:dyDescent="0.3">
      <c r="A570" t="s">
        <v>2523</v>
      </c>
      <c r="B570" t="s">
        <v>3121</v>
      </c>
      <c r="C570" s="4">
        <v>45774</v>
      </c>
      <c r="D570">
        <v>120</v>
      </c>
      <c r="E570">
        <v>2574.04</v>
      </c>
      <c r="F570">
        <v>1027.23</v>
      </c>
      <c r="G570">
        <v>1546.81</v>
      </c>
      <c r="H570" t="s">
        <v>2472</v>
      </c>
      <c r="I570" t="s">
        <v>2508</v>
      </c>
      <c r="J570" t="s">
        <v>2468</v>
      </c>
      <c r="K570" t="s">
        <v>2463</v>
      </c>
      <c r="L570" t="s">
        <v>36</v>
      </c>
    </row>
    <row r="571" spans="1:12" x14ac:dyDescent="0.3">
      <c r="A571" t="s">
        <v>2520</v>
      </c>
      <c r="B571" t="s">
        <v>3122</v>
      </c>
      <c r="C571" s="4">
        <v>45705</v>
      </c>
      <c r="D571">
        <v>1</v>
      </c>
      <c r="E571">
        <v>6369.43</v>
      </c>
      <c r="F571">
        <v>1483.54</v>
      </c>
      <c r="G571">
        <v>4885.8900000000003</v>
      </c>
      <c r="H571" t="s">
        <v>2472</v>
      </c>
      <c r="I571" t="s">
        <v>2485</v>
      </c>
      <c r="J571" t="s">
        <v>2468</v>
      </c>
      <c r="K571" t="s">
        <v>2463</v>
      </c>
      <c r="L571" t="s">
        <v>36</v>
      </c>
    </row>
    <row r="572" spans="1:12" x14ac:dyDescent="0.3">
      <c r="A572" t="s">
        <v>2491</v>
      </c>
      <c r="B572" t="s">
        <v>3123</v>
      </c>
      <c r="C572" s="4">
        <v>45983</v>
      </c>
      <c r="D572">
        <v>151</v>
      </c>
      <c r="E572">
        <v>6022.81</v>
      </c>
      <c r="F572">
        <v>1011.52</v>
      </c>
      <c r="G572">
        <v>5011.29</v>
      </c>
      <c r="H572" t="s">
        <v>2454</v>
      </c>
      <c r="I572" t="s">
        <v>2461</v>
      </c>
      <c r="J572" t="s">
        <v>2462</v>
      </c>
      <c r="K572" t="s">
        <v>2496</v>
      </c>
      <c r="L572" t="s">
        <v>36</v>
      </c>
    </row>
    <row r="573" spans="1:12" x14ac:dyDescent="0.3">
      <c r="A573" t="s">
        <v>2670</v>
      </c>
      <c r="B573" t="s">
        <v>3124</v>
      </c>
      <c r="C573" s="4">
        <v>45746</v>
      </c>
      <c r="D573">
        <v>152</v>
      </c>
      <c r="E573">
        <v>8836.4500000000007</v>
      </c>
      <c r="F573">
        <v>3993.09</v>
      </c>
      <c r="G573">
        <v>4843.3599999999997</v>
      </c>
      <c r="H573" t="s">
        <v>2454</v>
      </c>
      <c r="I573" t="s">
        <v>2461</v>
      </c>
      <c r="J573" t="s">
        <v>2493</v>
      </c>
      <c r="K573" t="s">
        <v>2463</v>
      </c>
      <c r="L573" t="s">
        <v>36</v>
      </c>
    </row>
    <row r="574" spans="1:12" x14ac:dyDescent="0.3">
      <c r="A574" t="s">
        <v>2880</v>
      </c>
      <c r="B574" t="s">
        <v>3125</v>
      </c>
      <c r="C574" s="4">
        <v>45869</v>
      </c>
      <c r="D574">
        <v>39</v>
      </c>
      <c r="E574">
        <v>4404.04</v>
      </c>
      <c r="F574">
        <v>1697.04</v>
      </c>
      <c r="G574">
        <v>2707</v>
      </c>
      <c r="H574" t="s">
        <v>2472</v>
      </c>
      <c r="I574" t="s">
        <v>2517</v>
      </c>
      <c r="J574" t="s">
        <v>2462</v>
      </c>
      <c r="K574" t="s">
        <v>2469</v>
      </c>
      <c r="L574" t="s">
        <v>12</v>
      </c>
    </row>
    <row r="575" spans="1:12" x14ac:dyDescent="0.3">
      <c r="A575" t="s">
        <v>2554</v>
      </c>
      <c r="B575" t="s">
        <v>3126</v>
      </c>
      <c r="C575" s="4">
        <v>46005</v>
      </c>
      <c r="D575">
        <v>45</v>
      </c>
      <c r="E575">
        <v>15267.68</v>
      </c>
      <c r="F575">
        <v>4965.7</v>
      </c>
      <c r="G575">
        <v>10301.98</v>
      </c>
      <c r="H575" t="s">
        <v>2475</v>
      </c>
      <c r="I575" t="s">
        <v>2508</v>
      </c>
      <c r="J575" t="s">
        <v>2456</v>
      </c>
      <c r="K575" t="s">
        <v>2457</v>
      </c>
      <c r="L575" t="s">
        <v>36</v>
      </c>
    </row>
    <row r="576" spans="1:12" x14ac:dyDescent="0.3">
      <c r="A576" t="s">
        <v>2748</v>
      </c>
      <c r="B576" t="s">
        <v>3127</v>
      </c>
      <c r="C576" s="4">
        <v>45673</v>
      </c>
      <c r="D576">
        <v>68</v>
      </c>
      <c r="E576">
        <v>3386.34</v>
      </c>
      <c r="F576">
        <v>1109.6500000000001</v>
      </c>
      <c r="G576">
        <v>2276.69</v>
      </c>
      <c r="H576" t="s">
        <v>2475</v>
      </c>
      <c r="I576" t="s">
        <v>2480</v>
      </c>
      <c r="J576" t="s">
        <v>2468</v>
      </c>
      <c r="K576" t="s">
        <v>2457</v>
      </c>
      <c r="L576" t="s">
        <v>32</v>
      </c>
    </row>
    <row r="577" spans="1:12" x14ac:dyDescent="0.3">
      <c r="A577" t="s">
        <v>2655</v>
      </c>
      <c r="B577" t="s">
        <v>3128</v>
      </c>
      <c r="C577" s="4">
        <v>45895</v>
      </c>
      <c r="D577">
        <v>139</v>
      </c>
      <c r="E577">
        <v>16900.59</v>
      </c>
      <c r="F577">
        <v>7735.8</v>
      </c>
      <c r="G577">
        <v>9164.7900000000009</v>
      </c>
      <c r="H577" t="s">
        <v>2454</v>
      </c>
      <c r="I577" t="s">
        <v>2480</v>
      </c>
      <c r="J577" t="s">
        <v>2468</v>
      </c>
      <c r="K577" t="s">
        <v>2463</v>
      </c>
      <c r="L577" t="s">
        <v>84</v>
      </c>
    </row>
    <row r="578" spans="1:12" x14ac:dyDescent="0.3">
      <c r="A578" t="s">
        <v>2538</v>
      </c>
      <c r="B578" t="s">
        <v>3129</v>
      </c>
      <c r="C578" s="4">
        <v>45906</v>
      </c>
      <c r="D578">
        <v>22</v>
      </c>
      <c r="E578">
        <v>4780.6899999999996</v>
      </c>
      <c r="F578">
        <v>1081.69</v>
      </c>
      <c r="G578">
        <v>3699</v>
      </c>
      <c r="H578" t="s">
        <v>2466</v>
      </c>
      <c r="I578" t="s">
        <v>2517</v>
      </c>
      <c r="J578" t="s">
        <v>2468</v>
      </c>
      <c r="K578" t="s">
        <v>2463</v>
      </c>
      <c r="L578" t="s">
        <v>36</v>
      </c>
    </row>
    <row r="579" spans="1:12" x14ac:dyDescent="0.3">
      <c r="A579" t="s">
        <v>2649</v>
      </c>
      <c r="B579" t="s">
        <v>3130</v>
      </c>
      <c r="C579" s="4">
        <v>46001</v>
      </c>
      <c r="D579">
        <v>188</v>
      </c>
      <c r="E579">
        <v>16741.98</v>
      </c>
      <c r="F579">
        <v>4998.1499999999996</v>
      </c>
      <c r="G579">
        <v>11743.83</v>
      </c>
      <c r="H579" t="s">
        <v>2466</v>
      </c>
      <c r="I579" t="s">
        <v>2508</v>
      </c>
      <c r="J579" t="s">
        <v>2456</v>
      </c>
      <c r="K579" t="s">
        <v>2463</v>
      </c>
      <c r="L579" t="s">
        <v>12</v>
      </c>
    </row>
    <row r="580" spans="1:12" x14ac:dyDescent="0.3">
      <c r="A580" t="s">
        <v>2726</v>
      </c>
      <c r="B580" t="s">
        <v>3131</v>
      </c>
      <c r="C580" s="4">
        <v>45775</v>
      </c>
      <c r="D580">
        <v>78</v>
      </c>
      <c r="E580">
        <v>10748.57</v>
      </c>
      <c r="F580">
        <v>4683.3</v>
      </c>
      <c r="G580">
        <v>6065.27</v>
      </c>
      <c r="H580" t="s">
        <v>2472</v>
      </c>
      <c r="I580" t="s">
        <v>2517</v>
      </c>
      <c r="J580" t="s">
        <v>2493</v>
      </c>
      <c r="K580" t="s">
        <v>2496</v>
      </c>
      <c r="L580" t="s">
        <v>12</v>
      </c>
    </row>
    <row r="581" spans="1:12" x14ac:dyDescent="0.3">
      <c r="A581" t="s">
        <v>2626</v>
      </c>
      <c r="B581" t="s">
        <v>3132</v>
      </c>
      <c r="C581" s="4">
        <v>46022</v>
      </c>
      <c r="D581">
        <v>96</v>
      </c>
      <c r="E581">
        <v>8809.59</v>
      </c>
      <c r="F581">
        <v>4364.1499999999996</v>
      </c>
      <c r="G581">
        <v>4445.4399999999996</v>
      </c>
      <c r="H581" t="s">
        <v>2475</v>
      </c>
      <c r="I581" t="s">
        <v>2480</v>
      </c>
      <c r="J581" t="s">
        <v>2456</v>
      </c>
      <c r="K581" t="s">
        <v>2469</v>
      </c>
      <c r="L581" t="s">
        <v>23</v>
      </c>
    </row>
    <row r="582" spans="1:12" x14ac:dyDescent="0.3">
      <c r="A582" t="s">
        <v>2673</v>
      </c>
      <c r="B582" t="s">
        <v>3133</v>
      </c>
      <c r="C582" s="4">
        <v>45663</v>
      </c>
      <c r="D582">
        <v>122</v>
      </c>
      <c r="E582">
        <v>6471.94</v>
      </c>
      <c r="F582">
        <v>1510.33</v>
      </c>
      <c r="G582">
        <v>4961.6099999999997</v>
      </c>
      <c r="H582" t="s">
        <v>2475</v>
      </c>
      <c r="I582" t="s">
        <v>2455</v>
      </c>
      <c r="J582" t="s">
        <v>2462</v>
      </c>
      <c r="K582" t="s">
        <v>2463</v>
      </c>
      <c r="L582" t="s">
        <v>32</v>
      </c>
    </row>
    <row r="583" spans="1:12" x14ac:dyDescent="0.3">
      <c r="A583" t="s">
        <v>2476</v>
      </c>
      <c r="B583" t="s">
        <v>3134</v>
      </c>
      <c r="C583" s="4">
        <v>45781</v>
      </c>
      <c r="D583">
        <v>196</v>
      </c>
      <c r="E583">
        <v>12994.24</v>
      </c>
      <c r="F583">
        <v>6060.34</v>
      </c>
      <c r="G583">
        <v>6933.9</v>
      </c>
      <c r="H583" t="s">
        <v>2475</v>
      </c>
      <c r="I583" t="s">
        <v>2517</v>
      </c>
      <c r="J583" t="s">
        <v>2493</v>
      </c>
      <c r="K583" t="s">
        <v>2496</v>
      </c>
      <c r="L583" t="s">
        <v>23</v>
      </c>
    </row>
    <row r="584" spans="1:12" x14ac:dyDescent="0.3">
      <c r="A584" t="s">
        <v>2511</v>
      </c>
      <c r="B584" t="s">
        <v>3135</v>
      </c>
      <c r="C584" s="4">
        <v>45987</v>
      </c>
      <c r="D584">
        <v>130</v>
      </c>
      <c r="E584">
        <v>3093.7</v>
      </c>
      <c r="F584">
        <v>648.19000000000005</v>
      </c>
      <c r="G584">
        <v>2445.5100000000002</v>
      </c>
      <c r="H584" t="s">
        <v>2454</v>
      </c>
      <c r="I584" t="s">
        <v>2517</v>
      </c>
      <c r="J584" t="s">
        <v>2456</v>
      </c>
      <c r="K584" t="s">
        <v>2469</v>
      </c>
      <c r="L584" t="s">
        <v>23</v>
      </c>
    </row>
    <row r="585" spans="1:12" x14ac:dyDescent="0.3">
      <c r="A585" t="s">
        <v>2570</v>
      </c>
      <c r="B585" t="s">
        <v>3136</v>
      </c>
      <c r="C585" s="4">
        <v>45962</v>
      </c>
      <c r="D585">
        <v>183</v>
      </c>
      <c r="E585">
        <v>2446.4899999999998</v>
      </c>
      <c r="F585">
        <v>337.89</v>
      </c>
      <c r="G585">
        <v>2108.6</v>
      </c>
      <c r="H585" t="s">
        <v>2472</v>
      </c>
      <c r="I585" t="s">
        <v>2461</v>
      </c>
      <c r="J585" t="s">
        <v>2456</v>
      </c>
      <c r="K585" t="s">
        <v>2469</v>
      </c>
      <c r="L585" t="s">
        <v>12</v>
      </c>
    </row>
    <row r="586" spans="1:12" x14ac:dyDescent="0.3">
      <c r="A586" t="s">
        <v>2653</v>
      </c>
      <c r="B586" t="s">
        <v>3137</v>
      </c>
      <c r="C586" s="4">
        <v>45988</v>
      </c>
      <c r="D586">
        <v>142</v>
      </c>
      <c r="E586">
        <v>12882.3</v>
      </c>
      <c r="F586">
        <v>5528.93</v>
      </c>
      <c r="G586">
        <v>7353.37</v>
      </c>
      <c r="H586" t="s">
        <v>2460</v>
      </c>
      <c r="I586" t="s">
        <v>2455</v>
      </c>
      <c r="J586" t="s">
        <v>2493</v>
      </c>
      <c r="K586" t="s">
        <v>2457</v>
      </c>
      <c r="L586" t="s">
        <v>12</v>
      </c>
    </row>
    <row r="587" spans="1:12" x14ac:dyDescent="0.3">
      <c r="A587" t="s">
        <v>2558</v>
      </c>
      <c r="B587" t="s">
        <v>3138</v>
      </c>
      <c r="C587" s="4">
        <v>45754</v>
      </c>
      <c r="D587">
        <v>118</v>
      </c>
      <c r="E587">
        <v>11662.57</v>
      </c>
      <c r="F587">
        <v>1824.06</v>
      </c>
      <c r="G587">
        <v>9838.51</v>
      </c>
      <c r="H587" t="s">
        <v>2454</v>
      </c>
      <c r="I587" t="s">
        <v>2467</v>
      </c>
      <c r="J587" t="s">
        <v>2493</v>
      </c>
      <c r="K587" t="s">
        <v>2463</v>
      </c>
      <c r="L587" t="s">
        <v>84</v>
      </c>
    </row>
    <row r="588" spans="1:12" x14ac:dyDescent="0.3">
      <c r="A588" t="s">
        <v>2511</v>
      </c>
      <c r="B588" t="s">
        <v>3139</v>
      </c>
      <c r="C588" s="4">
        <v>45688</v>
      </c>
      <c r="D588">
        <v>164</v>
      </c>
      <c r="E588">
        <v>5732.5</v>
      </c>
      <c r="F588">
        <v>1467.92</v>
      </c>
      <c r="G588">
        <v>4264.58</v>
      </c>
      <c r="H588" t="s">
        <v>2454</v>
      </c>
      <c r="I588" t="s">
        <v>2455</v>
      </c>
      <c r="J588" t="s">
        <v>2493</v>
      </c>
      <c r="K588" t="s">
        <v>2457</v>
      </c>
      <c r="L588" t="s">
        <v>36</v>
      </c>
    </row>
    <row r="589" spans="1:12" x14ac:dyDescent="0.3">
      <c r="A589" t="s">
        <v>2561</v>
      </c>
      <c r="B589" t="s">
        <v>3140</v>
      </c>
      <c r="C589" s="4">
        <v>45856</v>
      </c>
      <c r="D589">
        <v>131</v>
      </c>
      <c r="E589">
        <v>6316.63</v>
      </c>
      <c r="F589">
        <v>2994.69</v>
      </c>
      <c r="G589">
        <v>3321.94</v>
      </c>
      <c r="H589" t="s">
        <v>2472</v>
      </c>
      <c r="I589" t="s">
        <v>2467</v>
      </c>
      <c r="J589" t="s">
        <v>2493</v>
      </c>
      <c r="K589" t="s">
        <v>2463</v>
      </c>
      <c r="L589" t="s">
        <v>12</v>
      </c>
    </row>
    <row r="590" spans="1:12" x14ac:dyDescent="0.3">
      <c r="A590" t="s">
        <v>2638</v>
      </c>
      <c r="B590" t="s">
        <v>3141</v>
      </c>
      <c r="C590" s="4">
        <v>45869</v>
      </c>
      <c r="D590">
        <v>92</v>
      </c>
      <c r="E590">
        <v>11641.95</v>
      </c>
      <c r="F590">
        <v>4688.6400000000003</v>
      </c>
      <c r="G590">
        <v>6953.31</v>
      </c>
      <c r="H590" t="s">
        <v>2454</v>
      </c>
      <c r="I590" t="s">
        <v>2508</v>
      </c>
      <c r="J590" t="s">
        <v>2468</v>
      </c>
      <c r="K590" t="s">
        <v>2463</v>
      </c>
      <c r="L590" t="s">
        <v>36</v>
      </c>
    </row>
    <row r="591" spans="1:12" x14ac:dyDescent="0.3">
      <c r="A591" t="s">
        <v>2634</v>
      </c>
      <c r="B591" t="s">
        <v>3142</v>
      </c>
      <c r="C591" s="4">
        <v>45827</v>
      </c>
      <c r="D591">
        <v>137</v>
      </c>
      <c r="E591">
        <v>8062.6</v>
      </c>
      <c r="F591">
        <v>1784.45</v>
      </c>
      <c r="G591">
        <v>6278.15</v>
      </c>
      <c r="H591" t="s">
        <v>2475</v>
      </c>
      <c r="I591" t="s">
        <v>2480</v>
      </c>
      <c r="J591" t="s">
        <v>2462</v>
      </c>
      <c r="K591" t="s">
        <v>2496</v>
      </c>
      <c r="L591" t="s">
        <v>12</v>
      </c>
    </row>
    <row r="592" spans="1:12" x14ac:dyDescent="0.3">
      <c r="A592" t="s">
        <v>2476</v>
      </c>
      <c r="B592" t="s">
        <v>3143</v>
      </c>
      <c r="C592" s="4">
        <v>45821</v>
      </c>
      <c r="D592">
        <v>39</v>
      </c>
      <c r="E592">
        <v>19812.84</v>
      </c>
      <c r="F592">
        <v>3939.62</v>
      </c>
      <c r="G592">
        <v>15873.22</v>
      </c>
      <c r="H592" t="s">
        <v>2454</v>
      </c>
      <c r="I592" t="s">
        <v>2488</v>
      </c>
      <c r="J592" t="s">
        <v>2462</v>
      </c>
      <c r="K592" t="s">
        <v>2463</v>
      </c>
      <c r="L592" t="s">
        <v>23</v>
      </c>
    </row>
    <row r="593" spans="1:12" x14ac:dyDescent="0.3">
      <c r="A593" t="s">
        <v>2812</v>
      </c>
      <c r="B593" t="s">
        <v>3144</v>
      </c>
      <c r="C593" s="4">
        <v>45962</v>
      </c>
      <c r="D593">
        <v>77</v>
      </c>
      <c r="E593">
        <v>1569.68</v>
      </c>
      <c r="F593">
        <v>157.78</v>
      </c>
      <c r="G593">
        <v>1411.9</v>
      </c>
      <c r="H593" t="s">
        <v>2472</v>
      </c>
      <c r="I593" t="s">
        <v>2455</v>
      </c>
      <c r="J593" t="s">
        <v>2493</v>
      </c>
      <c r="K593" t="s">
        <v>2496</v>
      </c>
      <c r="L593" t="s">
        <v>23</v>
      </c>
    </row>
    <row r="594" spans="1:12" x14ac:dyDescent="0.3">
      <c r="A594" t="s">
        <v>2504</v>
      </c>
      <c r="B594" t="s">
        <v>3145</v>
      </c>
      <c r="C594" s="4">
        <v>45953</v>
      </c>
      <c r="D594">
        <v>60</v>
      </c>
      <c r="E594">
        <v>4345.54</v>
      </c>
      <c r="F594">
        <v>921.75</v>
      </c>
      <c r="G594">
        <v>3423.79</v>
      </c>
      <c r="H594" t="s">
        <v>2472</v>
      </c>
      <c r="I594" t="s">
        <v>2485</v>
      </c>
      <c r="J594" t="s">
        <v>2468</v>
      </c>
      <c r="K594" t="s">
        <v>2496</v>
      </c>
      <c r="L594" t="s">
        <v>23</v>
      </c>
    </row>
    <row r="595" spans="1:12" x14ac:dyDescent="0.3">
      <c r="A595" t="s">
        <v>2561</v>
      </c>
      <c r="B595" t="s">
        <v>3146</v>
      </c>
      <c r="C595" s="4">
        <v>45964</v>
      </c>
      <c r="D595">
        <v>143</v>
      </c>
      <c r="E595">
        <v>10269.77</v>
      </c>
      <c r="F595">
        <v>3489.22</v>
      </c>
      <c r="G595">
        <v>6780.55</v>
      </c>
      <c r="H595" t="s">
        <v>2472</v>
      </c>
      <c r="I595" t="s">
        <v>2467</v>
      </c>
      <c r="J595" t="s">
        <v>2493</v>
      </c>
      <c r="K595" t="s">
        <v>2469</v>
      </c>
      <c r="L595" t="s">
        <v>32</v>
      </c>
    </row>
    <row r="596" spans="1:12" x14ac:dyDescent="0.3">
      <c r="A596" t="s">
        <v>2793</v>
      </c>
      <c r="B596" t="s">
        <v>3147</v>
      </c>
      <c r="C596" s="4">
        <v>45855</v>
      </c>
      <c r="D596">
        <v>68</v>
      </c>
      <c r="E596">
        <v>2578.9299999999998</v>
      </c>
      <c r="F596">
        <v>1189.03</v>
      </c>
      <c r="G596">
        <v>1389.9</v>
      </c>
      <c r="H596" t="s">
        <v>2460</v>
      </c>
      <c r="I596" t="s">
        <v>2480</v>
      </c>
      <c r="J596" t="s">
        <v>2468</v>
      </c>
      <c r="K596" t="s">
        <v>2469</v>
      </c>
      <c r="L596" t="s">
        <v>12</v>
      </c>
    </row>
    <row r="597" spans="1:12" x14ac:dyDescent="0.3">
      <c r="A597" t="s">
        <v>2491</v>
      </c>
      <c r="B597" t="s">
        <v>3148</v>
      </c>
      <c r="C597" s="4">
        <v>45825</v>
      </c>
      <c r="D597">
        <v>146</v>
      </c>
      <c r="E597">
        <v>8386.18</v>
      </c>
      <c r="F597">
        <v>1358.13</v>
      </c>
      <c r="G597">
        <v>7028.05</v>
      </c>
      <c r="H597" t="s">
        <v>2454</v>
      </c>
      <c r="I597" t="s">
        <v>2517</v>
      </c>
      <c r="J597" t="s">
        <v>2456</v>
      </c>
      <c r="K597" t="s">
        <v>2496</v>
      </c>
      <c r="L597" t="s">
        <v>23</v>
      </c>
    </row>
    <row r="598" spans="1:12" x14ac:dyDescent="0.3">
      <c r="A598" t="s">
        <v>2491</v>
      </c>
      <c r="B598" t="s">
        <v>3149</v>
      </c>
      <c r="C598" s="4">
        <v>45998</v>
      </c>
      <c r="D598">
        <v>139</v>
      </c>
      <c r="E598">
        <v>19132.88</v>
      </c>
      <c r="F598">
        <v>3983.57</v>
      </c>
      <c r="G598">
        <v>15149.31</v>
      </c>
      <c r="H598" t="s">
        <v>2454</v>
      </c>
      <c r="I598" t="s">
        <v>2517</v>
      </c>
      <c r="J598" t="s">
        <v>2468</v>
      </c>
      <c r="K598" t="s">
        <v>2463</v>
      </c>
      <c r="L598" t="s">
        <v>84</v>
      </c>
    </row>
    <row r="599" spans="1:12" x14ac:dyDescent="0.3">
      <c r="A599" t="s">
        <v>2538</v>
      </c>
      <c r="B599" t="s">
        <v>3150</v>
      </c>
      <c r="C599" s="4">
        <v>45795</v>
      </c>
      <c r="D599">
        <v>70</v>
      </c>
      <c r="E599">
        <v>8332.6200000000008</v>
      </c>
      <c r="F599">
        <v>1340.58</v>
      </c>
      <c r="G599">
        <v>6992.04</v>
      </c>
      <c r="H599" t="s">
        <v>2472</v>
      </c>
      <c r="I599" t="s">
        <v>2455</v>
      </c>
      <c r="J599" t="s">
        <v>2493</v>
      </c>
      <c r="K599" t="s">
        <v>2496</v>
      </c>
      <c r="L599" t="s">
        <v>36</v>
      </c>
    </row>
    <row r="600" spans="1:12" x14ac:dyDescent="0.3">
      <c r="A600" t="s">
        <v>2880</v>
      </c>
      <c r="B600" t="s">
        <v>3151</v>
      </c>
      <c r="C600" s="4">
        <v>45709</v>
      </c>
      <c r="D600">
        <v>140</v>
      </c>
      <c r="E600">
        <v>8501.48</v>
      </c>
      <c r="F600">
        <v>1995.58</v>
      </c>
      <c r="G600">
        <v>6505.9</v>
      </c>
      <c r="H600" t="s">
        <v>2466</v>
      </c>
      <c r="I600" t="s">
        <v>2455</v>
      </c>
      <c r="J600" t="s">
        <v>2462</v>
      </c>
      <c r="K600" t="s">
        <v>2457</v>
      </c>
      <c r="L600" t="s">
        <v>36</v>
      </c>
    </row>
    <row r="601" spans="1:12" x14ac:dyDescent="0.3">
      <c r="A601" t="s">
        <v>2476</v>
      </c>
      <c r="B601" t="s">
        <v>3152</v>
      </c>
      <c r="C601" s="4">
        <v>45781</v>
      </c>
      <c r="D601">
        <v>80</v>
      </c>
      <c r="E601">
        <v>13804.91</v>
      </c>
      <c r="F601">
        <v>2116.39</v>
      </c>
      <c r="G601">
        <v>11688.52</v>
      </c>
      <c r="H601" t="s">
        <v>2460</v>
      </c>
      <c r="I601" t="s">
        <v>2485</v>
      </c>
      <c r="J601" t="s">
        <v>2493</v>
      </c>
      <c r="K601" t="s">
        <v>2469</v>
      </c>
      <c r="L601" t="s">
        <v>36</v>
      </c>
    </row>
    <row r="602" spans="1:12" x14ac:dyDescent="0.3">
      <c r="A602" t="s">
        <v>2748</v>
      </c>
      <c r="B602" t="s">
        <v>3153</v>
      </c>
      <c r="C602" s="4">
        <v>45962</v>
      </c>
      <c r="D602">
        <v>158</v>
      </c>
      <c r="E602">
        <v>2781.88</v>
      </c>
      <c r="F602">
        <v>724.28</v>
      </c>
      <c r="G602">
        <v>2057.6</v>
      </c>
      <c r="H602" t="s">
        <v>2475</v>
      </c>
      <c r="I602" t="s">
        <v>2480</v>
      </c>
      <c r="J602" t="s">
        <v>2462</v>
      </c>
      <c r="K602" t="s">
        <v>2469</v>
      </c>
      <c r="L602" t="s">
        <v>32</v>
      </c>
    </row>
    <row r="603" spans="1:12" x14ac:dyDescent="0.3">
      <c r="A603" t="s">
        <v>2504</v>
      </c>
      <c r="B603" t="s">
        <v>3154</v>
      </c>
      <c r="C603" s="4">
        <v>45876</v>
      </c>
      <c r="D603">
        <v>12</v>
      </c>
      <c r="E603">
        <v>7090.09</v>
      </c>
      <c r="F603">
        <v>3345.43</v>
      </c>
      <c r="G603">
        <v>3744.66</v>
      </c>
      <c r="H603" t="s">
        <v>2472</v>
      </c>
      <c r="I603" t="s">
        <v>2461</v>
      </c>
      <c r="J603" t="s">
        <v>2456</v>
      </c>
      <c r="K603" t="s">
        <v>2496</v>
      </c>
      <c r="L603" t="s">
        <v>23</v>
      </c>
    </row>
    <row r="604" spans="1:12" x14ac:dyDescent="0.3">
      <c r="A604" t="s">
        <v>2511</v>
      </c>
      <c r="B604" t="s">
        <v>3155</v>
      </c>
      <c r="C604" s="4">
        <v>45819</v>
      </c>
      <c r="D604">
        <v>108</v>
      </c>
      <c r="E604">
        <v>6356.32</v>
      </c>
      <c r="F604">
        <v>2133.7199999999998</v>
      </c>
      <c r="G604">
        <v>4222.6000000000004</v>
      </c>
      <c r="H604" t="s">
        <v>2475</v>
      </c>
      <c r="I604" t="s">
        <v>2488</v>
      </c>
      <c r="J604" t="s">
        <v>2493</v>
      </c>
      <c r="K604" t="s">
        <v>2469</v>
      </c>
      <c r="L604" t="s">
        <v>12</v>
      </c>
    </row>
    <row r="605" spans="1:12" x14ac:dyDescent="0.3">
      <c r="A605" t="s">
        <v>2709</v>
      </c>
      <c r="B605" t="s">
        <v>3156</v>
      </c>
      <c r="C605" s="4">
        <v>45989</v>
      </c>
      <c r="D605">
        <v>125</v>
      </c>
      <c r="E605">
        <v>252.8</v>
      </c>
      <c r="F605">
        <v>123.89</v>
      </c>
      <c r="G605">
        <v>128.91</v>
      </c>
      <c r="H605" t="s">
        <v>2466</v>
      </c>
      <c r="I605" t="s">
        <v>2508</v>
      </c>
      <c r="J605" t="s">
        <v>2468</v>
      </c>
      <c r="K605" t="s">
        <v>2469</v>
      </c>
      <c r="L605" t="s">
        <v>12</v>
      </c>
    </row>
    <row r="606" spans="1:12" x14ac:dyDescent="0.3">
      <c r="A606" t="s">
        <v>2631</v>
      </c>
      <c r="B606" t="s">
        <v>3157</v>
      </c>
      <c r="C606" s="4">
        <v>45972</v>
      </c>
      <c r="D606">
        <v>13</v>
      </c>
      <c r="E606">
        <v>5937.02</v>
      </c>
      <c r="F606">
        <v>2074.79</v>
      </c>
      <c r="G606">
        <v>3862.23</v>
      </c>
      <c r="H606" t="s">
        <v>2454</v>
      </c>
      <c r="I606" t="s">
        <v>2508</v>
      </c>
      <c r="J606" t="s">
        <v>2462</v>
      </c>
      <c r="K606" t="s">
        <v>2457</v>
      </c>
      <c r="L606" t="s">
        <v>84</v>
      </c>
    </row>
    <row r="607" spans="1:12" x14ac:dyDescent="0.3">
      <c r="A607" t="s">
        <v>2452</v>
      </c>
      <c r="B607" t="s">
        <v>3158</v>
      </c>
      <c r="C607" s="4">
        <v>45982</v>
      </c>
      <c r="D607">
        <v>84</v>
      </c>
      <c r="E607">
        <v>15804.64</v>
      </c>
      <c r="F607">
        <v>6245.17</v>
      </c>
      <c r="G607">
        <v>9559.4699999999993</v>
      </c>
      <c r="H607" t="s">
        <v>2472</v>
      </c>
      <c r="I607" t="s">
        <v>2508</v>
      </c>
      <c r="J607" t="s">
        <v>2493</v>
      </c>
      <c r="K607" t="s">
        <v>2457</v>
      </c>
      <c r="L607" t="s">
        <v>12</v>
      </c>
    </row>
    <row r="608" spans="1:12" x14ac:dyDescent="0.3">
      <c r="A608" t="s">
        <v>2464</v>
      </c>
      <c r="B608" t="s">
        <v>3159</v>
      </c>
      <c r="C608" s="4">
        <v>45756</v>
      </c>
      <c r="D608">
        <v>114</v>
      </c>
      <c r="E608">
        <v>6864.34</v>
      </c>
      <c r="F608">
        <v>981.7</v>
      </c>
      <c r="G608">
        <v>5882.64</v>
      </c>
      <c r="H608" t="s">
        <v>2466</v>
      </c>
      <c r="I608" t="s">
        <v>2517</v>
      </c>
      <c r="J608" t="s">
        <v>2493</v>
      </c>
      <c r="K608" t="s">
        <v>2469</v>
      </c>
      <c r="L608" t="s">
        <v>84</v>
      </c>
    </row>
    <row r="609" spans="1:12" x14ac:dyDescent="0.3">
      <c r="A609" t="s">
        <v>2554</v>
      </c>
      <c r="B609" t="s">
        <v>3160</v>
      </c>
      <c r="C609" s="4">
        <v>45816</v>
      </c>
      <c r="D609">
        <v>130</v>
      </c>
      <c r="E609">
        <v>16124.77</v>
      </c>
      <c r="F609">
        <v>7876.04</v>
      </c>
      <c r="G609">
        <v>8248.73</v>
      </c>
      <c r="H609" t="s">
        <v>2475</v>
      </c>
      <c r="I609" t="s">
        <v>2455</v>
      </c>
      <c r="J609" t="s">
        <v>2493</v>
      </c>
      <c r="K609" t="s">
        <v>2469</v>
      </c>
      <c r="L609" t="s">
        <v>12</v>
      </c>
    </row>
    <row r="610" spans="1:12" x14ac:dyDescent="0.3">
      <c r="A610" t="s">
        <v>2880</v>
      </c>
      <c r="B610" t="s">
        <v>3161</v>
      </c>
      <c r="C610" s="4">
        <v>45858</v>
      </c>
      <c r="D610">
        <v>34</v>
      </c>
      <c r="E610">
        <v>17100.34</v>
      </c>
      <c r="F610">
        <v>7289.36</v>
      </c>
      <c r="G610">
        <v>9810.98</v>
      </c>
      <c r="H610" t="s">
        <v>2454</v>
      </c>
      <c r="I610" t="s">
        <v>2485</v>
      </c>
      <c r="J610" t="s">
        <v>2493</v>
      </c>
      <c r="K610" t="s">
        <v>2463</v>
      </c>
      <c r="L610" t="s">
        <v>32</v>
      </c>
    </row>
    <row r="611" spans="1:12" x14ac:dyDescent="0.3">
      <c r="A611" t="s">
        <v>2591</v>
      </c>
      <c r="B611" t="s">
        <v>3162</v>
      </c>
      <c r="C611" s="4">
        <v>45682</v>
      </c>
      <c r="D611">
        <v>86</v>
      </c>
      <c r="E611">
        <v>12112.64</v>
      </c>
      <c r="F611">
        <v>4374.97</v>
      </c>
      <c r="G611">
        <v>7737.67</v>
      </c>
      <c r="H611" t="s">
        <v>2472</v>
      </c>
      <c r="I611" t="s">
        <v>2480</v>
      </c>
      <c r="J611" t="s">
        <v>2462</v>
      </c>
      <c r="K611" t="s">
        <v>2496</v>
      </c>
      <c r="L611" t="s">
        <v>23</v>
      </c>
    </row>
    <row r="612" spans="1:12" x14ac:dyDescent="0.3">
      <c r="A612" t="s">
        <v>2588</v>
      </c>
      <c r="B612" t="s">
        <v>3163</v>
      </c>
      <c r="C612" s="4">
        <v>45695</v>
      </c>
      <c r="D612">
        <v>39</v>
      </c>
      <c r="E612">
        <v>5952.84</v>
      </c>
      <c r="F612">
        <v>682.72</v>
      </c>
      <c r="G612">
        <v>5270.12</v>
      </c>
      <c r="H612" t="s">
        <v>2454</v>
      </c>
      <c r="I612" t="s">
        <v>2461</v>
      </c>
      <c r="J612" t="s">
        <v>2462</v>
      </c>
      <c r="K612" t="s">
        <v>2457</v>
      </c>
      <c r="L612" t="s">
        <v>23</v>
      </c>
    </row>
    <row r="613" spans="1:12" x14ac:dyDescent="0.3">
      <c r="A613" t="s">
        <v>2476</v>
      </c>
      <c r="B613" t="s">
        <v>3164</v>
      </c>
      <c r="C613" s="4">
        <v>45810</v>
      </c>
      <c r="D613">
        <v>196</v>
      </c>
      <c r="E613">
        <v>6388.5</v>
      </c>
      <c r="F613">
        <v>3022.19</v>
      </c>
      <c r="G613">
        <v>3366.31</v>
      </c>
      <c r="H613" t="s">
        <v>2472</v>
      </c>
      <c r="I613" t="s">
        <v>2488</v>
      </c>
      <c r="J613" t="s">
        <v>2456</v>
      </c>
      <c r="K613" t="s">
        <v>2496</v>
      </c>
      <c r="L613" t="s">
        <v>32</v>
      </c>
    </row>
    <row r="614" spans="1:12" x14ac:dyDescent="0.3">
      <c r="A614" t="s">
        <v>2538</v>
      </c>
      <c r="B614" t="s">
        <v>3165</v>
      </c>
      <c r="C614" s="4">
        <v>45947</v>
      </c>
      <c r="D614">
        <v>96</v>
      </c>
      <c r="E614">
        <v>18223.310000000001</v>
      </c>
      <c r="F614">
        <v>2902.7</v>
      </c>
      <c r="G614">
        <v>15320.61</v>
      </c>
      <c r="H614" t="s">
        <v>2460</v>
      </c>
      <c r="I614" t="s">
        <v>2461</v>
      </c>
      <c r="J614" t="s">
        <v>2456</v>
      </c>
      <c r="K614" t="s">
        <v>2463</v>
      </c>
      <c r="L614" t="s">
        <v>23</v>
      </c>
    </row>
    <row r="615" spans="1:12" x14ac:dyDescent="0.3">
      <c r="A615" t="s">
        <v>2673</v>
      </c>
      <c r="B615" t="s">
        <v>3166</v>
      </c>
      <c r="C615" s="4">
        <v>45866</v>
      </c>
      <c r="D615">
        <v>122</v>
      </c>
      <c r="E615">
        <v>11817.32</v>
      </c>
      <c r="F615">
        <v>1266.92</v>
      </c>
      <c r="G615">
        <v>10550.4</v>
      </c>
      <c r="H615" t="s">
        <v>2454</v>
      </c>
      <c r="I615" t="s">
        <v>2517</v>
      </c>
      <c r="J615" t="s">
        <v>2468</v>
      </c>
      <c r="K615" t="s">
        <v>2496</v>
      </c>
      <c r="L615" t="s">
        <v>84</v>
      </c>
    </row>
    <row r="616" spans="1:12" x14ac:dyDescent="0.3">
      <c r="A616" t="s">
        <v>2541</v>
      </c>
      <c r="B616" t="s">
        <v>3167</v>
      </c>
      <c r="C616" s="4">
        <v>45682</v>
      </c>
      <c r="D616">
        <v>153</v>
      </c>
      <c r="E616">
        <v>17661.32</v>
      </c>
      <c r="F616">
        <v>6298.98</v>
      </c>
      <c r="G616">
        <v>11362.34</v>
      </c>
      <c r="H616" t="s">
        <v>2472</v>
      </c>
      <c r="I616" t="s">
        <v>2508</v>
      </c>
      <c r="J616" t="s">
        <v>2462</v>
      </c>
      <c r="K616" t="s">
        <v>2496</v>
      </c>
      <c r="L616" t="s">
        <v>32</v>
      </c>
    </row>
    <row r="617" spans="1:12" x14ac:dyDescent="0.3">
      <c r="A617" t="s">
        <v>2483</v>
      </c>
      <c r="B617" t="s">
        <v>3168</v>
      </c>
      <c r="C617" s="4">
        <v>45773</v>
      </c>
      <c r="D617">
        <v>164</v>
      </c>
      <c r="E617">
        <v>16258.58</v>
      </c>
      <c r="F617">
        <v>7634.12</v>
      </c>
      <c r="G617">
        <v>8624.4599999999991</v>
      </c>
      <c r="H617" t="s">
        <v>2472</v>
      </c>
      <c r="I617" t="s">
        <v>2467</v>
      </c>
      <c r="J617" t="s">
        <v>2456</v>
      </c>
      <c r="K617" t="s">
        <v>2496</v>
      </c>
      <c r="L617" t="s">
        <v>84</v>
      </c>
    </row>
    <row r="618" spans="1:12" x14ac:dyDescent="0.3">
      <c r="A618" t="s">
        <v>2631</v>
      </c>
      <c r="B618" t="s">
        <v>3169</v>
      </c>
      <c r="C618" s="4">
        <v>45664</v>
      </c>
      <c r="D618">
        <v>189</v>
      </c>
      <c r="E618">
        <v>15218.47</v>
      </c>
      <c r="F618">
        <v>4695.07</v>
      </c>
      <c r="G618">
        <v>10523.4</v>
      </c>
      <c r="H618" t="s">
        <v>2475</v>
      </c>
      <c r="I618" t="s">
        <v>2461</v>
      </c>
      <c r="J618" t="s">
        <v>2493</v>
      </c>
      <c r="K618" t="s">
        <v>2457</v>
      </c>
      <c r="L618" t="s">
        <v>12</v>
      </c>
    </row>
    <row r="619" spans="1:12" x14ac:dyDescent="0.3">
      <c r="A619" t="s">
        <v>2673</v>
      </c>
      <c r="B619" t="s">
        <v>3170</v>
      </c>
      <c r="C619" s="4">
        <v>45722</v>
      </c>
      <c r="D619">
        <v>142</v>
      </c>
      <c r="E619">
        <v>7072.05</v>
      </c>
      <c r="F619">
        <v>1219.22</v>
      </c>
      <c r="G619">
        <v>5852.83</v>
      </c>
      <c r="H619" t="s">
        <v>2475</v>
      </c>
      <c r="I619" t="s">
        <v>2485</v>
      </c>
      <c r="J619" t="s">
        <v>2493</v>
      </c>
      <c r="K619" t="s">
        <v>2496</v>
      </c>
      <c r="L619" t="s">
        <v>84</v>
      </c>
    </row>
    <row r="620" spans="1:12" x14ac:dyDescent="0.3">
      <c r="A620" t="s">
        <v>2854</v>
      </c>
      <c r="B620" t="s">
        <v>3171</v>
      </c>
      <c r="C620" s="4">
        <v>45995</v>
      </c>
      <c r="D620">
        <v>172</v>
      </c>
      <c r="E620">
        <v>11194.09</v>
      </c>
      <c r="F620">
        <v>2233.54</v>
      </c>
      <c r="G620">
        <v>8960.5499999999993</v>
      </c>
      <c r="H620" t="s">
        <v>2466</v>
      </c>
      <c r="I620" t="s">
        <v>2485</v>
      </c>
      <c r="J620" t="s">
        <v>2493</v>
      </c>
      <c r="K620" t="s">
        <v>2469</v>
      </c>
      <c r="L620" t="s">
        <v>23</v>
      </c>
    </row>
    <row r="621" spans="1:12" x14ac:dyDescent="0.3">
      <c r="A621" t="s">
        <v>2491</v>
      </c>
      <c r="B621" t="s">
        <v>3172</v>
      </c>
      <c r="C621" s="4">
        <v>45951</v>
      </c>
      <c r="D621">
        <v>174</v>
      </c>
      <c r="E621">
        <v>18897</v>
      </c>
      <c r="F621">
        <v>7525.05</v>
      </c>
      <c r="G621">
        <v>11371.95</v>
      </c>
      <c r="H621" t="s">
        <v>2460</v>
      </c>
      <c r="I621" t="s">
        <v>2508</v>
      </c>
      <c r="J621" t="s">
        <v>2462</v>
      </c>
      <c r="K621" t="s">
        <v>2469</v>
      </c>
      <c r="L621" t="s">
        <v>36</v>
      </c>
    </row>
    <row r="622" spans="1:12" x14ac:dyDescent="0.3">
      <c r="A622" t="s">
        <v>2605</v>
      </c>
      <c r="B622" t="s">
        <v>3173</v>
      </c>
      <c r="C622" s="4">
        <v>45977</v>
      </c>
      <c r="D622">
        <v>29</v>
      </c>
      <c r="E622">
        <v>2884.88</v>
      </c>
      <c r="F622">
        <v>1219.0899999999999</v>
      </c>
      <c r="G622">
        <v>1665.79</v>
      </c>
      <c r="H622" t="s">
        <v>2454</v>
      </c>
      <c r="I622" t="s">
        <v>2508</v>
      </c>
      <c r="J622" t="s">
        <v>2462</v>
      </c>
      <c r="K622" t="s">
        <v>2463</v>
      </c>
      <c r="L622" t="s">
        <v>23</v>
      </c>
    </row>
    <row r="623" spans="1:12" x14ac:dyDescent="0.3">
      <c r="A623" t="s">
        <v>2523</v>
      </c>
      <c r="B623" t="s">
        <v>3174</v>
      </c>
      <c r="C623" s="4">
        <v>45883</v>
      </c>
      <c r="D623">
        <v>102</v>
      </c>
      <c r="E623">
        <v>15306.73</v>
      </c>
      <c r="F623">
        <v>6166.19</v>
      </c>
      <c r="G623">
        <v>9140.5400000000009</v>
      </c>
      <c r="H623" t="s">
        <v>2460</v>
      </c>
      <c r="I623" t="s">
        <v>2467</v>
      </c>
      <c r="J623" t="s">
        <v>2462</v>
      </c>
      <c r="K623" t="s">
        <v>2496</v>
      </c>
      <c r="L623" t="s">
        <v>36</v>
      </c>
    </row>
    <row r="624" spans="1:12" x14ac:dyDescent="0.3">
      <c r="A624" t="s">
        <v>2733</v>
      </c>
      <c r="B624" t="s">
        <v>3175</v>
      </c>
      <c r="C624" s="4">
        <v>45836</v>
      </c>
      <c r="D624">
        <v>138</v>
      </c>
      <c r="E624">
        <v>7652.19</v>
      </c>
      <c r="F624">
        <v>3306.62</v>
      </c>
      <c r="G624">
        <v>4345.57</v>
      </c>
      <c r="H624" t="s">
        <v>2472</v>
      </c>
      <c r="I624" t="s">
        <v>2517</v>
      </c>
      <c r="J624" t="s">
        <v>2493</v>
      </c>
      <c r="K624" t="s">
        <v>2463</v>
      </c>
      <c r="L624" t="s">
        <v>32</v>
      </c>
    </row>
    <row r="625" spans="1:12" x14ac:dyDescent="0.3">
      <c r="A625" t="s">
        <v>2673</v>
      </c>
      <c r="B625" t="s">
        <v>3176</v>
      </c>
      <c r="C625" s="4">
        <v>45975</v>
      </c>
      <c r="D625">
        <v>18</v>
      </c>
      <c r="E625">
        <v>12174.14</v>
      </c>
      <c r="F625">
        <v>4202.3900000000003</v>
      </c>
      <c r="G625">
        <v>7971.75</v>
      </c>
      <c r="H625" t="s">
        <v>2475</v>
      </c>
      <c r="I625" t="s">
        <v>2480</v>
      </c>
      <c r="J625" t="s">
        <v>2493</v>
      </c>
      <c r="K625" t="s">
        <v>2469</v>
      </c>
      <c r="L625" t="s">
        <v>84</v>
      </c>
    </row>
    <row r="626" spans="1:12" x14ac:dyDescent="0.3">
      <c r="A626" t="s">
        <v>2473</v>
      </c>
      <c r="B626" t="s">
        <v>3177</v>
      </c>
      <c r="C626" s="4">
        <v>45880</v>
      </c>
      <c r="D626">
        <v>156</v>
      </c>
      <c r="E626">
        <v>19887.169999999998</v>
      </c>
      <c r="F626">
        <v>2156.88</v>
      </c>
      <c r="G626">
        <v>17730.29</v>
      </c>
      <c r="H626" t="s">
        <v>2460</v>
      </c>
      <c r="I626" t="s">
        <v>2467</v>
      </c>
      <c r="J626" t="s">
        <v>2493</v>
      </c>
      <c r="K626" t="s">
        <v>2496</v>
      </c>
      <c r="L626" t="s">
        <v>12</v>
      </c>
    </row>
    <row r="627" spans="1:12" x14ac:dyDescent="0.3">
      <c r="A627" t="s">
        <v>2715</v>
      </c>
      <c r="B627" t="s">
        <v>3178</v>
      </c>
      <c r="C627" s="4">
        <v>45833</v>
      </c>
      <c r="D627">
        <v>4</v>
      </c>
      <c r="E627">
        <v>811.7</v>
      </c>
      <c r="F627">
        <v>106.87</v>
      </c>
      <c r="G627">
        <v>704.83</v>
      </c>
      <c r="H627" t="s">
        <v>2472</v>
      </c>
      <c r="I627" t="s">
        <v>2488</v>
      </c>
      <c r="J627" t="s">
        <v>2462</v>
      </c>
      <c r="K627" t="s">
        <v>2457</v>
      </c>
      <c r="L627" t="s">
        <v>32</v>
      </c>
    </row>
    <row r="628" spans="1:12" x14ac:dyDescent="0.3">
      <c r="A628" t="s">
        <v>2577</v>
      </c>
      <c r="B628" t="s">
        <v>3179</v>
      </c>
      <c r="C628" s="4">
        <v>45679</v>
      </c>
      <c r="D628">
        <v>18</v>
      </c>
      <c r="E628">
        <v>16866.95</v>
      </c>
      <c r="F628">
        <v>6103.54</v>
      </c>
      <c r="G628">
        <v>10763.41</v>
      </c>
      <c r="H628" t="s">
        <v>2475</v>
      </c>
      <c r="I628" t="s">
        <v>2508</v>
      </c>
      <c r="J628" t="s">
        <v>2493</v>
      </c>
      <c r="K628" t="s">
        <v>2469</v>
      </c>
      <c r="L628" t="s">
        <v>12</v>
      </c>
    </row>
    <row r="629" spans="1:12" x14ac:dyDescent="0.3">
      <c r="A629" t="s">
        <v>2489</v>
      </c>
      <c r="B629" t="s">
        <v>3180</v>
      </c>
      <c r="C629" s="4">
        <v>45939</v>
      </c>
      <c r="D629">
        <v>110</v>
      </c>
      <c r="E629">
        <v>1164.4000000000001</v>
      </c>
      <c r="F629">
        <v>334.54</v>
      </c>
      <c r="G629">
        <v>829.86</v>
      </c>
      <c r="H629" t="s">
        <v>2466</v>
      </c>
      <c r="I629" t="s">
        <v>2485</v>
      </c>
      <c r="J629" t="s">
        <v>2456</v>
      </c>
      <c r="K629" t="s">
        <v>2457</v>
      </c>
      <c r="L629" t="s">
        <v>36</v>
      </c>
    </row>
    <row r="630" spans="1:12" x14ac:dyDescent="0.3">
      <c r="A630" t="s">
        <v>2527</v>
      </c>
      <c r="B630" t="s">
        <v>3181</v>
      </c>
      <c r="C630" s="4">
        <v>45685</v>
      </c>
      <c r="D630">
        <v>181</v>
      </c>
      <c r="E630">
        <v>15707.14</v>
      </c>
      <c r="F630">
        <v>7180.34</v>
      </c>
      <c r="G630">
        <v>8526.7999999999993</v>
      </c>
      <c r="H630" t="s">
        <v>2460</v>
      </c>
      <c r="I630" t="s">
        <v>2455</v>
      </c>
      <c r="J630" t="s">
        <v>2456</v>
      </c>
      <c r="K630" t="s">
        <v>2496</v>
      </c>
      <c r="L630" t="s">
        <v>32</v>
      </c>
    </row>
    <row r="631" spans="1:12" x14ac:dyDescent="0.3">
      <c r="A631" t="s">
        <v>2499</v>
      </c>
      <c r="B631" t="s">
        <v>3182</v>
      </c>
      <c r="C631" s="4">
        <v>45864</v>
      </c>
      <c r="D631">
        <v>132</v>
      </c>
      <c r="E631">
        <v>13255.3</v>
      </c>
      <c r="F631">
        <v>1992.89</v>
      </c>
      <c r="G631">
        <v>11262.41</v>
      </c>
      <c r="H631" t="s">
        <v>2454</v>
      </c>
      <c r="I631" t="s">
        <v>2461</v>
      </c>
      <c r="J631" t="s">
        <v>2468</v>
      </c>
      <c r="K631" t="s">
        <v>2463</v>
      </c>
      <c r="L631" t="s">
        <v>32</v>
      </c>
    </row>
    <row r="632" spans="1:12" x14ac:dyDescent="0.3">
      <c r="A632" t="s">
        <v>2545</v>
      </c>
      <c r="B632" t="s">
        <v>3183</v>
      </c>
      <c r="C632" s="4">
        <v>45929</v>
      </c>
      <c r="D632">
        <v>149</v>
      </c>
      <c r="E632">
        <v>14091.24</v>
      </c>
      <c r="F632">
        <v>2325</v>
      </c>
      <c r="G632">
        <v>11766.24</v>
      </c>
      <c r="H632" t="s">
        <v>2472</v>
      </c>
      <c r="I632" t="s">
        <v>2508</v>
      </c>
      <c r="J632" t="s">
        <v>2462</v>
      </c>
      <c r="K632" t="s">
        <v>2496</v>
      </c>
      <c r="L632" t="s">
        <v>12</v>
      </c>
    </row>
    <row r="633" spans="1:12" x14ac:dyDescent="0.3">
      <c r="A633" t="s">
        <v>2476</v>
      </c>
      <c r="B633" t="s">
        <v>3184</v>
      </c>
      <c r="C633" s="4">
        <v>45743</v>
      </c>
      <c r="D633">
        <v>10</v>
      </c>
      <c r="E633">
        <v>16223.45</v>
      </c>
      <c r="F633">
        <v>2518.87</v>
      </c>
      <c r="G633">
        <v>13704.58</v>
      </c>
      <c r="H633" t="s">
        <v>2466</v>
      </c>
      <c r="I633" t="s">
        <v>2461</v>
      </c>
      <c r="J633" t="s">
        <v>2493</v>
      </c>
      <c r="K633" t="s">
        <v>2496</v>
      </c>
      <c r="L633" t="s">
        <v>32</v>
      </c>
    </row>
    <row r="634" spans="1:12" x14ac:dyDescent="0.3">
      <c r="A634" t="s">
        <v>2854</v>
      </c>
      <c r="B634" t="s">
        <v>3185</v>
      </c>
      <c r="C634" s="4">
        <v>45671</v>
      </c>
      <c r="D634">
        <v>143</v>
      </c>
      <c r="E634">
        <v>13009.08</v>
      </c>
      <c r="F634">
        <v>3421.95</v>
      </c>
      <c r="G634">
        <v>9587.1299999999992</v>
      </c>
      <c r="H634" t="s">
        <v>2475</v>
      </c>
      <c r="I634" t="s">
        <v>2455</v>
      </c>
      <c r="J634" t="s">
        <v>2468</v>
      </c>
      <c r="K634" t="s">
        <v>2463</v>
      </c>
      <c r="L634" t="s">
        <v>32</v>
      </c>
    </row>
    <row r="635" spans="1:12" x14ac:dyDescent="0.3">
      <c r="A635" t="s">
        <v>2588</v>
      </c>
      <c r="B635" t="s">
        <v>3186</v>
      </c>
      <c r="C635" s="4">
        <v>45940</v>
      </c>
      <c r="D635">
        <v>169</v>
      </c>
      <c r="E635">
        <v>11039.14</v>
      </c>
      <c r="F635">
        <v>5386.73</v>
      </c>
      <c r="G635">
        <v>5652.41</v>
      </c>
      <c r="H635" t="s">
        <v>2475</v>
      </c>
      <c r="I635" t="s">
        <v>2455</v>
      </c>
      <c r="J635" t="s">
        <v>2468</v>
      </c>
      <c r="K635" t="s">
        <v>2463</v>
      </c>
      <c r="L635" t="s">
        <v>32</v>
      </c>
    </row>
    <row r="636" spans="1:12" x14ac:dyDescent="0.3">
      <c r="A636" t="s">
        <v>2527</v>
      </c>
      <c r="B636" t="s">
        <v>3187</v>
      </c>
      <c r="C636" s="4">
        <v>45807</v>
      </c>
      <c r="D636">
        <v>38</v>
      </c>
      <c r="E636">
        <v>2510.42</v>
      </c>
      <c r="F636">
        <v>435.59</v>
      </c>
      <c r="G636">
        <v>2074.83</v>
      </c>
      <c r="H636" t="s">
        <v>2472</v>
      </c>
      <c r="I636" t="s">
        <v>2467</v>
      </c>
      <c r="J636" t="s">
        <v>2468</v>
      </c>
      <c r="K636" t="s">
        <v>2496</v>
      </c>
      <c r="L636" t="s">
        <v>12</v>
      </c>
    </row>
    <row r="637" spans="1:12" x14ac:dyDescent="0.3">
      <c r="A637" t="s">
        <v>2536</v>
      </c>
      <c r="B637" t="s">
        <v>3188</v>
      </c>
      <c r="C637" s="4">
        <v>45786</v>
      </c>
      <c r="D637">
        <v>178</v>
      </c>
      <c r="E637">
        <v>10488.23</v>
      </c>
      <c r="F637">
        <v>3308.79</v>
      </c>
      <c r="G637">
        <v>7179.44</v>
      </c>
      <c r="H637" t="s">
        <v>2454</v>
      </c>
      <c r="I637" t="s">
        <v>2488</v>
      </c>
      <c r="J637" t="s">
        <v>2456</v>
      </c>
      <c r="K637" t="s">
        <v>2463</v>
      </c>
      <c r="L637" t="s">
        <v>36</v>
      </c>
    </row>
    <row r="638" spans="1:12" x14ac:dyDescent="0.3">
      <c r="A638" t="s">
        <v>2499</v>
      </c>
      <c r="B638" t="s">
        <v>3189</v>
      </c>
      <c r="C638" s="4">
        <v>45874</v>
      </c>
      <c r="D638">
        <v>99</v>
      </c>
      <c r="E638">
        <v>2521.88</v>
      </c>
      <c r="F638">
        <v>708.41</v>
      </c>
      <c r="G638">
        <v>1813.47</v>
      </c>
      <c r="H638" t="s">
        <v>2460</v>
      </c>
      <c r="I638" t="s">
        <v>2455</v>
      </c>
      <c r="J638" t="s">
        <v>2493</v>
      </c>
      <c r="K638" t="s">
        <v>2457</v>
      </c>
      <c r="L638" t="s">
        <v>23</v>
      </c>
    </row>
    <row r="639" spans="1:12" x14ac:dyDescent="0.3">
      <c r="A639" t="s">
        <v>2573</v>
      </c>
      <c r="B639" t="s">
        <v>3190</v>
      </c>
      <c r="C639" s="4">
        <v>45880</v>
      </c>
      <c r="D639">
        <v>186</v>
      </c>
      <c r="E639">
        <v>4781.1099999999997</v>
      </c>
      <c r="F639">
        <v>1332.91</v>
      </c>
      <c r="G639">
        <v>3448.2</v>
      </c>
      <c r="H639" t="s">
        <v>2460</v>
      </c>
      <c r="I639" t="s">
        <v>2455</v>
      </c>
      <c r="J639" t="s">
        <v>2456</v>
      </c>
      <c r="K639" t="s">
        <v>2463</v>
      </c>
      <c r="L639" t="s">
        <v>23</v>
      </c>
    </row>
    <row r="640" spans="1:12" x14ac:dyDescent="0.3">
      <c r="A640" t="s">
        <v>2577</v>
      </c>
      <c r="B640" t="s">
        <v>3191</v>
      </c>
      <c r="C640" s="4">
        <v>45701</v>
      </c>
      <c r="D640">
        <v>193</v>
      </c>
      <c r="E640">
        <v>15352.04</v>
      </c>
      <c r="F640">
        <v>4296.54</v>
      </c>
      <c r="G640">
        <v>11055.5</v>
      </c>
      <c r="H640" t="s">
        <v>2475</v>
      </c>
      <c r="I640" t="s">
        <v>2455</v>
      </c>
      <c r="J640" t="s">
        <v>2493</v>
      </c>
      <c r="K640" t="s">
        <v>2469</v>
      </c>
      <c r="L640" t="s">
        <v>36</v>
      </c>
    </row>
    <row r="641" spans="1:12" x14ac:dyDescent="0.3">
      <c r="A641" t="s">
        <v>2622</v>
      </c>
      <c r="B641" t="s">
        <v>3192</v>
      </c>
      <c r="C641" s="4">
        <v>45725</v>
      </c>
      <c r="D641">
        <v>26</v>
      </c>
      <c r="E641">
        <v>793.9</v>
      </c>
      <c r="F641">
        <v>333.9</v>
      </c>
      <c r="G641">
        <v>460</v>
      </c>
      <c r="H641" t="s">
        <v>2472</v>
      </c>
      <c r="I641" t="s">
        <v>2517</v>
      </c>
      <c r="J641" t="s">
        <v>2462</v>
      </c>
      <c r="K641" t="s">
        <v>2496</v>
      </c>
      <c r="L641" t="s">
        <v>12</v>
      </c>
    </row>
    <row r="642" spans="1:12" x14ac:dyDescent="0.3">
      <c r="A642" t="s">
        <v>2570</v>
      </c>
      <c r="B642" t="s">
        <v>3193</v>
      </c>
      <c r="C642" s="4">
        <v>45911</v>
      </c>
      <c r="D642">
        <v>72</v>
      </c>
      <c r="E642">
        <v>18874.82</v>
      </c>
      <c r="F642">
        <v>2246.13</v>
      </c>
      <c r="G642">
        <v>16628.689999999999</v>
      </c>
      <c r="H642" t="s">
        <v>2466</v>
      </c>
      <c r="I642" t="s">
        <v>2461</v>
      </c>
      <c r="J642" t="s">
        <v>2462</v>
      </c>
      <c r="K642" t="s">
        <v>2463</v>
      </c>
      <c r="L642" t="s">
        <v>84</v>
      </c>
    </row>
    <row r="643" spans="1:12" x14ac:dyDescent="0.3">
      <c r="A643" t="s">
        <v>2709</v>
      </c>
      <c r="B643" t="s">
        <v>3194</v>
      </c>
      <c r="C643" s="4">
        <v>45898</v>
      </c>
      <c r="D643">
        <v>12</v>
      </c>
      <c r="E643">
        <v>8774.64</v>
      </c>
      <c r="F643">
        <v>974.18</v>
      </c>
      <c r="G643">
        <v>7800.46</v>
      </c>
      <c r="H643" t="s">
        <v>2454</v>
      </c>
      <c r="I643" t="s">
        <v>2461</v>
      </c>
      <c r="J643" t="s">
        <v>2493</v>
      </c>
      <c r="K643" t="s">
        <v>2463</v>
      </c>
      <c r="L643" t="s">
        <v>32</v>
      </c>
    </row>
    <row r="644" spans="1:12" x14ac:dyDescent="0.3">
      <c r="A644" t="s">
        <v>2532</v>
      </c>
      <c r="B644" t="s">
        <v>3195</v>
      </c>
      <c r="C644" s="4">
        <v>46012</v>
      </c>
      <c r="D644">
        <v>101</v>
      </c>
      <c r="E644">
        <v>18331.18</v>
      </c>
      <c r="F644">
        <v>6972.51</v>
      </c>
      <c r="G644">
        <v>11358.67</v>
      </c>
      <c r="H644" t="s">
        <v>2472</v>
      </c>
      <c r="I644" t="s">
        <v>2488</v>
      </c>
      <c r="J644" t="s">
        <v>2468</v>
      </c>
      <c r="K644" t="s">
        <v>2469</v>
      </c>
      <c r="L644" t="s">
        <v>12</v>
      </c>
    </row>
    <row r="645" spans="1:12" x14ac:dyDescent="0.3">
      <c r="A645" t="s">
        <v>2655</v>
      </c>
      <c r="B645" t="s">
        <v>3196</v>
      </c>
      <c r="C645" s="4">
        <v>45726</v>
      </c>
      <c r="D645">
        <v>83</v>
      </c>
      <c r="E645">
        <v>2101.37</v>
      </c>
      <c r="F645">
        <v>534.49</v>
      </c>
      <c r="G645">
        <v>1566.88</v>
      </c>
      <c r="H645" t="s">
        <v>2466</v>
      </c>
      <c r="I645" t="s">
        <v>2508</v>
      </c>
      <c r="J645" t="s">
        <v>2462</v>
      </c>
      <c r="K645" t="s">
        <v>2463</v>
      </c>
      <c r="L645" t="s">
        <v>23</v>
      </c>
    </row>
    <row r="646" spans="1:12" x14ac:dyDescent="0.3">
      <c r="A646" t="s">
        <v>2673</v>
      </c>
      <c r="B646" t="s">
        <v>3197</v>
      </c>
      <c r="C646" s="4">
        <v>45727</v>
      </c>
      <c r="D646">
        <v>198</v>
      </c>
      <c r="E646">
        <v>11277.79</v>
      </c>
      <c r="F646">
        <v>4760.82</v>
      </c>
      <c r="G646">
        <v>6516.97</v>
      </c>
      <c r="H646" t="s">
        <v>2454</v>
      </c>
      <c r="I646" t="s">
        <v>2455</v>
      </c>
      <c r="J646" t="s">
        <v>2493</v>
      </c>
      <c r="K646" t="s">
        <v>2496</v>
      </c>
      <c r="L646" t="s">
        <v>23</v>
      </c>
    </row>
    <row r="647" spans="1:12" x14ac:dyDescent="0.3">
      <c r="A647" t="s">
        <v>2880</v>
      </c>
      <c r="B647" t="s">
        <v>3198</v>
      </c>
      <c r="C647" s="4">
        <v>46012</v>
      </c>
      <c r="D647">
        <v>100</v>
      </c>
      <c r="E647">
        <v>12177.97</v>
      </c>
      <c r="F647">
        <v>2265.5300000000002</v>
      </c>
      <c r="G647">
        <v>9912.44</v>
      </c>
      <c r="H647" t="s">
        <v>2466</v>
      </c>
      <c r="I647" t="s">
        <v>2455</v>
      </c>
      <c r="J647" t="s">
        <v>2462</v>
      </c>
      <c r="K647" t="s">
        <v>2463</v>
      </c>
      <c r="L647" t="s">
        <v>84</v>
      </c>
    </row>
    <row r="648" spans="1:12" x14ac:dyDescent="0.3">
      <c r="A648" t="s">
        <v>2523</v>
      </c>
      <c r="B648" t="s">
        <v>3199</v>
      </c>
      <c r="C648" s="4">
        <v>45858</v>
      </c>
      <c r="D648">
        <v>158</v>
      </c>
      <c r="E648">
        <v>1545.69</v>
      </c>
      <c r="F648">
        <v>753.9</v>
      </c>
      <c r="G648">
        <v>791.79</v>
      </c>
      <c r="H648" t="s">
        <v>2466</v>
      </c>
      <c r="I648" t="s">
        <v>2461</v>
      </c>
      <c r="J648" t="s">
        <v>2468</v>
      </c>
      <c r="K648" t="s">
        <v>2469</v>
      </c>
      <c r="L648" t="s">
        <v>84</v>
      </c>
    </row>
    <row r="649" spans="1:12" x14ac:dyDescent="0.3">
      <c r="A649" t="s">
        <v>2534</v>
      </c>
      <c r="B649" t="s">
        <v>3200</v>
      </c>
      <c r="C649" s="4">
        <v>45850</v>
      </c>
      <c r="D649">
        <v>117</v>
      </c>
      <c r="E649">
        <v>17946.16</v>
      </c>
      <c r="F649">
        <v>8805.2900000000009</v>
      </c>
      <c r="G649">
        <v>9140.8700000000008</v>
      </c>
      <c r="H649" t="s">
        <v>2466</v>
      </c>
      <c r="I649" t="s">
        <v>2455</v>
      </c>
      <c r="J649" t="s">
        <v>2468</v>
      </c>
      <c r="K649" t="s">
        <v>2463</v>
      </c>
      <c r="L649" t="s">
        <v>32</v>
      </c>
    </row>
    <row r="650" spans="1:12" x14ac:dyDescent="0.3">
      <c r="A650" t="s">
        <v>2541</v>
      </c>
      <c r="B650" t="s">
        <v>3201</v>
      </c>
      <c r="C650" s="4">
        <v>45808</v>
      </c>
      <c r="D650">
        <v>180</v>
      </c>
      <c r="E650">
        <v>15303.61</v>
      </c>
      <c r="F650">
        <v>5457.23</v>
      </c>
      <c r="G650">
        <v>9846.3799999999992</v>
      </c>
      <c r="H650" t="s">
        <v>2466</v>
      </c>
      <c r="I650" t="s">
        <v>2467</v>
      </c>
      <c r="J650" t="s">
        <v>2462</v>
      </c>
      <c r="K650" t="s">
        <v>2463</v>
      </c>
      <c r="L650" t="s">
        <v>23</v>
      </c>
    </row>
    <row r="651" spans="1:12" x14ac:dyDescent="0.3">
      <c r="A651" t="s">
        <v>2538</v>
      </c>
      <c r="B651" t="s">
        <v>3202</v>
      </c>
      <c r="C651" s="4">
        <v>45953</v>
      </c>
      <c r="D651">
        <v>2</v>
      </c>
      <c r="E651">
        <v>15244.94</v>
      </c>
      <c r="F651">
        <v>1644.02</v>
      </c>
      <c r="G651">
        <v>13600.92</v>
      </c>
      <c r="H651" t="s">
        <v>2466</v>
      </c>
      <c r="I651" t="s">
        <v>2485</v>
      </c>
      <c r="J651" t="s">
        <v>2468</v>
      </c>
      <c r="K651" t="s">
        <v>2463</v>
      </c>
      <c r="L651" t="s">
        <v>84</v>
      </c>
    </row>
    <row r="652" spans="1:12" x14ac:dyDescent="0.3">
      <c r="A652" t="s">
        <v>2751</v>
      </c>
      <c r="B652" t="s">
        <v>3203</v>
      </c>
      <c r="C652" s="4">
        <v>45985</v>
      </c>
      <c r="D652">
        <v>131</v>
      </c>
      <c r="E652">
        <v>6355.66</v>
      </c>
      <c r="F652">
        <v>744.03</v>
      </c>
      <c r="G652">
        <v>5611.63</v>
      </c>
      <c r="H652" t="s">
        <v>2454</v>
      </c>
      <c r="I652" t="s">
        <v>2517</v>
      </c>
      <c r="J652" t="s">
        <v>2462</v>
      </c>
      <c r="K652" t="s">
        <v>2469</v>
      </c>
      <c r="L652" t="s">
        <v>32</v>
      </c>
    </row>
    <row r="653" spans="1:12" x14ac:dyDescent="0.3">
      <c r="A653" t="s">
        <v>2541</v>
      </c>
      <c r="B653" t="s">
        <v>3204</v>
      </c>
      <c r="C653" s="4">
        <v>45917</v>
      </c>
      <c r="D653">
        <v>76</v>
      </c>
      <c r="E653">
        <v>7763.42</v>
      </c>
      <c r="F653">
        <v>3307.6</v>
      </c>
      <c r="G653">
        <v>4455.82</v>
      </c>
      <c r="H653" t="s">
        <v>2472</v>
      </c>
      <c r="I653" t="s">
        <v>2488</v>
      </c>
      <c r="J653" t="s">
        <v>2468</v>
      </c>
      <c r="K653" t="s">
        <v>2469</v>
      </c>
      <c r="L653" t="s">
        <v>36</v>
      </c>
    </row>
    <row r="654" spans="1:12" x14ac:dyDescent="0.3">
      <c r="A654" t="s">
        <v>2591</v>
      </c>
      <c r="B654" t="s">
        <v>3205</v>
      </c>
      <c r="C654" s="4">
        <v>46021</v>
      </c>
      <c r="D654">
        <v>112</v>
      </c>
      <c r="E654">
        <v>5398.8</v>
      </c>
      <c r="F654">
        <v>2348.0100000000002</v>
      </c>
      <c r="G654">
        <v>3050.79</v>
      </c>
      <c r="H654" t="s">
        <v>2466</v>
      </c>
      <c r="I654" t="s">
        <v>2517</v>
      </c>
      <c r="J654" t="s">
        <v>2493</v>
      </c>
      <c r="K654" t="s">
        <v>2463</v>
      </c>
      <c r="L654" t="s">
        <v>12</v>
      </c>
    </row>
    <row r="655" spans="1:12" x14ac:dyDescent="0.3">
      <c r="A655" t="s">
        <v>2556</v>
      </c>
      <c r="B655" t="s">
        <v>3206</v>
      </c>
      <c r="C655" s="4">
        <v>45972</v>
      </c>
      <c r="D655">
        <v>182</v>
      </c>
      <c r="E655">
        <v>17644.66</v>
      </c>
      <c r="F655">
        <v>2375.59</v>
      </c>
      <c r="G655">
        <v>15269.07</v>
      </c>
      <c r="H655" t="s">
        <v>2460</v>
      </c>
      <c r="I655" t="s">
        <v>2485</v>
      </c>
      <c r="J655" t="s">
        <v>2493</v>
      </c>
      <c r="K655" t="s">
        <v>2496</v>
      </c>
      <c r="L655" t="s">
        <v>36</v>
      </c>
    </row>
    <row r="656" spans="1:12" x14ac:dyDescent="0.3">
      <c r="A656" t="s">
        <v>2607</v>
      </c>
      <c r="B656" t="s">
        <v>3207</v>
      </c>
      <c r="C656" s="4">
        <v>45832</v>
      </c>
      <c r="D656">
        <v>76</v>
      </c>
      <c r="E656">
        <v>7519.68</v>
      </c>
      <c r="F656">
        <v>1252.96</v>
      </c>
      <c r="G656">
        <v>6266.72</v>
      </c>
      <c r="H656" t="s">
        <v>2472</v>
      </c>
      <c r="I656" t="s">
        <v>2485</v>
      </c>
      <c r="J656" t="s">
        <v>2462</v>
      </c>
      <c r="K656" t="s">
        <v>2496</v>
      </c>
      <c r="L656" t="s">
        <v>36</v>
      </c>
    </row>
    <row r="657" spans="1:12" x14ac:dyDescent="0.3">
      <c r="A657" t="s">
        <v>2741</v>
      </c>
      <c r="B657" t="s">
        <v>3208</v>
      </c>
      <c r="C657" s="4">
        <v>45663</v>
      </c>
      <c r="D657">
        <v>94</v>
      </c>
      <c r="E657">
        <v>9989.2000000000007</v>
      </c>
      <c r="F657">
        <v>4994.3599999999997</v>
      </c>
      <c r="G657">
        <v>4994.84</v>
      </c>
      <c r="H657" t="s">
        <v>2466</v>
      </c>
      <c r="I657" t="s">
        <v>2480</v>
      </c>
      <c r="J657" t="s">
        <v>2456</v>
      </c>
      <c r="K657" t="s">
        <v>2463</v>
      </c>
      <c r="L657" t="s">
        <v>23</v>
      </c>
    </row>
    <row r="658" spans="1:12" x14ac:dyDescent="0.3">
      <c r="A658" t="s">
        <v>2640</v>
      </c>
      <c r="B658" t="s">
        <v>3209</v>
      </c>
      <c r="C658" s="4">
        <v>45742</v>
      </c>
      <c r="D658">
        <v>88</v>
      </c>
      <c r="E658">
        <v>8259.17</v>
      </c>
      <c r="F658">
        <v>988.99</v>
      </c>
      <c r="G658">
        <v>7270.18</v>
      </c>
      <c r="H658" t="s">
        <v>2454</v>
      </c>
      <c r="I658" t="s">
        <v>2467</v>
      </c>
      <c r="J658" t="s">
        <v>2468</v>
      </c>
      <c r="K658" t="s">
        <v>2496</v>
      </c>
      <c r="L658" t="s">
        <v>23</v>
      </c>
    </row>
    <row r="659" spans="1:12" x14ac:dyDescent="0.3">
      <c r="A659" t="s">
        <v>2793</v>
      </c>
      <c r="B659" t="s">
        <v>3210</v>
      </c>
      <c r="C659" s="4">
        <v>45942</v>
      </c>
      <c r="D659">
        <v>129</v>
      </c>
      <c r="E659">
        <v>3342.8</v>
      </c>
      <c r="F659">
        <v>922.63</v>
      </c>
      <c r="G659">
        <v>2420.17</v>
      </c>
      <c r="H659" t="s">
        <v>2460</v>
      </c>
      <c r="I659" t="s">
        <v>2508</v>
      </c>
      <c r="J659" t="s">
        <v>2456</v>
      </c>
      <c r="K659" t="s">
        <v>2463</v>
      </c>
      <c r="L659" t="s">
        <v>32</v>
      </c>
    </row>
    <row r="660" spans="1:12" x14ac:dyDescent="0.3">
      <c r="A660" t="s">
        <v>2649</v>
      </c>
      <c r="B660" t="s">
        <v>3211</v>
      </c>
      <c r="C660" s="4">
        <v>45748</v>
      </c>
      <c r="D660">
        <v>167</v>
      </c>
      <c r="E660">
        <v>18911.87</v>
      </c>
      <c r="F660">
        <v>3276.84</v>
      </c>
      <c r="G660">
        <v>15635.03</v>
      </c>
      <c r="H660" t="s">
        <v>2475</v>
      </c>
      <c r="I660" t="s">
        <v>2467</v>
      </c>
      <c r="J660" t="s">
        <v>2493</v>
      </c>
      <c r="K660" t="s">
        <v>2457</v>
      </c>
      <c r="L660" t="s">
        <v>23</v>
      </c>
    </row>
    <row r="661" spans="1:12" x14ac:dyDescent="0.3">
      <c r="A661" t="s">
        <v>2662</v>
      </c>
      <c r="B661" t="s">
        <v>3212</v>
      </c>
      <c r="C661" s="4">
        <v>45777</v>
      </c>
      <c r="D661">
        <v>108</v>
      </c>
      <c r="E661">
        <v>1542.51</v>
      </c>
      <c r="F661">
        <v>190.29</v>
      </c>
      <c r="G661">
        <v>1352.22</v>
      </c>
      <c r="H661" t="s">
        <v>2466</v>
      </c>
      <c r="I661" t="s">
        <v>2485</v>
      </c>
      <c r="J661" t="s">
        <v>2456</v>
      </c>
      <c r="K661" t="s">
        <v>2457</v>
      </c>
      <c r="L661" t="s">
        <v>36</v>
      </c>
    </row>
    <row r="662" spans="1:12" x14ac:dyDescent="0.3">
      <c r="A662" t="s">
        <v>2532</v>
      </c>
      <c r="B662" t="s">
        <v>3213</v>
      </c>
      <c r="C662" s="4">
        <v>45933</v>
      </c>
      <c r="D662">
        <v>90</v>
      </c>
      <c r="E662">
        <v>18865.13</v>
      </c>
      <c r="F662">
        <v>4591.92</v>
      </c>
      <c r="G662">
        <v>14273.21</v>
      </c>
      <c r="H662" t="s">
        <v>2472</v>
      </c>
      <c r="I662" t="s">
        <v>2488</v>
      </c>
      <c r="J662" t="s">
        <v>2456</v>
      </c>
      <c r="K662" t="s">
        <v>2469</v>
      </c>
      <c r="L662" t="s">
        <v>32</v>
      </c>
    </row>
    <row r="663" spans="1:12" x14ac:dyDescent="0.3">
      <c r="A663" t="s">
        <v>2741</v>
      </c>
      <c r="B663" t="s">
        <v>3214</v>
      </c>
      <c r="C663" s="4">
        <v>45845</v>
      </c>
      <c r="D663">
        <v>28</v>
      </c>
      <c r="E663">
        <v>19622.990000000002</v>
      </c>
      <c r="F663">
        <v>4655.07</v>
      </c>
      <c r="G663">
        <v>14967.92</v>
      </c>
      <c r="H663" t="s">
        <v>2460</v>
      </c>
      <c r="I663" t="s">
        <v>2467</v>
      </c>
      <c r="J663" t="s">
        <v>2462</v>
      </c>
      <c r="K663" t="s">
        <v>2463</v>
      </c>
      <c r="L663" t="s">
        <v>23</v>
      </c>
    </row>
    <row r="664" spans="1:12" x14ac:dyDescent="0.3">
      <c r="A664" t="s">
        <v>2570</v>
      </c>
      <c r="B664" t="s">
        <v>3215</v>
      </c>
      <c r="C664" s="4">
        <v>45941</v>
      </c>
      <c r="D664">
        <v>113</v>
      </c>
      <c r="E664">
        <v>1159.48</v>
      </c>
      <c r="F664">
        <v>315.60000000000002</v>
      </c>
      <c r="G664">
        <v>843.88</v>
      </c>
      <c r="H664" t="s">
        <v>2475</v>
      </c>
      <c r="I664" t="s">
        <v>2480</v>
      </c>
      <c r="J664" t="s">
        <v>2456</v>
      </c>
      <c r="K664" t="s">
        <v>2457</v>
      </c>
      <c r="L664" t="s">
        <v>12</v>
      </c>
    </row>
    <row r="665" spans="1:12" x14ac:dyDescent="0.3">
      <c r="A665" t="s">
        <v>2591</v>
      </c>
      <c r="B665" t="s">
        <v>3216</v>
      </c>
      <c r="C665" s="4">
        <v>45888</v>
      </c>
      <c r="D665">
        <v>81</v>
      </c>
      <c r="E665">
        <v>13641.66</v>
      </c>
      <c r="F665">
        <v>6795.71</v>
      </c>
      <c r="G665">
        <v>6845.95</v>
      </c>
      <c r="H665" t="s">
        <v>2454</v>
      </c>
      <c r="I665" t="s">
        <v>2508</v>
      </c>
      <c r="J665" t="s">
        <v>2456</v>
      </c>
      <c r="K665" t="s">
        <v>2469</v>
      </c>
      <c r="L665" t="s">
        <v>36</v>
      </c>
    </row>
    <row r="666" spans="1:12" x14ac:dyDescent="0.3">
      <c r="A666" t="s">
        <v>2486</v>
      </c>
      <c r="B666" t="s">
        <v>3217</v>
      </c>
      <c r="C666" s="4">
        <v>45941</v>
      </c>
      <c r="D666">
        <v>76</v>
      </c>
      <c r="E666">
        <v>4617.37</v>
      </c>
      <c r="F666">
        <v>1115.82</v>
      </c>
      <c r="G666">
        <v>3501.55</v>
      </c>
      <c r="H666" t="s">
        <v>2466</v>
      </c>
      <c r="I666" t="s">
        <v>2517</v>
      </c>
      <c r="J666" t="s">
        <v>2462</v>
      </c>
      <c r="K666" t="s">
        <v>2496</v>
      </c>
      <c r="L666" t="s">
        <v>32</v>
      </c>
    </row>
    <row r="667" spans="1:12" x14ac:dyDescent="0.3">
      <c r="A667" t="s">
        <v>2622</v>
      </c>
      <c r="B667" t="s">
        <v>3218</v>
      </c>
      <c r="C667" s="4">
        <v>45966</v>
      </c>
      <c r="D667">
        <v>153</v>
      </c>
      <c r="E667">
        <v>5216.1099999999997</v>
      </c>
      <c r="F667">
        <v>612.27</v>
      </c>
      <c r="G667">
        <v>4603.84</v>
      </c>
      <c r="H667" t="s">
        <v>2472</v>
      </c>
      <c r="I667" t="s">
        <v>2461</v>
      </c>
      <c r="J667" t="s">
        <v>2456</v>
      </c>
      <c r="K667" t="s">
        <v>2496</v>
      </c>
      <c r="L667" t="s">
        <v>32</v>
      </c>
    </row>
    <row r="668" spans="1:12" x14ac:dyDescent="0.3">
      <c r="A668" t="s">
        <v>2584</v>
      </c>
      <c r="B668" t="s">
        <v>3219</v>
      </c>
      <c r="C668" s="4">
        <v>45947</v>
      </c>
      <c r="D668">
        <v>80</v>
      </c>
      <c r="E668">
        <v>16237.64</v>
      </c>
      <c r="F668">
        <v>7582.05</v>
      </c>
      <c r="G668">
        <v>8655.59</v>
      </c>
      <c r="H668" t="s">
        <v>2472</v>
      </c>
      <c r="I668" t="s">
        <v>2480</v>
      </c>
      <c r="J668" t="s">
        <v>2493</v>
      </c>
      <c r="K668" t="s">
        <v>2469</v>
      </c>
      <c r="L668" t="s">
        <v>32</v>
      </c>
    </row>
    <row r="669" spans="1:12" x14ac:dyDescent="0.3">
      <c r="A669" t="s">
        <v>2741</v>
      </c>
      <c r="B669" t="s">
        <v>3220</v>
      </c>
      <c r="C669" s="4">
        <v>46008</v>
      </c>
      <c r="D669">
        <v>199</v>
      </c>
      <c r="E669">
        <v>11273.46</v>
      </c>
      <c r="F669">
        <v>2882.52</v>
      </c>
      <c r="G669">
        <v>8390.94</v>
      </c>
      <c r="H669" t="s">
        <v>2475</v>
      </c>
      <c r="I669" t="s">
        <v>2467</v>
      </c>
      <c r="J669" t="s">
        <v>2456</v>
      </c>
      <c r="K669" t="s">
        <v>2457</v>
      </c>
      <c r="L669" t="s">
        <v>12</v>
      </c>
    </row>
    <row r="670" spans="1:12" x14ac:dyDescent="0.3">
      <c r="A670" t="s">
        <v>2550</v>
      </c>
      <c r="B670" t="s">
        <v>3221</v>
      </c>
      <c r="C670" s="4">
        <v>45735</v>
      </c>
      <c r="D670">
        <v>187</v>
      </c>
      <c r="E670">
        <v>7262.87</v>
      </c>
      <c r="F670">
        <v>2887.62</v>
      </c>
      <c r="G670">
        <v>4375.25</v>
      </c>
      <c r="H670" t="s">
        <v>2475</v>
      </c>
      <c r="I670" t="s">
        <v>2485</v>
      </c>
      <c r="J670" t="s">
        <v>2468</v>
      </c>
      <c r="K670" t="s">
        <v>2457</v>
      </c>
      <c r="L670" t="s">
        <v>36</v>
      </c>
    </row>
    <row r="671" spans="1:12" x14ac:dyDescent="0.3">
      <c r="A671" t="s">
        <v>2673</v>
      </c>
      <c r="B671" t="s">
        <v>3222</v>
      </c>
      <c r="C671" s="4">
        <v>46003</v>
      </c>
      <c r="D671">
        <v>70</v>
      </c>
      <c r="E671">
        <v>19582.37</v>
      </c>
      <c r="F671">
        <v>6380.55</v>
      </c>
      <c r="G671">
        <v>13201.82</v>
      </c>
      <c r="H671" t="s">
        <v>2454</v>
      </c>
      <c r="I671" t="s">
        <v>2517</v>
      </c>
      <c r="J671" t="s">
        <v>2468</v>
      </c>
      <c r="K671" t="s">
        <v>2496</v>
      </c>
      <c r="L671" t="s">
        <v>84</v>
      </c>
    </row>
    <row r="672" spans="1:12" x14ac:dyDescent="0.3">
      <c r="A672" t="s">
        <v>2506</v>
      </c>
      <c r="B672" t="s">
        <v>3223</v>
      </c>
      <c r="C672" s="4">
        <v>45807</v>
      </c>
      <c r="D672">
        <v>129</v>
      </c>
      <c r="E672">
        <v>3985.12</v>
      </c>
      <c r="F672">
        <v>1508.54</v>
      </c>
      <c r="G672">
        <v>2476.58</v>
      </c>
      <c r="H672" t="s">
        <v>2475</v>
      </c>
      <c r="I672" t="s">
        <v>2485</v>
      </c>
      <c r="J672" t="s">
        <v>2468</v>
      </c>
      <c r="K672" t="s">
        <v>2457</v>
      </c>
      <c r="L672" t="s">
        <v>23</v>
      </c>
    </row>
    <row r="673" spans="1:12" x14ac:dyDescent="0.3">
      <c r="A673" t="s">
        <v>2476</v>
      </c>
      <c r="B673" t="s">
        <v>3224</v>
      </c>
      <c r="C673" s="4">
        <v>45959</v>
      </c>
      <c r="D673">
        <v>139</v>
      </c>
      <c r="E673">
        <v>1043.9100000000001</v>
      </c>
      <c r="F673">
        <v>382.49</v>
      </c>
      <c r="G673">
        <v>661.42</v>
      </c>
      <c r="H673" t="s">
        <v>2454</v>
      </c>
      <c r="I673" t="s">
        <v>2517</v>
      </c>
      <c r="J673" t="s">
        <v>2493</v>
      </c>
      <c r="K673" t="s">
        <v>2463</v>
      </c>
      <c r="L673" t="s">
        <v>36</v>
      </c>
    </row>
    <row r="674" spans="1:12" x14ac:dyDescent="0.3">
      <c r="A674" t="s">
        <v>2622</v>
      </c>
      <c r="B674" t="s">
        <v>3225</v>
      </c>
      <c r="C674" s="4">
        <v>45815</v>
      </c>
      <c r="D674">
        <v>159</v>
      </c>
      <c r="E674">
        <v>6777.71</v>
      </c>
      <c r="F674">
        <v>3171.8</v>
      </c>
      <c r="G674">
        <v>3605.91</v>
      </c>
      <c r="H674" t="s">
        <v>2454</v>
      </c>
      <c r="I674" t="s">
        <v>2467</v>
      </c>
      <c r="J674" t="s">
        <v>2468</v>
      </c>
      <c r="K674" t="s">
        <v>2496</v>
      </c>
      <c r="L674" t="s">
        <v>84</v>
      </c>
    </row>
    <row r="675" spans="1:12" x14ac:dyDescent="0.3">
      <c r="A675" t="s">
        <v>2536</v>
      </c>
      <c r="B675" t="s">
        <v>3226</v>
      </c>
      <c r="C675" s="4">
        <v>46011</v>
      </c>
      <c r="D675">
        <v>86</v>
      </c>
      <c r="E675">
        <v>18056.04</v>
      </c>
      <c r="F675">
        <v>6683.97</v>
      </c>
      <c r="G675">
        <v>11372.07</v>
      </c>
      <c r="H675" t="s">
        <v>2472</v>
      </c>
      <c r="I675" t="s">
        <v>2517</v>
      </c>
      <c r="J675" t="s">
        <v>2493</v>
      </c>
      <c r="K675" t="s">
        <v>2463</v>
      </c>
      <c r="L675" t="s">
        <v>36</v>
      </c>
    </row>
    <row r="676" spans="1:12" x14ac:dyDescent="0.3">
      <c r="A676" t="s">
        <v>2812</v>
      </c>
      <c r="B676" t="s">
        <v>3227</v>
      </c>
      <c r="C676" s="4">
        <v>45737</v>
      </c>
      <c r="D676">
        <v>26</v>
      </c>
      <c r="E676">
        <v>19025.740000000002</v>
      </c>
      <c r="F676">
        <v>1927.07</v>
      </c>
      <c r="G676">
        <v>17098.669999999998</v>
      </c>
      <c r="H676" t="s">
        <v>2454</v>
      </c>
      <c r="I676" t="s">
        <v>2461</v>
      </c>
      <c r="J676" t="s">
        <v>2456</v>
      </c>
      <c r="K676" t="s">
        <v>2463</v>
      </c>
      <c r="L676" t="s">
        <v>36</v>
      </c>
    </row>
    <row r="677" spans="1:12" x14ac:dyDescent="0.3">
      <c r="A677" t="s">
        <v>2458</v>
      </c>
      <c r="B677" t="s">
        <v>3228</v>
      </c>
      <c r="C677" s="4">
        <v>45674</v>
      </c>
      <c r="D677">
        <v>76</v>
      </c>
      <c r="E677">
        <v>14112.78</v>
      </c>
      <c r="F677">
        <v>4543.2700000000004</v>
      </c>
      <c r="G677">
        <v>9569.51</v>
      </c>
      <c r="H677" t="s">
        <v>2454</v>
      </c>
      <c r="I677" t="s">
        <v>2480</v>
      </c>
      <c r="J677" t="s">
        <v>2468</v>
      </c>
      <c r="K677" t="s">
        <v>2496</v>
      </c>
      <c r="L677" t="s">
        <v>36</v>
      </c>
    </row>
    <row r="678" spans="1:12" x14ac:dyDescent="0.3">
      <c r="A678" t="s">
        <v>2597</v>
      </c>
      <c r="B678" t="s">
        <v>3229</v>
      </c>
      <c r="C678" s="4">
        <v>45773</v>
      </c>
      <c r="D678">
        <v>159</v>
      </c>
      <c r="E678">
        <v>7481.89</v>
      </c>
      <c r="F678">
        <v>3041.22</v>
      </c>
      <c r="G678">
        <v>4440.67</v>
      </c>
      <c r="H678" t="s">
        <v>2460</v>
      </c>
      <c r="I678" t="s">
        <v>2488</v>
      </c>
      <c r="J678" t="s">
        <v>2468</v>
      </c>
      <c r="K678" t="s">
        <v>2463</v>
      </c>
      <c r="L678" t="s">
        <v>12</v>
      </c>
    </row>
    <row r="679" spans="1:12" x14ac:dyDescent="0.3">
      <c r="A679" t="s">
        <v>2541</v>
      </c>
      <c r="B679" t="s">
        <v>3230</v>
      </c>
      <c r="C679" s="4">
        <v>45944</v>
      </c>
      <c r="D679">
        <v>113</v>
      </c>
      <c r="E679">
        <v>18032.23</v>
      </c>
      <c r="F679">
        <v>3354.47</v>
      </c>
      <c r="G679">
        <v>14677.76</v>
      </c>
      <c r="H679" t="s">
        <v>2466</v>
      </c>
      <c r="I679" t="s">
        <v>2485</v>
      </c>
      <c r="J679" t="s">
        <v>2456</v>
      </c>
      <c r="K679" t="s">
        <v>2463</v>
      </c>
      <c r="L679" t="s">
        <v>23</v>
      </c>
    </row>
    <row r="680" spans="1:12" x14ac:dyDescent="0.3">
      <c r="A680" t="s">
        <v>2481</v>
      </c>
      <c r="B680" t="s">
        <v>3231</v>
      </c>
      <c r="C680" s="4">
        <v>45765</v>
      </c>
      <c r="D680">
        <v>180</v>
      </c>
      <c r="E680">
        <v>18387.560000000001</v>
      </c>
      <c r="F680">
        <v>8613.18</v>
      </c>
      <c r="G680">
        <v>9774.3799999999992</v>
      </c>
      <c r="H680" t="s">
        <v>2472</v>
      </c>
      <c r="I680" t="s">
        <v>2485</v>
      </c>
      <c r="J680" t="s">
        <v>2468</v>
      </c>
      <c r="K680" t="s">
        <v>2496</v>
      </c>
      <c r="L680" t="s">
        <v>32</v>
      </c>
    </row>
    <row r="681" spans="1:12" x14ac:dyDescent="0.3">
      <c r="A681" t="s">
        <v>2489</v>
      </c>
      <c r="B681" t="s">
        <v>3232</v>
      </c>
      <c r="C681" s="4">
        <v>45820</v>
      </c>
      <c r="D681">
        <v>163</v>
      </c>
      <c r="E681">
        <v>17822.88</v>
      </c>
      <c r="F681">
        <v>6489.07</v>
      </c>
      <c r="G681">
        <v>11333.81</v>
      </c>
      <c r="H681" t="s">
        <v>2454</v>
      </c>
      <c r="I681" t="s">
        <v>2508</v>
      </c>
      <c r="J681" t="s">
        <v>2456</v>
      </c>
      <c r="K681" t="s">
        <v>2457</v>
      </c>
      <c r="L681" t="s">
        <v>36</v>
      </c>
    </row>
    <row r="682" spans="1:12" x14ac:dyDescent="0.3">
      <c r="A682" t="s">
        <v>2649</v>
      </c>
      <c r="B682" t="s">
        <v>3233</v>
      </c>
      <c r="C682" s="4">
        <v>45924</v>
      </c>
      <c r="D682">
        <v>49</v>
      </c>
      <c r="E682">
        <v>16906.04</v>
      </c>
      <c r="F682">
        <v>5317.32</v>
      </c>
      <c r="G682">
        <v>11588.72</v>
      </c>
      <c r="H682" t="s">
        <v>2466</v>
      </c>
      <c r="I682" t="s">
        <v>2480</v>
      </c>
      <c r="J682" t="s">
        <v>2493</v>
      </c>
      <c r="K682" t="s">
        <v>2469</v>
      </c>
      <c r="L682" t="s">
        <v>84</v>
      </c>
    </row>
    <row r="683" spans="1:12" x14ac:dyDescent="0.3">
      <c r="A683" t="s">
        <v>2733</v>
      </c>
      <c r="B683" t="s">
        <v>3234</v>
      </c>
      <c r="C683" s="4">
        <v>45894</v>
      </c>
      <c r="D683">
        <v>193</v>
      </c>
      <c r="E683">
        <v>16601.75</v>
      </c>
      <c r="F683">
        <v>7981.16</v>
      </c>
      <c r="G683">
        <v>8620.59</v>
      </c>
      <c r="H683" t="s">
        <v>2454</v>
      </c>
      <c r="I683" t="s">
        <v>2508</v>
      </c>
      <c r="J683" t="s">
        <v>2468</v>
      </c>
      <c r="K683" t="s">
        <v>2469</v>
      </c>
      <c r="L683" t="s">
        <v>32</v>
      </c>
    </row>
    <row r="684" spans="1:12" x14ac:dyDescent="0.3">
      <c r="A684" t="s">
        <v>2733</v>
      </c>
      <c r="B684" t="s">
        <v>3235</v>
      </c>
      <c r="C684" s="4">
        <v>45679</v>
      </c>
      <c r="D684">
        <v>149</v>
      </c>
      <c r="E684">
        <v>2458.5</v>
      </c>
      <c r="F684">
        <v>956.42</v>
      </c>
      <c r="G684">
        <v>1502.08</v>
      </c>
      <c r="H684" t="s">
        <v>2475</v>
      </c>
      <c r="I684" t="s">
        <v>2480</v>
      </c>
      <c r="J684" t="s">
        <v>2468</v>
      </c>
      <c r="K684" t="s">
        <v>2457</v>
      </c>
      <c r="L684" t="s">
        <v>32</v>
      </c>
    </row>
    <row r="685" spans="1:12" x14ac:dyDescent="0.3">
      <c r="A685" t="s">
        <v>2561</v>
      </c>
      <c r="B685" t="s">
        <v>3236</v>
      </c>
      <c r="C685" s="4">
        <v>46000</v>
      </c>
      <c r="D685">
        <v>19</v>
      </c>
      <c r="E685">
        <v>10900.95</v>
      </c>
      <c r="F685">
        <v>2717.12</v>
      </c>
      <c r="G685">
        <v>8183.83</v>
      </c>
      <c r="H685" t="s">
        <v>2472</v>
      </c>
      <c r="I685" t="s">
        <v>2455</v>
      </c>
      <c r="J685" t="s">
        <v>2493</v>
      </c>
      <c r="K685" t="s">
        <v>2496</v>
      </c>
      <c r="L685" t="s">
        <v>12</v>
      </c>
    </row>
    <row r="686" spans="1:12" x14ac:dyDescent="0.3">
      <c r="A686" t="s">
        <v>2486</v>
      </c>
      <c r="B686" t="s">
        <v>3237</v>
      </c>
      <c r="C686" s="4">
        <v>45887</v>
      </c>
      <c r="D686">
        <v>195</v>
      </c>
      <c r="E686">
        <v>15025.85</v>
      </c>
      <c r="F686">
        <v>2047.71</v>
      </c>
      <c r="G686">
        <v>12978.14</v>
      </c>
      <c r="H686" t="s">
        <v>2466</v>
      </c>
      <c r="I686" t="s">
        <v>2485</v>
      </c>
      <c r="J686" t="s">
        <v>2468</v>
      </c>
      <c r="K686" t="s">
        <v>2463</v>
      </c>
      <c r="L686" t="s">
        <v>84</v>
      </c>
    </row>
    <row r="687" spans="1:12" x14ac:dyDescent="0.3">
      <c r="A687" t="s">
        <v>2581</v>
      </c>
      <c r="B687" t="s">
        <v>3238</v>
      </c>
      <c r="C687" s="4">
        <v>45850</v>
      </c>
      <c r="D687">
        <v>9</v>
      </c>
      <c r="E687">
        <v>1280.57</v>
      </c>
      <c r="F687">
        <v>146.62</v>
      </c>
      <c r="G687">
        <v>1133.95</v>
      </c>
      <c r="H687" t="s">
        <v>2466</v>
      </c>
      <c r="I687" t="s">
        <v>2480</v>
      </c>
      <c r="J687" t="s">
        <v>2456</v>
      </c>
      <c r="K687" t="s">
        <v>2457</v>
      </c>
      <c r="L687" t="s">
        <v>12</v>
      </c>
    </row>
    <row r="688" spans="1:12" x14ac:dyDescent="0.3">
      <c r="A688" t="s">
        <v>2511</v>
      </c>
      <c r="B688" t="s">
        <v>3239</v>
      </c>
      <c r="C688" s="4">
        <v>45675</v>
      </c>
      <c r="D688">
        <v>141</v>
      </c>
      <c r="E688">
        <v>1269.92</v>
      </c>
      <c r="F688">
        <v>357.24</v>
      </c>
      <c r="G688">
        <v>912.68</v>
      </c>
      <c r="H688" t="s">
        <v>2454</v>
      </c>
      <c r="I688" t="s">
        <v>2517</v>
      </c>
      <c r="J688" t="s">
        <v>2493</v>
      </c>
      <c r="K688" t="s">
        <v>2463</v>
      </c>
      <c r="L688" t="s">
        <v>36</v>
      </c>
    </row>
    <row r="689" spans="1:12" x14ac:dyDescent="0.3">
      <c r="A689" t="s">
        <v>2564</v>
      </c>
      <c r="B689" t="s">
        <v>3240</v>
      </c>
      <c r="C689" s="4">
        <v>45707</v>
      </c>
      <c r="D689">
        <v>69</v>
      </c>
      <c r="E689">
        <v>13918.33</v>
      </c>
      <c r="F689">
        <v>6261.54</v>
      </c>
      <c r="G689">
        <v>7656.79</v>
      </c>
      <c r="H689" t="s">
        <v>2475</v>
      </c>
      <c r="I689" t="s">
        <v>2455</v>
      </c>
      <c r="J689" t="s">
        <v>2493</v>
      </c>
      <c r="K689" t="s">
        <v>2469</v>
      </c>
      <c r="L689" t="s">
        <v>23</v>
      </c>
    </row>
    <row r="690" spans="1:12" x14ac:dyDescent="0.3">
      <c r="A690" t="s">
        <v>2509</v>
      </c>
      <c r="B690" t="s">
        <v>3241</v>
      </c>
      <c r="C690" s="4">
        <v>45678</v>
      </c>
      <c r="D690">
        <v>6</v>
      </c>
      <c r="E690">
        <v>155.30000000000001</v>
      </c>
      <c r="F690">
        <v>47.16</v>
      </c>
      <c r="G690">
        <v>108.14</v>
      </c>
      <c r="H690" t="s">
        <v>2454</v>
      </c>
      <c r="I690" t="s">
        <v>2467</v>
      </c>
      <c r="J690" t="s">
        <v>2493</v>
      </c>
      <c r="K690" t="s">
        <v>2469</v>
      </c>
      <c r="L690" t="s">
        <v>84</v>
      </c>
    </row>
    <row r="691" spans="1:12" x14ac:dyDescent="0.3">
      <c r="A691" t="s">
        <v>2733</v>
      </c>
      <c r="B691" t="s">
        <v>3242</v>
      </c>
      <c r="C691" s="4">
        <v>45814</v>
      </c>
      <c r="D691">
        <v>163</v>
      </c>
      <c r="E691">
        <v>7023.98</v>
      </c>
      <c r="F691">
        <v>3480.93</v>
      </c>
      <c r="G691">
        <v>3543.05</v>
      </c>
      <c r="H691" t="s">
        <v>2454</v>
      </c>
      <c r="I691" t="s">
        <v>2455</v>
      </c>
      <c r="J691" t="s">
        <v>2462</v>
      </c>
      <c r="K691" t="s">
        <v>2469</v>
      </c>
      <c r="L691" t="s">
        <v>12</v>
      </c>
    </row>
    <row r="692" spans="1:12" x14ac:dyDescent="0.3">
      <c r="A692" t="s">
        <v>2854</v>
      </c>
      <c r="B692" t="s">
        <v>3243</v>
      </c>
      <c r="C692" s="4">
        <v>46018</v>
      </c>
      <c r="D692">
        <v>48</v>
      </c>
      <c r="E692">
        <v>5788.79</v>
      </c>
      <c r="F692">
        <v>1830.7</v>
      </c>
      <c r="G692">
        <v>3958.09</v>
      </c>
      <c r="H692" t="s">
        <v>2460</v>
      </c>
      <c r="I692" t="s">
        <v>2467</v>
      </c>
      <c r="J692" t="s">
        <v>2456</v>
      </c>
      <c r="K692" t="s">
        <v>2496</v>
      </c>
      <c r="L692" t="s">
        <v>32</v>
      </c>
    </row>
    <row r="693" spans="1:12" x14ac:dyDescent="0.3">
      <c r="A693" t="s">
        <v>2642</v>
      </c>
      <c r="B693" t="s">
        <v>3244</v>
      </c>
      <c r="C693" s="4">
        <v>45667</v>
      </c>
      <c r="D693">
        <v>57</v>
      </c>
      <c r="E693">
        <v>6223.53</v>
      </c>
      <c r="F693">
        <v>980.8</v>
      </c>
      <c r="G693">
        <v>5242.7299999999996</v>
      </c>
      <c r="H693" t="s">
        <v>2472</v>
      </c>
      <c r="I693" t="s">
        <v>2480</v>
      </c>
      <c r="J693" t="s">
        <v>2456</v>
      </c>
      <c r="K693" t="s">
        <v>2463</v>
      </c>
      <c r="L693" t="s">
        <v>84</v>
      </c>
    </row>
    <row r="694" spans="1:12" x14ac:dyDescent="0.3">
      <c r="A694" t="s">
        <v>2653</v>
      </c>
      <c r="B694" t="s">
        <v>3245</v>
      </c>
      <c r="C694" s="4">
        <v>45817</v>
      </c>
      <c r="D694">
        <v>63</v>
      </c>
      <c r="E694">
        <v>211.81</v>
      </c>
      <c r="F694">
        <v>41.15</v>
      </c>
      <c r="G694">
        <v>170.66</v>
      </c>
      <c r="H694" t="s">
        <v>2466</v>
      </c>
      <c r="I694" t="s">
        <v>2461</v>
      </c>
      <c r="J694" t="s">
        <v>2493</v>
      </c>
      <c r="K694" t="s">
        <v>2496</v>
      </c>
      <c r="L694" t="s">
        <v>32</v>
      </c>
    </row>
    <row r="695" spans="1:12" x14ac:dyDescent="0.3">
      <c r="A695" t="s">
        <v>2741</v>
      </c>
      <c r="B695" t="s">
        <v>3246</v>
      </c>
      <c r="C695" s="4">
        <v>45992</v>
      </c>
      <c r="D695">
        <v>23</v>
      </c>
      <c r="E695">
        <v>7742.12</v>
      </c>
      <c r="F695">
        <v>2495.84</v>
      </c>
      <c r="G695">
        <v>5246.28</v>
      </c>
      <c r="H695" t="s">
        <v>2475</v>
      </c>
      <c r="I695" t="s">
        <v>2480</v>
      </c>
      <c r="J695" t="s">
        <v>2493</v>
      </c>
      <c r="K695" t="s">
        <v>2469</v>
      </c>
      <c r="L695" t="s">
        <v>36</v>
      </c>
    </row>
    <row r="696" spans="1:12" x14ac:dyDescent="0.3">
      <c r="A696" t="s">
        <v>2751</v>
      </c>
      <c r="B696" t="s">
        <v>3247</v>
      </c>
      <c r="C696" s="4">
        <v>45752</v>
      </c>
      <c r="D696">
        <v>145</v>
      </c>
      <c r="E696">
        <v>11174.02</v>
      </c>
      <c r="F696">
        <v>1197.76</v>
      </c>
      <c r="G696">
        <v>9976.26</v>
      </c>
      <c r="H696" t="s">
        <v>2454</v>
      </c>
      <c r="I696" t="s">
        <v>2485</v>
      </c>
      <c r="J696" t="s">
        <v>2468</v>
      </c>
      <c r="K696" t="s">
        <v>2463</v>
      </c>
      <c r="L696" t="s">
        <v>23</v>
      </c>
    </row>
    <row r="697" spans="1:12" x14ac:dyDescent="0.3">
      <c r="A697" t="s">
        <v>2481</v>
      </c>
      <c r="B697" t="s">
        <v>3248</v>
      </c>
      <c r="C697" s="4">
        <v>45903</v>
      </c>
      <c r="D697">
        <v>43</v>
      </c>
      <c r="E697">
        <v>7965.3</v>
      </c>
      <c r="F697">
        <v>3246.83</v>
      </c>
      <c r="G697">
        <v>4718.47</v>
      </c>
      <c r="H697" t="s">
        <v>2475</v>
      </c>
      <c r="I697" t="s">
        <v>2461</v>
      </c>
      <c r="J697" t="s">
        <v>2468</v>
      </c>
      <c r="K697" t="s">
        <v>2463</v>
      </c>
      <c r="L697" t="s">
        <v>36</v>
      </c>
    </row>
    <row r="698" spans="1:12" x14ac:dyDescent="0.3">
      <c r="A698" t="s">
        <v>2530</v>
      </c>
      <c r="B698" t="s">
        <v>3249</v>
      </c>
      <c r="C698" s="4">
        <v>45969</v>
      </c>
      <c r="D698">
        <v>91</v>
      </c>
      <c r="E698">
        <v>10461.15</v>
      </c>
      <c r="F698">
        <v>4905.28</v>
      </c>
      <c r="G698">
        <v>5555.87</v>
      </c>
      <c r="H698" t="s">
        <v>2454</v>
      </c>
      <c r="I698" t="s">
        <v>2517</v>
      </c>
      <c r="J698" t="s">
        <v>2456</v>
      </c>
      <c r="K698" t="s">
        <v>2496</v>
      </c>
      <c r="L698" t="s">
        <v>36</v>
      </c>
    </row>
    <row r="699" spans="1:12" x14ac:dyDescent="0.3">
      <c r="A699" t="s">
        <v>2655</v>
      </c>
      <c r="B699" t="s">
        <v>3250</v>
      </c>
      <c r="C699" s="4">
        <v>45662</v>
      </c>
      <c r="D699">
        <v>24</v>
      </c>
      <c r="E699">
        <v>16042.95</v>
      </c>
      <c r="F699">
        <v>2619.15</v>
      </c>
      <c r="G699">
        <v>13423.8</v>
      </c>
      <c r="H699" t="s">
        <v>2475</v>
      </c>
      <c r="I699" t="s">
        <v>2480</v>
      </c>
      <c r="J699" t="s">
        <v>2468</v>
      </c>
      <c r="K699" t="s">
        <v>2496</v>
      </c>
      <c r="L699" t="s">
        <v>36</v>
      </c>
    </row>
    <row r="700" spans="1:12" x14ac:dyDescent="0.3">
      <c r="A700" t="s">
        <v>2638</v>
      </c>
      <c r="B700" t="s">
        <v>3251</v>
      </c>
      <c r="C700" s="4">
        <v>45881</v>
      </c>
      <c r="D700">
        <v>166</v>
      </c>
      <c r="E700">
        <v>15925.71</v>
      </c>
      <c r="F700">
        <v>3340.85</v>
      </c>
      <c r="G700">
        <v>12584.86</v>
      </c>
      <c r="H700" t="s">
        <v>2475</v>
      </c>
      <c r="I700" t="s">
        <v>2488</v>
      </c>
      <c r="J700" t="s">
        <v>2493</v>
      </c>
      <c r="K700" t="s">
        <v>2463</v>
      </c>
      <c r="L700" t="s">
        <v>23</v>
      </c>
    </row>
    <row r="701" spans="1:12" x14ac:dyDescent="0.3">
      <c r="A701" t="s">
        <v>2499</v>
      </c>
      <c r="B701" t="s">
        <v>3252</v>
      </c>
      <c r="C701" s="4">
        <v>45909</v>
      </c>
      <c r="D701">
        <v>2</v>
      </c>
      <c r="E701">
        <v>13759.27</v>
      </c>
      <c r="F701">
        <v>3767.05</v>
      </c>
      <c r="G701">
        <v>9992.2199999999993</v>
      </c>
      <c r="H701" t="s">
        <v>2454</v>
      </c>
      <c r="I701" t="s">
        <v>2488</v>
      </c>
      <c r="J701" t="s">
        <v>2456</v>
      </c>
      <c r="K701" t="s">
        <v>2457</v>
      </c>
      <c r="L701" t="s">
        <v>36</v>
      </c>
    </row>
    <row r="702" spans="1:12" x14ac:dyDescent="0.3">
      <c r="A702" t="s">
        <v>2599</v>
      </c>
      <c r="B702" t="s">
        <v>3253</v>
      </c>
      <c r="C702" s="4">
        <v>45753</v>
      </c>
      <c r="D702">
        <v>141</v>
      </c>
      <c r="E702">
        <v>11056.96</v>
      </c>
      <c r="F702">
        <v>2298.39</v>
      </c>
      <c r="G702">
        <v>8758.57</v>
      </c>
      <c r="H702" t="s">
        <v>2460</v>
      </c>
      <c r="I702" t="s">
        <v>2517</v>
      </c>
      <c r="J702" t="s">
        <v>2462</v>
      </c>
      <c r="K702" t="s">
        <v>2496</v>
      </c>
      <c r="L702" t="s">
        <v>36</v>
      </c>
    </row>
    <row r="703" spans="1:12" x14ac:dyDescent="0.3">
      <c r="A703" t="s">
        <v>2591</v>
      </c>
      <c r="B703" t="s">
        <v>3254</v>
      </c>
      <c r="C703" s="4">
        <v>45842</v>
      </c>
      <c r="D703">
        <v>133</v>
      </c>
      <c r="E703">
        <v>984.7</v>
      </c>
      <c r="F703">
        <v>472.52</v>
      </c>
      <c r="G703">
        <v>512.17999999999995</v>
      </c>
      <c r="H703" t="s">
        <v>2460</v>
      </c>
      <c r="I703" t="s">
        <v>2455</v>
      </c>
      <c r="J703" t="s">
        <v>2462</v>
      </c>
      <c r="K703" t="s">
        <v>2496</v>
      </c>
      <c r="L703" t="s">
        <v>23</v>
      </c>
    </row>
    <row r="704" spans="1:12" x14ac:dyDescent="0.3">
      <c r="A704" t="s">
        <v>2591</v>
      </c>
      <c r="B704" t="s">
        <v>3255</v>
      </c>
      <c r="C704" s="4">
        <v>45993</v>
      </c>
      <c r="D704">
        <v>40</v>
      </c>
      <c r="E704">
        <v>10219.549999999999</v>
      </c>
      <c r="F704">
        <v>2731.14</v>
      </c>
      <c r="G704">
        <v>7488.41</v>
      </c>
      <c r="H704" t="s">
        <v>2475</v>
      </c>
      <c r="I704" t="s">
        <v>2508</v>
      </c>
      <c r="J704" t="s">
        <v>2493</v>
      </c>
      <c r="K704" t="s">
        <v>2469</v>
      </c>
      <c r="L704" t="s">
        <v>23</v>
      </c>
    </row>
    <row r="705" spans="1:12" x14ac:dyDescent="0.3">
      <c r="A705" t="s">
        <v>2748</v>
      </c>
      <c r="B705" t="s">
        <v>3256</v>
      </c>
      <c r="C705" s="4">
        <v>45922</v>
      </c>
      <c r="D705">
        <v>36</v>
      </c>
      <c r="E705">
        <v>3445.62</v>
      </c>
      <c r="F705">
        <v>683.62</v>
      </c>
      <c r="G705">
        <v>2762</v>
      </c>
      <c r="H705" t="s">
        <v>2475</v>
      </c>
      <c r="I705" t="s">
        <v>2480</v>
      </c>
      <c r="J705" t="s">
        <v>2456</v>
      </c>
      <c r="K705" t="s">
        <v>2496</v>
      </c>
      <c r="L705" t="s">
        <v>36</v>
      </c>
    </row>
    <row r="706" spans="1:12" x14ac:dyDescent="0.3">
      <c r="A706" t="s">
        <v>2634</v>
      </c>
      <c r="B706" t="s">
        <v>3257</v>
      </c>
      <c r="C706" s="4">
        <v>45661</v>
      </c>
      <c r="D706">
        <v>76</v>
      </c>
      <c r="E706">
        <v>10779.43</v>
      </c>
      <c r="F706">
        <v>2693.68</v>
      </c>
      <c r="G706">
        <v>8085.75</v>
      </c>
      <c r="H706" t="s">
        <v>2475</v>
      </c>
      <c r="I706" t="s">
        <v>2467</v>
      </c>
      <c r="J706" t="s">
        <v>2468</v>
      </c>
      <c r="K706" t="s">
        <v>2463</v>
      </c>
      <c r="L706" t="s">
        <v>36</v>
      </c>
    </row>
    <row r="707" spans="1:12" x14ac:dyDescent="0.3">
      <c r="A707" t="s">
        <v>2538</v>
      </c>
      <c r="B707" t="s">
        <v>3258</v>
      </c>
      <c r="C707" s="4">
        <v>45946</v>
      </c>
      <c r="D707">
        <v>72</v>
      </c>
      <c r="E707">
        <v>9796.77</v>
      </c>
      <c r="F707">
        <v>3806</v>
      </c>
      <c r="G707">
        <v>5990.77</v>
      </c>
      <c r="H707" t="s">
        <v>2475</v>
      </c>
      <c r="I707" t="s">
        <v>2467</v>
      </c>
      <c r="J707" t="s">
        <v>2456</v>
      </c>
      <c r="K707" t="s">
        <v>2463</v>
      </c>
      <c r="L707" t="s">
        <v>36</v>
      </c>
    </row>
    <row r="708" spans="1:12" x14ac:dyDescent="0.3">
      <c r="A708" t="s">
        <v>2622</v>
      </c>
      <c r="B708" t="s">
        <v>3259</v>
      </c>
      <c r="C708" s="4">
        <v>45701</v>
      </c>
      <c r="D708">
        <v>155</v>
      </c>
      <c r="E708">
        <v>14239.75</v>
      </c>
      <c r="F708">
        <v>3126.48</v>
      </c>
      <c r="G708">
        <v>11113.27</v>
      </c>
      <c r="H708" t="s">
        <v>2475</v>
      </c>
      <c r="I708" t="s">
        <v>2480</v>
      </c>
      <c r="J708" t="s">
        <v>2468</v>
      </c>
      <c r="K708" t="s">
        <v>2463</v>
      </c>
      <c r="L708" t="s">
        <v>12</v>
      </c>
    </row>
    <row r="709" spans="1:12" x14ac:dyDescent="0.3">
      <c r="A709" t="s">
        <v>2473</v>
      </c>
      <c r="B709" t="s">
        <v>3260</v>
      </c>
      <c r="C709" s="4">
        <v>45791</v>
      </c>
      <c r="D709">
        <v>183</v>
      </c>
      <c r="E709">
        <v>13947.98</v>
      </c>
      <c r="F709">
        <v>5752.05</v>
      </c>
      <c r="G709">
        <v>8195.93</v>
      </c>
      <c r="H709" t="s">
        <v>2475</v>
      </c>
      <c r="I709" t="s">
        <v>2467</v>
      </c>
      <c r="J709" t="s">
        <v>2462</v>
      </c>
      <c r="K709" t="s">
        <v>2457</v>
      </c>
      <c r="L709" t="s">
        <v>23</v>
      </c>
    </row>
    <row r="710" spans="1:12" x14ac:dyDescent="0.3">
      <c r="A710" t="s">
        <v>2543</v>
      </c>
      <c r="B710" t="s">
        <v>3261</v>
      </c>
      <c r="C710" s="4">
        <v>45708</v>
      </c>
      <c r="D710">
        <v>27</v>
      </c>
      <c r="E710">
        <v>4949.62</v>
      </c>
      <c r="F710">
        <v>1053.57</v>
      </c>
      <c r="G710">
        <v>3896.05</v>
      </c>
      <c r="H710" t="s">
        <v>2472</v>
      </c>
      <c r="I710" t="s">
        <v>2467</v>
      </c>
      <c r="J710" t="s">
        <v>2456</v>
      </c>
      <c r="K710" t="s">
        <v>2457</v>
      </c>
      <c r="L710" t="s">
        <v>36</v>
      </c>
    </row>
    <row r="711" spans="1:12" x14ac:dyDescent="0.3">
      <c r="A711" t="s">
        <v>2709</v>
      </c>
      <c r="B711" t="s">
        <v>3262</v>
      </c>
      <c r="C711" s="4">
        <v>45791</v>
      </c>
      <c r="D711">
        <v>65</v>
      </c>
      <c r="E711">
        <v>7977.87</v>
      </c>
      <c r="F711">
        <v>3979.73</v>
      </c>
      <c r="G711">
        <v>3998.14</v>
      </c>
      <c r="H711" t="s">
        <v>2472</v>
      </c>
      <c r="I711" t="s">
        <v>2485</v>
      </c>
      <c r="J711" t="s">
        <v>2468</v>
      </c>
      <c r="K711" t="s">
        <v>2457</v>
      </c>
      <c r="L711" t="s">
        <v>36</v>
      </c>
    </row>
    <row r="712" spans="1:12" x14ac:dyDescent="0.3">
      <c r="A712" t="s">
        <v>2523</v>
      </c>
      <c r="B712" t="s">
        <v>3263</v>
      </c>
      <c r="C712" s="4">
        <v>45822</v>
      </c>
      <c r="D712">
        <v>102</v>
      </c>
      <c r="E712">
        <v>18071.560000000001</v>
      </c>
      <c r="F712">
        <v>8342.17</v>
      </c>
      <c r="G712">
        <v>9729.39</v>
      </c>
      <c r="H712" t="s">
        <v>2466</v>
      </c>
      <c r="I712" t="s">
        <v>2455</v>
      </c>
      <c r="J712" t="s">
        <v>2468</v>
      </c>
      <c r="K712" t="s">
        <v>2463</v>
      </c>
      <c r="L712" t="s">
        <v>84</v>
      </c>
    </row>
    <row r="713" spans="1:12" x14ac:dyDescent="0.3">
      <c r="A713" t="s">
        <v>2741</v>
      </c>
      <c r="B713" t="s">
        <v>3264</v>
      </c>
      <c r="C713" s="4">
        <v>45868</v>
      </c>
      <c r="D713">
        <v>23</v>
      </c>
      <c r="E713">
        <v>8372.64</v>
      </c>
      <c r="F713">
        <v>1227.56</v>
      </c>
      <c r="G713">
        <v>7145.08</v>
      </c>
      <c r="H713" t="s">
        <v>2472</v>
      </c>
      <c r="I713" t="s">
        <v>2517</v>
      </c>
      <c r="J713" t="s">
        <v>2493</v>
      </c>
      <c r="K713" t="s">
        <v>2457</v>
      </c>
      <c r="L713" t="s">
        <v>84</v>
      </c>
    </row>
    <row r="714" spans="1:12" x14ac:dyDescent="0.3">
      <c r="A714" t="s">
        <v>2566</v>
      </c>
      <c r="B714" t="s">
        <v>3265</v>
      </c>
      <c r="C714" s="4">
        <v>45775</v>
      </c>
      <c r="D714">
        <v>150</v>
      </c>
      <c r="E714">
        <v>15006.58</v>
      </c>
      <c r="F714">
        <v>4316.58</v>
      </c>
      <c r="G714">
        <v>10690</v>
      </c>
      <c r="H714" t="s">
        <v>2472</v>
      </c>
      <c r="I714" t="s">
        <v>2480</v>
      </c>
      <c r="J714" t="s">
        <v>2493</v>
      </c>
      <c r="K714" t="s">
        <v>2496</v>
      </c>
      <c r="L714" t="s">
        <v>84</v>
      </c>
    </row>
    <row r="715" spans="1:12" x14ac:dyDescent="0.3">
      <c r="A715" t="s">
        <v>2631</v>
      </c>
      <c r="B715" t="s">
        <v>3266</v>
      </c>
      <c r="C715" s="4">
        <v>46005</v>
      </c>
      <c r="D715">
        <v>159</v>
      </c>
      <c r="E715">
        <v>7803.28</v>
      </c>
      <c r="F715">
        <v>3395.36</v>
      </c>
      <c r="G715">
        <v>4407.92</v>
      </c>
      <c r="H715" t="s">
        <v>2466</v>
      </c>
      <c r="I715" t="s">
        <v>2488</v>
      </c>
      <c r="J715" t="s">
        <v>2468</v>
      </c>
      <c r="K715" t="s">
        <v>2463</v>
      </c>
      <c r="L715" t="s">
        <v>84</v>
      </c>
    </row>
    <row r="716" spans="1:12" x14ac:dyDescent="0.3">
      <c r="A716" t="s">
        <v>2611</v>
      </c>
      <c r="B716" t="s">
        <v>3267</v>
      </c>
      <c r="C716" s="4">
        <v>45914</v>
      </c>
      <c r="D716">
        <v>129</v>
      </c>
      <c r="E716">
        <v>1211.95</v>
      </c>
      <c r="F716">
        <v>409.22</v>
      </c>
      <c r="G716">
        <v>802.73</v>
      </c>
      <c r="H716" t="s">
        <v>2460</v>
      </c>
      <c r="I716" t="s">
        <v>2461</v>
      </c>
      <c r="J716" t="s">
        <v>2462</v>
      </c>
      <c r="K716" t="s">
        <v>2457</v>
      </c>
      <c r="L716" t="s">
        <v>23</v>
      </c>
    </row>
    <row r="717" spans="1:12" x14ac:dyDescent="0.3">
      <c r="A717" t="s">
        <v>2597</v>
      </c>
      <c r="B717" t="s">
        <v>3268</v>
      </c>
      <c r="C717" s="4">
        <v>45797</v>
      </c>
      <c r="D717">
        <v>180</v>
      </c>
      <c r="E717">
        <v>7940.62</v>
      </c>
      <c r="F717">
        <v>3484.43</v>
      </c>
      <c r="G717">
        <v>4456.1899999999996</v>
      </c>
      <c r="H717" t="s">
        <v>2466</v>
      </c>
      <c r="I717" t="s">
        <v>2461</v>
      </c>
      <c r="J717" t="s">
        <v>2493</v>
      </c>
      <c r="K717" t="s">
        <v>2469</v>
      </c>
      <c r="L717" t="s">
        <v>32</v>
      </c>
    </row>
    <row r="718" spans="1:12" x14ac:dyDescent="0.3">
      <c r="A718" t="s">
        <v>2561</v>
      </c>
      <c r="B718" t="s">
        <v>3269</v>
      </c>
      <c r="C718" s="4">
        <v>45801</v>
      </c>
      <c r="D718">
        <v>74</v>
      </c>
      <c r="E718">
        <v>15598.18</v>
      </c>
      <c r="F718">
        <v>2912.35</v>
      </c>
      <c r="G718">
        <v>12685.83</v>
      </c>
      <c r="H718" t="s">
        <v>2460</v>
      </c>
      <c r="I718" t="s">
        <v>2480</v>
      </c>
      <c r="J718" t="s">
        <v>2462</v>
      </c>
      <c r="K718" t="s">
        <v>2457</v>
      </c>
      <c r="L718" t="s">
        <v>12</v>
      </c>
    </row>
    <row r="719" spans="1:12" x14ac:dyDescent="0.3">
      <c r="A719" t="s">
        <v>2640</v>
      </c>
      <c r="B719" t="s">
        <v>3270</v>
      </c>
      <c r="C719" s="4">
        <v>45865</v>
      </c>
      <c r="D719">
        <v>79</v>
      </c>
      <c r="E719">
        <v>12132.72</v>
      </c>
      <c r="F719">
        <v>5151.24</v>
      </c>
      <c r="G719">
        <v>6981.48</v>
      </c>
      <c r="H719" t="s">
        <v>2475</v>
      </c>
      <c r="I719" t="s">
        <v>2461</v>
      </c>
      <c r="J719" t="s">
        <v>2493</v>
      </c>
      <c r="K719" t="s">
        <v>2463</v>
      </c>
      <c r="L719" t="s">
        <v>12</v>
      </c>
    </row>
    <row r="720" spans="1:12" x14ac:dyDescent="0.3">
      <c r="A720" t="s">
        <v>2476</v>
      </c>
      <c r="B720" t="s">
        <v>3271</v>
      </c>
      <c r="C720" s="4">
        <v>45825</v>
      </c>
      <c r="D720">
        <v>117</v>
      </c>
      <c r="E720">
        <v>3876.48</v>
      </c>
      <c r="F720">
        <v>625.65</v>
      </c>
      <c r="G720">
        <v>3250.83</v>
      </c>
      <c r="H720" t="s">
        <v>2454</v>
      </c>
      <c r="I720" t="s">
        <v>2467</v>
      </c>
      <c r="J720" t="s">
        <v>2462</v>
      </c>
      <c r="K720" t="s">
        <v>2463</v>
      </c>
      <c r="L720" t="s">
        <v>36</v>
      </c>
    </row>
    <row r="721" spans="1:12" x14ac:dyDescent="0.3">
      <c r="A721" t="s">
        <v>2573</v>
      </c>
      <c r="B721" t="s">
        <v>3272</v>
      </c>
      <c r="C721" s="4">
        <v>45711</v>
      </c>
      <c r="D721">
        <v>66</v>
      </c>
      <c r="E721">
        <v>4407.2</v>
      </c>
      <c r="F721">
        <v>1479.17</v>
      </c>
      <c r="G721">
        <v>2928.03</v>
      </c>
      <c r="H721" t="s">
        <v>2475</v>
      </c>
      <c r="I721" t="s">
        <v>2485</v>
      </c>
      <c r="J721" t="s">
        <v>2493</v>
      </c>
      <c r="K721" t="s">
        <v>2469</v>
      </c>
      <c r="L721" t="s">
        <v>23</v>
      </c>
    </row>
    <row r="722" spans="1:12" x14ac:dyDescent="0.3">
      <c r="A722" t="s">
        <v>2588</v>
      </c>
      <c r="B722" t="s">
        <v>3273</v>
      </c>
      <c r="C722" s="4">
        <v>45859</v>
      </c>
      <c r="D722">
        <v>132</v>
      </c>
      <c r="E722">
        <v>17017.990000000002</v>
      </c>
      <c r="F722">
        <v>4178.04</v>
      </c>
      <c r="G722">
        <v>12839.95</v>
      </c>
      <c r="H722" t="s">
        <v>2472</v>
      </c>
      <c r="I722" t="s">
        <v>2517</v>
      </c>
      <c r="J722" t="s">
        <v>2456</v>
      </c>
      <c r="K722" t="s">
        <v>2457</v>
      </c>
      <c r="L722" t="s">
        <v>12</v>
      </c>
    </row>
    <row r="723" spans="1:12" x14ac:dyDescent="0.3">
      <c r="A723" t="s">
        <v>2605</v>
      </c>
      <c r="B723" t="s">
        <v>3274</v>
      </c>
      <c r="C723" s="4">
        <v>45913</v>
      </c>
      <c r="D723">
        <v>80</v>
      </c>
      <c r="E723">
        <v>18158.05</v>
      </c>
      <c r="F723">
        <v>3913.31</v>
      </c>
      <c r="G723">
        <v>14244.74</v>
      </c>
      <c r="H723" t="s">
        <v>2466</v>
      </c>
      <c r="I723" t="s">
        <v>2461</v>
      </c>
      <c r="J723" t="s">
        <v>2493</v>
      </c>
      <c r="K723" t="s">
        <v>2496</v>
      </c>
      <c r="L723" t="s">
        <v>12</v>
      </c>
    </row>
    <row r="724" spans="1:12" x14ac:dyDescent="0.3">
      <c r="A724" t="s">
        <v>2599</v>
      </c>
      <c r="B724" t="s">
        <v>3275</v>
      </c>
      <c r="C724" s="4">
        <v>45689</v>
      </c>
      <c r="D724">
        <v>62</v>
      </c>
      <c r="E724">
        <v>17758.490000000002</v>
      </c>
      <c r="F724">
        <v>3763.62</v>
      </c>
      <c r="G724">
        <v>13994.87</v>
      </c>
      <c r="H724" t="s">
        <v>2460</v>
      </c>
      <c r="I724" t="s">
        <v>2517</v>
      </c>
      <c r="J724" t="s">
        <v>2468</v>
      </c>
      <c r="K724" t="s">
        <v>2469</v>
      </c>
      <c r="L724" t="s">
        <v>84</v>
      </c>
    </row>
    <row r="725" spans="1:12" x14ac:dyDescent="0.3">
      <c r="A725" t="s">
        <v>2570</v>
      </c>
      <c r="B725" t="s">
        <v>3276</v>
      </c>
      <c r="C725" s="4">
        <v>45959</v>
      </c>
      <c r="D725">
        <v>61</v>
      </c>
      <c r="E725">
        <v>4575.7700000000004</v>
      </c>
      <c r="F725">
        <v>1810.65</v>
      </c>
      <c r="G725">
        <v>2765.12</v>
      </c>
      <c r="H725" t="s">
        <v>2475</v>
      </c>
      <c r="I725" t="s">
        <v>2480</v>
      </c>
      <c r="J725" t="s">
        <v>2468</v>
      </c>
      <c r="K725" t="s">
        <v>2463</v>
      </c>
      <c r="L725" t="s">
        <v>32</v>
      </c>
    </row>
    <row r="726" spans="1:12" x14ac:dyDescent="0.3">
      <c r="A726" t="s">
        <v>2607</v>
      </c>
      <c r="B726" t="s">
        <v>3277</v>
      </c>
      <c r="C726" s="4">
        <v>46021</v>
      </c>
      <c r="D726">
        <v>136</v>
      </c>
      <c r="E726">
        <v>10040.209999999999</v>
      </c>
      <c r="F726">
        <v>4907.7</v>
      </c>
      <c r="G726">
        <v>5132.51</v>
      </c>
      <c r="H726" t="s">
        <v>2460</v>
      </c>
      <c r="I726" t="s">
        <v>2485</v>
      </c>
      <c r="J726" t="s">
        <v>2462</v>
      </c>
      <c r="K726" t="s">
        <v>2457</v>
      </c>
      <c r="L726" t="s">
        <v>36</v>
      </c>
    </row>
    <row r="727" spans="1:12" x14ac:dyDescent="0.3">
      <c r="A727" t="s">
        <v>2520</v>
      </c>
      <c r="B727" t="s">
        <v>3278</v>
      </c>
      <c r="C727" s="4">
        <v>45695</v>
      </c>
      <c r="D727">
        <v>85</v>
      </c>
      <c r="E727">
        <v>15941.71</v>
      </c>
      <c r="F727">
        <v>5411.4</v>
      </c>
      <c r="G727">
        <v>10530.31</v>
      </c>
      <c r="H727" t="s">
        <v>2460</v>
      </c>
      <c r="I727" t="s">
        <v>2485</v>
      </c>
      <c r="J727" t="s">
        <v>2468</v>
      </c>
      <c r="K727" t="s">
        <v>2469</v>
      </c>
      <c r="L727" t="s">
        <v>36</v>
      </c>
    </row>
    <row r="728" spans="1:12" x14ac:dyDescent="0.3">
      <c r="A728" t="s">
        <v>2504</v>
      </c>
      <c r="B728" t="s">
        <v>3279</v>
      </c>
      <c r="C728" s="4">
        <v>45718</v>
      </c>
      <c r="D728">
        <v>145</v>
      </c>
      <c r="E728">
        <v>9496.5400000000009</v>
      </c>
      <c r="F728">
        <v>1491.92</v>
      </c>
      <c r="G728">
        <v>8004.62</v>
      </c>
      <c r="H728" t="s">
        <v>2454</v>
      </c>
      <c r="I728" t="s">
        <v>2461</v>
      </c>
      <c r="J728" t="s">
        <v>2462</v>
      </c>
      <c r="K728" t="s">
        <v>2463</v>
      </c>
      <c r="L728" t="s">
        <v>84</v>
      </c>
    </row>
    <row r="729" spans="1:12" x14ac:dyDescent="0.3">
      <c r="A729" t="s">
        <v>2640</v>
      </c>
      <c r="B729" t="s">
        <v>3280</v>
      </c>
      <c r="C729" s="4">
        <v>46002</v>
      </c>
      <c r="D729">
        <v>33</v>
      </c>
      <c r="E729">
        <v>1673.67</v>
      </c>
      <c r="F729">
        <v>607.04</v>
      </c>
      <c r="G729">
        <v>1066.6300000000001</v>
      </c>
      <c r="H729" t="s">
        <v>2460</v>
      </c>
      <c r="I729" t="s">
        <v>2480</v>
      </c>
      <c r="J729" t="s">
        <v>2456</v>
      </c>
      <c r="K729" t="s">
        <v>2469</v>
      </c>
      <c r="L729" t="s">
        <v>23</v>
      </c>
    </row>
    <row r="730" spans="1:12" x14ac:dyDescent="0.3">
      <c r="A730" t="s">
        <v>2520</v>
      </c>
      <c r="B730" t="s">
        <v>3281</v>
      </c>
      <c r="C730" s="4">
        <v>45771</v>
      </c>
      <c r="D730">
        <v>23</v>
      </c>
      <c r="E730">
        <v>16313.84</v>
      </c>
      <c r="F730">
        <v>6947.32</v>
      </c>
      <c r="G730">
        <v>9366.52</v>
      </c>
      <c r="H730" t="s">
        <v>2454</v>
      </c>
      <c r="I730" t="s">
        <v>2467</v>
      </c>
      <c r="J730" t="s">
        <v>2493</v>
      </c>
      <c r="K730" t="s">
        <v>2469</v>
      </c>
      <c r="L730" t="s">
        <v>23</v>
      </c>
    </row>
    <row r="731" spans="1:12" x14ac:dyDescent="0.3">
      <c r="A731" t="s">
        <v>2511</v>
      </c>
      <c r="B731" t="s">
        <v>3282</v>
      </c>
      <c r="C731" s="4">
        <v>45673</v>
      </c>
      <c r="D731">
        <v>78</v>
      </c>
      <c r="E731">
        <v>16900.37</v>
      </c>
      <c r="F731">
        <v>7221.7</v>
      </c>
      <c r="G731">
        <v>9678.67</v>
      </c>
      <c r="H731" t="s">
        <v>2475</v>
      </c>
      <c r="I731" t="s">
        <v>2480</v>
      </c>
      <c r="J731" t="s">
        <v>2462</v>
      </c>
      <c r="K731" t="s">
        <v>2469</v>
      </c>
      <c r="L731" t="s">
        <v>23</v>
      </c>
    </row>
    <row r="732" spans="1:12" x14ac:dyDescent="0.3">
      <c r="A732" t="s">
        <v>2605</v>
      </c>
      <c r="B732" t="s">
        <v>3283</v>
      </c>
      <c r="C732" s="4">
        <v>45890</v>
      </c>
      <c r="D732">
        <v>199</v>
      </c>
      <c r="E732">
        <v>14376.35</v>
      </c>
      <c r="F732">
        <v>1510.67</v>
      </c>
      <c r="G732">
        <v>12865.68</v>
      </c>
      <c r="H732" t="s">
        <v>2460</v>
      </c>
      <c r="I732" t="s">
        <v>2467</v>
      </c>
      <c r="J732" t="s">
        <v>2462</v>
      </c>
      <c r="K732" t="s">
        <v>2463</v>
      </c>
      <c r="L732" t="s">
        <v>23</v>
      </c>
    </row>
    <row r="733" spans="1:12" x14ac:dyDescent="0.3">
      <c r="A733" t="s">
        <v>2491</v>
      </c>
      <c r="B733" t="s">
        <v>3284</v>
      </c>
      <c r="C733" s="4">
        <v>45746</v>
      </c>
      <c r="D733">
        <v>68</v>
      </c>
      <c r="E733">
        <v>13048.24</v>
      </c>
      <c r="F733">
        <v>3478.55</v>
      </c>
      <c r="G733">
        <v>9569.69</v>
      </c>
      <c r="H733" t="s">
        <v>2475</v>
      </c>
      <c r="I733" t="s">
        <v>2467</v>
      </c>
      <c r="J733" t="s">
        <v>2462</v>
      </c>
      <c r="K733" t="s">
        <v>2463</v>
      </c>
      <c r="L733" t="s">
        <v>36</v>
      </c>
    </row>
    <row r="734" spans="1:12" x14ac:dyDescent="0.3">
      <c r="A734" t="s">
        <v>2545</v>
      </c>
      <c r="B734" t="s">
        <v>3285</v>
      </c>
      <c r="C734" s="4">
        <v>45964</v>
      </c>
      <c r="D734">
        <v>55</v>
      </c>
      <c r="E734">
        <v>14396.05</v>
      </c>
      <c r="F734">
        <v>6876.49</v>
      </c>
      <c r="G734">
        <v>7519.56</v>
      </c>
      <c r="H734" t="s">
        <v>2466</v>
      </c>
      <c r="I734" t="s">
        <v>2461</v>
      </c>
      <c r="J734" t="s">
        <v>2468</v>
      </c>
      <c r="K734" t="s">
        <v>2457</v>
      </c>
      <c r="L734" t="s">
        <v>23</v>
      </c>
    </row>
    <row r="735" spans="1:12" x14ac:dyDescent="0.3">
      <c r="A735" t="s">
        <v>2662</v>
      </c>
      <c r="B735" t="s">
        <v>3286</v>
      </c>
      <c r="C735" s="4">
        <v>45691</v>
      </c>
      <c r="D735">
        <v>5</v>
      </c>
      <c r="E735">
        <v>696.75</v>
      </c>
      <c r="F735">
        <v>168.44</v>
      </c>
      <c r="G735">
        <v>528.30999999999995</v>
      </c>
      <c r="H735" t="s">
        <v>2472</v>
      </c>
      <c r="I735" t="s">
        <v>2517</v>
      </c>
      <c r="J735" t="s">
        <v>2493</v>
      </c>
      <c r="K735" t="s">
        <v>2496</v>
      </c>
      <c r="L735" t="s">
        <v>36</v>
      </c>
    </row>
    <row r="736" spans="1:12" x14ac:dyDescent="0.3">
      <c r="A736" t="s">
        <v>2588</v>
      </c>
      <c r="B736" t="s">
        <v>3287</v>
      </c>
      <c r="C736" s="4">
        <v>45912</v>
      </c>
      <c r="D736">
        <v>95</v>
      </c>
      <c r="E736">
        <v>14624.8</v>
      </c>
      <c r="F736">
        <v>4699.63</v>
      </c>
      <c r="G736">
        <v>9925.17</v>
      </c>
      <c r="H736" t="s">
        <v>2466</v>
      </c>
      <c r="I736" t="s">
        <v>2508</v>
      </c>
      <c r="J736" t="s">
        <v>2493</v>
      </c>
      <c r="K736" t="s">
        <v>2496</v>
      </c>
      <c r="L736" t="s">
        <v>12</v>
      </c>
    </row>
    <row r="737" spans="1:12" x14ac:dyDescent="0.3">
      <c r="A737" t="s">
        <v>2599</v>
      </c>
      <c r="B737" t="s">
        <v>3288</v>
      </c>
      <c r="C737" s="4">
        <v>45930</v>
      </c>
      <c r="D737">
        <v>169</v>
      </c>
      <c r="E737">
        <v>5659.27</v>
      </c>
      <c r="F737">
        <v>800.76</v>
      </c>
      <c r="G737">
        <v>4858.51</v>
      </c>
      <c r="H737" t="s">
        <v>2454</v>
      </c>
      <c r="I737" t="s">
        <v>2517</v>
      </c>
      <c r="J737" t="s">
        <v>2493</v>
      </c>
      <c r="K737" t="s">
        <v>2469</v>
      </c>
      <c r="L737" t="s">
        <v>23</v>
      </c>
    </row>
    <row r="738" spans="1:12" x14ac:dyDescent="0.3">
      <c r="A738" t="s">
        <v>2556</v>
      </c>
      <c r="B738" t="s">
        <v>3289</v>
      </c>
      <c r="C738" s="4">
        <v>45664</v>
      </c>
      <c r="D738">
        <v>128</v>
      </c>
      <c r="E738">
        <v>3960.51</v>
      </c>
      <c r="F738">
        <v>451.7</v>
      </c>
      <c r="G738">
        <v>3508.81</v>
      </c>
      <c r="H738" t="s">
        <v>2472</v>
      </c>
      <c r="I738" t="s">
        <v>2461</v>
      </c>
      <c r="J738" t="s">
        <v>2493</v>
      </c>
      <c r="K738" t="s">
        <v>2496</v>
      </c>
      <c r="L738" t="s">
        <v>23</v>
      </c>
    </row>
    <row r="739" spans="1:12" x14ac:dyDescent="0.3">
      <c r="A739" t="s">
        <v>2564</v>
      </c>
      <c r="B739" t="s">
        <v>3290</v>
      </c>
      <c r="C739" s="4">
        <v>45782</v>
      </c>
      <c r="D739">
        <v>116</v>
      </c>
      <c r="E739">
        <v>2727.93</v>
      </c>
      <c r="F739">
        <v>894.79</v>
      </c>
      <c r="G739">
        <v>1833.14</v>
      </c>
      <c r="H739" t="s">
        <v>2460</v>
      </c>
      <c r="I739" t="s">
        <v>2461</v>
      </c>
      <c r="J739" t="s">
        <v>2468</v>
      </c>
      <c r="K739" t="s">
        <v>2496</v>
      </c>
      <c r="L739" t="s">
        <v>32</v>
      </c>
    </row>
    <row r="740" spans="1:12" x14ac:dyDescent="0.3">
      <c r="A740" t="s">
        <v>2556</v>
      </c>
      <c r="B740" t="s">
        <v>3291</v>
      </c>
      <c r="C740" s="4">
        <v>45954</v>
      </c>
      <c r="D740">
        <v>72</v>
      </c>
      <c r="E740">
        <v>18229.43</v>
      </c>
      <c r="F740">
        <v>4406.38</v>
      </c>
      <c r="G740">
        <v>13823.05</v>
      </c>
      <c r="H740" t="s">
        <v>2472</v>
      </c>
      <c r="I740" t="s">
        <v>2485</v>
      </c>
      <c r="J740" t="s">
        <v>2468</v>
      </c>
      <c r="K740" t="s">
        <v>2457</v>
      </c>
      <c r="L740" t="s">
        <v>84</v>
      </c>
    </row>
    <row r="741" spans="1:12" x14ac:dyDescent="0.3">
      <c r="A741" t="s">
        <v>2478</v>
      </c>
      <c r="B741" t="s">
        <v>3292</v>
      </c>
      <c r="C741" s="4">
        <v>45803</v>
      </c>
      <c r="D741">
        <v>95</v>
      </c>
      <c r="E741">
        <v>6577.12</v>
      </c>
      <c r="F741">
        <v>1922.77</v>
      </c>
      <c r="G741">
        <v>4654.3500000000004</v>
      </c>
      <c r="H741" t="s">
        <v>2472</v>
      </c>
      <c r="I741" t="s">
        <v>2480</v>
      </c>
      <c r="J741" t="s">
        <v>2456</v>
      </c>
      <c r="K741" t="s">
        <v>2496</v>
      </c>
      <c r="L741" t="s">
        <v>36</v>
      </c>
    </row>
    <row r="742" spans="1:12" x14ac:dyDescent="0.3">
      <c r="A742" t="s">
        <v>2525</v>
      </c>
      <c r="B742" t="s">
        <v>3293</v>
      </c>
      <c r="C742" s="4">
        <v>45670</v>
      </c>
      <c r="D742">
        <v>33</v>
      </c>
      <c r="E742">
        <v>1407.68</v>
      </c>
      <c r="F742">
        <v>598.92999999999995</v>
      </c>
      <c r="G742">
        <v>808.75</v>
      </c>
      <c r="H742" t="s">
        <v>2454</v>
      </c>
      <c r="I742" t="s">
        <v>2455</v>
      </c>
      <c r="J742" t="s">
        <v>2456</v>
      </c>
      <c r="K742" t="s">
        <v>2457</v>
      </c>
      <c r="L742" t="s">
        <v>36</v>
      </c>
    </row>
    <row r="743" spans="1:12" x14ac:dyDescent="0.3">
      <c r="A743" t="s">
        <v>2561</v>
      </c>
      <c r="B743" t="s">
        <v>3294</v>
      </c>
      <c r="C743" s="4">
        <v>45991</v>
      </c>
      <c r="D743">
        <v>147</v>
      </c>
      <c r="E743">
        <v>13876.76</v>
      </c>
      <c r="F743">
        <v>6253.32</v>
      </c>
      <c r="G743">
        <v>7623.44</v>
      </c>
      <c r="H743" t="s">
        <v>2475</v>
      </c>
      <c r="I743" t="s">
        <v>2461</v>
      </c>
      <c r="J743" t="s">
        <v>2456</v>
      </c>
      <c r="K743" t="s">
        <v>2457</v>
      </c>
      <c r="L743" t="s">
        <v>12</v>
      </c>
    </row>
    <row r="744" spans="1:12" x14ac:dyDescent="0.3">
      <c r="A744" t="s">
        <v>2624</v>
      </c>
      <c r="B744" t="s">
        <v>3295</v>
      </c>
      <c r="C744" s="4">
        <v>45738</v>
      </c>
      <c r="D744">
        <v>32</v>
      </c>
      <c r="E744">
        <v>4042.5</v>
      </c>
      <c r="F744">
        <v>1014.77</v>
      </c>
      <c r="G744">
        <v>3027.73</v>
      </c>
      <c r="H744" t="s">
        <v>2460</v>
      </c>
      <c r="I744" t="s">
        <v>2467</v>
      </c>
      <c r="J744" t="s">
        <v>2462</v>
      </c>
      <c r="K744" t="s">
        <v>2496</v>
      </c>
      <c r="L744" t="s">
        <v>23</v>
      </c>
    </row>
    <row r="745" spans="1:12" x14ac:dyDescent="0.3">
      <c r="A745" t="s">
        <v>2741</v>
      </c>
      <c r="B745" t="s">
        <v>3296</v>
      </c>
      <c r="C745" s="4">
        <v>45705</v>
      </c>
      <c r="D745">
        <v>186</v>
      </c>
      <c r="E745">
        <v>12660.24</v>
      </c>
      <c r="F745">
        <v>3875.86</v>
      </c>
      <c r="G745">
        <v>8784.3799999999992</v>
      </c>
      <c r="H745" t="s">
        <v>2475</v>
      </c>
      <c r="I745" t="s">
        <v>2485</v>
      </c>
      <c r="J745" t="s">
        <v>2468</v>
      </c>
      <c r="K745" t="s">
        <v>2469</v>
      </c>
      <c r="L745" t="s">
        <v>12</v>
      </c>
    </row>
    <row r="746" spans="1:12" x14ac:dyDescent="0.3">
      <c r="A746" t="s">
        <v>2509</v>
      </c>
      <c r="B746" t="s">
        <v>3297</v>
      </c>
      <c r="C746" s="4">
        <v>45860</v>
      </c>
      <c r="D746">
        <v>169</v>
      </c>
      <c r="E746">
        <v>13689.42</v>
      </c>
      <c r="F746">
        <v>1864.25</v>
      </c>
      <c r="G746">
        <v>11825.17</v>
      </c>
      <c r="H746" t="s">
        <v>2475</v>
      </c>
      <c r="I746" t="s">
        <v>2467</v>
      </c>
      <c r="J746" t="s">
        <v>2468</v>
      </c>
      <c r="K746" t="s">
        <v>2457</v>
      </c>
      <c r="L746" t="s">
        <v>36</v>
      </c>
    </row>
    <row r="747" spans="1:12" x14ac:dyDescent="0.3">
      <c r="A747" t="s">
        <v>2554</v>
      </c>
      <c r="B747" t="s">
        <v>3298</v>
      </c>
      <c r="C747" s="4">
        <v>45734</v>
      </c>
      <c r="D747">
        <v>155</v>
      </c>
      <c r="E747">
        <v>12197.68</v>
      </c>
      <c r="F747">
        <v>6091.89</v>
      </c>
      <c r="G747">
        <v>6105.79</v>
      </c>
      <c r="H747" t="s">
        <v>2460</v>
      </c>
      <c r="I747" t="s">
        <v>2517</v>
      </c>
      <c r="J747" t="s">
        <v>2468</v>
      </c>
      <c r="K747" t="s">
        <v>2469</v>
      </c>
      <c r="L747" t="s">
        <v>23</v>
      </c>
    </row>
    <row r="748" spans="1:12" x14ac:dyDescent="0.3">
      <c r="A748" t="s">
        <v>2702</v>
      </c>
      <c r="B748" t="s">
        <v>3299</v>
      </c>
      <c r="C748" s="4">
        <v>45857</v>
      </c>
      <c r="D748">
        <v>109</v>
      </c>
      <c r="E748">
        <v>8593.75</v>
      </c>
      <c r="F748">
        <v>2553.11</v>
      </c>
      <c r="G748">
        <v>6040.64</v>
      </c>
      <c r="H748" t="s">
        <v>2472</v>
      </c>
      <c r="I748" t="s">
        <v>2517</v>
      </c>
      <c r="J748" t="s">
        <v>2462</v>
      </c>
      <c r="K748" t="s">
        <v>2463</v>
      </c>
      <c r="L748" t="s">
        <v>32</v>
      </c>
    </row>
    <row r="749" spans="1:12" x14ac:dyDescent="0.3">
      <c r="A749" t="s">
        <v>2655</v>
      </c>
      <c r="B749" t="s">
        <v>3300</v>
      </c>
      <c r="C749" s="4">
        <v>45859</v>
      </c>
      <c r="D749">
        <v>131</v>
      </c>
      <c r="E749">
        <v>3830.01</v>
      </c>
      <c r="F749">
        <v>984.87</v>
      </c>
      <c r="G749">
        <v>2845.14</v>
      </c>
      <c r="H749" t="s">
        <v>2472</v>
      </c>
      <c r="I749" t="s">
        <v>2467</v>
      </c>
      <c r="J749" t="s">
        <v>2468</v>
      </c>
      <c r="K749" t="s">
        <v>2457</v>
      </c>
      <c r="L749" t="s">
        <v>12</v>
      </c>
    </row>
    <row r="750" spans="1:12" x14ac:dyDescent="0.3">
      <c r="A750" t="s">
        <v>2748</v>
      </c>
      <c r="B750" t="s">
        <v>3301</v>
      </c>
      <c r="C750" s="4">
        <v>45946</v>
      </c>
      <c r="D750">
        <v>126</v>
      </c>
      <c r="E750">
        <v>2581.16</v>
      </c>
      <c r="F750">
        <v>881.28</v>
      </c>
      <c r="G750">
        <v>1699.88</v>
      </c>
      <c r="H750" t="s">
        <v>2460</v>
      </c>
      <c r="I750" t="s">
        <v>2455</v>
      </c>
      <c r="J750" t="s">
        <v>2468</v>
      </c>
      <c r="K750" t="s">
        <v>2463</v>
      </c>
      <c r="L750" t="s">
        <v>84</v>
      </c>
    </row>
    <row r="751" spans="1:12" x14ac:dyDescent="0.3">
      <c r="A751" t="s">
        <v>2452</v>
      </c>
      <c r="B751" t="s">
        <v>3302</v>
      </c>
      <c r="C751" s="4">
        <v>45902</v>
      </c>
      <c r="D751">
        <v>196</v>
      </c>
      <c r="E751">
        <v>5316.55</v>
      </c>
      <c r="F751">
        <v>830.38</v>
      </c>
      <c r="G751">
        <v>4486.17</v>
      </c>
      <c r="H751" t="s">
        <v>2454</v>
      </c>
      <c r="I751" t="s">
        <v>2517</v>
      </c>
      <c r="J751" t="s">
        <v>2468</v>
      </c>
      <c r="K751" t="s">
        <v>2469</v>
      </c>
      <c r="L751" t="s">
        <v>23</v>
      </c>
    </row>
    <row r="752" spans="1:12" x14ac:dyDescent="0.3">
      <c r="A752" t="s">
        <v>2577</v>
      </c>
      <c r="B752" t="s">
        <v>3303</v>
      </c>
      <c r="C752" s="4">
        <v>45972</v>
      </c>
      <c r="D752">
        <v>38</v>
      </c>
      <c r="E752">
        <v>4275.42</v>
      </c>
      <c r="F752">
        <v>479.08</v>
      </c>
      <c r="G752">
        <v>3796.34</v>
      </c>
      <c r="H752" t="s">
        <v>2475</v>
      </c>
      <c r="I752" t="s">
        <v>2467</v>
      </c>
      <c r="J752" t="s">
        <v>2468</v>
      </c>
      <c r="K752" t="s">
        <v>2496</v>
      </c>
      <c r="L752" t="s">
        <v>12</v>
      </c>
    </row>
    <row r="753" spans="1:12" x14ac:dyDescent="0.3">
      <c r="A753" t="s">
        <v>2673</v>
      </c>
      <c r="B753" t="s">
        <v>3304</v>
      </c>
      <c r="C753" s="4">
        <v>45738</v>
      </c>
      <c r="D753">
        <v>28</v>
      </c>
      <c r="E753">
        <v>15112.19</v>
      </c>
      <c r="F753">
        <v>5790.77</v>
      </c>
      <c r="G753">
        <v>9321.42</v>
      </c>
      <c r="H753" t="s">
        <v>2475</v>
      </c>
      <c r="I753" t="s">
        <v>2485</v>
      </c>
      <c r="J753" t="s">
        <v>2468</v>
      </c>
      <c r="K753" t="s">
        <v>2496</v>
      </c>
      <c r="L753" t="s">
        <v>32</v>
      </c>
    </row>
    <row r="754" spans="1:12" x14ac:dyDescent="0.3">
      <c r="A754" t="s">
        <v>2458</v>
      </c>
      <c r="B754" t="s">
        <v>3305</v>
      </c>
      <c r="C754" s="4">
        <v>45691</v>
      </c>
      <c r="D754">
        <v>15</v>
      </c>
      <c r="E754">
        <v>7602.84</v>
      </c>
      <c r="F754">
        <v>1304.49</v>
      </c>
      <c r="G754">
        <v>6298.35</v>
      </c>
      <c r="H754" t="s">
        <v>2466</v>
      </c>
      <c r="I754" t="s">
        <v>2485</v>
      </c>
      <c r="J754" t="s">
        <v>2468</v>
      </c>
      <c r="K754" t="s">
        <v>2469</v>
      </c>
      <c r="L754" t="s">
        <v>12</v>
      </c>
    </row>
    <row r="755" spans="1:12" x14ac:dyDescent="0.3">
      <c r="A755" t="s">
        <v>2597</v>
      </c>
      <c r="B755" t="s">
        <v>3306</v>
      </c>
      <c r="C755" s="4">
        <v>45785</v>
      </c>
      <c r="D755">
        <v>163</v>
      </c>
      <c r="E755">
        <v>15828.08</v>
      </c>
      <c r="F755">
        <v>4882.72</v>
      </c>
      <c r="G755">
        <v>10945.36</v>
      </c>
      <c r="H755" t="s">
        <v>2475</v>
      </c>
      <c r="I755" t="s">
        <v>2488</v>
      </c>
      <c r="J755" t="s">
        <v>2456</v>
      </c>
      <c r="K755" t="s">
        <v>2463</v>
      </c>
      <c r="L755" t="s">
        <v>84</v>
      </c>
    </row>
    <row r="756" spans="1:12" x14ac:dyDescent="0.3">
      <c r="A756" t="s">
        <v>2476</v>
      </c>
      <c r="B756" t="s">
        <v>3307</v>
      </c>
      <c r="C756" s="4">
        <v>45993</v>
      </c>
      <c r="D756">
        <v>126</v>
      </c>
      <c r="E756">
        <v>5588.02</v>
      </c>
      <c r="F756">
        <v>943.99</v>
      </c>
      <c r="G756">
        <v>4644.03</v>
      </c>
      <c r="H756" t="s">
        <v>2472</v>
      </c>
      <c r="I756" t="s">
        <v>2517</v>
      </c>
      <c r="J756" t="s">
        <v>2493</v>
      </c>
      <c r="K756" t="s">
        <v>2496</v>
      </c>
      <c r="L756" t="s">
        <v>84</v>
      </c>
    </row>
    <row r="757" spans="1:12" x14ac:dyDescent="0.3">
      <c r="A757" t="s">
        <v>2631</v>
      </c>
      <c r="B757" t="s">
        <v>3308</v>
      </c>
      <c r="C757" s="4">
        <v>45979</v>
      </c>
      <c r="D757">
        <v>32</v>
      </c>
      <c r="E757">
        <v>13098.7</v>
      </c>
      <c r="F757">
        <v>4851.97</v>
      </c>
      <c r="G757">
        <v>8246.73</v>
      </c>
      <c r="H757" t="s">
        <v>2472</v>
      </c>
      <c r="I757" t="s">
        <v>2488</v>
      </c>
      <c r="J757" t="s">
        <v>2468</v>
      </c>
      <c r="K757" t="s">
        <v>2457</v>
      </c>
      <c r="L757" t="s">
        <v>23</v>
      </c>
    </row>
    <row r="758" spans="1:12" x14ac:dyDescent="0.3">
      <c r="A758" t="s">
        <v>2481</v>
      </c>
      <c r="B758" t="s">
        <v>3309</v>
      </c>
      <c r="C758" s="4">
        <v>46015</v>
      </c>
      <c r="D758">
        <v>15</v>
      </c>
      <c r="E758">
        <v>10223.49</v>
      </c>
      <c r="F758">
        <v>3938.81</v>
      </c>
      <c r="G758">
        <v>6284.68</v>
      </c>
      <c r="H758" t="s">
        <v>2454</v>
      </c>
      <c r="I758" t="s">
        <v>2455</v>
      </c>
      <c r="J758" t="s">
        <v>2462</v>
      </c>
      <c r="K758" t="s">
        <v>2469</v>
      </c>
      <c r="L758" t="s">
        <v>36</v>
      </c>
    </row>
    <row r="759" spans="1:12" x14ac:dyDescent="0.3">
      <c r="A759" t="s">
        <v>2609</v>
      </c>
      <c r="B759" t="s">
        <v>3310</v>
      </c>
      <c r="C759" s="4">
        <v>45786</v>
      </c>
      <c r="D759">
        <v>188</v>
      </c>
      <c r="E759">
        <v>5609.29</v>
      </c>
      <c r="F759">
        <v>1736.31</v>
      </c>
      <c r="G759">
        <v>3872.98</v>
      </c>
      <c r="H759" t="s">
        <v>2460</v>
      </c>
      <c r="I759" t="s">
        <v>2485</v>
      </c>
      <c r="J759" t="s">
        <v>2493</v>
      </c>
      <c r="K759" t="s">
        <v>2463</v>
      </c>
      <c r="L759" t="s">
        <v>23</v>
      </c>
    </row>
    <row r="760" spans="1:12" x14ac:dyDescent="0.3">
      <c r="A760" t="s">
        <v>2588</v>
      </c>
      <c r="B760" t="s">
        <v>3311</v>
      </c>
      <c r="C760" s="4">
        <v>45932</v>
      </c>
      <c r="D760">
        <v>23</v>
      </c>
      <c r="E760">
        <v>8619.57</v>
      </c>
      <c r="F760">
        <v>1826.04</v>
      </c>
      <c r="G760">
        <v>6793.53</v>
      </c>
      <c r="H760" t="s">
        <v>2472</v>
      </c>
      <c r="I760" t="s">
        <v>2488</v>
      </c>
      <c r="J760" t="s">
        <v>2493</v>
      </c>
      <c r="K760" t="s">
        <v>2469</v>
      </c>
      <c r="L760" t="s">
        <v>32</v>
      </c>
    </row>
    <row r="761" spans="1:12" x14ac:dyDescent="0.3">
      <c r="A761" t="s">
        <v>2483</v>
      </c>
      <c r="B761" t="s">
        <v>3312</v>
      </c>
      <c r="C761" s="4">
        <v>45671</v>
      </c>
      <c r="D761">
        <v>146</v>
      </c>
      <c r="E761">
        <v>18673.57</v>
      </c>
      <c r="F761">
        <v>8654.65</v>
      </c>
      <c r="G761">
        <v>10018.92</v>
      </c>
      <c r="H761" t="s">
        <v>2454</v>
      </c>
      <c r="I761" t="s">
        <v>2455</v>
      </c>
      <c r="J761" t="s">
        <v>2493</v>
      </c>
      <c r="K761" t="s">
        <v>2457</v>
      </c>
      <c r="L761" t="s">
        <v>84</v>
      </c>
    </row>
    <row r="762" spans="1:12" x14ac:dyDescent="0.3">
      <c r="A762" t="s">
        <v>2499</v>
      </c>
      <c r="B762" t="s">
        <v>3313</v>
      </c>
      <c r="C762" s="4">
        <v>45992</v>
      </c>
      <c r="D762">
        <v>48</v>
      </c>
      <c r="E762">
        <v>1297.94</v>
      </c>
      <c r="F762">
        <v>231.85</v>
      </c>
      <c r="G762">
        <v>1066.0899999999999</v>
      </c>
      <c r="H762" t="s">
        <v>2475</v>
      </c>
      <c r="I762" t="s">
        <v>2480</v>
      </c>
      <c r="J762" t="s">
        <v>2493</v>
      </c>
      <c r="K762" t="s">
        <v>2496</v>
      </c>
      <c r="L762" t="s">
        <v>32</v>
      </c>
    </row>
    <row r="763" spans="1:12" x14ac:dyDescent="0.3">
      <c r="A763" t="s">
        <v>2638</v>
      </c>
      <c r="B763" t="s">
        <v>3314</v>
      </c>
      <c r="C763" s="4">
        <v>45726</v>
      </c>
      <c r="D763">
        <v>4</v>
      </c>
      <c r="E763">
        <v>1515.3</v>
      </c>
      <c r="F763">
        <v>232.22</v>
      </c>
      <c r="G763">
        <v>1283.08</v>
      </c>
      <c r="H763" t="s">
        <v>2454</v>
      </c>
      <c r="I763" t="s">
        <v>2488</v>
      </c>
      <c r="J763" t="s">
        <v>2468</v>
      </c>
      <c r="K763" t="s">
        <v>2463</v>
      </c>
      <c r="L763" t="s">
        <v>36</v>
      </c>
    </row>
    <row r="764" spans="1:12" x14ac:dyDescent="0.3">
      <c r="A764" t="s">
        <v>2547</v>
      </c>
      <c r="B764" t="s">
        <v>3315</v>
      </c>
      <c r="C764" s="4">
        <v>45955</v>
      </c>
      <c r="D764">
        <v>52</v>
      </c>
      <c r="E764">
        <v>11474.32</v>
      </c>
      <c r="F764">
        <v>2286.15</v>
      </c>
      <c r="G764">
        <v>9188.17</v>
      </c>
      <c r="H764" t="s">
        <v>2454</v>
      </c>
      <c r="I764" t="s">
        <v>2461</v>
      </c>
      <c r="J764" t="s">
        <v>2462</v>
      </c>
      <c r="K764" t="s">
        <v>2457</v>
      </c>
      <c r="L764" t="s">
        <v>36</v>
      </c>
    </row>
    <row r="765" spans="1:12" x14ac:dyDescent="0.3">
      <c r="A765" t="s">
        <v>2653</v>
      </c>
      <c r="B765" t="s">
        <v>3316</v>
      </c>
      <c r="C765" s="4">
        <v>46003</v>
      </c>
      <c r="D765">
        <v>134</v>
      </c>
      <c r="E765">
        <v>9543.8700000000008</v>
      </c>
      <c r="F765">
        <v>4488.7</v>
      </c>
      <c r="G765">
        <v>5055.17</v>
      </c>
      <c r="H765" t="s">
        <v>2454</v>
      </c>
      <c r="I765" t="s">
        <v>2517</v>
      </c>
      <c r="J765" t="s">
        <v>2462</v>
      </c>
      <c r="K765" t="s">
        <v>2496</v>
      </c>
      <c r="L765" t="s">
        <v>23</v>
      </c>
    </row>
    <row r="766" spans="1:12" x14ac:dyDescent="0.3">
      <c r="A766" t="s">
        <v>2541</v>
      </c>
      <c r="B766" t="s">
        <v>3317</v>
      </c>
      <c r="C766" s="4">
        <v>45970</v>
      </c>
      <c r="D766">
        <v>113</v>
      </c>
      <c r="E766">
        <v>13075.48</v>
      </c>
      <c r="F766">
        <v>3007.62</v>
      </c>
      <c r="G766">
        <v>10067.86</v>
      </c>
      <c r="H766" t="s">
        <v>2472</v>
      </c>
      <c r="I766" t="s">
        <v>2517</v>
      </c>
      <c r="J766" t="s">
        <v>2493</v>
      </c>
      <c r="K766" t="s">
        <v>2457</v>
      </c>
      <c r="L766" t="s">
        <v>12</v>
      </c>
    </row>
    <row r="767" spans="1:12" x14ac:dyDescent="0.3">
      <c r="A767" t="s">
        <v>2726</v>
      </c>
      <c r="B767" t="s">
        <v>3318</v>
      </c>
      <c r="C767" s="4">
        <v>45781</v>
      </c>
      <c r="D767">
        <v>61</v>
      </c>
      <c r="E767">
        <v>16829.14</v>
      </c>
      <c r="F767">
        <v>2113.9499999999998</v>
      </c>
      <c r="G767">
        <v>14715.19</v>
      </c>
      <c r="H767" t="s">
        <v>2466</v>
      </c>
      <c r="I767" t="s">
        <v>2508</v>
      </c>
      <c r="J767" t="s">
        <v>2468</v>
      </c>
      <c r="K767" t="s">
        <v>2463</v>
      </c>
      <c r="L767" t="s">
        <v>12</v>
      </c>
    </row>
    <row r="768" spans="1:12" x14ac:dyDescent="0.3">
      <c r="A768" t="s">
        <v>2812</v>
      </c>
      <c r="B768" t="s">
        <v>3319</v>
      </c>
      <c r="C768" s="4">
        <v>45814</v>
      </c>
      <c r="D768">
        <v>198</v>
      </c>
      <c r="E768">
        <v>7706.4</v>
      </c>
      <c r="F768">
        <v>2901.41</v>
      </c>
      <c r="G768">
        <v>4804.99</v>
      </c>
      <c r="H768" t="s">
        <v>2472</v>
      </c>
      <c r="I768" t="s">
        <v>2485</v>
      </c>
      <c r="J768" t="s">
        <v>2468</v>
      </c>
      <c r="K768" t="s">
        <v>2496</v>
      </c>
      <c r="L768" t="s">
        <v>32</v>
      </c>
    </row>
    <row r="769" spans="1:12" x14ac:dyDescent="0.3">
      <c r="A769" t="s">
        <v>2541</v>
      </c>
      <c r="B769" t="s">
        <v>3320</v>
      </c>
      <c r="C769" s="4">
        <v>45956</v>
      </c>
      <c r="D769">
        <v>41</v>
      </c>
      <c r="E769">
        <v>2508.92</v>
      </c>
      <c r="F769">
        <v>1184.96</v>
      </c>
      <c r="G769">
        <v>1323.96</v>
      </c>
      <c r="H769" t="s">
        <v>2472</v>
      </c>
      <c r="I769" t="s">
        <v>2485</v>
      </c>
      <c r="J769" t="s">
        <v>2462</v>
      </c>
      <c r="K769" t="s">
        <v>2457</v>
      </c>
      <c r="L769" t="s">
        <v>36</v>
      </c>
    </row>
    <row r="770" spans="1:12" x14ac:dyDescent="0.3">
      <c r="A770" t="s">
        <v>2506</v>
      </c>
      <c r="B770" t="s">
        <v>3321</v>
      </c>
      <c r="C770" s="4">
        <v>45960</v>
      </c>
      <c r="D770">
        <v>164</v>
      </c>
      <c r="E770">
        <v>9176.2900000000009</v>
      </c>
      <c r="F770">
        <v>1205.17</v>
      </c>
      <c r="G770">
        <v>7971.12</v>
      </c>
      <c r="H770" t="s">
        <v>2454</v>
      </c>
      <c r="I770" t="s">
        <v>2480</v>
      </c>
      <c r="J770" t="s">
        <v>2456</v>
      </c>
      <c r="K770" t="s">
        <v>2463</v>
      </c>
      <c r="L770" t="s">
        <v>36</v>
      </c>
    </row>
    <row r="771" spans="1:12" x14ac:dyDescent="0.3">
      <c r="A771" t="s">
        <v>2481</v>
      </c>
      <c r="B771" t="s">
        <v>3322</v>
      </c>
      <c r="C771" s="4">
        <v>45845</v>
      </c>
      <c r="D771">
        <v>119</v>
      </c>
      <c r="E771">
        <v>7973.3</v>
      </c>
      <c r="F771">
        <v>3000.55</v>
      </c>
      <c r="G771">
        <v>4972.75</v>
      </c>
      <c r="H771" t="s">
        <v>2454</v>
      </c>
      <c r="I771" t="s">
        <v>2517</v>
      </c>
      <c r="J771" t="s">
        <v>2462</v>
      </c>
      <c r="K771" t="s">
        <v>2469</v>
      </c>
      <c r="L771" t="s">
        <v>32</v>
      </c>
    </row>
    <row r="772" spans="1:12" x14ac:dyDescent="0.3">
      <c r="A772" t="s">
        <v>2626</v>
      </c>
      <c r="B772" t="s">
        <v>3323</v>
      </c>
      <c r="C772" s="4">
        <v>45998</v>
      </c>
      <c r="D772">
        <v>116</v>
      </c>
      <c r="E772">
        <v>18474.810000000001</v>
      </c>
      <c r="F772">
        <v>2698.7</v>
      </c>
      <c r="G772">
        <v>15776.11</v>
      </c>
      <c r="H772" t="s">
        <v>2472</v>
      </c>
      <c r="I772" t="s">
        <v>2461</v>
      </c>
      <c r="J772" t="s">
        <v>2468</v>
      </c>
      <c r="K772" t="s">
        <v>2457</v>
      </c>
      <c r="L772" t="s">
        <v>84</v>
      </c>
    </row>
    <row r="773" spans="1:12" x14ac:dyDescent="0.3">
      <c r="A773" t="s">
        <v>2581</v>
      </c>
      <c r="B773" t="s">
        <v>3324</v>
      </c>
      <c r="C773" s="4">
        <v>45892</v>
      </c>
      <c r="D773">
        <v>9</v>
      </c>
      <c r="E773">
        <v>5212.9399999999996</v>
      </c>
      <c r="F773">
        <v>1917.06</v>
      </c>
      <c r="G773">
        <v>3295.88</v>
      </c>
      <c r="H773" t="s">
        <v>2472</v>
      </c>
      <c r="I773" t="s">
        <v>2461</v>
      </c>
      <c r="J773" t="s">
        <v>2468</v>
      </c>
      <c r="K773" t="s">
        <v>2469</v>
      </c>
      <c r="L773" t="s">
        <v>23</v>
      </c>
    </row>
    <row r="774" spans="1:12" x14ac:dyDescent="0.3">
      <c r="A774" t="s">
        <v>2715</v>
      </c>
      <c r="B774" t="s">
        <v>3325</v>
      </c>
      <c r="C774" s="4">
        <v>45840</v>
      </c>
      <c r="D774">
        <v>51</v>
      </c>
      <c r="E774">
        <v>848.94</v>
      </c>
      <c r="F774">
        <v>173.48</v>
      </c>
      <c r="G774">
        <v>675.46</v>
      </c>
      <c r="H774" t="s">
        <v>2460</v>
      </c>
      <c r="I774" t="s">
        <v>2461</v>
      </c>
      <c r="J774" t="s">
        <v>2468</v>
      </c>
      <c r="K774" t="s">
        <v>2457</v>
      </c>
      <c r="L774" t="s">
        <v>84</v>
      </c>
    </row>
    <row r="775" spans="1:12" x14ac:dyDescent="0.3">
      <c r="A775" t="s">
        <v>2534</v>
      </c>
      <c r="B775" t="s">
        <v>3326</v>
      </c>
      <c r="C775" s="4">
        <v>45688</v>
      </c>
      <c r="D775">
        <v>163</v>
      </c>
      <c r="E775">
        <v>11352.11</v>
      </c>
      <c r="F775">
        <v>4050.01</v>
      </c>
      <c r="G775">
        <v>7302.1</v>
      </c>
      <c r="H775" t="s">
        <v>2466</v>
      </c>
      <c r="I775" t="s">
        <v>2461</v>
      </c>
      <c r="J775" t="s">
        <v>2468</v>
      </c>
      <c r="K775" t="s">
        <v>2469</v>
      </c>
      <c r="L775" t="s">
        <v>32</v>
      </c>
    </row>
    <row r="776" spans="1:12" x14ac:dyDescent="0.3">
      <c r="A776" t="s">
        <v>2473</v>
      </c>
      <c r="B776" t="s">
        <v>3327</v>
      </c>
      <c r="C776" s="4">
        <v>45876</v>
      </c>
      <c r="D776">
        <v>95</v>
      </c>
      <c r="E776">
        <v>11911.93</v>
      </c>
      <c r="F776">
        <v>2530.02</v>
      </c>
      <c r="G776">
        <v>9381.91</v>
      </c>
      <c r="H776" t="s">
        <v>2475</v>
      </c>
      <c r="I776" t="s">
        <v>2485</v>
      </c>
      <c r="J776" t="s">
        <v>2493</v>
      </c>
      <c r="K776" t="s">
        <v>2463</v>
      </c>
      <c r="L776" t="s">
        <v>84</v>
      </c>
    </row>
    <row r="777" spans="1:12" x14ac:dyDescent="0.3">
      <c r="A777" t="s">
        <v>2575</v>
      </c>
      <c r="B777" t="s">
        <v>3328</v>
      </c>
      <c r="C777" s="4">
        <v>45991</v>
      </c>
      <c r="D777">
        <v>106</v>
      </c>
      <c r="E777">
        <v>13520.98</v>
      </c>
      <c r="F777">
        <v>4453.45</v>
      </c>
      <c r="G777">
        <v>9067.5300000000007</v>
      </c>
      <c r="H777" t="s">
        <v>2475</v>
      </c>
      <c r="I777" t="s">
        <v>2488</v>
      </c>
      <c r="J777" t="s">
        <v>2493</v>
      </c>
      <c r="K777" t="s">
        <v>2469</v>
      </c>
      <c r="L777" t="s">
        <v>84</v>
      </c>
    </row>
    <row r="778" spans="1:12" x14ac:dyDescent="0.3">
      <c r="A778" t="s">
        <v>2486</v>
      </c>
      <c r="B778" t="s">
        <v>3329</v>
      </c>
      <c r="C778" s="4">
        <v>45895</v>
      </c>
      <c r="D778">
        <v>101</v>
      </c>
      <c r="E778">
        <v>7038.75</v>
      </c>
      <c r="F778">
        <v>2726.27</v>
      </c>
      <c r="G778">
        <v>4312.4799999999996</v>
      </c>
      <c r="H778" t="s">
        <v>2454</v>
      </c>
      <c r="I778" t="s">
        <v>2455</v>
      </c>
      <c r="J778" t="s">
        <v>2493</v>
      </c>
      <c r="K778" t="s">
        <v>2469</v>
      </c>
      <c r="L778" t="s">
        <v>32</v>
      </c>
    </row>
    <row r="779" spans="1:12" x14ac:dyDescent="0.3">
      <c r="A779" t="s">
        <v>2506</v>
      </c>
      <c r="B779" t="s">
        <v>3330</v>
      </c>
      <c r="C779" s="4">
        <v>45921</v>
      </c>
      <c r="D779">
        <v>57</v>
      </c>
      <c r="E779">
        <v>6217.09</v>
      </c>
      <c r="F779">
        <v>2468.44</v>
      </c>
      <c r="G779">
        <v>3748.65</v>
      </c>
      <c r="H779" t="s">
        <v>2472</v>
      </c>
      <c r="I779" t="s">
        <v>2508</v>
      </c>
      <c r="J779" t="s">
        <v>2456</v>
      </c>
      <c r="K779" t="s">
        <v>2457</v>
      </c>
      <c r="L779" t="s">
        <v>32</v>
      </c>
    </row>
    <row r="780" spans="1:12" x14ac:dyDescent="0.3">
      <c r="A780" t="s">
        <v>2527</v>
      </c>
      <c r="B780" t="s">
        <v>3331</v>
      </c>
      <c r="C780" s="4">
        <v>45958</v>
      </c>
      <c r="D780">
        <v>156</v>
      </c>
      <c r="E780">
        <v>4924.92</v>
      </c>
      <c r="F780">
        <v>1072.28</v>
      </c>
      <c r="G780">
        <v>3852.64</v>
      </c>
      <c r="H780" t="s">
        <v>2460</v>
      </c>
      <c r="I780" t="s">
        <v>2508</v>
      </c>
      <c r="J780" t="s">
        <v>2462</v>
      </c>
      <c r="K780" t="s">
        <v>2469</v>
      </c>
      <c r="L780" t="s">
        <v>36</v>
      </c>
    </row>
    <row r="781" spans="1:12" x14ac:dyDescent="0.3">
      <c r="A781" t="s">
        <v>2502</v>
      </c>
      <c r="B781" t="s">
        <v>3332</v>
      </c>
      <c r="C781" s="4">
        <v>45873</v>
      </c>
      <c r="D781">
        <v>68</v>
      </c>
      <c r="E781">
        <v>441.81</v>
      </c>
      <c r="F781">
        <v>86.76</v>
      </c>
      <c r="G781">
        <v>355.05</v>
      </c>
      <c r="H781" t="s">
        <v>2466</v>
      </c>
      <c r="I781" t="s">
        <v>2467</v>
      </c>
      <c r="J781" t="s">
        <v>2468</v>
      </c>
      <c r="K781" t="s">
        <v>2496</v>
      </c>
      <c r="L781" t="s">
        <v>84</v>
      </c>
    </row>
    <row r="782" spans="1:12" x14ac:dyDescent="0.3">
      <c r="A782" t="s">
        <v>2570</v>
      </c>
      <c r="B782" t="s">
        <v>3333</v>
      </c>
      <c r="C782" s="4">
        <v>45872</v>
      </c>
      <c r="D782">
        <v>108</v>
      </c>
      <c r="E782">
        <v>2653.24</v>
      </c>
      <c r="F782">
        <v>559.36</v>
      </c>
      <c r="G782">
        <v>2093.88</v>
      </c>
      <c r="H782" t="s">
        <v>2475</v>
      </c>
      <c r="I782" t="s">
        <v>2508</v>
      </c>
      <c r="J782" t="s">
        <v>2456</v>
      </c>
      <c r="K782" t="s">
        <v>2496</v>
      </c>
      <c r="L782" t="s">
        <v>23</v>
      </c>
    </row>
    <row r="783" spans="1:12" x14ac:dyDescent="0.3">
      <c r="A783" t="s">
        <v>2588</v>
      </c>
      <c r="B783" t="s">
        <v>3334</v>
      </c>
      <c r="C783" s="4">
        <v>45709</v>
      </c>
      <c r="D783">
        <v>195</v>
      </c>
      <c r="E783">
        <v>11463.04</v>
      </c>
      <c r="F783">
        <v>5139.62</v>
      </c>
      <c r="G783">
        <v>6323.42</v>
      </c>
      <c r="H783" t="s">
        <v>2475</v>
      </c>
      <c r="I783" t="s">
        <v>2488</v>
      </c>
      <c r="J783" t="s">
        <v>2462</v>
      </c>
      <c r="K783" t="s">
        <v>2463</v>
      </c>
      <c r="L783" t="s">
        <v>84</v>
      </c>
    </row>
    <row r="784" spans="1:12" x14ac:dyDescent="0.3">
      <c r="A784" t="s">
        <v>2751</v>
      </c>
      <c r="B784" t="s">
        <v>3335</v>
      </c>
      <c r="C784" s="4">
        <v>45766</v>
      </c>
      <c r="D784">
        <v>133</v>
      </c>
      <c r="E784">
        <v>7020.18</v>
      </c>
      <c r="F784">
        <v>2703.99</v>
      </c>
      <c r="G784">
        <v>4316.1899999999996</v>
      </c>
      <c r="H784" t="s">
        <v>2454</v>
      </c>
      <c r="I784" t="s">
        <v>2485</v>
      </c>
      <c r="J784" t="s">
        <v>2493</v>
      </c>
      <c r="K784" t="s">
        <v>2457</v>
      </c>
      <c r="L784" t="s">
        <v>12</v>
      </c>
    </row>
    <row r="785" spans="1:12" x14ac:dyDescent="0.3">
      <c r="A785" t="s">
        <v>2642</v>
      </c>
      <c r="B785" t="s">
        <v>3336</v>
      </c>
      <c r="C785" s="4">
        <v>45757</v>
      </c>
      <c r="D785">
        <v>33</v>
      </c>
      <c r="E785">
        <v>842.12</v>
      </c>
      <c r="F785">
        <v>417.64</v>
      </c>
      <c r="G785">
        <v>424.48</v>
      </c>
      <c r="H785" t="s">
        <v>2460</v>
      </c>
      <c r="I785" t="s">
        <v>2508</v>
      </c>
      <c r="J785" t="s">
        <v>2462</v>
      </c>
      <c r="K785" t="s">
        <v>2469</v>
      </c>
      <c r="L785" t="s">
        <v>32</v>
      </c>
    </row>
    <row r="786" spans="1:12" x14ac:dyDescent="0.3">
      <c r="A786" t="s">
        <v>2609</v>
      </c>
      <c r="B786" t="s">
        <v>3337</v>
      </c>
      <c r="C786" s="4">
        <v>45810</v>
      </c>
      <c r="D786">
        <v>186</v>
      </c>
      <c r="E786">
        <v>12257.67</v>
      </c>
      <c r="F786">
        <v>3350.89</v>
      </c>
      <c r="G786">
        <v>8906.7800000000007</v>
      </c>
      <c r="H786" t="s">
        <v>2472</v>
      </c>
      <c r="I786" t="s">
        <v>2467</v>
      </c>
      <c r="J786" t="s">
        <v>2493</v>
      </c>
      <c r="K786" t="s">
        <v>2463</v>
      </c>
      <c r="L786" t="s">
        <v>84</v>
      </c>
    </row>
    <row r="787" spans="1:12" x14ac:dyDescent="0.3">
      <c r="A787" t="s">
        <v>2588</v>
      </c>
      <c r="B787" t="s">
        <v>3338</v>
      </c>
      <c r="C787" s="4">
        <v>46011</v>
      </c>
      <c r="D787">
        <v>188</v>
      </c>
      <c r="E787">
        <v>17289.11</v>
      </c>
      <c r="F787">
        <v>6339.44</v>
      </c>
      <c r="G787">
        <v>10949.67</v>
      </c>
      <c r="H787" t="s">
        <v>2454</v>
      </c>
      <c r="I787" t="s">
        <v>2485</v>
      </c>
      <c r="J787" t="s">
        <v>2462</v>
      </c>
      <c r="K787" t="s">
        <v>2496</v>
      </c>
      <c r="L787" t="s">
        <v>12</v>
      </c>
    </row>
    <row r="788" spans="1:12" x14ac:dyDescent="0.3">
      <c r="A788" t="s">
        <v>2470</v>
      </c>
      <c r="B788" t="s">
        <v>3339</v>
      </c>
      <c r="C788" s="4">
        <v>45804</v>
      </c>
      <c r="D788">
        <v>174</v>
      </c>
      <c r="E788">
        <v>16807.7</v>
      </c>
      <c r="F788">
        <v>1923.86</v>
      </c>
      <c r="G788">
        <v>14883.84</v>
      </c>
      <c r="H788" t="s">
        <v>2466</v>
      </c>
      <c r="I788" t="s">
        <v>2461</v>
      </c>
      <c r="J788" t="s">
        <v>2456</v>
      </c>
      <c r="K788" t="s">
        <v>2496</v>
      </c>
      <c r="L788" t="s">
        <v>23</v>
      </c>
    </row>
    <row r="789" spans="1:12" x14ac:dyDescent="0.3">
      <c r="A789" t="s">
        <v>2573</v>
      </c>
      <c r="B789" t="s">
        <v>3340</v>
      </c>
      <c r="C789" s="4">
        <v>45925</v>
      </c>
      <c r="D789">
        <v>93</v>
      </c>
      <c r="E789">
        <v>11095.75</v>
      </c>
      <c r="F789">
        <v>4708.3599999999997</v>
      </c>
      <c r="G789">
        <v>6387.39</v>
      </c>
      <c r="H789" t="s">
        <v>2460</v>
      </c>
      <c r="I789" t="s">
        <v>2461</v>
      </c>
      <c r="J789" t="s">
        <v>2462</v>
      </c>
      <c r="K789" t="s">
        <v>2496</v>
      </c>
      <c r="L789" t="s">
        <v>23</v>
      </c>
    </row>
    <row r="790" spans="1:12" x14ac:dyDescent="0.3">
      <c r="A790" t="s">
        <v>2497</v>
      </c>
      <c r="B790" t="s">
        <v>3341</v>
      </c>
      <c r="C790" s="4">
        <v>45661</v>
      </c>
      <c r="D790">
        <v>139</v>
      </c>
      <c r="E790">
        <v>11059.53</v>
      </c>
      <c r="F790">
        <v>5317.17</v>
      </c>
      <c r="G790">
        <v>5742.36</v>
      </c>
      <c r="H790" t="s">
        <v>2475</v>
      </c>
      <c r="I790" t="s">
        <v>2508</v>
      </c>
      <c r="J790" t="s">
        <v>2468</v>
      </c>
      <c r="K790" t="s">
        <v>2496</v>
      </c>
      <c r="L790" t="s">
        <v>23</v>
      </c>
    </row>
    <row r="791" spans="1:12" x14ac:dyDescent="0.3">
      <c r="A791" t="s">
        <v>2638</v>
      </c>
      <c r="B791" t="s">
        <v>3342</v>
      </c>
      <c r="C791" s="4">
        <v>45843</v>
      </c>
      <c r="D791">
        <v>190</v>
      </c>
      <c r="E791">
        <v>2801.06</v>
      </c>
      <c r="F791">
        <v>439.23</v>
      </c>
      <c r="G791">
        <v>2361.83</v>
      </c>
      <c r="H791" t="s">
        <v>2475</v>
      </c>
      <c r="I791" t="s">
        <v>2508</v>
      </c>
      <c r="J791" t="s">
        <v>2462</v>
      </c>
      <c r="K791" t="s">
        <v>2469</v>
      </c>
      <c r="L791" t="s">
        <v>12</v>
      </c>
    </row>
    <row r="792" spans="1:12" x14ac:dyDescent="0.3">
      <c r="A792" t="s">
        <v>2547</v>
      </c>
      <c r="B792" t="s">
        <v>3343</v>
      </c>
      <c r="C792" s="4">
        <v>45880</v>
      </c>
      <c r="D792">
        <v>54</v>
      </c>
      <c r="E792">
        <v>13154.86</v>
      </c>
      <c r="F792">
        <v>6478.94</v>
      </c>
      <c r="G792">
        <v>6675.92</v>
      </c>
      <c r="H792" t="s">
        <v>2475</v>
      </c>
      <c r="I792" t="s">
        <v>2517</v>
      </c>
      <c r="J792" t="s">
        <v>2462</v>
      </c>
      <c r="K792" t="s">
        <v>2457</v>
      </c>
      <c r="L792" t="s">
        <v>32</v>
      </c>
    </row>
    <row r="793" spans="1:12" x14ac:dyDescent="0.3">
      <c r="A793" t="s">
        <v>2673</v>
      </c>
      <c r="B793" t="s">
        <v>3344</v>
      </c>
      <c r="C793" s="4">
        <v>45932</v>
      </c>
      <c r="D793">
        <v>142</v>
      </c>
      <c r="E793">
        <v>15850.25</v>
      </c>
      <c r="F793">
        <v>1657.45</v>
      </c>
      <c r="G793">
        <v>14192.8</v>
      </c>
      <c r="H793" t="s">
        <v>2460</v>
      </c>
      <c r="I793" t="s">
        <v>2467</v>
      </c>
      <c r="J793" t="s">
        <v>2493</v>
      </c>
      <c r="K793" t="s">
        <v>2457</v>
      </c>
      <c r="L793" t="s">
        <v>12</v>
      </c>
    </row>
    <row r="794" spans="1:12" x14ac:dyDescent="0.3">
      <c r="A794" t="s">
        <v>2566</v>
      </c>
      <c r="B794" t="s">
        <v>3345</v>
      </c>
      <c r="C794" s="4">
        <v>45990</v>
      </c>
      <c r="D794">
        <v>168</v>
      </c>
      <c r="E794">
        <v>1884.44</v>
      </c>
      <c r="F794">
        <v>442.72</v>
      </c>
      <c r="G794">
        <v>1441.72</v>
      </c>
      <c r="H794" t="s">
        <v>2454</v>
      </c>
      <c r="I794" t="s">
        <v>2517</v>
      </c>
      <c r="J794" t="s">
        <v>2493</v>
      </c>
      <c r="K794" t="s">
        <v>2463</v>
      </c>
      <c r="L794" t="s">
        <v>23</v>
      </c>
    </row>
    <row r="795" spans="1:12" x14ac:dyDescent="0.3">
      <c r="A795" t="s">
        <v>2577</v>
      </c>
      <c r="B795" t="s">
        <v>3346</v>
      </c>
      <c r="C795" s="4">
        <v>45954</v>
      </c>
      <c r="D795">
        <v>10</v>
      </c>
      <c r="E795">
        <v>6111.75</v>
      </c>
      <c r="F795">
        <v>998.73</v>
      </c>
      <c r="G795">
        <v>5113.0200000000004</v>
      </c>
      <c r="H795" t="s">
        <v>2472</v>
      </c>
      <c r="I795" t="s">
        <v>2467</v>
      </c>
      <c r="J795" t="s">
        <v>2468</v>
      </c>
      <c r="K795" t="s">
        <v>2469</v>
      </c>
      <c r="L795" t="s">
        <v>36</v>
      </c>
    </row>
    <row r="796" spans="1:12" x14ac:dyDescent="0.3">
      <c r="A796" t="s">
        <v>2741</v>
      </c>
      <c r="B796" t="s">
        <v>3347</v>
      </c>
      <c r="C796" s="4">
        <v>45903</v>
      </c>
      <c r="D796">
        <v>144</v>
      </c>
      <c r="E796">
        <v>12229.09</v>
      </c>
      <c r="F796">
        <v>4743.2700000000004</v>
      </c>
      <c r="G796">
        <v>7485.82</v>
      </c>
      <c r="H796" t="s">
        <v>2454</v>
      </c>
      <c r="I796" t="s">
        <v>2485</v>
      </c>
      <c r="J796" t="s">
        <v>2468</v>
      </c>
      <c r="K796" t="s">
        <v>2457</v>
      </c>
      <c r="L796" t="s">
        <v>32</v>
      </c>
    </row>
    <row r="797" spans="1:12" x14ac:dyDescent="0.3">
      <c r="A797" t="s">
        <v>2543</v>
      </c>
      <c r="B797" t="s">
        <v>3348</v>
      </c>
      <c r="C797" s="4">
        <v>45685</v>
      </c>
      <c r="D797">
        <v>52</v>
      </c>
      <c r="E797">
        <v>2756.18</v>
      </c>
      <c r="F797">
        <v>282.20999999999998</v>
      </c>
      <c r="G797">
        <v>2473.9699999999998</v>
      </c>
      <c r="H797" t="s">
        <v>2466</v>
      </c>
      <c r="I797" t="s">
        <v>2455</v>
      </c>
      <c r="J797" t="s">
        <v>2456</v>
      </c>
      <c r="K797" t="s">
        <v>2496</v>
      </c>
      <c r="L797" t="s">
        <v>84</v>
      </c>
    </row>
    <row r="798" spans="1:12" x14ac:dyDescent="0.3">
      <c r="A798" t="s">
        <v>2741</v>
      </c>
      <c r="B798" t="s">
        <v>3349</v>
      </c>
      <c r="C798" s="4">
        <v>45767</v>
      </c>
      <c r="D798">
        <v>103</v>
      </c>
      <c r="E798">
        <v>11514.98</v>
      </c>
      <c r="F798">
        <v>5260.93</v>
      </c>
      <c r="G798">
        <v>6254.05</v>
      </c>
      <c r="H798" t="s">
        <v>2475</v>
      </c>
      <c r="I798" t="s">
        <v>2480</v>
      </c>
      <c r="J798" t="s">
        <v>2468</v>
      </c>
      <c r="K798" t="s">
        <v>2463</v>
      </c>
      <c r="L798" t="s">
        <v>23</v>
      </c>
    </row>
    <row r="799" spans="1:12" x14ac:dyDescent="0.3">
      <c r="A799" t="s">
        <v>2554</v>
      </c>
      <c r="B799" t="s">
        <v>3350</v>
      </c>
      <c r="C799" s="4">
        <v>46010</v>
      </c>
      <c r="D799">
        <v>105</v>
      </c>
      <c r="E799">
        <v>9422.08</v>
      </c>
      <c r="F799">
        <v>4455.8100000000004</v>
      </c>
      <c r="G799">
        <v>4966.2700000000004</v>
      </c>
      <c r="H799" t="s">
        <v>2472</v>
      </c>
      <c r="I799" t="s">
        <v>2461</v>
      </c>
      <c r="J799" t="s">
        <v>2462</v>
      </c>
      <c r="K799" t="s">
        <v>2469</v>
      </c>
      <c r="L799" t="s">
        <v>12</v>
      </c>
    </row>
    <row r="800" spans="1:12" x14ac:dyDescent="0.3">
      <c r="A800" t="s">
        <v>2655</v>
      </c>
      <c r="B800" t="s">
        <v>3351</v>
      </c>
      <c r="C800" s="4">
        <v>45954</v>
      </c>
      <c r="D800">
        <v>37</v>
      </c>
      <c r="E800">
        <v>15540.52</v>
      </c>
      <c r="F800">
        <v>3980.41</v>
      </c>
      <c r="G800">
        <v>11560.11</v>
      </c>
      <c r="H800" t="s">
        <v>2460</v>
      </c>
      <c r="I800" t="s">
        <v>2485</v>
      </c>
      <c r="J800" t="s">
        <v>2468</v>
      </c>
      <c r="K800" t="s">
        <v>2463</v>
      </c>
      <c r="L800" t="s">
        <v>84</v>
      </c>
    </row>
    <row r="801" spans="1:12" x14ac:dyDescent="0.3">
      <c r="A801" t="s">
        <v>2547</v>
      </c>
      <c r="B801" t="s">
        <v>3352</v>
      </c>
      <c r="C801" s="4">
        <v>45958</v>
      </c>
      <c r="D801">
        <v>95</v>
      </c>
      <c r="E801">
        <v>4291.13</v>
      </c>
      <c r="F801">
        <v>2011.27</v>
      </c>
      <c r="G801">
        <v>2279.86</v>
      </c>
      <c r="H801" t="s">
        <v>2475</v>
      </c>
      <c r="I801" t="s">
        <v>2455</v>
      </c>
      <c r="J801" t="s">
        <v>2493</v>
      </c>
      <c r="K801" t="s">
        <v>2457</v>
      </c>
      <c r="L801" t="s">
        <v>12</v>
      </c>
    </row>
    <row r="802" spans="1:12" x14ac:dyDescent="0.3">
      <c r="A802" t="s">
        <v>2605</v>
      </c>
      <c r="B802" t="s">
        <v>3353</v>
      </c>
      <c r="C802" s="4">
        <v>45788</v>
      </c>
      <c r="D802">
        <v>56</v>
      </c>
      <c r="E802">
        <v>5489.98</v>
      </c>
      <c r="F802">
        <v>729.29</v>
      </c>
      <c r="G802">
        <v>4760.6899999999996</v>
      </c>
      <c r="H802" t="s">
        <v>2475</v>
      </c>
      <c r="I802" t="s">
        <v>2480</v>
      </c>
      <c r="J802" t="s">
        <v>2468</v>
      </c>
      <c r="K802" t="s">
        <v>2469</v>
      </c>
      <c r="L802" t="s">
        <v>32</v>
      </c>
    </row>
    <row r="803" spans="1:12" x14ac:dyDescent="0.3">
      <c r="A803" t="s">
        <v>2534</v>
      </c>
      <c r="B803" t="s">
        <v>3354</v>
      </c>
      <c r="C803" s="4">
        <v>45878</v>
      </c>
      <c r="D803">
        <v>149</v>
      </c>
      <c r="E803">
        <v>16209.04</v>
      </c>
      <c r="F803">
        <v>2936.02</v>
      </c>
      <c r="G803">
        <v>13273.02</v>
      </c>
      <c r="H803" t="s">
        <v>2472</v>
      </c>
      <c r="I803" t="s">
        <v>2488</v>
      </c>
      <c r="J803" t="s">
        <v>2462</v>
      </c>
      <c r="K803" t="s">
        <v>2496</v>
      </c>
      <c r="L803" t="s">
        <v>84</v>
      </c>
    </row>
    <row r="804" spans="1:12" x14ac:dyDescent="0.3">
      <c r="A804" t="s">
        <v>2575</v>
      </c>
      <c r="B804" t="s">
        <v>3355</v>
      </c>
      <c r="C804" s="4">
        <v>45862</v>
      </c>
      <c r="D804">
        <v>14</v>
      </c>
      <c r="E804">
        <v>17633.490000000002</v>
      </c>
      <c r="F804">
        <v>8404.19</v>
      </c>
      <c r="G804">
        <v>9229.2999999999993</v>
      </c>
      <c r="H804" t="s">
        <v>2454</v>
      </c>
      <c r="I804" t="s">
        <v>2508</v>
      </c>
      <c r="J804" t="s">
        <v>2462</v>
      </c>
      <c r="K804" t="s">
        <v>2463</v>
      </c>
      <c r="L804" t="s">
        <v>36</v>
      </c>
    </row>
    <row r="805" spans="1:12" x14ac:dyDescent="0.3">
      <c r="A805" t="s">
        <v>2523</v>
      </c>
      <c r="B805" t="s">
        <v>3356</v>
      </c>
      <c r="C805" s="4">
        <v>45693</v>
      </c>
      <c r="D805">
        <v>67</v>
      </c>
      <c r="E805">
        <v>8337.01</v>
      </c>
      <c r="F805">
        <v>2093.2600000000002</v>
      </c>
      <c r="G805">
        <v>6243.75</v>
      </c>
      <c r="H805" t="s">
        <v>2466</v>
      </c>
      <c r="I805" t="s">
        <v>2467</v>
      </c>
      <c r="J805" t="s">
        <v>2493</v>
      </c>
      <c r="K805" t="s">
        <v>2463</v>
      </c>
      <c r="L805" t="s">
        <v>36</v>
      </c>
    </row>
    <row r="806" spans="1:12" x14ac:dyDescent="0.3">
      <c r="A806" t="s">
        <v>2622</v>
      </c>
      <c r="B806" t="s">
        <v>3357</v>
      </c>
      <c r="C806" s="4">
        <v>45868</v>
      </c>
      <c r="D806">
        <v>139</v>
      </c>
      <c r="E806">
        <v>4625.0600000000004</v>
      </c>
      <c r="F806">
        <v>698.57</v>
      </c>
      <c r="G806">
        <v>3926.49</v>
      </c>
      <c r="H806" t="s">
        <v>2454</v>
      </c>
      <c r="I806" t="s">
        <v>2467</v>
      </c>
      <c r="J806" t="s">
        <v>2462</v>
      </c>
      <c r="K806" t="s">
        <v>2496</v>
      </c>
      <c r="L806" t="s">
        <v>12</v>
      </c>
    </row>
    <row r="807" spans="1:12" x14ac:dyDescent="0.3">
      <c r="A807" t="s">
        <v>2558</v>
      </c>
      <c r="B807" t="s">
        <v>3358</v>
      </c>
      <c r="C807" s="4">
        <v>45798</v>
      </c>
      <c r="D807">
        <v>40</v>
      </c>
      <c r="E807">
        <v>6401.49</v>
      </c>
      <c r="F807">
        <v>3098.06</v>
      </c>
      <c r="G807">
        <v>3303.43</v>
      </c>
      <c r="H807" t="s">
        <v>2466</v>
      </c>
      <c r="I807" t="s">
        <v>2485</v>
      </c>
      <c r="J807" t="s">
        <v>2462</v>
      </c>
      <c r="K807" t="s">
        <v>2457</v>
      </c>
      <c r="L807" t="s">
        <v>36</v>
      </c>
    </row>
    <row r="808" spans="1:12" x14ac:dyDescent="0.3">
      <c r="A808" t="s">
        <v>2631</v>
      </c>
      <c r="B808" t="s">
        <v>3359</v>
      </c>
      <c r="C808" s="4">
        <v>45888</v>
      </c>
      <c r="D808">
        <v>66</v>
      </c>
      <c r="E808">
        <v>18305.68</v>
      </c>
      <c r="F808">
        <v>3846.34</v>
      </c>
      <c r="G808">
        <v>14459.34</v>
      </c>
      <c r="H808" t="s">
        <v>2475</v>
      </c>
      <c r="I808" t="s">
        <v>2455</v>
      </c>
      <c r="J808" t="s">
        <v>2462</v>
      </c>
      <c r="K808" t="s">
        <v>2496</v>
      </c>
      <c r="L808" t="s">
        <v>23</v>
      </c>
    </row>
    <row r="809" spans="1:12" x14ac:dyDescent="0.3">
      <c r="A809" t="s">
        <v>2564</v>
      </c>
      <c r="B809" t="s">
        <v>3360</v>
      </c>
      <c r="C809" s="4">
        <v>45853</v>
      </c>
      <c r="D809">
        <v>197</v>
      </c>
      <c r="E809">
        <v>18815.72</v>
      </c>
      <c r="F809">
        <v>3428.76</v>
      </c>
      <c r="G809">
        <v>15386.96</v>
      </c>
      <c r="H809" t="s">
        <v>2472</v>
      </c>
      <c r="I809" t="s">
        <v>2467</v>
      </c>
      <c r="J809" t="s">
        <v>2456</v>
      </c>
      <c r="K809" t="s">
        <v>2463</v>
      </c>
      <c r="L809" t="s">
        <v>12</v>
      </c>
    </row>
    <row r="810" spans="1:12" x14ac:dyDescent="0.3">
      <c r="A810" t="s">
        <v>2748</v>
      </c>
      <c r="B810" t="s">
        <v>3361</v>
      </c>
      <c r="C810" s="4">
        <v>45992</v>
      </c>
      <c r="D810">
        <v>118</v>
      </c>
      <c r="E810">
        <v>19323.599999999999</v>
      </c>
      <c r="F810">
        <v>9337.44</v>
      </c>
      <c r="G810">
        <v>9986.16</v>
      </c>
      <c r="H810" t="s">
        <v>2460</v>
      </c>
      <c r="I810" t="s">
        <v>2461</v>
      </c>
      <c r="J810" t="s">
        <v>2456</v>
      </c>
      <c r="K810" t="s">
        <v>2463</v>
      </c>
      <c r="L810" t="s">
        <v>12</v>
      </c>
    </row>
    <row r="811" spans="1:12" x14ac:dyDescent="0.3">
      <c r="A811" t="s">
        <v>2556</v>
      </c>
      <c r="B811" t="s">
        <v>3362</v>
      </c>
      <c r="C811" s="4">
        <v>45682</v>
      </c>
      <c r="D811">
        <v>125</v>
      </c>
      <c r="E811">
        <v>5897.83</v>
      </c>
      <c r="F811">
        <v>2863.86</v>
      </c>
      <c r="G811">
        <v>3033.97</v>
      </c>
      <c r="H811" t="s">
        <v>2475</v>
      </c>
      <c r="I811" t="s">
        <v>2467</v>
      </c>
      <c r="J811" t="s">
        <v>2493</v>
      </c>
      <c r="K811" t="s">
        <v>2463</v>
      </c>
      <c r="L811" t="s">
        <v>32</v>
      </c>
    </row>
    <row r="812" spans="1:12" x14ac:dyDescent="0.3">
      <c r="A812" t="s">
        <v>2520</v>
      </c>
      <c r="B812" t="s">
        <v>3363</v>
      </c>
      <c r="C812" s="4">
        <v>45924</v>
      </c>
      <c r="D812">
        <v>91</v>
      </c>
      <c r="E812">
        <v>3646.24</v>
      </c>
      <c r="F812">
        <v>1358.82</v>
      </c>
      <c r="G812">
        <v>2287.42</v>
      </c>
      <c r="H812" t="s">
        <v>2472</v>
      </c>
      <c r="I812" t="s">
        <v>2517</v>
      </c>
      <c r="J812" t="s">
        <v>2456</v>
      </c>
      <c r="K812" t="s">
        <v>2496</v>
      </c>
      <c r="L812" t="s">
        <v>36</v>
      </c>
    </row>
    <row r="813" spans="1:12" x14ac:dyDescent="0.3">
      <c r="A813" t="s">
        <v>2575</v>
      </c>
      <c r="B813" t="s">
        <v>3364</v>
      </c>
      <c r="C813" s="4">
        <v>45776</v>
      </c>
      <c r="D813">
        <v>100</v>
      </c>
      <c r="E813">
        <v>14993.92</v>
      </c>
      <c r="F813">
        <v>5998.93</v>
      </c>
      <c r="G813">
        <v>8994.99</v>
      </c>
      <c r="H813" t="s">
        <v>2466</v>
      </c>
      <c r="I813" t="s">
        <v>2517</v>
      </c>
      <c r="J813" t="s">
        <v>2468</v>
      </c>
      <c r="K813" t="s">
        <v>2496</v>
      </c>
      <c r="L813" t="s">
        <v>23</v>
      </c>
    </row>
    <row r="814" spans="1:12" x14ac:dyDescent="0.3">
      <c r="A814" t="s">
        <v>2570</v>
      </c>
      <c r="B814" t="s">
        <v>3365</v>
      </c>
      <c r="C814" s="4">
        <v>45837</v>
      </c>
      <c r="D814">
        <v>39</v>
      </c>
      <c r="E814">
        <v>2972.41</v>
      </c>
      <c r="F814">
        <v>1039.53</v>
      </c>
      <c r="G814">
        <v>1932.88</v>
      </c>
      <c r="H814" t="s">
        <v>2454</v>
      </c>
      <c r="I814" t="s">
        <v>2485</v>
      </c>
      <c r="J814" t="s">
        <v>2493</v>
      </c>
      <c r="K814" t="s">
        <v>2457</v>
      </c>
      <c r="L814" t="s">
        <v>12</v>
      </c>
    </row>
    <row r="815" spans="1:12" x14ac:dyDescent="0.3">
      <c r="A815" t="s">
        <v>2554</v>
      </c>
      <c r="B815" t="s">
        <v>3366</v>
      </c>
      <c r="C815" s="4">
        <v>45741</v>
      </c>
      <c r="D815">
        <v>189</v>
      </c>
      <c r="E815">
        <v>130</v>
      </c>
      <c r="F815">
        <v>36.94</v>
      </c>
      <c r="G815">
        <v>93.06</v>
      </c>
      <c r="H815" t="s">
        <v>2475</v>
      </c>
      <c r="I815" t="s">
        <v>2455</v>
      </c>
      <c r="J815" t="s">
        <v>2493</v>
      </c>
      <c r="K815" t="s">
        <v>2469</v>
      </c>
      <c r="L815" t="s">
        <v>12</v>
      </c>
    </row>
    <row r="816" spans="1:12" x14ac:dyDescent="0.3">
      <c r="A816" t="s">
        <v>2793</v>
      </c>
      <c r="B816" t="s">
        <v>3367</v>
      </c>
      <c r="C816" s="4">
        <v>45799</v>
      </c>
      <c r="D816">
        <v>79</v>
      </c>
      <c r="E816">
        <v>10093.85</v>
      </c>
      <c r="F816">
        <v>2953.2</v>
      </c>
      <c r="G816">
        <v>7140.65</v>
      </c>
      <c r="H816" t="s">
        <v>2466</v>
      </c>
      <c r="I816" t="s">
        <v>2485</v>
      </c>
      <c r="J816" t="s">
        <v>2456</v>
      </c>
      <c r="K816" t="s">
        <v>2469</v>
      </c>
      <c r="L816" t="s">
        <v>23</v>
      </c>
    </row>
    <row r="817" spans="1:12" x14ac:dyDescent="0.3">
      <c r="A817" t="s">
        <v>2556</v>
      </c>
      <c r="B817" t="s">
        <v>3368</v>
      </c>
      <c r="C817" s="4">
        <v>45965</v>
      </c>
      <c r="D817">
        <v>43</v>
      </c>
      <c r="E817">
        <v>305.45999999999998</v>
      </c>
      <c r="F817">
        <v>107.01</v>
      </c>
      <c r="G817">
        <v>198.45</v>
      </c>
      <c r="H817" t="s">
        <v>2454</v>
      </c>
      <c r="I817" t="s">
        <v>2485</v>
      </c>
      <c r="J817" t="s">
        <v>2456</v>
      </c>
      <c r="K817" t="s">
        <v>2469</v>
      </c>
      <c r="L817" t="s">
        <v>12</v>
      </c>
    </row>
    <row r="818" spans="1:12" x14ac:dyDescent="0.3">
      <c r="A818" t="s">
        <v>2564</v>
      </c>
      <c r="B818" t="s">
        <v>3369</v>
      </c>
      <c r="C818" s="4">
        <v>45726</v>
      </c>
      <c r="D818">
        <v>66</v>
      </c>
      <c r="E818">
        <v>12515.89</v>
      </c>
      <c r="F818">
        <v>1733.33</v>
      </c>
      <c r="G818">
        <v>10782.56</v>
      </c>
      <c r="H818" t="s">
        <v>2454</v>
      </c>
      <c r="I818" t="s">
        <v>2461</v>
      </c>
      <c r="J818" t="s">
        <v>2468</v>
      </c>
      <c r="K818" t="s">
        <v>2496</v>
      </c>
      <c r="L818" t="s">
        <v>12</v>
      </c>
    </row>
    <row r="819" spans="1:12" x14ac:dyDescent="0.3">
      <c r="A819" t="s">
        <v>2509</v>
      </c>
      <c r="B819" t="s">
        <v>3370</v>
      </c>
      <c r="C819" s="4">
        <v>45708</v>
      </c>
      <c r="D819">
        <v>60</v>
      </c>
      <c r="E819">
        <v>5433.35</v>
      </c>
      <c r="F819">
        <v>1733.56</v>
      </c>
      <c r="G819">
        <v>3699.79</v>
      </c>
      <c r="H819" t="s">
        <v>2454</v>
      </c>
      <c r="I819" t="s">
        <v>2517</v>
      </c>
      <c r="J819" t="s">
        <v>2493</v>
      </c>
      <c r="K819" t="s">
        <v>2496</v>
      </c>
      <c r="L819" t="s">
        <v>32</v>
      </c>
    </row>
    <row r="820" spans="1:12" x14ac:dyDescent="0.3">
      <c r="A820" t="s">
        <v>2458</v>
      </c>
      <c r="B820" t="s">
        <v>3371</v>
      </c>
      <c r="C820" s="4">
        <v>45768</v>
      </c>
      <c r="D820">
        <v>40</v>
      </c>
      <c r="E820">
        <v>448.98</v>
      </c>
      <c r="F820">
        <v>210.02</v>
      </c>
      <c r="G820">
        <v>238.96</v>
      </c>
      <c r="H820" t="s">
        <v>2454</v>
      </c>
      <c r="I820" t="s">
        <v>2485</v>
      </c>
      <c r="J820" t="s">
        <v>2456</v>
      </c>
      <c r="K820" t="s">
        <v>2496</v>
      </c>
      <c r="L820" t="s">
        <v>23</v>
      </c>
    </row>
    <row r="821" spans="1:12" x14ac:dyDescent="0.3">
      <c r="A821" t="s">
        <v>2642</v>
      </c>
      <c r="B821" t="s">
        <v>3372</v>
      </c>
      <c r="C821" s="4">
        <v>45952</v>
      </c>
      <c r="D821">
        <v>168</v>
      </c>
      <c r="E821">
        <v>7440.82</v>
      </c>
      <c r="F821">
        <v>1562.19</v>
      </c>
      <c r="G821">
        <v>5878.63</v>
      </c>
      <c r="H821" t="s">
        <v>2475</v>
      </c>
      <c r="I821" t="s">
        <v>2467</v>
      </c>
      <c r="J821" t="s">
        <v>2493</v>
      </c>
      <c r="K821" t="s">
        <v>2463</v>
      </c>
      <c r="L821" t="s">
        <v>36</v>
      </c>
    </row>
    <row r="822" spans="1:12" x14ac:dyDescent="0.3">
      <c r="A822" t="s">
        <v>2607</v>
      </c>
      <c r="B822" t="s">
        <v>3373</v>
      </c>
      <c r="C822" s="4">
        <v>45741</v>
      </c>
      <c r="D822">
        <v>106</v>
      </c>
      <c r="E822">
        <v>4445.49</v>
      </c>
      <c r="F822">
        <v>1953.11</v>
      </c>
      <c r="G822">
        <v>2492.38</v>
      </c>
      <c r="H822" t="s">
        <v>2460</v>
      </c>
      <c r="I822" t="s">
        <v>2485</v>
      </c>
      <c r="J822" t="s">
        <v>2462</v>
      </c>
      <c r="K822" t="s">
        <v>2496</v>
      </c>
      <c r="L822" t="s">
        <v>32</v>
      </c>
    </row>
    <row r="823" spans="1:12" x14ac:dyDescent="0.3">
      <c r="A823" t="s">
        <v>2640</v>
      </c>
      <c r="B823" t="s">
        <v>3374</v>
      </c>
      <c r="C823" s="4">
        <v>45973</v>
      </c>
      <c r="D823">
        <v>172</v>
      </c>
      <c r="E823">
        <v>14432.01</v>
      </c>
      <c r="F823">
        <v>6326.02</v>
      </c>
      <c r="G823">
        <v>8105.99</v>
      </c>
      <c r="H823" t="s">
        <v>2454</v>
      </c>
      <c r="I823" t="s">
        <v>2467</v>
      </c>
      <c r="J823" t="s">
        <v>2493</v>
      </c>
      <c r="K823" t="s">
        <v>2496</v>
      </c>
      <c r="L823" t="s">
        <v>12</v>
      </c>
    </row>
    <row r="824" spans="1:12" x14ac:dyDescent="0.3">
      <c r="A824" t="s">
        <v>2597</v>
      </c>
      <c r="B824" t="s">
        <v>3375</v>
      </c>
      <c r="C824" s="4">
        <v>45789</v>
      </c>
      <c r="D824">
        <v>20</v>
      </c>
      <c r="E824">
        <v>6770.97</v>
      </c>
      <c r="F824">
        <v>2683.45</v>
      </c>
      <c r="G824">
        <v>4087.52</v>
      </c>
      <c r="H824" t="s">
        <v>2466</v>
      </c>
      <c r="I824" t="s">
        <v>2480</v>
      </c>
      <c r="J824" t="s">
        <v>2493</v>
      </c>
      <c r="K824" t="s">
        <v>2463</v>
      </c>
      <c r="L824" t="s">
        <v>23</v>
      </c>
    </row>
    <row r="825" spans="1:12" x14ac:dyDescent="0.3">
      <c r="A825" t="s">
        <v>2554</v>
      </c>
      <c r="B825" t="s">
        <v>3376</v>
      </c>
      <c r="C825" s="4">
        <v>45660</v>
      </c>
      <c r="D825">
        <v>28</v>
      </c>
      <c r="E825">
        <v>4538.3999999999996</v>
      </c>
      <c r="F825">
        <v>1291.97</v>
      </c>
      <c r="G825">
        <v>3246.43</v>
      </c>
      <c r="H825" t="s">
        <v>2472</v>
      </c>
      <c r="I825" t="s">
        <v>2480</v>
      </c>
      <c r="J825" t="s">
        <v>2493</v>
      </c>
      <c r="K825" t="s">
        <v>2496</v>
      </c>
      <c r="L825" t="s">
        <v>32</v>
      </c>
    </row>
    <row r="826" spans="1:12" x14ac:dyDescent="0.3">
      <c r="A826" t="s">
        <v>2588</v>
      </c>
      <c r="B826" t="s">
        <v>3377</v>
      </c>
      <c r="C826" s="4">
        <v>45826</v>
      </c>
      <c r="D826">
        <v>165</v>
      </c>
      <c r="E826">
        <v>1765.79</v>
      </c>
      <c r="F826">
        <v>282.17</v>
      </c>
      <c r="G826">
        <v>1483.62</v>
      </c>
      <c r="H826" t="s">
        <v>2472</v>
      </c>
      <c r="I826" t="s">
        <v>2467</v>
      </c>
      <c r="J826" t="s">
        <v>2456</v>
      </c>
      <c r="K826" t="s">
        <v>2469</v>
      </c>
      <c r="L826" t="s">
        <v>84</v>
      </c>
    </row>
    <row r="827" spans="1:12" x14ac:dyDescent="0.3">
      <c r="A827" t="s">
        <v>2538</v>
      </c>
      <c r="B827" t="s">
        <v>3378</v>
      </c>
      <c r="C827" s="4">
        <v>45964</v>
      </c>
      <c r="D827">
        <v>96</v>
      </c>
      <c r="E827">
        <v>10812.7</v>
      </c>
      <c r="F827">
        <v>1644.7</v>
      </c>
      <c r="G827">
        <v>9168</v>
      </c>
      <c r="H827" t="s">
        <v>2466</v>
      </c>
      <c r="I827" t="s">
        <v>2461</v>
      </c>
      <c r="J827" t="s">
        <v>2462</v>
      </c>
      <c r="K827" t="s">
        <v>2457</v>
      </c>
      <c r="L827" t="s">
        <v>23</v>
      </c>
    </row>
    <row r="828" spans="1:12" x14ac:dyDescent="0.3">
      <c r="A828" t="s">
        <v>2491</v>
      </c>
      <c r="B828" t="s">
        <v>3379</v>
      </c>
      <c r="C828" s="4">
        <v>45842</v>
      </c>
      <c r="D828">
        <v>196</v>
      </c>
      <c r="E828">
        <v>11698.7</v>
      </c>
      <c r="F828">
        <v>3365.3</v>
      </c>
      <c r="G828">
        <v>8333.4</v>
      </c>
      <c r="H828" t="s">
        <v>2460</v>
      </c>
      <c r="I828" t="s">
        <v>2480</v>
      </c>
      <c r="J828" t="s">
        <v>2462</v>
      </c>
      <c r="K828" t="s">
        <v>2469</v>
      </c>
      <c r="L828" t="s">
        <v>84</v>
      </c>
    </row>
    <row r="829" spans="1:12" x14ac:dyDescent="0.3">
      <c r="A829" t="s">
        <v>2854</v>
      </c>
      <c r="B829" t="s">
        <v>3380</v>
      </c>
      <c r="C829" s="4">
        <v>45917</v>
      </c>
      <c r="D829">
        <v>1</v>
      </c>
      <c r="E829">
        <v>947.35</v>
      </c>
      <c r="F829">
        <v>326.55</v>
      </c>
      <c r="G829">
        <v>620.79999999999995</v>
      </c>
      <c r="H829" t="s">
        <v>2466</v>
      </c>
      <c r="I829" t="s">
        <v>2517</v>
      </c>
      <c r="J829" t="s">
        <v>2462</v>
      </c>
      <c r="K829" t="s">
        <v>2457</v>
      </c>
      <c r="L829" t="s">
        <v>36</v>
      </c>
    </row>
    <row r="830" spans="1:12" x14ac:dyDescent="0.3">
      <c r="A830" t="s">
        <v>2599</v>
      </c>
      <c r="B830" t="s">
        <v>3381</v>
      </c>
      <c r="C830" s="4">
        <v>45760</v>
      </c>
      <c r="D830">
        <v>84</v>
      </c>
      <c r="E830">
        <v>15541.17</v>
      </c>
      <c r="F830">
        <v>1804.25</v>
      </c>
      <c r="G830">
        <v>13736.92</v>
      </c>
      <c r="H830" t="s">
        <v>2454</v>
      </c>
      <c r="I830" t="s">
        <v>2508</v>
      </c>
      <c r="J830" t="s">
        <v>2462</v>
      </c>
      <c r="K830" t="s">
        <v>2469</v>
      </c>
      <c r="L830" t="s">
        <v>23</v>
      </c>
    </row>
    <row r="831" spans="1:12" x14ac:dyDescent="0.3">
      <c r="A831" t="s">
        <v>2591</v>
      </c>
      <c r="B831" t="s">
        <v>3382</v>
      </c>
      <c r="C831" s="4">
        <v>45917</v>
      </c>
      <c r="D831">
        <v>34</v>
      </c>
      <c r="E831">
        <v>4432.46</v>
      </c>
      <c r="F831">
        <v>1048.71</v>
      </c>
      <c r="G831">
        <v>3383.75</v>
      </c>
      <c r="H831" t="s">
        <v>2472</v>
      </c>
      <c r="I831" t="s">
        <v>2467</v>
      </c>
      <c r="J831" t="s">
        <v>2462</v>
      </c>
      <c r="K831" t="s">
        <v>2496</v>
      </c>
      <c r="L831" t="s">
        <v>36</v>
      </c>
    </row>
    <row r="832" spans="1:12" x14ac:dyDescent="0.3">
      <c r="A832" t="s">
        <v>2588</v>
      </c>
      <c r="B832" t="s">
        <v>3383</v>
      </c>
      <c r="C832" s="4">
        <v>45953</v>
      </c>
      <c r="D832">
        <v>47</v>
      </c>
      <c r="E832">
        <v>440.44</v>
      </c>
      <c r="F832">
        <v>98.63</v>
      </c>
      <c r="G832">
        <v>341.81</v>
      </c>
      <c r="H832" t="s">
        <v>2472</v>
      </c>
      <c r="I832" t="s">
        <v>2508</v>
      </c>
      <c r="J832" t="s">
        <v>2468</v>
      </c>
      <c r="K832" t="s">
        <v>2469</v>
      </c>
      <c r="L832" t="s">
        <v>32</v>
      </c>
    </row>
    <row r="833" spans="1:12" x14ac:dyDescent="0.3">
      <c r="A833" t="s">
        <v>2634</v>
      </c>
      <c r="B833" t="s">
        <v>3384</v>
      </c>
      <c r="C833" s="4">
        <v>45879</v>
      </c>
      <c r="D833">
        <v>29</v>
      </c>
      <c r="E833">
        <v>5699.95</v>
      </c>
      <c r="F833">
        <v>1742.82</v>
      </c>
      <c r="G833">
        <v>3957.13</v>
      </c>
      <c r="H833" t="s">
        <v>2466</v>
      </c>
      <c r="I833" t="s">
        <v>2488</v>
      </c>
      <c r="J833" t="s">
        <v>2456</v>
      </c>
      <c r="K833" t="s">
        <v>2457</v>
      </c>
      <c r="L833" t="s">
        <v>23</v>
      </c>
    </row>
    <row r="834" spans="1:12" x14ac:dyDescent="0.3">
      <c r="A834" t="s">
        <v>2626</v>
      </c>
      <c r="B834" t="s">
        <v>3385</v>
      </c>
      <c r="C834" s="4">
        <v>45925</v>
      </c>
      <c r="D834">
        <v>195</v>
      </c>
      <c r="E834">
        <v>8184.4</v>
      </c>
      <c r="F834">
        <v>2097.14</v>
      </c>
      <c r="G834">
        <v>6087.26</v>
      </c>
      <c r="H834" t="s">
        <v>2466</v>
      </c>
      <c r="I834" t="s">
        <v>2508</v>
      </c>
      <c r="J834" t="s">
        <v>2456</v>
      </c>
      <c r="K834" t="s">
        <v>2496</v>
      </c>
      <c r="L834" t="s">
        <v>36</v>
      </c>
    </row>
    <row r="835" spans="1:12" x14ac:dyDescent="0.3">
      <c r="A835" t="s">
        <v>2634</v>
      </c>
      <c r="B835" t="s">
        <v>3386</v>
      </c>
      <c r="C835" s="4">
        <v>45747</v>
      </c>
      <c r="D835">
        <v>189</v>
      </c>
      <c r="E835">
        <v>11036.1</v>
      </c>
      <c r="F835">
        <v>5266.37</v>
      </c>
      <c r="G835">
        <v>5769.73</v>
      </c>
      <c r="H835" t="s">
        <v>2454</v>
      </c>
      <c r="I835" t="s">
        <v>2461</v>
      </c>
      <c r="J835" t="s">
        <v>2462</v>
      </c>
      <c r="K835" t="s">
        <v>2463</v>
      </c>
      <c r="L835" t="s">
        <v>12</v>
      </c>
    </row>
    <row r="836" spans="1:12" x14ac:dyDescent="0.3">
      <c r="A836" t="s">
        <v>2624</v>
      </c>
      <c r="B836" t="s">
        <v>3387</v>
      </c>
      <c r="C836" s="4">
        <v>46011</v>
      </c>
      <c r="D836">
        <v>2</v>
      </c>
      <c r="E836">
        <v>7021.93</v>
      </c>
      <c r="F836">
        <v>2958.46</v>
      </c>
      <c r="G836">
        <v>4063.47</v>
      </c>
      <c r="H836" t="s">
        <v>2475</v>
      </c>
      <c r="I836" t="s">
        <v>2485</v>
      </c>
      <c r="J836" t="s">
        <v>2468</v>
      </c>
      <c r="K836" t="s">
        <v>2457</v>
      </c>
      <c r="L836" t="s">
        <v>32</v>
      </c>
    </row>
    <row r="837" spans="1:12" x14ac:dyDescent="0.3">
      <c r="A837" t="s">
        <v>2662</v>
      </c>
      <c r="B837" t="s">
        <v>3388</v>
      </c>
      <c r="C837" s="4">
        <v>45907</v>
      </c>
      <c r="D837">
        <v>83</v>
      </c>
      <c r="E837">
        <v>12672.99</v>
      </c>
      <c r="F837">
        <v>4680.71</v>
      </c>
      <c r="G837">
        <v>7992.28</v>
      </c>
      <c r="H837" t="s">
        <v>2475</v>
      </c>
      <c r="I837" t="s">
        <v>2508</v>
      </c>
      <c r="J837" t="s">
        <v>2468</v>
      </c>
      <c r="K837" t="s">
        <v>2496</v>
      </c>
      <c r="L837" t="s">
        <v>84</v>
      </c>
    </row>
    <row r="838" spans="1:12" x14ac:dyDescent="0.3">
      <c r="A838" t="s">
        <v>2673</v>
      </c>
      <c r="B838" t="s">
        <v>3389</v>
      </c>
      <c r="C838" s="4">
        <v>45749</v>
      </c>
      <c r="D838">
        <v>142</v>
      </c>
      <c r="E838">
        <v>13813.34</v>
      </c>
      <c r="F838">
        <v>1796.26</v>
      </c>
      <c r="G838">
        <v>12017.08</v>
      </c>
      <c r="H838" t="s">
        <v>2466</v>
      </c>
      <c r="I838" t="s">
        <v>2467</v>
      </c>
      <c r="J838" t="s">
        <v>2456</v>
      </c>
      <c r="K838" t="s">
        <v>2463</v>
      </c>
      <c r="L838" t="s">
        <v>12</v>
      </c>
    </row>
    <row r="839" spans="1:12" x14ac:dyDescent="0.3">
      <c r="A839" t="s">
        <v>2452</v>
      </c>
      <c r="B839" t="s">
        <v>3390</v>
      </c>
      <c r="C839" s="4">
        <v>45730</v>
      </c>
      <c r="D839">
        <v>179</v>
      </c>
      <c r="E839">
        <v>8700.69</v>
      </c>
      <c r="F839">
        <v>1487.35</v>
      </c>
      <c r="G839">
        <v>7213.34</v>
      </c>
      <c r="H839" t="s">
        <v>2454</v>
      </c>
      <c r="I839" t="s">
        <v>2455</v>
      </c>
      <c r="J839" t="s">
        <v>2468</v>
      </c>
      <c r="K839" t="s">
        <v>2496</v>
      </c>
      <c r="L839" t="s">
        <v>23</v>
      </c>
    </row>
    <row r="840" spans="1:12" x14ac:dyDescent="0.3">
      <c r="A840" t="s">
        <v>2634</v>
      </c>
      <c r="B840" t="s">
        <v>3391</v>
      </c>
      <c r="C840" s="4">
        <v>45751</v>
      </c>
      <c r="D840">
        <v>157</v>
      </c>
      <c r="E840">
        <v>17869.84</v>
      </c>
      <c r="F840">
        <v>4123.1099999999997</v>
      </c>
      <c r="G840">
        <v>13746.73</v>
      </c>
      <c r="H840" t="s">
        <v>2475</v>
      </c>
      <c r="I840" t="s">
        <v>2455</v>
      </c>
      <c r="J840" t="s">
        <v>2462</v>
      </c>
      <c r="K840" t="s">
        <v>2457</v>
      </c>
      <c r="L840" t="s">
        <v>32</v>
      </c>
    </row>
    <row r="841" spans="1:12" x14ac:dyDescent="0.3">
      <c r="A841" t="s">
        <v>2607</v>
      </c>
      <c r="B841" t="s">
        <v>3392</v>
      </c>
      <c r="C841" s="4">
        <v>45872</v>
      </c>
      <c r="D841">
        <v>30</v>
      </c>
      <c r="E841">
        <v>17677.13</v>
      </c>
      <c r="F841">
        <v>2025.98</v>
      </c>
      <c r="G841">
        <v>15651.15</v>
      </c>
      <c r="H841" t="s">
        <v>2454</v>
      </c>
      <c r="I841" t="s">
        <v>2467</v>
      </c>
      <c r="J841" t="s">
        <v>2462</v>
      </c>
      <c r="K841" t="s">
        <v>2457</v>
      </c>
      <c r="L841" t="s">
        <v>23</v>
      </c>
    </row>
    <row r="842" spans="1:12" x14ac:dyDescent="0.3">
      <c r="A842" t="s">
        <v>2670</v>
      </c>
      <c r="B842" t="s">
        <v>3393</v>
      </c>
      <c r="C842" s="4">
        <v>45681</v>
      </c>
      <c r="D842">
        <v>142</v>
      </c>
      <c r="E842">
        <v>6163.59</v>
      </c>
      <c r="F842">
        <v>1166.22</v>
      </c>
      <c r="G842">
        <v>4997.37</v>
      </c>
      <c r="H842" t="s">
        <v>2472</v>
      </c>
      <c r="I842" t="s">
        <v>2488</v>
      </c>
      <c r="J842" t="s">
        <v>2468</v>
      </c>
      <c r="K842" t="s">
        <v>2496</v>
      </c>
      <c r="L842" t="s">
        <v>12</v>
      </c>
    </row>
    <row r="843" spans="1:12" x14ac:dyDescent="0.3">
      <c r="A843" t="s">
        <v>2518</v>
      </c>
      <c r="B843" t="s">
        <v>3394</v>
      </c>
      <c r="C843" s="4">
        <v>45851</v>
      </c>
      <c r="D843">
        <v>58</v>
      </c>
      <c r="E843">
        <v>14366.24</v>
      </c>
      <c r="F843">
        <v>6307.62</v>
      </c>
      <c r="G843">
        <v>8058.62</v>
      </c>
      <c r="H843" t="s">
        <v>2466</v>
      </c>
      <c r="I843" t="s">
        <v>2455</v>
      </c>
      <c r="J843" t="s">
        <v>2493</v>
      </c>
      <c r="K843" t="s">
        <v>2496</v>
      </c>
      <c r="L843" t="s">
        <v>12</v>
      </c>
    </row>
    <row r="844" spans="1:12" x14ac:dyDescent="0.3">
      <c r="A844" t="s">
        <v>2534</v>
      </c>
      <c r="B844" t="s">
        <v>3395</v>
      </c>
      <c r="C844" s="4">
        <v>45794</v>
      </c>
      <c r="D844">
        <v>123</v>
      </c>
      <c r="E844">
        <v>6574.8</v>
      </c>
      <c r="F844">
        <v>820.81</v>
      </c>
      <c r="G844">
        <v>5753.99</v>
      </c>
      <c r="H844" t="s">
        <v>2472</v>
      </c>
      <c r="I844" t="s">
        <v>2461</v>
      </c>
      <c r="J844" t="s">
        <v>2462</v>
      </c>
      <c r="K844" t="s">
        <v>2457</v>
      </c>
      <c r="L844" t="s">
        <v>23</v>
      </c>
    </row>
    <row r="845" spans="1:12" x14ac:dyDescent="0.3">
      <c r="A845" t="s">
        <v>2609</v>
      </c>
      <c r="B845" t="s">
        <v>3396</v>
      </c>
      <c r="C845" s="4">
        <v>45993</v>
      </c>
      <c r="D845">
        <v>12</v>
      </c>
      <c r="E845">
        <v>8507.59</v>
      </c>
      <c r="F845">
        <v>2112.7800000000002</v>
      </c>
      <c r="G845">
        <v>6394.81</v>
      </c>
      <c r="H845" t="s">
        <v>2460</v>
      </c>
      <c r="I845" t="s">
        <v>2467</v>
      </c>
      <c r="J845" t="s">
        <v>2456</v>
      </c>
      <c r="K845" t="s">
        <v>2463</v>
      </c>
      <c r="L845" t="s">
        <v>36</v>
      </c>
    </row>
    <row r="846" spans="1:12" x14ac:dyDescent="0.3">
      <c r="A846" t="s">
        <v>2550</v>
      </c>
      <c r="B846" t="s">
        <v>3397</v>
      </c>
      <c r="C846" s="4">
        <v>45965</v>
      </c>
      <c r="D846">
        <v>20</v>
      </c>
      <c r="E846">
        <v>12461.28</v>
      </c>
      <c r="F846">
        <v>3902.43</v>
      </c>
      <c r="G846">
        <v>8558.85</v>
      </c>
      <c r="H846" t="s">
        <v>2454</v>
      </c>
      <c r="I846" t="s">
        <v>2461</v>
      </c>
      <c r="J846" t="s">
        <v>2456</v>
      </c>
      <c r="K846" t="s">
        <v>2457</v>
      </c>
      <c r="L846" t="s">
        <v>32</v>
      </c>
    </row>
    <row r="847" spans="1:12" x14ac:dyDescent="0.3">
      <c r="A847" t="s">
        <v>2478</v>
      </c>
      <c r="B847" t="s">
        <v>3398</v>
      </c>
      <c r="C847" s="4">
        <v>45905</v>
      </c>
      <c r="D847">
        <v>152</v>
      </c>
      <c r="E847">
        <v>8438.09</v>
      </c>
      <c r="F847">
        <v>1339.2</v>
      </c>
      <c r="G847">
        <v>7098.89</v>
      </c>
      <c r="H847" t="s">
        <v>2475</v>
      </c>
      <c r="I847" t="s">
        <v>2508</v>
      </c>
      <c r="J847" t="s">
        <v>2493</v>
      </c>
      <c r="K847" t="s">
        <v>2457</v>
      </c>
      <c r="L847" t="s">
        <v>12</v>
      </c>
    </row>
    <row r="848" spans="1:12" x14ac:dyDescent="0.3">
      <c r="A848" t="s">
        <v>2624</v>
      </c>
      <c r="B848" t="s">
        <v>3399</v>
      </c>
      <c r="C848" s="4">
        <v>45906</v>
      </c>
      <c r="D848">
        <v>188</v>
      </c>
      <c r="E848">
        <v>3098.44</v>
      </c>
      <c r="F848">
        <v>1064.8900000000001</v>
      </c>
      <c r="G848">
        <v>2033.55</v>
      </c>
      <c r="H848" t="s">
        <v>2460</v>
      </c>
      <c r="I848" t="s">
        <v>2461</v>
      </c>
      <c r="J848" t="s">
        <v>2462</v>
      </c>
      <c r="K848" t="s">
        <v>2496</v>
      </c>
      <c r="L848" t="s">
        <v>36</v>
      </c>
    </row>
    <row r="849" spans="1:12" x14ac:dyDescent="0.3">
      <c r="A849" t="s">
        <v>2509</v>
      </c>
      <c r="B849" t="s">
        <v>3400</v>
      </c>
      <c r="C849" s="4">
        <v>46003</v>
      </c>
      <c r="D849">
        <v>25</v>
      </c>
      <c r="E849">
        <v>2853.48</v>
      </c>
      <c r="F849">
        <v>915.15</v>
      </c>
      <c r="G849">
        <v>1938.33</v>
      </c>
      <c r="H849" t="s">
        <v>2460</v>
      </c>
      <c r="I849" t="s">
        <v>2467</v>
      </c>
      <c r="J849" t="s">
        <v>2493</v>
      </c>
      <c r="K849" t="s">
        <v>2469</v>
      </c>
      <c r="L849" t="s">
        <v>36</v>
      </c>
    </row>
    <row r="850" spans="1:12" x14ac:dyDescent="0.3">
      <c r="A850" t="s">
        <v>2502</v>
      </c>
      <c r="B850" t="s">
        <v>3401</v>
      </c>
      <c r="C850" s="4">
        <v>45882</v>
      </c>
      <c r="D850">
        <v>112</v>
      </c>
      <c r="E850">
        <v>12602.66</v>
      </c>
      <c r="F850">
        <v>6255.8</v>
      </c>
      <c r="G850">
        <v>6346.86</v>
      </c>
      <c r="H850" t="s">
        <v>2454</v>
      </c>
      <c r="I850" t="s">
        <v>2508</v>
      </c>
      <c r="J850" t="s">
        <v>2468</v>
      </c>
      <c r="K850" t="s">
        <v>2463</v>
      </c>
      <c r="L850" t="s">
        <v>84</v>
      </c>
    </row>
    <row r="851" spans="1:12" x14ac:dyDescent="0.3">
      <c r="A851" t="s">
        <v>2577</v>
      </c>
      <c r="B851" t="s">
        <v>3402</v>
      </c>
      <c r="C851" s="4">
        <v>45952</v>
      </c>
      <c r="D851">
        <v>122</v>
      </c>
      <c r="E851">
        <v>2940.12</v>
      </c>
      <c r="F851">
        <v>744.04</v>
      </c>
      <c r="G851">
        <v>2196.08</v>
      </c>
      <c r="H851" t="s">
        <v>2454</v>
      </c>
      <c r="I851" t="s">
        <v>2508</v>
      </c>
      <c r="J851" t="s">
        <v>2456</v>
      </c>
      <c r="K851" t="s">
        <v>2457</v>
      </c>
      <c r="L851" t="s">
        <v>36</v>
      </c>
    </row>
    <row r="852" spans="1:12" x14ac:dyDescent="0.3">
      <c r="A852" t="s">
        <v>2511</v>
      </c>
      <c r="B852" t="s">
        <v>3403</v>
      </c>
      <c r="C852" s="4">
        <v>45977</v>
      </c>
      <c r="D852">
        <v>6</v>
      </c>
      <c r="E852">
        <v>11292.47</v>
      </c>
      <c r="F852">
        <v>3147.23</v>
      </c>
      <c r="G852">
        <v>8145.24</v>
      </c>
      <c r="H852" t="s">
        <v>2466</v>
      </c>
      <c r="I852" t="s">
        <v>2517</v>
      </c>
      <c r="J852" t="s">
        <v>2493</v>
      </c>
      <c r="K852" t="s">
        <v>2457</v>
      </c>
      <c r="L852" t="s">
        <v>36</v>
      </c>
    </row>
    <row r="853" spans="1:12" x14ac:dyDescent="0.3">
      <c r="A853" t="s">
        <v>2545</v>
      </c>
      <c r="B853" t="s">
        <v>3404</v>
      </c>
      <c r="C853" s="4">
        <v>45796</v>
      </c>
      <c r="D853">
        <v>159</v>
      </c>
      <c r="E853">
        <v>17027.099999999999</v>
      </c>
      <c r="F853">
        <v>6577.73</v>
      </c>
      <c r="G853">
        <v>10449.370000000001</v>
      </c>
      <c r="H853" t="s">
        <v>2460</v>
      </c>
      <c r="I853" t="s">
        <v>2488</v>
      </c>
      <c r="J853" t="s">
        <v>2468</v>
      </c>
      <c r="K853" t="s">
        <v>2469</v>
      </c>
      <c r="L853" t="s">
        <v>36</v>
      </c>
    </row>
    <row r="854" spans="1:12" x14ac:dyDescent="0.3">
      <c r="A854" t="s">
        <v>2591</v>
      </c>
      <c r="B854" t="s">
        <v>3405</v>
      </c>
      <c r="C854" s="4">
        <v>45901</v>
      </c>
      <c r="D854">
        <v>63</v>
      </c>
      <c r="E854">
        <v>5850.61</v>
      </c>
      <c r="F854">
        <v>1852.69</v>
      </c>
      <c r="G854">
        <v>3997.92</v>
      </c>
      <c r="H854" t="s">
        <v>2460</v>
      </c>
      <c r="I854" t="s">
        <v>2455</v>
      </c>
      <c r="J854" t="s">
        <v>2462</v>
      </c>
      <c r="K854" t="s">
        <v>2463</v>
      </c>
      <c r="L854" t="s">
        <v>23</v>
      </c>
    </row>
    <row r="855" spans="1:12" x14ac:dyDescent="0.3">
      <c r="A855" t="s">
        <v>2483</v>
      </c>
      <c r="B855" t="s">
        <v>3406</v>
      </c>
      <c r="C855" s="4">
        <v>45891</v>
      </c>
      <c r="D855">
        <v>150</v>
      </c>
      <c r="E855">
        <v>10720.71</v>
      </c>
      <c r="F855">
        <v>4223.01</v>
      </c>
      <c r="G855">
        <v>6497.7</v>
      </c>
      <c r="H855" t="s">
        <v>2460</v>
      </c>
      <c r="I855" t="s">
        <v>2480</v>
      </c>
      <c r="J855" t="s">
        <v>2468</v>
      </c>
      <c r="K855" t="s">
        <v>2457</v>
      </c>
      <c r="L855" t="s">
        <v>12</v>
      </c>
    </row>
    <row r="856" spans="1:12" x14ac:dyDescent="0.3">
      <c r="A856" t="s">
        <v>2570</v>
      </c>
      <c r="B856" t="s">
        <v>3407</v>
      </c>
      <c r="C856" s="4">
        <v>45720</v>
      </c>
      <c r="D856">
        <v>31</v>
      </c>
      <c r="E856">
        <v>16730.32</v>
      </c>
      <c r="F856">
        <v>1762.81</v>
      </c>
      <c r="G856">
        <v>14967.51</v>
      </c>
      <c r="H856" t="s">
        <v>2475</v>
      </c>
      <c r="I856" t="s">
        <v>2461</v>
      </c>
      <c r="J856" t="s">
        <v>2468</v>
      </c>
      <c r="K856" t="s">
        <v>2457</v>
      </c>
      <c r="L856" t="s">
        <v>84</v>
      </c>
    </row>
    <row r="857" spans="1:12" x14ac:dyDescent="0.3">
      <c r="A857" t="s">
        <v>2597</v>
      </c>
      <c r="B857" t="s">
        <v>3408</v>
      </c>
      <c r="C857" s="4">
        <v>45946</v>
      </c>
      <c r="D857">
        <v>75</v>
      </c>
      <c r="E857">
        <v>11102.25</v>
      </c>
      <c r="F857">
        <v>1546.62</v>
      </c>
      <c r="G857">
        <v>9555.6299999999992</v>
      </c>
      <c r="H857" t="s">
        <v>2472</v>
      </c>
      <c r="I857" t="s">
        <v>2467</v>
      </c>
      <c r="J857" t="s">
        <v>2493</v>
      </c>
      <c r="K857" t="s">
        <v>2469</v>
      </c>
      <c r="L857" t="s">
        <v>23</v>
      </c>
    </row>
    <row r="858" spans="1:12" x14ac:dyDescent="0.3">
      <c r="A858" t="s">
        <v>2558</v>
      </c>
      <c r="B858" t="s">
        <v>3409</v>
      </c>
      <c r="C858" s="4">
        <v>45808</v>
      </c>
      <c r="D858">
        <v>57</v>
      </c>
      <c r="E858">
        <v>110.84</v>
      </c>
      <c r="F858">
        <v>16.53</v>
      </c>
      <c r="G858">
        <v>94.31</v>
      </c>
      <c r="H858" t="s">
        <v>2466</v>
      </c>
      <c r="I858" t="s">
        <v>2455</v>
      </c>
      <c r="J858" t="s">
        <v>2456</v>
      </c>
      <c r="K858" t="s">
        <v>2469</v>
      </c>
      <c r="L858" t="s">
        <v>23</v>
      </c>
    </row>
    <row r="859" spans="1:12" x14ac:dyDescent="0.3">
      <c r="A859" t="s">
        <v>2577</v>
      </c>
      <c r="B859" t="s">
        <v>3410</v>
      </c>
      <c r="C859" s="4">
        <v>45894</v>
      </c>
      <c r="D859">
        <v>139</v>
      </c>
      <c r="E859">
        <v>11066.2</v>
      </c>
      <c r="F859">
        <v>2793.75</v>
      </c>
      <c r="G859">
        <v>8272.4500000000007</v>
      </c>
      <c r="H859" t="s">
        <v>2454</v>
      </c>
      <c r="I859" t="s">
        <v>2508</v>
      </c>
      <c r="J859" t="s">
        <v>2456</v>
      </c>
      <c r="K859" t="s">
        <v>2469</v>
      </c>
      <c r="L859" t="s">
        <v>23</v>
      </c>
    </row>
    <row r="860" spans="1:12" x14ac:dyDescent="0.3">
      <c r="A860" t="s">
        <v>2640</v>
      </c>
      <c r="B860" t="s">
        <v>3411</v>
      </c>
      <c r="C860" s="4">
        <v>46006</v>
      </c>
      <c r="D860">
        <v>39</v>
      </c>
      <c r="E860">
        <v>18516.54</v>
      </c>
      <c r="F860">
        <v>5946.93</v>
      </c>
      <c r="G860">
        <v>12569.61</v>
      </c>
      <c r="H860" t="s">
        <v>2460</v>
      </c>
      <c r="I860" t="s">
        <v>2480</v>
      </c>
      <c r="J860" t="s">
        <v>2456</v>
      </c>
      <c r="K860" t="s">
        <v>2463</v>
      </c>
      <c r="L860" t="s">
        <v>23</v>
      </c>
    </row>
    <row r="861" spans="1:12" x14ac:dyDescent="0.3">
      <c r="A861" t="s">
        <v>2473</v>
      </c>
      <c r="B861" t="s">
        <v>3412</v>
      </c>
      <c r="C861" s="4">
        <v>45803</v>
      </c>
      <c r="D861">
        <v>89</v>
      </c>
      <c r="E861">
        <v>14432.06</v>
      </c>
      <c r="F861">
        <v>2830</v>
      </c>
      <c r="G861">
        <v>11602.06</v>
      </c>
      <c r="H861" t="s">
        <v>2454</v>
      </c>
      <c r="I861" t="s">
        <v>2488</v>
      </c>
      <c r="J861" t="s">
        <v>2493</v>
      </c>
      <c r="K861" t="s">
        <v>2496</v>
      </c>
      <c r="L861" t="s">
        <v>84</v>
      </c>
    </row>
    <row r="862" spans="1:12" x14ac:dyDescent="0.3">
      <c r="A862" t="s">
        <v>2570</v>
      </c>
      <c r="B862" t="s">
        <v>3413</v>
      </c>
      <c r="C862" s="4">
        <v>45969</v>
      </c>
      <c r="D862">
        <v>75</v>
      </c>
      <c r="E862">
        <v>2032.12</v>
      </c>
      <c r="F862">
        <v>803.86</v>
      </c>
      <c r="G862">
        <v>1228.26</v>
      </c>
      <c r="H862" t="s">
        <v>2466</v>
      </c>
      <c r="I862" t="s">
        <v>2455</v>
      </c>
      <c r="J862" t="s">
        <v>2462</v>
      </c>
      <c r="K862" t="s">
        <v>2469</v>
      </c>
      <c r="L862" t="s">
        <v>23</v>
      </c>
    </row>
    <row r="863" spans="1:12" x14ac:dyDescent="0.3">
      <c r="A863" t="s">
        <v>2611</v>
      </c>
      <c r="B863" t="s">
        <v>3414</v>
      </c>
      <c r="C863" s="4">
        <v>46008</v>
      </c>
      <c r="D863">
        <v>14</v>
      </c>
      <c r="E863">
        <v>10102.81</v>
      </c>
      <c r="F863">
        <v>3112.26</v>
      </c>
      <c r="G863">
        <v>6990.55</v>
      </c>
      <c r="H863" t="s">
        <v>2472</v>
      </c>
      <c r="I863" t="s">
        <v>2488</v>
      </c>
      <c r="J863" t="s">
        <v>2462</v>
      </c>
      <c r="K863" t="s">
        <v>2496</v>
      </c>
      <c r="L863" t="s">
        <v>23</v>
      </c>
    </row>
    <row r="864" spans="1:12" x14ac:dyDescent="0.3">
      <c r="A864" t="s">
        <v>2653</v>
      </c>
      <c r="B864" t="s">
        <v>3415</v>
      </c>
      <c r="C864" s="4">
        <v>45923</v>
      </c>
      <c r="D864">
        <v>29</v>
      </c>
      <c r="E864">
        <v>12657.37</v>
      </c>
      <c r="F864">
        <v>5295.62</v>
      </c>
      <c r="G864">
        <v>7361.75</v>
      </c>
      <c r="H864" t="s">
        <v>2460</v>
      </c>
      <c r="I864" t="s">
        <v>2488</v>
      </c>
      <c r="J864" t="s">
        <v>2456</v>
      </c>
      <c r="K864" t="s">
        <v>2496</v>
      </c>
      <c r="L864" t="s">
        <v>36</v>
      </c>
    </row>
    <row r="865" spans="1:12" x14ac:dyDescent="0.3">
      <c r="A865" t="s">
        <v>2506</v>
      </c>
      <c r="B865" t="s">
        <v>3416</v>
      </c>
      <c r="C865" s="4">
        <v>45813</v>
      </c>
      <c r="D865">
        <v>65</v>
      </c>
      <c r="E865">
        <v>2717.38</v>
      </c>
      <c r="F865">
        <v>711.62</v>
      </c>
      <c r="G865">
        <v>2005.76</v>
      </c>
      <c r="H865" t="s">
        <v>2472</v>
      </c>
      <c r="I865" t="s">
        <v>2461</v>
      </c>
      <c r="J865" t="s">
        <v>2462</v>
      </c>
      <c r="K865" t="s">
        <v>2469</v>
      </c>
      <c r="L865" t="s">
        <v>23</v>
      </c>
    </row>
    <row r="866" spans="1:12" x14ac:dyDescent="0.3">
      <c r="A866" t="s">
        <v>2581</v>
      </c>
      <c r="B866" t="s">
        <v>3417</v>
      </c>
      <c r="C866" s="4">
        <v>45957</v>
      </c>
      <c r="D866">
        <v>103</v>
      </c>
      <c r="E866">
        <v>16388.150000000001</v>
      </c>
      <c r="F866">
        <v>5740.93</v>
      </c>
      <c r="G866">
        <v>10647.22</v>
      </c>
      <c r="H866" t="s">
        <v>2460</v>
      </c>
      <c r="I866" t="s">
        <v>2480</v>
      </c>
      <c r="J866" t="s">
        <v>2462</v>
      </c>
      <c r="K866" t="s">
        <v>2496</v>
      </c>
      <c r="L866" t="s">
        <v>84</v>
      </c>
    </row>
    <row r="867" spans="1:12" x14ac:dyDescent="0.3">
      <c r="A867" t="s">
        <v>2588</v>
      </c>
      <c r="B867" t="s">
        <v>3418</v>
      </c>
      <c r="C867" s="4">
        <v>46002</v>
      </c>
      <c r="D867">
        <v>89</v>
      </c>
      <c r="E867">
        <v>12264.51</v>
      </c>
      <c r="F867">
        <v>3992.4</v>
      </c>
      <c r="G867">
        <v>8272.11</v>
      </c>
      <c r="H867" t="s">
        <v>2454</v>
      </c>
      <c r="I867" t="s">
        <v>2467</v>
      </c>
      <c r="J867" t="s">
        <v>2493</v>
      </c>
      <c r="K867" t="s">
        <v>2457</v>
      </c>
      <c r="L867" t="s">
        <v>36</v>
      </c>
    </row>
    <row r="868" spans="1:12" x14ac:dyDescent="0.3">
      <c r="A868" t="s">
        <v>2575</v>
      </c>
      <c r="B868" t="s">
        <v>3419</v>
      </c>
      <c r="C868" s="4">
        <v>45983</v>
      </c>
      <c r="D868">
        <v>32</v>
      </c>
      <c r="E868">
        <v>12218.87</v>
      </c>
      <c r="F868">
        <v>4487.82</v>
      </c>
      <c r="G868">
        <v>7731.05</v>
      </c>
      <c r="H868" t="s">
        <v>2475</v>
      </c>
      <c r="I868" t="s">
        <v>2508</v>
      </c>
      <c r="J868" t="s">
        <v>2462</v>
      </c>
      <c r="K868" t="s">
        <v>2463</v>
      </c>
      <c r="L868" t="s">
        <v>84</v>
      </c>
    </row>
    <row r="869" spans="1:12" x14ac:dyDescent="0.3">
      <c r="A869" t="s">
        <v>2793</v>
      </c>
      <c r="B869" t="s">
        <v>3420</v>
      </c>
      <c r="C869" s="4">
        <v>45672</v>
      </c>
      <c r="D869">
        <v>123</v>
      </c>
      <c r="E869">
        <v>18025.25</v>
      </c>
      <c r="F869">
        <v>6823.83</v>
      </c>
      <c r="G869">
        <v>11201.42</v>
      </c>
      <c r="H869" t="s">
        <v>2460</v>
      </c>
      <c r="I869" t="s">
        <v>2485</v>
      </c>
      <c r="J869" t="s">
        <v>2493</v>
      </c>
      <c r="K869" t="s">
        <v>2496</v>
      </c>
      <c r="L869" t="s">
        <v>36</v>
      </c>
    </row>
    <row r="870" spans="1:12" x14ac:dyDescent="0.3">
      <c r="A870" t="s">
        <v>2511</v>
      </c>
      <c r="B870" t="s">
        <v>3421</v>
      </c>
      <c r="C870" s="4">
        <v>45875</v>
      </c>
      <c r="D870">
        <v>44</v>
      </c>
      <c r="E870">
        <v>2018.14</v>
      </c>
      <c r="F870">
        <v>343.82</v>
      </c>
      <c r="G870">
        <v>1674.32</v>
      </c>
      <c r="H870" t="s">
        <v>2475</v>
      </c>
      <c r="I870" t="s">
        <v>2455</v>
      </c>
      <c r="J870" t="s">
        <v>2493</v>
      </c>
      <c r="K870" t="s">
        <v>2463</v>
      </c>
      <c r="L870" t="s">
        <v>23</v>
      </c>
    </row>
    <row r="871" spans="1:12" x14ac:dyDescent="0.3">
      <c r="A871" t="s">
        <v>2534</v>
      </c>
      <c r="B871" t="s">
        <v>3422</v>
      </c>
      <c r="C871" s="4">
        <v>45854</v>
      </c>
      <c r="D871">
        <v>74</v>
      </c>
      <c r="E871">
        <v>6727.04</v>
      </c>
      <c r="F871">
        <v>2427.9299999999998</v>
      </c>
      <c r="G871">
        <v>4299.1099999999997</v>
      </c>
      <c r="H871" t="s">
        <v>2472</v>
      </c>
      <c r="I871" t="s">
        <v>2467</v>
      </c>
      <c r="J871" t="s">
        <v>2456</v>
      </c>
      <c r="K871" t="s">
        <v>2463</v>
      </c>
      <c r="L871" t="s">
        <v>36</v>
      </c>
    </row>
    <row r="872" spans="1:12" x14ac:dyDescent="0.3">
      <c r="A872" t="s">
        <v>2504</v>
      </c>
      <c r="B872" t="s">
        <v>3423</v>
      </c>
      <c r="C872" s="4">
        <v>45944</v>
      </c>
      <c r="D872">
        <v>169</v>
      </c>
      <c r="E872">
        <v>3778.21</v>
      </c>
      <c r="F872">
        <v>1750.97</v>
      </c>
      <c r="G872">
        <v>2027.24</v>
      </c>
      <c r="H872" t="s">
        <v>2472</v>
      </c>
      <c r="I872" t="s">
        <v>2517</v>
      </c>
      <c r="J872" t="s">
        <v>2468</v>
      </c>
      <c r="K872" t="s">
        <v>2496</v>
      </c>
      <c r="L872" t="s">
        <v>23</v>
      </c>
    </row>
    <row r="873" spans="1:12" x14ac:dyDescent="0.3">
      <c r="A873" t="s">
        <v>2523</v>
      </c>
      <c r="B873" t="s">
        <v>3424</v>
      </c>
      <c r="C873" s="4">
        <v>45758</v>
      </c>
      <c r="D873">
        <v>109</v>
      </c>
      <c r="E873">
        <v>15470.78</v>
      </c>
      <c r="F873">
        <v>4418.01</v>
      </c>
      <c r="G873">
        <v>11052.77</v>
      </c>
      <c r="H873" t="s">
        <v>2466</v>
      </c>
      <c r="I873" t="s">
        <v>2455</v>
      </c>
      <c r="J873" t="s">
        <v>2493</v>
      </c>
      <c r="K873" t="s">
        <v>2469</v>
      </c>
      <c r="L873" t="s">
        <v>84</v>
      </c>
    </row>
    <row r="874" spans="1:12" x14ac:dyDescent="0.3">
      <c r="A874" t="s">
        <v>2470</v>
      </c>
      <c r="B874" t="s">
        <v>3425</v>
      </c>
      <c r="C874" s="4">
        <v>45809</v>
      </c>
      <c r="D874">
        <v>47</v>
      </c>
      <c r="E874">
        <v>11730.67</v>
      </c>
      <c r="F874">
        <v>4432.91</v>
      </c>
      <c r="G874">
        <v>7297.76</v>
      </c>
      <c r="H874" t="s">
        <v>2460</v>
      </c>
      <c r="I874" t="s">
        <v>2467</v>
      </c>
      <c r="J874" t="s">
        <v>2493</v>
      </c>
      <c r="K874" t="s">
        <v>2463</v>
      </c>
      <c r="L874" t="s">
        <v>36</v>
      </c>
    </row>
    <row r="875" spans="1:12" x14ac:dyDescent="0.3">
      <c r="A875" t="s">
        <v>2609</v>
      </c>
      <c r="B875" t="s">
        <v>3426</v>
      </c>
      <c r="C875" s="4">
        <v>46013</v>
      </c>
      <c r="D875">
        <v>84</v>
      </c>
      <c r="E875">
        <v>9836.15</v>
      </c>
      <c r="F875">
        <v>2498.59</v>
      </c>
      <c r="G875">
        <v>7337.56</v>
      </c>
      <c r="H875" t="s">
        <v>2454</v>
      </c>
      <c r="I875" t="s">
        <v>2488</v>
      </c>
      <c r="J875" t="s">
        <v>2456</v>
      </c>
      <c r="K875" t="s">
        <v>2469</v>
      </c>
      <c r="L875" t="s">
        <v>36</v>
      </c>
    </row>
    <row r="876" spans="1:12" x14ac:dyDescent="0.3">
      <c r="A876" t="s">
        <v>2536</v>
      </c>
      <c r="B876" t="s">
        <v>3427</v>
      </c>
      <c r="C876" s="4">
        <v>45778</v>
      </c>
      <c r="D876">
        <v>79</v>
      </c>
      <c r="E876">
        <v>12025.8</v>
      </c>
      <c r="F876">
        <v>4770.2700000000004</v>
      </c>
      <c r="G876">
        <v>7255.53</v>
      </c>
      <c r="H876" t="s">
        <v>2454</v>
      </c>
      <c r="I876" t="s">
        <v>2508</v>
      </c>
      <c r="J876" t="s">
        <v>2493</v>
      </c>
      <c r="K876" t="s">
        <v>2457</v>
      </c>
      <c r="L876" t="s">
        <v>23</v>
      </c>
    </row>
    <row r="877" spans="1:12" x14ac:dyDescent="0.3">
      <c r="A877" t="s">
        <v>2599</v>
      </c>
      <c r="B877" t="s">
        <v>3428</v>
      </c>
      <c r="C877" s="4">
        <v>45835</v>
      </c>
      <c r="D877">
        <v>55</v>
      </c>
      <c r="E877">
        <v>7196.78</v>
      </c>
      <c r="F877">
        <v>3192.07</v>
      </c>
      <c r="G877">
        <v>4004.71</v>
      </c>
      <c r="H877" t="s">
        <v>2454</v>
      </c>
      <c r="I877" t="s">
        <v>2508</v>
      </c>
      <c r="J877" t="s">
        <v>2456</v>
      </c>
      <c r="K877" t="s">
        <v>2457</v>
      </c>
      <c r="L877" t="s">
        <v>23</v>
      </c>
    </row>
    <row r="878" spans="1:12" x14ac:dyDescent="0.3">
      <c r="A878" t="s">
        <v>2607</v>
      </c>
      <c r="B878" t="s">
        <v>3429</v>
      </c>
      <c r="C878" s="4">
        <v>45961</v>
      </c>
      <c r="D878">
        <v>77</v>
      </c>
      <c r="E878">
        <v>14076.32</v>
      </c>
      <c r="F878">
        <v>1520.34</v>
      </c>
      <c r="G878">
        <v>12555.98</v>
      </c>
      <c r="H878" t="s">
        <v>2454</v>
      </c>
      <c r="I878" t="s">
        <v>2455</v>
      </c>
      <c r="J878" t="s">
        <v>2493</v>
      </c>
      <c r="K878" t="s">
        <v>2469</v>
      </c>
      <c r="L878" t="s">
        <v>32</v>
      </c>
    </row>
    <row r="879" spans="1:12" x14ac:dyDescent="0.3">
      <c r="A879" t="s">
        <v>2527</v>
      </c>
      <c r="B879" t="s">
        <v>3430</v>
      </c>
      <c r="C879" s="4">
        <v>45938</v>
      </c>
      <c r="D879">
        <v>86</v>
      </c>
      <c r="E879">
        <v>4704.22</v>
      </c>
      <c r="F879">
        <v>1391.42</v>
      </c>
      <c r="G879">
        <v>3312.8</v>
      </c>
      <c r="H879" t="s">
        <v>2472</v>
      </c>
      <c r="I879" t="s">
        <v>2455</v>
      </c>
      <c r="J879" t="s">
        <v>2468</v>
      </c>
      <c r="K879" t="s">
        <v>2463</v>
      </c>
      <c r="L879" t="s">
        <v>23</v>
      </c>
    </row>
    <row r="880" spans="1:12" x14ac:dyDescent="0.3">
      <c r="A880" t="s">
        <v>2634</v>
      </c>
      <c r="B880" t="s">
        <v>3431</v>
      </c>
      <c r="C880" s="4">
        <v>46011</v>
      </c>
      <c r="D880">
        <v>22</v>
      </c>
      <c r="E880">
        <v>17489.55</v>
      </c>
      <c r="F880">
        <v>8264.5300000000007</v>
      </c>
      <c r="G880">
        <v>9225.02</v>
      </c>
      <c r="H880" t="s">
        <v>2475</v>
      </c>
      <c r="I880" t="s">
        <v>2455</v>
      </c>
      <c r="J880" t="s">
        <v>2468</v>
      </c>
      <c r="K880" t="s">
        <v>2457</v>
      </c>
      <c r="L880" t="s">
        <v>23</v>
      </c>
    </row>
    <row r="881" spans="1:12" x14ac:dyDescent="0.3">
      <c r="A881" t="s">
        <v>2655</v>
      </c>
      <c r="B881" t="s">
        <v>3432</v>
      </c>
      <c r="C881" s="4">
        <v>45857</v>
      </c>
      <c r="D881">
        <v>137</v>
      </c>
      <c r="E881">
        <v>17803.53</v>
      </c>
      <c r="F881">
        <v>3118.57</v>
      </c>
      <c r="G881">
        <v>14684.96</v>
      </c>
      <c r="H881" t="s">
        <v>2466</v>
      </c>
      <c r="I881" t="s">
        <v>2488</v>
      </c>
      <c r="J881" t="s">
        <v>2493</v>
      </c>
      <c r="K881" t="s">
        <v>2496</v>
      </c>
      <c r="L881" t="s">
        <v>23</v>
      </c>
    </row>
    <row r="882" spans="1:12" x14ac:dyDescent="0.3">
      <c r="A882" t="s">
        <v>2523</v>
      </c>
      <c r="B882" t="s">
        <v>3433</v>
      </c>
      <c r="C882" s="4">
        <v>45845</v>
      </c>
      <c r="D882">
        <v>3</v>
      </c>
      <c r="E882">
        <v>5776.3</v>
      </c>
      <c r="F882">
        <v>1606.15</v>
      </c>
      <c r="G882">
        <v>4170.1499999999996</v>
      </c>
      <c r="H882" t="s">
        <v>2475</v>
      </c>
      <c r="I882" t="s">
        <v>2485</v>
      </c>
      <c r="J882" t="s">
        <v>2456</v>
      </c>
      <c r="K882" t="s">
        <v>2469</v>
      </c>
      <c r="L882" t="s">
        <v>12</v>
      </c>
    </row>
    <row r="883" spans="1:12" x14ac:dyDescent="0.3">
      <c r="A883" t="s">
        <v>2588</v>
      </c>
      <c r="B883" t="s">
        <v>3434</v>
      </c>
      <c r="C883" s="4">
        <v>45964</v>
      </c>
      <c r="D883">
        <v>178</v>
      </c>
      <c r="E883">
        <v>6184.02</v>
      </c>
      <c r="F883">
        <v>2283.85</v>
      </c>
      <c r="G883">
        <v>3900.17</v>
      </c>
      <c r="H883" t="s">
        <v>2475</v>
      </c>
      <c r="I883" t="s">
        <v>2485</v>
      </c>
      <c r="J883" t="s">
        <v>2468</v>
      </c>
      <c r="K883" t="s">
        <v>2457</v>
      </c>
      <c r="L883" t="s">
        <v>12</v>
      </c>
    </row>
    <row r="884" spans="1:12" x14ac:dyDescent="0.3">
      <c r="A884" t="s">
        <v>2673</v>
      </c>
      <c r="B884" t="s">
        <v>3435</v>
      </c>
      <c r="C884" s="4">
        <v>45921</v>
      </c>
      <c r="D884">
        <v>132</v>
      </c>
      <c r="E884">
        <v>11334.05</v>
      </c>
      <c r="F884">
        <v>5180.21</v>
      </c>
      <c r="G884">
        <v>6153.84</v>
      </c>
      <c r="H884" t="s">
        <v>2454</v>
      </c>
      <c r="I884" t="s">
        <v>2517</v>
      </c>
      <c r="J884" t="s">
        <v>2468</v>
      </c>
      <c r="K884" t="s">
        <v>2469</v>
      </c>
      <c r="L884" t="s">
        <v>84</v>
      </c>
    </row>
    <row r="885" spans="1:12" x14ac:dyDescent="0.3">
      <c r="A885" t="s">
        <v>2476</v>
      </c>
      <c r="B885" t="s">
        <v>3436</v>
      </c>
      <c r="C885" s="4">
        <v>45715</v>
      </c>
      <c r="D885">
        <v>23</v>
      </c>
      <c r="E885">
        <v>14730.89</v>
      </c>
      <c r="F885">
        <v>4756.9399999999996</v>
      </c>
      <c r="G885">
        <v>9973.9500000000007</v>
      </c>
      <c r="H885" t="s">
        <v>2454</v>
      </c>
      <c r="I885" t="s">
        <v>2467</v>
      </c>
      <c r="J885" t="s">
        <v>2462</v>
      </c>
      <c r="K885" t="s">
        <v>2463</v>
      </c>
      <c r="L885" t="s">
        <v>36</v>
      </c>
    </row>
    <row r="886" spans="1:12" x14ac:dyDescent="0.3">
      <c r="A886" t="s">
        <v>2550</v>
      </c>
      <c r="B886" t="s">
        <v>3437</v>
      </c>
      <c r="C886" s="4">
        <v>45927</v>
      </c>
      <c r="D886">
        <v>102</v>
      </c>
      <c r="E886">
        <v>2817.38</v>
      </c>
      <c r="F886">
        <v>727.33</v>
      </c>
      <c r="G886">
        <v>2090.0500000000002</v>
      </c>
      <c r="H886" t="s">
        <v>2460</v>
      </c>
      <c r="I886" t="s">
        <v>2461</v>
      </c>
      <c r="J886" t="s">
        <v>2462</v>
      </c>
      <c r="K886" t="s">
        <v>2469</v>
      </c>
      <c r="L886" t="s">
        <v>12</v>
      </c>
    </row>
    <row r="887" spans="1:12" x14ac:dyDescent="0.3">
      <c r="A887" t="s">
        <v>2709</v>
      </c>
      <c r="B887" t="s">
        <v>3438</v>
      </c>
      <c r="C887" s="4">
        <v>45703</v>
      </c>
      <c r="D887">
        <v>151</v>
      </c>
      <c r="E887">
        <v>11544.8</v>
      </c>
      <c r="F887">
        <v>2122.87</v>
      </c>
      <c r="G887">
        <v>9421.93</v>
      </c>
      <c r="H887" t="s">
        <v>2472</v>
      </c>
      <c r="I887" t="s">
        <v>2488</v>
      </c>
      <c r="J887" t="s">
        <v>2456</v>
      </c>
      <c r="K887" t="s">
        <v>2469</v>
      </c>
      <c r="L887" t="s">
        <v>12</v>
      </c>
    </row>
    <row r="888" spans="1:12" x14ac:dyDescent="0.3">
      <c r="A888" t="s">
        <v>2584</v>
      </c>
      <c r="B888" t="s">
        <v>3439</v>
      </c>
      <c r="C888" s="4">
        <v>45929</v>
      </c>
      <c r="D888">
        <v>5</v>
      </c>
      <c r="E888">
        <v>10672.71</v>
      </c>
      <c r="F888">
        <v>4337.59</v>
      </c>
      <c r="G888">
        <v>6335.12</v>
      </c>
      <c r="H888" t="s">
        <v>2460</v>
      </c>
      <c r="I888" t="s">
        <v>2467</v>
      </c>
      <c r="J888" t="s">
        <v>2456</v>
      </c>
      <c r="K888" t="s">
        <v>2463</v>
      </c>
      <c r="L888" t="s">
        <v>36</v>
      </c>
    </row>
    <row r="889" spans="1:12" x14ac:dyDescent="0.3">
      <c r="A889" t="s">
        <v>2726</v>
      </c>
      <c r="B889" t="s">
        <v>3440</v>
      </c>
      <c r="C889" s="4">
        <v>45941</v>
      </c>
      <c r="D889">
        <v>134</v>
      </c>
      <c r="E889">
        <v>5881.14</v>
      </c>
      <c r="F889">
        <v>2264.2600000000002</v>
      </c>
      <c r="G889">
        <v>3616.88</v>
      </c>
      <c r="H889" t="s">
        <v>2460</v>
      </c>
      <c r="I889" t="s">
        <v>2461</v>
      </c>
      <c r="J889" t="s">
        <v>2493</v>
      </c>
      <c r="K889" t="s">
        <v>2469</v>
      </c>
      <c r="L889" t="s">
        <v>12</v>
      </c>
    </row>
    <row r="890" spans="1:12" x14ac:dyDescent="0.3">
      <c r="A890" t="s">
        <v>2626</v>
      </c>
      <c r="B890" t="s">
        <v>3441</v>
      </c>
      <c r="C890" s="4">
        <v>45733</v>
      </c>
      <c r="D890">
        <v>95</v>
      </c>
      <c r="E890">
        <v>8817</v>
      </c>
      <c r="F890">
        <v>2429.8200000000002</v>
      </c>
      <c r="G890">
        <v>6387.18</v>
      </c>
      <c r="H890" t="s">
        <v>2460</v>
      </c>
      <c r="I890" t="s">
        <v>2517</v>
      </c>
      <c r="J890" t="s">
        <v>2493</v>
      </c>
      <c r="K890" t="s">
        <v>2469</v>
      </c>
      <c r="L890" t="s">
        <v>32</v>
      </c>
    </row>
    <row r="891" spans="1:12" x14ac:dyDescent="0.3">
      <c r="A891" t="s">
        <v>2518</v>
      </c>
      <c r="B891" t="s">
        <v>3442</v>
      </c>
      <c r="C891" s="4">
        <v>45673</v>
      </c>
      <c r="D891">
        <v>190</v>
      </c>
      <c r="E891">
        <v>2312.12</v>
      </c>
      <c r="F891">
        <v>608.24</v>
      </c>
      <c r="G891">
        <v>1703.88</v>
      </c>
      <c r="H891" t="s">
        <v>2475</v>
      </c>
      <c r="I891" t="s">
        <v>2467</v>
      </c>
      <c r="J891" t="s">
        <v>2456</v>
      </c>
      <c r="K891" t="s">
        <v>2457</v>
      </c>
      <c r="L891" t="s">
        <v>32</v>
      </c>
    </row>
    <row r="892" spans="1:12" x14ac:dyDescent="0.3">
      <c r="A892" t="s">
        <v>2626</v>
      </c>
      <c r="B892" t="s">
        <v>3443</v>
      </c>
      <c r="C892" s="4">
        <v>45795</v>
      </c>
      <c r="D892">
        <v>138</v>
      </c>
      <c r="E892">
        <v>12223.13</v>
      </c>
      <c r="F892">
        <v>1724.96</v>
      </c>
      <c r="G892">
        <v>10498.17</v>
      </c>
      <c r="H892" t="s">
        <v>2472</v>
      </c>
      <c r="I892" t="s">
        <v>2467</v>
      </c>
      <c r="J892" t="s">
        <v>2493</v>
      </c>
      <c r="K892" t="s">
        <v>2496</v>
      </c>
      <c r="L892" t="s">
        <v>36</v>
      </c>
    </row>
    <row r="893" spans="1:12" x14ac:dyDescent="0.3">
      <c r="A893" t="s">
        <v>2626</v>
      </c>
      <c r="B893" t="s">
        <v>3444</v>
      </c>
      <c r="C893" s="4">
        <v>45897</v>
      </c>
      <c r="D893">
        <v>119</v>
      </c>
      <c r="E893">
        <v>386.34</v>
      </c>
      <c r="F893">
        <v>142.46</v>
      </c>
      <c r="G893">
        <v>243.88</v>
      </c>
      <c r="H893" t="s">
        <v>2466</v>
      </c>
      <c r="I893" t="s">
        <v>2508</v>
      </c>
      <c r="J893" t="s">
        <v>2493</v>
      </c>
      <c r="K893" t="s">
        <v>2469</v>
      </c>
      <c r="L893" t="s">
        <v>23</v>
      </c>
    </row>
    <row r="894" spans="1:12" x14ac:dyDescent="0.3">
      <c r="A894" t="s">
        <v>2573</v>
      </c>
      <c r="B894" t="s">
        <v>3445</v>
      </c>
      <c r="C894" s="4">
        <v>45703</v>
      </c>
      <c r="D894">
        <v>53</v>
      </c>
      <c r="E894">
        <v>8566.5400000000009</v>
      </c>
      <c r="F894">
        <v>1677.16</v>
      </c>
      <c r="G894">
        <v>6889.38</v>
      </c>
      <c r="H894" t="s">
        <v>2475</v>
      </c>
      <c r="I894" t="s">
        <v>2461</v>
      </c>
      <c r="J894" t="s">
        <v>2456</v>
      </c>
      <c r="K894" t="s">
        <v>2463</v>
      </c>
      <c r="L894" t="s">
        <v>84</v>
      </c>
    </row>
    <row r="895" spans="1:12" x14ac:dyDescent="0.3">
      <c r="A895" t="s">
        <v>2605</v>
      </c>
      <c r="B895" t="s">
        <v>3446</v>
      </c>
      <c r="C895" s="4">
        <v>45671</v>
      </c>
      <c r="D895">
        <v>8</v>
      </c>
      <c r="E895">
        <v>4277.41</v>
      </c>
      <c r="F895">
        <v>1278.47</v>
      </c>
      <c r="G895">
        <v>2998.94</v>
      </c>
      <c r="H895" t="s">
        <v>2454</v>
      </c>
      <c r="I895" t="s">
        <v>2488</v>
      </c>
      <c r="J895" t="s">
        <v>2456</v>
      </c>
      <c r="K895" t="s">
        <v>2496</v>
      </c>
      <c r="L895" t="s">
        <v>12</v>
      </c>
    </row>
    <row r="896" spans="1:12" x14ac:dyDescent="0.3">
      <c r="A896" t="s">
        <v>2626</v>
      </c>
      <c r="B896" t="s">
        <v>3447</v>
      </c>
      <c r="C896" s="4">
        <v>45921</v>
      </c>
      <c r="D896">
        <v>21</v>
      </c>
      <c r="E896">
        <v>5574.53</v>
      </c>
      <c r="F896">
        <v>743.79</v>
      </c>
      <c r="G896">
        <v>4830.74</v>
      </c>
      <c r="H896" t="s">
        <v>2466</v>
      </c>
      <c r="I896" t="s">
        <v>2480</v>
      </c>
      <c r="J896" t="s">
        <v>2456</v>
      </c>
      <c r="K896" t="s">
        <v>2496</v>
      </c>
      <c r="L896" t="s">
        <v>23</v>
      </c>
    </row>
    <row r="897" spans="1:12" x14ac:dyDescent="0.3">
      <c r="A897" t="s">
        <v>2649</v>
      </c>
      <c r="B897" t="s">
        <v>3448</v>
      </c>
      <c r="C897" s="4">
        <v>45783</v>
      </c>
      <c r="D897">
        <v>148</v>
      </c>
      <c r="E897">
        <v>1035.18</v>
      </c>
      <c r="F897">
        <v>386.9</v>
      </c>
      <c r="G897">
        <v>648.28</v>
      </c>
      <c r="H897" t="s">
        <v>2466</v>
      </c>
      <c r="I897" t="s">
        <v>2461</v>
      </c>
      <c r="J897" t="s">
        <v>2462</v>
      </c>
      <c r="K897" t="s">
        <v>2496</v>
      </c>
      <c r="L897" t="s">
        <v>36</v>
      </c>
    </row>
    <row r="898" spans="1:12" x14ac:dyDescent="0.3">
      <c r="A898" t="s">
        <v>2599</v>
      </c>
      <c r="B898" t="s">
        <v>3449</v>
      </c>
      <c r="C898" s="4">
        <v>45975</v>
      </c>
      <c r="D898">
        <v>161</v>
      </c>
      <c r="E898">
        <v>16598.27</v>
      </c>
      <c r="F898">
        <v>6220.49</v>
      </c>
      <c r="G898">
        <v>10377.780000000001</v>
      </c>
      <c r="H898" t="s">
        <v>2466</v>
      </c>
      <c r="I898" t="s">
        <v>2480</v>
      </c>
      <c r="J898" t="s">
        <v>2462</v>
      </c>
      <c r="K898" t="s">
        <v>2463</v>
      </c>
      <c r="L898" t="s">
        <v>12</v>
      </c>
    </row>
    <row r="899" spans="1:12" x14ac:dyDescent="0.3">
      <c r="A899" t="s">
        <v>2715</v>
      </c>
      <c r="B899" t="s">
        <v>3450</v>
      </c>
      <c r="C899" s="4">
        <v>45724</v>
      </c>
      <c r="D899">
        <v>173</v>
      </c>
      <c r="E899">
        <v>7951.82</v>
      </c>
      <c r="F899">
        <v>1602.68</v>
      </c>
      <c r="G899">
        <v>6349.14</v>
      </c>
      <c r="H899" t="s">
        <v>2472</v>
      </c>
      <c r="I899" t="s">
        <v>2488</v>
      </c>
      <c r="J899" t="s">
        <v>2468</v>
      </c>
      <c r="K899" t="s">
        <v>2463</v>
      </c>
      <c r="L899" t="s">
        <v>23</v>
      </c>
    </row>
    <row r="900" spans="1:12" x14ac:dyDescent="0.3">
      <c r="A900" t="s">
        <v>2733</v>
      </c>
      <c r="B900" t="s">
        <v>3451</v>
      </c>
      <c r="C900" s="4">
        <v>45713</v>
      </c>
      <c r="D900">
        <v>33</v>
      </c>
      <c r="E900">
        <v>17071.34</v>
      </c>
      <c r="F900">
        <v>1811.21</v>
      </c>
      <c r="G900">
        <v>15260.13</v>
      </c>
      <c r="H900" t="s">
        <v>2460</v>
      </c>
      <c r="I900" t="s">
        <v>2467</v>
      </c>
      <c r="J900" t="s">
        <v>2493</v>
      </c>
      <c r="K900" t="s">
        <v>2469</v>
      </c>
      <c r="L900" t="s">
        <v>36</v>
      </c>
    </row>
    <row r="901" spans="1:12" x14ac:dyDescent="0.3">
      <c r="A901" t="s">
        <v>2670</v>
      </c>
      <c r="B901" t="s">
        <v>3452</v>
      </c>
      <c r="C901" s="4">
        <v>45893</v>
      </c>
      <c r="D901">
        <v>110</v>
      </c>
      <c r="E901">
        <v>941.02</v>
      </c>
      <c r="F901">
        <v>448.28</v>
      </c>
      <c r="G901">
        <v>492.74</v>
      </c>
      <c r="H901" t="s">
        <v>2466</v>
      </c>
      <c r="I901" t="s">
        <v>2485</v>
      </c>
      <c r="J901" t="s">
        <v>2456</v>
      </c>
      <c r="K901" t="s">
        <v>2463</v>
      </c>
      <c r="L901" t="s">
        <v>12</v>
      </c>
    </row>
    <row r="902" spans="1:12" x14ac:dyDescent="0.3">
      <c r="A902" t="s">
        <v>2561</v>
      </c>
      <c r="B902" t="s">
        <v>3453</v>
      </c>
      <c r="C902" s="4">
        <v>45658</v>
      </c>
      <c r="D902">
        <v>16</v>
      </c>
      <c r="E902">
        <v>17598.46</v>
      </c>
      <c r="F902">
        <v>6692.08</v>
      </c>
      <c r="G902">
        <v>10906.38</v>
      </c>
      <c r="H902" t="s">
        <v>2454</v>
      </c>
      <c r="I902" t="s">
        <v>2455</v>
      </c>
      <c r="J902" t="s">
        <v>2462</v>
      </c>
      <c r="K902" t="s">
        <v>2463</v>
      </c>
      <c r="L902" t="s">
        <v>36</v>
      </c>
    </row>
    <row r="903" spans="1:12" x14ac:dyDescent="0.3">
      <c r="A903" t="s">
        <v>2464</v>
      </c>
      <c r="B903" t="s">
        <v>3454</v>
      </c>
      <c r="C903" s="4">
        <v>45777</v>
      </c>
      <c r="D903">
        <v>98</v>
      </c>
      <c r="E903">
        <v>15174.77</v>
      </c>
      <c r="F903">
        <v>6738.44</v>
      </c>
      <c r="G903">
        <v>8436.33</v>
      </c>
      <c r="H903" t="s">
        <v>2454</v>
      </c>
      <c r="I903" t="s">
        <v>2488</v>
      </c>
      <c r="J903" t="s">
        <v>2468</v>
      </c>
      <c r="K903" t="s">
        <v>2469</v>
      </c>
      <c r="L903" t="s">
        <v>36</v>
      </c>
    </row>
    <row r="904" spans="1:12" x14ac:dyDescent="0.3">
      <c r="A904" t="s">
        <v>2726</v>
      </c>
      <c r="B904" t="s">
        <v>3455</v>
      </c>
      <c r="C904" s="4">
        <v>45907</v>
      </c>
      <c r="D904">
        <v>63</v>
      </c>
      <c r="E904">
        <v>4258.82</v>
      </c>
      <c r="F904">
        <v>1717.17</v>
      </c>
      <c r="G904">
        <v>2541.65</v>
      </c>
      <c r="H904" t="s">
        <v>2466</v>
      </c>
      <c r="I904" t="s">
        <v>2480</v>
      </c>
      <c r="J904" t="s">
        <v>2456</v>
      </c>
      <c r="K904" t="s">
        <v>2469</v>
      </c>
      <c r="L904" t="s">
        <v>84</v>
      </c>
    </row>
    <row r="905" spans="1:12" x14ac:dyDescent="0.3">
      <c r="A905" t="s">
        <v>2486</v>
      </c>
      <c r="B905" t="s">
        <v>3456</v>
      </c>
      <c r="C905" s="4">
        <v>46019</v>
      </c>
      <c r="D905">
        <v>111</v>
      </c>
      <c r="E905">
        <v>1897.92</v>
      </c>
      <c r="F905">
        <v>468.51</v>
      </c>
      <c r="G905">
        <v>1429.41</v>
      </c>
      <c r="H905" t="s">
        <v>2460</v>
      </c>
      <c r="I905" t="s">
        <v>2517</v>
      </c>
      <c r="J905" t="s">
        <v>2468</v>
      </c>
      <c r="K905" t="s">
        <v>2463</v>
      </c>
      <c r="L905" t="s">
        <v>32</v>
      </c>
    </row>
    <row r="906" spans="1:12" x14ac:dyDescent="0.3">
      <c r="A906" t="s">
        <v>2581</v>
      </c>
      <c r="B906" t="s">
        <v>3457</v>
      </c>
      <c r="C906" s="4">
        <v>45743</v>
      </c>
      <c r="D906">
        <v>97</v>
      </c>
      <c r="E906">
        <v>4864.2299999999996</v>
      </c>
      <c r="F906">
        <v>1483.89</v>
      </c>
      <c r="G906">
        <v>3380.34</v>
      </c>
      <c r="H906" t="s">
        <v>2475</v>
      </c>
      <c r="I906" t="s">
        <v>2485</v>
      </c>
      <c r="J906" t="s">
        <v>2493</v>
      </c>
      <c r="K906" t="s">
        <v>2463</v>
      </c>
      <c r="L906" t="s">
        <v>12</v>
      </c>
    </row>
    <row r="907" spans="1:12" x14ac:dyDescent="0.3">
      <c r="A907" t="s">
        <v>2591</v>
      </c>
      <c r="B907" t="s">
        <v>3458</v>
      </c>
      <c r="C907" s="4">
        <v>45868</v>
      </c>
      <c r="D907">
        <v>64</v>
      </c>
      <c r="E907">
        <v>7918.46</v>
      </c>
      <c r="F907">
        <v>1809.07</v>
      </c>
      <c r="G907">
        <v>6109.39</v>
      </c>
      <c r="H907" t="s">
        <v>2472</v>
      </c>
      <c r="I907" t="s">
        <v>2467</v>
      </c>
      <c r="J907" t="s">
        <v>2468</v>
      </c>
      <c r="K907" t="s">
        <v>2457</v>
      </c>
      <c r="L907" t="s">
        <v>32</v>
      </c>
    </row>
    <row r="908" spans="1:12" x14ac:dyDescent="0.3">
      <c r="A908" t="s">
        <v>2525</v>
      </c>
      <c r="B908" t="s">
        <v>3459</v>
      </c>
      <c r="C908" s="4">
        <v>45940</v>
      </c>
      <c r="D908">
        <v>8</v>
      </c>
      <c r="E908">
        <v>17119.68</v>
      </c>
      <c r="F908">
        <v>4829.79</v>
      </c>
      <c r="G908">
        <v>12289.89</v>
      </c>
      <c r="H908" t="s">
        <v>2454</v>
      </c>
      <c r="I908" t="s">
        <v>2461</v>
      </c>
      <c r="J908" t="s">
        <v>2462</v>
      </c>
      <c r="K908" t="s">
        <v>2463</v>
      </c>
      <c r="L908" t="s">
        <v>23</v>
      </c>
    </row>
    <row r="909" spans="1:12" x14ac:dyDescent="0.3">
      <c r="A909" t="s">
        <v>2715</v>
      </c>
      <c r="B909" t="s">
        <v>3460</v>
      </c>
      <c r="C909" s="4">
        <v>45708</v>
      </c>
      <c r="D909">
        <v>46</v>
      </c>
      <c r="E909">
        <v>10472.68</v>
      </c>
      <c r="F909">
        <v>3654.08</v>
      </c>
      <c r="G909">
        <v>6818.6</v>
      </c>
      <c r="H909" t="s">
        <v>2460</v>
      </c>
      <c r="I909" t="s">
        <v>2508</v>
      </c>
      <c r="J909" t="s">
        <v>2456</v>
      </c>
      <c r="K909" t="s">
        <v>2457</v>
      </c>
      <c r="L909" t="s">
        <v>12</v>
      </c>
    </row>
    <row r="910" spans="1:12" x14ac:dyDescent="0.3">
      <c r="A910" t="s">
        <v>2532</v>
      </c>
      <c r="B910" t="s">
        <v>3461</v>
      </c>
      <c r="C910" s="4">
        <v>45790</v>
      </c>
      <c r="D910">
        <v>160</v>
      </c>
      <c r="E910">
        <v>19983.599999999999</v>
      </c>
      <c r="F910">
        <v>6300.21</v>
      </c>
      <c r="G910">
        <v>13683.39</v>
      </c>
      <c r="H910" t="s">
        <v>2460</v>
      </c>
      <c r="I910" t="s">
        <v>2455</v>
      </c>
      <c r="J910" t="s">
        <v>2493</v>
      </c>
      <c r="K910" t="s">
        <v>2469</v>
      </c>
      <c r="L910" t="s">
        <v>23</v>
      </c>
    </row>
    <row r="911" spans="1:12" x14ac:dyDescent="0.3">
      <c r="A911" t="s">
        <v>2483</v>
      </c>
      <c r="B911" t="s">
        <v>3462</v>
      </c>
      <c r="C911" s="4">
        <v>45860</v>
      </c>
      <c r="D911">
        <v>96</v>
      </c>
      <c r="E911">
        <v>19270.36</v>
      </c>
      <c r="F911">
        <v>9346.33</v>
      </c>
      <c r="G911">
        <v>9924.0300000000007</v>
      </c>
      <c r="H911" t="s">
        <v>2466</v>
      </c>
      <c r="I911" t="s">
        <v>2480</v>
      </c>
      <c r="J911" t="s">
        <v>2468</v>
      </c>
      <c r="K911" t="s">
        <v>2457</v>
      </c>
      <c r="L911" t="s">
        <v>23</v>
      </c>
    </row>
    <row r="912" spans="1:12" x14ac:dyDescent="0.3">
      <c r="A912" t="s">
        <v>2473</v>
      </c>
      <c r="B912" t="s">
        <v>3463</v>
      </c>
      <c r="C912" s="4">
        <v>45737</v>
      </c>
      <c r="D912">
        <v>37</v>
      </c>
      <c r="E912">
        <v>9783.4699999999993</v>
      </c>
      <c r="F912">
        <v>4075.67</v>
      </c>
      <c r="G912">
        <v>5707.8</v>
      </c>
      <c r="H912" t="s">
        <v>2475</v>
      </c>
      <c r="I912" t="s">
        <v>2488</v>
      </c>
      <c r="J912" t="s">
        <v>2493</v>
      </c>
      <c r="K912" t="s">
        <v>2469</v>
      </c>
      <c r="L912" t="s">
        <v>32</v>
      </c>
    </row>
    <row r="913" spans="1:12" x14ac:dyDescent="0.3">
      <c r="A913" t="s">
        <v>2793</v>
      </c>
      <c r="B913" t="s">
        <v>3464</v>
      </c>
      <c r="C913" s="4">
        <v>45744</v>
      </c>
      <c r="D913">
        <v>136</v>
      </c>
      <c r="E913">
        <v>15124.06</v>
      </c>
      <c r="F913">
        <v>6171.12</v>
      </c>
      <c r="G913">
        <v>8952.94</v>
      </c>
      <c r="H913" t="s">
        <v>2460</v>
      </c>
      <c r="I913" t="s">
        <v>2455</v>
      </c>
      <c r="J913" t="s">
        <v>2456</v>
      </c>
      <c r="K913" t="s">
        <v>2457</v>
      </c>
      <c r="L913" t="s">
        <v>12</v>
      </c>
    </row>
    <row r="914" spans="1:12" x14ac:dyDescent="0.3">
      <c r="A914" t="s">
        <v>2566</v>
      </c>
      <c r="B914" t="s">
        <v>3465</v>
      </c>
      <c r="C914" s="4">
        <v>45721</v>
      </c>
      <c r="D914">
        <v>127</v>
      </c>
      <c r="E914">
        <v>8102.43</v>
      </c>
      <c r="F914">
        <v>1798.18</v>
      </c>
      <c r="G914">
        <v>6304.25</v>
      </c>
      <c r="H914" t="s">
        <v>2466</v>
      </c>
      <c r="I914" t="s">
        <v>2480</v>
      </c>
      <c r="J914" t="s">
        <v>2468</v>
      </c>
      <c r="K914" t="s">
        <v>2496</v>
      </c>
      <c r="L914" t="s">
        <v>84</v>
      </c>
    </row>
    <row r="915" spans="1:12" x14ac:dyDescent="0.3">
      <c r="A915" t="s">
        <v>2631</v>
      </c>
      <c r="B915" t="s">
        <v>3466</v>
      </c>
      <c r="C915" s="4">
        <v>45791</v>
      </c>
      <c r="D915">
        <v>131</v>
      </c>
      <c r="E915">
        <v>9141.4599999999991</v>
      </c>
      <c r="F915">
        <v>3584.83</v>
      </c>
      <c r="G915">
        <v>5556.63</v>
      </c>
      <c r="H915" t="s">
        <v>2460</v>
      </c>
      <c r="I915" t="s">
        <v>2485</v>
      </c>
      <c r="J915" t="s">
        <v>2456</v>
      </c>
      <c r="K915" t="s">
        <v>2496</v>
      </c>
      <c r="L915" t="s">
        <v>32</v>
      </c>
    </row>
    <row r="916" spans="1:12" x14ac:dyDescent="0.3">
      <c r="A916" t="s">
        <v>2464</v>
      </c>
      <c r="B916" t="s">
        <v>3467</v>
      </c>
      <c r="C916" s="4">
        <v>45776</v>
      </c>
      <c r="D916">
        <v>126</v>
      </c>
      <c r="E916">
        <v>2553.39</v>
      </c>
      <c r="F916">
        <v>1005.13</v>
      </c>
      <c r="G916">
        <v>1548.26</v>
      </c>
      <c r="H916" t="s">
        <v>2475</v>
      </c>
      <c r="I916" t="s">
        <v>2480</v>
      </c>
      <c r="J916" t="s">
        <v>2462</v>
      </c>
      <c r="K916" t="s">
        <v>2463</v>
      </c>
      <c r="L916" t="s">
        <v>84</v>
      </c>
    </row>
    <row r="917" spans="1:12" x14ac:dyDescent="0.3">
      <c r="A917" t="s">
        <v>2591</v>
      </c>
      <c r="B917" t="s">
        <v>3468</v>
      </c>
      <c r="C917" s="4">
        <v>45806</v>
      </c>
      <c r="D917">
        <v>70</v>
      </c>
      <c r="E917">
        <v>15535.63</v>
      </c>
      <c r="F917">
        <v>3009.77</v>
      </c>
      <c r="G917">
        <v>12525.86</v>
      </c>
      <c r="H917" t="s">
        <v>2472</v>
      </c>
      <c r="I917" t="s">
        <v>2455</v>
      </c>
      <c r="J917" t="s">
        <v>2493</v>
      </c>
      <c r="K917" t="s">
        <v>2496</v>
      </c>
      <c r="L917" t="s">
        <v>36</v>
      </c>
    </row>
    <row r="918" spans="1:12" x14ac:dyDescent="0.3">
      <c r="A918" t="s">
        <v>2812</v>
      </c>
      <c r="B918" t="s">
        <v>3469</v>
      </c>
      <c r="C918" s="4">
        <v>45937</v>
      </c>
      <c r="D918">
        <v>127</v>
      </c>
      <c r="E918">
        <v>4190.37</v>
      </c>
      <c r="F918">
        <v>1307.57</v>
      </c>
      <c r="G918">
        <v>2882.8</v>
      </c>
      <c r="H918" t="s">
        <v>2460</v>
      </c>
      <c r="I918" t="s">
        <v>2455</v>
      </c>
      <c r="J918" t="s">
        <v>2468</v>
      </c>
      <c r="K918" t="s">
        <v>2496</v>
      </c>
      <c r="L918" t="s">
        <v>12</v>
      </c>
    </row>
    <row r="919" spans="1:12" x14ac:dyDescent="0.3">
      <c r="A919" t="s">
        <v>2483</v>
      </c>
      <c r="B919" t="s">
        <v>3470</v>
      </c>
      <c r="C919" s="4">
        <v>45742</v>
      </c>
      <c r="D919">
        <v>122</v>
      </c>
      <c r="E919">
        <v>9045.19</v>
      </c>
      <c r="F919">
        <v>1521.76</v>
      </c>
      <c r="G919">
        <v>7523.43</v>
      </c>
      <c r="H919" t="s">
        <v>2472</v>
      </c>
      <c r="I919" t="s">
        <v>2455</v>
      </c>
      <c r="J919" t="s">
        <v>2456</v>
      </c>
      <c r="K919" t="s">
        <v>2463</v>
      </c>
      <c r="L919" t="s">
        <v>36</v>
      </c>
    </row>
    <row r="920" spans="1:12" x14ac:dyDescent="0.3">
      <c r="A920" t="s">
        <v>2812</v>
      </c>
      <c r="B920" t="s">
        <v>3471</v>
      </c>
      <c r="C920" s="4">
        <v>45678</v>
      </c>
      <c r="D920">
        <v>50</v>
      </c>
      <c r="E920">
        <v>10301.76</v>
      </c>
      <c r="F920">
        <v>2526.34</v>
      </c>
      <c r="G920">
        <v>7775.42</v>
      </c>
      <c r="H920" t="s">
        <v>2454</v>
      </c>
      <c r="I920" t="s">
        <v>2480</v>
      </c>
      <c r="J920" t="s">
        <v>2468</v>
      </c>
      <c r="K920" t="s">
        <v>2496</v>
      </c>
      <c r="L920" t="s">
        <v>23</v>
      </c>
    </row>
    <row r="921" spans="1:12" x14ac:dyDescent="0.3">
      <c r="A921" t="s">
        <v>2638</v>
      </c>
      <c r="B921" t="s">
        <v>3472</v>
      </c>
      <c r="C921" s="4">
        <v>45916</v>
      </c>
      <c r="D921">
        <v>68</v>
      </c>
      <c r="E921">
        <v>15771.73</v>
      </c>
      <c r="F921">
        <v>1767.14</v>
      </c>
      <c r="G921">
        <v>14004.59</v>
      </c>
      <c r="H921" t="s">
        <v>2460</v>
      </c>
      <c r="I921" t="s">
        <v>2488</v>
      </c>
      <c r="J921" t="s">
        <v>2468</v>
      </c>
      <c r="K921" t="s">
        <v>2496</v>
      </c>
      <c r="L921" t="s">
        <v>32</v>
      </c>
    </row>
    <row r="922" spans="1:12" x14ac:dyDescent="0.3">
      <c r="A922" t="s">
        <v>2532</v>
      </c>
      <c r="B922" t="s">
        <v>3473</v>
      </c>
      <c r="C922" s="4">
        <v>45683</v>
      </c>
      <c r="D922">
        <v>168</v>
      </c>
      <c r="E922">
        <v>7186.38</v>
      </c>
      <c r="F922">
        <v>2265.65</v>
      </c>
      <c r="G922">
        <v>4920.7299999999996</v>
      </c>
      <c r="H922" t="s">
        <v>2472</v>
      </c>
      <c r="I922" t="s">
        <v>2508</v>
      </c>
      <c r="J922" t="s">
        <v>2493</v>
      </c>
      <c r="K922" t="s">
        <v>2463</v>
      </c>
      <c r="L922" t="s">
        <v>12</v>
      </c>
    </row>
    <row r="923" spans="1:12" x14ac:dyDescent="0.3">
      <c r="A923" t="s">
        <v>2536</v>
      </c>
      <c r="B923" t="s">
        <v>3474</v>
      </c>
      <c r="C923" s="4">
        <v>45846</v>
      </c>
      <c r="D923">
        <v>177</v>
      </c>
      <c r="E923">
        <v>9945.48</v>
      </c>
      <c r="F923">
        <v>2619.38</v>
      </c>
      <c r="G923">
        <v>7326.1</v>
      </c>
      <c r="H923" t="s">
        <v>2460</v>
      </c>
      <c r="I923" t="s">
        <v>2488</v>
      </c>
      <c r="J923" t="s">
        <v>2468</v>
      </c>
      <c r="K923" t="s">
        <v>2496</v>
      </c>
      <c r="L923" t="s">
        <v>32</v>
      </c>
    </row>
    <row r="924" spans="1:12" x14ac:dyDescent="0.3">
      <c r="A924" t="s">
        <v>2545</v>
      </c>
      <c r="B924" t="s">
        <v>3475</v>
      </c>
      <c r="C924" s="4">
        <v>45687</v>
      </c>
      <c r="D924">
        <v>62</v>
      </c>
      <c r="E924">
        <v>16819.759999999998</v>
      </c>
      <c r="F924">
        <v>4082.18</v>
      </c>
      <c r="G924">
        <v>12737.58</v>
      </c>
      <c r="H924" t="s">
        <v>2472</v>
      </c>
      <c r="I924" t="s">
        <v>2517</v>
      </c>
      <c r="J924" t="s">
        <v>2493</v>
      </c>
      <c r="K924" t="s">
        <v>2463</v>
      </c>
      <c r="L924" t="s">
        <v>32</v>
      </c>
    </row>
    <row r="925" spans="1:12" x14ac:dyDescent="0.3">
      <c r="A925" t="s">
        <v>2575</v>
      </c>
      <c r="B925" t="s">
        <v>3476</v>
      </c>
      <c r="C925" s="4">
        <v>45790</v>
      </c>
      <c r="D925">
        <v>71</v>
      </c>
      <c r="E925">
        <v>10925.32</v>
      </c>
      <c r="F925">
        <v>3427.86</v>
      </c>
      <c r="G925">
        <v>7497.46</v>
      </c>
      <c r="H925" t="s">
        <v>2466</v>
      </c>
      <c r="I925" t="s">
        <v>2517</v>
      </c>
      <c r="J925" t="s">
        <v>2468</v>
      </c>
      <c r="K925" t="s">
        <v>2457</v>
      </c>
      <c r="L925" t="s">
        <v>23</v>
      </c>
    </row>
    <row r="926" spans="1:12" x14ac:dyDescent="0.3">
      <c r="A926" t="s">
        <v>2476</v>
      </c>
      <c r="B926" t="s">
        <v>3477</v>
      </c>
      <c r="C926" s="4">
        <v>46021</v>
      </c>
      <c r="D926">
        <v>47</v>
      </c>
      <c r="E926">
        <v>3631.38</v>
      </c>
      <c r="F926">
        <v>1702.2</v>
      </c>
      <c r="G926">
        <v>1929.18</v>
      </c>
      <c r="H926" t="s">
        <v>2454</v>
      </c>
      <c r="I926" t="s">
        <v>2508</v>
      </c>
      <c r="J926" t="s">
        <v>2468</v>
      </c>
      <c r="K926" t="s">
        <v>2496</v>
      </c>
      <c r="L926" t="s">
        <v>12</v>
      </c>
    </row>
    <row r="927" spans="1:12" x14ac:dyDescent="0.3">
      <c r="A927" t="s">
        <v>2491</v>
      </c>
      <c r="B927" t="s">
        <v>3478</v>
      </c>
      <c r="C927" s="4">
        <v>45681</v>
      </c>
      <c r="D927">
        <v>178</v>
      </c>
      <c r="E927">
        <v>12949.15</v>
      </c>
      <c r="F927">
        <v>5366.21</v>
      </c>
      <c r="G927">
        <v>7582.94</v>
      </c>
      <c r="H927" t="s">
        <v>2454</v>
      </c>
      <c r="I927" t="s">
        <v>2488</v>
      </c>
      <c r="J927" t="s">
        <v>2456</v>
      </c>
      <c r="K927" t="s">
        <v>2463</v>
      </c>
      <c r="L927" t="s">
        <v>12</v>
      </c>
    </row>
    <row r="928" spans="1:12" x14ac:dyDescent="0.3">
      <c r="A928" t="s">
        <v>2733</v>
      </c>
      <c r="B928" t="s">
        <v>3479</v>
      </c>
      <c r="C928" s="4">
        <v>45843</v>
      </c>
      <c r="D928">
        <v>98</v>
      </c>
      <c r="E928">
        <v>10564.23</v>
      </c>
      <c r="F928">
        <v>4862.8599999999997</v>
      </c>
      <c r="G928">
        <v>5701.37</v>
      </c>
      <c r="H928" t="s">
        <v>2454</v>
      </c>
      <c r="I928" t="s">
        <v>2455</v>
      </c>
      <c r="J928" t="s">
        <v>2456</v>
      </c>
      <c r="K928" t="s">
        <v>2457</v>
      </c>
      <c r="L928" t="s">
        <v>84</v>
      </c>
    </row>
    <row r="929" spans="1:12" x14ac:dyDescent="0.3">
      <c r="A929" t="s">
        <v>2741</v>
      </c>
      <c r="B929" t="s">
        <v>3480</v>
      </c>
      <c r="C929" s="4">
        <v>45764</v>
      </c>
      <c r="D929">
        <v>103</v>
      </c>
      <c r="E929">
        <v>9028.15</v>
      </c>
      <c r="F929">
        <v>2156.65</v>
      </c>
      <c r="G929">
        <v>6871.5</v>
      </c>
      <c r="H929" t="s">
        <v>2472</v>
      </c>
      <c r="I929" t="s">
        <v>2467</v>
      </c>
      <c r="J929" t="s">
        <v>2456</v>
      </c>
      <c r="K929" t="s">
        <v>2463</v>
      </c>
      <c r="L929" t="s">
        <v>23</v>
      </c>
    </row>
    <row r="930" spans="1:12" x14ac:dyDescent="0.3">
      <c r="A930" t="s">
        <v>2509</v>
      </c>
      <c r="B930" t="s">
        <v>3481</v>
      </c>
      <c r="C930" s="4">
        <v>45853</v>
      </c>
      <c r="D930">
        <v>61</v>
      </c>
      <c r="E930">
        <v>7879.38</v>
      </c>
      <c r="F930">
        <v>1410.13</v>
      </c>
      <c r="G930">
        <v>6469.25</v>
      </c>
      <c r="H930" t="s">
        <v>2475</v>
      </c>
      <c r="I930" t="s">
        <v>2488</v>
      </c>
      <c r="J930" t="s">
        <v>2493</v>
      </c>
      <c r="K930" t="s">
        <v>2496</v>
      </c>
      <c r="L930" t="s">
        <v>12</v>
      </c>
    </row>
    <row r="931" spans="1:12" x14ac:dyDescent="0.3">
      <c r="A931" t="s">
        <v>2653</v>
      </c>
      <c r="B931" t="s">
        <v>3482</v>
      </c>
      <c r="C931" s="4">
        <v>45942</v>
      </c>
      <c r="D931">
        <v>87</v>
      </c>
      <c r="E931">
        <v>9350.44</v>
      </c>
      <c r="F931">
        <v>2412.73</v>
      </c>
      <c r="G931">
        <v>6937.71</v>
      </c>
      <c r="H931" t="s">
        <v>2472</v>
      </c>
      <c r="I931" t="s">
        <v>2480</v>
      </c>
      <c r="J931" t="s">
        <v>2456</v>
      </c>
      <c r="K931" t="s">
        <v>2457</v>
      </c>
      <c r="L931" t="s">
        <v>84</v>
      </c>
    </row>
    <row r="932" spans="1:12" x14ac:dyDescent="0.3">
      <c r="A932" t="s">
        <v>2702</v>
      </c>
      <c r="B932" t="s">
        <v>3483</v>
      </c>
      <c r="C932" s="4">
        <v>45926</v>
      </c>
      <c r="D932">
        <v>145</v>
      </c>
      <c r="E932">
        <v>19317.37</v>
      </c>
      <c r="F932">
        <v>9457.81</v>
      </c>
      <c r="G932">
        <v>9859.56</v>
      </c>
      <c r="H932" t="s">
        <v>2454</v>
      </c>
      <c r="I932" t="s">
        <v>2455</v>
      </c>
      <c r="J932" t="s">
        <v>2462</v>
      </c>
      <c r="K932" t="s">
        <v>2463</v>
      </c>
      <c r="L932" t="s">
        <v>23</v>
      </c>
    </row>
    <row r="933" spans="1:12" x14ac:dyDescent="0.3">
      <c r="A933" t="s">
        <v>2473</v>
      </c>
      <c r="B933" t="s">
        <v>3484</v>
      </c>
      <c r="C933" s="4">
        <v>45969</v>
      </c>
      <c r="D933">
        <v>116</v>
      </c>
      <c r="E933">
        <v>3516.14</v>
      </c>
      <c r="F933">
        <v>1626.53</v>
      </c>
      <c r="G933">
        <v>1889.61</v>
      </c>
      <c r="H933" t="s">
        <v>2475</v>
      </c>
      <c r="I933" t="s">
        <v>2461</v>
      </c>
      <c r="J933" t="s">
        <v>2456</v>
      </c>
      <c r="K933" t="s">
        <v>2457</v>
      </c>
      <c r="L933" t="s">
        <v>84</v>
      </c>
    </row>
    <row r="934" spans="1:12" x14ac:dyDescent="0.3">
      <c r="A934" t="s">
        <v>2591</v>
      </c>
      <c r="B934" t="s">
        <v>3485</v>
      </c>
      <c r="C934" s="4">
        <v>45896</v>
      </c>
      <c r="D934">
        <v>37</v>
      </c>
      <c r="E934">
        <v>3794.19</v>
      </c>
      <c r="F934">
        <v>1859.23</v>
      </c>
      <c r="G934">
        <v>1934.96</v>
      </c>
      <c r="H934" t="s">
        <v>2460</v>
      </c>
      <c r="I934" t="s">
        <v>2485</v>
      </c>
      <c r="J934" t="s">
        <v>2493</v>
      </c>
      <c r="K934" t="s">
        <v>2457</v>
      </c>
      <c r="L934" t="s">
        <v>36</v>
      </c>
    </row>
    <row r="935" spans="1:12" x14ac:dyDescent="0.3">
      <c r="A935" t="s">
        <v>2649</v>
      </c>
      <c r="B935" t="s">
        <v>3486</v>
      </c>
      <c r="C935" s="4">
        <v>45669</v>
      </c>
      <c r="D935">
        <v>146</v>
      </c>
      <c r="E935">
        <v>3426.96</v>
      </c>
      <c r="F935">
        <v>606.24</v>
      </c>
      <c r="G935">
        <v>2820.72</v>
      </c>
      <c r="H935" t="s">
        <v>2472</v>
      </c>
      <c r="I935" t="s">
        <v>2517</v>
      </c>
      <c r="J935" t="s">
        <v>2456</v>
      </c>
      <c r="K935" t="s">
        <v>2457</v>
      </c>
      <c r="L935" t="s">
        <v>84</v>
      </c>
    </row>
    <row r="936" spans="1:12" x14ac:dyDescent="0.3">
      <c r="A936" t="s">
        <v>2506</v>
      </c>
      <c r="B936" t="s">
        <v>3487</v>
      </c>
      <c r="C936" s="4">
        <v>45753</v>
      </c>
      <c r="D936">
        <v>105</v>
      </c>
      <c r="E936">
        <v>1170.49</v>
      </c>
      <c r="F936">
        <v>127.18</v>
      </c>
      <c r="G936">
        <v>1043.31</v>
      </c>
      <c r="H936" t="s">
        <v>2475</v>
      </c>
      <c r="I936" t="s">
        <v>2508</v>
      </c>
      <c r="J936" t="s">
        <v>2493</v>
      </c>
      <c r="K936" t="s">
        <v>2496</v>
      </c>
      <c r="L936" t="s">
        <v>32</v>
      </c>
    </row>
    <row r="937" spans="1:12" x14ac:dyDescent="0.3">
      <c r="A937" t="s">
        <v>2458</v>
      </c>
      <c r="B937" t="s">
        <v>3488</v>
      </c>
      <c r="C937" s="4">
        <v>45711</v>
      </c>
      <c r="D937">
        <v>24</v>
      </c>
      <c r="E937">
        <v>12994.12</v>
      </c>
      <c r="F937">
        <v>6417.03</v>
      </c>
      <c r="G937">
        <v>6577.09</v>
      </c>
      <c r="H937" t="s">
        <v>2460</v>
      </c>
      <c r="I937" t="s">
        <v>2467</v>
      </c>
      <c r="J937" t="s">
        <v>2468</v>
      </c>
      <c r="K937" t="s">
        <v>2469</v>
      </c>
      <c r="L937" t="s">
        <v>23</v>
      </c>
    </row>
    <row r="938" spans="1:12" x14ac:dyDescent="0.3">
      <c r="A938" t="s">
        <v>2541</v>
      </c>
      <c r="B938" t="s">
        <v>3489</v>
      </c>
      <c r="C938" s="4">
        <v>45807</v>
      </c>
      <c r="D938">
        <v>171</v>
      </c>
      <c r="E938">
        <v>14635.46</v>
      </c>
      <c r="F938">
        <v>3902.74</v>
      </c>
      <c r="G938">
        <v>10732.72</v>
      </c>
      <c r="H938" t="s">
        <v>2460</v>
      </c>
      <c r="I938" t="s">
        <v>2517</v>
      </c>
      <c r="J938" t="s">
        <v>2462</v>
      </c>
      <c r="K938" t="s">
        <v>2496</v>
      </c>
      <c r="L938" t="s">
        <v>84</v>
      </c>
    </row>
    <row r="939" spans="1:12" x14ac:dyDescent="0.3">
      <c r="A939" t="s">
        <v>2653</v>
      </c>
      <c r="B939" t="s">
        <v>3490</v>
      </c>
      <c r="C939" s="4">
        <v>45979</v>
      </c>
      <c r="D939">
        <v>173</v>
      </c>
      <c r="E939">
        <v>3734.37</v>
      </c>
      <c r="F939">
        <v>908.87</v>
      </c>
      <c r="G939">
        <v>2825.5</v>
      </c>
      <c r="H939" t="s">
        <v>2460</v>
      </c>
      <c r="I939" t="s">
        <v>2485</v>
      </c>
      <c r="J939" t="s">
        <v>2456</v>
      </c>
      <c r="K939" t="s">
        <v>2496</v>
      </c>
      <c r="L939" t="s">
        <v>23</v>
      </c>
    </row>
    <row r="940" spans="1:12" x14ac:dyDescent="0.3">
      <c r="A940" t="s">
        <v>2530</v>
      </c>
      <c r="B940" t="s">
        <v>3491</v>
      </c>
      <c r="C940" s="4">
        <v>45783</v>
      </c>
      <c r="D940">
        <v>21</v>
      </c>
      <c r="E940">
        <v>13065.76</v>
      </c>
      <c r="F940">
        <v>3383.1</v>
      </c>
      <c r="G940">
        <v>9682.66</v>
      </c>
      <c r="H940" t="s">
        <v>2460</v>
      </c>
      <c r="I940" t="s">
        <v>2480</v>
      </c>
      <c r="J940" t="s">
        <v>2468</v>
      </c>
      <c r="K940" t="s">
        <v>2469</v>
      </c>
      <c r="L940" t="s">
        <v>23</v>
      </c>
    </row>
    <row r="941" spans="1:12" x14ac:dyDescent="0.3">
      <c r="A941" t="s">
        <v>2470</v>
      </c>
      <c r="B941" t="s">
        <v>3492</v>
      </c>
      <c r="C941" s="4">
        <v>45667</v>
      </c>
      <c r="D941">
        <v>139</v>
      </c>
      <c r="E941">
        <v>7080.04</v>
      </c>
      <c r="F941">
        <v>2457.44</v>
      </c>
      <c r="G941">
        <v>4622.6000000000004</v>
      </c>
      <c r="H941" t="s">
        <v>2475</v>
      </c>
      <c r="I941" t="s">
        <v>2488</v>
      </c>
      <c r="J941" t="s">
        <v>2456</v>
      </c>
      <c r="K941" t="s">
        <v>2463</v>
      </c>
      <c r="L941" t="s">
        <v>32</v>
      </c>
    </row>
    <row r="942" spans="1:12" x14ac:dyDescent="0.3">
      <c r="A942" t="s">
        <v>2558</v>
      </c>
      <c r="B942" t="s">
        <v>3493</v>
      </c>
      <c r="C942" s="4">
        <v>45987</v>
      </c>
      <c r="D942">
        <v>111</v>
      </c>
      <c r="E942">
        <v>10855.8</v>
      </c>
      <c r="F942">
        <v>3670.98</v>
      </c>
      <c r="G942">
        <v>7184.82</v>
      </c>
      <c r="H942" t="s">
        <v>2460</v>
      </c>
      <c r="I942" t="s">
        <v>2461</v>
      </c>
      <c r="J942" t="s">
        <v>2493</v>
      </c>
      <c r="K942" t="s">
        <v>2457</v>
      </c>
      <c r="L942" t="s">
        <v>84</v>
      </c>
    </row>
    <row r="943" spans="1:12" x14ac:dyDescent="0.3">
      <c r="A943" t="s">
        <v>2726</v>
      </c>
      <c r="B943" t="s">
        <v>3494</v>
      </c>
      <c r="C943" s="4">
        <v>45889</v>
      </c>
      <c r="D943">
        <v>132</v>
      </c>
      <c r="E943">
        <v>13521.84</v>
      </c>
      <c r="F943">
        <v>6074.54</v>
      </c>
      <c r="G943">
        <v>7447.3</v>
      </c>
      <c r="H943" t="s">
        <v>2454</v>
      </c>
      <c r="I943" t="s">
        <v>2461</v>
      </c>
      <c r="J943" t="s">
        <v>2456</v>
      </c>
      <c r="K943" t="s">
        <v>2463</v>
      </c>
      <c r="L943" t="s">
        <v>84</v>
      </c>
    </row>
    <row r="944" spans="1:12" x14ac:dyDescent="0.3">
      <c r="A944" t="s">
        <v>2631</v>
      </c>
      <c r="B944" t="s">
        <v>3495</v>
      </c>
      <c r="C944" s="4">
        <v>46005</v>
      </c>
      <c r="D944">
        <v>117</v>
      </c>
      <c r="E944">
        <v>5250.48</v>
      </c>
      <c r="F944">
        <v>1551.68</v>
      </c>
      <c r="G944">
        <v>3698.8</v>
      </c>
      <c r="H944" t="s">
        <v>2475</v>
      </c>
      <c r="I944" t="s">
        <v>2517</v>
      </c>
      <c r="J944" t="s">
        <v>2456</v>
      </c>
      <c r="K944" t="s">
        <v>2463</v>
      </c>
      <c r="L944" t="s">
        <v>12</v>
      </c>
    </row>
    <row r="945" spans="1:12" x14ac:dyDescent="0.3">
      <c r="A945" t="s">
        <v>2566</v>
      </c>
      <c r="B945" t="s">
        <v>3496</v>
      </c>
      <c r="C945" s="4">
        <v>45884</v>
      </c>
      <c r="D945">
        <v>75</v>
      </c>
      <c r="E945">
        <v>12432.25</v>
      </c>
      <c r="F945">
        <v>3395.23</v>
      </c>
      <c r="G945">
        <v>9037.02</v>
      </c>
      <c r="H945" t="s">
        <v>2472</v>
      </c>
      <c r="I945" t="s">
        <v>2461</v>
      </c>
      <c r="J945" t="s">
        <v>2493</v>
      </c>
      <c r="K945" t="s">
        <v>2463</v>
      </c>
      <c r="L945" t="s">
        <v>36</v>
      </c>
    </row>
    <row r="946" spans="1:12" x14ac:dyDescent="0.3">
      <c r="A946" t="s">
        <v>2597</v>
      </c>
      <c r="B946" t="s">
        <v>3497</v>
      </c>
      <c r="C946" s="4">
        <v>45666</v>
      </c>
      <c r="D946">
        <v>189</v>
      </c>
      <c r="E946">
        <v>14549.38</v>
      </c>
      <c r="F946">
        <v>4195.54</v>
      </c>
      <c r="G946">
        <v>10353.84</v>
      </c>
      <c r="H946" t="s">
        <v>2475</v>
      </c>
      <c r="I946" t="s">
        <v>2461</v>
      </c>
      <c r="J946" t="s">
        <v>2468</v>
      </c>
      <c r="K946" t="s">
        <v>2496</v>
      </c>
      <c r="L946" t="s">
        <v>23</v>
      </c>
    </row>
    <row r="947" spans="1:12" x14ac:dyDescent="0.3">
      <c r="A947" t="s">
        <v>2715</v>
      </c>
      <c r="B947" t="s">
        <v>3498</v>
      </c>
      <c r="C947" s="4">
        <v>45687</v>
      </c>
      <c r="D947">
        <v>139</v>
      </c>
      <c r="E947">
        <v>5453.41</v>
      </c>
      <c r="F947">
        <v>1773.35</v>
      </c>
      <c r="G947">
        <v>3680.06</v>
      </c>
      <c r="H947" t="s">
        <v>2454</v>
      </c>
      <c r="I947" t="s">
        <v>2480</v>
      </c>
      <c r="J947" t="s">
        <v>2468</v>
      </c>
      <c r="K947" t="s">
        <v>2463</v>
      </c>
      <c r="L947" t="s">
        <v>84</v>
      </c>
    </row>
    <row r="948" spans="1:12" x14ac:dyDescent="0.3">
      <c r="A948" t="s">
        <v>2504</v>
      </c>
      <c r="B948" t="s">
        <v>3499</v>
      </c>
      <c r="C948" s="4">
        <v>45943</v>
      </c>
      <c r="D948">
        <v>71</v>
      </c>
      <c r="E948">
        <v>8690.7000000000007</v>
      </c>
      <c r="F948">
        <v>3830.74</v>
      </c>
      <c r="G948">
        <v>4859.96</v>
      </c>
      <c r="H948" t="s">
        <v>2472</v>
      </c>
      <c r="I948" t="s">
        <v>2467</v>
      </c>
      <c r="J948" t="s">
        <v>2456</v>
      </c>
      <c r="K948" t="s">
        <v>2496</v>
      </c>
      <c r="L948" t="s">
        <v>32</v>
      </c>
    </row>
    <row r="949" spans="1:12" x14ac:dyDescent="0.3">
      <c r="A949" t="s">
        <v>2564</v>
      </c>
      <c r="B949" t="s">
        <v>3500</v>
      </c>
      <c r="C949" s="4">
        <v>45939</v>
      </c>
      <c r="D949">
        <v>191</v>
      </c>
      <c r="E949">
        <v>3052.85</v>
      </c>
      <c r="F949">
        <v>1508.66</v>
      </c>
      <c r="G949">
        <v>1544.19</v>
      </c>
      <c r="H949" t="s">
        <v>2460</v>
      </c>
      <c r="I949" t="s">
        <v>2480</v>
      </c>
      <c r="J949" t="s">
        <v>2468</v>
      </c>
      <c r="K949" t="s">
        <v>2496</v>
      </c>
      <c r="L949" t="s">
        <v>23</v>
      </c>
    </row>
    <row r="950" spans="1:12" x14ac:dyDescent="0.3">
      <c r="A950" t="s">
        <v>2536</v>
      </c>
      <c r="B950" t="s">
        <v>3501</v>
      </c>
      <c r="C950" s="4">
        <v>45681</v>
      </c>
      <c r="D950">
        <v>5</v>
      </c>
      <c r="E950">
        <v>11016.02</v>
      </c>
      <c r="F950">
        <v>3847.22</v>
      </c>
      <c r="G950">
        <v>7168.8</v>
      </c>
      <c r="H950" t="s">
        <v>2460</v>
      </c>
      <c r="I950" t="s">
        <v>2461</v>
      </c>
      <c r="J950" t="s">
        <v>2462</v>
      </c>
      <c r="K950" t="s">
        <v>2496</v>
      </c>
      <c r="L950" t="s">
        <v>84</v>
      </c>
    </row>
    <row r="951" spans="1:12" x14ac:dyDescent="0.3">
      <c r="A951" t="s">
        <v>2812</v>
      </c>
      <c r="B951" t="s">
        <v>3502</v>
      </c>
      <c r="C951" s="4">
        <v>45741</v>
      </c>
      <c r="D951">
        <v>2</v>
      </c>
      <c r="E951">
        <v>166.84</v>
      </c>
      <c r="F951">
        <v>48.64</v>
      </c>
      <c r="G951">
        <v>118.2</v>
      </c>
      <c r="H951" t="s">
        <v>2466</v>
      </c>
      <c r="I951" t="s">
        <v>2488</v>
      </c>
      <c r="J951" t="s">
        <v>2456</v>
      </c>
      <c r="K951" t="s">
        <v>2469</v>
      </c>
      <c r="L951" t="s">
        <v>23</v>
      </c>
    </row>
    <row r="952" spans="1:12" x14ac:dyDescent="0.3">
      <c r="A952" t="s">
        <v>2591</v>
      </c>
      <c r="B952" t="s">
        <v>3503</v>
      </c>
      <c r="C952" s="4">
        <v>45728</v>
      </c>
      <c r="D952">
        <v>1</v>
      </c>
      <c r="E952">
        <v>560.54</v>
      </c>
      <c r="F952">
        <v>66.16</v>
      </c>
      <c r="G952">
        <v>494.38</v>
      </c>
      <c r="H952" t="s">
        <v>2472</v>
      </c>
      <c r="I952" t="s">
        <v>2461</v>
      </c>
      <c r="J952" t="s">
        <v>2468</v>
      </c>
      <c r="K952" t="s">
        <v>2496</v>
      </c>
      <c r="L952" t="s">
        <v>12</v>
      </c>
    </row>
    <row r="953" spans="1:12" x14ac:dyDescent="0.3">
      <c r="A953" t="s">
        <v>2530</v>
      </c>
      <c r="B953" t="s">
        <v>3504</v>
      </c>
      <c r="C953" s="4">
        <v>45730</v>
      </c>
      <c r="D953">
        <v>117</v>
      </c>
      <c r="E953">
        <v>14869.07</v>
      </c>
      <c r="F953">
        <v>3973.18</v>
      </c>
      <c r="G953">
        <v>10895.89</v>
      </c>
      <c r="H953" t="s">
        <v>2466</v>
      </c>
      <c r="I953" t="s">
        <v>2517</v>
      </c>
      <c r="J953" t="s">
        <v>2456</v>
      </c>
      <c r="K953" t="s">
        <v>2457</v>
      </c>
      <c r="L953" t="s">
        <v>23</v>
      </c>
    </row>
    <row r="954" spans="1:12" x14ac:dyDescent="0.3">
      <c r="A954" t="s">
        <v>2570</v>
      </c>
      <c r="B954" t="s">
        <v>3505</v>
      </c>
      <c r="C954" s="4">
        <v>45984</v>
      </c>
      <c r="D954">
        <v>140</v>
      </c>
      <c r="E954">
        <v>19780.939999999999</v>
      </c>
      <c r="F954">
        <v>2366.16</v>
      </c>
      <c r="G954">
        <v>17414.78</v>
      </c>
      <c r="H954" t="s">
        <v>2466</v>
      </c>
      <c r="I954" t="s">
        <v>2461</v>
      </c>
      <c r="J954" t="s">
        <v>2462</v>
      </c>
      <c r="K954" t="s">
        <v>2469</v>
      </c>
      <c r="L954" t="s">
        <v>36</v>
      </c>
    </row>
    <row r="955" spans="1:12" x14ac:dyDescent="0.3">
      <c r="A955" t="s">
        <v>2640</v>
      </c>
      <c r="B955" t="s">
        <v>3506</v>
      </c>
      <c r="C955" s="4">
        <v>45864</v>
      </c>
      <c r="D955">
        <v>13</v>
      </c>
      <c r="E955">
        <v>558.85</v>
      </c>
      <c r="F955">
        <v>146.03</v>
      </c>
      <c r="G955">
        <v>412.82</v>
      </c>
      <c r="H955" t="s">
        <v>2466</v>
      </c>
      <c r="I955" t="s">
        <v>2508</v>
      </c>
      <c r="J955" t="s">
        <v>2468</v>
      </c>
      <c r="K955" t="s">
        <v>2496</v>
      </c>
      <c r="L955" t="s">
        <v>84</v>
      </c>
    </row>
    <row r="956" spans="1:12" x14ac:dyDescent="0.3">
      <c r="A956" t="s">
        <v>2609</v>
      </c>
      <c r="B956" t="s">
        <v>3507</v>
      </c>
      <c r="C956" s="4">
        <v>45726</v>
      </c>
      <c r="D956">
        <v>186</v>
      </c>
      <c r="E956">
        <v>16717.150000000001</v>
      </c>
      <c r="F956">
        <v>1985.38</v>
      </c>
      <c r="G956">
        <v>14731.77</v>
      </c>
      <c r="H956" t="s">
        <v>2472</v>
      </c>
      <c r="I956" t="s">
        <v>2488</v>
      </c>
      <c r="J956" t="s">
        <v>2456</v>
      </c>
      <c r="K956" t="s">
        <v>2469</v>
      </c>
      <c r="L956" t="s">
        <v>36</v>
      </c>
    </row>
    <row r="957" spans="1:12" x14ac:dyDescent="0.3">
      <c r="A957" t="s">
        <v>2607</v>
      </c>
      <c r="B957" t="s">
        <v>3508</v>
      </c>
      <c r="C957" s="4">
        <v>45668</v>
      </c>
      <c r="D957">
        <v>67</v>
      </c>
      <c r="E957">
        <v>6661.55</v>
      </c>
      <c r="F957">
        <v>2953.67</v>
      </c>
      <c r="G957">
        <v>3707.88</v>
      </c>
      <c r="H957" t="s">
        <v>2466</v>
      </c>
      <c r="I957" t="s">
        <v>2508</v>
      </c>
      <c r="J957" t="s">
        <v>2468</v>
      </c>
      <c r="K957" t="s">
        <v>2463</v>
      </c>
      <c r="L957" t="s">
        <v>36</v>
      </c>
    </row>
    <row r="958" spans="1:12" x14ac:dyDescent="0.3">
      <c r="A958" t="s">
        <v>2502</v>
      </c>
      <c r="B958" t="s">
        <v>3509</v>
      </c>
      <c r="C958" s="4">
        <v>46003</v>
      </c>
      <c r="D958">
        <v>171</v>
      </c>
      <c r="E958">
        <v>339.56</v>
      </c>
      <c r="F958">
        <v>120.47</v>
      </c>
      <c r="G958">
        <v>219.09</v>
      </c>
      <c r="H958" t="s">
        <v>2460</v>
      </c>
      <c r="I958" t="s">
        <v>2455</v>
      </c>
      <c r="J958" t="s">
        <v>2493</v>
      </c>
      <c r="K958" t="s">
        <v>2457</v>
      </c>
      <c r="L958" t="s">
        <v>84</v>
      </c>
    </row>
    <row r="959" spans="1:12" x14ac:dyDescent="0.3">
      <c r="A959" t="s">
        <v>2653</v>
      </c>
      <c r="B959" t="s">
        <v>3510</v>
      </c>
      <c r="C959" s="4">
        <v>45715</v>
      </c>
      <c r="D959">
        <v>83</v>
      </c>
      <c r="E959">
        <v>7563.73</v>
      </c>
      <c r="F959">
        <v>2042.95</v>
      </c>
      <c r="G959">
        <v>5520.78</v>
      </c>
      <c r="H959" t="s">
        <v>2466</v>
      </c>
      <c r="I959" t="s">
        <v>2508</v>
      </c>
      <c r="J959" t="s">
        <v>2493</v>
      </c>
      <c r="K959" t="s">
        <v>2469</v>
      </c>
      <c r="L959" t="s">
        <v>36</v>
      </c>
    </row>
    <row r="960" spans="1:12" x14ac:dyDescent="0.3">
      <c r="A960" t="s">
        <v>2880</v>
      </c>
      <c r="B960" t="s">
        <v>3511</v>
      </c>
      <c r="C960" s="4">
        <v>45930</v>
      </c>
      <c r="D960">
        <v>38</v>
      </c>
      <c r="E960">
        <v>14350.67</v>
      </c>
      <c r="F960">
        <v>6627.19</v>
      </c>
      <c r="G960">
        <v>7723.48</v>
      </c>
      <c r="H960" t="s">
        <v>2466</v>
      </c>
      <c r="I960" t="s">
        <v>2467</v>
      </c>
      <c r="J960" t="s">
        <v>2493</v>
      </c>
      <c r="K960" t="s">
        <v>2463</v>
      </c>
      <c r="L960" t="s">
        <v>12</v>
      </c>
    </row>
    <row r="961" spans="1:12" x14ac:dyDescent="0.3">
      <c r="A961" t="s">
        <v>2588</v>
      </c>
      <c r="B961" t="s">
        <v>3512</v>
      </c>
      <c r="C961" s="4">
        <v>45830</v>
      </c>
      <c r="D961">
        <v>130</v>
      </c>
      <c r="E961">
        <v>3128.93</v>
      </c>
      <c r="F961">
        <v>1392.03</v>
      </c>
      <c r="G961">
        <v>1736.9</v>
      </c>
      <c r="H961" t="s">
        <v>2475</v>
      </c>
      <c r="I961" t="s">
        <v>2517</v>
      </c>
      <c r="J961" t="s">
        <v>2493</v>
      </c>
      <c r="K961" t="s">
        <v>2463</v>
      </c>
      <c r="L961" t="s">
        <v>36</v>
      </c>
    </row>
    <row r="962" spans="1:12" x14ac:dyDescent="0.3">
      <c r="A962" t="s">
        <v>2481</v>
      </c>
      <c r="B962" t="s">
        <v>3513</v>
      </c>
      <c r="C962" s="4">
        <v>45908</v>
      </c>
      <c r="D962">
        <v>9</v>
      </c>
      <c r="E962">
        <v>10664.48</v>
      </c>
      <c r="F962">
        <v>3195.94</v>
      </c>
      <c r="G962">
        <v>7468.54</v>
      </c>
      <c r="H962" t="s">
        <v>2472</v>
      </c>
      <c r="I962" t="s">
        <v>2517</v>
      </c>
      <c r="J962" t="s">
        <v>2493</v>
      </c>
      <c r="K962" t="s">
        <v>2469</v>
      </c>
      <c r="L962" t="s">
        <v>84</v>
      </c>
    </row>
    <row r="963" spans="1:12" x14ac:dyDescent="0.3">
      <c r="A963" t="s">
        <v>2530</v>
      </c>
      <c r="B963" t="s">
        <v>3514</v>
      </c>
      <c r="C963" s="4">
        <v>45900</v>
      </c>
      <c r="D963">
        <v>92</v>
      </c>
      <c r="E963">
        <v>12779.75</v>
      </c>
      <c r="F963">
        <v>5405.05</v>
      </c>
      <c r="G963">
        <v>7374.7</v>
      </c>
      <c r="H963" t="s">
        <v>2460</v>
      </c>
      <c r="I963" t="s">
        <v>2467</v>
      </c>
      <c r="J963" t="s">
        <v>2468</v>
      </c>
      <c r="K963" t="s">
        <v>2469</v>
      </c>
      <c r="L963" t="s">
        <v>36</v>
      </c>
    </row>
    <row r="964" spans="1:12" x14ac:dyDescent="0.3">
      <c r="A964" t="s">
        <v>2556</v>
      </c>
      <c r="B964" t="s">
        <v>3515</v>
      </c>
      <c r="C964" s="4">
        <v>45986</v>
      </c>
      <c r="D964">
        <v>76</v>
      </c>
      <c r="E964">
        <v>1835.08</v>
      </c>
      <c r="F964">
        <v>462.62</v>
      </c>
      <c r="G964">
        <v>1372.46</v>
      </c>
      <c r="H964" t="s">
        <v>2466</v>
      </c>
      <c r="I964" t="s">
        <v>2467</v>
      </c>
      <c r="J964" t="s">
        <v>2493</v>
      </c>
      <c r="K964" t="s">
        <v>2463</v>
      </c>
      <c r="L964" t="s">
        <v>12</v>
      </c>
    </row>
    <row r="965" spans="1:12" x14ac:dyDescent="0.3">
      <c r="A965" t="s">
        <v>2478</v>
      </c>
      <c r="B965" t="s">
        <v>3516</v>
      </c>
      <c r="C965" s="4">
        <v>45933</v>
      </c>
      <c r="D965">
        <v>108</v>
      </c>
      <c r="E965">
        <v>18771.54</v>
      </c>
      <c r="F965">
        <v>4667.79</v>
      </c>
      <c r="G965">
        <v>14103.75</v>
      </c>
      <c r="H965" t="s">
        <v>2460</v>
      </c>
      <c r="I965" t="s">
        <v>2485</v>
      </c>
      <c r="J965" t="s">
        <v>2456</v>
      </c>
      <c r="K965" t="s">
        <v>2469</v>
      </c>
      <c r="L965" t="s">
        <v>36</v>
      </c>
    </row>
    <row r="966" spans="1:12" x14ac:dyDescent="0.3">
      <c r="A966" t="s">
        <v>2609</v>
      </c>
      <c r="B966" t="s">
        <v>3517</v>
      </c>
      <c r="C966" s="4">
        <v>45692</v>
      </c>
      <c r="D966">
        <v>16</v>
      </c>
      <c r="E966">
        <v>9346.5</v>
      </c>
      <c r="F966">
        <v>4026.87</v>
      </c>
      <c r="G966">
        <v>5319.63</v>
      </c>
      <c r="H966" t="s">
        <v>2472</v>
      </c>
      <c r="I966" t="s">
        <v>2508</v>
      </c>
      <c r="J966" t="s">
        <v>2462</v>
      </c>
      <c r="K966" t="s">
        <v>2457</v>
      </c>
      <c r="L966" t="s">
        <v>36</v>
      </c>
    </row>
    <row r="967" spans="1:12" x14ac:dyDescent="0.3">
      <c r="A967" t="s">
        <v>2536</v>
      </c>
      <c r="B967" t="s">
        <v>3518</v>
      </c>
      <c r="C967" s="4">
        <v>45965</v>
      </c>
      <c r="D967">
        <v>33</v>
      </c>
      <c r="E967">
        <v>11275</v>
      </c>
      <c r="F967">
        <v>3281.6</v>
      </c>
      <c r="G967">
        <v>7993.4</v>
      </c>
      <c r="H967" t="s">
        <v>2454</v>
      </c>
      <c r="I967" t="s">
        <v>2488</v>
      </c>
      <c r="J967" t="s">
        <v>2456</v>
      </c>
      <c r="K967" t="s">
        <v>2463</v>
      </c>
      <c r="L967" t="s">
        <v>36</v>
      </c>
    </row>
    <row r="968" spans="1:12" x14ac:dyDescent="0.3">
      <c r="A968" t="s">
        <v>2605</v>
      </c>
      <c r="B968" t="s">
        <v>3519</v>
      </c>
      <c r="C968" s="4">
        <v>45847</v>
      </c>
      <c r="D968">
        <v>146</v>
      </c>
      <c r="E968">
        <v>14726.66</v>
      </c>
      <c r="F968">
        <v>1913.11</v>
      </c>
      <c r="G968">
        <v>12813.55</v>
      </c>
      <c r="H968" t="s">
        <v>2454</v>
      </c>
      <c r="I968" t="s">
        <v>2488</v>
      </c>
      <c r="J968" t="s">
        <v>2493</v>
      </c>
      <c r="K968" t="s">
        <v>2463</v>
      </c>
      <c r="L968" t="s">
        <v>32</v>
      </c>
    </row>
    <row r="969" spans="1:12" x14ac:dyDescent="0.3">
      <c r="A969" t="s">
        <v>2624</v>
      </c>
      <c r="B969" t="s">
        <v>3520</v>
      </c>
      <c r="C969" s="4">
        <v>45939</v>
      </c>
      <c r="D969">
        <v>68</v>
      </c>
      <c r="E969">
        <v>18935.43</v>
      </c>
      <c r="F969">
        <v>4049.68</v>
      </c>
      <c r="G969">
        <v>14885.75</v>
      </c>
      <c r="H969" t="s">
        <v>2472</v>
      </c>
      <c r="I969" t="s">
        <v>2517</v>
      </c>
      <c r="J969" t="s">
        <v>2462</v>
      </c>
      <c r="K969" t="s">
        <v>2457</v>
      </c>
      <c r="L969" t="s">
        <v>23</v>
      </c>
    </row>
    <row r="970" spans="1:12" x14ac:dyDescent="0.3">
      <c r="A970" t="s">
        <v>2715</v>
      </c>
      <c r="B970" t="s">
        <v>3521</v>
      </c>
      <c r="C970" s="4">
        <v>45756</v>
      </c>
      <c r="D970">
        <v>198</v>
      </c>
      <c r="E970">
        <v>17834.990000000002</v>
      </c>
      <c r="F970">
        <v>2400.9699999999998</v>
      </c>
      <c r="G970">
        <v>15434.02</v>
      </c>
      <c r="H970" t="s">
        <v>2460</v>
      </c>
      <c r="I970" t="s">
        <v>2508</v>
      </c>
      <c r="J970" t="s">
        <v>2462</v>
      </c>
      <c r="K970" t="s">
        <v>2463</v>
      </c>
      <c r="L970" t="s">
        <v>32</v>
      </c>
    </row>
    <row r="971" spans="1:12" x14ac:dyDescent="0.3">
      <c r="A971" t="s">
        <v>2854</v>
      </c>
      <c r="B971" t="s">
        <v>3522</v>
      </c>
      <c r="C971" s="4">
        <v>45679</v>
      </c>
      <c r="D971">
        <v>113</v>
      </c>
      <c r="E971">
        <v>8437.34</v>
      </c>
      <c r="F971">
        <v>3480.36</v>
      </c>
      <c r="G971">
        <v>4956.9799999999996</v>
      </c>
      <c r="H971" t="s">
        <v>2460</v>
      </c>
      <c r="I971" t="s">
        <v>2461</v>
      </c>
      <c r="J971" t="s">
        <v>2456</v>
      </c>
      <c r="K971" t="s">
        <v>2463</v>
      </c>
      <c r="L971" t="s">
        <v>23</v>
      </c>
    </row>
    <row r="972" spans="1:12" x14ac:dyDescent="0.3">
      <c r="A972" t="s">
        <v>2812</v>
      </c>
      <c r="B972" t="s">
        <v>3523</v>
      </c>
      <c r="C972" s="4">
        <v>45953</v>
      </c>
      <c r="D972">
        <v>61</v>
      </c>
      <c r="E972">
        <v>236.19</v>
      </c>
      <c r="F972">
        <v>70.930000000000007</v>
      </c>
      <c r="G972">
        <v>165.26</v>
      </c>
      <c r="H972" t="s">
        <v>2475</v>
      </c>
      <c r="I972" t="s">
        <v>2508</v>
      </c>
      <c r="J972" t="s">
        <v>2462</v>
      </c>
      <c r="K972" t="s">
        <v>2496</v>
      </c>
      <c r="L972" t="s">
        <v>12</v>
      </c>
    </row>
    <row r="973" spans="1:12" x14ac:dyDescent="0.3">
      <c r="A973" t="s">
        <v>2550</v>
      </c>
      <c r="B973" t="s">
        <v>3524</v>
      </c>
      <c r="C973" s="4">
        <v>45659</v>
      </c>
      <c r="D973">
        <v>143</v>
      </c>
      <c r="E973">
        <v>19225.939999999999</v>
      </c>
      <c r="F973">
        <v>8974.1</v>
      </c>
      <c r="G973">
        <v>10251.84</v>
      </c>
      <c r="H973" t="s">
        <v>2454</v>
      </c>
      <c r="I973" t="s">
        <v>2467</v>
      </c>
      <c r="J973" t="s">
        <v>2468</v>
      </c>
      <c r="K973" t="s">
        <v>2469</v>
      </c>
      <c r="L973" t="s">
        <v>23</v>
      </c>
    </row>
    <row r="974" spans="1:12" x14ac:dyDescent="0.3">
      <c r="A974" t="s">
        <v>2541</v>
      </c>
      <c r="B974" t="s">
        <v>3525</v>
      </c>
      <c r="C974" s="4">
        <v>45776</v>
      </c>
      <c r="D974">
        <v>118</v>
      </c>
      <c r="E974">
        <v>13396.75</v>
      </c>
      <c r="F974">
        <v>5716.27</v>
      </c>
      <c r="G974">
        <v>7680.48</v>
      </c>
      <c r="H974" t="s">
        <v>2454</v>
      </c>
      <c r="I974" t="s">
        <v>2480</v>
      </c>
      <c r="J974" t="s">
        <v>2462</v>
      </c>
      <c r="K974" t="s">
        <v>2457</v>
      </c>
      <c r="L974" t="s">
        <v>12</v>
      </c>
    </row>
    <row r="975" spans="1:12" x14ac:dyDescent="0.3">
      <c r="A975" t="s">
        <v>2622</v>
      </c>
      <c r="B975" t="s">
        <v>3526</v>
      </c>
      <c r="C975" s="4">
        <v>45801</v>
      </c>
      <c r="D975">
        <v>103</v>
      </c>
      <c r="E975">
        <v>19058.8</v>
      </c>
      <c r="F975">
        <v>3004.23</v>
      </c>
      <c r="G975">
        <v>16054.57</v>
      </c>
      <c r="H975" t="s">
        <v>2460</v>
      </c>
      <c r="I975" t="s">
        <v>2488</v>
      </c>
      <c r="J975" t="s">
        <v>2462</v>
      </c>
      <c r="K975" t="s">
        <v>2457</v>
      </c>
      <c r="L975" t="s">
        <v>32</v>
      </c>
    </row>
    <row r="976" spans="1:12" x14ac:dyDescent="0.3">
      <c r="A976" t="s">
        <v>2499</v>
      </c>
      <c r="B976" t="s">
        <v>3527</v>
      </c>
      <c r="C976" s="4">
        <v>45720</v>
      </c>
      <c r="D976">
        <v>70</v>
      </c>
      <c r="E976">
        <v>15823.13</v>
      </c>
      <c r="F976">
        <v>6054.23</v>
      </c>
      <c r="G976">
        <v>9768.9</v>
      </c>
      <c r="H976" t="s">
        <v>2454</v>
      </c>
      <c r="I976" t="s">
        <v>2488</v>
      </c>
      <c r="J976" t="s">
        <v>2468</v>
      </c>
      <c r="K976" t="s">
        <v>2463</v>
      </c>
      <c r="L976" t="s">
        <v>84</v>
      </c>
    </row>
    <row r="977" spans="1:12" x14ac:dyDescent="0.3">
      <c r="A977" t="s">
        <v>2599</v>
      </c>
      <c r="B977" t="s">
        <v>3528</v>
      </c>
      <c r="C977" s="4">
        <v>45739</v>
      </c>
      <c r="D977">
        <v>10</v>
      </c>
      <c r="E977">
        <v>8314.34</v>
      </c>
      <c r="F977">
        <v>1055.42</v>
      </c>
      <c r="G977">
        <v>7258.92</v>
      </c>
      <c r="H977" t="s">
        <v>2466</v>
      </c>
      <c r="I977" t="s">
        <v>2508</v>
      </c>
      <c r="J977" t="s">
        <v>2462</v>
      </c>
      <c r="K977" t="s">
        <v>2469</v>
      </c>
      <c r="L977" t="s">
        <v>36</v>
      </c>
    </row>
    <row r="978" spans="1:12" x14ac:dyDescent="0.3">
      <c r="A978" t="s">
        <v>2575</v>
      </c>
      <c r="B978" t="s">
        <v>3529</v>
      </c>
      <c r="C978" s="4">
        <v>45877</v>
      </c>
      <c r="D978">
        <v>81</v>
      </c>
      <c r="E978">
        <v>17295.48</v>
      </c>
      <c r="F978">
        <v>3032.28</v>
      </c>
      <c r="G978">
        <v>14263.2</v>
      </c>
      <c r="H978" t="s">
        <v>2460</v>
      </c>
      <c r="I978" t="s">
        <v>2480</v>
      </c>
      <c r="J978" t="s">
        <v>2493</v>
      </c>
      <c r="K978" t="s">
        <v>2457</v>
      </c>
      <c r="L978" t="s">
        <v>23</v>
      </c>
    </row>
    <row r="979" spans="1:12" x14ac:dyDescent="0.3">
      <c r="A979" t="s">
        <v>2638</v>
      </c>
      <c r="B979" t="s">
        <v>3530</v>
      </c>
      <c r="C979" s="4">
        <v>45791</v>
      </c>
      <c r="D979">
        <v>39</v>
      </c>
      <c r="E979">
        <v>1828.92</v>
      </c>
      <c r="F979">
        <v>336.06</v>
      </c>
      <c r="G979">
        <v>1492.86</v>
      </c>
      <c r="H979" t="s">
        <v>2454</v>
      </c>
      <c r="I979" t="s">
        <v>2508</v>
      </c>
      <c r="J979" t="s">
        <v>2493</v>
      </c>
      <c r="K979" t="s">
        <v>2496</v>
      </c>
      <c r="L979" t="s">
        <v>84</v>
      </c>
    </row>
    <row r="980" spans="1:12" x14ac:dyDescent="0.3">
      <c r="A980" t="s">
        <v>2489</v>
      </c>
      <c r="B980" t="s">
        <v>3531</v>
      </c>
      <c r="C980" s="4">
        <v>45908</v>
      </c>
      <c r="D980">
        <v>45</v>
      </c>
      <c r="E980">
        <v>442.12</v>
      </c>
      <c r="F980">
        <v>150.38</v>
      </c>
      <c r="G980">
        <v>291.74</v>
      </c>
      <c r="H980" t="s">
        <v>2460</v>
      </c>
      <c r="I980" t="s">
        <v>2508</v>
      </c>
      <c r="J980" t="s">
        <v>2456</v>
      </c>
      <c r="K980" t="s">
        <v>2463</v>
      </c>
      <c r="L980" t="s">
        <v>12</v>
      </c>
    </row>
    <row r="981" spans="1:12" x14ac:dyDescent="0.3">
      <c r="A981" t="s">
        <v>2649</v>
      </c>
      <c r="B981" t="s">
        <v>3532</v>
      </c>
      <c r="C981" s="4">
        <v>45736</v>
      </c>
      <c r="D981">
        <v>51</v>
      </c>
      <c r="E981">
        <v>10979.37</v>
      </c>
      <c r="F981">
        <v>5136.99</v>
      </c>
      <c r="G981">
        <v>5842.38</v>
      </c>
      <c r="H981" t="s">
        <v>2475</v>
      </c>
      <c r="I981" t="s">
        <v>2517</v>
      </c>
      <c r="J981" t="s">
        <v>2468</v>
      </c>
      <c r="K981" t="s">
        <v>2463</v>
      </c>
      <c r="L981" t="s">
        <v>23</v>
      </c>
    </row>
    <row r="982" spans="1:12" x14ac:dyDescent="0.3">
      <c r="A982" t="s">
        <v>2640</v>
      </c>
      <c r="B982" t="s">
        <v>3533</v>
      </c>
      <c r="C982" s="4">
        <v>45743</v>
      </c>
      <c r="D982">
        <v>58</v>
      </c>
      <c r="E982">
        <v>6813.53</v>
      </c>
      <c r="F982">
        <v>1807.6</v>
      </c>
      <c r="G982">
        <v>5005.93</v>
      </c>
      <c r="H982" t="s">
        <v>2460</v>
      </c>
      <c r="I982" t="s">
        <v>2467</v>
      </c>
      <c r="J982" t="s">
        <v>2456</v>
      </c>
      <c r="K982" t="s">
        <v>2469</v>
      </c>
      <c r="L982" t="s">
        <v>36</v>
      </c>
    </row>
    <row r="983" spans="1:12" x14ac:dyDescent="0.3">
      <c r="A983" t="s">
        <v>2511</v>
      </c>
      <c r="B983" t="s">
        <v>3534</v>
      </c>
      <c r="C983" s="4">
        <v>45863</v>
      </c>
      <c r="D983">
        <v>6</v>
      </c>
      <c r="E983">
        <v>19862.14</v>
      </c>
      <c r="F983">
        <v>6712.2</v>
      </c>
      <c r="G983">
        <v>13149.94</v>
      </c>
      <c r="H983" t="s">
        <v>2472</v>
      </c>
      <c r="I983" t="s">
        <v>2485</v>
      </c>
      <c r="J983" t="s">
        <v>2456</v>
      </c>
      <c r="K983" t="s">
        <v>2463</v>
      </c>
      <c r="L983" t="s">
        <v>84</v>
      </c>
    </row>
    <row r="984" spans="1:12" x14ac:dyDescent="0.3">
      <c r="A984" t="s">
        <v>2741</v>
      </c>
      <c r="B984" t="s">
        <v>3535</v>
      </c>
      <c r="C984" s="4">
        <v>45905</v>
      </c>
      <c r="D984">
        <v>42</v>
      </c>
      <c r="E984">
        <v>16322.03</v>
      </c>
      <c r="F984">
        <v>5738.37</v>
      </c>
      <c r="G984">
        <v>10583.66</v>
      </c>
      <c r="H984" t="s">
        <v>2475</v>
      </c>
      <c r="I984" t="s">
        <v>2508</v>
      </c>
      <c r="J984" t="s">
        <v>2456</v>
      </c>
      <c r="K984" t="s">
        <v>2496</v>
      </c>
      <c r="L984" t="s">
        <v>32</v>
      </c>
    </row>
    <row r="985" spans="1:12" x14ac:dyDescent="0.3">
      <c r="A985" t="s">
        <v>2473</v>
      </c>
      <c r="B985" t="s">
        <v>3536</v>
      </c>
      <c r="C985" s="4">
        <v>45947</v>
      </c>
      <c r="D985">
        <v>182</v>
      </c>
      <c r="E985">
        <v>8088.83</v>
      </c>
      <c r="F985">
        <v>3038.31</v>
      </c>
      <c r="G985">
        <v>5050.5200000000004</v>
      </c>
      <c r="H985" t="s">
        <v>2466</v>
      </c>
      <c r="I985" t="s">
        <v>2461</v>
      </c>
      <c r="J985" t="s">
        <v>2456</v>
      </c>
      <c r="K985" t="s">
        <v>2496</v>
      </c>
      <c r="L985" t="s">
        <v>32</v>
      </c>
    </row>
    <row r="986" spans="1:12" x14ac:dyDescent="0.3">
      <c r="A986" t="s">
        <v>2525</v>
      </c>
      <c r="B986" t="s">
        <v>3537</v>
      </c>
      <c r="C986" s="4">
        <v>45969</v>
      </c>
      <c r="D986">
        <v>183</v>
      </c>
      <c r="E986">
        <v>14626.62</v>
      </c>
      <c r="F986">
        <v>2209.8200000000002</v>
      </c>
      <c r="G986">
        <v>12416.8</v>
      </c>
      <c r="H986" t="s">
        <v>2454</v>
      </c>
      <c r="I986" t="s">
        <v>2480</v>
      </c>
      <c r="J986" t="s">
        <v>2456</v>
      </c>
      <c r="K986" t="s">
        <v>2496</v>
      </c>
      <c r="L986" t="s">
        <v>84</v>
      </c>
    </row>
    <row r="987" spans="1:12" x14ac:dyDescent="0.3">
      <c r="A987" t="s">
        <v>2624</v>
      </c>
      <c r="B987" t="s">
        <v>3538</v>
      </c>
      <c r="C987" s="4">
        <v>45749</v>
      </c>
      <c r="D987">
        <v>52</v>
      </c>
      <c r="E987">
        <v>2190.19</v>
      </c>
      <c r="F987">
        <v>703.73</v>
      </c>
      <c r="G987">
        <v>1486.46</v>
      </c>
      <c r="H987" t="s">
        <v>2466</v>
      </c>
      <c r="I987" t="s">
        <v>2480</v>
      </c>
      <c r="J987" t="s">
        <v>2456</v>
      </c>
      <c r="K987" t="s">
        <v>2463</v>
      </c>
      <c r="L987" t="s">
        <v>23</v>
      </c>
    </row>
    <row r="988" spans="1:12" x14ac:dyDescent="0.3">
      <c r="A988" t="s">
        <v>2491</v>
      </c>
      <c r="B988" t="s">
        <v>3539</v>
      </c>
      <c r="C988" s="4">
        <v>45870</v>
      </c>
      <c r="D988">
        <v>54</v>
      </c>
      <c r="E988">
        <v>6026.5</v>
      </c>
      <c r="F988">
        <v>755.03</v>
      </c>
      <c r="G988">
        <v>5271.47</v>
      </c>
      <c r="H988" t="s">
        <v>2472</v>
      </c>
      <c r="I988" t="s">
        <v>2455</v>
      </c>
      <c r="J988" t="s">
        <v>2456</v>
      </c>
      <c r="K988" t="s">
        <v>2457</v>
      </c>
      <c r="L988" t="s">
        <v>36</v>
      </c>
    </row>
    <row r="989" spans="1:12" x14ac:dyDescent="0.3">
      <c r="A989" t="s">
        <v>2649</v>
      </c>
      <c r="B989" t="s">
        <v>3540</v>
      </c>
      <c r="C989" s="4">
        <v>46011</v>
      </c>
      <c r="D989">
        <v>167</v>
      </c>
      <c r="E989">
        <v>11140.04</v>
      </c>
      <c r="F989">
        <v>5366.88</v>
      </c>
      <c r="G989">
        <v>5773.16</v>
      </c>
      <c r="H989" t="s">
        <v>2472</v>
      </c>
      <c r="I989" t="s">
        <v>2461</v>
      </c>
      <c r="J989" t="s">
        <v>2468</v>
      </c>
      <c r="K989" t="s">
        <v>2469</v>
      </c>
      <c r="L989" t="s">
        <v>32</v>
      </c>
    </row>
    <row r="990" spans="1:12" x14ac:dyDescent="0.3">
      <c r="A990" t="s">
        <v>2566</v>
      </c>
      <c r="B990" t="s">
        <v>3541</v>
      </c>
      <c r="C990" s="4">
        <v>45682</v>
      </c>
      <c r="D990">
        <v>130</v>
      </c>
      <c r="E990">
        <v>5241.57</v>
      </c>
      <c r="F990">
        <v>1400.89</v>
      </c>
      <c r="G990">
        <v>3840.68</v>
      </c>
      <c r="H990" t="s">
        <v>2460</v>
      </c>
      <c r="I990" t="s">
        <v>2517</v>
      </c>
      <c r="J990" t="s">
        <v>2493</v>
      </c>
      <c r="K990" t="s">
        <v>2469</v>
      </c>
      <c r="L990" t="s">
        <v>32</v>
      </c>
    </row>
    <row r="991" spans="1:12" x14ac:dyDescent="0.3">
      <c r="A991" t="s">
        <v>2748</v>
      </c>
      <c r="B991" t="s">
        <v>3542</v>
      </c>
      <c r="C991" s="4">
        <v>45672</v>
      </c>
      <c r="D991">
        <v>53</v>
      </c>
      <c r="E991">
        <v>19168.27</v>
      </c>
      <c r="F991">
        <v>6971.68</v>
      </c>
      <c r="G991">
        <v>12196.59</v>
      </c>
      <c r="H991" t="s">
        <v>2460</v>
      </c>
      <c r="I991" t="s">
        <v>2467</v>
      </c>
      <c r="J991" t="s">
        <v>2456</v>
      </c>
      <c r="K991" t="s">
        <v>2463</v>
      </c>
      <c r="L991" t="s">
        <v>12</v>
      </c>
    </row>
    <row r="992" spans="1:12" x14ac:dyDescent="0.3">
      <c r="A992" t="s">
        <v>2525</v>
      </c>
      <c r="B992" t="s">
        <v>3543</v>
      </c>
      <c r="C992" s="4">
        <v>45789</v>
      </c>
      <c r="D992">
        <v>136</v>
      </c>
      <c r="E992">
        <v>13552.31</v>
      </c>
      <c r="F992">
        <v>2238.19</v>
      </c>
      <c r="G992">
        <v>11314.12</v>
      </c>
      <c r="H992" t="s">
        <v>2466</v>
      </c>
      <c r="I992" t="s">
        <v>2480</v>
      </c>
      <c r="J992" t="s">
        <v>2462</v>
      </c>
      <c r="K992" t="s">
        <v>2496</v>
      </c>
      <c r="L992" t="s">
        <v>36</v>
      </c>
    </row>
    <row r="993" spans="1:12" x14ac:dyDescent="0.3">
      <c r="A993" t="s">
        <v>2556</v>
      </c>
      <c r="B993" t="s">
        <v>3544</v>
      </c>
      <c r="C993" s="4">
        <v>45767</v>
      </c>
      <c r="D993">
        <v>59</v>
      </c>
      <c r="E993">
        <v>9412.17</v>
      </c>
      <c r="F993">
        <v>1146.43</v>
      </c>
      <c r="G993">
        <v>8265.74</v>
      </c>
      <c r="H993" t="s">
        <v>2472</v>
      </c>
      <c r="I993" t="s">
        <v>2461</v>
      </c>
      <c r="J993" t="s">
        <v>2456</v>
      </c>
      <c r="K993" t="s">
        <v>2463</v>
      </c>
      <c r="L993" t="s">
        <v>12</v>
      </c>
    </row>
    <row r="994" spans="1:12" x14ac:dyDescent="0.3">
      <c r="A994" t="s">
        <v>2626</v>
      </c>
      <c r="B994" t="s">
        <v>3545</v>
      </c>
      <c r="C994" s="4">
        <v>45690</v>
      </c>
      <c r="D994">
        <v>34</v>
      </c>
      <c r="E994">
        <v>17885.77</v>
      </c>
      <c r="F994">
        <v>4100.5200000000004</v>
      </c>
      <c r="G994">
        <v>13785.25</v>
      </c>
      <c r="H994" t="s">
        <v>2466</v>
      </c>
      <c r="I994" t="s">
        <v>2461</v>
      </c>
      <c r="J994" t="s">
        <v>2493</v>
      </c>
      <c r="K994" t="s">
        <v>2457</v>
      </c>
      <c r="L994" t="s">
        <v>12</v>
      </c>
    </row>
    <row r="995" spans="1:12" x14ac:dyDescent="0.3">
      <c r="A995" t="s">
        <v>2534</v>
      </c>
      <c r="B995" t="s">
        <v>3546</v>
      </c>
      <c r="C995" s="4">
        <v>45702</v>
      </c>
      <c r="D995">
        <v>51</v>
      </c>
      <c r="E995">
        <v>9754.7800000000007</v>
      </c>
      <c r="F995">
        <v>1609.53</v>
      </c>
      <c r="G995">
        <v>8145.25</v>
      </c>
      <c r="H995" t="s">
        <v>2472</v>
      </c>
      <c r="I995" t="s">
        <v>2517</v>
      </c>
      <c r="J995" t="s">
        <v>2462</v>
      </c>
      <c r="K995" t="s">
        <v>2463</v>
      </c>
      <c r="L995" t="s">
        <v>12</v>
      </c>
    </row>
    <row r="996" spans="1:12" x14ac:dyDescent="0.3">
      <c r="A996" t="s">
        <v>2741</v>
      </c>
      <c r="B996" t="s">
        <v>3547</v>
      </c>
      <c r="C996" s="4">
        <v>45985</v>
      </c>
      <c r="D996">
        <v>74</v>
      </c>
      <c r="E996">
        <v>10985.89</v>
      </c>
      <c r="F996">
        <v>2532.31</v>
      </c>
      <c r="G996">
        <v>8453.58</v>
      </c>
      <c r="H996" t="s">
        <v>2466</v>
      </c>
      <c r="I996" t="s">
        <v>2485</v>
      </c>
      <c r="J996" t="s">
        <v>2493</v>
      </c>
      <c r="K996" t="s">
        <v>2457</v>
      </c>
      <c r="L996" t="s">
        <v>84</v>
      </c>
    </row>
    <row r="997" spans="1:12" x14ac:dyDescent="0.3">
      <c r="A997" t="s">
        <v>2673</v>
      </c>
      <c r="B997" t="s">
        <v>3548</v>
      </c>
      <c r="C997" s="4">
        <v>45786</v>
      </c>
      <c r="D997">
        <v>44</v>
      </c>
      <c r="E997">
        <v>13061.5</v>
      </c>
      <c r="F997">
        <v>3034.82</v>
      </c>
      <c r="G997">
        <v>10026.68</v>
      </c>
      <c r="H997" t="s">
        <v>2460</v>
      </c>
      <c r="I997" t="s">
        <v>2455</v>
      </c>
      <c r="J997" t="s">
        <v>2468</v>
      </c>
      <c r="K997" t="s">
        <v>2496</v>
      </c>
      <c r="L997" t="s">
        <v>36</v>
      </c>
    </row>
    <row r="998" spans="1:12" x14ac:dyDescent="0.3">
      <c r="A998" t="s">
        <v>2638</v>
      </c>
      <c r="B998" t="s">
        <v>3549</v>
      </c>
      <c r="C998" s="4">
        <v>45960</v>
      </c>
      <c r="D998">
        <v>32</v>
      </c>
      <c r="E998">
        <v>7874.99</v>
      </c>
      <c r="F998">
        <v>3817.63</v>
      </c>
      <c r="G998">
        <v>4057.36</v>
      </c>
      <c r="H998" t="s">
        <v>2454</v>
      </c>
      <c r="I998" t="s">
        <v>2461</v>
      </c>
      <c r="J998" t="s">
        <v>2493</v>
      </c>
      <c r="K998" t="s">
        <v>2457</v>
      </c>
      <c r="L998" t="s">
        <v>32</v>
      </c>
    </row>
    <row r="999" spans="1:12" x14ac:dyDescent="0.3">
      <c r="A999" t="s">
        <v>2476</v>
      </c>
      <c r="B999" t="s">
        <v>3550</v>
      </c>
      <c r="C999" s="4">
        <v>45970</v>
      </c>
      <c r="D999">
        <v>121</v>
      </c>
      <c r="E999">
        <v>496.47</v>
      </c>
      <c r="F999">
        <v>89.2</v>
      </c>
      <c r="G999">
        <v>407.27</v>
      </c>
      <c r="H999" t="s">
        <v>2460</v>
      </c>
      <c r="I999" t="s">
        <v>2488</v>
      </c>
      <c r="J999" t="s">
        <v>2462</v>
      </c>
      <c r="K999" t="s">
        <v>2463</v>
      </c>
      <c r="L999" t="s">
        <v>84</v>
      </c>
    </row>
    <row r="1000" spans="1:12" x14ac:dyDescent="0.3">
      <c r="L1000" t="s">
        <v>36</v>
      </c>
    </row>
    <row r="1001" spans="1:12" x14ac:dyDescent="0.3">
      <c r="L1001" t="s">
        <v>23</v>
      </c>
    </row>
    <row r="1002" spans="1:12" x14ac:dyDescent="0.3">
      <c r="L1002" t="s">
        <v>32</v>
      </c>
    </row>
    <row r="1003" spans="1:12" x14ac:dyDescent="0.3">
      <c r="L1003" t="s">
        <v>32</v>
      </c>
    </row>
    <row r="1004" spans="1:12" x14ac:dyDescent="0.3">
      <c r="L1004" t="s">
        <v>36</v>
      </c>
    </row>
    <row r="1005" spans="1:12" x14ac:dyDescent="0.3">
      <c r="L1005" t="s">
        <v>12</v>
      </c>
    </row>
    <row r="1006" spans="1:12" x14ac:dyDescent="0.3">
      <c r="L1006" t="s">
        <v>23</v>
      </c>
    </row>
    <row r="1007" spans="1:12" x14ac:dyDescent="0.3">
      <c r="L1007" t="s">
        <v>36</v>
      </c>
    </row>
    <row r="1008" spans="1:12" x14ac:dyDescent="0.3">
      <c r="L1008" t="s">
        <v>23</v>
      </c>
    </row>
    <row r="1009" spans="12:12" x14ac:dyDescent="0.3">
      <c r="L1009" t="s">
        <v>32</v>
      </c>
    </row>
    <row r="1010" spans="12:12" x14ac:dyDescent="0.3">
      <c r="L1010" t="s">
        <v>12</v>
      </c>
    </row>
    <row r="1011" spans="12:12" x14ac:dyDescent="0.3">
      <c r="L1011" t="s">
        <v>12</v>
      </c>
    </row>
    <row r="1012" spans="12:12" x14ac:dyDescent="0.3">
      <c r="L1012" t="s">
        <v>84</v>
      </c>
    </row>
    <row r="1013" spans="12:12" x14ac:dyDescent="0.3">
      <c r="L1013" t="s">
        <v>32</v>
      </c>
    </row>
    <row r="1014" spans="12:12" x14ac:dyDescent="0.3">
      <c r="L1014" t="s">
        <v>23</v>
      </c>
    </row>
    <row r="1015" spans="12:12" x14ac:dyDescent="0.3">
      <c r="L1015" t="s">
        <v>12</v>
      </c>
    </row>
    <row r="1016" spans="12:12" x14ac:dyDescent="0.3">
      <c r="L1016" t="s">
        <v>12</v>
      </c>
    </row>
    <row r="1017" spans="12:12" x14ac:dyDescent="0.3">
      <c r="L1017" t="s">
        <v>12</v>
      </c>
    </row>
    <row r="1018" spans="12:12" x14ac:dyDescent="0.3">
      <c r="L1018" t="s">
        <v>23</v>
      </c>
    </row>
    <row r="1019" spans="12:12" x14ac:dyDescent="0.3">
      <c r="L1019" t="s">
        <v>32</v>
      </c>
    </row>
    <row r="1020" spans="12:12" x14ac:dyDescent="0.3">
      <c r="L1020" t="s">
        <v>32</v>
      </c>
    </row>
    <row r="1021" spans="12:12" x14ac:dyDescent="0.3">
      <c r="L1021" t="s">
        <v>23</v>
      </c>
    </row>
    <row r="1022" spans="12:12" x14ac:dyDescent="0.3">
      <c r="L1022" t="s">
        <v>36</v>
      </c>
    </row>
    <row r="1023" spans="12:12" x14ac:dyDescent="0.3">
      <c r="L1023" t="s">
        <v>23</v>
      </c>
    </row>
    <row r="1024" spans="12:12" x14ac:dyDescent="0.3">
      <c r="L1024" t="s">
        <v>12</v>
      </c>
    </row>
    <row r="1025" spans="12:12" x14ac:dyDescent="0.3">
      <c r="L1025" t="s">
        <v>23</v>
      </c>
    </row>
    <row r="1026" spans="12:12" x14ac:dyDescent="0.3">
      <c r="L1026" t="s">
        <v>36</v>
      </c>
    </row>
    <row r="1027" spans="12:12" x14ac:dyDescent="0.3">
      <c r="L1027" t="s">
        <v>12</v>
      </c>
    </row>
    <row r="1028" spans="12:12" x14ac:dyDescent="0.3">
      <c r="L1028" t="s">
        <v>32</v>
      </c>
    </row>
    <row r="1029" spans="12:12" x14ac:dyDescent="0.3">
      <c r="L1029" t="s">
        <v>23</v>
      </c>
    </row>
    <row r="1030" spans="12:12" x14ac:dyDescent="0.3">
      <c r="L1030" t="s">
        <v>84</v>
      </c>
    </row>
    <row r="1031" spans="12:12" x14ac:dyDescent="0.3">
      <c r="L1031" t="s">
        <v>23</v>
      </c>
    </row>
    <row r="1032" spans="12:12" x14ac:dyDescent="0.3">
      <c r="L1032" t="s">
        <v>36</v>
      </c>
    </row>
    <row r="1033" spans="12:12" x14ac:dyDescent="0.3">
      <c r="L1033" t="s">
        <v>23</v>
      </c>
    </row>
    <row r="1034" spans="12:12" x14ac:dyDescent="0.3">
      <c r="L1034" t="s">
        <v>12</v>
      </c>
    </row>
    <row r="1035" spans="12:12" x14ac:dyDescent="0.3">
      <c r="L1035" t="s">
        <v>32</v>
      </c>
    </row>
    <row r="1036" spans="12:12" x14ac:dyDescent="0.3">
      <c r="L1036" t="s">
        <v>32</v>
      </c>
    </row>
    <row r="1037" spans="12:12" x14ac:dyDescent="0.3">
      <c r="L1037" t="s">
        <v>32</v>
      </c>
    </row>
    <row r="1038" spans="12:12" x14ac:dyDescent="0.3">
      <c r="L1038" t="s">
        <v>23</v>
      </c>
    </row>
    <row r="1039" spans="12:12" x14ac:dyDescent="0.3">
      <c r="L1039" t="s">
        <v>12</v>
      </c>
    </row>
    <row r="1040" spans="12:12" x14ac:dyDescent="0.3">
      <c r="L1040" t="s">
        <v>84</v>
      </c>
    </row>
    <row r="1041" spans="12:12" x14ac:dyDescent="0.3">
      <c r="L1041" t="s">
        <v>84</v>
      </c>
    </row>
    <row r="1042" spans="12:12" x14ac:dyDescent="0.3">
      <c r="L1042" t="s">
        <v>36</v>
      </c>
    </row>
    <row r="1043" spans="12:12" x14ac:dyDescent="0.3">
      <c r="L1043" t="s">
        <v>84</v>
      </c>
    </row>
    <row r="1044" spans="12:12" x14ac:dyDescent="0.3">
      <c r="L1044" t="s">
        <v>12</v>
      </c>
    </row>
    <row r="1045" spans="12:12" x14ac:dyDescent="0.3">
      <c r="L1045" t="s">
        <v>12</v>
      </c>
    </row>
    <row r="1046" spans="12:12" x14ac:dyDescent="0.3">
      <c r="L1046" t="s">
        <v>32</v>
      </c>
    </row>
    <row r="1047" spans="12:12" x14ac:dyDescent="0.3">
      <c r="L1047" t="s">
        <v>32</v>
      </c>
    </row>
    <row r="1048" spans="12:12" x14ac:dyDescent="0.3">
      <c r="L1048" t="s">
        <v>23</v>
      </c>
    </row>
    <row r="1049" spans="12:12" x14ac:dyDescent="0.3">
      <c r="L1049" t="s">
        <v>84</v>
      </c>
    </row>
    <row r="1050" spans="12:12" x14ac:dyDescent="0.3">
      <c r="L1050" t="s">
        <v>36</v>
      </c>
    </row>
    <row r="1051" spans="12:12" x14ac:dyDescent="0.3">
      <c r="L1051" t="s">
        <v>32</v>
      </c>
    </row>
    <row r="1052" spans="12:12" x14ac:dyDescent="0.3">
      <c r="L1052" t="s">
        <v>23</v>
      </c>
    </row>
    <row r="1053" spans="12:12" x14ac:dyDescent="0.3">
      <c r="L1053" t="s">
        <v>32</v>
      </c>
    </row>
    <row r="1054" spans="12:12" x14ac:dyDescent="0.3">
      <c r="L1054" t="s">
        <v>36</v>
      </c>
    </row>
    <row r="1055" spans="12:12" x14ac:dyDescent="0.3">
      <c r="L1055" t="s">
        <v>23</v>
      </c>
    </row>
    <row r="1056" spans="12:12" x14ac:dyDescent="0.3">
      <c r="L1056" t="s">
        <v>12</v>
      </c>
    </row>
    <row r="1057" spans="12:12" x14ac:dyDescent="0.3">
      <c r="L1057" t="s">
        <v>23</v>
      </c>
    </row>
    <row r="1058" spans="12:12" x14ac:dyDescent="0.3">
      <c r="L1058" t="s">
        <v>32</v>
      </c>
    </row>
    <row r="1059" spans="12:12" x14ac:dyDescent="0.3">
      <c r="L1059" t="s">
        <v>36</v>
      </c>
    </row>
    <row r="1060" spans="12:12" x14ac:dyDescent="0.3">
      <c r="L1060" t="s">
        <v>12</v>
      </c>
    </row>
    <row r="1061" spans="12:12" x14ac:dyDescent="0.3">
      <c r="L1061" t="s">
        <v>12</v>
      </c>
    </row>
    <row r="1062" spans="12:12" x14ac:dyDescent="0.3">
      <c r="L1062" t="s">
        <v>84</v>
      </c>
    </row>
    <row r="1063" spans="12:12" x14ac:dyDescent="0.3">
      <c r="L1063" t="s">
        <v>36</v>
      </c>
    </row>
    <row r="1064" spans="12:12" x14ac:dyDescent="0.3">
      <c r="L1064" t="s">
        <v>32</v>
      </c>
    </row>
    <row r="1065" spans="12:12" x14ac:dyDescent="0.3">
      <c r="L1065" t="s">
        <v>32</v>
      </c>
    </row>
    <row r="1066" spans="12:12" x14ac:dyDescent="0.3">
      <c r="L1066" t="s">
        <v>32</v>
      </c>
    </row>
    <row r="1067" spans="12:12" x14ac:dyDescent="0.3">
      <c r="L1067" t="s">
        <v>12</v>
      </c>
    </row>
    <row r="1068" spans="12:12" x14ac:dyDescent="0.3">
      <c r="L1068" t="s">
        <v>23</v>
      </c>
    </row>
    <row r="1069" spans="12:12" x14ac:dyDescent="0.3">
      <c r="L1069" t="s">
        <v>12</v>
      </c>
    </row>
    <row r="1070" spans="12:12" x14ac:dyDescent="0.3">
      <c r="L1070" t="s">
        <v>32</v>
      </c>
    </row>
    <row r="1071" spans="12:12" x14ac:dyDescent="0.3">
      <c r="L1071" t="s">
        <v>12</v>
      </c>
    </row>
    <row r="1072" spans="12:12" x14ac:dyDescent="0.3">
      <c r="L1072" t="s">
        <v>84</v>
      </c>
    </row>
    <row r="1073" spans="12:12" x14ac:dyDescent="0.3">
      <c r="L1073" t="s">
        <v>84</v>
      </c>
    </row>
    <row r="1074" spans="12:12" x14ac:dyDescent="0.3">
      <c r="L1074" t="s">
        <v>84</v>
      </c>
    </row>
    <row r="1075" spans="12:12" x14ac:dyDescent="0.3">
      <c r="L1075" t="s">
        <v>32</v>
      </c>
    </row>
    <row r="1076" spans="12:12" x14ac:dyDescent="0.3">
      <c r="L1076" t="s">
        <v>36</v>
      </c>
    </row>
    <row r="1077" spans="12:12" x14ac:dyDescent="0.3">
      <c r="L1077" t="s">
        <v>84</v>
      </c>
    </row>
    <row r="1078" spans="12:12" x14ac:dyDescent="0.3">
      <c r="L1078" t="s">
        <v>36</v>
      </c>
    </row>
    <row r="1079" spans="12:12" x14ac:dyDescent="0.3">
      <c r="L1079" t="s">
        <v>23</v>
      </c>
    </row>
    <row r="1080" spans="12:12" x14ac:dyDescent="0.3">
      <c r="L1080" t="s">
        <v>32</v>
      </c>
    </row>
    <row r="1081" spans="12:12" x14ac:dyDescent="0.3">
      <c r="L1081" t="s">
        <v>12</v>
      </c>
    </row>
    <row r="1082" spans="12:12" x14ac:dyDescent="0.3">
      <c r="L1082" t="s">
        <v>12</v>
      </c>
    </row>
    <row r="1083" spans="12:12" x14ac:dyDescent="0.3">
      <c r="L1083" t="s">
        <v>12</v>
      </c>
    </row>
    <row r="1084" spans="12:12" x14ac:dyDescent="0.3">
      <c r="L1084" t="s">
        <v>32</v>
      </c>
    </row>
    <row r="1085" spans="12:12" x14ac:dyDescent="0.3">
      <c r="L1085" t="s">
        <v>84</v>
      </c>
    </row>
    <row r="1086" spans="12:12" x14ac:dyDescent="0.3">
      <c r="L1086" t="s">
        <v>36</v>
      </c>
    </row>
    <row r="1087" spans="12:12" x14ac:dyDescent="0.3">
      <c r="L1087" t="s">
        <v>32</v>
      </c>
    </row>
    <row r="1088" spans="12:12" x14ac:dyDescent="0.3">
      <c r="L1088" t="s">
        <v>12</v>
      </c>
    </row>
    <row r="1089" spans="12:12" x14ac:dyDescent="0.3">
      <c r="L1089" t="s">
        <v>23</v>
      </c>
    </row>
    <row r="1090" spans="12:12" x14ac:dyDescent="0.3">
      <c r="L1090" t="s">
        <v>23</v>
      </c>
    </row>
    <row r="1091" spans="12:12" x14ac:dyDescent="0.3">
      <c r="L1091" t="s">
        <v>12</v>
      </c>
    </row>
    <row r="1092" spans="12:12" x14ac:dyDescent="0.3">
      <c r="L1092" t="s">
        <v>84</v>
      </c>
    </row>
    <row r="1093" spans="12:12" x14ac:dyDescent="0.3">
      <c r="L1093" t="s">
        <v>32</v>
      </c>
    </row>
    <row r="1094" spans="12:12" x14ac:dyDescent="0.3">
      <c r="L1094" t="s">
        <v>23</v>
      </c>
    </row>
    <row r="1095" spans="12:12" x14ac:dyDescent="0.3">
      <c r="L1095" t="s">
        <v>12</v>
      </c>
    </row>
    <row r="1096" spans="12:12" x14ac:dyDescent="0.3">
      <c r="L1096" t="s">
        <v>36</v>
      </c>
    </row>
    <row r="1097" spans="12:12" x14ac:dyDescent="0.3">
      <c r="L1097" t="s">
        <v>23</v>
      </c>
    </row>
    <row r="1098" spans="12:12" x14ac:dyDescent="0.3">
      <c r="L1098" t="s">
        <v>32</v>
      </c>
    </row>
    <row r="1099" spans="12:12" x14ac:dyDescent="0.3">
      <c r="L1099" t="s">
        <v>23</v>
      </c>
    </row>
    <row r="1100" spans="12:12" x14ac:dyDescent="0.3">
      <c r="L1100" t="s">
        <v>12</v>
      </c>
    </row>
    <row r="1101" spans="12:12" x14ac:dyDescent="0.3">
      <c r="L1101" t="s">
        <v>23</v>
      </c>
    </row>
    <row r="1102" spans="12:12" x14ac:dyDescent="0.3">
      <c r="L1102" t="s">
        <v>32</v>
      </c>
    </row>
    <row r="1103" spans="12:12" x14ac:dyDescent="0.3">
      <c r="L1103" t="s">
        <v>84</v>
      </c>
    </row>
    <row r="1104" spans="12:12" x14ac:dyDescent="0.3">
      <c r="L1104" t="s">
        <v>23</v>
      </c>
    </row>
    <row r="1105" spans="12:12" x14ac:dyDescent="0.3">
      <c r="L1105" t="s">
        <v>36</v>
      </c>
    </row>
    <row r="1106" spans="12:12" x14ac:dyDescent="0.3">
      <c r="L1106" t="s">
        <v>32</v>
      </c>
    </row>
    <row r="1107" spans="12:12" x14ac:dyDescent="0.3">
      <c r="L1107" t="s">
        <v>32</v>
      </c>
    </row>
    <row r="1108" spans="12:12" x14ac:dyDescent="0.3">
      <c r="L1108" t="s">
        <v>32</v>
      </c>
    </row>
    <row r="1109" spans="12:12" x14ac:dyDescent="0.3">
      <c r="L1109" t="s">
        <v>84</v>
      </c>
    </row>
    <row r="1110" spans="12:12" x14ac:dyDescent="0.3">
      <c r="L1110" t="s">
        <v>12</v>
      </c>
    </row>
    <row r="1111" spans="12:12" x14ac:dyDescent="0.3">
      <c r="L1111" t="s">
        <v>23</v>
      </c>
    </row>
    <row r="1112" spans="12:12" x14ac:dyDescent="0.3">
      <c r="L1112" t="s">
        <v>84</v>
      </c>
    </row>
    <row r="1113" spans="12:12" x14ac:dyDescent="0.3">
      <c r="L1113" t="s">
        <v>23</v>
      </c>
    </row>
    <row r="1114" spans="12:12" x14ac:dyDescent="0.3">
      <c r="L1114" t="s">
        <v>84</v>
      </c>
    </row>
    <row r="1115" spans="12:12" x14ac:dyDescent="0.3">
      <c r="L1115" t="s">
        <v>32</v>
      </c>
    </row>
    <row r="1116" spans="12:12" x14ac:dyDescent="0.3">
      <c r="L1116" t="s">
        <v>23</v>
      </c>
    </row>
    <row r="1117" spans="12:12" x14ac:dyDescent="0.3">
      <c r="L1117" t="s">
        <v>32</v>
      </c>
    </row>
    <row r="1118" spans="12:12" x14ac:dyDescent="0.3">
      <c r="L1118" t="s">
        <v>12</v>
      </c>
    </row>
    <row r="1119" spans="12:12" x14ac:dyDescent="0.3">
      <c r="L1119" t="s">
        <v>32</v>
      </c>
    </row>
    <row r="1120" spans="12:12" x14ac:dyDescent="0.3">
      <c r="L1120" t="s">
        <v>32</v>
      </c>
    </row>
    <row r="1121" spans="12:12" x14ac:dyDescent="0.3">
      <c r="L1121" t="s">
        <v>32</v>
      </c>
    </row>
    <row r="1122" spans="12:12" x14ac:dyDescent="0.3">
      <c r="L1122" t="s">
        <v>84</v>
      </c>
    </row>
    <row r="1123" spans="12:12" x14ac:dyDescent="0.3">
      <c r="L1123" t="s">
        <v>32</v>
      </c>
    </row>
    <row r="1124" spans="12:12" x14ac:dyDescent="0.3">
      <c r="L1124" t="s">
        <v>32</v>
      </c>
    </row>
    <row r="1125" spans="12:12" x14ac:dyDescent="0.3">
      <c r="L1125" t="s">
        <v>36</v>
      </c>
    </row>
    <row r="1126" spans="12:12" x14ac:dyDescent="0.3">
      <c r="L1126" t="s">
        <v>36</v>
      </c>
    </row>
    <row r="1127" spans="12:12" x14ac:dyDescent="0.3">
      <c r="L1127" t="s">
        <v>12</v>
      </c>
    </row>
    <row r="1128" spans="12:12" x14ac:dyDescent="0.3">
      <c r="L1128" t="s">
        <v>23</v>
      </c>
    </row>
    <row r="1129" spans="12:12" x14ac:dyDescent="0.3">
      <c r="L1129" t="s">
        <v>12</v>
      </c>
    </row>
    <row r="1130" spans="12:12" x14ac:dyDescent="0.3">
      <c r="L1130" t="s">
        <v>32</v>
      </c>
    </row>
    <row r="1131" spans="12:12" x14ac:dyDescent="0.3">
      <c r="L1131" t="s">
        <v>84</v>
      </c>
    </row>
    <row r="1132" spans="12:12" x14ac:dyDescent="0.3">
      <c r="L1132" t="s">
        <v>32</v>
      </c>
    </row>
    <row r="1133" spans="12:12" x14ac:dyDescent="0.3">
      <c r="L1133" t="s">
        <v>12</v>
      </c>
    </row>
    <row r="1134" spans="12:12" x14ac:dyDescent="0.3">
      <c r="L1134" t="s">
        <v>23</v>
      </c>
    </row>
    <row r="1135" spans="12:12" x14ac:dyDescent="0.3">
      <c r="L1135" t="s">
        <v>84</v>
      </c>
    </row>
    <row r="1136" spans="12:12" x14ac:dyDescent="0.3">
      <c r="L1136" t="s">
        <v>32</v>
      </c>
    </row>
    <row r="1137" spans="12:12" x14ac:dyDescent="0.3">
      <c r="L1137" t="s">
        <v>32</v>
      </c>
    </row>
    <row r="1138" spans="12:12" x14ac:dyDescent="0.3">
      <c r="L1138" t="s">
        <v>23</v>
      </c>
    </row>
    <row r="1139" spans="12:12" x14ac:dyDescent="0.3">
      <c r="L1139" t="s">
        <v>36</v>
      </c>
    </row>
    <row r="1140" spans="12:12" x14ac:dyDescent="0.3">
      <c r="L1140" t="s">
        <v>23</v>
      </c>
    </row>
    <row r="1141" spans="12:12" x14ac:dyDescent="0.3">
      <c r="L1141" t="s">
        <v>36</v>
      </c>
    </row>
    <row r="1142" spans="12:12" x14ac:dyDescent="0.3">
      <c r="L1142" t="s">
        <v>32</v>
      </c>
    </row>
    <row r="1143" spans="12:12" x14ac:dyDescent="0.3">
      <c r="L1143" t="s">
        <v>32</v>
      </c>
    </row>
    <row r="1144" spans="12:12" x14ac:dyDescent="0.3">
      <c r="L1144" t="s">
        <v>23</v>
      </c>
    </row>
    <row r="1145" spans="12:12" x14ac:dyDescent="0.3">
      <c r="L1145" t="s">
        <v>23</v>
      </c>
    </row>
    <row r="1146" spans="12:12" x14ac:dyDescent="0.3">
      <c r="L1146" t="s">
        <v>36</v>
      </c>
    </row>
    <row r="1147" spans="12:12" x14ac:dyDescent="0.3">
      <c r="L1147" t="s">
        <v>84</v>
      </c>
    </row>
    <row r="1148" spans="12:12" x14ac:dyDescent="0.3">
      <c r="L1148" t="s">
        <v>36</v>
      </c>
    </row>
    <row r="1149" spans="12:12" x14ac:dyDescent="0.3">
      <c r="L1149" t="s">
        <v>32</v>
      </c>
    </row>
    <row r="1150" spans="12:12" x14ac:dyDescent="0.3">
      <c r="L1150" t="s">
        <v>12</v>
      </c>
    </row>
    <row r="1151" spans="12:12" x14ac:dyDescent="0.3">
      <c r="L1151" t="s">
        <v>32</v>
      </c>
    </row>
    <row r="1152" spans="12:12" x14ac:dyDescent="0.3">
      <c r="L1152" t="s">
        <v>32</v>
      </c>
    </row>
    <row r="1153" spans="12:12" x14ac:dyDescent="0.3">
      <c r="L1153" t="s">
        <v>84</v>
      </c>
    </row>
    <row r="1154" spans="12:12" x14ac:dyDescent="0.3">
      <c r="L1154" t="s">
        <v>36</v>
      </c>
    </row>
    <row r="1155" spans="12:12" x14ac:dyDescent="0.3">
      <c r="L1155" t="s">
        <v>32</v>
      </c>
    </row>
    <row r="1156" spans="12:12" x14ac:dyDescent="0.3">
      <c r="L1156" t="s">
        <v>23</v>
      </c>
    </row>
    <row r="1157" spans="12:12" x14ac:dyDescent="0.3">
      <c r="L1157" t="s">
        <v>84</v>
      </c>
    </row>
    <row r="1158" spans="12:12" x14ac:dyDescent="0.3">
      <c r="L1158" t="s">
        <v>36</v>
      </c>
    </row>
    <row r="1159" spans="12:12" x14ac:dyDescent="0.3">
      <c r="L1159" t="s">
        <v>32</v>
      </c>
    </row>
    <row r="1160" spans="12:12" x14ac:dyDescent="0.3">
      <c r="L1160" t="s">
        <v>32</v>
      </c>
    </row>
    <row r="1161" spans="12:12" x14ac:dyDescent="0.3">
      <c r="L1161" t="s">
        <v>23</v>
      </c>
    </row>
    <row r="1162" spans="12:12" x14ac:dyDescent="0.3">
      <c r="L1162" t="s">
        <v>23</v>
      </c>
    </row>
    <row r="1163" spans="12:12" x14ac:dyDescent="0.3">
      <c r="L1163" t="s">
        <v>32</v>
      </c>
    </row>
    <row r="1164" spans="12:12" x14ac:dyDescent="0.3">
      <c r="L1164" t="s">
        <v>84</v>
      </c>
    </row>
    <row r="1165" spans="12:12" x14ac:dyDescent="0.3">
      <c r="L1165" t="s">
        <v>36</v>
      </c>
    </row>
    <row r="1166" spans="12:12" x14ac:dyDescent="0.3">
      <c r="L1166" t="s">
        <v>32</v>
      </c>
    </row>
    <row r="1167" spans="12:12" x14ac:dyDescent="0.3">
      <c r="L1167" t="s">
        <v>84</v>
      </c>
    </row>
    <row r="1168" spans="12:12" x14ac:dyDescent="0.3">
      <c r="L1168" t="s">
        <v>84</v>
      </c>
    </row>
    <row r="1169" spans="12:12" x14ac:dyDescent="0.3">
      <c r="L1169" t="s">
        <v>12</v>
      </c>
    </row>
    <row r="1170" spans="12:12" x14ac:dyDescent="0.3">
      <c r="L1170" t="s">
        <v>23</v>
      </c>
    </row>
    <row r="1171" spans="12:12" x14ac:dyDescent="0.3">
      <c r="L1171" t="s">
        <v>12</v>
      </c>
    </row>
    <row r="1172" spans="12:12" x14ac:dyDescent="0.3">
      <c r="L1172" t="s">
        <v>36</v>
      </c>
    </row>
    <row r="1173" spans="12:12" x14ac:dyDescent="0.3">
      <c r="L1173" t="s">
        <v>84</v>
      </c>
    </row>
    <row r="1174" spans="12:12" x14ac:dyDescent="0.3">
      <c r="L1174" t="s">
        <v>84</v>
      </c>
    </row>
    <row r="1175" spans="12:12" x14ac:dyDescent="0.3">
      <c r="L1175" t="s">
        <v>36</v>
      </c>
    </row>
    <row r="1176" spans="12:12" x14ac:dyDescent="0.3">
      <c r="L1176" t="s">
        <v>84</v>
      </c>
    </row>
    <row r="1177" spans="12:12" x14ac:dyDescent="0.3">
      <c r="L1177" t="s">
        <v>84</v>
      </c>
    </row>
    <row r="1178" spans="12:12" x14ac:dyDescent="0.3">
      <c r="L1178" t="s">
        <v>36</v>
      </c>
    </row>
    <row r="1179" spans="12:12" x14ac:dyDescent="0.3">
      <c r="L1179" t="s">
        <v>23</v>
      </c>
    </row>
    <row r="1180" spans="12:12" x14ac:dyDescent="0.3">
      <c r="L1180" t="s">
        <v>36</v>
      </c>
    </row>
    <row r="1181" spans="12:12" x14ac:dyDescent="0.3">
      <c r="L1181" t="s">
        <v>32</v>
      </c>
    </row>
    <row r="1182" spans="12:12" x14ac:dyDescent="0.3">
      <c r="L1182" t="s">
        <v>84</v>
      </c>
    </row>
    <row r="1183" spans="12:12" x14ac:dyDescent="0.3">
      <c r="L1183" t="s">
        <v>23</v>
      </c>
    </row>
    <row r="1184" spans="12:12" x14ac:dyDescent="0.3">
      <c r="L1184" t="s">
        <v>32</v>
      </c>
    </row>
    <row r="1185" spans="12:12" x14ac:dyDescent="0.3">
      <c r="L1185" t="s">
        <v>84</v>
      </c>
    </row>
    <row r="1186" spans="12:12" x14ac:dyDescent="0.3">
      <c r="L1186" t="s">
        <v>23</v>
      </c>
    </row>
    <row r="1187" spans="12:12" x14ac:dyDescent="0.3">
      <c r="L1187" t="s">
        <v>12</v>
      </c>
    </row>
    <row r="1188" spans="12:12" x14ac:dyDescent="0.3">
      <c r="L1188" t="s">
        <v>23</v>
      </c>
    </row>
    <row r="1189" spans="12:12" x14ac:dyDescent="0.3">
      <c r="L1189" t="s">
        <v>23</v>
      </c>
    </row>
    <row r="1190" spans="12:12" x14ac:dyDescent="0.3">
      <c r="L1190" t="s">
        <v>23</v>
      </c>
    </row>
    <row r="1191" spans="12:12" x14ac:dyDescent="0.3">
      <c r="L1191" t="s">
        <v>23</v>
      </c>
    </row>
    <row r="1192" spans="12:12" x14ac:dyDescent="0.3">
      <c r="L1192" t="s">
        <v>84</v>
      </c>
    </row>
    <row r="1193" spans="12:12" x14ac:dyDescent="0.3">
      <c r="L1193" t="s">
        <v>12</v>
      </c>
    </row>
    <row r="1194" spans="12:12" x14ac:dyDescent="0.3">
      <c r="L1194" t="s">
        <v>32</v>
      </c>
    </row>
    <row r="1195" spans="12:12" x14ac:dyDescent="0.3">
      <c r="L1195" t="s">
        <v>84</v>
      </c>
    </row>
    <row r="1196" spans="12:12" x14ac:dyDescent="0.3">
      <c r="L1196" t="s">
        <v>84</v>
      </c>
    </row>
    <row r="1197" spans="12:12" x14ac:dyDescent="0.3">
      <c r="L1197" t="s">
        <v>23</v>
      </c>
    </row>
    <row r="1198" spans="12:12" x14ac:dyDescent="0.3">
      <c r="L1198" t="s">
        <v>23</v>
      </c>
    </row>
    <row r="1199" spans="12:12" x14ac:dyDescent="0.3">
      <c r="L1199" t="s">
        <v>84</v>
      </c>
    </row>
    <row r="1200" spans="12:12" x14ac:dyDescent="0.3">
      <c r="L1200" t="s">
        <v>36</v>
      </c>
    </row>
    <row r="1201" spans="12:12" x14ac:dyDescent="0.3">
      <c r="L1201"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C7F0-F401-4509-B440-2F439A6F9285}">
  <dimension ref="A1:C41"/>
  <sheetViews>
    <sheetView topLeftCell="A21" workbookViewId="0">
      <selection activeCell="M22" sqref="M22"/>
    </sheetView>
  </sheetViews>
  <sheetFormatPr defaultRowHeight="14.4" x14ac:dyDescent="0.3"/>
  <cols>
    <col min="1" max="1" width="12.5546875" bestFit="1" customWidth="1"/>
    <col min="2" max="2" width="28" bestFit="1" customWidth="1"/>
    <col min="3" max="3" width="8.88671875" bestFit="1" customWidth="1"/>
    <col min="4" max="53" width="4" bestFit="1" customWidth="1"/>
    <col min="54" max="1121" width="5" bestFit="1" customWidth="1"/>
    <col min="1122" max="1122" width="10.77734375" bestFit="1" customWidth="1"/>
  </cols>
  <sheetData>
    <row r="1" spans="1:3" x14ac:dyDescent="0.3">
      <c r="A1" s="2" t="s">
        <v>3552</v>
      </c>
      <c r="B1" t="s">
        <v>3578</v>
      </c>
    </row>
    <row r="2" spans="1:3" x14ac:dyDescent="0.3">
      <c r="A2" s="3" t="s">
        <v>84</v>
      </c>
      <c r="B2" s="8">
        <v>1222587</v>
      </c>
    </row>
    <row r="3" spans="1:3" x14ac:dyDescent="0.3">
      <c r="A3" s="3" t="s">
        <v>36</v>
      </c>
      <c r="B3" s="8">
        <v>1314001</v>
      </c>
    </row>
    <row r="4" spans="1:3" x14ac:dyDescent="0.3">
      <c r="A4" s="3" t="s">
        <v>32</v>
      </c>
      <c r="B4" s="8">
        <v>1162560</v>
      </c>
    </row>
    <row r="5" spans="1:3" x14ac:dyDescent="0.3">
      <c r="A5" s="3" t="s">
        <v>23</v>
      </c>
      <c r="B5" s="8">
        <v>1433039</v>
      </c>
    </row>
    <row r="6" spans="1:3" x14ac:dyDescent="0.3">
      <c r="A6" s="3" t="s">
        <v>12</v>
      </c>
      <c r="B6" s="8">
        <v>1282142</v>
      </c>
    </row>
    <row r="7" spans="1:3" x14ac:dyDescent="0.3">
      <c r="A7" s="3" t="s">
        <v>3553</v>
      </c>
      <c r="B7" s="8">
        <v>6414329</v>
      </c>
    </row>
    <row r="16" spans="1:3" x14ac:dyDescent="0.3">
      <c r="A16" s="2" t="s">
        <v>3552</v>
      </c>
      <c r="B16" t="s">
        <v>3578</v>
      </c>
      <c r="C16" s="9"/>
    </row>
    <row r="17" spans="1:3" x14ac:dyDescent="0.3">
      <c r="A17" s="3" t="s">
        <v>27</v>
      </c>
      <c r="B17" s="8">
        <v>1190976</v>
      </c>
    </row>
    <row r="18" spans="1:3" x14ac:dyDescent="0.3">
      <c r="A18" s="3" t="s">
        <v>16</v>
      </c>
      <c r="B18" s="8">
        <v>1354759</v>
      </c>
    </row>
    <row r="19" spans="1:3" x14ac:dyDescent="0.3">
      <c r="A19" s="3" t="s">
        <v>40</v>
      </c>
      <c r="B19" s="8">
        <v>1192543</v>
      </c>
    </row>
    <row r="20" spans="1:3" x14ac:dyDescent="0.3">
      <c r="A20" s="3" t="s">
        <v>98</v>
      </c>
      <c r="B20" s="8">
        <v>1304619</v>
      </c>
    </row>
    <row r="21" spans="1:3" x14ac:dyDescent="0.3">
      <c r="A21" s="3" t="s">
        <v>21</v>
      </c>
      <c r="B21" s="8">
        <v>1371432</v>
      </c>
    </row>
    <row r="22" spans="1:3" x14ac:dyDescent="0.3">
      <c r="A22" s="3" t="s">
        <v>3553</v>
      </c>
      <c r="B22" s="8">
        <v>6414329</v>
      </c>
      <c r="C22" s="9">
        <f>GETPIVOTDATA("Stock",$A$16)</f>
        <v>6414329</v>
      </c>
    </row>
    <row r="27" spans="1:3" x14ac:dyDescent="0.3">
      <c r="A27" s="2" t="s">
        <v>3552</v>
      </c>
      <c r="B27" t="s">
        <v>3583</v>
      </c>
    </row>
    <row r="28" spans="1:3" x14ac:dyDescent="0.3">
      <c r="A28" s="3" t="s">
        <v>3582</v>
      </c>
      <c r="B28" s="8">
        <v>883</v>
      </c>
    </row>
    <row r="29" spans="1:3" x14ac:dyDescent="0.3">
      <c r="A29" s="3" t="s">
        <v>3580</v>
      </c>
      <c r="B29" s="8">
        <v>57</v>
      </c>
    </row>
    <row r="30" spans="1:3" x14ac:dyDescent="0.3">
      <c r="A30" s="3" t="s">
        <v>3581</v>
      </c>
      <c r="B30" s="8">
        <v>260</v>
      </c>
    </row>
    <row r="31" spans="1:3" x14ac:dyDescent="0.3">
      <c r="A31" s="3" t="s">
        <v>3553</v>
      </c>
      <c r="B31" s="8">
        <v>1200</v>
      </c>
    </row>
    <row r="35" spans="1:2" x14ac:dyDescent="0.3">
      <c r="A35" s="2" t="s">
        <v>3552</v>
      </c>
      <c r="B35" s="12" t="s">
        <v>3584</v>
      </c>
    </row>
    <row r="36" spans="1:2" x14ac:dyDescent="0.3">
      <c r="A36" s="3" t="s">
        <v>84</v>
      </c>
      <c r="B36" s="13">
        <v>12704.191964285714</v>
      </c>
    </row>
    <row r="37" spans="1:2" x14ac:dyDescent="0.3">
      <c r="A37" s="3" t="s">
        <v>36</v>
      </c>
      <c r="B37" s="13">
        <v>12923.641732283464</v>
      </c>
    </row>
    <row r="38" spans="1:2" x14ac:dyDescent="0.3">
      <c r="A38" s="3" t="s">
        <v>32</v>
      </c>
      <c r="B38" s="13">
        <v>12718.853881278539</v>
      </c>
    </row>
    <row r="39" spans="1:2" x14ac:dyDescent="0.3">
      <c r="A39" s="3" t="s">
        <v>23</v>
      </c>
      <c r="B39" s="13">
        <v>13679.758754863813</v>
      </c>
    </row>
    <row r="40" spans="1:2" x14ac:dyDescent="0.3">
      <c r="A40" s="3" t="s">
        <v>12</v>
      </c>
      <c r="B40" s="13">
        <v>13987.617886178861</v>
      </c>
    </row>
    <row r="41" spans="1:2" x14ac:dyDescent="0.3">
      <c r="A41" s="3" t="s">
        <v>3553</v>
      </c>
      <c r="B41" s="13">
        <v>13225.354166666666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B644-0837-4968-983A-5BCEB61B044F}">
  <dimension ref="A3:N214"/>
  <sheetViews>
    <sheetView topLeftCell="A193" workbookViewId="0">
      <selection activeCell="F199" sqref="F199"/>
    </sheetView>
  </sheetViews>
  <sheetFormatPr defaultRowHeight="14.4" x14ac:dyDescent="0.3"/>
  <cols>
    <col min="1" max="1" width="12.5546875" bestFit="1" customWidth="1"/>
    <col min="2" max="2" width="12.109375" bestFit="1" customWidth="1"/>
    <col min="3" max="3" width="14.44140625" bestFit="1" customWidth="1"/>
    <col min="7" max="7" width="12.5546875" bestFit="1" customWidth="1"/>
    <col min="8" max="8" width="11.6640625" bestFit="1" customWidth="1"/>
    <col min="9" max="9" width="10.33203125" bestFit="1" customWidth="1"/>
    <col min="12" max="12" width="12.5546875" bestFit="1" customWidth="1"/>
    <col min="13" max="13" width="12.109375" bestFit="1" customWidth="1"/>
  </cols>
  <sheetData>
    <row r="3" spans="1:13" x14ac:dyDescent="0.3">
      <c r="A3" s="2" t="s">
        <v>3552</v>
      </c>
      <c r="B3" t="s">
        <v>3567</v>
      </c>
    </row>
    <row r="4" spans="1:13" x14ac:dyDescent="0.3">
      <c r="A4" s="3" t="s">
        <v>3574</v>
      </c>
      <c r="B4" s="8"/>
      <c r="G4" s="2" t="s">
        <v>3552</v>
      </c>
      <c r="H4" t="s">
        <v>3566</v>
      </c>
    </row>
    <row r="5" spans="1:13" x14ac:dyDescent="0.3">
      <c r="A5" s="3" t="s">
        <v>3554</v>
      </c>
      <c r="B5" s="8">
        <v>1049996.8299999998</v>
      </c>
      <c r="G5" s="3" t="s">
        <v>3574</v>
      </c>
      <c r="H5" s="8"/>
    </row>
    <row r="6" spans="1:13" x14ac:dyDescent="0.3">
      <c r="A6" s="3" t="s">
        <v>3555</v>
      </c>
      <c r="B6" s="8">
        <v>771185.07</v>
      </c>
      <c r="G6" s="3" t="s">
        <v>3554</v>
      </c>
      <c r="H6" s="8">
        <v>327173.25999999995</v>
      </c>
    </row>
    <row r="7" spans="1:13" x14ac:dyDescent="0.3">
      <c r="A7" s="3" t="s">
        <v>3556</v>
      </c>
      <c r="B7" s="8">
        <v>787666.78</v>
      </c>
      <c r="G7" s="3" t="s">
        <v>3555</v>
      </c>
      <c r="H7" s="8">
        <v>229928.11999999994</v>
      </c>
      <c r="L7" s="2" t="s">
        <v>3552</v>
      </c>
      <c r="M7" t="s">
        <v>3566</v>
      </c>
    </row>
    <row r="8" spans="1:13" x14ac:dyDescent="0.3">
      <c r="A8" s="3" t="s">
        <v>3557</v>
      </c>
      <c r="B8" s="8">
        <v>708859.01000000024</v>
      </c>
      <c r="G8" s="3" t="s">
        <v>3556</v>
      </c>
      <c r="H8" s="8">
        <v>206245.51</v>
      </c>
      <c r="L8" s="3" t="s">
        <v>2480</v>
      </c>
      <c r="M8" s="6">
        <v>0.12255390924370343</v>
      </c>
    </row>
    <row r="9" spans="1:13" x14ac:dyDescent="0.3">
      <c r="A9" s="3" t="s">
        <v>3558</v>
      </c>
      <c r="B9" s="8">
        <v>878688.18000000017</v>
      </c>
      <c r="G9" s="3" t="s">
        <v>3557</v>
      </c>
      <c r="H9" s="8">
        <v>208933.41999999998</v>
      </c>
      <c r="L9" s="3" t="s">
        <v>2508</v>
      </c>
      <c r="M9" s="6">
        <v>0.1185514908851075</v>
      </c>
    </row>
    <row r="10" spans="1:13" x14ac:dyDescent="0.3">
      <c r="A10" s="3" t="s">
        <v>3559</v>
      </c>
      <c r="B10" s="8">
        <v>590119.17000000027</v>
      </c>
      <c r="G10" s="3" t="s">
        <v>3558</v>
      </c>
      <c r="H10" s="8">
        <v>252666.33</v>
      </c>
      <c r="L10" s="3" t="s">
        <v>2485</v>
      </c>
      <c r="M10" s="6">
        <v>0.11725524301723586</v>
      </c>
    </row>
    <row r="11" spans="1:13" x14ac:dyDescent="0.3">
      <c r="A11" s="3" t="s">
        <v>3560</v>
      </c>
      <c r="B11" s="8">
        <v>899482.5399999998</v>
      </c>
      <c r="G11" s="3" t="s">
        <v>3559</v>
      </c>
      <c r="H11" s="8">
        <v>180587.24000000005</v>
      </c>
      <c r="L11" s="3" t="s">
        <v>2467</v>
      </c>
      <c r="M11" s="6">
        <v>0.12586527811106762</v>
      </c>
    </row>
    <row r="12" spans="1:13" x14ac:dyDescent="0.3">
      <c r="A12" s="3" t="s">
        <v>3561</v>
      </c>
      <c r="B12" s="8">
        <v>897359.34000000008</v>
      </c>
      <c r="G12" s="3" t="s">
        <v>3560</v>
      </c>
      <c r="H12" s="8">
        <v>272538.74000000005</v>
      </c>
      <c r="L12" s="3" t="s">
        <v>2461</v>
      </c>
      <c r="M12" s="6">
        <v>0.1307203289482031</v>
      </c>
    </row>
    <row r="13" spans="1:13" x14ac:dyDescent="0.3">
      <c r="A13" s="3" t="s">
        <v>3562</v>
      </c>
      <c r="B13" s="8">
        <v>750825.78999999969</v>
      </c>
      <c r="G13" s="3" t="s">
        <v>3561</v>
      </c>
      <c r="H13" s="8">
        <v>282606.66000000003</v>
      </c>
      <c r="L13" s="3" t="s">
        <v>2488</v>
      </c>
      <c r="M13" s="6">
        <v>0.1342931873700233</v>
      </c>
    </row>
    <row r="14" spans="1:13" x14ac:dyDescent="0.3">
      <c r="A14" s="3" t="s">
        <v>3563</v>
      </c>
      <c r="B14" s="8">
        <v>855474.35999999987</v>
      </c>
      <c r="G14" s="3" t="s">
        <v>3562</v>
      </c>
      <c r="H14" s="8">
        <v>219354.18000000005</v>
      </c>
      <c r="L14" s="3" t="s">
        <v>2455</v>
      </c>
      <c r="M14" s="6">
        <v>0.13256154193581071</v>
      </c>
    </row>
    <row r="15" spans="1:13" x14ac:dyDescent="0.3">
      <c r="A15" s="3" t="s">
        <v>3564</v>
      </c>
      <c r="B15" s="8">
        <v>742563.41999999981</v>
      </c>
      <c r="G15" s="3" t="s">
        <v>3563</v>
      </c>
      <c r="H15" s="8">
        <v>257104.09000000011</v>
      </c>
      <c r="L15" s="3" t="s">
        <v>2517</v>
      </c>
      <c r="M15" s="6">
        <v>0.11819902048884863</v>
      </c>
    </row>
    <row r="16" spans="1:13" x14ac:dyDescent="0.3">
      <c r="A16" s="3" t="s">
        <v>3565</v>
      </c>
      <c r="B16" s="8">
        <v>845472.41000000038</v>
      </c>
      <c r="G16" s="3" t="s">
        <v>3564</v>
      </c>
      <c r="H16" s="8">
        <v>217182.23000000004</v>
      </c>
      <c r="L16" s="3" t="s">
        <v>3575</v>
      </c>
      <c r="M16" s="6">
        <v>0</v>
      </c>
    </row>
    <row r="17" spans="1:14" x14ac:dyDescent="0.3">
      <c r="A17" s="3" t="s">
        <v>3553</v>
      </c>
      <c r="B17" s="8">
        <v>9777692.9000000004</v>
      </c>
      <c r="C17" s="5">
        <f>GETPIVOTDATA("Price",$A$3)</f>
        <v>9777692.9000000004</v>
      </c>
      <c r="G17" s="3" t="s">
        <v>3565</v>
      </c>
      <c r="H17" s="8">
        <v>269812.32</v>
      </c>
      <c r="L17" s="3" t="s">
        <v>3553</v>
      </c>
      <c r="M17" s="6">
        <v>1</v>
      </c>
    </row>
    <row r="18" spans="1:14" x14ac:dyDescent="0.3">
      <c r="G18" s="3" t="s">
        <v>3553</v>
      </c>
      <c r="H18" s="8">
        <v>2924132.1</v>
      </c>
      <c r="I18" s="5">
        <f>GETPIVOTDATA("Profit",$G$4)</f>
        <v>2924132.1</v>
      </c>
    </row>
    <row r="21" spans="1:14" x14ac:dyDescent="0.3">
      <c r="A21" s="2" t="s">
        <v>3552</v>
      </c>
      <c r="B21" t="s">
        <v>3568</v>
      </c>
      <c r="G21" s="2" t="s">
        <v>3552</v>
      </c>
      <c r="H21" t="s">
        <v>3569</v>
      </c>
      <c r="N21" s="5"/>
    </row>
    <row r="22" spans="1:14" x14ac:dyDescent="0.3">
      <c r="A22" s="3" t="s">
        <v>3574</v>
      </c>
      <c r="B22" s="8"/>
      <c r="G22" s="3" t="s">
        <v>3574</v>
      </c>
      <c r="H22" s="8"/>
    </row>
    <row r="23" spans="1:14" x14ac:dyDescent="0.3">
      <c r="A23" s="3" t="s">
        <v>3554</v>
      </c>
      <c r="B23" s="8">
        <v>8974.1</v>
      </c>
      <c r="G23" s="3" t="s">
        <v>3554</v>
      </c>
      <c r="H23" s="8">
        <v>47.16</v>
      </c>
    </row>
    <row r="24" spans="1:14" x14ac:dyDescent="0.3">
      <c r="A24" s="3" t="s">
        <v>3555</v>
      </c>
      <c r="B24" s="8">
        <v>8452.4599999999991</v>
      </c>
      <c r="G24" s="3" t="s">
        <v>3555</v>
      </c>
      <c r="H24" s="8">
        <v>25.79</v>
      </c>
    </row>
    <row r="25" spans="1:14" x14ac:dyDescent="0.3">
      <c r="A25" s="3" t="s">
        <v>3556</v>
      </c>
      <c r="B25" s="8">
        <v>6451.03</v>
      </c>
      <c r="G25" s="3" t="s">
        <v>3556</v>
      </c>
      <c r="H25" s="8">
        <v>36.94</v>
      </c>
    </row>
    <row r="26" spans="1:14" x14ac:dyDescent="0.3">
      <c r="A26" s="3" t="s">
        <v>3557</v>
      </c>
      <c r="B26" s="8">
        <v>9494.9500000000007</v>
      </c>
      <c r="G26" s="3" t="s">
        <v>3557</v>
      </c>
      <c r="H26" s="8">
        <v>127.18</v>
      </c>
    </row>
    <row r="27" spans="1:14" x14ac:dyDescent="0.3">
      <c r="A27" s="3" t="s">
        <v>3558</v>
      </c>
      <c r="B27" s="8">
        <v>7189.11</v>
      </c>
      <c r="G27" s="3" t="s">
        <v>3558</v>
      </c>
      <c r="H27" s="8">
        <v>16.53</v>
      </c>
    </row>
    <row r="28" spans="1:14" x14ac:dyDescent="0.3">
      <c r="A28" s="3" t="s">
        <v>3559</v>
      </c>
      <c r="B28" s="8">
        <v>8355.91</v>
      </c>
      <c r="G28" s="3" t="s">
        <v>3559</v>
      </c>
      <c r="H28" s="8">
        <v>41.15</v>
      </c>
    </row>
    <row r="29" spans="1:14" x14ac:dyDescent="0.3">
      <c r="A29" s="3" t="s">
        <v>3560</v>
      </c>
      <c r="B29" s="8">
        <v>9346.33</v>
      </c>
      <c r="G29" s="3" t="s">
        <v>3560</v>
      </c>
      <c r="H29" s="8">
        <v>27.83</v>
      </c>
    </row>
    <row r="30" spans="1:14" x14ac:dyDescent="0.3">
      <c r="A30" s="3" t="s">
        <v>3561</v>
      </c>
      <c r="B30" s="8">
        <v>8874.27</v>
      </c>
      <c r="G30" s="3" t="s">
        <v>3561</v>
      </c>
      <c r="H30" s="8">
        <v>86.76</v>
      </c>
    </row>
    <row r="31" spans="1:14" x14ac:dyDescent="0.3">
      <c r="A31" s="3" t="s">
        <v>3562</v>
      </c>
      <c r="B31" s="8">
        <v>9457.81</v>
      </c>
      <c r="G31" s="3" t="s">
        <v>3562</v>
      </c>
      <c r="H31" s="8">
        <v>150.38</v>
      </c>
    </row>
    <row r="32" spans="1:14" x14ac:dyDescent="0.3">
      <c r="A32" s="3" t="s">
        <v>3563</v>
      </c>
      <c r="B32" s="8">
        <v>9506.82</v>
      </c>
      <c r="G32" s="3" t="s">
        <v>3563</v>
      </c>
      <c r="H32" s="8">
        <v>70.930000000000007</v>
      </c>
    </row>
    <row r="33" spans="1:9" x14ac:dyDescent="0.3">
      <c r="A33" s="3" t="s">
        <v>3564</v>
      </c>
      <c r="B33" s="8">
        <v>6876.49</v>
      </c>
      <c r="G33" s="3" t="s">
        <v>3564</v>
      </c>
      <c r="H33" s="8">
        <v>89.2</v>
      </c>
    </row>
    <row r="34" spans="1:9" x14ac:dyDescent="0.3">
      <c r="A34" s="3" t="s">
        <v>3565</v>
      </c>
      <c r="B34" s="8">
        <v>9337.44</v>
      </c>
      <c r="G34" s="3" t="s">
        <v>3565</v>
      </c>
      <c r="H34" s="8">
        <v>74.459999999999994</v>
      </c>
    </row>
    <row r="35" spans="1:9" x14ac:dyDescent="0.3">
      <c r="A35" s="3" t="s">
        <v>3553</v>
      </c>
      <c r="B35" s="8">
        <v>9506.82</v>
      </c>
      <c r="C35" s="5">
        <f>GETPIVOTDATA("Profit",$A$21)</f>
        <v>9506.82</v>
      </c>
      <c r="G35" s="3" t="s">
        <v>3553</v>
      </c>
      <c r="H35" s="8">
        <v>16.53</v>
      </c>
      <c r="I35" s="5">
        <f>GETPIVOTDATA("Profit",$G$21)</f>
        <v>16.53</v>
      </c>
    </row>
    <row r="42" spans="1:9" x14ac:dyDescent="0.3">
      <c r="A42" t="s">
        <v>3566</v>
      </c>
      <c r="B42" t="s">
        <v>3570</v>
      </c>
    </row>
    <row r="43" spans="1:9" x14ac:dyDescent="0.3">
      <c r="A43" s="8">
        <v>2924132.1000000006</v>
      </c>
      <c r="B43" s="8">
        <v>6853560.7999999877</v>
      </c>
    </row>
    <row r="63" spans="1:3" x14ac:dyDescent="0.3">
      <c r="A63" s="2" t="s">
        <v>3552</v>
      </c>
      <c r="B63" t="s">
        <v>3566</v>
      </c>
      <c r="C63" t="s">
        <v>3570</v>
      </c>
    </row>
    <row r="64" spans="1:3" x14ac:dyDescent="0.3">
      <c r="A64" s="3" t="s">
        <v>84</v>
      </c>
      <c r="B64" s="8">
        <v>585415.58999999985</v>
      </c>
      <c r="C64" s="8">
        <v>1384654.0900000012</v>
      </c>
    </row>
    <row r="65" spans="1:3" x14ac:dyDescent="0.3">
      <c r="A65" s="3" t="s">
        <v>36</v>
      </c>
      <c r="B65" s="8">
        <v>649238.31999999983</v>
      </c>
      <c r="C65" s="8">
        <v>1559506.2000000002</v>
      </c>
    </row>
    <row r="66" spans="1:3" x14ac:dyDescent="0.3">
      <c r="A66" s="3" t="s">
        <v>32</v>
      </c>
      <c r="B66" s="8">
        <v>479057.80999999988</v>
      </c>
      <c r="C66" s="8">
        <v>1066798.0299999996</v>
      </c>
    </row>
    <row r="67" spans="1:3" x14ac:dyDescent="0.3">
      <c r="A67" s="3" t="s">
        <v>23</v>
      </c>
      <c r="B67" s="8">
        <v>609596.89</v>
      </c>
      <c r="C67" s="8">
        <v>1422365.1399999997</v>
      </c>
    </row>
    <row r="68" spans="1:3" x14ac:dyDescent="0.3">
      <c r="A68" s="3" t="s">
        <v>12</v>
      </c>
      <c r="B68" s="8">
        <v>600823.48999999976</v>
      </c>
      <c r="C68" s="8">
        <v>1420237.3399999994</v>
      </c>
    </row>
    <row r="69" spans="1:3" x14ac:dyDescent="0.3">
      <c r="A69" s="3" t="s">
        <v>3553</v>
      </c>
      <c r="B69" s="8">
        <v>2924132.0999999992</v>
      </c>
      <c r="C69" s="8">
        <v>6853560.8000000007</v>
      </c>
    </row>
    <row r="76" spans="1:3" x14ac:dyDescent="0.3">
      <c r="A76" s="2" t="s">
        <v>3552</v>
      </c>
      <c r="B76" t="s">
        <v>3572</v>
      </c>
    </row>
    <row r="77" spans="1:3" x14ac:dyDescent="0.3">
      <c r="A77" s="3" t="s">
        <v>84</v>
      </c>
      <c r="B77" s="8">
        <v>2195</v>
      </c>
    </row>
    <row r="78" spans="1:3" x14ac:dyDescent="0.3">
      <c r="A78" s="3" t="s">
        <v>36</v>
      </c>
      <c r="B78" s="8">
        <v>2647</v>
      </c>
    </row>
    <row r="79" spans="1:3" x14ac:dyDescent="0.3">
      <c r="A79" s="3" t="s">
        <v>32</v>
      </c>
      <c r="B79" s="8">
        <v>1911</v>
      </c>
    </row>
    <row r="80" spans="1:3" x14ac:dyDescent="0.3">
      <c r="A80" s="3" t="s">
        <v>23</v>
      </c>
      <c r="B80" s="8">
        <v>2788</v>
      </c>
    </row>
    <row r="81" spans="1:2" x14ac:dyDescent="0.3">
      <c r="A81" s="3" t="s">
        <v>12</v>
      </c>
      <c r="B81" s="8">
        <v>3477</v>
      </c>
    </row>
    <row r="82" spans="1:2" x14ac:dyDescent="0.3">
      <c r="A82" s="3" t="s">
        <v>3553</v>
      </c>
      <c r="B82" s="8">
        <v>13018</v>
      </c>
    </row>
    <row r="87" spans="1:2" x14ac:dyDescent="0.3">
      <c r="A87" s="2" t="s">
        <v>3552</v>
      </c>
      <c r="B87" t="s">
        <v>3566</v>
      </c>
    </row>
    <row r="88" spans="1:2" x14ac:dyDescent="0.3">
      <c r="A88" s="3" t="s">
        <v>2472</v>
      </c>
      <c r="B88" s="5">
        <v>555249.28</v>
      </c>
    </row>
    <row r="89" spans="1:2" x14ac:dyDescent="0.3">
      <c r="A89" s="3" t="s">
        <v>2466</v>
      </c>
      <c r="B89" s="5">
        <v>514382.74000000005</v>
      </c>
    </row>
    <row r="90" spans="1:2" x14ac:dyDescent="0.3">
      <c r="A90" s="3" t="s">
        <v>2460</v>
      </c>
      <c r="B90" s="5">
        <v>579713.69000000006</v>
      </c>
    </row>
    <row r="91" spans="1:2" x14ac:dyDescent="0.3">
      <c r="A91" s="3" t="s">
        <v>2454</v>
      </c>
      <c r="B91" s="5">
        <v>678774.32999999949</v>
      </c>
    </row>
    <row r="92" spans="1:2" x14ac:dyDescent="0.3">
      <c r="A92" s="3" t="s">
        <v>2475</v>
      </c>
      <c r="B92" s="5">
        <v>596012.05999999982</v>
      </c>
    </row>
    <row r="93" spans="1:2" x14ac:dyDescent="0.3">
      <c r="A93" s="3" t="s">
        <v>3575</v>
      </c>
      <c r="B93" s="5"/>
    </row>
    <row r="94" spans="1:2" x14ac:dyDescent="0.3">
      <c r="A94" s="3" t="s">
        <v>3553</v>
      </c>
      <c r="B94" s="5">
        <v>2924132.0999999996</v>
      </c>
    </row>
    <row r="96" spans="1:2" x14ac:dyDescent="0.3">
      <c r="A96" s="2" t="s">
        <v>3552</v>
      </c>
      <c r="B96" s="7" t="s">
        <v>3573</v>
      </c>
    </row>
    <row r="97" spans="1:2" x14ac:dyDescent="0.3">
      <c r="A97" s="3" t="s">
        <v>2462</v>
      </c>
      <c r="B97" s="7">
        <v>253</v>
      </c>
    </row>
    <row r="98" spans="1:2" x14ac:dyDescent="0.3">
      <c r="A98" s="3" t="s">
        <v>2493</v>
      </c>
      <c r="B98" s="7">
        <v>260</v>
      </c>
    </row>
    <row r="99" spans="1:2" x14ac:dyDescent="0.3">
      <c r="A99" s="3" t="s">
        <v>2456</v>
      </c>
      <c r="B99" s="7">
        <v>237</v>
      </c>
    </row>
    <row r="100" spans="1:2" x14ac:dyDescent="0.3">
      <c r="A100" s="3" t="s">
        <v>2468</v>
      </c>
      <c r="B100" s="7">
        <v>248</v>
      </c>
    </row>
    <row r="101" spans="1:2" x14ac:dyDescent="0.3">
      <c r="A101" s="3" t="s">
        <v>3575</v>
      </c>
      <c r="B101" s="7"/>
    </row>
    <row r="102" spans="1:2" x14ac:dyDescent="0.3">
      <c r="A102" s="3" t="s">
        <v>3553</v>
      </c>
      <c r="B102" s="7">
        <v>998</v>
      </c>
    </row>
    <row r="107" spans="1:2" x14ac:dyDescent="0.3">
      <c r="A107" s="2" t="s">
        <v>3552</v>
      </c>
      <c r="B107" t="s">
        <v>3567</v>
      </c>
    </row>
    <row r="108" spans="1:2" x14ac:dyDescent="0.3">
      <c r="A108" s="3" t="s">
        <v>3574</v>
      </c>
      <c r="B108" s="8"/>
    </row>
    <row r="109" spans="1:2" x14ac:dyDescent="0.3">
      <c r="A109" s="3" t="s">
        <v>3554</v>
      </c>
      <c r="B109" s="8">
        <v>1049996.8299999998</v>
      </c>
    </row>
    <row r="110" spans="1:2" x14ac:dyDescent="0.3">
      <c r="A110" s="3" t="s">
        <v>3555</v>
      </c>
      <c r="B110" s="8">
        <v>771185.07</v>
      </c>
    </row>
    <row r="111" spans="1:2" x14ac:dyDescent="0.3">
      <c r="A111" s="3" t="s">
        <v>3556</v>
      </c>
      <c r="B111" s="8">
        <v>787666.78</v>
      </c>
    </row>
    <row r="112" spans="1:2" x14ac:dyDescent="0.3">
      <c r="A112" s="3" t="s">
        <v>3557</v>
      </c>
      <c r="B112" s="8">
        <v>708859.01000000024</v>
      </c>
    </row>
    <row r="113" spans="1:3" x14ac:dyDescent="0.3">
      <c r="A113" s="3" t="s">
        <v>3558</v>
      </c>
      <c r="B113" s="8">
        <v>878688.18000000017</v>
      </c>
    </row>
    <row r="114" spans="1:3" x14ac:dyDescent="0.3">
      <c r="A114" s="3" t="s">
        <v>3559</v>
      </c>
      <c r="B114" s="8">
        <v>590119.17000000027</v>
      </c>
    </row>
    <row r="115" spans="1:3" x14ac:dyDescent="0.3">
      <c r="A115" s="3" t="s">
        <v>3560</v>
      </c>
      <c r="B115" s="8">
        <v>899482.5399999998</v>
      </c>
    </row>
    <row r="116" spans="1:3" x14ac:dyDescent="0.3">
      <c r="A116" s="3" t="s">
        <v>3561</v>
      </c>
      <c r="B116" s="8">
        <v>897359.34000000008</v>
      </c>
    </row>
    <row r="117" spans="1:3" x14ac:dyDescent="0.3">
      <c r="A117" s="3" t="s">
        <v>3562</v>
      </c>
      <c r="B117" s="8">
        <v>750825.78999999969</v>
      </c>
    </row>
    <row r="118" spans="1:3" x14ac:dyDescent="0.3">
      <c r="A118" s="3" t="s">
        <v>3563</v>
      </c>
      <c r="B118" s="8">
        <v>855474.35999999987</v>
      </c>
    </row>
    <row r="119" spans="1:3" x14ac:dyDescent="0.3">
      <c r="A119" s="3" t="s">
        <v>3564</v>
      </c>
      <c r="B119" s="8">
        <v>742563.41999999981</v>
      </c>
    </row>
    <row r="120" spans="1:3" x14ac:dyDescent="0.3">
      <c r="A120" s="3" t="s">
        <v>3565</v>
      </c>
      <c r="B120" s="8">
        <v>845472.41000000038</v>
      </c>
      <c r="C120" s="5">
        <f>GETPIVOTDATA("Price",$A$107)</f>
        <v>9777692.9000000004</v>
      </c>
    </row>
    <row r="121" spans="1:3" x14ac:dyDescent="0.3">
      <c r="A121" s="3" t="s">
        <v>3553</v>
      </c>
      <c r="B121" s="8">
        <v>9777692.9000000004</v>
      </c>
      <c r="C121" s="5"/>
    </row>
    <row r="127" spans="1:3" x14ac:dyDescent="0.3">
      <c r="A127" s="2" t="s">
        <v>3552</v>
      </c>
      <c r="B127" t="s">
        <v>3576</v>
      </c>
    </row>
    <row r="128" spans="1:3" x14ac:dyDescent="0.3">
      <c r="A128" s="3" t="s">
        <v>3574</v>
      </c>
      <c r="B128" s="8"/>
    </row>
    <row r="129" spans="1:3" x14ac:dyDescent="0.3">
      <c r="A129" s="3" t="s">
        <v>3554</v>
      </c>
      <c r="B129" s="8">
        <v>102</v>
      </c>
    </row>
    <row r="130" spans="1:3" x14ac:dyDescent="0.3">
      <c r="A130" s="3" t="s">
        <v>3555</v>
      </c>
      <c r="B130" s="8">
        <v>74</v>
      </c>
    </row>
    <row r="131" spans="1:3" x14ac:dyDescent="0.3">
      <c r="A131" s="3" t="s">
        <v>3556</v>
      </c>
      <c r="B131" s="8">
        <v>84</v>
      </c>
    </row>
    <row r="132" spans="1:3" x14ac:dyDescent="0.3">
      <c r="A132" s="3" t="s">
        <v>3557</v>
      </c>
      <c r="B132" s="8">
        <v>69</v>
      </c>
    </row>
    <row r="133" spans="1:3" x14ac:dyDescent="0.3">
      <c r="A133" s="3" t="s">
        <v>3558</v>
      </c>
      <c r="B133" s="8">
        <v>85</v>
      </c>
    </row>
    <row r="134" spans="1:3" x14ac:dyDescent="0.3">
      <c r="A134" s="3" t="s">
        <v>3559</v>
      </c>
      <c r="B134" s="8">
        <v>63</v>
      </c>
    </row>
    <row r="135" spans="1:3" x14ac:dyDescent="0.3">
      <c r="A135" s="3" t="s">
        <v>3560</v>
      </c>
      <c r="B135" s="8">
        <v>87</v>
      </c>
    </row>
    <row r="136" spans="1:3" x14ac:dyDescent="0.3">
      <c r="A136" s="3" t="s">
        <v>3561</v>
      </c>
      <c r="B136" s="8">
        <v>86</v>
      </c>
    </row>
    <row r="137" spans="1:3" x14ac:dyDescent="0.3">
      <c r="A137" s="3" t="s">
        <v>3562</v>
      </c>
      <c r="B137" s="8">
        <v>84</v>
      </c>
    </row>
    <row r="138" spans="1:3" x14ac:dyDescent="0.3">
      <c r="A138" s="3" t="s">
        <v>3563</v>
      </c>
      <c r="B138" s="8">
        <v>92</v>
      </c>
    </row>
    <row r="139" spans="1:3" x14ac:dyDescent="0.3">
      <c r="A139" s="3" t="s">
        <v>3564</v>
      </c>
      <c r="B139" s="8">
        <v>87</v>
      </c>
    </row>
    <row r="140" spans="1:3" x14ac:dyDescent="0.3">
      <c r="A140" s="3" t="s">
        <v>3565</v>
      </c>
      <c r="B140" s="8">
        <v>85</v>
      </c>
      <c r="C140" s="5"/>
    </row>
    <row r="141" spans="1:3" x14ac:dyDescent="0.3">
      <c r="A141" s="3" t="s">
        <v>3553</v>
      </c>
      <c r="B141" s="8">
        <v>998</v>
      </c>
      <c r="C141" s="9">
        <f>GETPIVOTDATA("Price",$A$127)</f>
        <v>998</v>
      </c>
    </row>
    <row r="144" spans="1:3" x14ac:dyDescent="0.3">
      <c r="A144" s="2" t="s">
        <v>3552</v>
      </c>
      <c r="B144" t="s">
        <v>3570</v>
      </c>
    </row>
    <row r="145" spans="1:3" x14ac:dyDescent="0.3">
      <c r="A145" s="3" t="s">
        <v>3574</v>
      </c>
      <c r="B145" s="8"/>
    </row>
    <row r="146" spans="1:3" x14ac:dyDescent="0.3">
      <c r="A146" s="3" t="s">
        <v>3554</v>
      </c>
      <c r="B146" s="8">
        <v>722823.57000000018</v>
      </c>
    </row>
    <row r="147" spans="1:3" x14ac:dyDescent="0.3">
      <c r="A147" s="3" t="s">
        <v>3555</v>
      </c>
      <c r="B147" s="8">
        <v>541256.94999999995</v>
      </c>
    </row>
    <row r="148" spans="1:3" x14ac:dyDescent="0.3">
      <c r="A148" s="3" t="s">
        <v>3556</v>
      </c>
      <c r="B148" s="8">
        <v>581421.27000000014</v>
      </c>
    </row>
    <row r="149" spans="1:3" x14ac:dyDescent="0.3">
      <c r="A149" s="3" t="s">
        <v>3557</v>
      </c>
      <c r="B149" s="8">
        <v>499925.59000000014</v>
      </c>
    </row>
    <row r="150" spans="1:3" x14ac:dyDescent="0.3">
      <c r="A150" s="3" t="s">
        <v>3558</v>
      </c>
      <c r="B150" s="8">
        <v>626021.85000000009</v>
      </c>
    </row>
    <row r="151" spans="1:3" x14ac:dyDescent="0.3">
      <c r="A151" s="3" t="s">
        <v>3559</v>
      </c>
      <c r="B151" s="8">
        <v>409531.93</v>
      </c>
    </row>
    <row r="152" spans="1:3" x14ac:dyDescent="0.3">
      <c r="A152" s="3" t="s">
        <v>3560</v>
      </c>
      <c r="B152" s="8">
        <v>626943.80000000005</v>
      </c>
    </row>
    <row r="153" spans="1:3" x14ac:dyDescent="0.3">
      <c r="A153" s="3" t="s">
        <v>3561</v>
      </c>
      <c r="B153" s="8">
        <v>614752.67999999959</v>
      </c>
    </row>
    <row r="154" spans="1:3" x14ac:dyDescent="0.3">
      <c r="A154" s="3" t="s">
        <v>3562</v>
      </c>
      <c r="B154" s="8">
        <v>531471.60999999987</v>
      </c>
    </row>
    <row r="155" spans="1:3" x14ac:dyDescent="0.3">
      <c r="A155" s="3" t="s">
        <v>3563</v>
      </c>
      <c r="B155" s="8">
        <v>598370.2699999999</v>
      </c>
    </row>
    <row r="156" spans="1:3" x14ac:dyDescent="0.3">
      <c r="A156" s="3" t="s">
        <v>3564</v>
      </c>
      <c r="B156" s="8">
        <v>525381.18999999983</v>
      </c>
    </row>
    <row r="157" spans="1:3" x14ac:dyDescent="0.3">
      <c r="A157" s="3" t="s">
        <v>3565</v>
      </c>
      <c r="B157" s="8">
        <v>575660.0900000002</v>
      </c>
      <c r="C157" s="5"/>
    </row>
    <row r="158" spans="1:3" x14ac:dyDescent="0.3">
      <c r="A158" s="3" t="s">
        <v>3553</v>
      </c>
      <c r="B158" s="8">
        <v>6853560.7999999989</v>
      </c>
      <c r="C158" s="5">
        <f>GETPIVOTDATA("Expense",$A$144)</f>
        <v>6853560.7999999989</v>
      </c>
    </row>
    <row r="162" spans="1:3" x14ac:dyDescent="0.3">
      <c r="A162" s="2" t="s">
        <v>3552</v>
      </c>
      <c r="B162" t="s">
        <v>3577</v>
      </c>
    </row>
    <row r="163" spans="1:3" x14ac:dyDescent="0.3">
      <c r="A163" s="3" t="s">
        <v>3574</v>
      </c>
      <c r="B163" s="8"/>
    </row>
    <row r="164" spans="1:3" x14ac:dyDescent="0.3">
      <c r="A164" s="3" t="s">
        <v>3554</v>
      </c>
      <c r="B164" s="8">
        <v>10294.08656862745</v>
      </c>
    </row>
    <row r="165" spans="1:3" x14ac:dyDescent="0.3">
      <c r="A165" s="3" t="s">
        <v>3555</v>
      </c>
      <c r="B165" s="8">
        <v>10421.419864864863</v>
      </c>
    </row>
    <row r="166" spans="1:3" x14ac:dyDescent="0.3">
      <c r="A166" s="3" t="s">
        <v>3556</v>
      </c>
      <c r="B166" s="8">
        <v>9376.9854761904771</v>
      </c>
    </row>
    <row r="167" spans="1:3" x14ac:dyDescent="0.3">
      <c r="A167" s="3" t="s">
        <v>3557</v>
      </c>
      <c r="B167" s="8">
        <v>10273.318985507251</v>
      </c>
    </row>
    <row r="168" spans="1:3" x14ac:dyDescent="0.3">
      <c r="A168" s="3" t="s">
        <v>3558</v>
      </c>
      <c r="B168" s="8">
        <v>10337.508000000002</v>
      </c>
    </row>
    <row r="169" spans="1:3" x14ac:dyDescent="0.3">
      <c r="A169" s="3" t="s">
        <v>3559</v>
      </c>
      <c r="B169" s="8">
        <v>9366.9709523809561</v>
      </c>
    </row>
    <row r="170" spans="1:3" x14ac:dyDescent="0.3">
      <c r="A170" s="3" t="s">
        <v>3560</v>
      </c>
      <c r="B170" s="8">
        <v>10338.87977011494</v>
      </c>
    </row>
    <row r="171" spans="1:3" x14ac:dyDescent="0.3">
      <c r="A171" s="3" t="s">
        <v>3561</v>
      </c>
      <c r="B171" s="8">
        <v>10434.41093023256</v>
      </c>
    </row>
    <row r="172" spans="1:3" x14ac:dyDescent="0.3">
      <c r="A172" s="3" t="s">
        <v>3562</v>
      </c>
      <c r="B172" s="8">
        <v>8938.4022619047573</v>
      </c>
    </row>
    <row r="173" spans="1:3" x14ac:dyDescent="0.3">
      <c r="A173" s="3" t="s">
        <v>3563</v>
      </c>
      <c r="B173" s="8">
        <v>9298.634347826086</v>
      </c>
    </row>
    <row r="174" spans="1:3" x14ac:dyDescent="0.3">
      <c r="A174" s="3" t="s">
        <v>3564</v>
      </c>
      <c r="B174" s="8">
        <v>8535.2117241379292</v>
      </c>
    </row>
    <row r="175" spans="1:3" x14ac:dyDescent="0.3">
      <c r="A175" s="3" t="s">
        <v>3565</v>
      </c>
      <c r="B175" s="8">
        <v>9946.7342352941214</v>
      </c>
      <c r="C175" s="5"/>
    </row>
    <row r="176" spans="1:3" x14ac:dyDescent="0.3">
      <c r="A176" s="3" t="s">
        <v>3553</v>
      </c>
      <c r="B176" s="8">
        <v>9797.287474949906</v>
      </c>
      <c r="C176" s="5">
        <f>GETPIVOTDATA("Price",$A$162)</f>
        <v>9797.287474949906</v>
      </c>
    </row>
    <row r="181" spans="1:2" x14ac:dyDescent="0.3">
      <c r="A181" s="2" t="s">
        <v>3552</v>
      </c>
      <c r="B181" t="s">
        <v>3572</v>
      </c>
    </row>
    <row r="182" spans="1:2" x14ac:dyDescent="0.3">
      <c r="A182" s="3" t="s">
        <v>3574</v>
      </c>
      <c r="B182" s="8"/>
    </row>
    <row r="183" spans="1:2" x14ac:dyDescent="0.3">
      <c r="A183" s="3" t="s">
        <v>3554</v>
      </c>
      <c r="B183" s="8">
        <v>10347</v>
      </c>
    </row>
    <row r="184" spans="1:2" x14ac:dyDescent="0.3">
      <c r="A184" s="3" t="s">
        <v>3555</v>
      </c>
      <c r="B184" s="8">
        <v>6763</v>
      </c>
    </row>
    <row r="185" spans="1:2" x14ac:dyDescent="0.3">
      <c r="A185" s="3" t="s">
        <v>3556</v>
      </c>
      <c r="B185" s="8">
        <v>8445</v>
      </c>
    </row>
    <row r="186" spans="1:2" x14ac:dyDescent="0.3">
      <c r="A186" s="3" t="s">
        <v>3557</v>
      </c>
      <c r="B186" s="8">
        <v>8155</v>
      </c>
    </row>
    <row r="187" spans="1:2" x14ac:dyDescent="0.3">
      <c r="A187" s="3" t="s">
        <v>3558</v>
      </c>
      <c r="B187" s="8">
        <v>8929</v>
      </c>
    </row>
    <row r="188" spans="1:2" x14ac:dyDescent="0.3">
      <c r="A188" s="3" t="s">
        <v>3559</v>
      </c>
      <c r="B188" s="8">
        <v>6724</v>
      </c>
    </row>
    <row r="189" spans="1:2" x14ac:dyDescent="0.3">
      <c r="A189" s="3" t="s">
        <v>3560</v>
      </c>
      <c r="B189" s="8">
        <v>9092</v>
      </c>
    </row>
    <row r="190" spans="1:2" x14ac:dyDescent="0.3">
      <c r="A190" s="3" t="s">
        <v>3561</v>
      </c>
      <c r="B190" s="8">
        <v>8124</v>
      </c>
    </row>
    <row r="191" spans="1:2" x14ac:dyDescent="0.3">
      <c r="A191" s="3" t="s">
        <v>3562</v>
      </c>
      <c r="B191" s="8">
        <v>7128</v>
      </c>
    </row>
    <row r="192" spans="1:2" x14ac:dyDescent="0.3">
      <c r="A192" s="3" t="s">
        <v>3563</v>
      </c>
      <c r="B192" s="8">
        <v>8959</v>
      </c>
    </row>
    <row r="193" spans="1:2" x14ac:dyDescent="0.3">
      <c r="A193" s="3" t="s">
        <v>3564</v>
      </c>
      <c r="B193" s="8">
        <v>8938</v>
      </c>
    </row>
    <row r="194" spans="1:2" x14ac:dyDescent="0.3">
      <c r="A194" s="3" t="s">
        <v>3565</v>
      </c>
      <c r="B194" s="8">
        <v>8238</v>
      </c>
    </row>
    <row r="195" spans="1:2" x14ac:dyDescent="0.3">
      <c r="A195" s="3" t="s">
        <v>3553</v>
      </c>
      <c r="B195" s="8">
        <v>99842</v>
      </c>
    </row>
    <row r="198" spans="1:2" x14ac:dyDescent="0.3">
      <c r="A198" s="2" t="s">
        <v>3552</v>
      </c>
      <c r="B198" t="s">
        <v>3572</v>
      </c>
    </row>
    <row r="199" spans="1:2" x14ac:dyDescent="0.3">
      <c r="A199" s="3" t="s">
        <v>2472</v>
      </c>
      <c r="B199" s="8">
        <v>19205</v>
      </c>
    </row>
    <row r="200" spans="1:2" x14ac:dyDescent="0.3">
      <c r="A200" s="3" t="s">
        <v>2466</v>
      </c>
      <c r="B200" s="8">
        <v>19159</v>
      </c>
    </row>
    <row r="201" spans="1:2" x14ac:dyDescent="0.3">
      <c r="A201" s="3" t="s">
        <v>2460</v>
      </c>
      <c r="B201" s="8">
        <v>20635</v>
      </c>
    </row>
    <row r="202" spans="1:2" x14ac:dyDescent="0.3">
      <c r="A202" s="3" t="s">
        <v>2454</v>
      </c>
      <c r="B202" s="8">
        <v>21230</v>
      </c>
    </row>
    <row r="203" spans="1:2" x14ac:dyDescent="0.3">
      <c r="A203" s="3" t="s">
        <v>2475</v>
      </c>
      <c r="B203" s="8">
        <v>19613</v>
      </c>
    </row>
    <row r="204" spans="1:2" x14ac:dyDescent="0.3">
      <c r="A204" s="3" t="s">
        <v>3575</v>
      </c>
      <c r="B204" s="8"/>
    </row>
    <row r="205" spans="1:2" x14ac:dyDescent="0.3">
      <c r="A205" s="3" t="s">
        <v>3553</v>
      </c>
      <c r="B205" s="8">
        <v>99842</v>
      </c>
    </row>
    <row r="208" spans="1:2" x14ac:dyDescent="0.3">
      <c r="A208" s="2" t="s">
        <v>3552</v>
      </c>
      <c r="B208" t="s">
        <v>3573</v>
      </c>
    </row>
    <row r="209" spans="1:2" x14ac:dyDescent="0.3">
      <c r="A209" s="3" t="s">
        <v>2457</v>
      </c>
      <c r="B209" s="8">
        <v>227</v>
      </c>
    </row>
    <row r="210" spans="1:2" x14ac:dyDescent="0.3">
      <c r="A210" s="3" t="s">
        <v>2463</v>
      </c>
      <c r="B210" s="8">
        <v>271</v>
      </c>
    </row>
    <row r="211" spans="1:2" x14ac:dyDescent="0.3">
      <c r="A211" s="3" t="s">
        <v>2469</v>
      </c>
      <c r="B211" s="8">
        <v>241</v>
      </c>
    </row>
    <row r="212" spans="1:2" x14ac:dyDescent="0.3">
      <c r="A212" s="3" t="s">
        <v>2496</v>
      </c>
      <c r="B212" s="8">
        <v>259</v>
      </c>
    </row>
    <row r="213" spans="1:2" x14ac:dyDescent="0.3">
      <c r="A213" s="3" t="s">
        <v>3575</v>
      </c>
      <c r="B213" s="8"/>
    </row>
    <row r="214" spans="1:2" x14ac:dyDescent="0.3">
      <c r="A214" s="3" t="s">
        <v>3553</v>
      </c>
      <c r="B214" s="8">
        <v>998</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72F9-3BB4-4354-B8FE-C2E8CC5FE559}">
  <dimension ref="Y19"/>
  <sheetViews>
    <sheetView zoomScale="71" workbookViewId="0"/>
  </sheetViews>
  <sheetFormatPr defaultRowHeight="14.4" x14ac:dyDescent="0.3"/>
  <sheetData>
    <row r="19" spans="25:25" x14ac:dyDescent="0.3">
      <c r="Y19" t="s">
        <v>3551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7DA58-D8AE-4C52-86C6-23CF1D6CA707}">
  <dimension ref="W10:Y19"/>
  <sheetViews>
    <sheetView zoomScale="71" workbookViewId="0"/>
  </sheetViews>
  <sheetFormatPr defaultRowHeight="14.4" x14ac:dyDescent="0.3"/>
  <sheetData>
    <row r="10" spans="23:23" x14ac:dyDescent="0.3">
      <c r="W10" t="s">
        <v>3551</v>
      </c>
    </row>
    <row r="19" spans="25:25" x14ac:dyDescent="0.3">
      <c r="Y19" t="s">
        <v>3551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2F6AC-7907-4EC8-B335-BDE737ADCA21}">
  <dimension ref="Y19"/>
  <sheetViews>
    <sheetView tabSelected="1" zoomScale="71" workbookViewId="0"/>
  </sheetViews>
  <sheetFormatPr defaultRowHeight="14.4" x14ac:dyDescent="0.3"/>
  <sheetData>
    <row r="19" spans="25:25" x14ac:dyDescent="0.3">
      <c r="Y19" t="s">
        <v>3551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Production Data</vt:lpstr>
      <vt:lpstr>Sales Data</vt:lpstr>
      <vt:lpstr>Prodution Table</vt:lpstr>
      <vt:lpstr>Sales Table</vt:lpstr>
      <vt:lpstr>Overview</vt:lpstr>
      <vt:lpstr>Stocks </vt:lpstr>
      <vt:lpstr>Profits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b</cp:lastModifiedBy>
  <cp:lastPrinted>2026-05-25T06:40:55Z</cp:lastPrinted>
  <dcterms:created xsi:type="dcterms:W3CDTF">2026-05-25T04:58:08Z</dcterms:created>
  <dcterms:modified xsi:type="dcterms:W3CDTF">2026-05-25T11:26:56Z</dcterms:modified>
</cp:coreProperties>
</file>