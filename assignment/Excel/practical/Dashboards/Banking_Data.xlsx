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ELL LATITUDE\Desktop\Dashboards\"/>
    </mc:Choice>
  </mc:AlternateContent>
  <xr:revisionPtr revIDLastSave="0" documentId="8_{1A9EF374-22AB-4F0E-9DEE-224987FA9F9B}" xr6:coauthVersionLast="47" xr6:coauthVersionMax="47" xr10:uidLastSave="{00000000-0000-0000-0000-000000000000}"/>
  <bookViews>
    <workbookView xWindow="-108" yWindow="-108" windowWidth="23256" windowHeight="12576" activeTab="4" xr2:uid="{00000000-000D-0000-FFFF-FFFF00000000}"/>
  </bookViews>
  <sheets>
    <sheet name="Banking_Demo_Data" sheetId="1" r:id="rId1"/>
    <sheet name="TABLE" sheetId="4" r:id="rId2"/>
    <sheet name="HOME" sheetId="2" r:id="rId3"/>
    <sheet name="FINANCE" sheetId="5" r:id="rId4"/>
    <sheet name="TRACTION" sheetId="6" r:id="rId5"/>
  </sheets>
  <definedNames>
    <definedName name="Slicer_Gender">#N/A</definedName>
  </definedNames>
  <calcPr calcId="191029"/>
  <pivotCaches>
    <pivotCache cacheId="5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 i="1" l="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R2"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C233" i="4"/>
  <c r="C232" i="4"/>
  <c r="C224" i="4"/>
  <c r="C218" i="4"/>
  <c r="C76" i="4"/>
  <c r="C68" i="4"/>
  <c r="C61" i="4"/>
  <c r="C26" i="4"/>
  <c r="C20" i="4"/>
  <c r="C13" i="4"/>
  <c r="C6" i="4"/>
</calcChain>
</file>

<file path=xl/sharedStrings.xml><?xml version="1.0" encoding="utf-8"?>
<sst xmlns="http://schemas.openxmlformats.org/spreadsheetml/2006/main" count="7188" uniqueCount="277">
  <si>
    <t>Client_ID</t>
  </si>
  <si>
    <t>Client_Name</t>
  </si>
  <si>
    <t>Gender</t>
  </si>
  <si>
    <t>Age</t>
  </si>
  <si>
    <t>State</t>
  </si>
  <si>
    <t>Deposit_Amount</t>
  </si>
  <si>
    <t>Withdrawal_Amount</t>
  </si>
  <si>
    <t>Credit_Score</t>
  </si>
  <si>
    <t>Transaction_Type</t>
  </si>
  <si>
    <t>Credit_Card_Type</t>
  </si>
  <si>
    <t>Account_Balance</t>
  </si>
  <si>
    <t>Monthly_Income</t>
  </si>
  <si>
    <t>Loan_Status</t>
  </si>
  <si>
    <t>Transaction_Date</t>
  </si>
  <si>
    <t>Customer_Rating_5</t>
  </si>
  <si>
    <t>Rahul Sharma</t>
  </si>
  <si>
    <t>Male</t>
  </si>
  <si>
    <t>Gujarat</t>
  </si>
  <si>
    <t>Mobile Banking</t>
  </si>
  <si>
    <t>Discover</t>
  </si>
  <si>
    <t>Rejected</t>
  </si>
  <si>
    <t>Priya Mehta</t>
  </si>
  <si>
    <t>Female</t>
  </si>
  <si>
    <t>Karnataka</t>
  </si>
  <si>
    <t>Visa</t>
  </si>
  <si>
    <t>Pending</t>
  </si>
  <si>
    <t>Diya Gupta</t>
  </si>
  <si>
    <t>Online Purchase</t>
  </si>
  <si>
    <t>Approved</t>
  </si>
  <si>
    <t>Meera Verma</t>
  </si>
  <si>
    <t>Manav Mehta</t>
  </si>
  <si>
    <t>Tamil Nadu</t>
  </si>
  <si>
    <t>ATM Withdrawal</t>
  </si>
  <si>
    <t>Priya Joshi</t>
  </si>
  <si>
    <t>Rahul Joshi</t>
  </si>
  <si>
    <t>Rajasthan</t>
  </si>
  <si>
    <t>American Express</t>
  </si>
  <si>
    <t>Meera Gupta</t>
  </si>
  <si>
    <t>Bank Transfer</t>
  </si>
  <si>
    <t>Rahul Mehta</t>
  </si>
  <si>
    <t>Maharashtra</t>
  </si>
  <si>
    <t>POS Payment</t>
  </si>
  <si>
    <t>MasterCard</t>
  </si>
  <si>
    <t>Diya Desai</t>
  </si>
  <si>
    <t>Delhi</t>
  </si>
  <si>
    <t>Sneha Trivedi</t>
  </si>
  <si>
    <t>Nisha Trivedi</t>
  </si>
  <si>
    <t>Aditya Trivedi</t>
  </si>
  <si>
    <t>Riya Patel</t>
  </si>
  <si>
    <t>Anaya Desai</t>
  </si>
  <si>
    <t>Aditya Shah</t>
  </si>
  <si>
    <t>Kavya Sharma</t>
  </si>
  <si>
    <t>Anaya Patel</t>
  </si>
  <si>
    <t>Sneha Shah</t>
  </si>
  <si>
    <t>Yash Shah</t>
  </si>
  <si>
    <t>Jay Joshi</t>
  </si>
  <si>
    <t>Vihaan Singh</t>
  </si>
  <si>
    <t>Pooja Verma</t>
  </si>
  <si>
    <t>Rohit Gupta</t>
  </si>
  <si>
    <t>RuPay</t>
  </si>
  <si>
    <t>Anaya Mehta</t>
  </si>
  <si>
    <t>Diya Sharma</t>
  </si>
  <si>
    <t>Isha Shah</t>
  </si>
  <si>
    <t>Kavya Shah</t>
  </si>
  <si>
    <t>Rahul Desai</t>
  </si>
  <si>
    <t>Priya Shah</t>
  </si>
  <si>
    <t>Jay Shah</t>
  </si>
  <si>
    <t>Manav Sharma</t>
  </si>
  <si>
    <t>Karan Joshi</t>
  </si>
  <si>
    <t>Aditya Gupta</t>
  </si>
  <si>
    <t>Priya Trivedi</t>
  </si>
  <si>
    <t>Arjun Mehta</t>
  </si>
  <si>
    <t>Rohit Desai</t>
  </si>
  <si>
    <t>Karan Shah</t>
  </si>
  <si>
    <t>Meera Mehta</t>
  </si>
  <si>
    <t>Aarav Mehta</t>
  </si>
  <si>
    <t>Anaya Sharma</t>
  </si>
  <si>
    <t>Nisha Shah</t>
  </si>
  <si>
    <t>Manav Gupta</t>
  </si>
  <si>
    <t>Vihaan Gupta</t>
  </si>
  <si>
    <t>Kavya Verma</t>
  </si>
  <si>
    <t>Diya Patel</t>
  </si>
  <si>
    <t>Kavya Joshi</t>
  </si>
  <si>
    <t>Riya Gupta</t>
  </si>
  <si>
    <t>Vihaan Joshi</t>
  </si>
  <si>
    <t>Rohit Verma</t>
  </si>
  <si>
    <t>Pooja Joshi</t>
  </si>
  <si>
    <t>Arjun Trivedi</t>
  </si>
  <si>
    <t>Priya Sharma</t>
  </si>
  <si>
    <t>Yash Mehta</t>
  </si>
  <si>
    <t>Arjun Desai</t>
  </si>
  <si>
    <t>Karan Trivedi</t>
  </si>
  <si>
    <t>Aarav Trivedi</t>
  </si>
  <si>
    <t>Isha Sharma</t>
  </si>
  <si>
    <t>Arjun Shah</t>
  </si>
  <si>
    <t>Manav Verma</t>
  </si>
  <si>
    <t>Riya Mehta</t>
  </si>
  <si>
    <t>Meera Sharma</t>
  </si>
  <si>
    <t>Kavya Trivedi</t>
  </si>
  <si>
    <t>Arjun Patel</t>
  </si>
  <si>
    <t>Rohit Trivedi</t>
  </si>
  <si>
    <t>Diya Joshi</t>
  </si>
  <si>
    <t>Riya Verma</t>
  </si>
  <si>
    <t>Sneha Singh</t>
  </si>
  <si>
    <t>Nisha Desai</t>
  </si>
  <si>
    <t>Anaya Shah</t>
  </si>
  <si>
    <t>Meera Trivedi</t>
  </si>
  <si>
    <t>Jay Gupta</t>
  </si>
  <si>
    <t>Manav Singh</t>
  </si>
  <si>
    <t>Diya Verma</t>
  </si>
  <si>
    <t>Isha Trivedi</t>
  </si>
  <si>
    <t>Arjun Sharma</t>
  </si>
  <si>
    <t>Yash Gupta</t>
  </si>
  <si>
    <t>Priya Gupta</t>
  </si>
  <si>
    <t>Rahul Trivedi</t>
  </si>
  <si>
    <t>Aditya Verma</t>
  </si>
  <si>
    <t>Jay Mehta</t>
  </si>
  <si>
    <t>Isha Mehta</t>
  </si>
  <si>
    <t>Anaya Singh</t>
  </si>
  <si>
    <t>Rahul Shah</t>
  </si>
  <si>
    <t>Meera Joshi</t>
  </si>
  <si>
    <t>Jay Trivedi</t>
  </si>
  <si>
    <t>Rohit Sharma</t>
  </si>
  <si>
    <t>Isha Patel</t>
  </si>
  <si>
    <t>Pooja Singh</t>
  </si>
  <si>
    <t>Vihaan Sharma</t>
  </si>
  <si>
    <t>Pooja Trivedi</t>
  </si>
  <si>
    <t>Sneha Sharma</t>
  </si>
  <si>
    <t>Rohit Singh</t>
  </si>
  <si>
    <t>Rahul Gupta</t>
  </si>
  <si>
    <t>Aditya Sharma</t>
  </si>
  <si>
    <t>Arjun Verma</t>
  </si>
  <si>
    <t>Sneha Patel</t>
  </si>
  <si>
    <t>Manav Patel</t>
  </si>
  <si>
    <t>Rohit Mehta</t>
  </si>
  <si>
    <t>Sneha Joshi</t>
  </si>
  <si>
    <t>Aditya Joshi</t>
  </si>
  <si>
    <t>Rahul Verma</t>
  </si>
  <si>
    <t>Priya Verma</t>
  </si>
  <si>
    <t>Nisha Patel</t>
  </si>
  <si>
    <t>Diya Singh</t>
  </si>
  <si>
    <t>Isha Gupta</t>
  </si>
  <si>
    <t>Isha Joshi</t>
  </si>
  <si>
    <t>Vihaan Mehta</t>
  </si>
  <si>
    <t>Jay Patel</t>
  </si>
  <si>
    <t>Kavya Patel</t>
  </si>
  <si>
    <t>Sneha Desai</t>
  </si>
  <si>
    <t>Rahul Singh</t>
  </si>
  <si>
    <t>Karan Gupta</t>
  </si>
  <si>
    <t>Priya Patel</t>
  </si>
  <si>
    <t>Aarav Singh</t>
  </si>
  <si>
    <t>Nisha Gupta</t>
  </si>
  <si>
    <t>Meera Desai</t>
  </si>
  <si>
    <t>Aditya Desai</t>
  </si>
  <si>
    <t>Vihaan Shah</t>
  </si>
  <si>
    <t>Yash Verma</t>
  </si>
  <si>
    <t>Aarav Gupta</t>
  </si>
  <si>
    <t>Nisha Singh</t>
  </si>
  <si>
    <t>Aditya Singh</t>
  </si>
  <si>
    <t>Pooja Gupta</t>
  </si>
  <si>
    <t>Pooja Shah</t>
  </si>
  <si>
    <t>Manav Trivedi</t>
  </si>
  <si>
    <t>Yash Joshi</t>
  </si>
  <si>
    <t>Priya Desai</t>
  </si>
  <si>
    <t>Rohit Joshi</t>
  </si>
  <si>
    <t>Aditya Mehta</t>
  </si>
  <si>
    <t>Kavya Desai</t>
  </si>
  <si>
    <t>Kavya Gupta</t>
  </si>
  <si>
    <t>Arjun Singh</t>
  </si>
  <si>
    <t>Sneha Gupta</t>
  </si>
  <si>
    <t>Pooja Patel</t>
  </si>
  <si>
    <t>Anaya Trivedi</t>
  </si>
  <si>
    <t>Aarav Verma</t>
  </si>
  <si>
    <t>Vihaan Verma</t>
  </si>
  <si>
    <t>Yash Singh</t>
  </si>
  <si>
    <t>Nisha Mehta</t>
  </si>
  <si>
    <t>Arjun Gupta</t>
  </si>
  <si>
    <t>Karan Singh</t>
  </si>
  <si>
    <t>Riya Desai</t>
  </si>
  <si>
    <t>Arjun Joshi</t>
  </si>
  <si>
    <t>Manav Desai</t>
  </si>
  <si>
    <t>Yash Patel</t>
  </si>
  <si>
    <t>Aarav Patel</t>
  </si>
  <si>
    <t>Sneha Mehta</t>
  </si>
  <si>
    <t>Yash Sharma</t>
  </si>
  <si>
    <t>Pooja Mehta</t>
  </si>
  <si>
    <t>Nisha Verma</t>
  </si>
  <si>
    <t>Aarav Desai</t>
  </si>
  <si>
    <t>Karan Verma</t>
  </si>
  <si>
    <t>Kavya Singh</t>
  </si>
  <si>
    <t>Isha Verma</t>
  </si>
  <si>
    <t>Pooja Desai</t>
  </si>
  <si>
    <t>Kavya Mehta</t>
  </si>
  <si>
    <t>Jay Desai</t>
  </si>
  <si>
    <t>Meera Shah</t>
  </si>
  <si>
    <t>Priya Singh</t>
  </si>
  <si>
    <t>Diya Shah</t>
  </si>
  <si>
    <t>Rohit Shah</t>
  </si>
  <si>
    <t>Aditya Patel</t>
  </si>
  <si>
    <t>Diya Trivedi</t>
  </si>
  <si>
    <t>Diya Mehta</t>
  </si>
  <si>
    <t>Isha Desai</t>
  </si>
  <si>
    <t>Aarav Joshi</t>
  </si>
  <si>
    <t>Manav Shah</t>
  </si>
  <si>
    <t>Karan Patel</t>
  </si>
  <si>
    <t>Aarav Sharma</t>
  </si>
  <si>
    <t>Meera Patel</t>
  </si>
  <si>
    <t>Jay Verma</t>
  </si>
  <si>
    <t>Meera Singh</t>
  </si>
  <si>
    <t>Jay Singh</t>
  </si>
  <si>
    <t>Karan Mehta</t>
  </si>
  <si>
    <t>Riya Shah</t>
  </si>
  <si>
    <t>Riya Trivedi</t>
  </si>
  <si>
    <t>Jay Sharma</t>
  </si>
  <si>
    <t>Anaya Verma</t>
  </si>
  <si>
    <t>Karan Desai</t>
  </si>
  <si>
    <t>Manav Joshi</t>
  </si>
  <si>
    <t>Rohit Patel</t>
  </si>
  <si>
    <t>Anaya Joshi</t>
  </si>
  <si>
    <t>Riya Joshi</t>
  </si>
  <si>
    <t>Aarav Shah</t>
  </si>
  <si>
    <t>Vihaan Desai</t>
  </si>
  <si>
    <t>Yash Desai</t>
  </si>
  <si>
    <t>Isha Singh</t>
  </si>
  <si>
    <t>Nisha Sharma</t>
  </si>
  <si>
    <t>Rahul Patel</t>
  </si>
  <si>
    <t>Riya Singh</t>
  </si>
  <si>
    <t>Nisha Joshi</t>
  </si>
  <si>
    <t>Karan Sharma</t>
  </si>
  <si>
    <t>Yash Trivedi</t>
  </si>
  <si>
    <t>Vihaan Trivedi</t>
  </si>
  <si>
    <t>Pooja Sharma</t>
  </si>
  <si>
    <t>Vihaan Patel</t>
  </si>
  <si>
    <t>Riya Sharma</t>
  </si>
  <si>
    <t>Row Labels</t>
  </si>
  <si>
    <t>Grand Total</t>
  </si>
  <si>
    <t>Count of Client_Name</t>
  </si>
  <si>
    <t>Average of Monthly_Income</t>
  </si>
  <si>
    <t>Average of Age</t>
  </si>
  <si>
    <t>Average of Deposit_Amount</t>
  </si>
  <si>
    <t>Loan Risk</t>
  </si>
  <si>
    <t>High Risk</t>
  </si>
  <si>
    <t>Low Risk</t>
  </si>
  <si>
    <t>Midum Risk</t>
  </si>
  <si>
    <t>Column1</t>
  </si>
  <si>
    <t>date</t>
  </si>
  <si>
    <t>Jan</t>
  </si>
  <si>
    <t>Feb</t>
  </si>
  <si>
    <t>Mar</t>
  </si>
  <si>
    <t>Apr</t>
  </si>
  <si>
    <t>May</t>
  </si>
  <si>
    <t>Jun</t>
  </si>
  <si>
    <t>Jul</t>
  </si>
  <si>
    <t>Aug</t>
  </si>
  <si>
    <t>Sep</t>
  </si>
  <si>
    <t>Oct</t>
  </si>
  <si>
    <t>Nov</t>
  </si>
  <si>
    <t>Dec</t>
  </si>
  <si>
    <t>Count of Column1</t>
  </si>
  <si>
    <t>High Income</t>
  </si>
  <si>
    <t>Low Income</t>
  </si>
  <si>
    <t>Midum Income</t>
  </si>
  <si>
    <t>Sum of Withdrawal_Amount</t>
  </si>
  <si>
    <t>Average of Credit_Score</t>
  </si>
  <si>
    <t>Average of Withdrawal_Amount</t>
  </si>
  <si>
    <t>Sum of Deposit_Amount</t>
  </si>
  <si>
    <t>Credit Score</t>
  </si>
  <si>
    <t>Count of Credit Score</t>
  </si>
  <si>
    <t>Good</t>
  </si>
  <si>
    <t xml:space="preserve">Midum </t>
  </si>
  <si>
    <t>Poor</t>
  </si>
  <si>
    <t>Trantions</t>
  </si>
  <si>
    <t>Sum of Trantions</t>
  </si>
  <si>
    <t>Tration P/F</t>
  </si>
  <si>
    <t>pass</t>
  </si>
  <si>
    <t>failed</t>
  </si>
  <si>
    <t>Count of Trantions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</si>
</sst>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quot;₹&quot;\ #,##0"/>
    <numFmt numFmtId="173" formatCode="_ &quot;₹&quot;\ * #,##0_ ;_ &quot;₹&quot;\ * \-#,##0_ ;_ &quot;₹&quot;\ * &quot;-&quot;??_ ;_ @_ "/>
    <numFmt numFmtId="174" formatCode="#,##0.00_ ;\-#,##0.00\ "/>
  </numFmts>
  <fonts count="4" x14ac:knownFonts="1">
    <font>
      <sz val="11"/>
      <color theme="1"/>
      <name val="Calibri"/>
      <family val="2"/>
      <scheme val="minor"/>
    </font>
    <font>
      <b/>
      <sz val="11"/>
      <name val="Calibri"/>
    </font>
    <font>
      <b/>
      <sz val="11"/>
      <name val="Calibri"/>
      <family val="2"/>
    </font>
    <font>
      <b/>
      <sz val="24"/>
      <color rgb="FF4566B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0" fontId="2" fillId="0" borderId="0" xfId="0" applyFont="1"/>
    <xf numFmtId="14" fontId="0" fillId="0" borderId="0" xfId="0" applyNumberFormat="1"/>
    <xf numFmtId="164" fontId="1" fillId="0" borderId="0" xfId="0" applyNumberFormat="1" applyFont="1"/>
    <xf numFmtId="10" fontId="0" fillId="0" borderId="0" xfId="0" applyNumberFormat="1"/>
    <xf numFmtId="0" fontId="0" fillId="0" borderId="0" xfId="0" applyNumberFormat="1"/>
    <xf numFmtId="44" fontId="0" fillId="0" borderId="0" xfId="0" pivotButton="1" applyNumberFormat="1"/>
    <xf numFmtId="44" fontId="0" fillId="0" borderId="0" xfId="0" applyNumberFormat="1"/>
    <xf numFmtId="44" fontId="0" fillId="0" borderId="0" xfId="0" applyNumberFormat="1" applyAlignment="1">
      <alignment horizontal="left"/>
    </xf>
    <xf numFmtId="0" fontId="3" fillId="0" borderId="0" xfId="0" applyFont="1"/>
    <xf numFmtId="173" fontId="0" fillId="0" borderId="0" xfId="0" applyNumberFormat="1"/>
    <xf numFmtId="174" fontId="0" fillId="0" borderId="0" xfId="0" applyNumberFormat="1"/>
  </cellXfs>
  <cellStyles count="1">
    <cellStyle name="Normal" xfId="0" builtinId="0"/>
  </cellStyles>
  <dxfs count="1643">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4" formatCode="#,##0.00_ ;\-#,##0.00\ "/>
    </dxf>
    <dxf>
      <numFmt numFmtId="2" formatCode="0.00"/>
    </dxf>
    <dxf>
      <numFmt numFmtId="1" formatCode="0"/>
    </dxf>
    <dxf>
      <numFmt numFmtId="1" formatCode="0"/>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64" formatCode="&quot;₹&quot;\ #,##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1" formatCode="_ &quot;₹&quot;\ * #,##0.00000_ ;_ &quot;₹&quot;\ * \-#,##0.00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4" formatCode="#,##0.00_ ;\-#,##0.00\ "/>
    </dxf>
    <dxf>
      <numFmt numFmtId="2" formatCode="0.00"/>
    </dxf>
    <dxf>
      <numFmt numFmtId="1" formatCode="0"/>
    </dxf>
    <dxf>
      <numFmt numFmtId="1" formatCode="0"/>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64" formatCode="&quot;₹&quot;\ #,##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1" formatCode="_ &quot;₹&quot;\ * #,##0.00000_ ;_ &quot;₹&quot;\ * \-#,##0.00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4" formatCode="#,##0.00_ ;\-#,##0.00\ "/>
    </dxf>
    <dxf>
      <numFmt numFmtId="2" formatCode="0.00"/>
    </dxf>
    <dxf>
      <numFmt numFmtId="1" formatCode="0"/>
    </dxf>
    <dxf>
      <numFmt numFmtId="1" formatCode="0"/>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64" formatCode="&quot;₹&quot;\ #,##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1" formatCode="_ &quot;₹&quot;\ * #,##0.00000_ ;_ &quot;₹&quot;\ * \-#,##0.00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4" formatCode="#,##0.00_ ;\-#,##0.00\ "/>
    </dxf>
    <dxf>
      <numFmt numFmtId="2" formatCode="0.00"/>
    </dxf>
    <dxf>
      <numFmt numFmtId="1" formatCode="0"/>
    </dxf>
    <dxf>
      <numFmt numFmtId="1" formatCode="0"/>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64" formatCode="&quot;₹&quot;\ #,##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1" formatCode="_ &quot;₹&quot;\ * #,##0.00000_ ;_ &quot;₹&quot;\ * \-#,##0.00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4" formatCode="#,##0.00_ ;\-#,##0.00\ "/>
    </dxf>
    <dxf>
      <numFmt numFmtId="2" formatCode="0.00"/>
    </dxf>
    <dxf>
      <numFmt numFmtId="1" formatCode="0"/>
    </dxf>
    <dxf>
      <numFmt numFmtId="1" formatCode="0"/>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64" formatCode="&quot;₹&quot;\ #,##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1" formatCode="_ &quot;₹&quot;\ * #,##0.00000_ ;_ &quot;₹&quot;\ * \-#,##0.00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4" formatCode="#,##0.00_ ;\-#,##0.00\ "/>
    </dxf>
    <dxf>
      <numFmt numFmtId="2" formatCode="0.00"/>
    </dxf>
    <dxf>
      <numFmt numFmtId="1" formatCode="0"/>
    </dxf>
    <dxf>
      <numFmt numFmtId="1" formatCode="0"/>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64" formatCode="&quot;₹&quot;\ #,##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1" formatCode="_ &quot;₹&quot;\ * #,##0.00000_ ;_ &quot;₹&quot;\ * \-#,##0.00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4" formatCode="#,##0.00_ ;\-#,##0.00\ "/>
    </dxf>
    <dxf>
      <numFmt numFmtId="2" formatCode="0.00"/>
    </dxf>
    <dxf>
      <numFmt numFmtId="1" formatCode="0"/>
    </dxf>
    <dxf>
      <numFmt numFmtId="1" formatCode="0"/>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64" formatCode="&quot;₹&quot;\ #,##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1" formatCode="_ &quot;₹&quot;\ * #,##0.00000_ ;_ &quot;₹&quot;\ * \-#,##0.00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4" formatCode="#,##0.00_ ;\-#,##0.00\ "/>
    </dxf>
    <dxf>
      <numFmt numFmtId="2" formatCode="0.00"/>
    </dxf>
    <dxf>
      <numFmt numFmtId="1" formatCode="0"/>
    </dxf>
    <dxf>
      <numFmt numFmtId="1" formatCode="0"/>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64" formatCode="&quot;₹&quot;\ #,##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1" formatCode="_ &quot;₹&quot;\ * #,##0.00000_ ;_ &quot;₹&quot;\ * \-#,##0.00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4" formatCode="#,##0.00_ ;\-#,##0.00\ "/>
    </dxf>
    <dxf>
      <numFmt numFmtId="2" formatCode="0.00"/>
    </dxf>
    <dxf>
      <numFmt numFmtId="1" formatCode="0"/>
    </dxf>
    <dxf>
      <numFmt numFmtId="1" formatCode="0"/>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64" formatCode="&quot;₹&quot;\ #,##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1" formatCode="_ &quot;₹&quot;\ * #,##0.00000_ ;_ &quot;₹&quot;\ * \-#,##0.00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4" formatCode="#,##0.00_ ;\-#,##0.00\ "/>
    </dxf>
    <dxf>
      <numFmt numFmtId="2" formatCode="0.00"/>
    </dxf>
    <dxf>
      <numFmt numFmtId="1" formatCode="0"/>
    </dxf>
    <dxf>
      <numFmt numFmtId="1" formatCode="0"/>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64" formatCode="&quot;₹&quot;\ #,##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1" formatCode="_ &quot;₹&quot;\ * #,##0.00000_ ;_ &quot;₹&quot;\ * \-#,##0.00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4" formatCode="#,##0.00_ ;\-#,##0.00\ "/>
    </dxf>
    <dxf>
      <numFmt numFmtId="2" formatCode="0.00"/>
    </dxf>
    <dxf>
      <numFmt numFmtId="1" formatCode="0"/>
    </dxf>
    <dxf>
      <numFmt numFmtId="1" formatCode="0"/>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64" formatCode="&quot;₹&quot;\ #,##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1" formatCode="_ &quot;₹&quot;\ * #,##0.00000_ ;_ &quot;₹&quot;\ * \-#,##0.00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4" formatCode="#,##0.00_ ;\-#,##0.00\ "/>
    </dxf>
    <dxf>
      <numFmt numFmtId="2" formatCode="0.00"/>
    </dxf>
    <dxf>
      <numFmt numFmtId="1" formatCode="0"/>
    </dxf>
    <dxf>
      <numFmt numFmtId="1" formatCode="0"/>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64" formatCode="&quot;₹&quot;\ #,##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1" formatCode="_ &quot;₹&quot;\ * #,##0.00000_ ;_ &quot;₹&quot;\ * \-#,##0.00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4" formatCode="#,##0.00_ ;\-#,##0.00\ "/>
    </dxf>
    <dxf>
      <numFmt numFmtId="2" formatCode="0.00"/>
    </dxf>
    <dxf>
      <numFmt numFmtId="1" formatCode="0"/>
    </dxf>
    <dxf>
      <numFmt numFmtId="1" formatCode="0"/>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64" formatCode="&quot;₹&quot;\ #,##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1" formatCode="_ &quot;₹&quot;\ * #,##0.00000_ ;_ &quot;₹&quot;\ * \-#,##0.00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4" formatCode="#,##0.00_ ;\-#,##0.00\ "/>
    </dxf>
    <dxf>
      <numFmt numFmtId="2" formatCode="0.00"/>
    </dxf>
    <dxf>
      <numFmt numFmtId="1" formatCode="0"/>
    </dxf>
    <dxf>
      <numFmt numFmtId="1" formatCode="0"/>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64" formatCode="&quot;₹&quot;\ #,##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1" formatCode="_ &quot;₹&quot;\ * #,##0.00000_ ;_ &quot;₹&quot;\ * \-#,##0.00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4" formatCode="#,##0.00_ ;\-#,##0.00\ "/>
    </dxf>
    <dxf>
      <numFmt numFmtId="2" formatCode="0.00"/>
    </dxf>
    <dxf>
      <numFmt numFmtId="1" formatCode="0"/>
    </dxf>
    <dxf>
      <numFmt numFmtId="1" formatCode="0"/>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64" formatCode="&quot;₹&quot;\ #,##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1" formatCode="_ &quot;₹&quot;\ * #,##0.00000_ ;_ &quot;₹&quot;\ * \-#,##0.00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4" formatCode="#,##0.00_ ;\-#,##0.00\ "/>
    </dxf>
    <dxf>
      <numFmt numFmtId="2" formatCode="0.00"/>
    </dxf>
    <dxf>
      <numFmt numFmtId="1" formatCode="0"/>
    </dxf>
    <dxf>
      <numFmt numFmtId="1" formatCode="0"/>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64" formatCode="&quot;₹&quot;\ #,##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1" formatCode="_ &quot;₹&quot;\ * #,##0.00000_ ;_ &quot;₹&quot;\ * \-#,##0.00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4" formatCode="#,##0.00_ ;\-#,##0.00\ "/>
    </dxf>
    <dxf>
      <numFmt numFmtId="2" formatCode="0.00"/>
    </dxf>
    <dxf>
      <numFmt numFmtId="1" formatCode="0"/>
    </dxf>
    <dxf>
      <numFmt numFmtId="1" formatCode="0"/>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64" formatCode="&quot;₹&quot;\ #,##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1" formatCode="_ &quot;₹&quot;\ * #,##0.00000_ ;_ &quot;₹&quot;\ * \-#,##0.00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4" formatCode="#,##0.00_ ;\-#,##0.00\ "/>
    </dxf>
    <dxf>
      <numFmt numFmtId="2" formatCode="0.00"/>
    </dxf>
    <dxf>
      <numFmt numFmtId="1" formatCode="0"/>
    </dxf>
    <dxf>
      <numFmt numFmtId="1" formatCode="0"/>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64" formatCode="&quot;₹&quot;\ #,##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1" formatCode="_ &quot;₹&quot;\ * #,##0.00000_ ;_ &quot;₹&quot;\ * \-#,##0.00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4" formatCode="#,##0.00_ ;\-#,##0.00\ "/>
    </dxf>
    <dxf>
      <numFmt numFmtId="2" formatCode="0.00"/>
    </dxf>
    <dxf>
      <numFmt numFmtId="1" formatCode="0"/>
    </dxf>
    <dxf>
      <numFmt numFmtId="1" formatCode="0"/>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64" formatCode="&quot;₹&quot;\ #,##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1" formatCode="_ &quot;₹&quot;\ * #,##0.00000_ ;_ &quot;₹&quot;\ * \-#,##0.00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4" formatCode="#,##0.00_ ;\-#,##0.00\ "/>
    </dxf>
    <dxf>
      <numFmt numFmtId="2" formatCode="0.00"/>
    </dxf>
    <dxf>
      <numFmt numFmtId="1" formatCode="0"/>
    </dxf>
    <dxf>
      <numFmt numFmtId="1" formatCode="0"/>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64" formatCode="&quot;₹&quot;\ #,##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1" formatCode="_ &quot;₹&quot;\ * #,##0.00000_ ;_ &quot;₹&quot;\ * \-#,##0.00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4" formatCode="#,##0.00_ ;\-#,##0.00\ "/>
    </dxf>
    <dxf>
      <numFmt numFmtId="2" formatCode="0.00"/>
    </dxf>
    <dxf>
      <numFmt numFmtId="1" formatCode="0"/>
    </dxf>
    <dxf>
      <numFmt numFmtId="1" formatCode="0"/>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64" formatCode="&quot;₹&quot;\ #,##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1" formatCode="_ &quot;₹&quot;\ * #,##0.00000_ ;_ &quot;₹&quot;\ * \-#,##0.00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4" formatCode="#,##0.00_ ;\-#,##0.00\ "/>
    </dxf>
    <dxf>
      <numFmt numFmtId="2" formatCode="0.00"/>
    </dxf>
    <dxf>
      <numFmt numFmtId="1" formatCode="0"/>
    </dxf>
    <dxf>
      <numFmt numFmtId="1" formatCode="0"/>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64" formatCode="&quot;₹&quot;\ #,##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1" formatCode="_ &quot;₹&quot;\ * #,##0.00000_ ;_ &quot;₹&quot;\ * \-#,##0.00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4" formatCode="#,##0.00_ ;\-#,##0.00\ "/>
    </dxf>
    <dxf>
      <numFmt numFmtId="2" formatCode="0.00"/>
    </dxf>
    <dxf>
      <numFmt numFmtId="1" formatCode="0"/>
    </dxf>
    <dxf>
      <numFmt numFmtId="1" formatCode="0"/>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64" formatCode="&quot;₹&quot;\ #,##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1" formatCode="_ &quot;₹&quot;\ * #,##0.00000_ ;_ &quot;₹&quot;\ * \-#,##0.00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4" formatCode="#,##0.00_ ;\-#,##0.00\ "/>
    </dxf>
    <dxf>
      <numFmt numFmtId="2" formatCode="0.00"/>
    </dxf>
    <dxf>
      <numFmt numFmtId="1" formatCode="0"/>
    </dxf>
    <dxf>
      <numFmt numFmtId="1" formatCode="0"/>
    </dxf>
    <dxf>
      <numFmt numFmtId="1" formatCode="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64" formatCode="&quot;₹&quot;\ #,##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1" formatCode="_ &quot;₹&quot;\ * #,##0.00000_ ;_ &quot;₹&quot;\ * \-#,##0.00000_ ;_ &quot;₹&quot;\ * &quot;-&quot;??_ ;_ @_ "/>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 formatCode="0"/>
    </dxf>
    <dxf>
      <numFmt numFmtId="1" formatCode="0"/>
    </dxf>
    <dxf>
      <numFmt numFmtId="1" formatCode="0"/>
    </dxf>
    <dxf>
      <numFmt numFmtId="2" formatCode="0.00"/>
    </dxf>
    <dxf>
      <numFmt numFmtId="174" formatCode="#,##0.00_ ;\-#,##0.00\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64" formatCode="&quot;₹&quot;\ #,##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3" formatCode="_ &quot;₹&quot;\ * #,##0_ ;_ &quot;₹&quot;\ * \-#,##0_ ;_ &quot;₹&quot;\ * &quot;-&quot;??_ ;_ @_ "/>
    </dxf>
    <dxf>
      <numFmt numFmtId="164" formatCode="&quot;₹&quot;\ #,##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4" formatCode="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0" formatCode="General"/>
    </dxf>
    <dxf>
      <numFmt numFmtId="173" formatCode="_ &quot;₹&quot;\ * #,##0_ ;_ &quot;₹&quot;\ * \-#,##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_ &quot;₹&quot;\ * #,##0_ ;_ &quot;₹&quot;\ * \-#,##0_ ;_ &quot;₹&quot;\ * &quot;-&quot;??_ ;_ @_ "/>
    </dxf>
    <dxf>
      <numFmt numFmtId="173" formatCode="_ &quot;₹&quot;\ * #,##0_ ;_ &quot;₹&quot;\ * \-#,##0_ ;_ &quot;₹&quot;\ * &quot;-&quot;??_ ;_ @_ "/>
    </dxf>
    <dxf>
      <numFmt numFmtId="171" formatCode="_ &quot;₹&quot;\ * #,##0.00000_ ;_ &quot;₹&quot;\ * \-#,##0.00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0" formatCode="General"/>
    </dxf>
    <dxf>
      <numFmt numFmtId="19" formatCode="dd/mm/yyyy"/>
    </dxf>
    <dxf>
      <numFmt numFmtId="0" formatCode="General"/>
    </dxf>
    <dxf>
      <numFmt numFmtId="0" formatCode="General"/>
    </dxf>
    <dxf>
      <numFmt numFmtId="164" formatCode="&quot;₹&quot;\ #,##0"/>
    </dxf>
    <dxf>
      <font>
        <b/>
        <i val="0"/>
        <strike val="0"/>
        <condense val="0"/>
        <extend val="0"/>
        <outline val="0"/>
        <shadow val="0"/>
        <u val="none"/>
        <vertAlign val="baseline"/>
        <sz val="11"/>
        <color auto="1"/>
        <name val="Calibri"/>
        <scheme val="none"/>
      </font>
    </dxf>
  </dxfs>
  <tableStyles count="0" defaultTableStyle="TableStyleMedium9" defaultPivotStyle="PivotStyleLight16"/>
  <colors>
    <mruColors>
      <color rgb="FF4566B1"/>
      <color rgb="FF00CC00"/>
      <color rgb="FFEAEAEA"/>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[Banking_Data.xlsx]TABLE!PivotTable15</c:name>
    <c:fmtId val="16"/>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12053776780363"/>
          <c:y val="0.20664503914504276"/>
          <c:w val="0.43147202262304679"/>
          <c:h val="0.66342892640037709"/>
        </c:manualLayout>
      </c:layout>
      <c:lineChart>
        <c:grouping val="stacked"/>
        <c:varyColors val="0"/>
        <c:ser>
          <c:idx val="0"/>
          <c:order val="0"/>
          <c:tx>
            <c:strRef>
              <c:f>TABLE!$B$137</c:f>
              <c:strCache>
                <c:ptCount val="1"/>
                <c:pt idx="0">
                  <c:v>Sum of Deposit_Amount</c:v>
                </c:pt>
              </c:strCache>
            </c:strRef>
          </c:tx>
          <c:spPr>
            <a:ln w="28575" cap="rnd">
              <a:solidFill>
                <a:schemeClr val="accent1"/>
              </a:solidFill>
              <a:round/>
            </a:ln>
            <a:effectLst/>
          </c:spPr>
          <c:marker>
            <c:symbol val="none"/>
          </c:marker>
          <c:cat>
            <c:strRef>
              <c:f>TABLE!$A$138:$A$150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TABLE!$B$138:$B$150</c:f>
              <c:numCache>
                <c:formatCode>_ "₹"\ * #,##0_ ;_ "₹"\ * \-#,##0_ ;_ "₹"\ * "-"??_ ;_ @_ </c:formatCode>
                <c:ptCount val="12"/>
                <c:pt idx="0">
                  <c:v>23197843.729999997</c:v>
                </c:pt>
                <c:pt idx="1">
                  <c:v>20960305.899999995</c:v>
                </c:pt>
                <c:pt idx="2">
                  <c:v>21331826.189999994</c:v>
                </c:pt>
                <c:pt idx="3">
                  <c:v>17991249.199999996</c:v>
                </c:pt>
                <c:pt idx="4">
                  <c:v>16431714.749999996</c:v>
                </c:pt>
                <c:pt idx="5">
                  <c:v>22113269.020000003</c:v>
                </c:pt>
                <c:pt idx="6">
                  <c:v>20356664.530000005</c:v>
                </c:pt>
                <c:pt idx="7">
                  <c:v>24936113.720000006</c:v>
                </c:pt>
                <c:pt idx="8">
                  <c:v>21065625.749999993</c:v>
                </c:pt>
                <c:pt idx="9">
                  <c:v>17292924.429999996</c:v>
                </c:pt>
                <c:pt idx="10">
                  <c:v>21219126.789999995</c:v>
                </c:pt>
                <c:pt idx="11">
                  <c:v>22490499.750000007</c:v>
                </c:pt>
              </c:numCache>
            </c:numRef>
          </c:val>
          <c:smooth val="0"/>
          <c:extLst>
            <c:ext xmlns:c16="http://schemas.microsoft.com/office/drawing/2014/chart" uri="{C3380CC4-5D6E-409C-BE32-E72D297353CC}">
              <c16:uniqueId val="{00000000-998E-4D67-B0FE-56E266B37B57}"/>
            </c:ext>
          </c:extLst>
        </c:ser>
        <c:ser>
          <c:idx val="1"/>
          <c:order val="1"/>
          <c:tx>
            <c:strRef>
              <c:f>TABLE!$C$137</c:f>
              <c:strCache>
                <c:ptCount val="1"/>
                <c:pt idx="0">
                  <c:v>Sum of Withdrawal_Amount</c:v>
                </c:pt>
              </c:strCache>
            </c:strRef>
          </c:tx>
          <c:spPr>
            <a:ln w="28575" cap="rnd">
              <a:solidFill>
                <a:schemeClr val="accent2"/>
              </a:solidFill>
              <a:round/>
            </a:ln>
            <a:effectLst/>
          </c:spPr>
          <c:marker>
            <c:symbol val="none"/>
          </c:marker>
          <c:cat>
            <c:strRef>
              <c:f>TABLE!$A$138:$A$150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TABLE!$C$138:$C$150</c:f>
              <c:numCache>
                <c:formatCode>_ "₹"\ * #,##0_ ;_ "₹"\ * \-#,##0_ ;_ "₹"\ * "-"??_ ;_ @_ </c:formatCode>
                <c:ptCount val="12"/>
                <c:pt idx="0">
                  <c:v>13799019.680000002</c:v>
                </c:pt>
                <c:pt idx="1">
                  <c:v>13760085.42</c:v>
                </c:pt>
                <c:pt idx="2">
                  <c:v>12626538.979999995</c:v>
                </c:pt>
                <c:pt idx="3">
                  <c:v>10924638.079999998</c:v>
                </c:pt>
                <c:pt idx="4">
                  <c:v>9300598.8900000006</c:v>
                </c:pt>
                <c:pt idx="5">
                  <c:v>12968027.76</c:v>
                </c:pt>
                <c:pt idx="6">
                  <c:v>10491798.350000003</c:v>
                </c:pt>
                <c:pt idx="7">
                  <c:v>15951090.930000003</c:v>
                </c:pt>
                <c:pt idx="8">
                  <c:v>14294043.679999994</c:v>
                </c:pt>
                <c:pt idx="9">
                  <c:v>11450608.67</c:v>
                </c:pt>
                <c:pt idx="10">
                  <c:v>13105849.75</c:v>
                </c:pt>
                <c:pt idx="11">
                  <c:v>14269755.469999995</c:v>
                </c:pt>
              </c:numCache>
            </c:numRef>
          </c:val>
          <c:smooth val="0"/>
          <c:extLst>
            <c:ext xmlns:c16="http://schemas.microsoft.com/office/drawing/2014/chart" uri="{C3380CC4-5D6E-409C-BE32-E72D297353CC}">
              <c16:uniqueId val="{00000001-998E-4D67-B0FE-56E266B37B57}"/>
            </c:ext>
          </c:extLst>
        </c:ser>
        <c:dLbls>
          <c:showLegendKey val="0"/>
          <c:showVal val="0"/>
          <c:showCatName val="0"/>
          <c:showSerName val="0"/>
          <c:showPercent val="0"/>
          <c:showBubbleSize val="0"/>
        </c:dLbls>
        <c:smooth val="0"/>
        <c:axId val="1102642592"/>
        <c:axId val="1102651712"/>
      </c:lineChart>
      <c:catAx>
        <c:axId val="110264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651712"/>
        <c:crosses val="autoZero"/>
        <c:auto val="1"/>
        <c:lblAlgn val="ctr"/>
        <c:lblOffset val="100"/>
        <c:noMultiLvlLbl val="0"/>
      </c:catAx>
      <c:valAx>
        <c:axId val="1102651712"/>
        <c:scaling>
          <c:orientation val="minMax"/>
        </c:scaling>
        <c:delete val="0"/>
        <c:axPos val="l"/>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2642592"/>
        <c:crosses val="autoZero"/>
        <c:crossBetween val="between"/>
      </c:valAx>
      <c:spPr>
        <a:noFill/>
        <a:ln>
          <a:noFill/>
        </a:ln>
        <a:effectLst/>
      </c:spPr>
    </c:plotArea>
    <c:legend>
      <c:legendPos val="r"/>
      <c:layout>
        <c:manualLayout>
          <c:xMode val="edge"/>
          <c:yMode val="edge"/>
          <c:x val="0.12647383469703516"/>
          <c:y val="2.8159409201290703E-2"/>
          <c:w val="0.85693000689982013"/>
          <c:h val="0.167614256808257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6580927384076991E-2"/>
          <c:y val="8.533333333333333E-2"/>
          <c:w val="0.87005769367465402"/>
          <c:h val="0.81760923884514436"/>
        </c:manualLayout>
      </c:layout>
      <c:bar3DChart>
        <c:barDir val="col"/>
        <c:grouping val="standard"/>
        <c:varyColors val="0"/>
        <c:ser>
          <c:idx val="0"/>
          <c:order val="0"/>
          <c:tx>
            <c:v>Female</c:v>
          </c:tx>
          <c:spPr>
            <a:solidFill>
              <a:schemeClr val="accent1"/>
            </a:solidFill>
            <a:ln>
              <a:noFill/>
            </a:ln>
            <a:effectLst/>
            <a:sp3d/>
          </c:spPr>
          <c:invertIfNegative val="0"/>
          <c:cat>
            <c:strLit>
              <c:ptCount val="53"/>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68</c:v>
              </c:pt>
              <c:pt idx="51">
                <c:v>69</c:v>
              </c:pt>
              <c:pt idx="52">
                <c:v>70</c:v>
              </c:pt>
            </c:strLit>
          </c:cat>
          <c:val>
            <c:numLit>
              <c:formatCode>General</c:formatCode>
              <c:ptCount val="53"/>
              <c:pt idx="0">
                <c:v>11</c:v>
              </c:pt>
              <c:pt idx="1">
                <c:v>12</c:v>
              </c:pt>
              <c:pt idx="2">
                <c:v>6</c:v>
              </c:pt>
              <c:pt idx="3">
                <c:v>12</c:v>
              </c:pt>
              <c:pt idx="4">
                <c:v>8</c:v>
              </c:pt>
              <c:pt idx="5">
                <c:v>13</c:v>
              </c:pt>
              <c:pt idx="6">
                <c:v>7</c:v>
              </c:pt>
              <c:pt idx="7">
                <c:v>12</c:v>
              </c:pt>
              <c:pt idx="8">
                <c:v>6</c:v>
              </c:pt>
              <c:pt idx="9">
                <c:v>7</c:v>
              </c:pt>
              <c:pt idx="10">
                <c:v>10</c:v>
              </c:pt>
              <c:pt idx="11">
                <c:v>9</c:v>
              </c:pt>
              <c:pt idx="12">
                <c:v>7</c:v>
              </c:pt>
              <c:pt idx="13">
                <c:v>11</c:v>
              </c:pt>
              <c:pt idx="14">
                <c:v>9</c:v>
              </c:pt>
              <c:pt idx="15">
                <c:v>3</c:v>
              </c:pt>
              <c:pt idx="16">
                <c:v>11</c:v>
              </c:pt>
              <c:pt idx="17">
                <c:v>13</c:v>
              </c:pt>
              <c:pt idx="18">
                <c:v>7</c:v>
              </c:pt>
              <c:pt idx="19">
                <c:v>8</c:v>
              </c:pt>
              <c:pt idx="20">
                <c:v>4</c:v>
              </c:pt>
              <c:pt idx="21">
                <c:v>14</c:v>
              </c:pt>
              <c:pt idx="22">
                <c:v>12</c:v>
              </c:pt>
              <c:pt idx="23">
                <c:v>14</c:v>
              </c:pt>
              <c:pt idx="24">
                <c:v>9</c:v>
              </c:pt>
              <c:pt idx="25">
                <c:v>10</c:v>
              </c:pt>
              <c:pt idx="26">
                <c:v>8</c:v>
              </c:pt>
              <c:pt idx="27">
                <c:v>6</c:v>
              </c:pt>
              <c:pt idx="28">
                <c:v>11</c:v>
              </c:pt>
              <c:pt idx="29">
                <c:v>14</c:v>
              </c:pt>
              <c:pt idx="30">
                <c:v>15</c:v>
              </c:pt>
              <c:pt idx="31">
                <c:v>8</c:v>
              </c:pt>
              <c:pt idx="32">
                <c:v>15</c:v>
              </c:pt>
              <c:pt idx="33">
                <c:v>12</c:v>
              </c:pt>
              <c:pt idx="34">
                <c:v>5</c:v>
              </c:pt>
              <c:pt idx="35">
                <c:v>5</c:v>
              </c:pt>
              <c:pt idx="36">
                <c:v>9</c:v>
              </c:pt>
              <c:pt idx="37">
                <c:v>11</c:v>
              </c:pt>
              <c:pt idx="38">
                <c:v>4</c:v>
              </c:pt>
              <c:pt idx="39">
                <c:v>11</c:v>
              </c:pt>
              <c:pt idx="40">
                <c:v>6</c:v>
              </c:pt>
              <c:pt idx="41">
                <c:v>12</c:v>
              </c:pt>
              <c:pt idx="42">
                <c:v>5</c:v>
              </c:pt>
              <c:pt idx="43">
                <c:v>8</c:v>
              </c:pt>
              <c:pt idx="44">
                <c:v>10</c:v>
              </c:pt>
              <c:pt idx="45">
                <c:v>7</c:v>
              </c:pt>
              <c:pt idx="46">
                <c:v>8</c:v>
              </c:pt>
              <c:pt idx="47">
                <c:v>12</c:v>
              </c:pt>
              <c:pt idx="48">
                <c:v>8</c:v>
              </c:pt>
              <c:pt idx="49">
                <c:v>9</c:v>
              </c:pt>
              <c:pt idx="50">
                <c:v>12</c:v>
              </c:pt>
              <c:pt idx="51">
                <c:v>7</c:v>
              </c:pt>
              <c:pt idx="52">
                <c:v>8</c:v>
              </c:pt>
            </c:numLit>
          </c:val>
          <c:extLst>
            <c:ext xmlns:c16="http://schemas.microsoft.com/office/drawing/2014/chart" uri="{C3380CC4-5D6E-409C-BE32-E72D297353CC}">
              <c16:uniqueId val="{00000000-EF5A-455A-B0FE-91B29BC4319F}"/>
            </c:ext>
          </c:extLst>
        </c:ser>
        <c:ser>
          <c:idx val="1"/>
          <c:order val="1"/>
          <c:tx>
            <c:v>Male</c:v>
          </c:tx>
          <c:spPr>
            <a:solidFill>
              <a:schemeClr val="accent2"/>
            </a:solidFill>
            <a:ln>
              <a:noFill/>
            </a:ln>
            <a:effectLst/>
            <a:sp3d/>
          </c:spPr>
          <c:invertIfNegative val="0"/>
          <c:cat>
            <c:strLit>
              <c:ptCount val="53"/>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pt idx="48">
                <c:v>66</c:v>
              </c:pt>
              <c:pt idx="49">
                <c:v>67</c:v>
              </c:pt>
              <c:pt idx="50">
                <c:v>68</c:v>
              </c:pt>
              <c:pt idx="51">
                <c:v>69</c:v>
              </c:pt>
              <c:pt idx="52">
                <c:v>70</c:v>
              </c:pt>
            </c:strLit>
          </c:cat>
          <c:val>
            <c:numLit>
              <c:formatCode>General</c:formatCode>
              <c:ptCount val="53"/>
              <c:pt idx="0">
                <c:v>13</c:v>
              </c:pt>
              <c:pt idx="1">
                <c:v>6</c:v>
              </c:pt>
              <c:pt idx="2">
                <c:v>10</c:v>
              </c:pt>
              <c:pt idx="3">
                <c:v>7</c:v>
              </c:pt>
              <c:pt idx="4">
                <c:v>11</c:v>
              </c:pt>
              <c:pt idx="5">
                <c:v>10</c:v>
              </c:pt>
              <c:pt idx="6">
                <c:v>9</c:v>
              </c:pt>
              <c:pt idx="7">
                <c:v>10</c:v>
              </c:pt>
              <c:pt idx="8">
                <c:v>13</c:v>
              </c:pt>
              <c:pt idx="9">
                <c:v>16</c:v>
              </c:pt>
              <c:pt idx="10">
                <c:v>7</c:v>
              </c:pt>
              <c:pt idx="11">
                <c:v>11</c:v>
              </c:pt>
              <c:pt idx="12">
                <c:v>9</c:v>
              </c:pt>
              <c:pt idx="13">
                <c:v>16</c:v>
              </c:pt>
              <c:pt idx="14">
                <c:v>12</c:v>
              </c:pt>
              <c:pt idx="15">
                <c:v>16</c:v>
              </c:pt>
              <c:pt idx="16">
                <c:v>9</c:v>
              </c:pt>
              <c:pt idx="17">
                <c:v>7</c:v>
              </c:pt>
              <c:pt idx="18">
                <c:v>5</c:v>
              </c:pt>
              <c:pt idx="19">
                <c:v>6</c:v>
              </c:pt>
              <c:pt idx="20">
                <c:v>9</c:v>
              </c:pt>
              <c:pt idx="21">
                <c:v>6</c:v>
              </c:pt>
              <c:pt idx="22">
                <c:v>13</c:v>
              </c:pt>
              <c:pt idx="23">
                <c:v>8</c:v>
              </c:pt>
              <c:pt idx="24">
                <c:v>12</c:v>
              </c:pt>
              <c:pt idx="25">
                <c:v>10</c:v>
              </c:pt>
              <c:pt idx="26">
                <c:v>8</c:v>
              </c:pt>
              <c:pt idx="27">
                <c:v>13</c:v>
              </c:pt>
              <c:pt idx="28">
                <c:v>9</c:v>
              </c:pt>
              <c:pt idx="29">
                <c:v>7</c:v>
              </c:pt>
              <c:pt idx="30">
                <c:v>5</c:v>
              </c:pt>
              <c:pt idx="31">
                <c:v>13</c:v>
              </c:pt>
              <c:pt idx="32">
                <c:v>8</c:v>
              </c:pt>
              <c:pt idx="33">
                <c:v>15</c:v>
              </c:pt>
              <c:pt idx="34">
                <c:v>7</c:v>
              </c:pt>
              <c:pt idx="35">
                <c:v>11</c:v>
              </c:pt>
              <c:pt idx="36">
                <c:v>8</c:v>
              </c:pt>
              <c:pt idx="37">
                <c:v>5</c:v>
              </c:pt>
              <c:pt idx="38">
                <c:v>8</c:v>
              </c:pt>
              <c:pt idx="39">
                <c:v>10</c:v>
              </c:pt>
              <c:pt idx="40">
                <c:v>11</c:v>
              </c:pt>
              <c:pt idx="41">
                <c:v>5</c:v>
              </c:pt>
              <c:pt idx="42">
                <c:v>15</c:v>
              </c:pt>
              <c:pt idx="43">
                <c:v>9</c:v>
              </c:pt>
              <c:pt idx="44">
                <c:v>11</c:v>
              </c:pt>
              <c:pt idx="45">
                <c:v>6</c:v>
              </c:pt>
              <c:pt idx="46">
                <c:v>3</c:v>
              </c:pt>
              <c:pt idx="47">
                <c:v>6</c:v>
              </c:pt>
              <c:pt idx="48">
                <c:v>9</c:v>
              </c:pt>
              <c:pt idx="49">
                <c:v>11</c:v>
              </c:pt>
              <c:pt idx="50">
                <c:v>8</c:v>
              </c:pt>
              <c:pt idx="51">
                <c:v>16</c:v>
              </c:pt>
              <c:pt idx="52">
                <c:v>11</c:v>
              </c:pt>
            </c:numLit>
          </c:val>
          <c:extLst>
            <c:ext xmlns:c16="http://schemas.microsoft.com/office/drawing/2014/chart" uri="{C3380CC4-5D6E-409C-BE32-E72D297353CC}">
              <c16:uniqueId val="{00000004-EF5A-455A-B0FE-91B29BC4319F}"/>
            </c:ext>
          </c:extLst>
        </c:ser>
        <c:dLbls>
          <c:showLegendKey val="0"/>
          <c:showVal val="0"/>
          <c:showCatName val="0"/>
          <c:showSerName val="0"/>
          <c:showPercent val="0"/>
          <c:showBubbleSize val="0"/>
        </c:dLbls>
        <c:gapWidth val="150"/>
        <c:shape val="box"/>
        <c:axId val="1640790319"/>
        <c:axId val="1640798479"/>
        <c:axId val="1650705503"/>
      </c:bar3DChart>
      <c:catAx>
        <c:axId val="1640790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640798479"/>
        <c:crosses val="autoZero"/>
        <c:auto val="1"/>
        <c:lblAlgn val="ctr"/>
        <c:lblOffset val="100"/>
        <c:noMultiLvlLbl val="0"/>
      </c:catAx>
      <c:valAx>
        <c:axId val="1640798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640790319"/>
        <c:crosses val="autoZero"/>
        <c:crossBetween val="between"/>
      </c:valAx>
      <c:serAx>
        <c:axId val="1650705503"/>
        <c:scaling>
          <c:orientation val="minMax"/>
        </c:scaling>
        <c:delete val="1"/>
        <c:axPos val="b"/>
        <c:majorTickMark val="none"/>
        <c:minorTickMark val="none"/>
        <c:tickLblPos val="nextTo"/>
        <c:crossAx val="164079847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[Banking_Data.xlsx]TABLE!PivotTable6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TABLE!$B$88</c:f>
              <c:strCache>
                <c:ptCount val="1"/>
                <c:pt idx="0">
                  <c:v>Total</c:v>
                </c:pt>
              </c:strCache>
            </c:strRef>
          </c:tx>
          <c:spPr>
            <a:solidFill>
              <a:schemeClr val="accent1"/>
            </a:solidFill>
            <a:ln>
              <a:noFill/>
            </a:ln>
            <a:effectLst/>
          </c:spPr>
          <c:invertIfNegative val="0"/>
          <c:cat>
            <c:strRef>
              <c:f>TABLE!$A$89:$A$92</c:f>
              <c:strCache>
                <c:ptCount val="3"/>
                <c:pt idx="0">
                  <c:v>High Risk</c:v>
                </c:pt>
                <c:pt idx="1">
                  <c:v>Low Risk</c:v>
                </c:pt>
                <c:pt idx="2">
                  <c:v>Midum Risk</c:v>
                </c:pt>
              </c:strCache>
            </c:strRef>
          </c:cat>
          <c:val>
            <c:numRef>
              <c:f>TABLE!$B$89:$B$92</c:f>
              <c:numCache>
                <c:formatCode>General</c:formatCode>
                <c:ptCount val="3"/>
                <c:pt idx="0">
                  <c:v>172</c:v>
                </c:pt>
                <c:pt idx="1">
                  <c:v>486</c:v>
                </c:pt>
                <c:pt idx="2">
                  <c:v>342</c:v>
                </c:pt>
              </c:numCache>
            </c:numRef>
          </c:val>
          <c:extLst>
            <c:ext xmlns:c16="http://schemas.microsoft.com/office/drawing/2014/chart" uri="{C3380CC4-5D6E-409C-BE32-E72D297353CC}">
              <c16:uniqueId val="{00000000-681B-429F-88CB-051A31238CBD}"/>
            </c:ext>
          </c:extLst>
        </c:ser>
        <c:dLbls>
          <c:showLegendKey val="0"/>
          <c:showVal val="0"/>
          <c:showCatName val="0"/>
          <c:showSerName val="0"/>
          <c:showPercent val="0"/>
          <c:showBubbleSize val="0"/>
        </c:dLbls>
        <c:gapWidth val="219"/>
        <c:overlap val="-27"/>
        <c:axId val="1888919503"/>
        <c:axId val="1888897903"/>
      </c:barChart>
      <c:catAx>
        <c:axId val="1888919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888897903"/>
        <c:crosses val="autoZero"/>
        <c:auto val="1"/>
        <c:lblAlgn val="ctr"/>
        <c:lblOffset val="100"/>
        <c:noMultiLvlLbl val="0"/>
      </c:catAx>
      <c:valAx>
        <c:axId val="1888897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888919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[Banking_Data.xlsx]TABLE!PivotTable10</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TABLE!$B$30</c:f>
              <c:strCache>
                <c:ptCount val="1"/>
                <c:pt idx="0">
                  <c:v>Total</c:v>
                </c:pt>
              </c:strCache>
            </c:strRef>
          </c:tx>
          <c:spPr>
            <a:ln w="28575" cap="rnd">
              <a:solidFill>
                <a:schemeClr val="accent1"/>
              </a:solidFill>
              <a:round/>
            </a:ln>
            <a:effectLst/>
          </c:spPr>
          <c:marker>
            <c:symbol val="none"/>
          </c:marker>
          <c:cat>
            <c:strRef>
              <c:f>TABLE!$A$31:$A$43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TABLE!$B$31:$B$43</c:f>
              <c:numCache>
                <c:formatCode>General</c:formatCode>
                <c:ptCount val="12"/>
                <c:pt idx="0">
                  <c:v>97</c:v>
                </c:pt>
                <c:pt idx="1">
                  <c:v>82</c:v>
                </c:pt>
                <c:pt idx="2">
                  <c:v>87</c:v>
                </c:pt>
                <c:pt idx="3">
                  <c:v>73</c:v>
                </c:pt>
                <c:pt idx="4">
                  <c:v>64</c:v>
                </c:pt>
                <c:pt idx="5">
                  <c:v>91</c:v>
                </c:pt>
                <c:pt idx="6">
                  <c:v>73</c:v>
                </c:pt>
                <c:pt idx="7">
                  <c:v>97</c:v>
                </c:pt>
                <c:pt idx="8">
                  <c:v>89</c:v>
                </c:pt>
                <c:pt idx="9">
                  <c:v>73</c:v>
                </c:pt>
                <c:pt idx="10">
                  <c:v>83</c:v>
                </c:pt>
                <c:pt idx="11">
                  <c:v>91</c:v>
                </c:pt>
              </c:numCache>
            </c:numRef>
          </c:val>
          <c:smooth val="0"/>
          <c:extLst>
            <c:ext xmlns:c16="http://schemas.microsoft.com/office/drawing/2014/chart" uri="{C3380CC4-5D6E-409C-BE32-E72D297353CC}">
              <c16:uniqueId val="{00000000-FC41-4981-9473-50EE85E84CB5}"/>
            </c:ext>
          </c:extLst>
        </c:ser>
        <c:dLbls>
          <c:showLegendKey val="0"/>
          <c:showVal val="0"/>
          <c:showCatName val="0"/>
          <c:showSerName val="0"/>
          <c:showPercent val="0"/>
          <c:showBubbleSize val="0"/>
        </c:dLbls>
        <c:smooth val="0"/>
        <c:axId val="1888941583"/>
        <c:axId val="1888948303"/>
      </c:lineChart>
      <c:catAx>
        <c:axId val="1888941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888948303"/>
        <c:crosses val="autoZero"/>
        <c:auto val="1"/>
        <c:lblAlgn val="ctr"/>
        <c:lblOffset val="100"/>
        <c:noMultiLvlLbl val="0"/>
      </c:catAx>
      <c:valAx>
        <c:axId val="18889483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888941583"/>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[Banking_Data.xlsx]TABLE!PivotTable11</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TABLE!$B$48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9A-4FAC-BC20-A56BA847F2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9A-4FAC-BC20-A56BA847F25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79A-4FAC-BC20-A56BA847F250}"/>
              </c:ext>
            </c:extLst>
          </c:dPt>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TABLE!$A$49:$A$52</c:f>
              <c:strCache>
                <c:ptCount val="3"/>
                <c:pt idx="0">
                  <c:v>High Income</c:v>
                </c:pt>
                <c:pt idx="1">
                  <c:v>Low Income</c:v>
                </c:pt>
                <c:pt idx="2">
                  <c:v>Midum Income</c:v>
                </c:pt>
              </c:strCache>
            </c:strRef>
          </c:cat>
          <c:val>
            <c:numRef>
              <c:f>TABLE!$B$49:$B$52</c:f>
              <c:numCache>
                <c:formatCode>0.00%</c:formatCode>
                <c:ptCount val="3"/>
                <c:pt idx="0">
                  <c:v>0.59</c:v>
                </c:pt>
                <c:pt idx="1">
                  <c:v>0.20399999999999999</c:v>
                </c:pt>
                <c:pt idx="2">
                  <c:v>0.20599999999999999</c:v>
                </c:pt>
              </c:numCache>
            </c:numRef>
          </c:val>
          <c:extLst>
            <c:ext xmlns:c16="http://schemas.microsoft.com/office/drawing/2014/chart" uri="{C3380CC4-5D6E-409C-BE32-E72D297353CC}">
              <c16:uniqueId val="{00000006-179A-4FAC-BC20-A56BA847F25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6580927384076991E-2"/>
          <c:y val="8.533333333333333E-2"/>
          <c:w val="0.87005769367465402"/>
          <c:h val="0.81760923884514436"/>
        </c:manualLayout>
      </c:layout>
      <c:bar3DChart>
        <c:barDir val="col"/>
        <c:grouping val="standard"/>
        <c:varyColors val="0"/>
        <c:dLbls>
          <c:showLegendKey val="0"/>
          <c:showVal val="0"/>
          <c:showCatName val="0"/>
          <c:showSerName val="0"/>
          <c:showPercent val="0"/>
          <c:showBubbleSize val="0"/>
        </c:dLbls>
        <c:gapWidth val="150"/>
        <c:shape val="box"/>
        <c:axId val="1640790319"/>
        <c:axId val="1640798479"/>
        <c:axId val="1650705503"/>
      </c:bar3DChart>
      <c:catAx>
        <c:axId val="1640790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640798479"/>
        <c:crosses val="autoZero"/>
        <c:auto val="1"/>
        <c:lblAlgn val="ctr"/>
        <c:lblOffset val="100"/>
        <c:noMultiLvlLbl val="0"/>
      </c:catAx>
      <c:valAx>
        <c:axId val="1640798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640790319"/>
        <c:crosses val="autoZero"/>
        <c:crossBetween val="between"/>
      </c:valAx>
      <c:serAx>
        <c:axId val="1650705503"/>
        <c:scaling>
          <c:orientation val="minMax"/>
        </c:scaling>
        <c:delete val="1"/>
        <c:axPos val="b"/>
        <c:majorTickMark val="none"/>
        <c:minorTickMark val="none"/>
        <c:tickLblPos val="nextTo"/>
        <c:crossAx val="164079847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[Banking_Data.xlsx]TABLE!PivotTable13</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0352144315237"/>
          <c:y val="3.691432571561909E-2"/>
          <c:w val="0.80826168389448427"/>
          <c:h val="0.81608815531946299"/>
        </c:manualLayout>
      </c:layout>
      <c:barChart>
        <c:barDir val="col"/>
        <c:grouping val="clustered"/>
        <c:varyColors val="0"/>
        <c:ser>
          <c:idx val="0"/>
          <c:order val="0"/>
          <c:tx>
            <c:strRef>
              <c:f>TABLE!$B$101</c:f>
              <c:strCache>
                <c:ptCount val="1"/>
                <c:pt idx="0">
                  <c:v>Total</c:v>
                </c:pt>
              </c:strCache>
            </c:strRef>
          </c:tx>
          <c:spPr>
            <a:solidFill>
              <a:schemeClr val="accent1"/>
            </a:solidFill>
            <a:ln>
              <a:noFill/>
            </a:ln>
            <a:effectLst/>
          </c:spPr>
          <c:invertIfNegative val="0"/>
          <c:cat>
            <c:strRef>
              <c:f>TABLE!$A$102:$A$114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TABLE!$B$102:$B$114</c:f>
              <c:numCache>
                <c:formatCode>_("₹"* #,##0.00_);_("₹"* \(#,##0.00\);_("₹"* "-"??_);_(@_)</c:formatCode>
                <c:ptCount val="12"/>
                <c:pt idx="0">
                  <c:v>239153.02814432987</c:v>
                </c:pt>
                <c:pt idx="1">
                  <c:v>255613.48658536578</c:v>
                </c:pt>
                <c:pt idx="2">
                  <c:v>245193.40448275855</c:v>
                </c:pt>
                <c:pt idx="3">
                  <c:v>246455.46849315063</c:v>
                </c:pt>
                <c:pt idx="4">
                  <c:v>256745.54296874994</c:v>
                </c:pt>
                <c:pt idx="5">
                  <c:v>243002.9562637363</c:v>
                </c:pt>
                <c:pt idx="6">
                  <c:v>278858.41821917816</c:v>
                </c:pt>
                <c:pt idx="7">
                  <c:v>257073.33731958771</c:v>
                </c:pt>
                <c:pt idx="8">
                  <c:v>236692.42415730329</c:v>
                </c:pt>
                <c:pt idx="9">
                  <c:v>236889.3757534246</c:v>
                </c:pt>
                <c:pt idx="10">
                  <c:v>255652.12999999995</c:v>
                </c:pt>
                <c:pt idx="11">
                  <c:v>247148.34890109897</c:v>
                </c:pt>
              </c:numCache>
            </c:numRef>
          </c:val>
          <c:extLst>
            <c:ext xmlns:c16="http://schemas.microsoft.com/office/drawing/2014/chart" uri="{C3380CC4-5D6E-409C-BE32-E72D297353CC}">
              <c16:uniqueId val="{00000000-3F0E-4CFE-86D4-D0EA49F3756A}"/>
            </c:ext>
          </c:extLst>
        </c:ser>
        <c:dLbls>
          <c:showLegendKey val="0"/>
          <c:showVal val="0"/>
          <c:showCatName val="0"/>
          <c:showSerName val="0"/>
          <c:showPercent val="0"/>
          <c:showBubbleSize val="0"/>
        </c:dLbls>
        <c:gapWidth val="219"/>
        <c:overlap val="-27"/>
        <c:axId val="975415744"/>
        <c:axId val="975440704"/>
      </c:barChart>
      <c:catAx>
        <c:axId val="97541574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975440704"/>
        <c:crosses val="autoZero"/>
        <c:auto val="1"/>
        <c:lblAlgn val="ctr"/>
        <c:lblOffset val="100"/>
        <c:noMultiLvlLbl val="0"/>
      </c:catAx>
      <c:valAx>
        <c:axId val="975440704"/>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97541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[Banking_Data.xlsx]TABLE!PivotTable14</c:name>
    <c:fmtId val="1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TABLE!$B$118</c:f>
              <c:strCache>
                <c:ptCount val="1"/>
                <c:pt idx="0">
                  <c:v>Total</c:v>
                </c:pt>
              </c:strCache>
            </c:strRef>
          </c:tx>
          <c:spPr>
            <a:ln w="28575" cap="rnd">
              <a:solidFill>
                <a:schemeClr val="accent1"/>
              </a:solidFill>
              <a:round/>
            </a:ln>
            <a:effectLst/>
          </c:spPr>
          <c:marker>
            <c:symbol val="none"/>
          </c:marker>
          <c:cat>
            <c:strRef>
              <c:f>TABLE!$A$119:$A$131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TABLE!$B$119:$B$131</c:f>
              <c:numCache>
                <c:formatCode>_ "₹"\ * #,##0_ ;_ "₹"\ * \-#,##0_ ;_ "₹"\ * "-"??_ ;_ @_ </c:formatCode>
                <c:ptCount val="12"/>
                <c:pt idx="0">
                  <c:v>13799019.680000002</c:v>
                </c:pt>
                <c:pt idx="1">
                  <c:v>13760085.42</c:v>
                </c:pt>
                <c:pt idx="2">
                  <c:v>12626538.979999995</c:v>
                </c:pt>
                <c:pt idx="3">
                  <c:v>10924638.079999998</c:v>
                </c:pt>
                <c:pt idx="4">
                  <c:v>9300598.8900000006</c:v>
                </c:pt>
                <c:pt idx="5">
                  <c:v>12968027.76</c:v>
                </c:pt>
                <c:pt idx="6">
                  <c:v>10491798.350000003</c:v>
                </c:pt>
                <c:pt idx="7">
                  <c:v>15951090.930000003</c:v>
                </c:pt>
                <c:pt idx="8">
                  <c:v>14294043.679999994</c:v>
                </c:pt>
                <c:pt idx="9">
                  <c:v>11450608.67</c:v>
                </c:pt>
                <c:pt idx="10">
                  <c:v>13105849.75</c:v>
                </c:pt>
                <c:pt idx="11">
                  <c:v>14269755.469999995</c:v>
                </c:pt>
              </c:numCache>
            </c:numRef>
          </c:val>
          <c:smooth val="0"/>
          <c:extLst>
            <c:ext xmlns:c16="http://schemas.microsoft.com/office/drawing/2014/chart" uri="{C3380CC4-5D6E-409C-BE32-E72D297353CC}">
              <c16:uniqueId val="{00000000-E752-445F-993B-5A3A9A915847}"/>
            </c:ext>
          </c:extLst>
        </c:ser>
        <c:dLbls>
          <c:showLegendKey val="0"/>
          <c:showVal val="0"/>
          <c:showCatName val="0"/>
          <c:showSerName val="0"/>
          <c:showPercent val="0"/>
          <c:showBubbleSize val="0"/>
        </c:dLbls>
        <c:smooth val="0"/>
        <c:axId val="975426304"/>
        <c:axId val="975440224"/>
      </c:lineChart>
      <c:catAx>
        <c:axId val="97542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975440224"/>
        <c:crosses val="autoZero"/>
        <c:auto val="1"/>
        <c:lblAlgn val="ctr"/>
        <c:lblOffset val="100"/>
        <c:noMultiLvlLbl val="0"/>
      </c:catAx>
      <c:valAx>
        <c:axId val="975440224"/>
        <c:scaling>
          <c:orientation val="minMax"/>
        </c:scaling>
        <c:delete val="0"/>
        <c:axPos val="l"/>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975426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[Banking_Data.xlsx]TABLE!PivotTable15</c:name>
    <c:fmtId val="2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12053776780363"/>
          <c:y val="0.20664503914504276"/>
          <c:w val="0.7256003059585554"/>
          <c:h val="0.66342892640037709"/>
        </c:manualLayout>
      </c:layout>
      <c:lineChart>
        <c:grouping val="stacked"/>
        <c:varyColors val="0"/>
        <c:ser>
          <c:idx val="0"/>
          <c:order val="0"/>
          <c:tx>
            <c:strRef>
              <c:f>TABLE!$B$137</c:f>
              <c:strCache>
                <c:ptCount val="1"/>
                <c:pt idx="0">
                  <c:v>Sum of Deposit_Amount</c:v>
                </c:pt>
              </c:strCache>
            </c:strRef>
          </c:tx>
          <c:spPr>
            <a:ln w="28575" cap="rnd">
              <a:solidFill>
                <a:schemeClr val="accent1"/>
              </a:solidFill>
              <a:round/>
            </a:ln>
            <a:effectLst/>
          </c:spPr>
          <c:marker>
            <c:symbol val="none"/>
          </c:marker>
          <c:cat>
            <c:strRef>
              <c:f>TABLE!$A$138:$A$150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TABLE!$B$138:$B$150</c:f>
              <c:numCache>
                <c:formatCode>_ "₹"\ * #,##0_ ;_ "₹"\ * \-#,##0_ ;_ "₹"\ * "-"??_ ;_ @_ </c:formatCode>
                <c:ptCount val="12"/>
                <c:pt idx="0">
                  <c:v>23197843.729999997</c:v>
                </c:pt>
                <c:pt idx="1">
                  <c:v>20960305.899999995</c:v>
                </c:pt>
                <c:pt idx="2">
                  <c:v>21331826.189999994</c:v>
                </c:pt>
                <c:pt idx="3">
                  <c:v>17991249.199999996</c:v>
                </c:pt>
                <c:pt idx="4">
                  <c:v>16431714.749999996</c:v>
                </c:pt>
                <c:pt idx="5">
                  <c:v>22113269.020000003</c:v>
                </c:pt>
                <c:pt idx="6">
                  <c:v>20356664.530000005</c:v>
                </c:pt>
                <c:pt idx="7">
                  <c:v>24936113.720000006</c:v>
                </c:pt>
                <c:pt idx="8">
                  <c:v>21065625.749999993</c:v>
                </c:pt>
                <c:pt idx="9">
                  <c:v>17292924.429999996</c:v>
                </c:pt>
                <c:pt idx="10">
                  <c:v>21219126.789999995</c:v>
                </c:pt>
                <c:pt idx="11">
                  <c:v>22490499.750000007</c:v>
                </c:pt>
              </c:numCache>
            </c:numRef>
          </c:val>
          <c:smooth val="0"/>
          <c:extLst>
            <c:ext xmlns:c16="http://schemas.microsoft.com/office/drawing/2014/chart" uri="{C3380CC4-5D6E-409C-BE32-E72D297353CC}">
              <c16:uniqueId val="{00000000-C3C7-40A8-8450-03112835C568}"/>
            </c:ext>
          </c:extLst>
        </c:ser>
        <c:ser>
          <c:idx val="1"/>
          <c:order val="1"/>
          <c:tx>
            <c:strRef>
              <c:f>TABLE!$C$137</c:f>
              <c:strCache>
                <c:ptCount val="1"/>
                <c:pt idx="0">
                  <c:v>Sum of Withdrawal_Amount</c:v>
                </c:pt>
              </c:strCache>
            </c:strRef>
          </c:tx>
          <c:spPr>
            <a:ln w="28575" cap="rnd">
              <a:solidFill>
                <a:schemeClr val="accent2"/>
              </a:solidFill>
              <a:round/>
            </a:ln>
            <a:effectLst/>
          </c:spPr>
          <c:marker>
            <c:symbol val="none"/>
          </c:marker>
          <c:cat>
            <c:strRef>
              <c:f>TABLE!$A$138:$A$150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TABLE!$C$138:$C$150</c:f>
              <c:numCache>
                <c:formatCode>_ "₹"\ * #,##0_ ;_ "₹"\ * \-#,##0_ ;_ "₹"\ * "-"??_ ;_ @_ </c:formatCode>
                <c:ptCount val="12"/>
                <c:pt idx="0">
                  <c:v>13799019.680000002</c:v>
                </c:pt>
                <c:pt idx="1">
                  <c:v>13760085.42</c:v>
                </c:pt>
                <c:pt idx="2">
                  <c:v>12626538.979999995</c:v>
                </c:pt>
                <c:pt idx="3">
                  <c:v>10924638.079999998</c:v>
                </c:pt>
                <c:pt idx="4">
                  <c:v>9300598.8900000006</c:v>
                </c:pt>
                <c:pt idx="5">
                  <c:v>12968027.76</c:v>
                </c:pt>
                <c:pt idx="6">
                  <c:v>10491798.350000003</c:v>
                </c:pt>
                <c:pt idx="7">
                  <c:v>15951090.930000003</c:v>
                </c:pt>
                <c:pt idx="8">
                  <c:v>14294043.679999994</c:v>
                </c:pt>
                <c:pt idx="9">
                  <c:v>11450608.67</c:v>
                </c:pt>
                <c:pt idx="10">
                  <c:v>13105849.75</c:v>
                </c:pt>
                <c:pt idx="11">
                  <c:v>14269755.469999995</c:v>
                </c:pt>
              </c:numCache>
            </c:numRef>
          </c:val>
          <c:smooth val="0"/>
          <c:extLst>
            <c:ext xmlns:c16="http://schemas.microsoft.com/office/drawing/2014/chart" uri="{C3380CC4-5D6E-409C-BE32-E72D297353CC}">
              <c16:uniqueId val="{00000001-C3C7-40A8-8450-03112835C568}"/>
            </c:ext>
          </c:extLst>
        </c:ser>
        <c:dLbls>
          <c:showLegendKey val="0"/>
          <c:showVal val="0"/>
          <c:showCatName val="0"/>
          <c:showSerName val="0"/>
          <c:showPercent val="0"/>
          <c:showBubbleSize val="0"/>
        </c:dLbls>
        <c:smooth val="0"/>
        <c:axId val="1102642592"/>
        <c:axId val="1102651712"/>
      </c:lineChart>
      <c:catAx>
        <c:axId val="110264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102651712"/>
        <c:crosses val="autoZero"/>
        <c:auto val="1"/>
        <c:lblAlgn val="ctr"/>
        <c:lblOffset val="100"/>
        <c:noMultiLvlLbl val="0"/>
      </c:catAx>
      <c:valAx>
        <c:axId val="1102651712"/>
        <c:scaling>
          <c:orientation val="minMax"/>
        </c:scaling>
        <c:delete val="0"/>
        <c:axPos val="l"/>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102642592"/>
        <c:crosses val="autoZero"/>
        <c:crossBetween val="between"/>
      </c:valAx>
      <c:spPr>
        <a:noFill/>
        <a:ln>
          <a:noFill/>
        </a:ln>
        <a:effectLst/>
      </c:spPr>
    </c:plotArea>
    <c:legend>
      <c:legendPos val="r"/>
      <c:layout>
        <c:manualLayout>
          <c:xMode val="edge"/>
          <c:yMode val="edge"/>
          <c:x val="0.12647383469703516"/>
          <c:y val="2.8159409201290703E-2"/>
          <c:w val="0.85693000689982013"/>
          <c:h val="0.167614256808257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[Banking_Data.xlsx]TABLE!PivotTable16</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0277777777777777"/>
              <c:y val="-0.15740740740740741"/>
            </c:manualLayout>
          </c:layout>
          <c:tx>
            <c:rich>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fld id="{3297A303-BE54-4711-958A-8EA60646CCDA}" type="CATEGORYNAME">
                  <a:rPr lang="en-US"/>
                  <a:pPr>
                    <a:defRPr sz="2000" b="0" i="0" u="none" strike="noStrike" kern="1200" baseline="0">
                      <a:solidFill>
                        <a:schemeClr val="tx1"/>
                      </a:solidFill>
                      <a:latin typeface="+mn-lt"/>
                      <a:ea typeface="+mn-ea"/>
                      <a:cs typeface="+mn-cs"/>
                    </a:defRPr>
                  </a:pPr>
                  <a:t>[CATEGORY NAME]</a:t>
                </a:fld>
                <a:r>
                  <a:rPr lang="en-US" baseline="0"/>
                  <a:t> </a:t>
                </a:r>
                <a:fld id="{1889876D-8788-4F3E-A92E-1300B2FC6177}" type="VALUE">
                  <a:rPr lang="en-US" baseline="0"/>
                  <a:pPr>
                    <a:defRPr sz="2000" b="0" i="0" u="none" strike="noStrike" kern="1200" baseline="0">
                      <a:solidFill>
                        <a:schemeClr val="tx1"/>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2"/>
          </a:solidFill>
          <a:ln w="19050">
            <a:solidFill>
              <a:schemeClr val="lt1"/>
            </a:solidFill>
          </a:ln>
          <a:effectLst/>
        </c:spPr>
        <c:dLbl>
          <c:idx val="0"/>
          <c:layout>
            <c:manualLayout>
              <c:x val="-0.1"/>
              <c:y val="0.15740740740740741"/>
            </c:manualLayout>
          </c:layout>
          <c:tx>
            <c:rich>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fld id="{85329E01-E3F1-4325-9AAB-E70823AFE855}" type="CATEGORYNAME">
                  <a:rPr lang="en-US" sz="2000" baseline="0">
                    <a:solidFill>
                      <a:schemeClr val="tx1"/>
                    </a:solidFill>
                  </a:rPr>
                  <a:pPr>
                    <a:defRPr sz="2000" b="0" i="0" u="none" strike="noStrike" kern="1200" baseline="0">
                      <a:solidFill>
                        <a:schemeClr val="tx1"/>
                      </a:solidFill>
                      <a:latin typeface="+mn-lt"/>
                      <a:ea typeface="+mn-ea"/>
                      <a:cs typeface="+mn-cs"/>
                    </a:defRPr>
                  </a:pPr>
                  <a:t>[CATEGORY NAME]</a:t>
                </a:fld>
                <a:r>
                  <a:rPr lang="en-US" sz="2000" baseline="0">
                    <a:solidFill>
                      <a:schemeClr val="tx1"/>
                    </a:solidFill>
                  </a:rPr>
                  <a:t> </a:t>
                </a:r>
                <a:fld id="{EF8E59DE-E795-46DA-9EAB-5A1113EA70DB}" type="VALUE">
                  <a:rPr lang="en-US" sz="2000" baseline="0">
                    <a:solidFill>
                      <a:schemeClr val="tx1"/>
                    </a:solidFill>
                  </a:rPr>
                  <a:pPr>
                    <a:defRPr sz="2000" b="0" i="0" u="none" strike="noStrike" kern="1200" baseline="0">
                      <a:solidFill>
                        <a:schemeClr val="tx1"/>
                      </a:solidFill>
                      <a:latin typeface="+mn-lt"/>
                      <a:ea typeface="+mn-ea"/>
                      <a:cs typeface="+mn-cs"/>
                    </a:defRPr>
                  </a:pPr>
                  <a:t>[VALUE]</a:t>
                </a:fld>
                <a:endParaRPr lang="en-US" sz="2000"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3"/>
          </a:solidFill>
          <a:ln w="19050">
            <a:solidFill>
              <a:schemeClr val="lt1"/>
            </a:solidFill>
          </a:ln>
          <a:effectLst/>
        </c:spPr>
        <c:dLbl>
          <c:idx val="0"/>
          <c:layout>
            <c:manualLayout>
              <c:x val="-0.16944444444444448"/>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0277777777777777"/>
              <c:y val="-0.15740740740740741"/>
            </c:manualLayout>
          </c:layout>
          <c:tx>
            <c:rich>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fld id="{3297A303-BE54-4711-958A-8EA60646CCDA}" type="CATEGORYNAME">
                  <a:rPr lang="en-US"/>
                  <a:pPr>
                    <a:defRPr sz="2000" b="0" i="0" u="none" strike="noStrike" kern="1200" baseline="0">
                      <a:solidFill>
                        <a:schemeClr val="tx1"/>
                      </a:solidFill>
                      <a:latin typeface="+mn-lt"/>
                      <a:ea typeface="+mn-ea"/>
                      <a:cs typeface="+mn-cs"/>
                    </a:defRPr>
                  </a:pPr>
                  <a:t>[CATEGORY NAME]</a:t>
                </a:fld>
                <a:r>
                  <a:rPr lang="en-US" baseline="0"/>
                  <a:t> </a:t>
                </a:r>
                <a:fld id="{1889876D-8788-4F3E-A92E-1300B2FC6177}" type="VALUE">
                  <a:rPr lang="en-US" baseline="0"/>
                  <a:pPr>
                    <a:defRPr sz="2000" b="0" i="0" u="none" strike="noStrike" kern="1200" baseline="0">
                      <a:solidFill>
                        <a:schemeClr val="tx1"/>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dLbl>
          <c:idx val="0"/>
          <c:layout>
            <c:manualLayout>
              <c:x val="-0.1"/>
              <c:y val="0.15740740740740741"/>
            </c:manualLayout>
          </c:layout>
          <c:tx>
            <c:rich>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fld id="{85329E01-E3F1-4325-9AAB-E70823AFE855}" type="CATEGORYNAME">
                  <a:rPr lang="en-US" sz="2000" baseline="0">
                    <a:solidFill>
                      <a:schemeClr val="tx1"/>
                    </a:solidFill>
                  </a:rPr>
                  <a:pPr>
                    <a:defRPr sz="2000" b="0" i="0" u="none" strike="noStrike" kern="1200" baseline="0">
                      <a:solidFill>
                        <a:schemeClr val="tx1"/>
                      </a:solidFill>
                      <a:latin typeface="+mn-lt"/>
                      <a:ea typeface="+mn-ea"/>
                      <a:cs typeface="+mn-cs"/>
                    </a:defRPr>
                  </a:pPr>
                  <a:t>[CATEGORY NAME]</a:t>
                </a:fld>
                <a:r>
                  <a:rPr lang="en-US" sz="2000" baseline="0">
                    <a:solidFill>
                      <a:schemeClr val="tx1"/>
                    </a:solidFill>
                  </a:rPr>
                  <a:t> </a:t>
                </a:r>
                <a:fld id="{EF8E59DE-E795-46DA-9EAB-5A1113EA70DB}" type="VALUE">
                  <a:rPr lang="en-US" sz="2000" baseline="0">
                    <a:solidFill>
                      <a:schemeClr val="tx1"/>
                    </a:solidFill>
                  </a:rPr>
                  <a:pPr>
                    <a:defRPr sz="2000" b="0" i="0" u="none" strike="noStrike" kern="1200" baseline="0">
                      <a:solidFill>
                        <a:schemeClr val="tx1"/>
                      </a:solidFill>
                      <a:latin typeface="+mn-lt"/>
                      <a:ea typeface="+mn-ea"/>
                      <a:cs typeface="+mn-cs"/>
                    </a:defRPr>
                  </a:pPr>
                  <a:t>[VALUE]</a:t>
                </a:fld>
                <a:endParaRPr lang="en-US" sz="2000"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c:spPr>
        <c:dLbl>
          <c:idx val="0"/>
          <c:layout>
            <c:manualLayout>
              <c:x val="-0.16944444444444448"/>
              <c:y val="-6.0185185185185182E-2"/>
            </c:manualLayout>
          </c:layout>
          <c:tx>
            <c:rich>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fld id="{0B49F819-A1FF-47E8-8C93-501DAEDB1FD9}" type="CATEGORYNAME">
                  <a:rPr lang="en-US"/>
                  <a:pPr>
                    <a:defRPr sz="2000" b="0" i="0" u="none" strike="noStrike" kern="1200" baseline="0">
                      <a:solidFill>
                        <a:schemeClr val="tx1"/>
                      </a:solidFill>
                      <a:latin typeface="+mn-lt"/>
                      <a:ea typeface="+mn-ea"/>
                      <a:cs typeface="+mn-cs"/>
                    </a:defRPr>
                  </a:pPr>
                  <a:t>[CATEGORY NAME]</a:t>
                </a:fld>
                <a:r>
                  <a:rPr lang="en-US" baseline="0"/>
                  <a:t> </a:t>
                </a:r>
                <a:fld id="{B4972FAB-4615-441D-8463-E6F95FA41326}" type="VALUE">
                  <a:rPr lang="en-US" baseline="0"/>
                  <a:pPr>
                    <a:defRPr sz="2000" b="0" i="0" u="none" strike="noStrike" kern="1200" baseline="0">
                      <a:solidFill>
                        <a:schemeClr val="tx1"/>
                      </a:solidFill>
                      <a:latin typeface="+mn-lt"/>
                      <a:ea typeface="+mn-ea"/>
                      <a:cs typeface="+mn-cs"/>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0277777777777777"/>
              <c:y val="-0.15740740740740741"/>
            </c:manualLayout>
          </c:layout>
          <c:tx>
            <c:rich>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fld id="{3297A303-BE54-4711-958A-8EA60646CCDA}" type="CATEGORYNAME">
                  <a:rPr lang="en-US"/>
                  <a:pPr>
                    <a:defRPr sz="2000">
                      <a:solidFill>
                        <a:schemeClr val="tx1"/>
                      </a:solidFill>
                    </a:defRPr>
                  </a:pPr>
                  <a:t>[CATEGORY NAME]</a:t>
                </a:fld>
                <a:r>
                  <a:rPr lang="en-US" baseline="0"/>
                  <a:t> </a:t>
                </a:r>
                <a:fld id="{1889876D-8788-4F3E-A92E-1300B2FC6177}" type="VALUE">
                  <a:rPr lang="en-US" baseline="0"/>
                  <a:pPr>
                    <a:defRPr sz="2000">
                      <a:solidFill>
                        <a:schemeClr val="tx1"/>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c:spPr>
        <c:dLbl>
          <c:idx val="0"/>
          <c:layout>
            <c:manualLayout>
              <c:x val="-6.8496514771909808E-2"/>
              <c:y val="0.13649418696424279"/>
            </c:manualLayout>
          </c:layout>
          <c:tx>
            <c:rich>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fld id="{85329E01-E3F1-4325-9AAB-E70823AFE855}" type="CATEGORYNAME">
                  <a:rPr lang="en-US" sz="2000" baseline="0">
                    <a:solidFill>
                      <a:schemeClr val="tx1"/>
                    </a:solidFill>
                  </a:rPr>
                  <a:pPr>
                    <a:defRPr sz="2000">
                      <a:solidFill>
                        <a:schemeClr val="tx1"/>
                      </a:solidFill>
                    </a:defRPr>
                  </a:pPr>
                  <a:t>[CATEGORY NAME]</a:t>
                </a:fld>
                <a:r>
                  <a:rPr lang="en-US" sz="2000" baseline="0">
                    <a:solidFill>
                      <a:schemeClr val="tx1"/>
                    </a:solidFill>
                  </a:rPr>
                  <a:t> </a:t>
                </a:r>
                <a:fld id="{EF8E59DE-E795-46DA-9EAB-5A1113EA70DB}" type="VALUE">
                  <a:rPr lang="en-US" sz="2000" baseline="0">
                    <a:solidFill>
                      <a:schemeClr val="tx1"/>
                    </a:solidFill>
                  </a:rPr>
                  <a:pPr>
                    <a:defRPr sz="2000">
                      <a:solidFill>
                        <a:schemeClr val="tx1"/>
                      </a:solidFill>
                    </a:defRPr>
                  </a:pPr>
                  <a:t>[VALUE]</a:t>
                </a:fld>
                <a:endParaRPr lang="en-US" sz="2000" baseline="0">
                  <a:solidFill>
                    <a:schemeClr val="tx1"/>
                  </a:solidFill>
                </a:endParaRPr>
              </a:p>
            </c:rich>
          </c:tx>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1"/>
          </a:solidFill>
          <a:ln w="19050">
            <a:solidFill>
              <a:schemeClr val="lt1"/>
            </a:solidFill>
          </a:ln>
          <a:effectLst/>
        </c:spPr>
        <c:dLbl>
          <c:idx val="0"/>
          <c:layout>
            <c:manualLayout>
              <c:x val="-0.16944444444444448"/>
              <c:y val="-6.0185185185185182E-2"/>
            </c:manualLayout>
          </c:layout>
          <c:tx>
            <c:rich>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fld id="{0B49F819-A1FF-47E8-8C93-501DAEDB1FD9}" type="CATEGORYNAME">
                  <a:rPr lang="en-US"/>
                  <a:pPr>
                    <a:defRPr sz="2000">
                      <a:solidFill>
                        <a:schemeClr val="tx1"/>
                      </a:solidFill>
                    </a:defRPr>
                  </a:pPr>
                  <a:t>[CATEGORY NAME]</a:t>
                </a:fld>
                <a:r>
                  <a:rPr lang="en-US" baseline="0"/>
                  <a:t> </a:t>
                </a:r>
                <a:fld id="{B4972FAB-4615-441D-8463-E6F95FA41326}" type="VALUE">
                  <a:rPr lang="en-US" baseline="0"/>
                  <a:pPr>
                    <a:defRPr sz="2000">
                      <a:solidFill>
                        <a:schemeClr val="tx1"/>
                      </a:solidFill>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TABLE!$B$157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F8-4BB6-9173-B0081E40A7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F8-4BB6-9173-B0081E40A7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F8-4BB6-9173-B0081E40A7CB}"/>
              </c:ext>
            </c:extLst>
          </c:dPt>
          <c:dLbls>
            <c:dLbl>
              <c:idx val="0"/>
              <c:layout>
                <c:manualLayout>
                  <c:x val="0.10277777777777777"/>
                  <c:y val="-0.15740740740740741"/>
                </c:manualLayout>
              </c:layout>
              <c:tx>
                <c:rich>
                  <a:bodyPr/>
                  <a:lstStyle/>
                  <a:p>
                    <a:fld id="{3297A303-BE54-4711-958A-8EA60646CCDA}" type="CATEGORYNAME">
                      <a:rPr lang="en-US"/>
                      <a:pPr/>
                      <a:t>[CATEGORY NAME]</a:t>
                    </a:fld>
                    <a:r>
                      <a:rPr lang="en-US" baseline="0"/>
                      <a:t> </a:t>
                    </a:r>
                    <a:fld id="{1889876D-8788-4F3E-A92E-1300B2FC6177}"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7F8-4BB6-9173-B0081E40A7CB}"/>
                </c:ext>
              </c:extLst>
            </c:dLbl>
            <c:dLbl>
              <c:idx val="1"/>
              <c:layout>
                <c:manualLayout>
                  <c:x val="-6.8496514771909808E-2"/>
                  <c:y val="0.13649418696424279"/>
                </c:manualLayout>
              </c:layout>
              <c:tx>
                <c:rich>
                  <a:bodyPr/>
                  <a:lstStyle/>
                  <a:p>
                    <a:fld id="{85329E01-E3F1-4325-9AAB-E70823AFE855}" type="CATEGORYNAME">
                      <a:rPr lang="en-US" sz="2000" baseline="0">
                        <a:solidFill>
                          <a:schemeClr val="tx1"/>
                        </a:solidFill>
                      </a:rPr>
                      <a:pPr/>
                      <a:t>[CATEGORY NAME]</a:t>
                    </a:fld>
                    <a:r>
                      <a:rPr lang="en-US" sz="2000" baseline="0">
                        <a:solidFill>
                          <a:schemeClr val="tx1"/>
                        </a:solidFill>
                      </a:rPr>
                      <a:t> </a:t>
                    </a:r>
                    <a:fld id="{EF8E59DE-E795-46DA-9EAB-5A1113EA70DB}" type="VALUE">
                      <a:rPr lang="en-US" sz="2000" baseline="0">
                        <a:solidFill>
                          <a:schemeClr val="tx1"/>
                        </a:solidFill>
                      </a:rPr>
                      <a:pPr/>
                      <a:t>[VALUE]</a:t>
                    </a:fld>
                    <a:endParaRPr lang="en-US" sz="2000" baseline="0">
                      <a:solidFill>
                        <a:schemeClr val="tx1"/>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7F8-4BB6-9173-B0081E40A7CB}"/>
                </c:ext>
              </c:extLst>
            </c:dLbl>
            <c:dLbl>
              <c:idx val="2"/>
              <c:layout>
                <c:manualLayout>
                  <c:x val="-0.16944444444444448"/>
                  <c:y val="-6.0185185185185182E-2"/>
                </c:manualLayout>
              </c:layout>
              <c:tx>
                <c:rich>
                  <a:bodyPr/>
                  <a:lstStyle/>
                  <a:p>
                    <a:fld id="{0B49F819-A1FF-47E8-8C93-501DAEDB1FD9}" type="CATEGORYNAME">
                      <a:rPr lang="en-US"/>
                      <a:pPr/>
                      <a:t>[CATEGORY NAME]</a:t>
                    </a:fld>
                    <a:r>
                      <a:rPr lang="en-US" baseline="0"/>
                      <a:t> </a:t>
                    </a:r>
                    <a:fld id="{B4972FAB-4615-441D-8463-E6F95FA41326}" type="VALUE">
                      <a:rPr lang="en-US"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07F8-4BB6-9173-B0081E40A7CB}"/>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TABLE!$A$158:$A$161</c:f>
              <c:strCache>
                <c:ptCount val="3"/>
                <c:pt idx="0">
                  <c:v>Good</c:v>
                </c:pt>
                <c:pt idx="1">
                  <c:v>Midum </c:v>
                </c:pt>
                <c:pt idx="2">
                  <c:v>Poor</c:v>
                </c:pt>
              </c:strCache>
            </c:strRef>
          </c:cat>
          <c:val>
            <c:numRef>
              <c:f>TABLE!$B$158:$B$161</c:f>
              <c:numCache>
                <c:formatCode>0.00%</c:formatCode>
                <c:ptCount val="3"/>
                <c:pt idx="0">
                  <c:v>0.48599999999999999</c:v>
                </c:pt>
                <c:pt idx="1">
                  <c:v>0.34200000000000003</c:v>
                </c:pt>
                <c:pt idx="2">
                  <c:v>0.17199999999999999</c:v>
                </c:pt>
              </c:numCache>
            </c:numRef>
          </c:val>
          <c:extLst>
            <c:ext xmlns:c16="http://schemas.microsoft.com/office/drawing/2014/chart" uri="{C3380CC4-5D6E-409C-BE32-E72D297353CC}">
              <c16:uniqueId val="{00000006-07F8-4BB6-9173-B0081E40A7C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6580927384076991E-2"/>
          <c:y val="8.533333333333333E-2"/>
          <c:w val="0.87005769367465402"/>
          <c:h val="0.81760923884514436"/>
        </c:manualLayout>
      </c:layout>
      <c:bar3DChart>
        <c:barDir val="col"/>
        <c:grouping val="standard"/>
        <c:varyColors val="0"/>
        <c:dLbls>
          <c:showLegendKey val="0"/>
          <c:showVal val="0"/>
          <c:showCatName val="0"/>
          <c:showSerName val="0"/>
          <c:showPercent val="0"/>
          <c:showBubbleSize val="0"/>
        </c:dLbls>
        <c:gapWidth val="150"/>
        <c:shape val="box"/>
        <c:axId val="1640790319"/>
        <c:axId val="1640798479"/>
        <c:axId val="1650705503"/>
      </c:bar3DChart>
      <c:catAx>
        <c:axId val="1640790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640798479"/>
        <c:crosses val="autoZero"/>
        <c:auto val="1"/>
        <c:lblAlgn val="ctr"/>
        <c:lblOffset val="100"/>
        <c:noMultiLvlLbl val="0"/>
      </c:catAx>
      <c:valAx>
        <c:axId val="16407984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640790319"/>
        <c:crosses val="autoZero"/>
        <c:crossBetween val="between"/>
      </c:valAx>
      <c:serAx>
        <c:axId val="1650705503"/>
        <c:scaling>
          <c:orientation val="minMax"/>
        </c:scaling>
        <c:delete val="1"/>
        <c:axPos val="b"/>
        <c:majorTickMark val="none"/>
        <c:minorTickMark val="none"/>
        <c:tickLblPos val="nextTo"/>
        <c:crossAx val="164079847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[Banking_Data.xlsx]TABLE!PivotTable17</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7777771702149671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4999994531934706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7777771702149671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4999994531934706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7777771702149671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4999994531934706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TABLE!$B$166</c:f>
              <c:strCache>
                <c:ptCount val="1"/>
                <c:pt idx="0">
                  <c:v>Total</c:v>
                </c:pt>
              </c:strCache>
            </c:strRef>
          </c:tx>
          <c:spPr>
            <a:solidFill>
              <a:schemeClr val="accent1"/>
            </a:solidFill>
            <a:ln>
              <a:noFill/>
            </a:ln>
            <a:effectLst/>
          </c:spPr>
          <c:invertIfNegative val="0"/>
          <c:dLbls>
            <c:dLbl>
              <c:idx val="2"/>
              <c:layout>
                <c:manualLayout>
                  <c:x val="-2.7777771702149671E-3"/>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BB2-4F36-BA98-6221E4E3B89D}"/>
                </c:ext>
              </c:extLst>
            </c:dLbl>
            <c:dLbl>
              <c:idx val="5"/>
              <c:layout>
                <c:manualLayout>
                  <c:x val="2.4999994531934706E-2"/>
                  <c:y val="-4.243778136006664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BB2-4F36-BA98-6221E4E3B89D}"/>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TABLE!$A$167:$A$173</c:f>
              <c:strCache>
                <c:ptCount val="6"/>
                <c:pt idx="0">
                  <c:v>Delhi</c:v>
                </c:pt>
                <c:pt idx="1">
                  <c:v>Gujarat</c:v>
                </c:pt>
                <c:pt idx="2">
                  <c:v>Karnataka</c:v>
                </c:pt>
                <c:pt idx="3">
                  <c:v>Maharashtra</c:v>
                </c:pt>
                <c:pt idx="4">
                  <c:v>Rajasthan</c:v>
                </c:pt>
                <c:pt idx="5">
                  <c:v>Tamil Nadu</c:v>
                </c:pt>
              </c:strCache>
            </c:strRef>
          </c:cat>
          <c:val>
            <c:numRef>
              <c:f>TABLE!$B$167:$B$173</c:f>
              <c:numCache>
                <c:formatCode>_ "₹"\ * #,##0_ ;_ "₹"\ * \-#,##0_ ;_ "₹"\ * "-"??_ ;_ @_ </c:formatCode>
                <c:ptCount val="6"/>
                <c:pt idx="0">
                  <c:v>61717550.489999995</c:v>
                </c:pt>
                <c:pt idx="1">
                  <c:v>78039012.829999968</c:v>
                </c:pt>
                <c:pt idx="2">
                  <c:v>64970493.459999979</c:v>
                </c:pt>
                <c:pt idx="3">
                  <c:v>62785864.599999994</c:v>
                </c:pt>
                <c:pt idx="4">
                  <c:v>67221016.679999977</c:v>
                </c:pt>
                <c:pt idx="5">
                  <c:v>67595281.360000014</c:v>
                </c:pt>
              </c:numCache>
            </c:numRef>
          </c:val>
          <c:extLst>
            <c:ext xmlns:c16="http://schemas.microsoft.com/office/drawing/2014/chart" uri="{C3380CC4-5D6E-409C-BE32-E72D297353CC}">
              <c16:uniqueId val="{00000002-ABB2-4F36-BA98-6221E4E3B89D}"/>
            </c:ext>
          </c:extLst>
        </c:ser>
        <c:dLbls>
          <c:showLegendKey val="0"/>
          <c:showVal val="0"/>
          <c:showCatName val="0"/>
          <c:showSerName val="0"/>
          <c:showPercent val="0"/>
          <c:showBubbleSize val="0"/>
        </c:dLbls>
        <c:gapWidth val="219"/>
        <c:overlap val="-27"/>
        <c:axId val="899163056"/>
        <c:axId val="899166416"/>
      </c:barChart>
      <c:catAx>
        <c:axId val="89916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899166416"/>
        <c:crosses val="autoZero"/>
        <c:auto val="1"/>
        <c:lblAlgn val="ctr"/>
        <c:lblOffset val="100"/>
        <c:noMultiLvlLbl val="0"/>
      </c:catAx>
      <c:valAx>
        <c:axId val="899166416"/>
        <c:scaling>
          <c:orientation val="minMax"/>
        </c:scaling>
        <c:delete val="1"/>
        <c:axPos val="l"/>
        <c:numFmt formatCode="_ &quot;₹&quot;\ * #,##0_ ;_ &quot;₹&quot;\ * \-#,##0_ ;_ &quot;₹&quot;\ * &quot;-&quot;??_ ;_ @_ " sourceLinked="1"/>
        <c:majorTickMark val="none"/>
        <c:minorTickMark val="none"/>
        <c:tickLblPos val="nextTo"/>
        <c:crossAx val="89916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[Banking_Data.xlsx]TABLE!PivotTable18</c:name>
    <c:fmtId val="34"/>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93935090559385"/>
          <c:y val="0.12521762232733497"/>
          <c:w val="0.72130101033520766"/>
          <c:h val="0.78228614103100291"/>
        </c:manualLayout>
      </c:layout>
      <c:barChart>
        <c:barDir val="bar"/>
        <c:grouping val="clustered"/>
        <c:varyColors val="0"/>
        <c:ser>
          <c:idx val="0"/>
          <c:order val="0"/>
          <c:tx>
            <c:strRef>
              <c:f>TABLE!$B$178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TABLE!$A$179:$A$184</c:f>
              <c:strCache>
                <c:ptCount val="5"/>
                <c:pt idx="0">
                  <c:v>ATM Withdrawal</c:v>
                </c:pt>
                <c:pt idx="1">
                  <c:v>Bank Transfer</c:v>
                </c:pt>
                <c:pt idx="2">
                  <c:v>Mobile Banking</c:v>
                </c:pt>
                <c:pt idx="3">
                  <c:v>Online Purchase</c:v>
                </c:pt>
                <c:pt idx="4">
                  <c:v>POS Payment</c:v>
                </c:pt>
              </c:strCache>
            </c:strRef>
          </c:cat>
          <c:val>
            <c:numRef>
              <c:f>TABLE!$B$179:$B$184</c:f>
              <c:numCache>
                <c:formatCode>0.00%</c:formatCode>
                <c:ptCount val="5"/>
                <c:pt idx="0">
                  <c:v>0.18465516756923586</c:v>
                </c:pt>
                <c:pt idx="1">
                  <c:v>0.1797291492878467</c:v>
                </c:pt>
                <c:pt idx="2">
                  <c:v>0.216252534939984</c:v>
                </c:pt>
                <c:pt idx="3">
                  <c:v>0.22887489328452798</c:v>
                </c:pt>
                <c:pt idx="4">
                  <c:v>0.19048825491840538</c:v>
                </c:pt>
              </c:numCache>
            </c:numRef>
          </c:val>
          <c:extLst>
            <c:ext xmlns:c16="http://schemas.microsoft.com/office/drawing/2014/chart" uri="{C3380CC4-5D6E-409C-BE32-E72D297353CC}">
              <c16:uniqueId val="{00000000-D0DA-49EC-91CF-38EDDDDDE0B5}"/>
            </c:ext>
          </c:extLst>
        </c:ser>
        <c:dLbls>
          <c:showLegendKey val="0"/>
          <c:showVal val="0"/>
          <c:showCatName val="0"/>
          <c:showSerName val="0"/>
          <c:showPercent val="0"/>
          <c:showBubbleSize val="0"/>
        </c:dLbls>
        <c:gapWidth val="182"/>
        <c:axId val="899203856"/>
        <c:axId val="899187536"/>
      </c:barChart>
      <c:catAx>
        <c:axId val="899203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899187536"/>
        <c:crosses val="autoZero"/>
        <c:auto val="1"/>
        <c:lblAlgn val="ctr"/>
        <c:lblOffset val="100"/>
        <c:noMultiLvlLbl val="0"/>
      </c:catAx>
      <c:valAx>
        <c:axId val="899187536"/>
        <c:scaling>
          <c:orientation val="minMax"/>
        </c:scaling>
        <c:delete val="1"/>
        <c:axPos val="b"/>
        <c:numFmt formatCode="0.00%" sourceLinked="1"/>
        <c:majorTickMark val="none"/>
        <c:minorTickMark val="none"/>
        <c:tickLblPos val="nextTo"/>
        <c:crossAx val="899203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2000" baseline="0"/>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[Banking_Data.xlsx]TABLE!PivotTable19</c:name>
    <c:fmtId val="39"/>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12980123049968759"/>
          <c:y val="5.3723129181917302E-2"/>
          <c:w val="0.80894550479397909"/>
          <c:h val="0.88517262785417339"/>
        </c:manualLayout>
      </c:layout>
      <c:line3DChart>
        <c:grouping val="standard"/>
        <c:varyColors val="0"/>
        <c:ser>
          <c:idx val="0"/>
          <c:order val="0"/>
          <c:tx>
            <c:strRef>
              <c:f>TABLE!$B$188</c:f>
              <c:strCache>
                <c:ptCount val="1"/>
                <c:pt idx="0">
                  <c:v>Total</c:v>
                </c:pt>
              </c:strCache>
            </c:strRef>
          </c:tx>
          <c:spPr>
            <a:solidFill>
              <a:schemeClr val="accent1"/>
            </a:solidFill>
            <a:ln>
              <a:noFill/>
            </a:ln>
            <a:effectLst/>
            <a:sp3d/>
          </c:spPr>
          <c:cat>
            <c:strRef>
              <c:f>TABLE!$A$189:$A$201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TABLE!$B$189:$B$201</c:f>
              <c:numCache>
                <c:formatCode>"₹"\ #,##0</c:formatCode>
                <c:ptCount val="12"/>
                <c:pt idx="0">
                  <c:v>36996863.409999989</c:v>
                </c:pt>
                <c:pt idx="1">
                  <c:v>34720391.32</c:v>
                </c:pt>
                <c:pt idx="2">
                  <c:v>33958365.170000002</c:v>
                </c:pt>
                <c:pt idx="3">
                  <c:v>28915887.279999994</c:v>
                </c:pt>
                <c:pt idx="4">
                  <c:v>25732313.640000004</c:v>
                </c:pt>
                <c:pt idx="5">
                  <c:v>35081296.780000001</c:v>
                </c:pt>
                <c:pt idx="6">
                  <c:v>30848462.879999992</c:v>
                </c:pt>
                <c:pt idx="7">
                  <c:v>40887204.650000013</c:v>
                </c:pt>
                <c:pt idx="8">
                  <c:v>35359669.43</c:v>
                </c:pt>
                <c:pt idx="9">
                  <c:v>28743533.099999994</c:v>
                </c:pt>
                <c:pt idx="10">
                  <c:v>34324976.540000007</c:v>
                </c:pt>
                <c:pt idx="11">
                  <c:v>36760255.219999991</c:v>
                </c:pt>
              </c:numCache>
            </c:numRef>
          </c:val>
          <c:smooth val="0"/>
          <c:extLst>
            <c:ext xmlns:c16="http://schemas.microsoft.com/office/drawing/2014/chart" uri="{C3380CC4-5D6E-409C-BE32-E72D297353CC}">
              <c16:uniqueId val="{00000000-2F52-4436-8BE7-53EAF715237E}"/>
            </c:ext>
          </c:extLst>
        </c:ser>
        <c:dLbls>
          <c:showLegendKey val="0"/>
          <c:showVal val="0"/>
          <c:showCatName val="0"/>
          <c:showSerName val="0"/>
          <c:showPercent val="0"/>
          <c:showBubbleSize val="0"/>
        </c:dLbls>
        <c:axId val="1071340416"/>
        <c:axId val="1071330816"/>
        <c:axId val="1102022800"/>
      </c:line3DChart>
      <c:catAx>
        <c:axId val="1071340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071330816"/>
        <c:crosses val="autoZero"/>
        <c:auto val="1"/>
        <c:lblAlgn val="ctr"/>
        <c:lblOffset val="100"/>
        <c:noMultiLvlLbl val="0"/>
      </c:catAx>
      <c:valAx>
        <c:axId val="1071330816"/>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071340416"/>
        <c:crosses val="autoZero"/>
        <c:crossBetween val="between"/>
      </c:valAx>
      <c:serAx>
        <c:axId val="1102022800"/>
        <c:scaling>
          <c:orientation val="minMax"/>
        </c:scaling>
        <c:delete val="1"/>
        <c:axPos val="b"/>
        <c:majorTickMark val="out"/>
        <c:minorTickMark val="none"/>
        <c:tickLblPos val="nextTo"/>
        <c:crossAx val="1071330816"/>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[Banking_Data.xlsx]TABLE!PivotTable20</c:name>
    <c:fmtId val="43"/>
  </c:pivotSource>
  <c:chart>
    <c:autoTitleDeleted val="1"/>
    <c:pivotFmts>
      <c:pivotFmt>
        <c:idx val="0"/>
        <c:spPr>
          <a:solidFill>
            <a:srgbClr val="00CC00"/>
          </a:solidFill>
          <a:ln w="19050">
            <a:solidFill>
              <a:schemeClr val="lt1"/>
            </a:solidFill>
          </a:ln>
          <a:effectLst/>
        </c:spPr>
        <c:marker>
          <c:symbol val="none"/>
        </c:marker>
        <c:dLbl>
          <c:idx val="0"/>
          <c:spPr>
            <a:solidFill>
              <a:schemeClr val="bg1"/>
            </a:solidFill>
            <a:ln>
              <a:solidFill>
                <a:schemeClr val="tx1">
                  <a:lumMod val="85000"/>
                  <a:lumOff val="15000"/>
                </a:schemeClr>
              </a:solid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dLbl>
          <c:idx val="0"/>
          <c:layout>
            <c:manualLayout>
              <c:x val="0.20833322397200355"/>
              <c:y val="-0.1092765748031496"/>
            </c:manualLayout>
          </c:layout>
          <c:spPr>
            <a:solidFill>
              <a:schemeClr val="bg1"/>
            </a:solidFill>
            <a:ln>
              <a:solidFill>
                <a:schemeClr val="tx1">
                  <a:lumMod val="85000"/>
                  <a:lumOff val="15000"/>
                </a:schemeClr>
              </a:solid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4331248906386701"/>
                  <c:h val="0.12421296296296294"/>
                </c:manualLayout>
              </c15:layout>
            </c:ext>
          </c:extLst>
        </c:dLbl>
      </c:pivotFmt>
      <c:pivotFmt>
        <c:idx val="2"/>
        <c:spPr>
          <a:solidFill>
            <a:srgbClr val="00CC00"/>
          </a:solidFill>
          <a:ln w="19050">
            <a:solidFill>
              <a:schemeClr val="lt1"/>
            </a:solidFill>
          </a:ln>
          <a:effectLst/>
        </c:spPr>
        <c:dLbl>
          <c:idx val="0"/>
          <c:layout>
            <c:manualLayout>
              <c:x val="0.37777777777777777"/>
              <c:y val="9.7397200349955415E-3"/>
            </c:manualLayout>
          </c:layout>
          <c:spPr>
            <a:solidFill>
              <a:schemeClr val="bg1"/>
            </a:solidFill>
            <a:ln>
              <a:solidFill>
                <a:schemeClr val="tx1">
                  <a:lumMod val="85000"/>
                  <a:lumOff val="15000"/>
                </a:schemeClr>
              </a:solid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rgbClr val="00CC00"/>
          </a:solidFill>
          <a:ln w="19050">
            <a:solidFill>
              <a:schemeClr val="lt1"/>
            </a:solidFill>
          </a:ln>
          <a:effectLst/>
        </c:spPr>
        <c:marker>
          <c:symbol val="none"/>
        </c:marker>
        <c:dLbl>
          <c:idx val="0"/>
          <c:spPr>
            <a:solidFill>
              <a:schemeClr val="bg1"/>
            </a:solidFill>
            <a:ln>
              <a:solidFill>
                <a:schemeClr val="tx1">
                  <a:lumMod val="85000"/>
                  <a:lumOff val="15000"/>
                </a:schemeClr>
              </a:solid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rgbClr val="FF0000"/>
          </a:solidFill>
          <a:ln w="19050">
            <a:solidFill>
              <a:schemeClr val="lt1"/>
            </a:solidFill>
          </a:ln>
          <a:effectLst/>
        </c:spPr>
        <c:dLbl>
          <c:idx val="0"/>
          <c:layout>
            <c:manualLayout>
              <c:x val="0.20833322397200355"/>
              <c:y val="-0.1092765748031496"/>
            </c:manualLayout>
          </c:layout>
          <c:spPr>
            <a:solidFill>
              <a:schemeClr val="bg1"/>
            </a:solidFill>
            <a:ln>
              <a:solidFill>
                <a:schemeClr val="tx1">
                  <a:lumMod val="85000"/>
                  <a:lumOff val="15000"/>
                </a:schemeClr>
              </a:solid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4331248906386701"/>
                  <c:h val="0.12421296296296294"/>
                </c:manualLayout>
              </c15:layout>
            </c:ext>
          </c:extLst>
        </c:dLbl>
      </c:pivotFmt>
      <c:pivotFmt>
        <c:idx val="5"/>
        <c:spPr>
          <a:solidFill>
            <a:srgbClr val="00CC00"/>
          </a:solidFill>
          <a:ln w="19050">
            <a:solidFill>
              <a:schemeClr val="lt1"/>
            </a:solidFill>
          </a:ln>
          <a:effectLst/>
        </c:spPr>
        <c:dLbl>
          <c:idx val="0"/>
          <c:layout>
            <c:manualLayout>
              <c:x val="0.37777777777777777"/>
              <c:y val="9.7397200349955415E-3"/>
            </c:manualLayout>
          </c:layout>
          <c:spPr>
            <a:solidFill>
              <a:schemeClr val="bg1"/>
            </a:solidFill>
            <a:ln>
              <a:solidFill>
                <a:schemeClr val="tx1">
                  <a:lumMod val="85000"/>
                  <a:lumOff val="15000"/>
                </a:schemeClr>
              </a:solid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00CC00"/>
          </a:solidFill>
          <a:ln w="19050">
            <a:solidFill>
              <a:schemeClr val="lt1"/>
            </a:solidFill>
          </a:ln>
          <a:effectLst/>
        </c:spPr>
        <c:marker>
          <c:symbol val="none"/>
        </c:marker>
        <c:dLbl>
          <c:idx val="0"/>
          <c:spPr>
            <a:solidFill>
              <a:schemeClr val="bg1"/>
            </a:solidFill>
            <a:ln>
              <a:solidFill>
                <a:schemeClr val="tx1">
                  <a:lumMod val="85000"/>
                  <a:lumOff val="15000"/>
                </a:schemeClr>
              </a:solid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rgbClr val="FF0000"/>
          </a:solidFill>
          <a:ln w="19050">
            <a:solidFill>
              <a:schemeClr val="lt1"/>
            </a:solidFill>
          </a:ln>
          <a:effectLst/>
        </c:spPr>
        <c:dLbl>
          <c:idx val="0"/>
          <c:layout>
            <c:manualLayout>
              <c:x val="0.20833322397200355"/>
              <c:y val="-0.1092765748031496"/>
            </c:manualLayout>
          </c:layout>
          <c:spPr>
            <a:solidFill>
              <a:schemeClr val="bg1"/>
            </a:solidFill>
            <a:ln>
              <a:solidFill>
                <a:schemeClr val="tx1">
                  <a:lumMod val="85000"/>
                  <a:lumOff val="15000"/>
                </a:schemeClr>
              </a:solid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4331248906386701"/>
                  <c:h val="0.12421296296296294"/>
                </c:manualLayout>
              </c15:layout>
            </c:ext>
          </c:extLst>
        </c:dLbl>
      </c:pivotFmt>
      <c:pivotFmt>
        <c:idx val="8"/>
        <c:spPr>
          <a:solidFill>
            <a:srgbClr val="00CC00"/>
          </a:solidFill>
          <a:ln w="19050">
            <a:solidFill>
              <a:schemeClr val="lt1"/>
            </a:solidFill>
          </a:ln>
          <a:effectLst/>
        </c:spPr>
        <c:dLbl>
          <c:idx val="0"/>
          <c:layout>
            <c:manualLayout>
              <c:x val="0.37777777777777777"/>
              <c:y val="9.7397200349955415E-3"/>
            </c:manualLayout>
          </c:layout>
          <c:spPr>
            <a:solidFill>
              <a:schemeClr val="bg1"/>
            </a:solidFill>
            <a:ln>
              <a:solidFill>
                <a:schemeClr val="tx1">
                  <a:lumMod val="85000"/>
                  <a:lumOff val="15000"/>
                </a:schemeClr>
              </a:solid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27777777777777"/>
          <c:y val="0.14583333333333334"/>
          <c:w val="0.46388888888888891"/>
          <c:h val="0.77314814814814814"/>
        </c:manualLayout>
      </c:layout>
      <c:doughnutChart>
        <c:varyColors val="1"/>
        <c:ser>
          <c:idx val="0"/>
          <c:order val="0"/>
          <c:tx>
            <c:strRef>
              <c:f>TABLE!$B$208</c:f>
              <c:strCache>
                <c:ptCount val="1"/>
                <c:pt idx="0">
                  <c:v>Total</c:v>
                </c:pt>
              </c:strCache>
            </c:strRef>
          </c:tx>
          <c:spPr>
            <a:solidFill>
              <a:srgbClr val="00CC00"/>
            </a:solidFill>
          </c:spPr>
          <c:dPt>
            <c:idx val="0"/>
            <c:bubble3D val="0"/>
            <c:spPr>
              <a:solidFill>
                <a:srgbClr val="FF0000"/>
              </a:solidFill>
              <a:ln w="19050">
                <a:solidFill>
                  <a:schemeClr val="lt1"/>
                </a:solidFill>
              </a:ln>
              <a:effectLst/>
            </c:spPr>
            <c:extLst>
              <c:ext xmlns:c16="http://schemas.microsoft.com/office/drawing/2014/chart" uri="{C3380CC4-5D6E-409C-BE32-E72D297353CC}">
                <c16:uniqueId val="{00000001-1193-4083-937F-E4D9188D5271}"/>
              </c:ext>
            </c:extLst>
          </c:dPt>
          <c:dPt>
            <c:idx val="1"/>
            <c:bubble3D val="0"/>
            <c:spPr>
              <a:solidFill>
                <a:srgbClr val="00CC00"/>
              </a:solidFill>
              <a:ln w="19050">
                <a:solidFill>
                  <a:schemeClr val="lt1"/>
                </a:solidFill>
              </a:ln>
              <a:effectLst/>
            </c:spPr>
            <c:extLst>
              <c:ext xmlns:c16="http://schemas.microsoft.com/office/drawing/2014/chart" uri="{C3380CC4-5D6E-409C-BE32-E72D297353CC}">
                <c16:uniqueId val="{00000003-1193-4083-937F-E4D9188D5271}"/>
              </c:ext>
            </c:extLst>
          </c:dPt>
          <c:dLbls>
            <c:dLbl>
              <c:idx val="0"/>
              <c:layout>
                <c:manualLayout>
                  <c:x val="0.20833322397200355"/>
                  <c:y val="-0.1092765748031496"/>
                </c:manualLayout>
              </c:layout>
              <c:spPr>
                <a:solidFill>
                  <a:schemeClr val="bg1"/>
                </a:solidFill>
                <a:ln>
                  <a:solidFill>
                    <a:schemeClr val="tx1">
                      <a:lumMod val="85000"/>
                      <a:lumOff val="15000"/>
                    </a:schemeClr>
                  </a:solid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4331248906386701"/>
                      <c:h val="0.12421296296296294"/>
                    </c:manualLayout>
                  </c15:layout>
                </c:ext>
                <c:ext xmlns:c16="http://schemas.microsoft.com/office/drawing/2014/chart" uri="{C3380CC4-5D6E-409C-BE32-E72D297353CC}">
                  <c16:uniqueId val="{00000001-1193-4083-937F-E4D9188D5271}"/>
                </c:ext>
              </c:extLst>
            </c:dLbl>
            <c:dLbl>
              <c:idx val="1"/>
              <c:layout>
                <c:manualLayout>
                  <c:x val="0.37777777777777777"/>
                  <c:y val="9.7397200349955415E-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193-4083-937F-E4D9188D5271}"/>
                </c:ext>
              </c:extLst>
            </c:dLbl>
            <c:spPr>
              <a:solidFill>
                <a:schemeClr val="bg1"/>
              </a:solidFill>
              <a:ln>
                <a:solidFill>
                  <a:schemeClr val="tx1">
                    <a:lumMod val="85000"/>
                    <a:lumOff val="15000"/>
                  </a:schemeClr>
                </a:solid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TABLE!$A$209:$A$211</c:f>
              <c:strCache>
                <c:ptCount val="2"/>
                <c:pt idx="0">
                  <c:v>failed</c:v>
                </c:pt>
                <c:pt idx="1">
                  <c:v>pass</c:v>
                </c:pt>
              </c:strCache>
            </c:strRef>
          </c:cat>
          <c:val>
            <c:numRef>
              <c:f>TABLE!$B$209:$B$211</c:f>
              <c:numCache>
                <c:formatCode>0.00%</c:formatCode>
                <c:ptCount val="2"/>
                <c:pt idx="0">
                  <c:v>1.4999999999999999E-2</c:v>
                </c:pt>
                <c:pt idx="1">
                  <c:v>0.98499999999999999</c:v>
                </c:pt>
              </c:numCache>
            </c:numRef>
          </c:val>
          <c:extLst>
            <c:ext xmlns:c16="http://schemas.microsoft.com/office/drawing/2014/chart" uri="{C3380CC4-5D6E-409C-BE32-E72D297353CC}">
              <c16:uniqueId val="{00000004-1193-4083-937F-E4D9188D527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hyperlink" Target="#HOME!A1"/><Relationship Id="rId7"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TRACTION!A1"/><Relationship Id="rId5" Type="http://schemas.openxmlformats.org/officeDocument/2006/relationships/image" Target="../media/image3.png"/><Relationship Id="rId10" Type="http://schemas.openxmlformats.org/officeDocument/2006/relationships/chart" Target="../charts/chart5.xml"/><Relationship Id="rId4" Type="http://schemas.openxmlformats.org/officeDocument/2006/relationships/hyperlink" Target="#FINANCE!A1"/><Relationship Id="rId9"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2.svg"/><Relationship Id="rId7" Type="http://schemas.openxmlformats.org/officeDocument/2006/relationships/chart" Target="../charts/chart6.xml"/><Relationship Id="rId2" Type="http://schemas.openxmlformats.org/officeDocument/2006/relationships/image" Target="../media/image1.png"/><Relationship Id="rId1" Type="http://schemas.openxmlformats.org/officeDocument/2006/relationships/hyperlink" Target="#FINANCE!A1"/><Relationship Id="rId6" Type="http://schemas.openxmlformats.org/officeDocument/2006/relationships/hyperlink" Target="#TRACTION!A1"/><Relationship Id="rId11" Type="http://schemas.openxmlformats.org/officeDocument/2006/relationships/chart" Target="../charts/chart10.xml"/><Relationship Id="rId5" Type="http://schemas.openxmlformats.org/officeDocument/2006/relationships/image" Target="../media/image3.png"/><Relationship Id="rId10" Type="http://schemas.openxmlformats.org/officeDocument/2006/relationships/chart" Target="../charts/chart9.xml"/><Relationship Id="rId4" Type="http://schemas.openxmlformats.org/officeDocument/2006/relationships/hyperlink" Target="#HOME!A1"/><Relationship Id="rId9" Type="http://schemas.openxmlformats.org/officeDocument/2006/relationships/chart" Target="../charts/chart8.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image" Target="../media/image2.svg"/><Relationship Id="rId7" Type="http://schemas.openxmlformats.org/officeDocument/2006/relationships/chart" Target="../charts/chart11.xml"/><Relationship Id="rId2" Type="http://schemas.openxmlformats.org/officeDocument/2006/relationships/image" Target="../media/image1.png"/><Relationship Id="rId1" Type="http://schemas.openxmlformats.org/officeDocument/2006/relationships/hyperlink" Target="#FINANCE!A1"/><Relationship Id="rId6" Type="http://schemas.openxmlformats.org/officeDocument/2006/relationships/hyperlink" Target="#TRACTION!A1"/><Relationship Id="rId11" Type="http://schemas.openxmlformats.org/officeDocument/2006/relationships/chart" Target="../charts/chart15.xml"/><Relationship Id="rId5" Type="http://schemas.openxmlformats.org/officeDocument/2006/relationships/image" Target="../media/image3.png"/><Relationship Id="rId10" Type="http://schemas.openxmlformats.org/officeDocument/2006/relationships/chart" Target="../charts/chart14.xml"/><Relationship Id="rId4" Type="http://schemas.openxmlformats.org/officeDocument/2006/relationships/hyperlink" Target="#HOME!A1"/><Relationship Id="rId9"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3</xdr:col>
      <xdr:colOff>724274</xdr:colOff>
      <xdr:row>128</xdr:row>
      <xdr:rowOff>64621</xdr:rowOff>
    </xdr:from>
    <xdr:to>
      <xdr:col>8</xdr:col>
      <xdr:colOff>394074</xdr:colOff>
      <xdr:row>143</xdr:row>
      <xdr:rowOff>140821</xdr:rowOff>
    </xdr:to>
    <xdr:graphicFrame macro="">
      <xdr:nvGraphicFramePr>
        <xdr:cNvPr id="5" name="Chart 4">
          <a:extLst>
            <a:ext uri="{FF2B5EF4-FFF2-40B4-BE49-F238E27FC236}">
              <a16:creationId xmlns:a16="http://schemas.microsoft.com/office/drawing/2014/main" id="{45FEAE05-2EEC-F118-A44F-CFF512ABAB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39</xdr:col>
      <xdr:colOff>124376</xdr:colOff>
      <xdr:row>60</xdr:row>
      <xdr:rowOff>159489</xdr:rowOff>
    </xdr:to>
    <xdr:sp macro="" textlink="">
      <xdr:nvSpPr>
        <xdr:cNvPr id="2" name="Rectangle 1">
          <a:extLst>
            <a:ext uri="{FF2B5EF4-FFF2-40B4-BE49-F238E27FC236}">
              <a16:creationId xmlns:a16="http://schemas.microsoft.com/office/drawing/2014/main" id="{E5F4601F-743E-A5B8-4146-101B713565CD}"/>
            </a:ext>
          </a:extLst>
        </xdr:cNvPr>
        <xdr:cNvSpPr/>
      </xdr:nvSpPr>
      <xdr:spPr>
        <a:xfrm>
          <a:off x="0" y="0"/>
          <a:ext cx="23622329" cy="10898373"/>
        </a:xfrm>
        <a:prstGeom prst="rect">
          <a:avLst/>
        </a:prstGeom>
        <a:solidFill>
          <a:srgbClr val="4566B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141767</xdr:colOff>
      <xdr:row>1</xdr:row>
      <xdr:rowOff>88605</xdr:rowOff>
    </xdr:from>
    <xdr:to>
      <xdr:col>10</xdr:col>
      <xdr:colOff>425302</xdr:colOff>
      <xdr:row>58</xdr:row>
      <xdr:rowOff>17720</xdr:rowOff>
    </xdr:to>
    <xdr:sp macro="" textlink="">
      <xdr:nvSpPr>
        <xdr:cNvPr id="6" name="Rectangle: Rounded Corners 5">
          <a:extLst>
            <a:ext uri="{FF2B5EF4-FFF2-40B4-BE49-F238E27FC236}">
              <a16:creationId xmlns:a16="http://schemas.microsoft.com/office/drawing/2014/main" id="{B3868729-8CBB-92A0-5D9F-D73F6187D1C1}"/>
            </a:ext>
          </a:extLst>
        </xdr:cNvPr>
        <xdr:cNvSpPr/>
      </xdr:nvSpPr>
      <xdr:spPr>
        <a:xfrm>
          <a:off x="141767" y="265814"/>
          <a:ext cx="6308651" cy="10030046"/>
        </a:xfrm>
        <a:prstGeom prst="roundRect">
          <a:avLst/>
        </a:prstGeom>
        <a:solidFill>
          <a:schemeClr val="tx2"/>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407581</xdr:colOff>
      <xdr:row>0</xdr:row>
      <xdr:rowOff>106325</xdr:rowOff>
    </xdr:from>
    <xdr:to>
      <xdr:col>38</xdr:col>
      <xdr:colOff>460744</xdr:colOff>
      <xdr:row>59</xdr:row>
      <xdr:rowOff>88604</xdr:rowOff>
    </xdr:to>
    <xdr:sp macro="" textlink="">
      <xdr:nvSpPr>
        <xdr:cNvPr id="5" name="Flowchart: Alternate Process 4">
          <a:extLst>
            <a:ext uri="{FF2B5EF4-FFF2-40B4-BE49-F238E27FC236}">
              <a16:creationId xmlns:a16="http://schemas.microsoft.com/office/drawing/2014/main" id="{99F180FF-AE3C-C13C-749F-E96FBA6DBA29}"/>
            </a:ext>
          </a:extLst>
        </xdr:cNvPr>
        <xdr:cNvSpPr/>
      </xdr:nvSpPr>
      <xdr:spPr>
        <a:xfrm>
          <a:off x="2817628" y="106325"/>
          <a:ext cx="20538558" cy="10437628"/>
        </a:xfrm>
        <a:prstGeom prst="flowChartAlternateProcess">
          <a:avLst/>
        </a:prstGeom>
        <a:solidFill>
          <a:srgbClr val="EAEAEA"/>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editAs="oneCell">
    <xdr:from>
      <xdr:col>0</xdr:col>
      <xdr:colOff>283536</xdr:colOff>
      <xdr:row>34</xdr:row>
      <xdr:rowOff>17721</xdr:rowOff>
    </xdr:from>
    <xdr:to>
      <xdr:col>4</xdr:col>
      <xdr:colOff>141767</xdr:colOff>
      <xdr:row>51</xdr:row>
      <xdr:rowOff>53163</xdr:rowOff>
    </xdr:to>
    <xdr:pic>
      <xdr:nvPicPr>
        <xdr:cNvPr id="8" name="Graphic 7" descr="Bank with solid fill">
          <a:extLst>
            <a:ext uri="{FF2B5EF4-FFF2-40B4-BE49-F238E27FC236}">
              <a16:creationId xmlns:a16="http://schemas.microsoft.com/office/drawing/2014/main" id="{3C9EE805-F6ED-1319-D123-C724FA13C1B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3536" y="6042837"/>
          <a:ext cx="2268278" cy="3048000"/>
        </a:xfrm>
        <a:prstGeom prst="rect">
          <a:avLst/>
        </a:prstGeom>
      </xdr:spPr>
    </xdr:pic>
    <xdr:clientData/>
  </xdr:twoCellAnchor>
  <xdr:twoCellAnchor>
    <xdr:from>
      <xdr:col>1</xdr:col>
      <xdr:colOff>194930</xdr:colOff>
      <xdr:row>4</xdr:row>
      <xdr:rowOff>106326</xdr:rowOff>
    </xdr:from>
    <xdr:to>
      <xdr:col>4</xdr:col>
      <xdr:colOff>425302</xdr:colOff>
      <xdr:row>11</xdr:row>
      <xdr:rowOff>0</xdr:rowOff>
    </xdr:to>
    <xdr:sp macro="" textlink="">
      <xdr:nvSpPr>
        <xdr:cNvPr id="9" name="TextBox 8">
          <a:extLst>
            <a:ext uri="{FF2B5EF4-FFF2-40B4-BE49-F238E27FC236}">
              <a16:creationId xmlns:a16="http://schemas.microsoft.com/office/drawing/2014/main" id="{7FECCB45-5C5F-40C9-0F06-79BCE619ACBD}"/>
            </a:ext>
          </a:extLst>
        </xdr:cNvPr>
        <xdr:cNvSpPr txBox="1"/>
      </xdr:nvSpPr>
      <xdr:spPr>
        <a:xfrm>
          <a:off x="797442" y="815163"/>
          <a:ext cx="2037907" cy="1134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1"/>
              </a:solidFill>
            </a:rPr>
            <a:t>JAYDEEP</a:t>
          </a:r>
        </a:p>
        <a:p>
          <a:pPr marL="0" marR="0" lvl="0" indent="0" defTabSz="914400" eaLnBrk="1" fontAlgn="auto" latinLnBrk="0" hangingPunct="1">
            <a:lnSpc>
              <a:spcPct val="100000"/>
            </a:lnSpc>
            <a:spcBef>
              <a:spcPts val="0"/>
            </a:spcBef>
            <a:spcAft>
              <a:spcPts val="0"/>
            </a:spcAft>
            <a:buClrTx/>
            <a:buSzTx/>
            <a:buFontTx/>
            <a:buNone/>
            <a:tabLst/>
            <a:defRPr/>
          </a:pPr>
          <a:r>
            <a:rPr lang="en-IN" sz="2400" b="1">
              <a:solidFill>
                <a:schemeClr val="accent6"/>
              </a:solidFill>
              <a:effectLst/>
              <a:latin typeface="+mn-lt"/>
              <a:ea typeface="+mn-ea"/>
              <a:cs typeface="+mn-cs"/>
            </a:rPr>
            <a:t>B</a:t>
          </a:r>
          <a:r>
            <a:rPr lang="en-IN" sz="2400" b="1">
              <a:solidFill>
                <a:schemeClr val="bg1"/>
              </a:solidFill>
              <a:effectLst/>
              <a:latin typeface="+mn-lt"/>
              <a:ea typeface="+mn-ea"/>
              <a:cs typeface="+mn-cs"/>
            </a:rPr>
            <a:t>A</a:t>
          </a:r>
          <a:r>
            <a:rPr lang="en-IN" sz="2400" b="1">
              <a:solidFill>
                <a:srgbClr val="00B050"/>
              </a:solidFill>
              <a:effectLst/>
              <a:latin typeface="+mn-lt"/>
              <a:ea typeface="+mn-ea"/>
              <a:cs typeface="+mn-cs"/>
            </a:rPr>
            <a:t>N</a:t>
          </a:r>
          <a:r>
            <a:rPr lang="en-IN" sz="2400" b="1">
              <a:solidFill>
                <a:schemeClr val="bg1"/>
              </a:solidFill>
              <a:effectLst/>
              <a:latin typeface="+mn-lt"/>
              <a:ea typeface="+mn-ea"/>
              <a:cs typeface="+mn-cs"/>
            </a:rPr>
            <a:t>K</a:t>
          </a:r>
          <a:endParaRPr lang="en-IN" sz="2400" b="1">
            <a:solidFill>
              <a:schemeClr val="bg1"/>
            </a:solidFill>
            <a:effectLst/>
          </a:endParaRPr>
        </a:p>
        <a:p>
          <a:endParaRPr lang="en-IN" sz="3200" b="1">
            <a:solidFill>
              <a:schemeClr val="bg1"/>
            </a:solidFill>
          </a:endParaRPr>
        </a:p>
        <a:p>
          <a:endParaRPr lang="en-IN" sz="3200" b="1">
            <a:solidFill>
              <a:schemeClr val="bg1"/>
            </a:solidFill>
          </a:endParaRPr>
        </a:p>
      </xdr:txBody>
    </xdr:sp>
    <xdr:clientData/>
  </xdr:twoCellAnchor>
  <xdr:twoCellAnchor>
    <xdr:from>
      <xdr:col>0</xdr:col>
      <xdr:colOff>531629</xdr:colOff>
      <xdr:row>11</xdr:row>
      <xdr:rowOff>17722</xdr:rowOff>
    </xdr:from>
    <xdr:to>
      <xdr:col>4</xdr:col>
      <xdr:colOff>478466</xdr:colOff>
      <xdr:row>14</xdr:row>
      <xdr:rowOff>70885</xdr:rowOff>
    </xdr:to>
    <xdr:sp macro="" textlink="">
      <xdr:nvSpPr>
        <xdr:cNvPr id="10" name="Flowchart: Process 9">
          <a:hlinkClick xmlns:r="http://schemas.openxmlformats.org/officeDocument/2006/relationships" r:id="rId3"/>
          <a:extLst>
            <a:ext uri="{FF2B5EF4-FFF2-40B4-BE49-F238E27FC236}">
              <a16:creationId xmlns:a16="http://schemas.microsoft.com/office/drawing/2014/main" id="{29CAB08A-8173-12B4-5793-706DCB70D273}"/>
            </a:ext>
          </a:extLst>
        </xdr:cNvPr>
        <xdr:cNvSpPr/>
      </xdr:nvSpPr>
      <xdr:spPr>
        <a:xfrm>
          <a:off x="531629" y="1967024"/>
          <a:ext cx="2356884" cy="584791"/>
        </a:xfrm>
        <a:prstGeom prst="flowChartProcess">
          <a:avLst/>
        </a:prstGeom>
        <a:solidFill>
          <a:srgbClr val="EAEAEA"/>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IN" sz="3600" b="1">
              <a:solidFill>
                <a:schemeClr val="tx1"/>
              </a:solidFill>
              <a:latin typeface="+mn-lt"/>
              <a:ea typeface="+mn-ea"/>
              <a:cs typeface="+mn-cs"/>
            </a:rPr>
            <a:t>HOME</a:t>
          </a:r>
        </a:p>
      </xdr:txBody>
    </xdr:sp>
    <xdr:clientData/>
  </xdr:twoCellAnchor>
  <xdr:twoCellAnchor>
    <xdr:from>
      <xdr:col>0</xdr:col>
      <xdr:colOff>513907</xdr:colOff>
      <xdr:row>15</xdr:row>
      <xdr:rowOff>159487</xdr:rowOff>
    </xdr:from>
    <xdr:to>
      <xdr:col>4</xdr:col>
      <xdr:colOff>372139</xdr:colOff>
      <xdr:row>19</xdr:row>
      <xdr:rowOff>35441</xdr:rowOff>
    </xdr:to>
    <xdr:sp macro="" textlink="">
      <xdr:nvSpPr>
        <xdr:cNvPr id="11" name="Flowchart: Process 10">
          <a:hlinkClick xmlns:r="http://schemas.openxmlformats.org/officeDocument/2006/relationships" r:id="rId4"/>
          <a:extLst>
            <a:ext uri="{FF2B5EF4-FFF2-40B4-BE49-F238E27FC236}">
              <a16:creationId xmlns:a16="http://schemas.microsoft.com/office/drawing/2014/main" id="{38316F2D-D055-4E4A-B246-8472F6EAC2F8}"/>
            </a:ext>
          </a:extLst>
        </xdr:cNvPr>
        <xdr:cNvSpPr/>
      </xdr:nvSpPr>
      <xdr:spPr>
        <a:xfrm>
          <a:off x="513907" y="2817627"/>
          <a:ext cx="2268279" cy="584791"/>
        </a:xfrm>
        <a:prstGeom prst="flowChart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t>FINANCE </a:t>
          </a:r>
          <a:endParaRPr lang="en-IN" sz="3600" b="1"/>
        </a:p>
      </xdr:txBody>
    </xdr:sp>
    <xdr:clientData/>
  </xdr:twoCellAnchor>
  <xdr:twoCellAnchor editAs="oneCell">
    <xdr:from>
      <xdr:col>0</xdr:col>
      <xdr:colOff>318978</xdr:colOff>
      <xdr:row>5</xdr:row>
      <xdr:rowOff>88606</xdr:rowOff>
    </xdr:from>
    <xdr:to>
      <xdr:col>1</xdr:col>
      <xdr:colOff>194930</xdr:colOff>
      <xdr:row>8</xdr:row>
      <xdr:rowOff>35443</xdr:rowOff>
    </xdr:to>
    <xdr:pic>
      <xdr:nvPicPr>
        <xdr:cNvPr id="13" name="Picture 12">
          <a:extLst>
            <a:ext uri="{FF2B5EF4-FFF2-40B4-BE49-F238E27FC236}">
              <a16:creationId xmlns:a16="http://schemas.microsoft.com/office/drawing/2014/main" id="{D05C1D4F-70FD-0019-F4BB-A38DF3D38AD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18978" y="974653"/>
          <a:ext cx="478464" cy="478464"/>
        </a:xfrm>
        <a:prstGeom prst="rect">
          <a:avLst/>
        </a:prstGeom>
      </xdr:spPr>
    </xdr:pic>
    <xdr:clientData/>
  </xdr:twoCellAnchor>
  <xdr:twoCellAnchor>
    <xdr:from>
      <xdr:col>0</xdr:col>
      <xdr:colOff>513906</xdr:colOff>
      <xdr:row>21</xdr:row>
      <xdr:rowOff>17721</xdr:rowOff>
    </xdr:from>
    <xdr:to>
      <xdr:col>4</xdr:col>
      <xdr:colOff>372138</xdr:colOff>
      <xdr:row>24</xdr:row>
      <xdr:rowOff>70884</xdr:rowOff>
    </xdr:to>
    <xdr:sp macro="" textlink="">
      <xdr:nvSpPr>
        <xdr:cNvPr id="16" name="Flowchart: Process 15">
          <a:hlinkClick xmlns:r="http://schemas.openxmlformats.org/officeDocument/2006/relationships" r:id="rId6"/>
          <a:extLst>
            <a:ext uri="{FF2B5EF4-FFF2-40B4-BE49-F238E27FC236}">
              <a16:creationId xmlns:a16="http://schemas.microsoft.com/office/drawing/2014/main" id="{29183399-244C-4AE2-A845-8BE4C5CEBD93}"/>
            </a:ext>
          </a:extLst>
        </xdr:cNvPr>
        <xdr:cNvSpPr/>
      </xdr:nvSpPr>
      <xdr:spPr>
        <a:xfrm>
          <a:off x="513906" y="3739116"/>
          <a:ext cx="2268279" cy="584791"/>
        </a:xfrm>
        <a:prstGeom prst="flowChart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t>TRACTION</a:t>
          </a:r>
          <a:endParaRPr lang="en-IN" sz="3600" b="1"/>
        </a:p>
      </xdr:txBody>
    </xdr:sp>
    <xdr:clientData/>
  </xdr:twoCellAnchor>
  <xdr:twoCellAnchor>
    <xdr:from>
      <xdr:col>17</xdr:col>
      <xdr:colOff>124046</xdr:colOff>
      <xdr:row>7</xdr:row>
      <xdr:rowOff>88605</xdr:rowOff>
    </xdr:from>
    <xdr:to>
      <xdr:col>37</xdr:col>
      <xdr:colOff>336698</xdr:colOff>
      <xdr:row>30</xdr:row>
      <xdr:rowOff>159488</xdr:rowOff>
    </xdr:to>
    <xdr:sp macro="" textlink="">
      <xdr:nvSpPr>
        <xdr:cNvPr id="20" name="Rectangle: Rounded Corners 19">
          <a:extLst>
            <a:ext uri="{FF2B5EF4-FFF2-40B4-BE49-F238E27FC236}">
              <a16:creationId xmlns:a16="http://schemas.microsoft.com/office/drawing/2014/main" id="{0F74F745-9E28-7ED7-BC81-EE28DE6658B0}"/>
            </a:ext>
          </a:extLst>
        </xdr:cNvPr>
        <xdr:cNvSpPr/>
      </xdr:nvSpPr>
      <xdr:spPr>
        <a:xfrm>
          <a:off x="10366744" y="1329070"/>
          <a:ext cx="12262884" cy="4146697"/>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26</xdr:col>
      <xdr:colOff>443022</xdr:colOff>
      <xdr:row>33</xdr:row>
      <xdr:rowOff>35440</xdr:rowOff>
    </xdr:from>
    <xdr:to>
      <xdr:col>37</xdr:col>
      <xdr:colOff>389859</xdr:colOff>
      <xdr:row>57</xdr:row>
      <xdr:rowOff>53162</xdr:rowOff>
    </xdr:to>
    <xdr:sp macro="" textlink="">
      <xdr:nvSpPr>
        <xdr:cNvPr id="21" name="Rectangle: Rounded Corners 20">
          <a:extLst>
            <a:ext uri="{FF2B5EF4-FFF2-40B4-BE49-F238E27FC236}">
              <a16:creationId xmlns:a16="http://schemas.microsoft.com/office/drawing/2014/main" id="{17BC962F-F5AA-4994-8A02-6E53F6BB6143}"/>
            </a:ext>
          </a:extLst>
        </xdr:cNvPr>
        <xdr:cNvSpPr/>
      </xdr:nvSpPr>
      <xdr:spPr>
        <a:xfrm>
          <a:off x="16108324" y="5883347"/>
          <a:ext cx="6574465" cy="4270745"/>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567069</xdr:colOff>
      <xdr:row>32</xdr:row>
      <xdr:rowOff>124045</xdr:rowOff>
    </xdr:from>
    <xdr:to>
      <xdr:col>14</xdr:col>
      <xdr:colOff>194930</xdr:colOff>
      <xdr:row>57</xdr:row>
      <xdr:rowOff>106325</xdr:rowOff>
    </xdr:to>
    <xdr:sp macro="" textlink="">
      <xdr:nvSpPr>
        <xdr:cNvPr id="23" name="Rectangle: Rounded Corners 22">
          <a:extLst>
            <a:ext uri="{FF2B5EF4-FFF2-40B4-BE49-F238E27FC236}">
              <a16:creationId xmlns:a16="http://schemas.microsoft.com/office/drawing/2014/main" id="{61C127FD-8F37-474F-B35F-321535CCED25}"/>
            </a:ext>
          </a:extLst>
        </xdr:cNvPr>
        <xdr:cNvSpPr/>
      </xdr:nvSpPr>
      <xdr:spPr>
        <a:xfrm>
          <a:off x="4182139" y="6007394"/>
          <a:ext cx="4447954" cy="4412512"/>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53162</xdr:colOff>
      <xdr:row>33</xdr:row>
      <xdr:rowOff>-1</xdr:rowOff>
    </xdr:from>
    <xdr:to>
      <xdr:col>25</xdr:col>
      <xdr:colOff>602510</xdr:colOff>
      <xdr:row>57</xdr:row>
      <xdr:rowOff>17721</xdr:rowOff>
    </xdr:to>
    <xdr:sp macro="" textlink="">
      <xdr:nvSpPr>
        <xdr:cNvPr id="24" name="Rectangle: Rounded Corners 23">
          <a:extLst>
            <a:ext uri="{FF2B5EF4-FFF2-40B4-BE49-F238E27FC236}">
              <a16:creationId xmlns:a16="http://schemas.microsoft.com/office/drawing/2014/main" id="{B7B47D1A-4B5B-45D9-B591-6B001DDB5E1E}"/>
            </a:ext>
          </a:extLst>
        </xdr:cNvPr>
        <xdr:cNvSpPr/>
      </xdr:nvSpPr>
      <xdr:spPr>
        <a:xfrm>
          <a:off x="9090836" y="5847906"/>
          <a:ext cx="6574465" cy="4270745"/>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17720</xdr:colOff>
      <xdr:row>9</xdr:row>
      <xdr:rowOff>35441</xdr:rowOff>
    </xdr:from>
    <xdr:to>
      <xdr:col>16</xdr:col>
      <xdr:colOff>389860</xdr:colOff>
      <xdr:row>16</xdr:row>
      <xdr:rowOff>53162</xdr:rowOff>
    </xdr:to>
    <xdr:sp macro="" textlink="TABLE!C13">
      <xdr:nvSpPr>
        <xdr:cNvPr id="25" name="Rectangle: Top Corners Rounded 24">
          <a:extLst>
            <a:ext uri="{FF2B5EF4-FFF2-40B4-BE49-F238E27FC236}">
              <a16:creationId xmlns:a16="http://schemas.microsoft.com/office/drawing/2014/main" id="{B52F547D-C6DA-AA3D-AF95-AC62210C7513}"/>
            </a:ext>
          </a:extLst>
        </xdr:cNvPr>
        <xdr:cNvSpPr/>
      </xdr:nvSpPr>
      <xdr:spPr>
        <a:xfrm>
          <a:off x="6794656" y="1640505"/>
          <a:ext cx="3452566" cy="1266104"/>
        </a:xfrm>
        <a:prstGeom prst="round2Same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3F1DC63E-87AF-477A-B986-62DFEBA2529E}" type="TxLink">
            <a:rPr lang="en-US" sz="3600" b="1" i="0" u="none" strike="noStrike">
              <a:solidFill>
                <a:srgbClr val="4566B1"/>
              </a:solidFill>
              <a:latin typeface="Calibri"/>
              <a:cs typeface="Calibri"/>
            </a:rPr>
            <a:pPr algn="ctr"/>
            <a:t>₹ 1,32,209</a:t>
          </a:fld>
          <a:endParaRPr lang="en-IN" sz="3600" b="1">
            <a:solidFill>
              <a:srgbClr val="4566B1"/>
            </a:solidFill>
          </a:endParaRPr>
        </a:p>
      </xdr:txBody>
    </xdr:sp>
    <xdr:clientData/>
  </xdr:twoCellAnchor>
  <xdr:twoCellAnchor>
    <xdr:from>
      <xdr:col>5</xdr:col>
      <xdr:colOff>0</xdr:colOff>
      <xdr:row>8</xdr:row>
      <xdr:rowOff>157979</xdr:rowOff>
    </xdr:from>
    <xdr:to>
      <xdr:col>10</xdr:col>
      <xdr:colOff>372140</xdr:colOff>
      <xdr:row>15</xdr:row>
      <xdr:rowOff>175699</xdr:rowOff>
    </xdr:to>
    <xdr:sp macro="" textlink="TABLE!C6">
      <xdr:nvSpPr>
        <xdr:cNvPr id="26" name="Rectangle: Top Corners Rounded 25">
          <a:extLst>
            <a:ext uri="{FF2B5EF4-FFF2-40B4-BE49-F238E27FC236}">
              <a16:creationId xmlns:a16="http://schemas.microsoft.com/office/drawing/2014/main" id="{72145C0C-C94F-4C2E-A507-82EECEA75526}"/>
            </a:ext>
          </a:extLst>
        </xdr:cNvPr>
        <xdr:cNvSpPr/>
      </xdr:nvSpPr>
      <xdr:spPr>
        <a:xfrm>
          <a:off x="3012558" y="1575653"/>
          <a:ext cx="3384698" cy="1258186"/>
        </a:xfrm>
        <a:prstGeom prst="round2Same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42EC366A-747D-4C0A-A34F-356097AD55AD}" type="TxLink">
            <a:rPr lang="en-US" sz="3600" b="1" i="0" u="none" strike="noStrike">
              <a:solidFill>
                <a:srgbClr val="4566B1"/>
              </a:solidFill>
              <a:latin typeface="Calibri"/>
              <a:cs typeface="Calibri"/>
            </a:rPr>
            <a:t>1000</a:t>
          </a:fld>
          <a:endParaRPr lang="en-US" sz="3600" b="1">
            <a:solidFill>
              <a:srgbClr val="4566B1"/>
            </a:solidFill>
          </a:endParaRPr>
        </a:p>
      </xdr:txBody>
    </xdr:sp>
    <xdr:clientData/>
  </xdr:twoCellAnchor>
  <xdr:twoCellAnchor>
    <xdr:from>
      <xdr:col>11</xdr:col>
      <xdr:colOff>0</xdr:colOff>
      <xdr:row>19</xdr:row>
      <xdr:rowOff>106325</xdr:rowOff>
    </xdr:from>
    <xdr:to>
      <xdr:col>16</xdr:col>
      <xdr:colOff>372140</xdr:colOff>
      <xdr:row>26</xdr:row>
      <xdr:rowOff>124046</xdr:rowOff>
    </xdr:to>
    <xdr:sp macro="" textlink="TABLE!C26">
      <xdr:nvSpPr>
        <xdr:cNvPr id="27" name="Rectangle: Top Corners Rounded 26">
          <a:extLst>
            <a:ext uri="{FF2B5EF4-FFF2-40B4-BE49-F238E27FC236}">
              <a16:creationId xmlns:a16="http://schemas.microsoft.com/office/drawing/2014/main" id="{A7DDEDCA-492C-432D-B9CA-820D9BDD6A6C}"/>
            </a:ext>
          </a:extLst>
        </xdr:cNvPr>
        <xdr:cNvSpPr/>
      </xdr:nvSpPr>
      <xdr:spPr>
        <a:xfrm>
          <a:off x="6627628" y="3473302"/>
          <a:ext cx="3384698" cy="1258186"/>
        </a:xfrm>
        <a:prstGeom prst="round2Same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57FC7712-755B-44BA-8421-D57EBEFB61B6}" type="TxLink">
            <a:rPr lang="en-US" sz="3600" b="1" i="0" u="none" strike="noStrike">
              <a:solidFill>
                <a:srgbClr val="4566B1"/>
              </a:solidFill>
              <a:latin typeface="Calibri"/>
              <a:cs typeface="Calibri"/>
            </a:rPr>
            <a:pPr algn="ctr"/>
            <a:t>₹ 2,49,387</a:t>
          </a:fld>
          <a:endParaRPr lang="en-IN" sz="3600" b="1">
            <a:solidFill>
              <a:srgbClr val="4566B1"/>
            </a:solidFill>
          </a:endParaRPr>
        </a:p>
      </xdr:txBody>
    </xdr:sp>
    <xdr:clientData/>
  </xdr:twoCellAnchor>
  <xdr:twoCellAnchor>
    <xdr:from>
      <xdr:col>4</xdr:col>
      <xdr:colOff>567070</xdr:colOff>
      <xdr:row>19</xdr:row>
      <xdr:rowOff>53162</xdr:rowOff>
    </xdr:from>
    <xdr:to>
      <xdr:col>10</xdr:col>
      <xdr:colOff>336699</xdr:colOff>
      <xdr:row>26</xdr:row>
      <xdr:rowOff>70883</xdr:rowOff>
    </xdr:to>
    <xdr:sp macro="" textlink="TABLE!C20">
      <xdr:nvSpPr>
        <xdr:cNvPr id="28" name="Rectangle: Top Corners Rounded 27">
          <a:extLst>
            <a:ext uri="{FF2B5EF4-FFF2-40B4-BE49-F238E27FC236}">
              <a16:creationId xmlns:a16="http://schemas.microsoft.com/office/drawing/2014/main" id="{44626079-C76F-4DF8-AF11-41A900C94522}"/>
            </a:ext>
          </a:extLst>
        </xdr:cNvPr>
        <xdr:cNvSpPr/>
      </xdr:nvSpPr>
      <xdr:spPr>
        <a:xfrm>
          <a:off x="2977117" y="3420139"/>
          <a:ext cx="3384698" cy="1258186"/>
        </a:xfrm>
        <a:prstGeom prst="round2Same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00D33C3C-8394-4965-A3CA-B109EDD4E679}" type="TxLink">
            <a:rPr lang="en-US" sz="3600" b="1" i="0" u="none" strike="noStrike">
              <a:solidFill>
                <a:srgbClr val="4566B1"/>
              </a:solidFill>
              <a:latin typeface="Calibri"/>
              <a:cs typeface="Calibri"/>
            </a:rPr>
            <a:pPr algn="ctr"/>
            <a:t>43</a:t>
          </a:fld>
          <a:endParaRPr lang="en-IN" sz="3600" b="1">
            <a:solidFill>
              <a:srgbClr val="4566B1"/>
            </a:solidFill>
          </a:endParaRPr>
        </a:p>
      </xdr:txBody>
    </xdr:sp>
    <xdr:clientData/>
  </xdr:twoCellAnchor>
  <xdr:twoCellAnchor>
    <xdr:from>
      <xdr:col>24</xdr:col>
      <xdr:colOff>567069</xdr:colOff>
      <xdr:row>1</xdr:row>
      <xdr:rowOff>88605</xdr:rowOff>
    </xdr:from>
    <xdr:to>
      <xdr:col>35</xdr:col>
      <xdr:colOff>602510</xdr:colOff>
      <xdr:row>6</xdr:row>
      <xdr:rowOff>0</xdr:rowOff>
    </xdr:to>
    <xdr:sp macro="" textlink="">
      <xdr:nvSpPr>
        <xdr:cNvPr id="29" name="Flowchart: Alternate Process 28">
          <a:extLst>
            <a:ext uri="{FF2B5EF4-FFF2-40B4-BE49-F238E27FC236}">
              <a16:creationId xmlns:a16="http://schemas.microsoft.com/office/drawing/2014/main" id="{36FB4AD6-CC14-20A3-6D20-0DFABD3A48E4}"/>
            </a:ext>
          </a:extLst>
        </xdr:cNvPr>
        <xdr:cNvSpPr/>
      </xdr:nvSpPr>
      <xdr:spPr>
        <a:xfrm>
          <a:off x="15027348" y="265814"/>
          <a:ext cx="6663069" cy="797442"/>
        </a:xfrm>
        <a:prstGeom prst="flowChartAlternateProcess">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25</xdr:col>
      <xdr:colOff>96898</xdr:colOff>
      <xdr:row>1</xdr:row>
      <xdr:rowOff>121031</xdr:rowOff>
    </xdr:from>
    <xdr:to>
      <xdr:col>35</xdr:col>
      <xdr:colOff>535774</xdr:colOff>
      <xdr:row>5</xdr:row>
      <xdr:rowOff>174193</xdr:rowOff>
    </xdr:to>
    <mc:AlternateContent xmlns:mc="http://schemas.openxmlformats.org/markup-compatibility/2006" xmlns:a14="http://schemas.microsoft.com/office/drawing/2010/main">
      <mc:Choice Requires="a14">
        <xdr:graphicFrame macro="">
          <xdr:nvGraphicFramePr>
            <xdr:cNvPr id="30" name="Gender">
              <a:extLst>
                <a:ext uri="{FF2B5EF4-FFF2-40B4-BE49-F238E27FC236}">
                  <a16:creationId xmlns:a16="http://schemas.microsoft.com/office/drawing/2014/main" id="{6EDE19AE-0E5B-4B2E-8B70-BB58CDCEBB9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5499026" y="299371"/>
              <a:ext cx="6599727" cy="7665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81065</xdr:colOff>
      <xdr:row>8</xdr:row>
      <xdr:rowOff>145916</xdr:rowOff>
    </xdr:from>
    <xdr:to>
      <xdr:col>7</xdr:col>
      <xdr:colOff>405319</xdr:colOff>
      <xdr:row>12</xdr:row>
      <xdr:rowOff>1</xdr:rowOff>
    </xdr:to>
    <xdr:sp macro="" textlink="">
      <xdr:nvSpPr>
        <xdr:cNvPr id="31" name="TextBox 30">
          <a:extLst>
            <a:ext uri="{FF2B5EF4-FFF2-40B4-BE49-F238E27FC236}">
              <a16:creationId xmlns:a16="http://schemas.microsoft.com/office/drawing/2014/main" id="{5FAFDFBE-B213-39C4-8883-32E4AD5FED8E}"/>
            </a:ext>
          </a:extLst>
        </xdr:cNvPr>
        <xdr:cNvSpPr txBox="1"/>
      </xdr:nvSpPr>
      <xdr:spPr>
        <a:xfrm>
          <a:off x="3161491" y="1572639"/>
          <a:ext cx="1556424" cy="567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rgbClr val="4566B1"/>
              </a:solidFill>
            </a:rPr>
            <a:t>Clients</a:t>
          </a:r>
          <a:endParaRPr lang="en-IN" sz="2400" b="0">
            <a:solidFill>
              <a:srgbClr val="4566B1"/>
            </a:solidFill>
          </a:endParaRPr>
        </a:p>
      </xdr:txBody>
    </xdr:sp>
    <xdr:clientData/>
  </xdr:twoCellAnchor>
  <xdr:twoCellAnchor>
    <xdr:from>
      <xdr:col>11</xdr:col>
      <xdr:colOff>64850</xdr:colOff>
      <xdr:row>8</xdr:row>
      <xdr:rowOff>162127</xdr:rowOff>
    </xdr:from>
    <xdr:to>
      <xdr:col>16</xdr:col>
      <xdr:colOff>405318</xdr:colOff>
      <xdr:row>11</xdr:row>
      <xdr:rowOff>145914</xdr:rowOff>
    </xdr:to>
    <xdr:sp macro="" textlink="">
      <xdr:nvSpPr>
        <xdr:cNvPr id="32" name="TextBox 31">
          <a:extLst>
            <a:ext uri="{FF2B5EF4-FFF2-40B4-BE49-F238E27FC236}">
              <a16:creationId xmlns:a16="http://schemas.microsoft.com/office/drawing/2014/main" id="{E32BF194-D52A-D3FF-0544-1C7D1E56D44E}"/>
            </a:ext>
          </a:extLst>
        </xdr:cNvPr>
        <xdr:cNvSpPr txBox="1"/>
      </xdr:nvSpPr>
      <xdr:spPr>
        <a:xfrm>
          <a:off x="6841786" y="1588850"/>
          <a:ext cx="3420894" cy="518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4566B1"/>
              </a:solidFill>
            </a:rPr>
            <a:t>Average year  income </a:t>
          </a:r>
          <a:endParaRPr lang="en-IN" sz="2400">
            <a:solidFill>
              <a:srgbClr val="4566B1"/>
            </a:solidFill>
          </a:endParaRPr>
        </a:p>
      </xdr:txBody>
    </xdr:sp>
    <xdr:clientData/>
  </xdr:twoCellAnchor>
  <xdr:twoCellAnchor>
    <xdr:from>
      <xdr:col>5</xdr:col>
      <xdr:colOff>126999</xdr:colOff>
      <xdr:row>19</xdr:row>
      <xdr:rowOff>42332</xdr:rowOff>
    </xdr:from>
    <xdr:to>
      <xdr:col>9</xdr:col>
      <xdr:colOff>225778</xdr:colOff>
      <xdr:row>21</xdr:row>
      <xdr:rowOff>112888</xdr:rowOff>
    </xdr:to>
    <xdr:sp macro="" textlink="">
      <xdr:nvSpPr>
        <xdr:cNvPr id="3" name="TextBox 2">
          <a:extLst>
            <a:ext uri="{FF2B5EF4-FFF2-40B4-BE49-F238E27FC236}">
              <a16:creationId xmlns:a16="http://schemas.microsoft.com/office/drawing/2014/main" id="{71C79395-9F19-813F-38AA-8AD67D1394EC}"/>
            </a:ext>
          </a:extLst>
        </xdr:cNvPr>
        <xdr:cNvSpPr txBox="1"/>
      </xdr:nvSpPr>
      <xdr:spPr>
        <a:xfrm>
          <a:off x="3160888" y="3527776"/>
          <a:ext cx="2525890" cy="437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4566B1"/>
              </a:solidFill>
            </a:rPr>
            <a:t>Average Age </a:t>
          </a:r>
          <a:endParaRPr lang="en-IN" sz="2400">
            <a:solidFill>
              <a:srgbClr val="4566B1"/>
            </a:solidFill>
          </a:endParaRPr>
        </a:p>
      </xdr:txBody>
    </xdr:sp>
    <xdr:clientData/>
  </xdr:twoCellAnchor>
  <xdr:twoCellAnchor>
    <xdr:from>
      <xdr:col>11</xdr:col>
      <xdr:colOff>141111</xdr:colOff>
      <xdr:row>19</xdr:row>
      <xdr:rowOff>98778</xdr:rowOff>
    </xdr:from>
    <xdr:to>
      <xdr:col>15</xdr:col>
      <xdr:colOff>310444</xdr:colOff>
      <xdr:row>22</xdr:row>
      <xdr:rowOff>0</xdr:rowOff>
    </xdr:to>
    <xdr:sp macro="" textlink="">
      <xdr:nvSpPr>
        <xdr:cNvPr id="4" name="TextBox 3">
          <a:extLst>
            <a:ext uri="{FF2B5EF4-FFF2-40B4-BE49-F238E27FC236}">
              <a16:creationId xmlns:a16="http://schemas.microsoft.com/office/drawing/2014/main" id="{1717359B-C5D2-DCAD-3EE7-B4D079D427E4}"/>
            </a:ext>
          </a:extLst>
        </xdr:cNvPr>
        <xdr:cNvSpPr txBox="1"/>
      </xdr:nvSpPr>
      <xdr:spPr>
        <a:xfrm>
          <a:off x="6815667" y="3584222"/>
          <a:ext cx="2596444" cy="4515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rgbClr val="4566B1"/>
              </a:solidFill>
            </a:rPr>
            <a:t>Par </a:t>
          </a:r>
          <a:r>
            <a:rPr lang="en-US" sz="2400">
              <a:solidFill>
                <a:srgbClr val="4566B1"/>
              </a:solidFill>
            </a:rPr>
            <a:t>cepital Income </a:t>
          </a:r>
          <a:endParaRPr lang="en-IN" sz="2400">
            <a:solidFill>
              <a:srgbClr val="4566B1"/>
            </a:solidFill>
          </a:endParaRPr>
        </a:p>
      </xdr:txBody>
    </xdr:sp>
    <xdr:clientData/>
  </xdr:twoCellAnchor>
  <xdr:twoCellAnchor>
    <xdr:from>
      <xdr:col>17</xdr:col>
      <xdr:colOff>164410</xdr:colOff>
      <xdr:row>7</xdr:row>
      <xdr:rowOff>98778</xdr:rowOff>
    </xdr:from>
    <xdr:to>
      <xdr:col>37</xdr:col>
      <xdr:colOff>310443</xdr:colOff>
      <xdr:row>30</xdr:row>
      <xdr:rowOff>141111</xdr:rowOff>
    </xdr:to>
    <xdr:graphicFrame macro="">
      <xdr:nvGraphicFramePr>
        <xdr:cNvPr id="7" name="Chart 6">
          <a:extLst>
            <a:ext uri="{FF2B5EF4-FFF2-40B4-BE49-F238E27FC236}">
              <a16:creationId xmlns:a16="http://schemas.microsoft.com/office/drawing/2014/main" id="{2E161C43-8A57-4002-B1F3-AA4917E396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567071</xdr:colOff>
      <xdr:row>36</xdr:row>
      <xdr:rowOff>0</xdr:rowOff>
    </xdr:from>
    <xdr:to>
      <xdr:col>37</xdr:col>
      <xdr:colOff>354419</xdr:colOff>
      <xdr:row>57</xdr:row>
      <xdr:rowOff>31896</xdr:rowOff>
    </xdr:to>
    <xdr:graphicFrame macro="">
      <xdr:nvGraphicFramePr>
        <xdr:cNvPr id="12" name="Chart 11">
          <a:extLst>
            <a:ext uri="{FF2B5EF4-FFF2-40B4-BE49-F238E27FC236}">
              <a16:creationId xmlns:a16="http://schemas.microsoft.com/office/drawing/2014/main" id="{77B15E45-A01E-40B6-93D6-C07AF4377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173183</xdr:colOff>
      <xdr:row>36</xdr:row>
      <xdr:rowOff>115587</xdr:rowOff>
    </xdr:from>
    <xdr:to>
      <xdr:col>25</xdr:col>
      <xdr:colOff>311727</xdr:colOff>
      <xdr:row>56</xdr:row>
      <xdr:rowOff>17318</xdr:rowOff>
    </xdr:to>
    <xdr:graphicFrame macro="">
      <xdr:nvGraphicFramePr>
        <xdr:cNvPr id="14" name="Chart 13">
          <a:extLst>
            <a:ext uri="{FF2B5EF4-FFF2-40B4-BE49-F238E27FC236}">
              <a16:creationId xmlns:a16="http://schemas.microsoft.com/office/drawing/2014/main" id="{199488C5-19C0-4C34-A60F-6BF7B3DC0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86591</xdr:colOff>
      <xdr:row>34</xdr:row>
      <xdr:rowOff>17721</xdr:rowOff>
    </xdr:from>
    <xdr:to>
      <xdr:col>14</xdr:col>
      <xdr:colOff>519546</xdr:colOff>
      <xdr:row>58</xdr:row>
      <xdr:rowOff>155864</xdr:rowOff>
    </xdr:to>
    <xdr:graphicFrame macro="">
      <xdr:nvGraphicFramePr>
        <xdr:cNvPr id="15" name="Chart 14">
          <a:extLst>
            <a:ext uri="{FF2B5EF4-FFF2-40B4-BE49-F238E27FC236}">
              <a16:creationId xmlns:a16="http://schemas.microsoft.com/office/drawing/2014/main" id="{40846BF7-2299-4B2B-A913-82FAAB31DF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372140</xdr:colOff>
      <xdr:row>8</xdr:row>
      <xdr:rowOff>70884</xdr:rowOff>
    </xdr:from>
    <xdr:to>
      <xdr:col>23</xdr:col>
      <xdr:colOff>513907</xdr:colOff>
      <xdr:row>11</xdr:row>
      <xdr:rowOff>0</xdr:rowOff>
    </xdr:to>
    <xdr:sp macro="" textlink="">
      <xdr:nvSpPr>
        <xdr:cNvPr id="18" name="TextBox 17">
          <a:extLst>
            <a:ext uri="{FF2B5EF4-FFF2-40B4-BE49-F238E27FC236}">
              <a16:creationId xmlns:a16="http://schemas.microsoft.com/office/drawing/2014/main" id="{B2316CFF-7534-D2F3-1C13-509C9FC7F362}"/>
            </a:ext>
          </a:extLst>
        </xdr:cNvPr>
        <xdr:cNvSpPr txBox="1"/>
      </xdr:nvSpPr>
      <xdr:spPr>
        <a:xfrm>
          <a:off x="11217349" y="1488558"/>
          <a:ext cx="3154325" cy="460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4566B1"/>
              </a:solidFill>
            </a:rPr>
            <a:t>Clients By age</a:t>
          </a:r>
          <a:endParaRPr lang="en-IN" sz="2400" b="1">
            <a:solidFill>
              <a:srgbClr val="4566B1"/>
            </a:solidFill>
          </a:endParaRPr>
        </a:p>
      </xdr:txBody>
    </xdr:sp>
    <xdr:clientData/>
  </xdr:twoCellAnchor>
  <xdr:twoCellAnchor>
    <xdr:from>
      <xdr:col>45</xdr:col>
      <xdr:colOff>0</xdr:colOff>
      <xdr:row>20</xdr:row>
      <xdr:rowOff>0</xdr:rowOff>
    </xdr:from>
    <xdr:to>
      <xdr:col>50</xdr:col>
      <xdr:colOff>141767</xdr:colOff>
      <xdr:row>22</xdr:row>
      <xdr:rowOff>106325</xdr:rowOff>
    </xdr:to>
    <xdr:sp macro="" textlink="">
      <xdr:nvSpPr>
        <xdr:cNvPr id="22" name="TextBox 21">
          <a:extLst>
            <a:ext uri="{FF2B5EF4-FFF2-40B4-BE49-F238E27FC236}">
              <a16:creationId xmlns:a16="http://schemas.microsoft.com/office/drawing/2014/main" id="{451CE0E7-7B5E-4DC8-B581-21616325B336}"/>
            </a:ext>
          </a:extLst>
        </xdr:cNvPr>
        <xdr:cNvSpPr txBox="1"/>
      </xdr:nvSpPr>
      <xdr:spPr>
        <a:xfrm>
          <a:off x="27113023" y="3544186"/>
          <a:ext cx="3154325" cy="460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400" b="1">
            <a:solidFill>
              <a:srgbClr val="4566B1"/>
            </a:solidFill>
          </a:endParaRPr>
        </a:p>
      </xdr:txBody>
    </xdr:sp>
    <xdr:clientData/>
  </xdr:twoCellAnchor>
  <xdr:twoCellAnchor>
    <xdr:from>
      <xdr:col>28</xdr:col>
      <xdr:colOff>88602</xdr:colOff>
      <xdr:row>33</xdr:row>
      <xdr:rowOff>141766</xdr:rowOff>
    </xdr:from>
    <xdr:to>
      <xdr:col>33</xdr:col>
      <xdr:colOff>230369</xdr:colOff>
      <xdr:row>36</xdr:row>
      <xdr:rowOff>70882</xdr:rowOff>
    </xdr:to>
    <xdr:sp macro="" textlink="">
      <xdr:nvSpPr>
        <xdr:cNvPr id="33" name="TextBox 32">
          <a:extLst>
            <a:ext uri="{FF2B5EF4-FFF2-40B4-BE49-F238E27FC236}">
              <a16:creationId xmlns:a16="http://schemas.microsoft.com/office/drawing/2014/main" id="{29CDED37-CB89-46E3-89DD-28BF3600DD31}"/>
            </a:ext>
          </a:extLst>
        </xdr:cNvPr>
        <xdr:cNvSpPr txBox="1"/>
      </xdr:nvSpPr>
      <xdr:spPr>
        <a:xfrm>
          <a:off x="16958928" y="6202324"/>
          <a:ext cx="3154325" cy="460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4566B1"/>
              </a:solidFill>
            </a:rPr>
            <a:t>Clients Loan</a:t>
          </a:r>
          <a:r>
            <a:rPr lang="en-US" sz="2400" b="1" baseline="0">
              <a:solidFill>
                <a:srgbClr val="4566B1"/>
              </a:solidFill>
            </a:rPr>
            <a:t> Risk</a:t>
          </a:r>
          <a:endParaRPr lang="en-IN" sz="2400" b="1">
            <a:solidFill>
              <a:srgbClr val="4566B1"/>
            </a:solidFill>
          </a:endParaRPr>
        </a:p>
      </xdr:txBody>
    </xdr:sp>
    <xdr:clientData/>
  </xdr:twoCellAnchor>
  <xdr:twoCellAnchor>
    <xdr:from>
      <xdr:col>16</xdr:col>
      <xdr:colOff>212650</xdr:colOff>
      <xdr:row>33</xdr:row>
      <xdr:rowOff>53162</xdr:rowOff>
    </xdr:from>
    <xdr:to>
      <xdr:col>21</xdr:col>
      <xdr:colOff>354417</xdr:colOff>
      <xdr:row>35</xdr:row>
      <xdr:rowOff>159487</xdr:rowOff>
    </xdr:to>
    <xdr:sp macro="" textlink="">
      <xdr:nvSpPr>
        <xdr:cNvPr id="34" name="TextBox 33">
          <a:extLst>
            <a:ext uri="{FF2B5EF4-FFF2-40B4-BE49-F238E27FC236}">
              <a16:creationId xmlns:a16="http://schemas.microsoft.com/office/drawing/2014/main" id="{7D49698D-97DE-4EA9-90A7-88931DA910DB}"/>
            </a:ext>
          </a:extLst>
        </xdr:cNvPr>
        <xdr:cNvSpPr txBox="1"/>
      </xdr:nvSpPr>
      <xdr:spPr>
        <a:xfrm>
          <a:off x="9852836" y="6113720"/>
          <a:ext cx="3154325" cy="460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4566B1"/>
              </a:solidFill>
            </a:rPr>
            <a:t>Clients By Months </a:t>
          </a:r>
          <a:endParaRPr lang="en-IN" sz="2400" b="1">
            <a:solidFill>
              <a:srgbClr val="4566B1"/>
            </a:solidFill>
          </a:endParaRPr>
        </a:p>
      </xdr:txBody>
    </xdr:sp>
    <xdr:clientData/>
  </xdr:twoCellAnchor>
  <xdr:twoCellAnchor>
    <xdr:from>
      <xdr:col>8</xdr:col>
      <xdr:colOff>35442</xdr:colOff>
      <xdr:row>33</xdr:row>
      <xdr:rowOff>17719</xdr:rowOff>
    </xdr:from>
    <xdr:to>
      <xdr:col>13</xdr:col>
      <xdr:colOff>177209</xdr:colOff>
      <xdr:row>35</xdr:row>
      <xdr:rowOff>124044</xdr:rowOff>
    </xdr:to>
    <xdr:sp macro="" textlink="">
      <xdr:nvSpPr>
        <xdr:cNvPr id="35" name="TextBox 34">
          <a:extLst>
            <a:ext uri="{FF2B5EF4-FFF2-40B4-BE49-F238E27FC236}">
              <a16:creationId xmlns:a16="http://schemas.microsoft.com/office/drawing/2014/main" id="{400AC1D8-17B8-4B09-A7DB-4A7C330F67AB}"/>
            </a:ext>
          </a:extLst>
        </xdr:cNvPr>
        <xdr:cNvSpPr txBox="1"/>
      </xdr:nvSpPr>
      <xdr:spPr>
        <a:xfrm>
          <a:off x="4855535" y="6078277"/>
          <a:ext cx="3154325" cy="460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4566B1"/>
              </a:solidFill>
            </a:rPr>
            <a:t>Clients Incomes </a:t>
          </a:r>
          <a:endParaRPr lang="en-IN" sz="2400" b="1">
            <a:solidFill>
              <a:srgbClr val="4566B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70554</xdr:colOff>
      <xdr:row>0</xdr:row>
      <xdr:rowOff>0</xdr:rowOff>
    </xdr:from>
    <xdr:to>
      <xdr:col>39</xdr:col>
      <xdr:colOff>194930</xdr:colOff>
      <xdr:row>60</xdr:row>
      <xdr:rowOff>159489</xdr:rowOff>
    </xdr:to>
    <xdr:sp macro="" textlink="">
      <xdr:nvSpPr>
        <xdr:cNvPr id="2" name="Rectangle 1">
          <a:extLst>
            <a:ext uri="{FF2B5EF4-FFF2-40B4-BE49-F238E27FC236}">
              <a16:creationId xmlns:a16="http://schemas.microsoft.com/office/drawing/2014/main" id="{ECA59E43-E442-4595-8A20-CD16555DA221}"/>
            </a:ext>
          </a:extLst>
        </xdr:cNvPr>
        <xdr:cNvSpPr/>
      </xdr:nvSpPr>
      <xdr:spPr>
        <a:xfrm>
          <a:off x="70554" y="0"/>
          <a:ext cx="23898776" cy="11132289"/>
        </a:xfrm>
        <a:prstGeom prst="rect">
          <a:avLst/>
        </a:prstGeom>
        <a:solidFill>
          <a:srgbClr val="4566B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141767</xdr:colOff>
      <xdr:row>1</xdr:row>
      <xdr:rowOff>88605</xdr:rowOff>
    </xdr:from>
    <xdr:to>
      <xdr:col>10</xdr:col>
      <xdr:colOff>425302</xdr:colOff>
      <xdr:row>58</xdr:row>
      <xdr:rowOff>17720</xdr:rowOff>
    </xdr:to>
    <xdr:sp macro="" textlink="">
      <xdr:nvSpPr>
        <xdr:cNvPr id="3" name="Rectangle: Rounded Corners 2">
          <a:extLst>
            <a:ext uri="{FF2B5EF4-FFF2-40B4-BE49-F238E27FC236}">
              <a16:creationId xmlns:a16="http://schemas.microsoft.com/office/drawing/2014/main" id="{FF6DC60B-6A7A-4D75-A40A-0B2F33F59613}"/>
            </a:ext>
          </a:extLst>
        </xdr:cNvPr>
        <xdr:cNvSpPr/>
      </xdr:nvSpPr>
      <xdr:spPr>
        <a:xfrm>
          <a:off x="141767" y="279105"/>
          <a:ext cx="6344899" cy="10787615"/>
        </a:xfrm>
        <a:prstGeom prst="roundRect">
          <a:avLst/>
        </a:prstGeom>
        <a:solidFill>
          <a:schemeClr val="tx2"/>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479272</xdr:colOff>
      <xdr:row>15</xdr:row>
      <xdr:rowOff>159487</xdr:rowOff>
    </xdr:from>
    <xdr:to>
      <xdr:col>4</xdr:col>
      <xdr:colOff>432956</xdr:colOff>
      <xdr:row>19</xdr:row>
      <xdr:rowOff>35441</xdr:rowOff>
    </xdr:to>
    <xdr:sp macro="" textlink="">
      <xdr:nvSpPr>
        <xdr:cNvPr id="8" name="Flowchart: Process 7">
          <a:hlinkClick xmlns:r="http://schemas.openxmlformats.org/officeDocument/2006/relationships" r:id="rId1"/>
          <a:extLst>
            <a:ext uri="{FF2B5EF4-FFF2-40B4-BE49-F238E27FC236}">
              <a16:creationId xmlns:a16="http://schemas.microsoft.com/office/drawing/2014/main" id="{57462D88-2DD8-4A29-8D35-8506029DDCF8}"/>
            </a:ext>
          </a:extLst>
        </xdr:cNvPr>
        <xdr:cNvSpPr/>
      </xdr:nvSpPr>
      <xdr:spPr>
        <a:xfrm>
          <a:off x="479272" y="3016987"/>
          <a:ext cx="2378229" cy="637954"/>
        </a:xfrm>
        <a:prstGeom prst="flowChartProcess">
          <a:avLst/>
        </a:prstGeom>
        <a:solidFill>
          <a:srgbClr val="EAEAE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solidFill>
                <a:schemeClr val="tx1"/>
              </a:solidFill>
            </a:rPr>
            <a:t>FINANCE </a:t>
          </a:r>
          <a:endParaRPr lang="en-IN" sz="3600" b="1">
            <a:solidFill>
              <a:schemeClr val="tx1"/>
            </a:solidFill>
          </a:endParaRPr>
        </a:p>
      </xdr:txBody>
    </xdr:sp>
    <xdr:clientData/>
  </xdr:twoCellAnchor>
  <xdr:twoCellAnchor>
    <xdr:from>
      <xdr:col>4</xdr:col>
      <xdr:colOff>407581</xdr:colOff>
      <xdr:row>0</xdr:row>
      <xdr:rowOff>106325</xdr:rowOff>
    </xdr:from>
    <xdr:to>
      <xdr:col>38</xdr:col>
      <xdr:colOff>460744</xdr:colOff>
      <xdr:row>59</xdr:row>
      <xdr:rowOff>88604</xdr:rowOff>
    </xdr:to>
    <xdr:sp macro="" textlink="">
      <xdr:nvSpPr>
        <xdr:cNvPr id="4" name="Flowchart: Alternate Process 3">
          <a:extLst>
            <a:ext uri="{FF2B5EF4-FFF2-40B4-BE49-F238E27FC236}">
              <a16:creationId xmlns:a16="http://schemas.microsoft.com/office/drawing/2014/main" id="{016925C3-044C-4BE0-B1A7-E75B9F586979}"/>
            </a:ext>
          </a:extLst>
        </xdr:cNvPr>
        <xdr:cNvSpPr/>
      </xdr:nvSpPr>
      <xdr:spPr>
        <a:xfrm>
          <a:off x="2813897" y="106325"/>
          <a:ext cx="20506847" cy="10630226"/>
        </a:xfrm>
        <a:prstGeom prst="flowChartAlternateProcess">
          <a:avLst/>
        </a:prstGeom>
        <a:solidFill>
          <a:srgbClr val="EAEAEA"/>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editAs="oneCell">
    <xdr:from>
      <xdr:col>0</xdr:col>
      <xdr:colOff>283536</xdr:colOff>
      <xdr:row>34</xdr:row>
      <xdr:rowOff>17721</xdr:rowOff>
    </xdr:from>
    <xdr:to>
      <xdr:col>4</xdr:col>
      <xdr:colOff>141767</xdr:colOff>
      <xdr:row>51</xdr:row>
      <xdr:rowOff>53163</xdr:rowOff>
    </xdr:to>
    <xdr:pic>
      <xdr:nvPicPr>
        <xdr:cNvPr id="5" name="Graphic 4" descr="Bank with solid fill">
          <a:extLst>
            <a:ext uri="{FF2B5EF4-FFF2-40B4-BE49-F238E27FC236}">
              <a16:creationId xmlns:a16="http://schemas.microsoft.com/office/drawing/2014/main" id="{6309774F-082B-402D-95F9-5210AD330A7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3536" y="6235641"/>
          <a:ext cx="2296631" cy="3144402"/>
        </a:xfrm>
        <a:prstGeom prst="rect">
          <a:avLst/>
        </a:prstGeom>
      </xdr:spPr>
    </xdr:pic>
    <xdr:clientData/>
  </xdr:twoCellAnchor>
  <xdr:twoCellAnchor>
    <xdr:from>
      <xdr:col>1</xdr:col>
      <xdr:colOff>194930</xdr:colOff>
      <xdr:row>4</xdr:row>
      <xdr:rowOff>106326</xdr:rowOff>
    </xdr:from>
    <xdr:to>
      <xdr:col>4</xdr:col>
      <xdr:colOff>425302</xdr:colOff>
      <xdr:row>11</xdr:row>
      <xdr:rowOff>0</xdr:rowOff>
    </xdr:to>
    <xdr:sp macro="" textlink="">
      <xdr:nvSpPr>
        <xdr:cNvPr id="6" name="TextBox 5">
          <a:extLst>
            <a:ext uri="{FF2B5EF4-FFF2-40B4-BE49-F238E27FC236}">
              <a16:creationId xmlns:a16="http://schemas.microsoft.com/office/drawing/2014/main" id="{6D8D0621-E401-4C87-9B7A-2AE278B58482}"/>
            </a:ext>
          </a:extLst>
        </xdr:cNvPr>
        <xdr:cNvSpPr txBox="1"/>
      </xdr:nvSpPr>
      <xdr:spPr>
        <a:xfrm>
          <a:off x="804530" y="837846"/>
          <a:ext cx="2059172" cy="1173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1"/>
              </a:solidFill>
            </a:rPr>
            <a:t>JAYDEEP</a:t>
          </a:r>
        </a:p>
        <a:p>
          <a:pPr marL="0" marR="0" lvl="0" indent="0" defTabSz="914400" eaLnBrk="1" fontAlgn="auto" latinLnBrk="0" hangingPunct="1">
            <a:lnSpc>
              <a:spcPct val="100000"/>
            </a:lnSpc>
            <a:spcBef>
              <a:spcPts val="0"/>
            </a:spcBef>
            <a:spcAft>
              <a:spcPts val="0"/>
            </a:spcAft>
            <a:buClrTx/>
            <a:buSzTx/>
            <a:buFontTx/>
            <a:buNone/>
            <a:tabLst/>
            <a:defRPr/>
          </a:pPr>
          <a:r>
            <a:rPr lang="en-IN" sz="2400" b="1">
              <a:solidFill>
                <a:schemeClr val="accent6"/>
              </a:solidFill>
              <a:effectLst/>
              <a:latin typeface="+mn-lt"/>
              <a:ea typeface="+mn-ea"/>
              <a:cs typeface="+mn-cs"/>
            </a:rPr>
            <a:t>B</a:t>
          </a:r>
          <a:r>
            <a:rPr lang="en-IN" sz="2400" b="1">
              <a:solidFill>
                <a:schemeClr val="bg1"/>
              </a:solidFill>
              <a:effectLst/>
              <a:latin typeface="+mn-lt"/>
              <a:ea typeface="+mn-ea"/>
              <a:cs typeface="+mn-cs"/>
            </a:rPr>
            <a:t>A</a:t>
          </a:r>
          <a:r>
            <a:rPr lang="en-IN" sz="2400" b="1">
              <a:solidFill>
                <a:srgbClr val="00B050"/>
              </a:solidFill>
              <a:effectLst/>
              <a:latin typeface="+mn-lt"/>
              <a:ea typeface="+mn-ea"/>
              <a:cs typeface="+mn-cs"/>
            </a:rPr>
            <a:t>N</a:t>
          </a:r>
          <a:r>
            <a:rPr lang="en-IN" sz="2400" b="1">
              <a:solidFill>
                <a:schemeClr val="bg1"/>
              </a:solidFill>
              <a:effectLst/>
              <a:latin typeface="+mn-lt"/>
              <a:ea typeface="+mn-ea"/>
              <a:cs typeface="+mn-cs"/>
            </a:rPr>
            <a:t>K</a:t>
          </a:r>
          <a:endParaRPr lang="en-IN" sz="2400" b="1">
            <a:solidFill>
              <a:schemeClr val="bg1"/>
            </a:solidFill>
            <a:effectLst/>
          </a:endParaRPr>
        </a:p>
        <a:p>
          <a:endParaRPr lang="en-IN" sz="3200" b="1">
            <a:solidFill>
              <a:schemeClr val="bg1"/>
            </a:solidFill>
          </a:endParaRPr>
        </a:p>
        <a:p>
          <a:endParaRPr lang="en-IN" sz="3200" b="1">
            <a:solidFill>
              <a:schemeClr val="bg1"/>
            </a:solidFill>
          </a:endParaRPr>
        </a:p>
      </xdr:txBody>
    </xdr:sp>
    <xdr:clientData/>
  </xdr:twoCellAnchor>
  <xdr:twoCellAnchor>
    <xdr:from>
      <xdr:col>0</xdr:col>
      <xdr:colOff>502227</xdr:colOff>
      <xdr:row>11</xdr:row>
      <xdr:rowOff>52358</xdr:rowOff>
    </xdr:from>
    <xdr:to>
      <xdr:col>4</xdr:col>
      <xdr:colOff>357238</xdr:colOff>
      <xdr:row>14</xdr:row>
      <xdr:rowOff>105521</xdr:rowOff>
    </xdr:to>
    <xdr:sp macro="" textlink="">
      <xdr:nvSpPr>
        <xdr:cNvPr id="7" name="Flowchart: Process 6">
          <a:hlinkClick xmlns:r="http://schemas.openxmlformats.org/officeDocument/2006/relationships" r:id="rId4"/>
          <a:extLst>
            <a:ext uri="{FF2B5EF4-FFF2-40B4-BE49-F238E27FC236}">
              <a16:creationId xmlns:a16="http://schemas.microsoft.com/office/drawing/2014/main" id="{6AC833E3-2C07-4E6B-A471-057FA230BA53}"/>
            </a:ext>
          </a:extLst>
        </xdr:cNvPr>
        <xdr:cNvSpPr/>
      </xdr:nvSpPr>
      <xdr:spPr>
        <a:xfrm>
          <a:off x="502227" y="2147858"/>
          <a:ext cx="2279556" cy="624663"/>
        </a:xfrm>
        <a:prstGeom prst="flowChartProcess">
          <a:avLst/>
        </a:prstGeom>
        <a:solidFill>
          <a:schemeClr val="accen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IN" sz="3600" b="1">
              <a:solidFill>
                <a:schemeClr val="lt1"/>
              </a:solidFill>
              <a:latin typeface="+mn-lt"/>
              <a:ea typeface="+mn-ea"/>
              <a:cs typeface="+mn-cs"/>
            </a:rPr>
            <a:t>HOME</a:t>
          </a:r>
        </a:p>
      </xdr:txBody>
    </xdr:sp>
    <xdr:clientData/>
  </xdr:twoCellAnchor>
  <xdr:twoCellAnchor editAs="oneCell">
    <xdr:from>
      <xdr:col>0</xdr:col>
      <xdr:colOff>318978</xdr:colOff>
      <xdr:row>5</xdr:row>
      <xdr:rowOff>88606</xdr:rowOff>
    </xdr:from>
    <xdr:to>
      <xdr:col>1</xdr:col>
      <xdr:colOff>194930</xdr:colOff>
      <xdr:row>8</xdr:row>
      <xdr:rowOff>35443</xdr:rowOff>
    </xdr:to>
    <xdr:pic>
      <xdr:nvPicPr>
        <xdr:cNvPr id="9" name="Picture 8">
          <a:extLst>
            <a:ext uri="{FF2B5EF4-FFF2-40B4-BE49-F238E27FC236}">
              <a16:creationId xmlns:a16="http://schemas.microsoft.com/office/drawing/2014/main" id="{54D5BCAB-F2A7-4462-891E-8CE0B35935E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18978" y="1003006"/>
          <a:ext cx="485552" cy="495477"/>
        </a:xfrm>
        <a:prstGeom prst="rect">
          <a:avLst/>
        </a:prstGeom>
      </xdr:spPr>
    </xdr:pic>
    <xdr:clientData/>
  </xdr:twoCellAnchor>
  <xdr:twoCellAnchor>
    <xdr:from>
      <xdr:col>0</xdr:col>
      <xdr:colOff>513906</xdr:colOff>
      <xdr:row>21</xdr:row>
      <xdr:rowOff>17721</xdr:rowOff>
    </xdr:from>
    <xdr:to>
      <xdr:col>4</xdr:col>
      <xdr:colOff>372138</xdr:colOff>
      <xdr:row>24</xdr:row>
      <xdr:rowOff>70884</xdr:rowOff>
    </xdr:to>
    <xdr:sp macro="" textlink="">
      <xdr:nvSpPr>
        <xdr:cNvPr id="10" name="Flowchart: Process 9">
          <a:hlinkClick xmlns:r="http://schemas.openxmlformats.org/officeDocument/2006/relationships" r:id="rId6"/>
          <a:extLst>
            <a:ext uri="{FF2B5EF4-FFF2-40B4-BE49-F238E27FC236}">
              <a16:creationId xmlns:a16="http://schemas.microsoft.com/office/drawing/2014/main" id="{1B1F70F8-D8D2-41F9-AFA5-99BB79FA25F2}"/>
            </a:ext>
          </a:extLst>
        </xdr:cNvPr>
        <xdr:cNvSpPr/>
      </xdr:nvSpPr>
      <xdr:spPr>
        <a:xfrm>
          <a:off x="513906" y="3858201"/>
          <a:ext cx="2296632" cy="601803"/>
        </a:xfrm>
        <a:prstGeom prst="flowChart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t>TRACTION</a:t>
          </a:r>
          <a:endParaRPr lang="en-IN" sz="3600" b="1"/>
        </a:p>
      </xdr:txBody>
    </xdr:sp>
    <xdr:clientData/>
  </xdr:twoCellAnchor>
  <xdr:twoCellAnchor>
    <xdr:from>
      <xdr:col>17</xdr:col>
      <xdr:colOff>124046</xdr:colOff>
      <xdr:row>7</xdr:row>
      <xdr:rowOff>17721</xdr:rowOff>
    </xdr:from>
    <xdr:to>
      <xdr:col>37</xdr:col>
      <xdr:colOff>336698</xdr:colOff>
      <xdr:row>30</xdr:row>
      <xdr:rowOff>88604</xdr:rowOff>
    </xdr:to>
    <xdr:sp macro="" textlink="">
      <xdr:nvSpPr>
        <xdr:cNvPr id="12" name="Rectangle: Rounded Corners 11">
          <a:extLst>
            <a:ext uri="{FF2B5EF4-FFF2-40B4-BE49-F238E27FC236}">
              <a16:creationId xmlns:a16="http://schemas.microsoft.com/office/drawing/2014/main" id="{47FD44BD-AE7A-4A4A-833E-D525A38EDC34}"/>
            </a:ext>
          </a:extLst>
        </xdr:cNvPr>
        <xdr:cNvSpPr/>
      </xdr:nvSpPr>
      <xdr:spPr>
        <a:xfrm>
          <a:off x="10366744" y="1258186"/>
          <a:ext cx="12262884" cy="4146697"/>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26</xdr:col>
      <xdr:colOff>443022</xdr:colOff>
      <xdr:row>33</xdr:row>
      <xdr:rowOff>35440</xdr:rowOff>
    </xdr:from>
    <xdr:to>
      <xdr:col>37</xdr:col>
      <xdr:colOff>389859</xdr:colOff>
      <xdr:row>57</xdr:row>
      <xdr:rowOff>53162</xdr:rowOff>
    </xdr:to>
    <xdr:sp macro="" textlink="">
      <xdr:nvSpPr>
        <xdr:cNvPr id="13" name="Rectangle: Rounded Corners 12">
          <a:extLst>
            <a:ext uri="{FF2B5EF4-FFF2-40B4-BE49-F238E27FC236}">
              <a16:creationId xmlns:a16="http://schemas.microsoft.com/office/drawing/2014/main" id="{77405C59-53A4-44C6-AFD7-9803E7E545EE}"/>
            </a:ext>
          </a:extLst>
        </xdr:cNvPr>
        <xdr:cNvSpPr/>
      </xdr:nvSpPr>
      <xdr:spPr>
        <a:xfrm>
          <a:off x="16292622" y="6070480"/>
          <a:ext cx="6652437" cy="4406842"/>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478465</xdr:colOff>
      <xdr:row>32</xdr:row>
      <xdr:rowOff>124045</xdr:rowOff>
    </xdr:from>
    <xdr:to>
      <xdr:col>14</xdr:col>
      <xdr:colOff>106326</xdr:colOff>
      <xdr:row>57</xdr:row>
      <xdr:rowOff>106325</xdr:rowOff>
    </xdr:to>
    <xdr:sp macro="" textlink="">
      <xdr:nvSpPr>
        <xdr:cNvPr id="14" name="Rectangle: Rounded Corners 13">
          <a:extLst>
            <a:ext uri="{FF2B5EF4-FFF2-40B4-BE49-F238E27FC236}">
              <a16:creationId xmlns:a16="http://schemas.microsoft.com/office/drawing/2014/main" id="{BE40623F-CE3F-4FBB-8D2E-631FC13B2CAF}"/>
            </a:ext>
          </a:extLst>
        </xdr:cNvPr>
        <xdr:cNvSpPr/>
      </xdr:nvSpPr>
      <xdr:spPr>
        <a:xfrm>
          <a:off x="4087939" y="5899203"/>
          <a:ext cx="4440492" cy="4494122"/>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53162</xdr:colOff>
      <xdr:row>33</xdr:row>
      <xdr:rowOff>-1</xdr:rowOff>
    </xdr:from>
    <xdr:to>
      <xdr:col>25</xdr:col>
      <xdr:colOff>602510</xdr:colOff>
      <xdr:row>57</xdr:row>
      <xdr:rowOff>17721</xdr:rowOff>
    </xdr:to>
    <xdr:sp macro="" textlink="">
      <xdr:nvSpPr>
        <xdr:cNvPr id="15" name="Rectangle: Rounded Corners 14">
          <a:extLst>
            <a:ext uri="{FF2B5EF4-FFF2-40B4-BE49-F238E27FC236}">
              <a16:creationId xmlns:a16="http://schemas.microsoft.com/office/drawing/2014/main" id="{5E19AF0C-C43B-4905-9164-29582756907F}"/>
            </a:ext>
          </a:extLst>
        </xdr:cNvPr>
        <xdr:cNvSpPr/>
      </xdr:nvSpPr>
      <xdr:spPr>
        <a:xfrm>
          <a:off x="9197162" y="6035039"/>
          <a:ext cx="6645348" cy="4406842"/>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17720</xdr:colOff>
      <xdr:row>9</xdr:row>
      <xdr:rowOff>35441</xdr:rowOff>
    </xdr:from>
    <xdr:to>
      <xdr:col>16</xdr:col>
      <xdr:colOff>389860</xdr:colOff>
      <xdr:row>16</xdr:row>
      <xdr:rowOff>53162</xdr:rowOff>
    </xdr:to>
    <xdr:sp macro="" textlink="TABLE!C61">
      <xdr:nvSpPr>
        <xdr:cNvPr id="16" name="Rectangle: Top Corners Rounded 15">
          <a:extLst>
            <a:ext uri="{FF2B5EF4-FFF2-40B4-BE49-F238E27FC236}">
              <a16:creationId xmlns:a16="http://schemas.microsoft.com/office/drawing/2014/main" id="{CF9820C1-6951-48DB-A768-7361FBAD1AAB}"/>
            </a:ext>
          </a:extLst>
        </xdr:cNvPr>
        <xdr:cNvSpPr/>
      </xdr:nvSpPr>
      <xdr:spPr>
        <a:xfrm>
          <a:off x="6723320" y="1681361"/>
          <a:ext cx="3420140" cy="1297881"/>
        </a:xfrm>
        <a:prstGeom prst="round2Same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E9A44B22-3130-4A11-9648-5BF428FA624F}" type="TxLink">
            <a:rPr lang="en-US" sz="3600" b="1" i="0" u="none" strike="noStrike">
              <a:solidFill>
                <a:srgbClr val="4566B1"/>
              </a:solidFill>
              <a:latin typeface="Calibri"/>
              <a:cs typeface="Calibri"/>
            </a:rPr>
            <a:t>₹ 15,29,42,056</a:t>
          </a:fld>
          <a:endParaRPr lang="en-US" sz="3600" b="1">
            <a:solidFill>
              <a:srgbClr val="4566B1"/>
            </a:solidFill>
          </a:endParaRPr>
        </a:p>
      </xdr:txBody>
    </xdr:sp>
    <xdr:clientData/>
  </xdr:twoCellAnchor>
  <xdr:twoCellAnchor>
    <xdr:from>
      <xdr:col>5</xdr:col>
      <xdr:colOff>0</xdr:colOff>
      <xdr:row>9</xdr:row>
      <xdr:rowOff>33932</xdr:rowOff>
    </xdr:from>
    <xdr:to>
      <xdr:col>10</xdr:col>
      <xdr:colOff>372140</xdr:colOff>
      <xdr:row>16</xdr:row>
      <xdr:rowOff>51653</xdr:rowOff>
    </xdr:to>
    <xdr:sp macro="" textlink="TABLE!C6">
      <xdr:nvSpPr>
        <xdr:cNvPr id="17" name="Rectangle: Top Corners Rounded 16">
          <a:extLst>
            <a:ext uri="{FF2B5EF4-FFF2-40B4-BE49-F238E27FC236}">
              <a16:creationId xmlns:a16="http://schemas.microsoft.com/office/drawing/2014/main" id="{465855A6-5F1C-43E7-9C30-2D896AA586DE}"/>
            </a:ext>
          </a:extLst>
        </xdr:cNvPr>
        <xdr:cNvSpPr/>
      </xdr:nvSpPr>
      <xdr:spPr>
        <a:xfrm>
          <a:off x="3048000" y="1679852"/>
          <a:ext cx="3420140" cy="1297881"/>
        </a:xfrm>
        <a:prstGeom prst="round2Same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8B85CBF6-0CFD-4DED-B80C-2AD381A1E76B}" type="TxLink">
            <a:rPr lang="en-US" sz="3600" b="1" i="0" u="none" strike="noStrike">
              <a:solidFill>
                <a:srgbClr val="4566B1"/>
              </a:solidFill>
              <a:latin typeface="Calibri"/>
              <a:cs typeface="Calibri"/>
            </a:rPr>
            <a:t>1000</a:t>
          </a:fld>
          <a:endParaRPr lang="en-US" sz="3600" b="1">
            <a:solidFill>
              <a:srgbClr val="4566B1"/>
            </a:solidFill>
          </a:endParaRPr>
        </a:p>
      </xdr:txBody>
    </xdr:sp>
    <xdr:clientData/>
  </xdr:twoCellAnchor>
  <xdr:twoCellAnchor>
    <xdr:from>
      <xdr:col>11</xdr:col>
      <xdr:colOff>0</xdr:colOff>
      <xdr:row>19</xdr:row>
      <xdr:rowOff>106325</xdr:rowOff>
    </xdr:from>
    <xdr:to>
      <xdr:col>16</xdr:col>
      <xdr:colOff>372140</xdr:colOff>
      <xdr:row>26</xdr:row>
      <xdr:rowOff>124046</xdr:rowOff>
    </xdr:to>
    <xdr:sp macro="" textlink="TABLE!C76">
      <xdr:nvSpPr>
        <xdr:cNvPr id="18" name="Rectangle: Top Corners Rounded 17">
          <a:extLst>
            <a:ext uri="{FF2B5EF4-FFF2-40B4-BE49-F238E27FC236}">
              <a16:creationId xmlns:a16="http://schemas.microsoft.com/office/drawing/2014/main" id="{AFB10A7B-ADA3-4999-A5DC-3E1706EC599A}"/>
            </a:ext>
          </a:extLst>
        </xdr:cNvPr>
        <xdr:cNvSpPr/>
      </xdr:nvSpPr>
      <xdr:spPr>
        <a:xfrm>
          <a:off x="6627628" y="3473302"/>
          <a:ext cx="3384698" cy="1258186"/>
        </a:xfrm>
        <a:prstGeom prst="round2Same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A29D726C-C5D2-4199-B6FF-9518D66D9F00}" type="TxLink">
            <a:rPr lang="en-US" sz="3600" b="1" i="0" u="none" strike="noStrike">
              <a:solidFill>
                <a:srgbClr val="4566B1"/>
              </a:solidFill>
              <a:latin typeface="Calibri"/>
              <a:cs typeface="Calibri"/>
            </a:rPr>
            <a:t>₹ 1,52,942</a:t>
          </a:fld>
          <a:endParaRPr lang="en-US" sz="3600" b="1">
            <a:solidFill>
              <a:srgbClr val="4566B1"/>
            </a:solidFill>
          </a:endParaRPr>
        </a:p>
      </xdr:txBody>
    </xdr:sp>
    <xdr:clientData/>
  </xdr:twoCellAnchor>
  <xdr:twoCellAnchor>
    <xdr:from>
      <xdr:col>4</xdr:col>
      <xdr:colOff>567070</xdr:colOff>
      <xdr:row>19</xdr:row>
      <xdr:rowOff>53162</xdr:rowOff>
    </xdr:from>
    <xdr:to>
      <xdr:col>10</xdr:col>
      <xdr:colOff>336699</xdr:colOff>
      <xdr:row>26</xdr:row>
      <xdr:rowOff>70883</xdr:rowOff>
    </xdr:to>
    <xdr:sp macro="" textlink="TABLE!C68">
      <xdr:nvSpPr>
        <xdr:cNvPr id="19" name="Rectangle: Top Corners Rounded 18">
          <a:extLst>
            <a:ext uri="{FF2B5EF4-FFF2-40B4-BE49-F238E27FC236}">
              <a16:creationId xmlns:a16="http://schemas.microsoft.com/office/drawing/2014/main" id="{88B0732D-41E6-496B-A0B3-C8839F1C5162}"/>
            </a:ext>
          </a:extLst>
        </xdr:cNvPr>
        <xdr:cNvSpPr/>
      </xdr:nvSpPr>
      <xdr:spPr>
        <a:xfrm>
          <a:off x="3005470" y="3527882"/>
          <a:ext cx="3427229" cy="1297881"/>
        </a:xfrm>
        <a:prstGeom prst="round2Same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3CDB8E6D-EEAC-4640-B0B9-0DB8B2D1FE53}" type="TxLink">
            <a:rPr lang="en-US" sz="3600" b="1" i="0" u="none" strike="noStrike">
              <a:solidFill>
                <a:srgbClr val="4566B1"/>
              </a:solidFill>
              <a:latin typeface="Calibri"/>
              <a:cs typeface="Calibri"/>
            </a:rPr>
            <a:t>598</a:t>
          </a:fld>
          <a:endParaRPr lang="en-US" sz="3600" b="1">
            <a:solidFill>
              <a:srgbClr val="4566B1"/>
            </a:solidFill>
          </a:endParaRPr>
        </a:p>
      </xdr:txBody>
    </xdr:sp>
    <xdr:clientData/>
  </xdr:twoCellAnchor>
  <xdr:twoCellAnchor>
    <xdr:from>
      <xdr:col>24</xdr:col>
      <xdr:colOff>567069</xdr:colOff>
      <xdr:row>1</xdr:row>
      <xdr:rowOff>88605</xdr:rowOff>
    </xdr:from>
    <xdr:to>
      <xdr:col>35</xdr:col>
      <xdr:colOff>602510</xdr:colOff>
      <xdr:row>6</xdr:row>
      <xdr:rowOff>0</xdr:rowOff>
    </xdr:to>
    <xdr:sp macro="" textlink="">
      <xdr:nvSpPr>
        <xdr:cNvPr id="20" name="Flowchart: Alternate Process 19">
          <a:extLst>
            <a:ext uri="{FF2B5EF4-FFF2-40B4-BE49-F238E27FC236}">
              <a16:creationId xmlns:a16="http://schemas.microsoft.com/office/drawing/2014/main" id="{F403A46C-706B-4954-9E89-CE4F94E7D485}"/>
            </a:ext>
          </a:extLst>
        </xdr:cNvPr>
        <xdr:cNvSpPr/>
      </xdr:nvSpPr>
      <xdr:spPr>
        <a:xfrm>
          <a:off x="15197469" y="271485"/>
          <a:ext cx="6741041" cy="825795"/>
        </a:xfrm>
        <a:prstGeom prst="flowChartAlternateProcess">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25</xdr:col>
      <xdr:colOff>96898</xdr:colOff>
      <xdr:row>1</xdr:row>
      <xdr:rowOff>121031</xdr:rowOff>
    </xdr:from>
    <xdr:to>
      <xdr:col>35</xdr:col>
      <xdr:colOff>535774</xdr:colOff>
      <xdr:row>5</xdr:row>
      <xdr:rowOff>174193</xdr:rowOff>
    </xdr:to>
    <mc:AlternateContent xmlns:mc="http://schemas.openxmlformats.org/markup-compatibility/2006">
      <mc:Choice xmlns:a14="http://schemas.microsoft.com/office/drawing/2010/main" Requires="a14">
        <xdr:graphicFrame macro="">
          <xdr:nvGraphicFramePr>
            <xdr:cNvPr id="21" name="Gender 1">
              <a:extLst>
                <a:ext uri="{FF2B5EF4-FFF2-40B4-BE49-F238E27FC236}">
                  <a16:creationId xmlns:a16="http://schemas.microsoft.com/office/drawing/2014/main" id="{4E0DC29C-4DEB-4B71-8F22-5C7D790D4FA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5159689" y="298240"/>
              <a:ext cx="6463992" cy="76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81065</xdr:colOff>
      <xdr:row>8</xdr:row>
      <xdr:rowOff>145916</xdr:rowOff>
    </xdr:from>
    <xdr:to>
      <xdr:col>7</xdr:col>
      <xdr:colOff>405319</xdr:colOff>
      <xdr:row>12</xdr:row>
      <xdr:rowOff>1</xdr:rowOff>
    </xdr:to>
    <xdr:sp macro="" textlink="">
      <xdr:nvSpPr>
        <xdr:cNvPr id="22" name="TextBox 21">
          <a:extLst>
            <a:ext uri="{FF2B5EF4-FFF2-40B4-BE49-F238E27FC236}">
              <a16:creationId xmlns:a16="http://schemas.microsoft.com/office/drawing/2014/main" id="{31D2EE0C-3E8A-4030-88C7-E1B813054FF3}"/>
            </a:ext>
          </a:extLst>
        </xdr:cNvPr>
        <xdr:cNvSpPr txBox="1"/>
      </xdr:nvSpPr>
      <xdr:spPr>
        <a:xfrm>
          <a:off x="3129065" y="1608956"/>
          <a:ext cx="1543454" cy="585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rgbClr val="4566B1"/>
              </a:solidFill>
            </a:rPr>
            <a:t>Clients</a:t>
          </a:r>
          <a:endParaRPr lang="en-IN" sz="2400" b="0">
            <a:solidFill>
              <a:srgbClr val="4566B1"/>
            </a:solidFill>
          </a:endParaRPr>
        </a:p>
      </xdr:txBody>
    </xdr:sp>
    <xdr:clientData/>
  </xdr:twoCellAnchor>
  <xdr:twoCellAnchor>
    <xdr:from>
      <xdr:col>11</xdr:col>
      <xdr:colOff>64850</xdr:colOff>
      <xdr:row>8</xdr:row>
      <xdr:rowOff>162127</xdr:rowOff>
    </xdr:from>
    <xdr:to>
      <xdr:col>16</xdr:col>
      <xdr:colOff>405318</xdr:colOff>
      <xdr:row>11</xdr:row>
      <xdr:rowOff>145914</xdr:rowOff>
    </xdr:to>
    <xdr:sp macro="" textlink="">
      <xdr:nvSpPr>
        <xdr:cNvPr id="23" name="TextBox 22">
          <a:extLst>
            <a:ext uri="{FF2B5EF4-FFF2-40B4-BE49-F238E27FC236}">
              <a16:creationId xmlns:a16="http://schemas.microsoft.com/office/drawing/2014/main" id="{32C47D89-E529-4046-B543-D781275EF65A}"/>
            </a:ext>
          </a:extLst>
        </xdr:cNvPr>
        <xdr:cNvSpPr txBox="1"/>
      </xdr:nvSpPr>
      <xdr:spPr>
        <a:xfrm>
          <a:off x="6770450" y="1625167"/>
          <a:ext cx="3388468" cy="532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4566B1"/>
              </a:solidFill>
            </a:rPr>
            <a:t>Total</a:t>
          </a:r>
          <a:r>
            <a:rPr lang="en-US" sz="2400" baseline="0">
              <a:solidFill>
                <a:srgbClr val="4566B1"/>
              </a:solidFill>
            </a:rPr>
            <a:t> Withdrawal</a:t>
          </a:r>
          <a:endParaRPr lang="en-IN" sz="2400">
            <a:solidFill>
              <a:srgbClr val="4566B1"/>
            </a:solidFill>
          </a:endParaRPr>
        </a:p>
      </xdr:txBody>
    </xdr:sp>
    <xdr:clientData/>
  </xdr:twoCellAnchor>
  <xdr:twoCellAnchor>
    <xdr:from>
      <xdr:col>5</xdr:col>
      <xdr:colOff>109277</xdr:colOff>
      <xdr:row>19</xdr:row>
      <xdr:rowOff>42332</xdr:rowOff>
    </xdr:from>
    <xdr:to>
      <xdr:col>10</xdr:col>
      <xdr:colOff>318976</xdr:colOff>
      <xdr:row>21</xdr:row>
      <xdr:rowOff>141768</xdr:rowOff>
    </xdr:to>
    <xdr:sp macro="" textlink="">
      <xdr:nvSpPr>
        <xdr:cNvPr id="24" name="TextBox 23">
          <a:extLst>
            <a:ext uri="{FF2B5EF4-FFF2-40B4-BE49-F238E27FC236}">
              <a16:creationId xmlns:a16="http://schemas.microsoft.com/office/drawing/2014/main" id="{B88777E0-DB0B-43CE-9A54-97F81332B36C}"/>
            </a:ext>
          </a:extLst>
        </xdr:cNvPr>
        <xdr:cNvSpPr txBox="1"/>
      </xdr:nvSpPr>
      <xdr:spPr>
        <a:xfrm>
          <a:off x="3121835" y="3409309"/>
          <a:ext cx="3222257" cy="453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4566B1"/>
              </a:solidFill>
            </a:rPr>
            <a:t>Average Credit</a:t>
          </a:r>
          <a:r>
            <a:rPr lang="en-US" sz="2400" baseline="0">
              <a:solidFill>
                <a:srgbClr val="4566B1"/>
              </a:solidFill>
            </a:rPr>
            <a:t> Scores </a:t>
          </a:r>
          <a:endParaRPr lang="en-IN" sz="2400">
            <a:solidFill>
              <a:srgbClr val="4566B1"/>
            </a:solidFill>
          </a:endParaRPr>
        </a:p>
      </xdr:txBody>
    </xdr:sp>
    <xdr:clientData/>
  </xdr:twoCellAnchor>
  <xdr:twoCellAnchor>
    <xdr:from>
      <xdr:col>11</xdr:col>
      <xdr:colOff>70228</xdr:colOff>
      <xdr:row>19</xdr:row>
      <xdr:rowOff>116499</xdr:rowOff>
    </xdr:from>
    <xdr:to>
      <xdr:col>16</xdr:col>
      <xdr:colOff>301256</xdr:colOff>
      <xdr:row>21</xdr:row>
      <xdr:rowOff>159489</xdr:rowOff>
    </xdr:to>
    <xdr:sp macro="" textlink="">
      <xdr:nvSpPr>
        <xdr:cNvPr id="25" name="TextBox 24">
          <a:extLst>
            <a:ext uri="{FF2B5EF4-FFF2-40B4-BE49-F238E27FC236}">
              <a16:creationId xmlns:a16="http://schemas.microsoft.com/office/drawing/2014/main" id="{7E22E2F0-C558-4601-B2D3-FA31E180704F}"/>
            </a:ext>
          </a:extLst>
        </xdr:cNvPr>
        <xdr:cNvSpPr txBox="1"/>
      </xdr:nvSpPr>
      <xdr:spPr>
        <a:xfrm>
          <a:off x="6697856" y="3483476"/>
          <a:ext cx="3243586" cy="397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4566B1"/>
              </a:solidFill>
            </a:rPr>
            <a:t>Average </a:t>
          </a:r>
          <a:r>
            <a:rPr lang="en-IN" sz="2400" b="0">
              <a:solidFill>
                <a:srgbClr val="4566B1"/>
              </a:solidFill>
              <a:effectLst/>
              <a:latin typeface="+mn-lt"/>
              <a:ea typeface="+mn-ea"/>
              <a:cs typeface="+mn-cs"/>
            </a:rPr>
            <a:t>withdrawal</a:t>
          </a:r>
          <a:endParaRPr lang="en-IN" sz="2400" b="0">
            <a:solidFill>
              <a:srgbClr val="4566B1"/>
            </a:solidFill>
          </a:endParaRPr>
        </a:p>
      </xdr:txBody>
    </xdr:sp>
    <xdr:clientData/>
  </xdr:twoCellAnchor>
  <xdr:twoCellAnchor>
    <xdr:from>
      <xdr:col>17</xdr:col>
      <xdr:colOff>164410</xdr:colOff>
      <xdr:row>7</xdr:row>
      <xdr:rowOff>98778</xdr:rowOff>
    </xdr:from>
    <xdr:to>
      <xdr:col>37</xdr:col>
      <xdr:colOff>310443</xdr:colOff>
      <xdr:row>30</xdr:row>
      <xdr:rowOff>141111</xdr:rowOff>
    </xdr:to>
    <xdr:graphicFrame macro="">
      <xdr:nvGraphicFramePr>
        <xdr:cNvPr id="26" name="Chart 25">
          <a:extLst>
            <a:ext uri="{FF2B5EF4-FFF2-40B4-BE49-F238E27FC236}">
              <a16:creationId xmlns:a16="http://schemas.microsoft.com/office/drawing/2014/main" id="{2716A891-4810-4F75-BDE6-E9064B1EC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389860</xdr:colOff>
      <xdr:row>8</xdr:row>
      <xdr:rowOff>124046</xdr:rowOff>
    </xdr:from>
    <xdr:to>
      <xdr:col>37</xdr:col>
      <xdr:colOff>70884</xdr:colOff>
      <xdr:row>31</xdr:row>
      <xdr:rowOff>35441</xdr:rowOff>
    </xdr:to>
    <xdr:graphicFrame macro="">
      <xdr:nvGraphicFramePr>
        <xdr:cNvPr id="30" name="Chart 29">
          <a:extLst>
            <a:ext uri="{FF2B5EF4-FFF2-40B4-BE49-F238E27FC236}">
              <a16:creationId xmlns:a16="http://schemas.microsoft.com/office/drawing/2014/main" id="{54758D6A-6213-4516-B733-9BE4379DE4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230372</xdr:colOff>
      <xdr:row>7</xdr:row>
      <xdr:rowOff>141766</xdr:rowOff>
    </xdr:from>
    <xdr:to>
      <xdr:col>28</xdr:col>
      <xdr:colOff>318976</xdr:colOff>
      <xdr:row>10</xdr:row>
      <xdr:rowOff>70883</xdr:rowOff>
    </xdr:to>
    <xdr:sp macro="" textlink="">
      <xdr:nvSpPr>
        <xdr:cNvPr id="32" name="TextBox 31">
          <a:extLst>
            <a:ext uri="{FF2B5EF4-FFF2-40B4-BE49-F238E27FC236}">
              <a16:creationId xmlns:a16="http://schemas.microsoft.com/office/drawing/2014/main" id="{AA5A129F-666A-4975-B721-872BADB2C9B3}"/>
            </a:ext>
          </a:extLst>
        </xdr:cNvPr>
        <xdr:cNvSpPr txBox="1"/>
      </xdr:nvSpPr>
      <xdr:spPr>
        <a:xfrm>
          <a:off x="12883116" y="1382231"/>
          <a:ext cx="4306186" cy="460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4566B1"/>
              </a:solidFill>
            </a:rPr>
            <a:t>Clients Incomes</a:t>
          </a:r>
          <a:r>
            <a:rPr lang="en-US" sz="2400" b="1" baseline="0">
              <a:solidFill>
                <a:srgbClr val="4566B1"/>
              </a:solidFill>
            </a:rPr>
            <a:t> By Months </a:t>
          </a:r>
          <a:endParaRPr lang="en-IN" sz="2400" b="1">
            <a:solidFill>
              <a:srgbClr val="4566B1"/>
            </a:solidFill>
          </a:endParaRPr>
        </a:p>
      </xdr:txBody>
    </xdr:sp>
    <xdr:clientData/>
  </xdr:twoCellAnchor>
  <xdr:twoCellAnchor>
    <xdr:from>
      <xdr:col>15</xdr:col>
      <xdr:colOff>389860</xdr:colOff>
      <xdr:row>35</xdr:row>
      <xdr:rowOff>159488</xdr:rowOff>
    </xdr:from>
    <xdr:to>
      <xdr:col>25</xdr:col>
      <xdr:colOff>336697</xdr:colOff>
      <xdr:row>54</xdr:row>
      <xdr:rowOff>165868</xdr:rowOff>
    </xdr:to>
    <xdr:graphicFrame macro="">
      <xdr:nvGraphicFramePr>
        <xdr:cNvPr id="33" name="Chart 32">
          <a:extLst>
            <a:ext uri="{FF2B5EF4-FFF2-40B4-BE49-F238E27FC236}">
              <a16:creationId xmlns:a16="http://schemas.microsoft.com/office/drawing/2014/main" id="{4CA63485-73F3-48AD-A19A-1BFA35864B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301255</xdr:colOff>
      <xdr:row>33</xdr:row>
      <xdr:rowOff>9922</xdr:rowOff>
    </xdr:from>
    <xdr:to>
      <xdr:col>23</xdr:col>
      <xdr:colOff>389860</xdr:colOff>
      <xdr:row>35</xdr:row>
      <xdr:rowOff>116248</xdr:rowOff>
    </xdr:to>
    <xdr:sp macro="" textlink="">
      <xdr:nvSpPr>
        <xdr:cNvPr id="34" name="TextBox 33">
          <a:extLst>
            <a:ext uri="{FF2B5EF4-FFF2-40B4-BE49-F238E27FC236}">
              <a16:creationId xmlns:a16="http://schemas.microsoft.com/office/drawing/2014/main" id="{B616F827-8E95-44DB-AD88-3C2242233804}"/>
            </a:ext>
          </a:extLst>
        </xdr:cNvPr>
        <xdr:cNvSpPr txBox="1"/>
      </xdr:nvSpPr>
      <xdr:spPr>
        <a:xfrm>
          <a:off x="9941441" y="5857829"/>
          <a:ext cx="4306186" cy="460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4566B1"/>
              </a:solidFill>
            </a:rPr>
            <a:t>Clients </a:t>
          </a:r>
          <a:r>
            <a:rPr lang="en-IN" sz="2400" b="1">
              <a:solidFill>
                <a:srgbClr val="4566B1"/>
              </a:solidFill>
              <a:latin typeface="+mn-lt"/>
              <a:ea typeface="+mn-ea"/>
              <a:cs typeface="+mn-cs"/>
            </a:rPr>
            <a:t>withdrawa</a:t>
          </a:r>
          <a:r>
            <a:rPr lang="en-US" sz="2400" b="1" baseline="0">
              <a:solidFill>
                <a:srgbClr val="4566B1"/>
              </a:solidFill>
              <a:latin typeface="+mn-lt"/>
              <a:ea typeface="+mn-ea"/>
              <a:cs typeface="+mn-cs"/>
            </a:rPr>
            <a:t>l By Month</a:t>
          </a:r>
          <a:endParaRPr lang="en-IN" sz="2400" b="1">
            <a:solidFill>
              <a:srgbClr val="4566B1"/>
            </a:solidFill>
          </a:endParaRPr>
        </a:p>
      </xdr:txBody>
    </xdr:sp>
    <xdr:clientData/>
  </xdr:twoCellAnchor>
  <xdr:twoCellAnchor>
    <xdr:from>
      <xdr:col>27</xdr:col>
      <xdr:colOff>24808</xdr:colOff>
      <xdr:row>34</xdr:row>
      <xdr:rowOff>45364</xdr:rowOff>
    </xdr:from>
    <xdr:to>
      <xdr:col>37</xdr:col>
      <xdr:colOff>30892</xdr:colOff>
      <xdr:row>57</xdr:row>
      <xdr:rowOff>41189</xdr:rowOff>
    </xdr:to>
    <xdr:graphicFrame macro="">
      <xdr:nvGraphicFramePr>
        <xdr:cNvPr id="39" name="Chart 38">
          <a:extLst>
            <a:ext uri="{FF2B5EF4-FFF2-40B4-BE49-F238E27FC236}">
              <a16:creationId xmlns:a16="http://schemas.microsoft.com/office/drawing/2014/main" id="{B6E97272-3343-479E-B1DC-743CB9DC6A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458412</xdr:colOff>
      <xdr:row>33</xdr:row>
      <xdr:rowOff>140368</xdr:rowOff>
    </xdr:from>
    <xdr:to>
      <xdr:col>14</xdr:col>
      <xdr:colOff>80211</xdr:colOff>
      <xdr:row>57</xdr:row>
      <xdr:rowOff>59877</xdr:rowOff>
    </xdr:to>
    <xdr:graphicFrame macro="">
      <xdr:nvGraphicFramePr>
        <xdr:cNvPr id="40" name="Chart 39">
          <a:extLst>
            <a:ext uri="{FF2B5EF4-FFF2-40B4-BE49-F238E27FC236}">
              <a16:creationId xmlns:a16="http://schemas.microsoft.com/office/drawing/2014/main" id="{AE1D5973-76C2-4DC9-AC6A-E4427699CA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39</xdr:col>
      <xdr:colOff>124376</xdr:colOff>
      <xdr:row>60</xdr:row>
      <xdr:rowOff>159489</xdr:rowOff>
    </xdr:to>
    <xdr:sp macro="" textlink="">
      <xdr:nvSpPr>
        <xdr:cNvPr id="2" name="Rectangle 1">
          <a:extLst>
            <a:ext uri="{FF2B5EF4-FFF2-40B4-BE49-F238E27FC236}">
              <a16:creationId xmlns:a16="http://schemas.microsoft.com/office/drawing/2014/main" id="{2C93D158-9F0F-4042-A65B-49CF3351D9E1}"/>
            </a:ext>
          </a:extLst>
        </xdr:cNvPr>
        <xdr:cNvSpPr/>
      </xdr:nvSpPr>
      <xdr:spPr>
        <a:xfrm>
          <a:off x="0" y="0"/>
          <a:ext cx="23622329" cy="10792047"/>
        </a:xfrm>
        <a:prstGeom prst="rect">
          <a:avLst/>
        </a:prstGeom>
        <a:solidFill>
          <a:srgbClr val="4566B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141767</xdr:colOff>
      <xdr:row>1</xdr:row>
      <xdr:rowOff>88605</xdr:rowOff>
    </xdr:from>
    <xdr:to>
      <xdr:col>10</xdr:col>
      <xdr:colOff>425302</xdr:colOff>
      <xdr:row>58</xdr:row>
      <xdr:rowOff>17720</xdr:rowOff>
    </xdr:to>
    <xdr:sp macro="" textlink="">
      <xdr:nvSpPr>
        <xdr:cNvPr id="3" name="Rectangle: Rounded Corners 2">
          <a:extLst>
            <a:ext uri="{FF2B5EF4-FFF2-40B4-BE49-F238E27FC236}">
              <a16:creationId xmlns:a16="http://schemas.microsoft.com/office/drawing/2014/main" id="{91DFDA45-56D6-4563-A1A5-DE3E69354A0E}"/>
            </a:ext>
          </a:extLst>
        </xdr:cNvPr>
        <xdr:cNvSpPr/>
      </xdr:nvSpPr>
      <xdr:spPr>
        <a:xfrm>
          <a:off x="141767" y="271485"/>
          <a:ext cx="6379535" cy="10353275"/>
        </a:xfrm>
        <a:prstGeom prst="roundRect">
          <a:avLst/>
        </a:prstGeom>
        <a:solidFill>
          <a:schemeClr val="tx2"/>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479272</xdr:colOff>
      <xdr:row>15</xdr:row>
      <xdr:rowOff>159487</xdr:rowOff>
    </xdr:from>
    <xdr:to>
      <xdr:col>4</xdr:col>
      <xdr:colOff>354418</xdr:colOff>
      <xdr:row>19</xdr:row>
      <xdr:rowOff>35441</xdr:rowOff>
    </xdr:to>
    <xdr:sp macro="" textlink="">
      <xdr:nvSpPr>
        <xdr:cNvPr id="4" name="Flowchart: Process 3">
          <a:hlinkClick xmlns:r="http://schemas.openxmlformats.org/officeDocument/2006/relationships" r:id="rId1"/>
          <a:extLst>
            <a:ext uri="{FF2B5EF4-FFF2-40B4-BE49-F238E27FC236}">
              <a16:creationId xmlns:a16="http://schemas.microsoft.com/office/drawing/2014/main" id="{8D77C7D0-37E4-496D-AB81-9747051CDEC7}"/>
            </a:ext>
          </a:extLst>
        </xdr:cNvPr>
        <xdr:cNvSpPr/>
      </xdr:nvSpPr>
      <xdr:spPr>
        <a:xfrm>
          <a:off x="479272" y="2817627"/>
          <a:ext cx="2285193" cy="584791"/>
        </a:xfrm>
        <a:prstGeom prst="flowChartProcess">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solidFill>
                <a:schemeClr val="bg1"/>
              </a:solidFill>
            </a:rPr>
            <a:t>FINANCE </a:t>
          </a:r>
          <a:endParaRPr lang="en-IN" sz="3600" b="1">
            <a:solidFill>
              <a:schemeClr val="bg1"/>
            </a:solidFill>
          </a:endParaRPr>
        </a:p>
      </xdr:txBody>
    </xdr:sp>
    <xdr:clientData/>
  </xdr:twoCellAnchor>
  <xdr:twoCellAnchor>
    <xdr:from>
      <xdr:col>4</xdr:col>
      <xdr:colOff>407581</xdr:colOff>
      <xdr:row>0</xdr:row>
      <xdr:rowOff>106325</xdr:rowOff>
    </xdr:from>
    <xdr:to>
      <xdr:col>38</xdr:col>
      <xdr:colOff>460744</xdr:colOff>
      <xdr:row>59</xdr:row>
      <xdr:rowOff>88604</xdr:rowOff>
    </xdr:to>
    <xdr:sp macro="" textlink="">
      <xdr:nvSpPr>
        <xdr:cNvPr id="5" name="Flowchart: Alternate Process 4">
          <a:extLst>
            <a:ext uri="{FF2B5EF4-FFF2-40B4-BE49-F238E27FC236}">
              <a16:creationId xmlns:a16="http://schemas.microsoft.com/office/drawing/2014/main" id="{66D64A23-3697-4837-9A30-9B36E079A586}"/>
            </a:ext>
          </a:extLst>
        </xdr:cNvPr>
        <xdr:cNvSpPr/>
      </xdr:nvSpPr>
      <xdr:spPr>
        <a:xfrm>
          <a:off x="2845981" y="106325"/>
          <a:ext cx="20779563" cy="10772199"/>
        </a:xfrm>
        <a:prstGeom prst="flowChartAlternateProcess">
          <a:avLst/>
        </a:prstGeom>
        <a:solidFill>
          <a:srgbClr val="EAEAEA"/>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clientData/>
  </xdr:twoCellAnchor>
  <xdr:twoCellAnchor editAs="oneCell">
    <xdr:from>
      <xdr:col>0</xdr:col>
      <xdr:colOff>283536</xdr:colOff>
      <xdr:row>34</xdr:row>
      <xdr:rowOff>17721</xdr:rowOff>
    </xdr:from>
    <xdr:to>
      <xdr:col>4</xdr:col>
      <xdr:colOff>141767</xdr:colOff>
      <xdr:row>51</xdr:row>
      <xdr:rowOff>53163</xdr:rowOff>
    </xdr:to>
    <xdr:pic>
      <xdr:nvPicPr>
        <xdr:cNvPr id="6" name="Graphic 5" descr="Bank with solid fill">
          <a:extLst>
            <a:ext uri="{FF2B5EF4-FFF2-40B4-BE49-F238E27FC236}">
              <a16:creationId xmlns:a16="http://schemas.microsoft.com/office/drawing/2014/main" id="{A7B0A811-FBB1-4164-BB1B-DB2CD4BA406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3536" y="6235641"/>
          <a:ext cx="2296631" cy="3144402"/>
        </a:xfrm>
        <a:prstGeom prst="rect">
          <a:avLst/>
        </a:prstGeom>
      </xdr:spPr>
    </xdr:pic>
    <xdr:clientData/>
  </xdr:twoCellAnchor>
  <xdr:twoCellAnchor>
    <xdr:from>
      <xdr:col>1</xdr:col>
      <xdr:colOff>194930</xdr:colOff>
      <xdr:row>4</xdr:row>
      <xdr:rowOff>106326</xdr:rowOff>
    </xdr:from>
    <xdr:to>
      <xdr:col>4</xdr:col>
      <xdr:colOff>425302</xdr:colOff>
      <xdr:row>11</xdr:row>
      <xdr:rowOff>0</xdr:rowOff>
    </xdr:to>
    <xdr:sp macro="" textlink="">
      <xdr:nvSpPr>
        <xdr:cNvPr id="7" name="TextBox 6">
          <a:extLst>
            <a:ext uri="{FF2B5EF4-FFF2-40B4-BE49-F238E27FC236}">
              <a16:creationId xmlns:a16="http://schemas.microsoft.com/office/drawing/2014/main" id="{FE78050A-0EDD-45FE-8BF9-AA88A0E955C2}"/>
            </a:ext>
          </a:extLst>
        </xdr:cNvPr>
        <xdr:cNvSpPr txBox="1"/>
      </xdr:nvSpPr>
      <xdr:spPr>
        <a:xfrm>
          <a:off x="804530" y="837846"/>
          <a:ext cx="2059172" cy="1173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b="1">
              <a:solidFill>
                <a:schemeClr val="bg1"/>
              </a:solidFill>
            </a:rPr>
            <a:t>JAYDEEP</a:t>
          </a:r>
        </a:p>
        <a:p>
          <a:pPr marL="0" marR="0" lvl="0" indent="0" defTabSz="914400" eaLnBrk="1" fontAlgn="auto" latinLnBrk="0" hangingPunct="1">
            <a:lnSpc>
              <a:spcPct val="100000"/>
            </a:lnSpc>
            <a:spcBef>
              <a:spcPts val="0"/>
            </a:spcBef>
            <a:spcAft>
              <a:spcPts val="0"/>
            </a:spcAft>
            <a:buClrTx/>
            <a:buSzTx/>
            <a:buFontTx/>
            <a:buNone/>
            <a:tabLst/>
            <a:defRPr/>
          </a:pPr>
          <a:r>
            <a:rPr lang="en-IN" sz="2400" b="1">
              <a:solidFill>
                <a:schemeClr val="accent6"/>
              </a:solidFill>
              <a:effectLst/>
              <a:latin typeface="+mn-lt"/>
              <a:ea typeface="+mn-ea"/>
              <a:cs typeface="+mn-cs"/>
            </a:rPr>
            <a:t>B</a:t>
          </a:r>
          <a:r>
            <a:rPr lang="en-IN" sz="2400" b="1">
              <a:solidFill>
                <a:schemeClr val="bg1"/>
              </a:solidFill>
              <a:effectLst/>
              <a:latin typeface="+mn-lt"/>
              <a:ea typeface="+mn-ea"/>
              <a:cs typeface="+mn-cs"/>
            </a:rPr>
            <a:t>A</a:t>
          </a:r>
          <a:r>
            <a:rPr lang="en-IN" sz="2400" b="1">
              <a:solidFill>
                <a:srgbClr val="00B050"/>
              </a:solidFill>
              <a:effectLst/>
              <a:latin typeface="+mn-lt"/>
              <a:ea typeface="+mn-ea"/>
              <a:cs typeface="+mn-cs"/>
            </a:rPr>
            <a:t>N</a:t>
          </a:r>
          <a:r>
            <a:rPr lang="en-IN" sz="2400" b="1">
              <a:solidFill>
                <a:schemeClr val="bg1"/>
              </a:solidFill>
              <a:effectLst/>
              <a:latin typeface="+mn-lt"/>
              <a:ea typeface="+mn-ea"/>
              <a:cs typeface="+mn-cs"/>
            </a:rPr>
            <a:t>K</a:t>
          </a:r>
          <a:endParaRPr lang="en-IN" sz="2400" b="1">
            <a:solidFill>
              <a:schemeClr val="bg1"/>
            </a:solidFill>
            <a:effectLst/>
          </a:endParaRPr>
        </a:p>
        <a:p>
          <a:endParaRPr lang="en-IN" sz="3200" b="1">
            <a:solidFill>
              <a:schemeClr val="bg1"/>
            </a:solidFill>
          </a:endParaRPr>
        </a:p>
        <a:p>
          <a:endParaRPr lang="en-IN" sz="3200" b="1">
            <a:solidFill>
              <a:schemeClr val="bg1"/>
            </a:solidFill>
          </a:endParaRPr>
        </a:p>
      </xdr:txBody>
    </xdr:sp>
    <xdr:clientData/>
  </xdr:twoCellAnchor>
  <xdr:twoCellAnchor>
    <xdr:from>
      <xdr:col>0</xdr:col>
      <xdr:colOff>502227</xdr:colOff>
      <xdr:row>11</xdr:row>
      <xdr:rowOff>52358</xdr:rowOff>
    </xdr:from>
    <xdr:to>
      <xdr:col>4</xdr:col>
      <xdr:colOff>357238</xdr:colOff>
      <xdr:row>14</xdr:row>
      <xdr:rowOff>105521</xdr:rowOff>
    </xdr:to>
    <xdr:sp macro="" textlink="">
      <xdr:nvSpPr>
        <xdr:cNvPr id="8" name="Flowchart: Process 7">
          <a:hlinkClick xmlns:r="http://schemas.openxmlformats.org/officeDocument/2006/relationships" r:id="rId4"/>
          <a:extLst>
            <a:ext uri="{FF2B5EF4-FFF2-40B4-BE49-F238E27FC236}">
              <a16:creationId xmlns:a16="http://schemas.microsoft.com/office/drawing/2014/main" id="{B956F063-A55C-4590-9564-9A0B2339C4DC}"/>
            </a:ext>
          </a:extLst>
        </xdr:cNvPr>
        <xdr:cNvSpPr/>
      </xdr:nvSpPr>
      <xdr:spPr>
        <a:xfrm>
          <a:off x="502227" y="2064038"/>
          <a:ext cx="2293411" cy="601803"/>
        </a:xfrm>
        <a:prstGeom prst="flowChartProcess">
          <a:avLst/>
        </a:prstGeom>
        <a:solidFill>
          <a:schemeClr val="accent1"/>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IN" sz="3600" b="1">
              <a:solidFill>
                <a:schemeClr val="lt1"/>
              </a:solidFill>
              <a:latin typeface="+mn-lt"/>
              <a:ea typeface="+mn-ea"/>
              <a:cs typeface="+mn-cs"/>
            </a:rPr>
            <a:t>HOME</a:t>
          </a:r>
        </a:p>
      </xdr:txBody>
    </xdr:sp>
    <xdr:clientData/>
  </xdr:twoCellAnchor>
  <xdr:twoCellAnchor editAs="oneCell">
    <xdr:from>
      <xdr:col>0</xdr:col>
      <xdr:colOff>318978</xdr:colOff>
      <xdr:row>5</xdr:row>
      <xdr:rowOff>88606</xdr:rowOff>
    </xdr:from>
    <xdr:to>
      <xdr:col>1</xdr:col>
      <xdr:colOff>194930</xdr:colOff>
      <xdr:row>8</xdr:row>
      <xdr:rowOff>35443</xdr:rowOff>
    </xdr:to>
    <xdr:pic>
      <xdr:nvPicPr>
        <xdr:cNvPr id="9" name="Picture 8">
          <a:extLst>
            <a:ext uri="{FF2B5EF4-FFF2-40B4-BE49-F238E27FC236}">
              <a16:creationId xmlns:a16="http://schemas.microsoft.com/office/drawing/2014/main" id="{F3075E16-3B85-4168-BD98-B3CE3325A78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18978" y="1003006"/>
          <a:ext cx="485552" cy="495477"/>
        </a:xfrm>
        <a:prstGeom prst="rect">
          <a:avLst/>
        </a:prstGeom>
      </xdr:spPr>
    </xdr:pic>
    <xdr:clientData/>
  </xdr:twoCellAnchor>
  <xdr:twoCellAnchor>
    <xdr:from>
      <xdr:col>0</xdr:col>
      <xdr:colOff>478464</xdr:colOff>
      <xdr:row>21</xdr:row>
      <xdr:rowOff>17721</xdr:rowOff>
    </xdr:from>
    <xdr:to>
      <xdr:col>4</xdr:col>
      <xdr:colOff>443023</xdr:colOff>
      <xdr:row>24</xdr:row>
      <xdr:rowOff>70884</xdr:rowOff>
    </xdr:to>
    <xdr:sp macro="" textlink="">
      <xdr:nvSpPr>
        <xdr:cNvPr id="10" name="Flowchart: Process 9">
          <a:hlinkClick xmlns:r="http://schemas.openxmlformats.org/officeDocument/2006/relationships" r:id="rId6"/>
          <a:extLst>
            <a:ext uri="{FF2B5EF4-FFF2-40B4-BE49-F238E27FC236}">
              <a16:creationId xmlns:a16="http://schemas.microsoft.com/office/drawing/2014/main" id="{45F1241B-47F6-4195-8E54-D420097B514C}"/>
            </a:ext>
          </a:extLst>
        </xdr:cNvPr>
        <xdr:cNvSpPr/>
      </xdr:nvSpPr>
      <xdr:spPr>
        <a:xfrm>
          <a:off x="478464" y="3739116"/>
          <a:ext cx="2374606" cy="584791"/>
        </a:xfrm>
        <a:prstGeom prst="flowChartProcess">
          <a:avLst/>
        </a:prstGeom>
        <a:solidFill>
          <a:srgbClr val="EAEAE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solidFill>
                <a:schemeClr val="tx1"/>
              </a:solidFill>
            </a:rPr>
            <a:t>TRACTION</a:t>
          </a:r>
          <a:endParaRPr lang="en-IN" sz="3600" b="1">
            <a:solidFill>
              <a:schemeClr val="tx1"/>
            </a:solidFill>
          </a:endParaRPr>
        </a:p>
      </xdr:txBody>
    </xdr:sp>
    <xdr:clientData/>
  </xdr:twoCellAnchor>
  <xdr:twoCellAnchor>
    <xdr:from>
      <xdr:col>17</xdr:col>
      <xdr:colOff>124046</xdr:colOff>
      <xdr:row>7</xdr:row>
      <xdr:rowOff>17721</xdr:rowOff>
    </xdr:from>
    <xdr:to>
      <xdr:col>37</xdr:col>
      <xdr:colOff>336698</xdr:colOff>
      <xdr:row>30</xdr:row>
      <xdr:rowOff>88604</xdr:rowOff>
    </xdr:to>
    <xdr:sp macro="" textlink="">
      <xdr:nvSpPr>
        <xdr:cNvPr id="11" name="Rectangle: Rounded Corners 10">
          <a:extLst>
            <a:ext uri="{FF2B5EF4-FFF2-40B4-BE49-F238E27FC236}">
              <a16:creationId xmlns:a16="http://schemas.microsoft.com/office/drawing/2014/main" id="{80E44D79-07C2-4382-AD12-F5C47099933F}"/>
            </a:ext>
          </a:extLst>
        </xdr:cNvPr>
        <xdr:cNvSpPr/>
      </xdr:nvSpPr>
      <xdr:spPr>
        <a:xfrm>
          <a:off x="10487246" y="1297881"/>
          <a:ext cx="12404652" cy="4277123"/>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26</xdr:col>
      <xdr:colOff>443022</xdr:colOff>
      <xdr:row>33</xdr:row>
      <xdr:rowOff>35440</xdr:rowOff>
    </xdr:from>
    <xdr:to>
      <xdr:col>37</xdr:col>
      <xdr:colOff>389859</xdr:colOff>
      <xdr:row>57</xdr:row>
      <xdr:rowOff>53162</xdr:rowOff>
    </xdr:to>
    <xdr:sp macro="" textlink="">
      <xdr:nvSpPr>
        <xdr:cNvPr id="12" name="Rectangle: Rounded Corners 11">
          <a:extLst>
            <a:ext uri="{FF2B5EF4-FFF2-40B4-BE49-F238E27FC236}">
              <a16:creationId xmlns:a16="http://schemas.microsoft.com/office/drawing/2014/main" id="{3C266C3A-B54B-4CEC-AA90-8589FF3FE5D2}"/>
            </a:ext>
          </a:extLst>
        </xdr:cNvPr>
        <xdr:cNvSpPr/>
      </xdr:nvSpPr>
      <xdr:spPr>
        <a:xfrm>
          <a:off x="16292622" y="6070480"/>
          <a:ext cx="6652437" cy="4406842"/>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478465</xdr:colOff>
      <xdr:row>32</xdr:row>
      <xdr:rowOff>124045</xdr:rowOff>
    </xdr:from>
    <xdr:to>
      <xdr:col>14</xdr:col>
      <xdr:colOff>106326</xdr:colOff>
      <xdr:row>57</xdr:row>
      <xdr:rowOff>106325</xdr:rowOff>
    </xdr:to>
    <xdr:sp macro="" textlink="">
      <xdr:nvSpPr>
        <xdr:cNvPr id="13" name="Rectangle: Rounded Corners 12">
          <a:extLst>
            <a:ext uri="{FF2B5EF4-FFF2-40B4-BE49-F238E27FC236}">
              <a16:creationId xmlns:a16="http://schemas.microsoft.com/office/drawing/2014/main" id="{CE9EB574-3392-4F52-A2A7-A07889DB6F8C}"/>
            </a:ext>
          </a:extLst>
        </xdr:cNvPr>
        <xdr:cNvSpPr/>
      </xdr:nvSpPr>
      <xdr:spPr>
        <a:xfrm>
          <a:off x="4136065" y="5976205"/>
          <a:ext cx="4504661" cy="455428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53162</xdr:colOff>
      <xdr:row>33</xdr:row>
      <xdr:rowOff>-1</xdr:rowOff>
    </xdr:from>
    <xdr:to>
      <xdr:col>25</xdr:col>
      <xdr:colOff>602510</xdr:colOff>
      <xdr:row>57</xdr:row>
      <xdr:rowOff>17721</xdr:rowOff>
    </xdr:to>
    <xdr:sp macro="" textlink="">
      <xdr:nvSpPr>
        <xdr:cNvPr id="14" name="Rectangle: Rounded Corners 13">
          <a:extLst>
            <a:ext uri="{FF2B5EF4-FFF2-40B4-BE49-F238E27FC236}">
              <a16:creationId xmlns:a16="http://schemas.microsoft.com/office/drawing/2014/main" id="{1B7DFCA9-C0E0-4A4D-82C4-2AB0B8D5AA6F}"/>
            </a:ext>
          </a:extLst>
        </xdr:cNvPr>
        <xdr:cNvSpPr/>
      </xdr:nvSpPr>
      <xdr:spPr>
        <a:xfrm>
          <a:off x="9197162" y="6035039"/>
          <a:ext cx="6645348" cy="4406842"/>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17720</xdr:colOff>
      <xdr:row>9</xdr:row>
      <xdr:rowOff>35441</xdr:rowOff>
    </xdr:from>
    <xdr:to>
      <xdr:col>16</xdr:col>
      <xdr:colOff>389860</xdr:colOff>
      <xdr:row>16</xdr:row>
      <xdr:rowOff>53162</xdr:rowOff>
    </xdr:to>
    <xdr:sp macro="" textlink="TABLE!C224">
      <xdr:nvSpPr>
        <xdr:cNvPr id="15" name="Rectangle: Top Corners Rounded 14">
          <a:extLst>
            <a:ext uri="{FF2B5EF4-FFF2-40B4-BE49-F238E27FC236}">
              <a16:creationId xmlns:a16="http://schemas.microsoft.com/office/drawing/2014/main" id="{D497B3C4-7599-43DE-8A84-B957F418090C}"/>
            </a:ext>
          </a:extLst>
        </xdr:cNvPr>
        <xdr:cNvSpPr/>
      </xdr:nvSpPr>
      <xdr:spPr>
        <a:xfrm>
          <a:off x="6723320" y="1681361"/>
          <a:ext cx="3420140" cy="1297881"/>
        </a:xfrm>
        <a:prstGeom prst="round2Same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A7C39B43-145F-470E-A0DE-FA1FA23379D5}" type="TxLink">
            <a:rPr lang="en-US" sz="3600" b="1" i="0" u="none" strike="noStrike">
              <a:solidFill>
                <a:srgbClr val="4566B1"/>
              </a:solidFill>
              <a:latin typeface="Calibri"/>
              <a:cs typeface="Calibri"/>
            </a:rPr>
            <a:t>₹ 40,23,29,219</a:t>
          </a:fld>
          <a:endParaRPr lang="en-US" sz="3600" b="1">
            <a:solidFill>
              <a:srgbClr val="4566B1"/>
            </a:solidFill>
          </a:endParaRPr>
        </a:p>
      </xdr:txBody>
    </xdr:sp>
    <xdr:clientData/>
  </xdr:twoCellAnchor>
  <xdr:twoCellAnchor>
    <xdr:from>
      <xdr:col>5</xdr:col>
      <xdr:colOff>0</xdr:colOff>
      <xdr:row>9</xdr:row>
      <xdr:rowOff>33932</xdr:rowOff>
    </xdr:from>
    <xdr:to>
      <xdr:col>10</xdr:col>
      <xdr:colOff>372140</xdr:colOff>
      <xdr:row>16</xdr:row>
      <xdr:rowOff>51653</xdr:rowOff>
    </xdr:to>
    <xdr:sp macro="" textlink="TABLE!C218">
      <xdr:nvSpPr>
        <xdr:cNvPr id="16" name="Rectangle: Top Corners Rounded 15">
          <a:extLst>
            <a:ext uri="{FF2B5EF4-FFF2-40B4-BE49-F238E27FC236}">
              <a16:creationId xmlns:a16="http://schemas.microsoft.com/office/drawing/2014/main" id="{8AB2E5B9-4CBC-453C-874F-02438FAD2F5D}"/>
            </a:ext>
          </a:extLst>
        </xdr:cNvPr>
        <xdr:cNvSpPr/>
      </xdr:nvSpPr>
      <xdr:spPr>
        <a:xfrm>
          <a:off x="3012558" y="1628816"/>
          <a:ext cx="3384698" cy="1258186"/>
        </a:xfrm>
        <a:prstGeom prst="round2Same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AB5E1C03-F545-433F-9ED0-92D2D0F23593}" type="TxLink">
            <a:rPr lang="en-US" sz="3600" b="1" i="0" u="none" strike="noStrike">
              <a:solidFill>
                <a:srgbClr val="4566B1"/>
              </a:solidFill>
              <a:latin typeface="Calibri"/>
              <a:cs typeface="Calibri"/>
            </a:rPr>
            <a:t>1000</a:t>
          </a:fld>
          <a:endParaRPr lang="en-US" sz="3600" b="1">
            <a:solidFill>
              <a:srgbClr val="4566B1"/>
            </a:solidFill>
          </a:endParaRPr>
        </a:p>
      </xdr:txBody>
    </xdr:sp>
    <xdr:clientData/>
  </xdr:twoCellAnchor>
  <xdr:twoCellAnchor>
    <xdr:from>
      <xdr:col>4</xdr:col>
      <xdr:colOff>567070</xdr:colOff>
      <xdr:row>19</xdr:row>
      <xdr:rowOff>53162</xdr:rowOff>
    </xdr:from>
    <xdr:to>
      <xdr:col>10</xdr:col>
      <xdr:colOff>336699</xdr:colOff>
      <xdr:row>26</xdr:row>
      <xdr:rowOff>70883</xdr:rowOff>
    </xdr:to>
    <xdr:sp macro="" textlink="">
      <xdr:nvSpPr>
        <xdr:cNvPr id="18" name="Rectangle: Top Corners Rounded 17">
          <a:extLst>
            <a:ext uri="{FF2B5EF4-FFF2-40B4-BE49-F238E27FC236}">
              <a16:creationId xmlns:a16="http://schemas.microsoft.com/office/drawing/2014/main" id="{C2CE2D9E-1CEE-4711-90A9-2F4486448960}"/>
            </a:ext>
          </a:extLst>
        </xdr:cNvPr>
        <xdr:cNvSpPr/>
      </xdr:nvSpPr>
      <xdr:spPr>
        <a:xfrm>
          <a:off x="2977117" y="3420139"/>
          <a:ext cx="3384698" cy="1258186"/>
        </a:xfrm>
        <a:prstGeom prst="round2Same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US" sz="3600" b="1">
            <a:solidFill>
              <a:srgbClr val="4566B1"/>
            </a:solidFill>
          </a:endParaRPr>
        </a:p>
      </xdr:txBody>
    </xdr:sp>
    <xdr:clientData/>
  </xdr:twoCellAnchor>
  <xdr:twoCellAnchor>
    <xdr:from>
      <xdr:col>24</xdr:col>
      <xdr:colOff>567069</xdr:colOff>
      <xdr:row>1</xdr:row>
      <xdr:rowOff>88605</xdr:rowOff>
    </xdr:from>
    <xdr:to>
      <xdr:col>35</xdr:col>
      <xdr:colOff>602510</xdr:colOff>
      <xdr:row>6</xdr:row>
      <xdr:rowOff>0</xdr:rowOff>
    </xdr:to>
    <xdr:sp macro="" textlink="">
      <xdr:nvSpPr>
        <xdr:cNvPr id="19" name="Flowchart: Alternate Process 18">
          <a:extLst>
            <a:ext uri="{FF2B5EF4-FFF2-40B4-BE49-F238E27FC236}">
              <a16:creationId xmlns:a16="http://schemas.microsoft.com/office/drawing/2014/main" id="{3832A507-D540-43F4-8F99-4ECADB3BB080}"/>
            </a:ext>
          </a:extLst>
        </xdr:cNvPr>
        <xdr:cNvSpPr/>
      </xdr:nvSpPr>
      <xdr:spPr>
        <a:xfrm>
          <a:off x="15197469" y="271485"/>
          <a:ext cx="6741041" cy="825795"/>
        </a:xfrm>
        <a:prstGeom prst="flowChartAlternateProcess">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25</xdr:col>
      <xdr:colOff>96898</xdr:colOff>
      <xdr:row>1</xdr:row>
      <xdr:rowOff>121031</xdr:rowOff>
    </xdr:from>
    <xdr:to>
      <xdr:col>35</xdr:col>
      <xdr:colOff>535774</xdr:colOff>
      <xdr:row>5</xdr:row>
      <xdr:rowOff>174193</xdr:rowOff>
    </xdr:to>
    <mc:AlternateContent xmlns:mc="http://schemas.openxmlformats.org/markup-compatibility/2006">
      <mc:Choice xmlns:a14="http://schemas.microsoft.com/office/drawing/2010/main" Requires="a14">
        <xdr:graphicFrame macro="">
          <xdr:nvGraphicFramePr>
            <xdr:cNvPr id="20" name="Gender 2">
              <a:extLst>
                <a:ext uri="{FF2B5EF4-FFF2-40B4-BE49-F238E27FC236}">
                  <a16:creationId xmlns:a16="http://schemas.microsoft.com/office/drawing/2014/main" id="{0F3A6361-83EF-4AB2-98C0-CF040ABEEADA}"/>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15159689" y="298240"/>
              <a:ext cx="6463992" cy="76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81065</xdr:colOff>
      <xdr:row>8</xdr:row>
      <xdr:rowOff>145917</xdr:rowOff>
    </xdr:from>
    <xdr:to>
      <xdr:col>9</xdr:col>
      <xdr:colOff>70883</xdr:colOff>
      <xdr:row>11</xdr:row>
      <xdr:rowOff>106327</xdr:rowOff>
    </xdr:to>
    <xdr:sp macro="" textlink="">
      <xdr:nvSpPr>
        <xdr:cNvPr id="21" name="TextBox 20">
          <a:extLst>
            <a:ext uri="{FF2B5EF4-FFF2-40B4-BE49-F238E27FC236}">
              <a16:creationId xmlns:a16="http://schemas.microsoft.com/office/drawing/2014/main" id="{8734EFAC-0E38-45D9-A49B-789173F4F56D}"/>
            </a:ext>
          </a:extLst>
        </xdr:cNvPr>
        <xdr:cNvSpPr txBox="1"/>
      </xdr:nvSpPr>
      <xdr:spPr>
        <a:xfrm>
          <a:off x="3093623" y="1563591"/>
          <a:ext cx="2399865" cy="492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rgbClr val="4566B1"/>
              </a:solidFill>
            </a:rPr>
            <a:t>Total</a:t>
          </a:r>
          <a:r>
            <a:rPr lang="en-US" sz="2400" b="0" baseline="0">
              <a:solidFill>
                <a:srgbClr val="4566B1"/>
              </a:solidFill>
            </a:rPr>
            <a:t> traction</a:t>
          </a:r>
          <a:endParaRPr lang="en-IN" sz="2400" b="0">
            <a:solidFill>
              <a:srgbClr val="4566B1"/>
            </a:solidFill>
          </a:endParaRPr>
        </a:p>
      </xdr:txBody>
    </xdr:sp>
    <xdr:clientData/>
  </xdr:twoCellAnchor>
  <xdr:twoCellAnchor>
    <xdr:from>
      <xdr:col>11</xdr:col>
      <xdr:colOff>64850</xdr:colOff>
      <xdr:row>8</xdr:row>
      <xdr:rowOff>162127</xdr:rowOff>
    </xdr:from>
    <xdr:to>
      <xdr:col>16</xdr:col>
      <xdr:colOff>405318</xdr:colOff>
      <xdr:row>11</xdr:row>
      <xdr:rowOff>145914</xdr:rowOff>
    </xdr:to>
    <xdr:sp macro="" textlink="">
      <xdr:nvSpPr>
        <xdr:cNvPr id="22" name="TextBox 21">
          <a:extLst>
            <a:ext uri="{FF2B5EF4-FFF2-40B4-BE49-F238E27FC236}">
              <a16:creationId xmlns:a16="http://schemas.microsoft.com/office/drawing/2014/main" id="{B6B836AA-A980-4B9E-9428-27CED5949D56}"/>
            </a:ext>
          </a:extLst>
        </xdr:cNvPr>
        <xdr:cNvSpPr txBox="1"/>
      </xdr:nvSpPr>
      <xdr:spPr>
        <a:xfrm>
          <a:off x="6770450" y="1625167"/>
          <a:ext cx="3388468" cy="532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400">
            <a:solidFill>
              <a:srgbClr val="4566B1"/>
            </a:solidFill>
          </a:endParaRPr>
        </a:p>
      </xdr:txBody>
    </xdr:sp>
    <xdr:clientData/>
  </xdr:twoCellAnchor>
  <xdr:twoCellAnchor>
    <xdr:from>
      <xdr:col>7</xdr:col>
      <xdr:colOff>70883</xdr:colOff>
      <xdr:row>20</xdr:row>
      <xdr:rowOff>6889</xdr:rowOff>
    </xdr:from>
    <xdr:to>
      <xdr:col>10</xdr:col>
      <xdr:colOff>336697</xdr:colOff>
      <xdr:row>22</xdr:row>
      <xdr:rowOff>124045</xdr:rowOff>
    </xdr:to>
    <xdr:sp macro="" textlink="TABLE!C233">
      <xdr:nvSpPr>
        <xdr:cNvPr id="23" name="TextBox 22">
          <a:extLst>
            <a:ext uri="{FF2B5EF4-FFF2-40B4-BE49-F238E27FC236}">
              <a16:creationId xmlns:a16="http://schemas.microsoft.com/office/drawing/2014/main" id="{C5D0E043-9077-48EF-8BB0-A59CDE46FED3}"/>
            </a:ext>
          </a:extLst>
        </xdr:cNvPr>
        <xdr:cNvSpPr txBox="1"/>
      </xdr:nvSpPr>
      <xdr:spPr>
        <a:xfrm>
          <a:off x="4288464" y="3551075"/>
          <a:ext cx="2073349" cy="471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630C5898-209B-4F2D-80D5-83063686ED69}" type="TxLink">
            <a:rPr lang="en-US" sz="2400" b="1" i="0" u="none" strike="noStrike">
              <a:solidFill>
                <a:srgbClr val="000000"/>
              </a:solidFill>
              <a:latin typeface="Calibri"/>
              <a:cs typeface="Calibri"/>
            </a:rPr>
            <a:t>₹ 39,65,90,362</a:t>
          </a:fld>
          <a:endParaRPr lang="en-IN" sz="2400" b="1">
            <a:solidFill>
              <a:schemeClr val="tx1"/>
            </a:solidFill>
          </a:endParaRPr>
        </a:p>
      </xdr:txBody>
    </xdr:sp>
    <xdr:clientData/>
  </xdr:twoCellAnchor>
  <xdr:twoCellAnchor>
    <xdr:from>
      <xdr:col>11</xdr:col>
      <xdr:colOff>70228</xdr:colOff>
      <xdr:row>19</xdr:row>
      <xdr:rowOff>116499</xdr:rowOff>
    </xdr:from>
    <xdr:to>
      <xdr:col>16</xdr:col>
      <xdr:colOff>301256</xdr:colOff>
      <xdr:row>21</xdr:row>
      <xdr:rowOff>159489</xdr:rowOff>
    </xdr:to>
    <xdr:sp macro="" textlink="">
      <xdr:nvSpPr>
        <xdr:cNvPr id="24" name="TextBox 23">
          <a:extLst>
            <a:ext uri="{FF2B5EF4-FFF2-40B4-BE49-F238E27FC236}">
              <a16:creationId xmlns:a16="http://schemas.microsoft.com/office/drawing/2014/main" id="{ED992CE9-B5FE-421A-8A98-D3D11E7862D6}"/>
            </a:ext>
          </a:extLst>
        </xdr:cNvPr>
        <xdr:cNvSpPr txBox="1"/>
      </xdr:nvSpPr>
      <xdr:spPr>
        <a:xfrm>
          <a:off x="6775828" y="3591219"/>
          <a:ext cx="3279028" cy="408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400" b="0">
            <a:solidFill>
              <a:srgbClr val="4566B1"/>
            </a:solidFill>
          </a:endParaRPr>
        </a:p>
      </xdr:txBody>
    </xdr:sp>
    <xdr:clientData/>
  </xdr:twoCellAnchor>
  <xdr:twoCellAnchor>
    <xdr:from>
      <xdr:col>17</xdr:col>
      <xdr:colOff>164410</xdr:colOff>
      <xdr:row>7</xdr:row>
      <xdr:rowOff>98778</xdr:rowOff>
    </xdr:from>
    <xdr:to>
      <xdr:col>37</xdr:col>
      <xdr:colOff>310443</xdr:colOff>
      <xdr:row>30</xdr:row>
      <xdr:rowOff>141111</xdr:rowOff>
    </xdr:to>
    <xdr:graphicFrame macro="">
      <xdr:nvGraphicFramePr>
        <xdr:cNvPr id="25" name="Chart 24">
          <a:extLst>
            <a:ext uri="{FF2B5EF4-FFF2-40B4-BE49-F238E27FC236}">
              <a16:creationId xmlns:a16="http://schemas.microsoft.com/office/drawing/2014/main" id="{F5BEF2C8-B673-4B52-A8D9-4028999E74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230372</xdr:colOff>
      <xdr:row>7</xdr:row>
      <xdr:rowOff>141766</xdr:rowOff>
    </xdr:from>
    <xdr:to>
      <xdr:col>28</xdr:col>
      <xdr:colOff>318976</xdr:colOff>
      <xdr:row>10</xdr:row>
      <xdr:rowOff>70883</xdr:rowOff>
    </xdr:to>
    <xdr:sp macro="" textlink="">
      <xdr:nvSpPr>
        <xdr:cNvPr id="27" name="TextBox 26">
          <a:extLst>
            <a:ext uri="{FF2B5EF4-FFF2-40B4-BE49-F238E27FC236}">
              <a16:creationId xmlns:a16="http://schemas.microsoft.com/office/drawing/2014/main" id="{444A1933-3C0B-43BC-A531-135F586AD965}"/>
            </a:ext>
          </a:extLst>
        </xdr:cNvPr>
        <xdr:cNvSpPr txBox="1"/>
      </xdr:nvSpPr>
      <xdr:spPr>
        <a:xfrm>
          <a:off x="13031972" y="1421926"/>
          <a:ext cx="4355804" cy="477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4566B1"/>
              </a:solidFill>
            </a:rPr>
            <a:t>Traction</a:t>
          </a:r>
          <a:r>
            <a:rPr lang="en-IN" sz="2400" b="1" baseline="0">
              <a:solidFill>
                <a:srgbClr val="4566B1"/>
              </a:solidFill>
            </a:rPr>
            <a:t> By city</a:t>
          </a:r>
          <a:endParaRPr lang="en-IN" sz="2400" b="1">
            <a:solidFill>
              <a:srgbClr val="4566B1"/>
            </a:solidFill>
          </a:endParaRPr>
        </a:p>
      </xdr:txBody>
    </xdr:sp>
    <xdr:clientData/>
  </xdr:twoCellAnchor>
  <xdr:twoCellAnchor>
    <xdr:from>
      <xdr:col>16</xdr:col>
      <xdr:colOff>301255</xdr:colOff>
      <xdr:row>33</xdr:row>
      <xdr:rowOff>9922</xdr:rowOff>
    </xdr:from>
    <xdr:to>
      <xdr:col>23</xdr:col>
      <xdr:colOff>389860</xdr:colOff>
      <xdr:row>35</xdr:row>
      <xdr:rowOff>116248</xdr:rowOff>
    </xdr:to>
    <xdr:sp macro="" textlink="">
      <xdr:nvSpPr>
        <xdr:cNvPr id="29" name="TextBox 28">
          <a:extLst>
            <a:ext uri="{FF2B5EF4-FFF2-40B4-BE49-F238E27FC236}">
              <a16:creationId xmlns:a16="http://schemas.microsoft.com/office/drawing/2014/main" id="{C2CFD024-CE2C-418F-AFDA-94492E91A00A}"/>
            </a:ext>
          </a:extLst>
        </xdr:cNvPr>
        <xdr:cNvSpPr txBox="1"/>
      </xdr:nvSpPr>
      <xdr:spPr>
        <a:xfrm>
          <a:off x="10054855" y="6044962"/>
          <a:ext cx="4355805" cy="472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rgbClr val="4566B1"/>
              </a:solidFill>
            </a:rPr>
            <a:t>Clients </a:t>
          </a:r>
          <a:r>
            <a:rPr lang="en-IN" sz="2400" b="1">
              <a:solidFill>
                <a:srgbClr val="4566B1"/>
              </a:solidFill>
              <a:latin typeface="+mn-lt"/>
              <a:ea typeface="+mn-ea"/>
              <a:cs typeface="+mn-cs"/>
            </a:rPr>
            <a:t>withdrawa</a:t>
          </a:r>
          <a:r>
            <a:rPr lang="en-US" sz="2400" b="1" baseline="0">
              <a:solidFill>
                <a:srgbClr val="4566B1"/>
              </a:solidFill>
              <a:latin typeface="+mn-lt"/>
              <a:ea typeface="+mn-ea"/>
              <a:cs typeface="+mn-cs"/>
            </a:rPr>
            <a:t>l By Month</a:t>
          </a:r>
          <a:endParaRPr lang="en-IN" sz="2400" b="1">
            <a:solidFill>
              <a:srgbClr val="4566B1"/>
            </a:solidFill>
          </a:endParaRPr>
        </a:p>
      </xdr:txBody>
    </xdr:sp>
    <xdr:clientData/>
  </xdr:twoCellAnchor>
  <xdr:twoCellAnchor>
    <xdr:from>
      <xdr:col>18</xdr:col>
      <xdr:colOff>49619</xdr:colOff>
      <xdr:row>10</xdr:row>
      <xdr:rowOff>35442</xdr:rowOff>
    </xdr:from>
    <xdr:to>
      <xdr:col>37</xdr:col>
      <xdr:colOff>124047</xdr:colOff>
      <xdr:row>28</xdr:row>
      <xdr:rowOff>160198</xdr:rowOff>
    </xdr:to>
    <xdr:graphicFrame macro="">
      <xdr:nvGraphicFramePr>
        <xdr:cNvPr id="32" name="Chart 31">
          <a:extLst>
            <a:ext uri="{FF2B5EF4-FFF2-40B4-BE49-F238E27FC236}">
              <a16:creationId xmlns:a16="http://schemas.microsoft.com/office/drawing/2014/main" id="{1A6146B3-F3F1-4D64-8419-C45E0BD70B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26</xdr:col>
      <xdr:colOff>460745</xdr:colOff>
      <xdr:row>33</xdr:row>
      <xdr:rowOff>63085</xdr:rowOff>
    </xdr:from>
    <xdr:to>
      <xdr:col>37</xdr:col>
      <xdr:colOff>354418</xdr:colOff>
      <xdr:row>57</xdr:row>
      <xdr:rowOff>70884</xdr:rowOff>
    </xdr:to>
    <xdr:graphicFrame macro="">
      <xdr:nvGraphicFramePr>
        <xdr:cNvPr id="33" name="Chart 32">
          <a:extLst>
            <a:ext uri="{FF2B5EF4-FFF2-40B4-BE49-F238E27FC236}">
              <a16:creationId xmlns:a16="http://schemas.microsoft.com/office/drawing/2014/main" id="{5C0E9672-ED74-47B7-B0FA-DF16004080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28</xdr:col>
      <xdr:colOff>425303</xdr:colOff>
      <xdr:row>33</xdr:row>
      <xdr:rowOff>159488</xdr:rowOff>
    </xdr:from>
    <xdr:to>
      <xdr:col>35</xdr:col>
      <xdr:colOff>513908</xdr:colOff>
      <xdr:row>36</xdr:row>
      <xdr:rowOff>88605</xdr:rowOff>
    </xdr:to>
    <xdr:sp macro="" textlink="">
      <xdr:nvSpPr>
        <xdr:cNvPr id="34" name="TextBox 33">
          <a:extLst>
            <a:ext uri="{FF2B5EF4-FFF2-40B4-BE49-F238E27FC236}">
              <a16:creationId xmlns:a16="http://schemas.microsoft.com/office/drawing/2014/main" id="{CBF1B510-5C35-473C-92BA-1F23C56F8CAD}"/>
            </a:ext>
          </a:extLst>
        </xdr:cNvPr>
        <xdr:cNvSpPr txBox="1"/>
      </xdr:nvSpPr>
      <xdr:spPr>
        <a:xfrm>
          <a:off x="17295629" y="6007395"/>
          <a:ext cx="4306186" cy="460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4566B1"/>
              </a:solidFill>
            </a:rPr>
            <a:t>Traction</a:t>
          </a:r>
          <a:r>
            <a:rPr lang="en-IN" sz="2400" b="1" baseline="0">
              <a:solidFill>
                <a:srgbClr val="4566B1"/>
              </a:solidFill>
            </a:rPr>
            <a:t> By Traction Type</a:t>
          </a:r>
          <a:endParaRPr lang="en-IN" sz="2400" b="1">
            <a:solidFill>
              <a:srgbClr val="4566B1"/>
            </a:solidFill>
          </a:endParaRPr>
        </a:p>
      </xdr:txBody>
    </xdr:sp>
    <xdr:clientData/>
  </xdr:twoCellAnchor>
  <xdr:twoCellAnchor>
    <xdr:from>
      <xdr:col>15</xdr:col>
      <xdr:colOff>248092</xdr:colOff>
      <xdr:row>31</xdr:row>
      <xdr:rowOff>141767</xdr:rowOff>
    </xdr:from>
    <xdr:to>
      <xdr:col>25</xdr:col>
      <xdr:colOff>549348</xdr:colOff>
      <xdr:row>60</xdr:row>
      <xdr:rowOff>88604</xdr:rowOff>
    </xdr:to>
    <xdr:graphicFrame macro="">
      <xdr:nvGraphicFramePr>
        <xdr:cNvPr id="35" name="Chart 34">
          <a:extLst>
            <a:ext uri="{FF2B5EF4-FFF2-40B4-BE49-F238E27FC236}">
              <a16:creationId xmlns:a16="http://schemas.microsoft.com/office/drawing/2014/main" id="{6F02FBD3-3AF2-4822-9510-4B41CE3625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520995</xdr:colOff>
      <xdr:row>32</xdr:row>
      <xdr:rowOff>159488</xdr:rowOff>
    </xdr:from>
    <xdr:to>
      <xdr:col>14</xdr:col>
      <xdr:colOff>272902</xdr:colOff>
      <xdr:row>57</xdr:row>
      <xdr:rowOff>106325</xdr:rowOff>
    </xdr:to>
    <xdr:graphicFrame macro="">
      <xdr:nvGraphicFramePr>
        <xdr:cNvPr id="36" name="Chart 35">
          <a:extLst>
            <a:ext uri="{FF2B5EF4-FFF2-40B4-BE49-F238E27FC236}">
              <a16:creationId xmlns:a16="http://schemas.microsoft.com/office/drawing/2014/main" id="{BC657634-0B2E-4075-9123-12646FF42C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318978</xdr:colOff>
      <xdr:row>33</xdr:row>
      <xdr:rowOff>17721</xdr:rowOff>
    </xdr:from>
    <xdr:to>
      <xdr:col>14</xdr:col>
      <xdr:colOff>407582</xdr:colOff>
      <xdr:row>35</xdr:row>
      <xdr:rowOff>124047</xdr:rowOff>
    </xdr:to>
    <xdr:sp macro="" textlink="">
      <xdr:nvSpPr>
        <xdr:cNvPr id="39" name="TextBox 38">
          <a:extLst>
            <a:ext uri="{FF2B5EF4-FFF2-40B4-BE49-F238E27FC236}">
              <a16:creationId xmlns:a16="http://schemas.microsoft.com/office/drawing/2014/main" id="{D859B14D-F6CD-4E47-9BE1-A327DFB096D0}"/>
            </a:ext>
          </a:extLst>
        </xdr:cNvPr>
        <xdr:cNvSpPr txBox="1"/>
      </xdr:nvSpPr>
      <xdr:spPr>
        <a:xfrm>
          <a:off x="4536559" y="5865628"/>
          <a:ext cx="4306186" cy="460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4566B1"/>
              </a:solidFill>
            </a:rPr>
            <a:t>Traction</a:t>
          </a:r>
          <a:r>
            <a:rPr lang="en-IN" sz="2400" b="1" baseline="0">
              <a:solidFill>
                <a:srgbClr val="4566B1"/>
              </a:solidFill>
            </a:rPr>
            <a:t> Status</a:t>
          </a:r>
          <a:endParaRPr lang="en-IN" sz="2400" b="1">
            <a:solidFill>
              <a:srgbClr val="4566B1"/>
            </a:solidFill>
          </a:endParaRPr>
        </a:p>
      </xdr:txBody>
    </xdr:sp>
    <xdr:clientData/>
  </xdr:twoCellAnchor>
  <xdr:twoCellAnchor>
    <xdr:from>
      <xdr:col>11</xdr:col>
      <xdr:colOff>142822</xdr:colOff>
      <xdr:row>9</xdr:row>
      <xdr:rowOff>30283</xdr:rowOff>
    </xdr:from>
    <xdr:to>
      <xdr:col>16</xdr:col>
      <xdr:colOff>35442</xdr:colOff>
      <xdr:row>11</xdr:row>
      <xdr:rowOff>70884</xdr:rowOff>
    </xdr:to>
    <xdr:sp macro="" textlink="">
      <xdr:nvSpPr>
        <xdr:cNvPr id="40" name="TextBox 39">
          <a:extLst>
            <a:ext uri="{FF2B5EF4-FFF2-40B4-BE49-F238E27FC236}">
              <a16:creationId xmlns:a16="http://schemas.microsoft.com/office/drawing/2014/main" id="{C2E98C16-C882-4038-8CBE-410EE6F8FC55}"/>
            </a:ext>
          </a:extLst>
        </xdr:cNvPr>
        <xdr:cNvSpPr txBox="1"/>
      </xdr:nvSpPr>
      <xdr:spPr>
        <a:xfrm>
          <a:off x="6770450" y="1625167"/>
          <a:ext cx="2905178" cy="3950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a:solidFill>
                <a:srgbClr val="4566B1"/>
              </a:solidFill>
            </a:rPr>
            <a:t>Total</a:t>
          </a:r>
          <a:r>
            <a:rPr lang="en-US" sz="2400" b="0" baseline="0">
              <a:solidFill>
                <a:srgbClr val="4566B1"/>
              </a:solidFill>
            </a:rPr>
            <a:t> traction Amount </a:t>
          </a:r>
          <a:endParaRPr lang="en-IN" sz="2400" b="0">
            <a:solidFill>
              <a:srgbClr val="4566B1"/>
            </a:solidFill>
          </a:endParaRPr>
        </a:p>
      </xdr:txBody>
    </xdr:sp>
    <xdr:clientData/>
  </xdr:twoCellAnchor>
  <xdr:twoCellAnchor>
    <xdr:from>
      <xdr:col>4</xdr:col>
      <xdr:colOff>230372</xdr:colOff>
      <xdr:row>19</xdr:row>
      <xdr:rowOff>141767</xdr:rowOff>
    </xdr:from>
    <xdr:to>
      <xdr:col>8</xdr:col>
      <xdr:colOff>220191</xdr:colOff>
      <xdr:row>22</xdr:row>
      <xdr:rowOff>102177</xdr:rowOff>
    </xdr:to>
    <xdr:sp macro="" textlink="">
      <xdr:nvSpPr>
        <xdr:cNvPr id="41" name="TextBox 40">
          <a:extLst>
            <a:ext uri="{FF2B5EF4-FFF2-40B4-BE49-F238E27FC236}">
              <a16:creationId xmlns:a16="http://schemas.microsoft.com/office/drawing/2014/main" id="{079FE6D0-7FF0-4BD8-B907-99E5A9F72FFE}"/>
            </a:ext>
          </a:extLst>
        </xdr:cNvPr>
        <xdr:cNvSpPr txBox="1"/>
      </xdr:nvSpPr>
      <xdr:spPr>
        <a:xfrm>
          <a:off x="2640419" y="3508744"/>
          <a:ext cx="2399865" cy="492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0">
              <a:solidFill>
                <a:srgbClr val="4566B1"/>
              </a:solidFill>
            </a:rPr>
            <a:t>           </a:t>
          </a:r>
          <a:r>
            <a:rPr lang="en-US" sz="2400" b="1">
              <a:solidFill>
                <a:srgbClr val="00B050"/>
              </a:solidFill>
            </a:rPr>
            <a:t>Pass =</a:t>
          </a:r>
          <a:endParaRPr lang="en-IN" sz="2400" b="1">
            <a:solidFill>
              <a:srgbClr val="00B050"/>
            </a:solidFill>
          </a:endParaRPr>
        </a:p>
      </xdr:txBody>
    </xdr:sp>
    <xdr:clientData/>
  </xdr:twoCellAnchor>
  <xdr:twoCellAnchor>
    <xdr:from>
      <xdr:col>4</xdr:col>
      <xdr:colOff>283535</xdr:colOff>
      <xdr:row>22</xdr:row>
      <xdr:rowOff>106324</xdr:rowOff>
    </xdr:from>
    <xdr:to>
      <xdr:col>8</xdr:col>
      <xdr:colOff>273354</xdr:colOff>
      <xdr:row>25</xdr:row>
      <xdr:rowOff>66734</xdr:rowOff>
    </xdr:to>
    <xdr:sp macro="" textlink="">
      <xdr:nvSpPr>
        <xdr:cNvPr id="42" name="TextBox 41">
          <a:extLst>
            <a:ext uri="{FF2B5EF4-FFF2-40B4-BE49-F238E27FC236}">
              <a16:creationId xmlns:a16="http://schemas.microsoft.com/office/drawing/2014/main" id="{F40DE3C0-19F5-456D-B28A-BB5E6D5C3BAF}"/>
            </a:ext>
          </a:extLst>
        </xdr:cNvPr>
        <xdr:cNvSpPr txBox="1"/>
      </xdr:nvSpPr>
      <xdr:spPr>
        <a:xfrm>
          <a:off x="2693582" y="4004929"/>
          <a:ext cx="2399865" cy="4920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0">
              <a:solidFill>
                <a:srgbClr val="4566B1"/>
              </a:solidFill>
            </a:rPr>
            <a:t>         </a:t>
          </a:r>
          <a:r>
            <a:rPr lang="en-US" sz="2400" b="1">
              <a:solidFill>
                <a:srgbClr val="FF0000"/>
              </a:solidFill>
            </a:rPr>
            <a:t>Failed=</a:t>
          </a:r>
          <a:endParaRPr lang="en-IN" sz="2400" b="1">
            <a:solidFill>
              <a:srgbClr val="FF0000"/>
            </a:solidFill>
          </a:endParaRPr>
        </a:p>
      </xdr:txBody>
    </xdr:sp>
    <xdr:clientData/>
  </xdr:twoCellAnchor>
  <xdr:twoCellAnchor>
    <xdr:from>
      <xdr:col>7</xdr:col>
      <xdr:colOff>124048</xdr:colOff>
      <xdr:row>22</xdr:row>
      <xdr:rowOff>141766</xdr:rowOff>
    </xdr:from>
    <xdr:to>
      <xdr:col>9</xdr:col>
      <xdr:colOff>567069</xdr:colOff>
      <xdr:row>25</xdr:row>
      <xdr:rowOff>117155</xdr:rowOff>
    </xdr:to>
    <xdr:sp macro="" textlink="TABLE!C232">
      <xdr:nvSpPr>
        <xdr:cNvPr id="43" name="TextBox 42">
          <a:extLst>
            <a:ext uri="{FF2B5EF4-FFF2-40B4-BE49-F238E27FC236}">
              <a16:creationId xmlns:a16="http://schemas.microsoft.com/office/drawing/2014/main" id="{57ACDB8E-5BAC-4A19-8C8F-3A9C84C7642F}"/>
            </a:ext>
          </a:extLst>
        </xdr:cNvPr>
        <xdr:cNvSpPr txBox="1"/>
      </xdr:nvSpPr>
      <xdr:spPr>
        <a:xfrm>
          <a:off x="4341629" y="4040371"/>
          <a:ext cx="1648045" cy="507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3A5AEA15-F628-4527-9757-6BFC984B10C8}" type="TxLink">
            <a:rPr lang="en-US" sz="2400" b="1" i="0" u="none" strike="noStrike">
              <a:solidFill>
                <a:srgbClr val="000000"/>
              </a:solidFill>
              <a:latin typeface="Calibri"/>
              <a:cs typeface="Calibri"/>
            </a:rPr>
            <a:t>₹ 57,38,857</a:t>
          </a:fld>
          <a:endParaRPr lang="en-US" sz="2400" b="1" i="0" u="none" strike="noStrike">
            <a:solidFill>
              <a:schemeClr val="tx1"/>
            </a:solidFill>
            <a:latin typeface="Calibri"/>
            <a:cs typeface="Calibri"/>
          </a:endParaRPr>
        </a:p>
      </xdr:txBody>
    </xdr:sp>
    <xdr:clientData/>
  </xdr:twoCellAnchor>
</xdr:wsDr>
</file>

<file path=xl/drawings/drawing5.xml><?xml version="1.0" encoding="utf-8"?>
<c:userShapes xmlns:c="http://schemas.openxmlformats.org/drawingml/2006/chart">
  <cdr:relSizeAnchor xmlns:cdr="http://schemas.openxmlformats.org/drawingml/2006/chartDrawing">
    <cdr:from>
      <cdr:x>0.00778</cdr:x>
      <cdr:y>0.01192</cdr:y>
    </cdr:from>
    <cdr:to>
      <cdr:x>0.66739</cdr:x>
      <cdr:y>0.12006</cdr:y>
    </cdr:to>
    <cdr:sp macro="" textlink="">
      <cdr:nvSpPr>
        <cdr:cNvPr id="2" name="TextBox 26">
          <a:extLst xmlns:a="http://schemas.openxmlformats.org/drawingml/2006/main">
            <a:ext uri="{FF2B5EF4-FFF2-40B4-BE49-F238E27FC236}">
              <a16:creationId xmlns:a16="http://schemas.microsoft.com/office/drawing/2014/main" id="{444A1933-3C0B-43BC-A531-135F586AD965}"/>
            </a:ext>
          </a:extLst>
        </cdr:cNvPr>
        <cdr:cNvSpPr txBox="1"/>
      </cdr:nvSpPr>
      <cdr:spPr>
        <a:xfrm xmlns:a="http://schemas.openxmlformats.org/drawingml/2006/main">
          <a:off x="50800" y="50800"/>
          <a:ext cx="4306186" cy="46074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IN" sz="2400" b="1">
            <a:solidFill>
              <a:srgbClr val="4566B1"/>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LATITUDE" refreshedDate="46166.49446574074" createdVersion="8" refreshedVersion="8" minRefreshableVersion="3" recordCount="1000" xr:uid="{FCC0AF6A-EB82-4608-B569-E5942351FE36}">
  <cacheSource type="worksheet">
    <worksheetSource name="Table1"/>
  </cacheSource>
  <cacheFields count="23">
    <cacheField name="Client_ID" numFmtId="0">
      <sharedItems containsSemiMixedTypes="0" containsString="0" containsNumber="1" containsInteger="1" minValue="1" maxValue="1000"/>
    </cacheField>
    <cacheField name="Client_Name" numFmtId="0">
      <sharedItems/>
    </cacheField>
    <cacheField name="Gender" numFmtId="0">
      <sharedItems count="2">
        <s v="Male"/>
        <s v="Female"/>
      </sharedItems>
    </cacheField>
    <cacheField name="Age" numFmtId="0">
      <sharedItems containsSemiMixedTypes="0" containsString="0" containsNumber="1" containsInteger="1" minValue="18" maxValue="70"/>
    </cacheField>
    <cacheField name="State" numFmtId="0">
      <sharedItems count="6">
        <s v="Gujarat"/>
        <s v="Karnataka"/>
        <s v="Tamil Nadu"/>
        <s v="Rajasthan"/>
        <s v="Maharashtra"/>
        <s v="Delhi"/>
      </sharedItems>
    </cacheField>
    <cacheField name="Deposit_Amount" numFmtId="164">
      <sharedItems containsSemiMixedTypes="0" containsString="0" containsNumber="1" minValue="1402.42" maxValue="499839.2"/>
    </cacheField>
    <cacheField name="Column1" numFmtId="0">
      <sharedItems count="3">
        <s v="High Income"/>
        <s v="Low Income"/>
        <s v="Midum Income"/>
      </sharedItems>
    </cacheField>
    <cacheField name="Withdrawal_Amount" numFmtId="0">
      <sharedItems containsSemiMixedTypes="0" containsString="0" containsNumber="1" minValue="1289.3499999999999" maxValue="299447.96000000002"/>
    </cacheField>
    <cacheField name="Credit_Score" numFmtId="0">
      <sharedItems containsSemiMixedTypes="0" containsString="0" containsNumber="1" containsInteger="1" minValue="300" maxValue="898"/>
    </cacheField>
    <cacheField name="Transaction_Type" numFmtId="0">
      <sharedItems count="5">
        <s v="Mobile Banking"/>
        <s v="Online Purchase"/>
        <s v="ATM Withdrawal"/>
        <s v="Bank Transfer"/>
        <s v="POS Payment"/>
      </sharedItems>
    </cacheField>
    <cacheField name="Credit_Card_Type" numFmtId="0">
      <sharedItems/>
    </cacheField>
    <cacheField name="Account_Balance" numFmtId="0">
      <sharedItems containsSemiMixedTypes="0" containsString="0" containsNumber="1" minValue="-195031.24" maxValue="633015.55000000005"/>
    </cacheField>
    <cacheField name="Monthly_Income" numFmtId="0">
      <sharedItems containsSemiMixedTypes="0" containsString="0" containsNumber="1" minValue="15334.24" maxValue="249762.45"/>
    </cacheField>
    <cacheField name="Loan_Status" numFmtId="0">
      <sharedItems/>
    </cacheField>
    <cacheField name="Transaction_Date" numFmtId="14">
      <sharedItems containsSemiMixedTypes="0" containsNonDate="0" containsDate="1" containsString="0" minDate="2025-01-01T00:00:00" maxDate="2025-12-31T00:00:00"/>
    </cacheField>
    <cacheField name="date" numFmtId="14">
      <sharedItems containsSemiMixedTypes="0" containsNonDate="0" containsDate="1" containsString="0" minDate="2025-01-01T00:00:00" maxDate="2026-01-01T00:00:00" count="337">
        <d v="2025-02-05T00:00:00"/>
        <d v="2025-12-20T00:00:00"/>
        <d v="2025-03-29T00:00:00"/>
        <d v="2025-04-28T00:00:00"/>
        <d v="2025-06-24T00:00:00"/>
        <d v="2025-12-05T00:00:00"/>
        <d v="2025-11-10T00:00:00"/>
        <d v="2025-08-08T00:00:00"/>
        <d v="2025-07-04T00:00:00"/>
        <d v="2025-09-22T00:00:00"/>
        <d v="2025-01-15T00:00:00"/>
        <d v="2025-08-18T00:00:00"/>
        <d v="2025-08-16T00:00:00"/>
        <d v="2025-07-22T00:00:00"/>
        <d v="2025-09-17T00:00:00"/>
        <d v="2025-11-28T00:00:00"/>
        <d v="2025-09-10T00:00:00"/>
        <d v="2025-11-09T00:00:00"/>
        <d v="2025-08-20T00:00:00"/>
        <d v="2025-11-20T00:00:00"/>
        <d v="2025-08-07T00:00:00"/>
        <d v="2025-03-28T00:00:00"/>
        <d v="2025-04-17T00:00:00"/>
        <d v="2025-04-06T00:00:00"/>
        <d v="2025-08-30T00:00:00"/>
        <d v="2025-05-18T00:00:00"/>
        <d v="2025-04-11T00:00:00"/>
        <d v="2025-12-18T00:00:00"/>
        <d v="2025-02-19T00:00:00"/>
        <d v="2025-10-02T00:00:00"/>
        <d v="2025-12-11T00:00:00"/>
        <d v="2025-08-28T00:00:00"/>
        <d v="2025-10-08T00:00:00"/>
        <d v="2025-11-04T00:00:00"/>
        <d v="2025-11-01T00:00:00"/>
        <d v="2025-07-10T00:00:00"/>
        <d v="2025-12-29T00:00:00"/>
        <d v="2025-06-10T00:00:00"/>
        <d v="2025-03-03T00:00:00"/>
        <d v="2025-02-07T00:00:00"/>
        <d v="2025-09-27T00:00:00"/>
        <d v="2025-04-01T00:00:00"/>
        <d v="2025-05-15T00:00:00"/>
        <d v="2025-09-20T00:00:00"/>
        <d v="2025-03-26T00:00:00"/>
        <d v="2025-10-10T00:00:00"/>
        <d v="2025-04-03T00:00:00"/>
        <d v="2025-07-24T00:00:00"/>
        <d v="2025-06-04T00:00:00"/>
        <d v="2025-02-23T00:00:00"/>
        <d v="2025-01-25T00:00:00"/>
        <d v="2025-08-13T00:00:00"/>
        <d v="2025-06-13T00:00:00"/>
        <d v="2025-08-17T00:00:00"/>
        <d v="2025-12-01T00:00:00"/>
        <d v="2025-12-13T00:00:00"/>
        <d v="2025-06-18T00:00:00"/>
        <d v="2025-10-29T00:00:00"/>
        <d v="2025-01-16T00:00:00"/>
        <d v="2025-07-17T00:00:00"/>
        <d v="2025-03-01T00:00:00"/>
        <d v="2025-10-11T00:00:00"/>
        <d v="2025-01-04T00:00:00"/>
        <d v="2025-01-11T00:00:00"/>
        <d v="2025-02-24T00:00:00"/>
        <d v="2025-07-12T00:00:00"/>
        <d v="2025-11-15T00:00:00"/>
        <d v="2025-04-05T00:00:00"/>
        <d v="2025-11-11T00:00:00"/>
        <d v="2025-11-08T00:00:00"/>
        <d v="2025-07-13T00:00:00"/>
        <d v="2025-04-30T00:00:00"/>
        <d v="2025-10-01T00:00:00"/>
        <d v="2025-12-04T00:00:00"/>
        <d v="2025-07-26T00:00:00"/>
        <d v="2025-07-03T00:00:00"/>
        <d v="2025-07-05T00:00:00"/>
        <d v="2025-08-22T00:00:00"/>
        <d v="2025-11-05T00:00:00"/>
        <d v="2025-10-26T00:00:00"/>
        <d v="2025-03-10T00:00:00"/>
        <d v="2025-04-10T00:00:00"/>
        <d v="2025-12-09T00:00:00"/>
        <d v="2025-09-02T00:00:00"/>
        <d v="2025-01-03T00:00:00"/>
        <d v="2025-10-04T00:00:00"/>
        <d v="2025-08-09T00:00:00"/>
        <d v="2025-08-06T00:00:00"/>
        <d v="2025-05-27T00:00:00"/>
        <d v="2025-03-14T00:00:00"/>
        <d v="2025-01-13T00:00:00"/>
        <d v="2025-08-19T00:00:00"/>
        <d v="2025-06-17T00:00:00"/>
        <d v="2025-04-02T00:00:00"/>
        <d v="2025-05-20T00:00:00"/>
        <d v="2025-11-06T00:00:00"/>
        <d v="2025-01-19T00:00:00"/>
        <d v="2025-12-10T00:00:00"/>
        <d v="2025-06-07T00:00:00"/>
        <d v="2025-06-12T00:00:00"/>
        <d v="2025-05-07T00:00:00"/>
        <d v="2025-07-15T00:00:00"/>
        <d v="2025-06-27T00:00:00"/>
        <d v="2025-01-14T00:00:00"/>
        <d v="2025-04-26T00:00:00"/>
        <d v="2025-02-08T00:00:00"/>
        <d v="2025-12-17T00:00:00"/>
        <d v="2025-08-27T00:00:00"/>
        <d v="2025-06-25T00:00:00"/>
        <d v="2025-07-07T00:00:00"/>
        <d v="2025-05-05T00:00:00"/>
        <d v="2025-11-13T00:00:00"/>
        <d v="2025-03-04T00:00:00"/>
        <d v="2025-08-11T00:00:00"/>
        <d v="2025-08-24T00:00:00"/>
        <d v="2025-12-27T00:00:00"/>
        <d v="2025-07-19T00:00:00"/>
        <d v="2025-09-25T00:00:00"/>
        <d v="2025-04-25T00:00:00"/>
        <d v="2025-11-16T00:00:00"/>
        <d v="2025-10-07T00:00:00"/>
        <d v="2025-01-31T00:00:00"/>
        <d v="2025-12-30T00:00:00"/>
        <d v="2025-12-21T00:00:00"/>
        <d v="2025-03-18T00:00:00"/>
        <d v="2025-04-12T00:00:00"/>
        <d v="2025-09-30T00:00:00"/>
        <d v="2025-07-20T00:00:00"/>
        <d v="2025-01-27T00:00:00"/>
        <d v="2025-02-01T00:00:00"/>
        <d v="2025-10-27T00:00:00"/>
        <d v="2025-11-21T00:00:00"/>
        <d v="2025-10-25T00:00:00"/>
        <d v="2025-06-26T00:00:00"/>
        <d v="2025-10-03T00:00:00"/>
        <d v="2025-02-20T00:00:00"/>
        <d v="2025-12-08T00:00:00"/>
        <d v="2025-01-09T00:00:00"/>
        <d v="2025-07-28T00:00:00"/>
        <d v="2025-09-29T00:00:00"/>
        <d v="2025-02-25T00:00:00"/>
        <d v="2025-05-19T00:00:00"/>
        <d v="2025-09-16T00:00:00"/>
        <d v="2025-01-17T00:00:00"/>
        <d v="2025-05-13T00:00:00"/>
        <d v="2025-01-28T00:00:00"/>
        <d v="2025-06-28T00:00:00"/>
        <d v="2025-04-15T00:00:00"/>
        <d v="2025-02-11T00:00:00"/>
        <d v="2025-11-27T00:00:00"/>
        <d v="2025-06-21T00:00:00"/>
        <d v="2025-10-16T00:00:00"/>
        <d v="2025-01-30T00:00:00"/>
        <d v="2025-06-08T00:00:00"/>
        <d v="2025-02-17T00:00:00"/>
        <d v="2025-04-09T00:00:00"/>
        <d v="2025-04-16T00:00:00"/>
        <d v="2025-06-02T00:00:00"/>
        <d v="2025-05-02T00:00:00"/>
        <d v="2025-05-24T00:00:00"/>
        <d v="2025-10-17T00:00:00"/>
        <d v="2025-04-27T00:00:00"/>
        <d v="2025-01-07T00:00:00"/>
        <d v="2025-03-15T00:00:00"/>
        <d v="2025-07-16T00:00:00"/>
        <d v="2025-11-30T00:00:00"/>
        <d v="2025-01-08T00:00:00"/>
        <d v="2025-01-24T00:00:00"/>
        <d v="2025-01-01T00:00:00"/>
        <d v="2025-08-15T00:00:00"/>
        <d v="2025-02-22T00:00:00"/>
        <d v="2025-05-09T00:00:00"/>
        <d v="2025-05-16T00:00:00"/>
        <d v="2025-07-29T00:00:00"/>
        <d v="2025-03-11T00:00:00"/>
        <d v="2025-09-08T00:00:00"/>
        <d v="2025-10-06T00:00:00"/>
        <d v="2025-03-22T00:00:00"/>
        <d v="2025-03-20T00:00:00"/>
        <d v="2025-04-18T00:00:00"/>
        <d v="2025-02-06T00:00:00"/>
        <d v="2025-05-17T00:00:00"/>
        <d v="2025-02-27T00:00:00"/>
        <d v="2025-06-03T00:00:00"/>
        <d v="2025-08-03T00:00:00"/>
        <d v="2025-01-22T00:00:00"/>
        <d v="2025-04-13T00:00:00"/>
        <d v="2025-03-13T00:00:00"/>
        <d v="2025-07-30T00:00:00"/>
        <d v="2025-06-29T00:00:00"/>
        <d v="2025-09-11T00:00:00"/>
        <d v="2025-09-09T00:00:00"/>
        <d v="2025-12-15T00:00:00"/>
        <d v="2025-08-10T00:00:00"/>
        <d v="2025-01-18T00:00:00"/>
        <d v="2025-12-02T00:00:00"/>
        <d v="2025-02-16T00:00:00"/>
        <d v="2025-06-30T00:00:00"/>
        <d v="2025-12-14T00:00:00"/>
        <d v="2025-11-26T00:00:00"/>
        <d v="2025-09-18T00:00:00"/>
        <d v="2025-05-08T00:00:00"/>
        <d v="2025-09-21T00:00:00"/>
        <d v="2025-10-14T00:00:00"/>
        <d v="2025-06-06T00:00:00"/>
        <d v="2025-12-19T00:00:00"/>
        <d v="2025-10-13T00:00:00"/>
        <d v="2025-05-25T00:00:00"/>
        <d v="2025-10-23T00:00:00"/>
        <d v="2025-05-22T00:00:00"/>
        <d v="2025-03-27T00:00:00"/>
        <d v="2025-03-17T00:00:00"/>
        <d v="2025-10-21T00:00:00"/>
        <d v="2025-06-19T00:00:00"/>
        <d v="2025-02-14T00:00:00"/>
        <d v="2025-12-24T00:00:00"/>
        <d v="2025-10-19T00:00:00"/>
        <d v="2025-09-15T00:00:00"/>
        <d v="2025-07-18T00:00:00"/>
        <d v="2025-05-04T00:00:00"/>
        <d v="2025-08-05T00:00:00"/>
        <d v="2025-12-28T00:00:00"/>
        <d v="2025-07-25T00:00:00"/>
        <d v="2025-02-21T00:00:00"/>
        <d v="2025-10-28T00:00:00"/>
        <d v="2025-09-23T00:00:00"/>
        <d v="2025-11-25T00:00:00"/>
        <d v="2025-09-06T00:00:00"/>
        <d v="2025-02-28T00:00:00"/>
        <d v="2025-09-05T00:00:00"/>
        <d v="2025-09-01T00:00:00"/>
        <d v="2025-09-03T00:00:00"/>
        <d v="2025-12-03T00:00:00"/>
        <d v="2025-05-21T00:00:00"/>
        <d v="2025-01-06T00:00:00"/>
        <d v="2025-05-31T00:00:00"/>
        <d v="2025-06-11T00:00:00"/>
        <d v="2025-04-19T00:00:00"/>
        <d v="2025-12-25T00:00:00"/>
        <d v="2025-11-03T00:00:00"/>
        <d v="2025-03-21T00:00:00"/>
        <d v="2025-03-07T00:00:00"/>
        <d v="2025-02-09T00:00:00"/>
        <d v="2025-01-20T00:00:00"/>
        <d v="2025-01-26T00:00:00"/>
        <d v="2025-10-09T00:00:00"/>
        <d v="2025-02-10T00:00:00"/>
        <d v="2025-09-26T00:00:00"/>
        <d v="2025-12-12T00:00:00"/>
        <d v="2025-03-02T00:00:00"/>
        <d v="2025-05-06T00:00:00"/>
        <d v="2025-05-11T00:00:00"/>
        <d v="2025-02-02T00:00:00"/>
        <d v="2025-10-05T00:00:00"/>
        <d v="2025-01-23T00:00:00"/>
        <d v="2025-04-29T00:00:00"/>
        <d v="2025-05-14T00:00:00"/>
        <d v="2025-02-03T00:00:00"/>
        <d v="2025-12-06T00:00:00"/>
        <d v="2025-06-23T00:00:00"/>
        <d v="2025-04-24T00:00:00"/>
        <d v="2025-05-12T00:00:00"/>
        <d v="2025-07-23T00:00:00"/>
        <d v="2025-08-21T00:00:00"/>
        <d v="2025-08-26T00:00:00"/>
        <d v="2025-12-31T00:00:00"/>
        <d v="2025-06-20T00:00:00"/>
        <d v="2025-10-31T00:00:00"/>
        <d v="2025-04-07T00:00:00"/>
        <d v="2025-09-14T00:00:00"/>
        <d v="2025-10-12T00:00:00"/>
        <d v="2025-09-19T00:00:00"/>
        <d v="2025-03-09T00:00:00"/>
        <d v="2025-11-02T00:00:00"/>
        <d v="2025-03-16T00:00:00"/>
        <d v="2025-07-01T00:00:00"/>
        <d v="2025-01-29T00:00:00"/>
        <d v="2025-09-24T00:00:00"/>
        <d v="2025-08-01T00:00:00"/>
        <d v="2025-12-16T00:00:00"/>
        <d v="2025-11-12T00:00:00"/>
        <d v="2025-03-23T00:00:00"/>
        <d v="2025-02-12T00:00:00"/>
        <d v="2025-04-14T00:00:00"/>
        <d v="2025-06-16T00:00:00"/>
        <d v="2025-01-21T00:00:00"/>
        <d v="2025-04-20T00:00:00"/>
        <d v="2025-08-29T00:00:00"/>
        <d v="2025-09-12T00:00:00"/>
        <d v="2025-05-26T00:00:00"/>
        <d v="2025-05-23T00:00:00"/>
        <d v="2025-08-04T00:00:00"/>
        <d v="2025-11-22T00:00:00"/>
        <d v="2025-11-19T00:00:00"/>
        <d v="2025-03-25T00:00:00"/>
        <d v="2025-12-07T00:00:00"/>
        <d v="2025-08-14T00:00:00"/>
        <d v="2025-07-27T00:00:00"/>
        <d v="2025-04-08T00:00:00"/>
        <d v="2025-11-23T00:00:00"/>
        <d v="2025-09-07T00:00:00"/>
        <d v="2025-07-09T00:00:00"/>
        <d v="2025-07-11T00:00:00"/>
        <d v="2025-11-18T00:00:00"/>
        <d v="2025-11-07T00:00:00"/>
        <d v="2025-08-12T00:00:00"/>
        <d v="2025-06-09T00:00:00"/>
        <d v="2025-10-24T00:00:00"/>
        <d v="2025-11-24T00:00:00"/>
        <d v="2025-06-14T00:00:00"/>
        <d v="2025-04-04T00:00:00"/>
        <d v="2025-06-15T00:00:00"/>
        <d v="2025-12-23T00:00:00"/>
        <d v="2025-03-30T00:00:00"/>
        <d v="2025-02-15T00:00:00"/>
        <d v="2025-05-10T00:00:00"/>
        <d v="2025-07-08T00:00:00"/>
        <d v="2025-03-31T00:00:00"/>
        <d v="2025-06-01T00:00:00"/>
        <d v="2025-02-26T00:00:00"/>
        <d v="2025-02-18T00:00:00"/>
        <d v="2025-08-23T00:00:00"/>
        <d v="2025-01-05T00:00:00"/>
        <d v="2025-08-31T00:00:00"/>
        <d v="2025-12-22T00:00:00"/>
        <d v="2025-03-08T00:00:00"/>
        <d v="2025-10-22T00:00:00"/>
        <d v="2025-10-15T00:00:00"/>
        <d v="2025-02-04T00:00:00"/>
        <d v="2025-11-14T00:00:00"/>
        <d v="2025-12-26T00:00:00"/>
        <d v="2025-07-31T00:00:00"/>
        <d v="2025-04-23T00:00:00"/>
        <d v="2025-10-20T00:00:00"/>
        <d v="2025-09-04T00:00:00"/>
        <d v="2025-03-12T00:00:00"/>
        <d v="2025-07-02T00:00:00"/>
      </sharedItems>
      <fieldGroup par="22"/>
    </cacheField>
    <cacheField name="Customer_Rating_5" numFmtId="0">
      <sharedItems containsSemiMixedTypes="0" containsString="0" containsNumber="1" containsInteger="1" minValue="1" maxValue="5"/>
    </cacheField>
    <cacheField name="Loan Risk" numFmtId="0">
      <sharedItems count="3">
        <s v="High Risk"/>
        <s v="Midum Risk"/>
        <s v="Low Risk"/>
      </sharedItems>
    </cacheField>
    <cacheField name="Credit Score" numFmtId="0">
      <sharedItems count="3">
        <s v="Poor"/>
        <s v="Midum "/>
        <s v="Good"/>
      </sharedItems>
    </cacheField>
    <cacheField name="Trantions" numFmtId="164">
      <sharedItems containsSemiMixedTypes="0" containsString="0" containsNumber="1" minValue="18063.939999999999" maxValue="782915.65999999992"/>
    </cacheField>
    <cacheField name="Tration P/F" numFmtId="0">
      <sharedItems count="2">
        <s v="pass"/>
        <s v="failed"/>
      </sharedItems>
    </cacheField>
    <cacheField name="Days (date)" numFmtId="0" databaseField="0">
      <fieldGroup base="15">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date)" numFmtId="0" databaseField="0">
      <fieldGroup base="15">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6354117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Rahul Sharma"/>
    <x v="0"/>
    <n v="53"/>
    <x v="0"/>
    <n v="321521.90999999997"/>
    <x v="0"/>
    <n v="252688.49"/>
    <n v="344"/>
    <x v="0"/>
    <s v="Discover"/>
    <n v="249517.91"/>
    <n v="83938.34"/>
    <s v="Rejected"/>
    <d v="2025-09-13T00:00:00"/>
    <x v="0"/>
    <n v="1"/>
    <x v="0"/>
    <x v="0"/>
    <n v="574210.39999999991"/>
    <x v="0"/>
  </r>
  <r>
    <n v="2"/>
    <s v="Priya Mehta"/>
    <x v="1"/>
    <n v="51"/>
    <x v="1"/>
    <n v="85418.59"/>
    <x v="1"/>
    <n v="235443.41"/>
    <n v="480"/>
    <x v="0"/>
    <s v="Visa"/>
    <n v="-19879.310000000001"/>
    <n v="141180.25"/>
    <s v="Pending"/>
    <d v="2025-04-12T00:00:00"/>
    <x v="1"/>
    <n v="1"/>
    <x v="1"/>
    <x v="1"/>
    <n v="320862"/>
    <x v="0"/>
  </r>
  <r>
    <n v="3"/>
    <s v="Diya Gupta"/>
    <x v="1"/>
    <n v="23"/>
    <x v="0"/>
    <n v="491212.95"/>
    <x v="0"/>
    <n v="108824.13"/>
    <n v="531"/>
    <x v="1"/>
    <s v="Discover"/>
    <n v="536798.73"/>
    <n v="138227.97"/>
    <s v="Approved"/>
    <d v="2025-04-09T00:00:00"/>
    <x v="2"/>
    <n v="2"/>
    <x v="1"/>
    <x v="1"/>
    <n v="600037.08000000007"/>
    <x v="1"/>
  </r>
  <r>
    <n v="4"/>
    <s v="Meera Verma"/>
    <x v="1"/>
    <n v="49"/>
    <x v="1"/>
    <n v="331003.5"/>
    <x v="0"/>
    <n v="183791.75"/>
    <n v="449"/>
    <x v="1"/>
    <s v="Visa"/>
    <n v="170516.69"/>
    <n v="144405.79999999999"/>
    <s v="Pending"/>
    <d v="2025-02-09T00:00:00"/>
    <x v="3"/>
    <n v="4"/>
    <x v="1"/>
    <x v="1"/>
    <n v="514795.25"/>
    <x v="0"/>
  </r>
  <r>
    <n v="5"/>
    <s v="Manav Mehta"/>
    <x v="0"/>
    <n v="70"/>
    <x v="2"/>
    <n v="357468.75"/>
    <x v="0"/>
    <n v="206698.08"/>
    <n v="599"/>
    <x v="2"/>
    <s v="Discover"/>
    <n v="241283.22"/>
    <n v="15576.99"/>
    <s v="Pending"/>
    <d v="2025-06-23T00:00:00"/>
    <x v="4"/>
    <n v="2"/>
    <x v="1"/>
    <x v="1"/>
    <n v="564166.82999999996"/>
    <x v="0"/>
  </r>
  <r>
    <n v="6"/>
    <s v="Priya Joshi"/>
    <x v="1"/>
    <n v="31"/>
    <x v="2"/>
    <n v="432940.88"/>
    <x v="0"/>
    <n v="73495.03"/>
    <n v="325"/>
    <x v="1"/>
    <s v="Discover"/>
    <n v="510890.81"/>
    <n v="171920"/>
    <s v="Pending"/>
    <d v="2025-01-27T00:00:00"/>
    <x v="5"/>
    <n v="5"/>
    <x v="0"/>
    <x v="0"/>
    <n v="506435.91000000003"/>
    <x v="0"/>
  </r>
  <r>
    <n v="7"/>
    <s v="Rahul Joshi"/>
    <x v="0"/>
    <n v="42"/>
    <x v="3"/>
    <n v="257854.52"/>
    <x v="0"/>
    <n v="3724.98"/>
    <n v="505"/>
    <x v="2"/>
    <s v="American Express"/>
    <n v="329197.55"/>
    <n v="184642.42"/>
    <s v="Approved"/>
    <d v="2025-01-31T00:00:00"/>
    <x v="6"/>
    <n v="5"/>
    <x v="1"/>
    <x v="1"/>
    <n v="261579.5"/>
    <x v="0"/>
  </r>
  <r>
    <n v="8"/>
    <s v="Meera Gupta"/>
    <x v="1"/>
    <n v="59"/>
    <x v="1"/>
    <n v="247889.82"/>
    <x v="0"/>
    <n v="247620.84"/>
    <n v="572"/>
    <x v="3"/>
    <s v="American Express"/>
    <n v="25577.95"/>
    <n v="88791.57"/>
    <s v="Approved"/>
    <d v="2025-01-22T00:00:00"/>
    <x v="7"/>
    <n v="3"/>
    <x v="1"/>
    <x v="1"/>
    <n v="495510.66000000003"/>
    <x v="0"/>
  </r>
  <r>
    <n v="9"/>
    <s v="Rahul Mehta"/>
    <x v="0"/>
    <n v="70"/>
    <x v="4"/>
    <n v="185786.35"/>
    <x v="2"/>
    <n v="61748.61"/>
    <n v="732"/>
    <x v="4"/>
    <s v="MasterCard"/>
    <n v="230529.52"/>
    <n v="242988.54"/>
    <s v="Pending"/>
    <d v="2025-11-12T00:00:00"/>
    <x v="8"/>
    <n v="3"/>
    <x v="2"/>
    <x v="2"/>
    <n v="247534.96000000002"/>
    <x v="0"/>
  </r>
  <r>
    <n v="10"/>
    <s v="Diya Desai"/>
    <x v="1"/>
    <n v="55"/>
    <x v="5"/>
    <n v="87831.38"/>
    <x v="1"/>
    <n v="83781.039999999994"/>
    <n v="348"/>
    <x v="1"/>
    <s v="MasterCard"/>
    <n v="36871.35"/>
    <n v="111367.9"/>
    <s v="Pending"/>
    <d v="2025-08-28T00:00:00"/>
    <x v="9"/>
    <n v="1"/>
    <x v="0"/>
    <x v="0"/>
    <n v="171612.41999999998"/>
    <x v="0"/>
  </r>
  <r>
    <n v="11"/>
    <s v="Sneha Trivedi"/>
    <x v="1"/>
    <n v="68"/>
    <x v="1"/>
    <n v="110998.05"/>
    <x v="2"/>
    <n v="76979.92"/>
    <n v="450"/>
    <x v="0"/>
    <s v="American Express"/>
    <n v="64791.71"/>
    <n v="144433.38"/>
    <s v="Approved"/>
    <d v="2025-07-15T00:00:00"/>
    <x v="10"/>
    <n v="5"/>
    <x v="1"/>
    <x v="1"/>
    <n v="187977.97"/>
    <x v="0"/>
  </r>
  <r>
    <n v="12"/>
    <s v="Nisha Trivedi"/>
    <x v="1"/>
    <n v="66"/>
    <x v="2"/>
    <n v="442997.06"/>
    <x v="0"/>
    <n v="112931.02"/>
    <n v="590"/>
    <x v="0"/>
    <s v="Discover"/>
    <n v="373711.63"/>
    <n v="154690.82"/>
    <s v="Approved"/>
    <d v="2025-11-25T00:00:00"/>
    <x v="11"/>
    <n v="1"/>
    <x v="1"/>
    <x v="1"/>
    <n v="555928.07999999996"/>
    <x v="0"/>
  </r>
  <r>
    <n v="13"/>
    <s v="Aditya Trivedi"/>
    <x v="0"/>
    <n v="44"/>
    <x v="3"/>
    <n v="60880.22"/>
    <x v="1"/>
    <n v="42690.09"/>
    <n v="314"/>
    <x v="3"/>
    <s v="Discover"/>
    <n v="104376.31"/>
    <n v="245929.37"/>
    <s v="Approved"/>
    <d v="2025-06-05T00:00:00"/>
    <x v="12"/>
    <n v="1"/>
    <x v="0"/>
    <x v="0"/>
    <n v="103570.31"/>
    <x v="0"/>
  </r>
  <r>
    <n v="14"/>
    <s v="Riya Patel"/>
    <x v="1"/>
    <n v="23"/>
    <x v="1"/>
    <n v="387201.87"/>
    <x v="0"/>
    <n v="157656.22"/>
    <n v="310"/>
    <x v="0"/>
    <s v="Discover"/>
    <n v="317195.75"/>
    <n v="207762.32"/>
    <s v="Pending"/>
    <d v="2025-07-27T00:00:00"/>
    <x v="13"/>
    <n v="5"/>
    <x v="0"/>
    <x v="0"/>
    <n v="544858.09"/>
    <x v="0"/>
  </r>
  <r>
    <n v="15"/>
    <s v="Anaya Desai"/>
    <x v="1"/>
    <n v="39"/>
    <x v="5"/>
    <n v="101525.98"/>
    <x v="2"/>
    <n v="180438.75"/>
    <n v="497"/>
    <x v="1"/>
    <s v="Discover"/>
    <n v="-65705.149999999994"/>
    <n v="162213.23000000001"/>
    <s v="Rejected"/>
    <d v="2025-07-07T00:00:00"/>
    <x v="14"/>
    <n v="4"/>
    <x v="1"/>
    <x v="1"/>
    <n v="281964.73"/>
    <x v="1"/>
  </r>
  <r>
    <n v="16"/>
    <s v="Aditya Shah"/>
    <x v="0"/>
    <n v="18"/>
    <x v="0"/>
    <n v="57999.59"/>
    <x v="1"/>
    <n v="266909.19"/>
    <n v="481"/>
    <x v="1"/>
    <s v="MasterCard"/>
    <n v="-73949.429999999993"/>
    <n v="135026.21"/>
    <s v="Approved"/>
    <d v="2025-11-30T00:00:00"/>
    <x v="15"/>
    <n v="4"/>
    <x v="1"/>
    <x v="1"/>
    <n v="324908.78000000003"/>
    <x v="0"/>
  </r>
  <r>
    <n v="17"/>
    <s v="Kavya Sharma"/>
    <x v="1"/>
    <n v="30"/>
    <x v="4"/>
    <n v="272235.90999999997"/>
    <x v="0"/>
    <n v="155799.19"/>
    <n v="820"/>
    <x v="1"/>
    <s v="Visa"/>
    <n v="210978.97"/>
    <n v="158896.68"/>
    <s v="Approved"/>
    <d v="2025-01-04T00:00:00"/>
    <x v="16"/>
    <n v="1"/>
    <x v="2"/>
    <x v="2"/>
    <n v="428035.1"/>
    <x v="0"/>
  </r>
  <r>
    <n v="18"/>
    <s v="Anaya Patel"/>
    <x v="1"/>
    <n v="65"/>
    <x v="0"/>
    <n v="239480.37"/>
    <x v="0"/>
    <n v="42968.28"/>
    <n v="404"/>
    <x v="4"/>
    <s v="American Express"/>
    <n v="244892.95"/>
    <n v="173469.55"/>
    <s v="Approved"/>
    <d v="2025-04-01T00:00:00"/>
    <x v="17"/>
    <n v="4"/>
    <x v="1"/>
    <x v="1"/>
    <n v="282448.65000000002"/>
    <x v="0"/>
  </r>
  <r>
    <n v="19"/>
    <s v="Sneha Shah"/>
    <x v="1"/>
    <n v="19"/>
    <x v="1"/>
    <n v="92189.82"/>
    <x v="1"/>
    <n v="43558.19"/>
    <n v="717"/>
    <x v="1"/>
    <s v="American Express"/>
    <n v="139583.98000000001"/>
    <n v="18094.07"/>
    <s v="Approved"/>
    <d v="2025-02-19T00:00:00"/>
    <x v="18"/>
    <n v="5"/>
    <x v="2"/>
    <x v="2"/>
    <n v="135748.01"/>
    <x v="0"/>
  </r>
  <r>
    <n v="20"/>
    <s v="Yash Shah"/>
    <x v="0"/>
    <n v="57"/>
    <x v="2"/>
    <n v="295640.96000000002"/>
    <x v="0"/>
    <n v="95358.35"/>
    <n v="463"/>
    <x v="2"/>
    <s v="Visa"/>
    <n v="206625.74"/>
    <n v="142195.4"/>
    <s v="Approved"/>
    <d v="2025-07-16T00:00:00"/>
    <x v="19"/>
    <n v="3"/>
    <x v="1"/>
    <x v="1"/>
    <n v="390999.31000000006"/>
    <x v="1"/>
  </r>
  <r>
    <n v="21"/>
    <s v="Jay Joshi"/>
    <x v="0"/>
    <n v="60"/>
    <x v="1"/>
    <n v="214704.41"/>
    <x v="0"/>
    <n v="162565.38"/>
    <n v="632"/>
    <x v="4"/>
    <s v="MasterCard"/>
    <n v="179934.35"/>
    <n v="44342.38"/>
    <s v="Rejected"/>
    <d v="2025-09-29T00:00:00"/>
    <x v="20"/>
    <n v="2"/>
    <x v="2"/>
    <x v="2"/>
    <n v="377269.79000000004"/>
    <x v="0"/>
  </r>
  <r>
    <n v="22"/>
    <s v="Vihaan Singh"/>
    <x v="0"/>
    <n v="32"/>
    <x v="2"/>
    <n v="348133.4"/>
    <x v="0"/>
    <n v="277902.34000000003"/>
    <n v="612"/>
    <x v="0"/>
    <s v="MasterCard"/>
    <n v="250501.14"/>
    <n v="138641.4"/>
    <s v="Pending"/>
    <d v="2025-12-30T00:00:00"/>
    <x v="21"/>
    <n v="1"/>
    <x v="2"/>
    <x v="2"/>
    <n v="626035.74"/>
    <x v="0"/>
  </r>
  <r>
    <n v="23"/>
    <s v="Pooja Verma"/>
    <x v="1"/>
    <n v="47"/>
    <x v="2"/>
    <n v="385250.76"/>
    <x v="0"/>
    <n v="6574.08"/>
    <n v="310"/>
    <x v="0"/>
    <s v="Visa"/>
    <n v="430588.02"/>
    <n v="200220.92"/>
    <s v="Rejected"/>
    <d v="2025-02-19T00:00:00"/>
    <x v="22"/>
    <n v="4"/>
    <x v="0"/>
    <x v="0"/>
    <n v="391824.84"/>
    <x v="0"/>
  </r>
  <r>
    <n v="24"/>
    <s v="Rohit Gupta"/>
    <x v="0"/>
    <n v="41"/>
    <x v="5"/>
    <n v="155540.26"/>
    <x v="2"/>
    <n v="163543.94"/>
    <n v="667"/>
    <x v="2"/>
    <s v="RuPay"/>
    <n v="64680.67"/>
    <n v="220263.2"/>
    <s v="Rejected"/>
    <d v="2025-12-09T00:00:00"/>
    <x v="23"/>
    <n v="1"/>
    <x v="2"/>
    <x v="2"/>
    <n v="319084.2"/>
    <x v="0"/>
  </r>
  <r>
    <n v="25"/>
    <s v="Anaya Mehta"/>
    <x v="1"/>
    <n v="43"/>
    <x v="5"/>
    <n v="143417.71"/>
    <x v="2"/>
    <n v="207732.88"/>
    <n v="730"/>
    <x v="3"/>
    <s v="Visa"/>
    <n v="89701.53"/>
    <n v="193977.81"/>
    <s v="Pending"/>
    <d v="2025-08-29T00:00:00"/>
    <x v="24"/>
    <n v="2"/>
    <x v="2"/>
    <x v="2"/>
    <n v="351150.58999999997"/>
    <x v="0"/>
  </r>
  <r>
    <n v="26"/>
    <s v="Diya Sharma"/>
    <x v="1"/>
    <n v="55"/>
    <x v="0"/>
    <n v="210386.15"/>
    <x v="0"/>
    <n v="161596.67000000001"/>
    <n v="732"/>
    <x v="1"/>
    <s v="American Express"/>
    <n v="93489.18"/>
    <n v="32903.949999999997"/>
    <s v="Approved"/>
    <d v="2025-03-26T00:00:00"/>
    <x v="25"/>
    <n v="5"/>
    <x v="2"/>
    <x v="2"/>
    <n v="371982.82"/>
    <x v="0"/>
  </r>
  <r>
    <n v="27"/>
    <s v="Riya Patel"/>
    <x v="1"/>
    <n v="68"/>
    <x v="0"/>
    <n v="155884.51999999999"/>
    <x v="2"/>
    <n v="99775.48"/>
    <n v="704"/>
    <x v="3"/>
    <s v="Discover"/>
    <n v="88173.94"/>
    <n v="95330.03"/>
    <s v="Approved"/>
    <d v="2025-04-03T00:00:00"/>
    <x v="26"/>
    <n v="2"/>
    <x v="2"/>
    <x v="2"/>
    <n v="255660"/>
    <x v="0"/>
  </r>
  <r>
    <n v="28"/>
    <s v="Isha Shah"/>
    <x v="1"/>
    <n v="65"/>
    <x v="0"/>
    <n v="97954.54"/>
    <x v="1"/>
    <n v="93904.66"/>
    <n v="673"/>
    <x v="0"/>
    <s v="RuPay"/>
    <n v="173515.53"/>
    <n v="90242.81"/>
    <s v="Pending"/>
    <d v="2025-08-16T00:00:00"/>
    <x v="27"/>
    <n v="3"/>
    <x v="2"/>
    <x v="2"/>
    <n v="191859.20000000001"/>
    <x v="0"/>
  </r>
  <r>
    <n v="29"/>
    <s v="Kavya Shah"/>
    <x v="1"/>
    <n v="41"/>
    <x v="2"/>
    <n v="450621.36"/>
    <x v="0"/>
    <n v="174582.31"/>
    <n v="786"/>
    <x v="0"/>
    <s v="Discover"/>
    <n v="406689.11"/>
    <n v="114456.27"/>
    <s v="Approved"/>
    <d v="2025-05-20T00:00:00"/>
    <x v="28"/>
    <n v="4"/>
    <x v="2"/>
    <x v="2"/>
    <n v="625203.66999999993"/>
    <x v="0"/>
  </r>
  <r>
    <n v="30"/>
    <s v="Rahul Desai"/>
    <x v="0"/>
    <n v="30"/>
    <x v="2"/>
    <n v="63168.86"/>
    <x v="1"/>
    <n v="68273.39"/>
    <n v="452"/>
    <x v="1"/>
    <s v="Visa"/>
    <n v="164072.92000000001"/>
    <n v="202754.7"/>
    <s v="Approved"/>
    <d v="2025-08-08T00:00:00"/>
    <x v="29"/>
    <n v="1"/>
    <x v="1"/>
    <x v="1"/>
    <n v="131442.25"/>
    <x v="0"/>
  </r>
  <r>
    <n v="31"/>
    <s v="Priya Shah"/>
    <x v="1"/>
    <n v="57"/>
    <x v="3"/>
    <n v="493662.28"/>
    <x v="0"/>
    <n v="174688.78"/>
    <n v="820"/>
    <x v="0"/>
    <s v="American Express"/>
    <n v="388830"/>
    <n v="98030.11"/>
    <s v="Approved"/>
    <d v="2025-07-17T00:00:00"/>
    <x v="30"/>
    <n v="2"/>
    <x v="2"/>
    <x v="2"/>
    <n v="668351.06000000006"/>
    <x v="0"/>
  </r>
  <r>
    <n v="32"/>
    <s v="Jay Shah"/>
    <x v="0"/>
    <n v="32"/>
    <x v="3"/>
    <n v="86052.46"/>
    <x v="1"/>
    <n v="40103.78"/>
    <n v="539"/>
    <x v="3"/>
    <s v="American Express"/>
    <n v="156470.94"/>
    <n v="208164.53"/>
    <s v="Rejected"/>
    <d v="2025-04-20T00:00:00"/>
    <x v="31"/>
    <n v="4"/>
    <x v="1"/>
    <x v="1"/>
    <n v="126156.24"/>
    <x v="0"/>
  </r>
  <r>
    <n v="33"/>
    <s v="Manav Sharma"/>
    <x v="0"/>
    <n v="37"/>
    <x v="3"/>
    <n v="442353.8"/>
    <x v="0"/>
    <n v="261787.34"/>
    <n v="652"/>
    <x v="0"/>
    <s v="Discover"/>
    <n v="284509.17"/>
    <n v="55988.03"/>
    <s v="Approved"/>
    <d v="2025-05-07T00:00:00"/>
    <x v="32"/>
    <n v="4"/>
    <x v="2"/>
    <x v="2"/>
    <n v="704141.14"/>
    <x v="0"/>
  </r>
  <r>
    <n v="34"/>
    <s v="Karan Joshi"/>
    <x v="0"/>
    <n v="20"/>
    <x v="1"/>
    <n v="295445.40000000002"/>
    <x v="0"/>
    <n v="274166.88"/>
    <n v="389"/>
    <x v="0"/>
    <s v="MasterCard"/>
    <n v="159446.93"/>
    <n v="208554.03"/>
    <s v="Rejected"/>
    <d v="2025-04-13T00:00:00"/>
    <x v="33"/>
    <n v="3"/>
    <x v="0"/>
    <x v="0"/>
    <n v="569612.28"/>
    <x v="0"/>
  </r>
  <r>
    <n v="35"/>
    <s v="Aditya Gupta"/>
    <x v="0"/>
    <n v="69"/>
    <x v="1"/>
    <n v="222599.57"/>
    <x v="0"/>
    <n v="1289.3499999999999"/>
    <n v="868"/>
    <x v="1"/>
    <s v="Discover"/>
    <n v="392046.59"/>
    <n v="227236.61"/>
    <s v="Pending"/>
    <d v="2025-11-14T00:00:00"/>
    <x v="34"/>
    <n v="3"/>
    <x v="2"/>
    <x v="2"/>
    <n v="223888.92"/>
    <x v="0"/>
  </r>
  <r>
    <n v="36"/>
    <s v="Priya Trivedi"/>
    <x v="1"/>
    <n v="22"/>
    <x v="0"/>
    <n v="191784.07"/>
    <x v="2"/>
    <n v="196735.17"/>
    <n v="470"/>
    <x v="2"/>
    <s v="Visa"/>
    <n v="83912.4"/>
    <n v="84765.21"/>
    <s v="Approved"/>
    <d v="2025-10-15T00:00:00"/>
    <x v="35"/>
    <n v="1"/>
    <x v="1"/>
    <x v="1"/>
    <n v="388519.24"/>
    <x v="0"/>
  </r>
  <r>
    <n v="37"/>
    <s v="Arjun Mehta"/>
    <x v="0"/>
    <n v="58"/>
    <x v="5"/>
    <n v="314210.12"/>
    <x v="0"/>
    <n v="186337.1"/>
    <n v="784"/>
    <x v="4"/>
    <s v="MasterCard"/>
    <n v="277928.61"/>
    <n v="108206.75"/>
    <s v="Approved"/>
    <d v="2025-04-30T00:00:00"/>
    <x v="2"/>
    <n v="3"/>
    <x v="2"/>
    <x v="2"/>
    <n v="500547.22"/>
    <x v="0"/>
  </r>
  <r>
    <n v="38"/>
    <s v="Rohit Desai"/>
    <x v="0"/>
    <n v="22"/>
    <x v="4"/>
    <n v="130728.88"/>
    <x v="2"/>
    <n v="18150.54"/>
    <n v="487"/>
    <x v="3"/>
    <s v="RuPay"/>
    <n v="311042.46999999997"/>
    <n v="167829.45"/>
    <s v="Approved"/>
    <d v="2025-11-16T00:00:00"/>
    <x v="36"/>
    <n v="5"/>
    <x v="1"/>
    <x v="1"/>
    <n v="148879.42000000001"/>
    <x v="0"/>
  </r>
  <r>
    <n v="39"/>
    <s v="Karan Shah"/>
    <x v="0"/>
    <n v="33"/>
    <x v="1"/>
    <n v="125978.92"/>
    <x v="2"/>
    <n v="290847.28000000003"/>
    <n v="455"/>
    <x v="4"/>
    <s v="Visa"/>
    <n v="14461.45"/>
    <n v="100256.65"/>
    <s v="Rejected"/>
    <d v="2025-02-20T00:00:00"/>
    <x v="37"/>
    <n v="2"/>
    <x v="1"/>
    <x v="1"/>
    <n v="416826.2"/>
    <x v="0"/>
  </r>
  <r>
    <n v="40"/>
    <s v="Rohit Gupta"/>
    <x v="0"/>
    <n v="19"/>
    <x v="0"/>
    <n v="310194.64"/>
    <x v="0"/>
    <n v="163731.57999999999"/>
    <n v="787"/>
    <x v="2"/>
    <s v="Visa"/>
    <n v="260418.66"/>
    <n v="235946.63"/>
    <s v="Approved"/>
    <d v="2025-05-12T00:00:00"/>
    <x v="38"/>
    <n v="4"/>
    <x v="2"/>
    <x v="2"/>
    <n v="473926.22"/>
    <x v="0"/>
  </r>
  <r>
    <n v="41"/>
    <s v="Meera Mehta"/>
    <x v="1"/>
    <n v="24"/>
    <x v="3"/>
    <n v="276891.09999999998"/>
    <x v="0"/>
    <n v="189308.32"/>
    <n v="882"/>
    <x v="2"/>
    <s v="Discover"/>
    <n v="139281.76"/>
    <n v="104242.92"/>
    <s v="Rejected"/>
    <d v="2025-01-18T00:00:00"/>
    <x v="39"/>
    <n v="1"/>
    <x v="2"/>
    <x v="2"/>
    <n v="466199.42"/>
    <x v="0"/>
  </r>
  <r>
    <n v="42"/>
    <s v="Aarav Mehta"/>
    <x v="0"/>
    <n v="69"/>
    <x v="0"/>
    <n v="206186.36"/>
    <x v="0"/>
    <n v="208572.18"/>
    <n v="594"/>
    <x v="1"/>
    <s v="Visa"/>
    <n v="184699.31"/>
    <n v="132163.98000000001"/>
    <s v="Approved"/>
    <d v="2025-05-26T00:00:00"/>
    <x v="40"/>
    <n v="4"/>
    <x v="1"/>
    <x v="1"/>
    <n v="414758.54"/>
    <x v="0"/>
  </r>
  <r>
    <n v="43"/>
    <s v="Anaya Sharma"/>
    <x v="1"/>
    <n v="35"/>
    <x v="3"/>
    <n v="237555.65"/>
    <x v="0"/>
    <n v="59435.040000000001"/>
    <n v="379"/>
    <x v="0"/>
    <s v="MasterCard"/>
    <n v="262148.90999999997"/>
    <n v="67154"/>
    <s v="Pending"/>
    <d v="2025-01-09T00:00:00"/>
    <x v="41"/>
    <n v="5"/>
    <x v="0"/>
    <x v="0"/>
    <n v="296990.69"/>
    <x v="0"/>
  </r>
  <r>
    <n v="44"/>
    <s v="Nisha Shah"/>
    <x v="1"/>
    <n v="39"/>
    <x v="3"/>
    <n v="316173.89"/>
    <x v="0"/>
    <n v="35958.050000000003"/>
    <n v="550"/>
    <x v="4"/>
    <s v="Visa"/>
    <n v="403852.56"/>
    <n v="114261.98"/>
    <s v="Rejected"/>
    <d v="2025-03-28T00:00:00"/>
    <x v="42"/>
    <n v="1"/>
    <x v="1"/>
    <x v="1"/>
    <n v="352131.94"/>
    <x v="0"/>
  </r>
  <r>
    <n v="45"/>
    <s v="Manav Gupta"/>
    <x v="0"/>
    <n v="62"/>
    <x v="1"/>
    <n v="122931.06"/>
    <x v="2"/>
    <n v="180311.16"/>
    <n v="830"/>
    <x v="4"/>
    <s v="RuPay"/>
    <n v="132212.68"/>
    <n v="143931.07"/>
    <s v="Pending"/>
    <d v="2025-08-05T00:00:00"/>
    <x v="43"/>
    <n v="5"/>
    <x v="2"/>
    <x v="2"/>
    <n v="303242.21999999997"/>
    <x v="0"/>
  </r>
  <r>
    <n v="46"/>
    <s v="Vihaan Gupta"/>
    <x v="0"/>
    <n v="31"/>
    <x v="3"/>
    <n v="496397.17"/>
    <x v="0"/>
    <n v="53059.09"/>
    <n v="438"/>
    <x v="1"/>
    <s v="Visa"/>
    <n v="582353.34"/>
    <n v="174782.4"/>
    <s v="Approved"/>
    <d v="2025-10-25T00:00:00"/>
    <x v="36"/>
    <n v="2"/>
    <x v="1"/>
    <x v="1"/>
    <n v="549456.26"/>
    <x v="0"/>
  </r>
  <r>
    <n v="47"/>
    <s v="Jay Shah"/>
    <x v="0"/>
    <n v="34"/>
    <x v="0"/>
    <n v="264178.48"/>
    <x v="0"/>
    <n v="119210.55"/>
    <n v="643"/>
    <x v="4"/>
    <s v="Visa"/>
    <n v="340057.53"/>
    <n v="133574.01"/>
    <s v="Approved"/>
    <d v="2025-02-11T00:00:00"/>
    <x v="44"/>
    <n v="3"/>
    <x v="2"/>
    <x v="2"/>
    <n v="383389.02999999997"/>
    <x v="0"/>
  </r>
  <r>
    <n v="48"/>
    <s v="Priya Mehta"/>
    <x v="1"/>
    <n v="40"/>
    <x v="2"/>
    <n v="66805.39"/>
    <x v="1"/>
    <n v="277279.5"/>
    <n v="336"/>
    <x v="0"/>
    <s v="Visa"/>
    <n v="-38180.050000000003"/>
    <n v="58066.83"/>
    <s v="Pending"/>
    <d v="2025-08-18T00:00:00"/>
    <x v="45"/>
    <n v="3"/>
    <x v="0"/>
    <x v="0"/>
    <n v="344084.89"/>
    <x v="0"/>
  </r>
  <r>
    <n v="49"/>
    <s v="Kavya Verma"/>
    <x v="1"/>
    <n v="50"/>
    <x v="0"/>
    <n v="220078.06"/>
    <x v="0"/>
    <n v="152153.81"/>
    <n v="568"/>
    <x v="3"/>
    <s v="MasterCard"/>
    <n v="179905.8"/>
    <n v="175441.26"/>
    <s v="Pending"/>
    <d v="2025-08-31T00:00:00"/>
    <x v="46"/>
    <n v="1"/>
    <x v="1"/>
    <x v="1"/>
    <n v="372231.87"/>
    <x v="0"/>
  </r>
  <r>
    <n v="50"/>
    <s v="Rahul Mehta"/>
    <x v="0"/>
    <n v="22"/>
    <x v="3"/>
    <n v="232206.71"/>
    <x v="0"/>
    <n v="212331.19"/>
    <n v="806"/>
    <x v="2"/>
    <s v="Visa"/>
    <n v="213473.53"/>
    <n v="52055.1"/>
    <s v="Pending"/>
    <d v="2025-01-18T00:00:00"/>
    <x v="47"/>
    <n v="1"/>
    <x v="2"/>
    <x v="2"/>
    <n v="444537.9"/>
    <x v="0"/>
  </r>
  <r>
    <n v="51"/>
    <s v="Diya Patel"/>
    <x v="1"/>
    <n v="54"/>
    <x v="4"/>
    <n v="423505.88"/>
    <x v="0"/>
    <n v="216904.11"/>
    <n v="548"/>
    <x v="4"/>
    <s v="Discover"/>
    <n v="400023.12"/>
    <n v="133166.45000000001"/>
    <s v="Pending"/>
    <d v="2025-06-11T00:00:00"/>
    <x v="48"/>
    <n v="2"/>
    <x v="1"/>
    <x v="1"/>
    <n v="640409.99"/>
    <x v="0"/>
  </r>
  <r>
    <n v="52"/>
    <s v="Diya Desai"/>
    <x v="1"/>
    <n v="18"/>
    <x v="0"/>
    <n v="303816.53999999998"/>
    <x v="0"/>
    <n v="188879.08"/>
    <n v="491"/>
    <x v="4"/>
    <s v="American Express"/>
    <n v="177228.54"/>
    <n v="206488.65"/>
    <s v="Approved"/>
    <d v="2025-07-26T00:00:00"/>
    <x v="49"/>
    <n v="4"/>
    <x v="1"/>
    <x v="1"/>
    <n v="492695.62"/>
    <x v="0"/>
  </r>
  <r>
    <n v="53"/>
    <s v="Anaya Desai"/>
    <x v="1"/>
    <n v="19"/>
    <x v="1"/>
    <n v="157476.19"/>
    <x v="2"/>
    <n v="277287.81"/>
    <n v="653"/>
    <x v="4"/>
    <s v="Visa"/>
    <n v="-49517.14"/>
    <n v="225471.43"/>
    <s v="Approved"/>
    <d v="2025-11-04T00:00:00"/>
    <x v="50"/>
    <n v="1"/>
    <x v="2"/>
    <x v="2"/>
    <n v="434764"/>
    <x v="0"/>
  </r>
  <r>
    <n v="54"/>
    <s v="Kavya Joshi"/>
    <x v="1"/>
    <n v="34"/>
    <x v="4"/>
    <n v="44797.35"/>
    <x v="1"/>
    <n v="223579.51"/>
    <n v="697"/>
    <x v="0"/>
    <s v="Visa"/>
    <n v="3554.45"/>
    <n v="244943.88"/>
    <s v="Rejected"/>
    <d v="2025-09-17T00:00:00"/>
    <x v="51"/>
    <n v="1"/>
    <x v="2"/>
    <x v="2"/>
    <n v="268376.86"/>
    <x v="0"/>
  </r>
  <r>
    <n v="55"/>
    <s v="Riya Gupta"/>
    <x v="1"/>
    <n v="36"/>
    <x v="1"/>
    <n v="464306.04"/>
    <x v="0"/>
    <n v="246545.51"/>
    <n v="402"/>
    <x v="1"/>
    <s v="RuPay"/>
    <n v="261156.53"/>
    <n v="34272.550000000003"/>
    <s v="Approved"/>
    <d v="2025-01-29T00:00:00"/>
    <x v="18"/>
    <n v="1"/>
    <x v="1"/>
    <x v="1"/>
    <n v="710851.55"/>
    <x v="0"/>
  </r>
  <r>
    <n v="56"/>
    <s v="Vihaan Joshi"/>
    <x v="0"/>
    <n v="32"/>
    <x v="0"/>
    <n v="219528.94"/>
    <x v="0"/>
    <n v="6473.7"/>
    <n v="554"/>
    <x v="3"/>
    <s v="MasterCard"/>
    <n v="371440.7"/>
    <n v="174409.48"/>
    <s v="Rejected"/>
    <d v="2025-06-25T00:00:00"/>
    <x v="52"/>
    <n v="5"/>
    <x v="1"/>
    <x v="1"/>
    <n v="226002.64"/>
    <x v="0"/>
  </r>
  <r>
    <n v="57"/>
    <s v="Rohit Verma"/>
    <x v="0"/>
    <n v="22"/>
    <x v="5"/>
    <n v="129374.61"/>
    <x v="2"/>
    <n v="187652.21"/>
    <n v="776"/>
    <x v="1"/>
    <s v="Discover"/>
    <n v="11451.69"/>
    <n v="227905.48"/>
    <s v="Approved"/>
    <d v="2025-09-11T00:00:00"/>
    <x v="53"/>
    <n v="2"/>
    <x v="2"/>
    <x v="2"/>
    <n v="317026.82"/>
    <x v="0"/>
  </r>
  <r>
    <n v="58"/>
    <s v="Priya Shah"/>
    <x v="1"/>
    <n v="30"/>
    <x v="1"/>
    <n v="302024.57"/>
    <x v="0"/>
    <n v="234714.46"/>
    <n v="885"/>
    <x v="1"/>
    <s v="Discover"/>
    <n v="85367.99"/>
    <n v="140816.06"/>
    <s v="Pending"/>
    <d v="2025-10-17T00:00:00"/>
    <x v="54"/>
    <n v="3"/>
    <x v="2"/>
    <x v="2"/>
    <n v="536739.03"/>
    <x v="0"/>
  </r>
  <r>
    <n v="59"/>
    <s v="Nisha Shah"/>
    <x v="1"/>
    <n v="62"/>
    <x v="5"/>
    <n v="497877.4"/>
    <x v="0"/>
    <n v="178382.38"/>
    <n v="596"/>
    <x v="2"/>
    <s v="American Express"/>
    <n v="517811.35"/>
    <n v="92210.17"/>
    <s v="Rejected"/>
    <d v="2025-07-15T00:00:00"/>
    <x v="55"/>
    <n v="1"/>
    <x v="1"/>
    <x v="1"/>
    <n v="676259.78"/>
    <x v="0"/>
  </r>
  <r>
    <n v="60"/>
    <s v="Pooja Joshi"/>
    <x v="1"/>
    <n v="38"/>
    <x v="4"/>
    <n v="105361.7"/>
    <x v="2"/>
    <n v="73482.33"/>
    <n v="607"/>
    <x v="4"/>
    <s v="MasterCard"/>
    <n v="217976.68"/>
    <n v="197162.33"/>
    <s v="Rejected"/>
    <d v="2025-11-03T00:00:00"/>
    <x v="38"/>
    <n v="3"/>
    <x v="2"/>
    <x v="2"/>
    <n v="178844.03"/>
    <x v="0"/>
  </r>
  <r>
    <n v="61"/>
    <s v="Diya Gupta"/>
    <x v="1"/>
    <n v="53"/>
    <x v="1"/>
    <n v="18861"/>
    <x v="1"/>
    <n v="46696.55"/>
    <n v="867"/>
    <x v="2"/>
    <s v="Visa"/>
    <n v="-15605.42"/>
    <n v="111583.07"/>
    <s v="Rejected"/>
    <d v="2025-11-08T00:00:00"/>
    <x v="56"/>
    <n v="3"/>
    <x v="2"/>
    <x v="2"/>
    <n v="65557.55"/>
    <x v="0"/>
  </r>
  <r>
    <n v="62"/>
    <s v="Arjun Trivedi"/>
    <x v="0"/>
    <n v="39"/>
    <x v="1"/>
    <n v="282404.39"/>
    <x v="0"/>
    <n v="258425.98"/>
    <n v="827"/>
    <x v="3"/>
    <s v="Discover"/>
    <n v="86012.25"/>
    <n v="249584.32"/>
    <s v="Rejected"/>
    <d v="2025-03-22T00:00:00"/>
    <x v="57"/>
    <n v="3"/>
    <x v="2"/>
    <x v="2"/>
    <n v="540830.37"/>
    <x v="0"/>
  </r>
  <r>
    <n v="63"/>
    <s v="Priya Sharma"/>
    <x v="1"/>
    <n v="20"/>
    <x v="2"/>
    <n v="413181.44"/>
    <x v="0"/>
    <n v="226548.75"/>
    <n v="601"/>
    <x v="0"/>
    <s v="MasterCard"/>
    <n v="207530.29"/>
    <n v="178199.88"/>
    <s v="Rejected"/>
    <d v="2025-05-03T00:00:00"/>
    <x v="58"/>
    <n v="1"/>
    <x v="2"/>
    <x v="2"/>
    <n v="639730.18999999994"/>
    <x v="0"/>
  </r>
  <r>
    <n v="64"/>
    <s v="Yash Mehta"/>
    <x v="0"/>
    <n v="45"/>
    <x v="0"/>
    <n v="212618.13"/>
    <x v="0"/>
    <n v="95946.22"/>
    <n v="809"/>
    <x v="3"/>
    <s v="Discover"/>
    <n v="250425.66"/>
    <n v="76196.92"/>
    <s v="Rejected"/>
    <d v="2025-02-02T00:00:00"/>
    <x v="5"/>
    <n v="4"/>
    <x v="2"/>
    <x v="2"/>
    <n v="308564.34999999998"/>
    <x v="0"/>
  </r>
  <r>
    <n v="65"/>
    <s v="Kavya Joshi"/>
    <x v="1"/>
    <n v="61"/>
    <x v="2"/>
    <n v="491319.61"/>
    <x v="0"/>
    <n v="239655.64"/>
    <n v="562"/>
    <x v="3"/>
    <s v="MasterCard"/>
    <n v="417867.43"/>
    <n v="203494.78"/>
    <s v="Pending"/>
    <d v="2025-05-31T00:00:00"/>
    <x v="59"/>
    <n v="1"/>
    <x v="1"/>
    <x v="1"/>
    <n v="730975.25"/>
    <x v="0"/>
  </r>
  <r>
    <n v="66"/>
    <s v="Arjun Desai"/>
    <x v="0"/>
    <n v="69"/>
    <x v="2"/>
    <n v="119497.24"/>
    <x v="2"/>
    <n v="117525.75"/>
    <n v="390"/>
    <x v="4"/>
    <s v="RuPay"/>
    <n v="46228.08"/>
    <n v="130872.07"/>
    <s v="Rejected"/>
    <d v="2025-06-06T00:00:00"/>
    <x v="60"/>
    <n v="5"/>
    <x v="0"/>
    <x v="0"/>
    <n v="237022.99"/>
    <x v="1"/>
  </r>
  <r>
    <n v="67"/>
    <s v="Karan Trivedi"/>
    <x v="0"/>
    <n v="54"/>
    <x v="3"/>
    <n v="441674.74"/>
    <x v="0"/>
    <n v="88821.8"/>
    <n v="651"/>
    <x v="3"/>
    <s v="American Express"/>
    <n v="495356.01"/>
    <n v="217499"/>
    <s v="Approved"/>
    <d v="2025-07-21T00:00:00"/>
    <x v="61"/>
    <n v="2"/>
    <x v="2"/>
    <x v="2"/>
    <n v="530496.54"/>
    <x v="0"/>
  </r>
  <r>
    <n v="68"/>
    <s v="Aarav Trivedi"/>
    <x v="0"/>
    <n v="67"/>
    <x v="1"/>
    <n v="162314.06"/>
    <x v="2"/>
    <n v="67727.850000000006"/>
    <n v="312"/>
    <x v="3"/>
    <s v="American Express"/>
    <n v="132796.45000000001"/>
    <n v="119691.55"/>
    <s v="Approved"/>
    <d v="2025-09-04T00:00:00"/>
    <x v="37"/>
    <n v="5"/>
    <x v="0"/>
    <x v="0"/>
    <n v="230041.91"/>
    <x v="0"/>
  </r>
  <r>
    <n v="69"/>
    <s v="Isha Sharma"/>
    <x v="1"/>
    <n v="49"/>
    <x v="2"/>
    <n v="183635.75"/>
    <x v="2"/>
    <n v="167243.54"/>
    <n v="440"/>
    <x v="3"/>
    <s v="MasterCard"/>
    <n v="202629.31"/>
    <n v="41642.93"/>
    <s v="Pending"/>
    <d v="2025-02-10T00:00:00"/>
    <x v="62"/>
    <n v="1"/>
    <x v="1"/>
    <x v="1"/>
    <n v="350879.29000000004"/>
    <x v="0"/>
  </r>
  <r>
    <n v="70"/>
    <s v="Arjun Shah"/>
    <x v="0"/>
    <n v="42"/>
    <x v="1"/>
    <n v="101078.65"/>
    <x v="2"/>
    <n v="63820.959999999999"/>
    <n v="821"/>
    <x v="4"/>
    <s v="Visa"/>
    <n v="153523.69"/>
    <n v="236047.35999999999"/>
    <s v="Approved"/>
    <d v="2025-02-01T00:00:00"/>
    <x v="63"/>
    <n v="1"/>
    <x v="2"/>
    <x v="2"/>
    <n v="164899.60999999999"/>
    <x v="0"/>
  </r>
  <r>
    <n v="71"/>
    <s v="Manav Verma"/>
    <x v="0"/>
    <n v="59"/>
    <x v="3"/>
    <n v="222097.97"/>
    <x v="0"/>
    <n v="161669.17000000001"/>
    <n v="884"/>
    <x v="3"/>
    <s v="Visa"/>
    <n v="138071.09"/>
    <n v="39301.199999999997"/>
    <s v="Pending"/>
    <d v="2025-01-16T00:00:00"/>
    <x v="64"/>
    <n v="2"/>
    <x v="2"/>
    <x v="2"/>
    <n v="383767.14"/>
    <x v="0"/>
  </r>
  <r>
    <n v="72"/>
    <s v="Riya Mehta"/>
    <x v="1"/>
    <n v="18"/>
    <x v="1"/>
    <n v="366175.3"/>
    <x v="0"/>
    <n v="191687.06"/>
    <n v="355"/>
    <x v="0"/>
    <s v="MasterCard"/>
    <n v="360021.29"/>
    <n v="114482.05"/>
    <s v="Pending"/>
    <d v="2025-01-17T00:00:00"/>
    <x v="33"/>
    <n v="1"/>
    <x v="0"/>
    <x v="0"/>
    <n v="557862.36"/>
    <x v="0"/>
  </r>
  <r>
    <n v="73"/>
    <s v="Meera Sharma"/>
    <x v="1"/>
    <n v="27"/>
    <x v="2"/>
    <n v="271000.13"/>
    <x v="0"/>
    <n v="234449.06"/>
    <n v="701"/>
    <x v="1"/>
    <s v="MasterCard"/>
    <n v="200461.83"/>
    <n v="61566.44"/>
    <s v="Rejected"/>
    <d v="2025-05-22T00:00:00"/>
    <x v="65"/>
    <n v="1"/>
    <x v="2"/>
    <x v="2"/>
    <n v="505449.19"/>
    <x v="0"/>
  </r>
  <r>
    <n v="74"/>
    <s v="Rahul Sharma"/>
    <x v="0"/>
    <n v="34"/>
    <x v="0"/>
    <n v="12371.44"/>
    <x v="1"/>
    <n v="250411.27"/>
    <n v="706"/>
    <x v="2"/>
    <s v="Visa"/>
    <n v="-192680.28"/>
    <n v="55547.44"/>
    <s v="Approved"/>
    <d v="2025-06-17T00:00:00"/>
    <x v="66"/>
    <n v="3"/>
    <x v="2"/>
    <x v="2"/>
    <n v="262782.70999999996"/>
    <x v="1"/>
  </r>
  <r>
    <n v="75"/>
    <s v="Kavya Trivedi"/>
    <x v="1"/>
    <n v="19"/>
    <x v="4"/>
    <n v="454143.86"/>
    <x v="0"/>
    <n v="191675.23"/>
    <n v="722"/>
    <x v="0"/>
    <s v="RuPay"/>
    <n v="428247.19"/>
    <n v="15547.98"/>
    <s v="Approved"/>
    <d v="2025-04-13T00:00:00"/>
    <x v="67"/>
    <n v="4"/>
    <x v="2"/>
    <x v="2"/>
    <n v="645819.09"/>
    <x v="0"/>
  </r>
  <r>
    <n v="76"/>
    <s v="Arjun Patel"/>
    <x v="0"/>
    <n v="67"/>
    <x v="3"/>
    <n v="185761.33"/>
    <x v="2"/>
    <n v="264304.48"/>
    <n v="470"/>
    <x v="1"/>
    <s v="MasterCard"/>
    <n v="-24080.22"/>
    <n v="208166.23"/>
    <s v="Approved"/>
    <d v="2025-05-20T00:00:00"/>
    <x v="68"/>
    <n v="3"/>
    <x v="1"/>
    <x v="1"/>
    <n v="450065.80999999994"/>
    <x v="0"/>
  </r>
  <r>
    <n v="77"/>
    <s v="Rohit Trivedi"/>
    <x v="0"/>
    <n v="26"/>
    <x v="1"/>
    <n v="495138.68"/>
    <x v="0"/>
    <n v="66594.33"/>
    <n v="397"/>
    <x v="2"/>
    <s v="Discover"/>
    <n v="561508.30000000005"/>
    <n v="148073.03"/>
    <s v="Pending"/>
    <d v="2025-08-07T00:00:00"/>
    <x v="69"/>
    <n v="1"/>
    <x v="0"/>
    <x v="0"/>
    <n v="561733.01"/>
    <x v="0"/>
  </r>
  <r>
    <n v="78"/>
    <s v="Diya Joshi"/>
    <x v="1"/>
    <n v="29"/>
    <x v="0"/>
    <n v="421379.25"/>
    <x v="0"/>
    <n v="201476.28"/>
    <n v="421"/>
    <x v="3"/>
    <s v="Discover"/>
    <n v="400908.68"/>
    <n v="174521.64"/>
    <s v="Approved"/>
    <d v="2025-12-19T00:00:00"/>
    <x v="70"/>
    <n v="3"/>
    <x v="1"/>
    <x v="1"/>
    <n v="622855.53"/>
    <x v="0"/>
  </r>
  <r>
    <n v="79"/>
    <s v="Riya Verma"/>
    <x v="1"/>
    <n v="49"/>
    <x v="2"/>
    <n v="40043.11"/>
    <x v="1"/>
    <n v="107759.02"/>
    <n v="796"/>
    <x v="2"/>
    <s v="RuPay"/>
    <n v="93332.58"/>
    <n v="213823.01"/>
    <s v="Approved"/>
    <d v="2025-11-29T00:00:00"/>
    <x v="71"/>
    <n v="4"/>
    <x v="2"/>
    <x v="2"/>
    <n v="147802.13"/>
    <x v="0"/>
  </r>
  <r>
    <n v="80"/>
    <s v="Priya Mehta"/>
    <x v="1"/>
    <n v="34"/>
    <x v="1"/>
    <n v="216150.71"/>
    <x v="0"/>
    <n v="55531.33"/>
    <n v="581"/>
    <x v="2"/>
    <s v="Visa"/>
    <n v="348838.86"/>
    <n v="222918.46"/>
    <s v="Approved"/>
    <d v="2025-04-04T00:00:00"/>
    <x v="72"/>
    <n v="3"/>
    <x v="1"/>
    <x v="1"/>
    <n v="271682.03999999998"/>
    <x v="1"/>
  </r>
  <r>
    <n v="81"/>
    <s v="Sneha Singh"/>
    <x v="1"/>
    <n v="45"/>
    <x v="4"/>
    <n v="53296.45"/>
    <x v="1"/>
    <n v="163827.03"/>
    <n v="782"/>
    <x v="1"/>
    <s v="Visa"/>
    <n v="-102818.81"/>
    <n v="165084.93"/>
    <s v="Rejected"/>
    <d v="2025-12-26T00:00:00"/>
    <x v="51"/>
    <n v="5"/>
    <x v="2"/>
    <x v="2"/>
    <n v="217123.47999999998"/>
    <x v="1"/>
  </r>
  <r>
    <n v="82"/>
    <s v="Nisha Desai"/>
    <x v="1"/>
    <n v="48"/>
    <x v="1"/>
    <n v="477023.64"/>
    <x v="0"/>
    <n v="226114.43"/>
    <n v="860"/>
    <x v="0"/>
    <s v="RuPay"/>
    <n v="318973.49"/>
    <n v="186861.64"/>
    <s v="Rejected"/>
    <d v="2025-08-15T00:00:00"/>
    <x v="25"/>
    <n v="4"/>
    <x v="2"/>
    <x v="2"/>
    <n v="703138.07000000007"/>
    <x v="0"/>
  </r>
  <r>
    <n v="83"/>
    <s v="Anaya Shah"/>
    <x v="1"/>
    <n v="35"/>
    <x v="1"/>
    <n v="293134.31"/>
    <x v="0"/>
    <n v="297012.73"/>
    <n v="802"/>
    <x v="2"/>
    <s v="MasterCard"/>
    <n v="123025.98"/>
    <n v="54906.36"/>
    <s v="Approved"/>
    <d v="2025-10-06T00:00:00"/>
    <x v="73"/>
    <n v="4"/>
    <x v="2"/>
    <x v="2"/>
    <n v="590147.04"/>
    <x v="0"/>
  </r>
  <r>
    <n v="84"/>
    <s v="Meera Trivedi"/>
    <x v="1"/>
    <n v="41"/>
    <x v="0"/>
    <n v="147798.74"/>
    <x v="2"/>
    <n v="90174.93"/>
    <n v="341"/>
    <x v="2"/>
    <s v="Visa"/>
    <n v="224423.72"/>
    <n v="67851.509999999995"/>
    <s v="Approved"/>
    <d v="2025-12-05T00:00:00"/>
    <x v="42"/>
    <n v="3"/>
    <x v="0"/>
    <x v="0"/>
    <n v="237973.66999999998"/>
    <x v="0"/>
  </r>
  <r>
    <n v="85"/>
    <s v="Diya Gupta"/>
    <x v="1"/>
    <n v="70"/>
    <x v="0"/>
    <n v="433685.09"/>
    <x v="0"/>
    <n v="298858.90000000002"/>
    <n v="370"/>
    <x v="3"/>
    <s v="American Express"/>
    <n v="308876.81"/>
    <n v="215597.22"/>
    <s v="Approved"/>
    <d v="2025-12-13T00:00:00"/>
    <x v="74"/>
    <n v="4"/>
    <x v="0"/>
    <x v="0"/>
    <n v="732543.99"/>
    <x v="0"/>
  </r>
  <r>
    <n v="86"/>
    <s v="Jay Gupta"/>
    <x v="0"/>
    <n v="49"/>
    <x v="5"/>
    <n v="328384.40999999997"/>
    <x v="0"/>
    <n v="275278.64"/>
    <n v="502"/>
    <x v="1"/>
    <s v="RuPay"/>
    <n v="240552.6"/>
    <n v="71112.990000000005"/>
    <s v="Pending"/>
    <d v="2025-12-20T00:00:00"/>
    <x v="75"/>
    <n v="2"/>
    <x v="1"/>
    <x v="1"/>
    <n v="603663.05000000005"/>
    <x v="1"/>
  </r>
  <r>
    <n v="87"/>
    <s v="Nisha Shah"/>
    <x v="1"/>
    <n v="70"/>
    <x v="4"/>
    <n v="291783.77"/>
    <x v="0"/>
    <n v="102319.61"/>
    <n v="862"/>
    <x v="4"/>
    <s v="Visa"/>
    <n v="280366.38"/>
    <n v="47031.91"/>
    <s v="Pending"/>
    <d v="2025-07-27T00:00:00"/>
    <x v="59"/>
    <n v="1"/>
    <x v="2"/>
    <x v="2"/>
    <n v="394103.38"/>
    <x v="0"/>
  </r>
  <r>
    <n v="88"/>
    <s v="Manav Singh"/>
    <x v="0"/>
    <n v="42"/>
    <x v="4"/>
    <n v="343295.85"/>
    <x v="0"/>
    <n v="122318.99"/>
    <n v="836"/>
    <x v="1"/>
    <s v="RuPay"/>
    <n v="311147.33"/>
    <n v="205068.28"/>
    <s v="Pending"/>
    <d v="2025-05-29T00:00:00"/>
    <x v="53"/>
    <n v="3"/>
    <x v="2"/>
    <x v="2"/>
    <n v="465614.83999999997"/>
    <x v="0"/>
  </r>
  <r>
    <n v="89"/>
    <s v="Meera Gupta"/>
    <x v="1"/>
    <n v="51"/>
    <x v="0"/>
    <n v="431797.99"/>
    <x v="0"/>
    <n v="286982.93"/>
    <n v="742"/>
    <x v="2"/>
    <s v="Visa"/>
    <n v="170822.27"/>
    <n v="125428.97"/>
    <s v="Approved"/>
    <d v="2025-11-04T00:00:00"/>
    <x v="76"/>
    <n v="1"/>
    <x v="2"/>
    <x v="2"/>
    <n v="718780.91999999993"/>
    <x v="1"/>
  </r>
  <r>
    <n v="90"/>
    <s v="Rohit Gupta"/>
    <x v="0"/>
    <n v="58"/>
    <x v="2"/>
    <n v="327761.75"/>
    <x v="0"/>
    <n v="151771.03"/>
    <n v="321"/>
    <x v="1"/>
    <s v="Visa"/>
    <n v="265807.08"/>
    <n v="195689.15"/>
    <s v="Approved"/>
    <d v="2025-02-02T00:00:00"/>
    <x v="77"/>
    <n v="1"/>
    <x v="0"/>
    <x v="0"/>
    <n v="479532.78"/>
    <x v="0"/>
  </r>
  <r>
    <n v="91"/>
    <s v="Diya Verma"/>
    <x v="1"/>
    <n v="20"/>
    <x v="3"/>
    <n v="1570.28"/>
    <x v="1"/>
    <n v="47030.06"/>
    <n v="363"/>
    <x v="2"/>
    <s v="American Express"/>
    <n v="87738.75"/>
    <n v="138635.46"/>
    <s v="Rejected"/>
    <d v="2025-12-08T00:00:00"/>
    <x v="78"/>
    <n v="2"/>
    <x v="0"/>
    <x v="0"/>
    <n v="48600.34"/>
    <x v="0"/>
  </r>
  <r>
    <n v="92"/>
    <s v="Isha Trivedi"/>
    <x v="1"/>
    <n v="62"/>
    <x v="2"/>
    <n v="455766.4"/>
    <x v="0"/>
    <n v="19891.21"/>
    <n v="858"/>
    <x v="1"/>
    <s v="Discover"/>
    <n v="633015.55000000005"/>
    <n v="226891.63"/>
    <s v="Pending"/>
    <d v="2025-12-08T00:00:00"/>
    <x v="79"/>
    <n v="3"/>
    <x v="2"/>
    <x v="2"/>
    <n v="475657.61000000004"/>
    <x v="1"/>
  </r>
  <r>
    <n v="93"/>
    <s v="Arjun Sharma"/>
    <x v="0"/>
    <n v="49"/>
    <x v="3"/>
    <n v="1402.42"/>
    <x v="1"/>
    <n v="238441.07"/>
    <n v="732"/>
    <x v="1"/>
    <s v="MasterCard"/>
    <n v="-160650.74"/>
    <n v="220751.15"/>
    <s v="Pending"/>
    <d v="2025-01-26T00:00:00"/>
    <x v="80"/>
    <n v="4"/>
    <x v="2"/>
    <x v="2"/>
    <n v="239843.49000000002"/>
    <x v="0"/>
  </r>
  <r>
    <n v="94"/>
    <s v="Yash Gupta"/>
    <x v="0"/>
    <n v="69"/>
    <x v="1"/>
    <n v="28752.05"/>
    <x v="1"/>
    <n v="53687.06"/>
    <n v="846"/>
    <x v="3"/>
    <s v="American Express"/>
    <n v="104927.6"/>
    <n v="85159.79"/>
    <s v="Pending"/>
    <d v="2025-07-13T00:00:00"/>
    <x v="81"/>
    <n v="4"/>
    <x v="2"/>
    <x v="2"/>
    <n v="82439.11"/>
    <x v="0"/>
  </r>
  <r>
    <n v="95"/>
    <s v="Priya Gupta"/>
    <x v="1"/>
    <n v="61"/>
    <x v="4"/>
    <n v="459638.47"/>
    <x v="0"/>
    <n v="198648.47"/>
    <n v="463"/>
    <x v="4"/>
    <s v="Visa"/>
    <n v="430475.18"/>
    <n v="146945.31"/>
    <s v="Pending"/>
    <d v="2025-08-17T00:00:00"/>
    <x v="34"/>
    <n v="4"/>
    <x v="1"/>
    <x v="1"/>
    <n v="658286.93999999994"/>
    <x v="0"/>
  </r>
  <r>
    <n v="96"/>
    <s v="Nisha Trivedi"/>
    <x v="1"/>
    <n v="50"/>
    <x v="3"/>
    <n v="336265.69"/>
    <x v="0"/>
    <n v="297039.65999999997"/>
    <n v="484"/>
    <x v="1"/>
    <s v="MasterCard"/>
    <n v="89944.09"/>
    <n v="212865.97"/>
    <s v="Approved"/>
    <d v="2025-03-14T00:00:00"/>
    <x v="82"/>
    <n v="5"/>
    <x v="1"/>
    <x v="1"/>
    <n v="633305.35"/>
    <x v="0"/>
  </r>
  <r>
    <n v="97"/>
    <s v="Rahul Trivedi"/>
    <x v="0"/>
    <n v="67"/>
    <x v="5"/>
    <n v="390369.21"/>
    <x v="0"/>
    <n v="104362.17"/>
    <n v="433"/>
    <x v="1"/>
    <s v="Visa"/>
    <n v="485332.16"/>
    <n v="69331.710000000006"/>
    <s v="Approved"/>
    <d v="2025-10-05T00:00:00"/>
    <x v="83"/>
    <n v="1"/>
    <x v="1"/>
    <x v="1"/>
    <n v="494731.38"/>
    <x v="1"/>
  </r>
  <r>
    <n v="98"/>
    <s v="Aditya Verma"/>
    <x v="0"/>
    <n v="59"/>
    <x v="0"/>
    <n v="256040.33"/>
    <x v="0"/>
    <n v="243657.09"/>
    <n v="845"/>
    <x v="0"/>
    <s v="Discover"/>
    <n v="137793.01"/>
    <n v="126067.21"/>
    <s v="Pending"/>
    <d v="2025-12-08T00:00:00"/>
    <x v="84"/>
    <n v="2"/>
    <x v="2"/>
    <x v="2"/>
    <n v="499697.42"/>
    <x v="0"/>
  </r>
  <r>
    <n v="99"/>
    <s v="Kavya Sharma"/>
    <x v="1"/>
    <n v="27"/>
    <x v="4"/>
    <n v="326315.14"/>
    <x v="0"/>
    <n v="284952.87"/>
    <n v="307"/>
    <x v="2"/>
    <s v="MasterCard"/>
    <n v="233131.93"/>
    <n v="211979.48"/>
    <s v="Approved"/>
    <d v="2025-08-26T00:00:00"/>
    <x v="41"/>
    <n v="4"/>
    <x v="0"/>
    <x v="0"/>
    <n v="611268.01"/>
    <x v="0"/>
  </r>
  <r>
    <n v="100"/>
    <s v="Aarav Trivedi"/>
    <x v="0"/>
    <n v="57"/>
    <x v="4"/>
    <n v="377960.32"/>
    <x v="0"/>
    <n v="32547.48"/>
    <n v="648"/>
    <x v="3"/>
    <s v="American Express"/>
    <n v="451086.4"/>
    <n v="195532.41"/>
    <s v="Rejected"/>
    <d v="2025-11-29T00:00:00"/>
    <x v="28"/>
    <n v="2"/>
    <x v="2"/>
    <x v="2"/>
    <n v="410507.8"/>
    <x v="0"/>
  </r>
  <r>
    <n v="101"/>
    <s v="Rohit Verma"/>
    <x v="0"/>
    <n v="35"/>
    <x v="0"/>
    <n v="116395.9"/>
    <x v="2"/>
    <n v="173696.96"/>
    <n v="511"/>
    <x v="1"/>
    <s v="Visa"/>
    <n v="38407.58"/>
    <n v="249762.45"/>
    <s v="Pending"/>
    <d v="2025-04-27T00:00:00"/>
    <x v="85"/>
    <n v="3"/>
    <x v="1"/>
    <x v="1"/>
    <n v="290092.86"/>
    <x v="0"/>
  </r>
  <r>
    <n v="102"/>
    <s v="Diya Desai"/>
    <x v="1"/>
    <n v="37"/>
    <x v="5"/>
    <n v="412875.47"/>
    <x v="0"/>
    <n v="223126.3"/>
    <n v="378"/>
    <x v="4"/>
    <s v="Discover"/>
    <n v="221710.92"/>
    <n v="127765.8"/>
    <s v="Approved"/>
    <d v="2025-09-29T00:00:00"/>
    <x v="71"/>
    <n v="3"/>
    <x v="0"/>
    <x v="0"/>
    <n v="636001.77"/>
    <x v="0"/>
  </r>
  <r>
    <n v="103"/>
    <s v="Jay Mehta"/>
    <x v="0"/>
    <n v="24"/>
    <x v="0"/>
    <n v="241608.94"/>
    <x v="0"/>
    <n v="240608.55"/>
    <n v="473"/>
    <x v="0"/>
    <s v="American Express"/>
    <n v="115968.02"/>
    <n v="82943.8"/>
    <s v="Pending"/>
    <d v="2025-07-10T00:00:00"/>
    <x v="52"/>
    <n v="3"/>
    <x v="1"/>
    <x v="1"/>
    <n v="482217.49"/>
    <x v="0"/>
  </r>
  <r>
    <n v="104"/>
    <s v="Isha Mehta"/>
    <x v="1"/>
    <n v="34"/>
    <x v="0"/>
    <n v="370208.07"/>
    <x v="0"/>
    <n v="68777.009999999995"/>
    <n v="568"/>
    <x v="4"/>
    <s v="Discover"/>
    <n v="380876.58"/>
    <n v="123359.63"/>
    <s v="Pending"/>
    <d v="2025-05-18T00:00:00"/>
    <x v="86"/>
    <n v="4"/>
    <x v="1"/>
    <x v="1"/>
    <n v="438985.08"/>
    <x v="0"/>
  </r>
  <r>
    <n v="105"/>
    <s v="Anaya Singh"/>
    <x v="1"/>
    <n v="46"/>
    <x v="2"/>
    <n v="376913.75"/>
    <x v="0"/>
    <n v="160027.07999999999"/>
    <n v="859"/>
    <x v="0"/>
    <s v="RuPay"/>
    <n v="251964.95"/>
    <n v="148846.91"/>
    <s v="Pending"/>
    <d v="2025-06-28T00:00:00"/>
    <x v="87"/>
    <n v="1"/>
    <x v="2"/>
    <x v="2"/>
    <n v="536940.82999999996"/>
    <x v="0"/>
  </r>
  <r>
    <n v="106"/>
    <s v="Rahul Shah"/>
    <x v="0"/>
    <n v="48"/>
    <x v="0"/>
    <n v="9721.6200000000008"/>
    <x v="1"/>
    <n v="39921.42"/>
    <n v="812"/>
    <x v="2"/>
    <s v="American Express"/>
    <n v="101738.87"/>
    <n v="161267.84"/>
    <s v="Rejected"/>
    <d v="2025-11-19T00:00:00"/>
    <x v="88"/>
    <n v="2"/>
    <x v="2"/>
    <x v="2"/>
    <n v="49643.040000000001"/>
    <x v="1"/>
  </r>
  <r>
    <n v="107"/>
    <s v="Meera Joshi"/>
    <x v="1"/>
    <n v="64"/>
    <x v="0"/>
    <n v="299303.55"/>
    <x v="0"/>
    <n v="203006.78"/>
    <n v="486"/>
    <x v="2"/>
    <s v="Visa"/>
    <n v="160565.42000000001"/>
    <n v="133106.23000000001"/>
    <s v="Pending"/>
    <d v="2025-09-24T00:00:00"/>
    <x v="89"/>
    <n v="5"/>
    <x v="1"/>
    <x v="1"/>
    <n v="502310.32999999996"/>
    <x v="0"/>
  </r>
  <r>
    <n v="108"/>
    <s v="Jay Trivedi"/>
    <x v="0"/>
    <n v="46"/>
    <x v="3"/>
    <n v="440548.88"/>
    <x v="0"/>
    <n v="41138.559999999998"/>
    <n v="356"/>
    <x v="1"/>
    <s v="Discover"/>
    <n v="585513.15"/>
    <n v="211186.42"/>
    <s v="Rejected"/>
    <d v="2025-02-26T00:00:00"/>
    <x v="90"/>
    <n v="3"/>
    <x v="0"/>
    <x v="0"/>
    <n v="481687.44"/>
    <x v="0"/>
  </r>
  <r>
    <n v="109"/>
    <s v="Rohit Sharma"/>
    <x v="0"/>
    <n v="22"/>
    <x v="3"/>
    <n v="235725.53"/>
    <x v="0"/>
    <n v="52637.37"/>
    <n v="494"/>
    <x v="4"/>
    <s v="MasterCard"/>
    <n v="245617.13"/>
    <n v="216059.02"/>
    <s v="Pending"/>
    <d v="2025-07-04T00:00:00"/>
    <x v="91"/>
    <n v="1"/>
    <x v="1"/>
    <x v="1"/>
    <n v="288362.90000000002"/>
    <x v="0"/>
  </r>
  <r>
    <n v="110"/>
    <s v="Aditya Gupta"/>
    <x v="0"/>
    <n v="26"/>
    <x v="1"/>
    <n v="330744.62"/>
    <x v="0"/>
    <n v="33247.550000000003"/>
    <n v="710"/>
    <x v="2"/>
    <s v="Visa"/>
    <n v="345560.06"/>
    <n v="90560.43"/>
    <s v="Approved"/>
    <d v="2025-09-25T00:00:00"/>
    <x v="92"/>
    <n v="5"/>
    <x v="2"/>
    <x v="2"/>
    <n v="363992.17"/>
    <x v="0"/>
  </r>
  <r>
    <n v="111"/>
    <s v="Isha Patel"/>
    <x v="1"/>
    <n v="40"/>
    <x v="3"/>
    <n v="374310.85"/>
    <x v="0"/>
    <n v="65558.5"/>
    <n v="891"/>
    <x v="1"/>
    <s v="RuPay"/>
    <n v="436810.2"/>
    <n v="85960.02"/>
    <s v="Pending"/>
    <d v="2025-04-03T00:00:00"/>
    <x v="42"/>
    <n v="2"/>
    <x v="2"/>
    <x v="2"/>
    <n v="439869.35"/>
    <x v="0"/>
  </r>
  <r>
    <n v="112"/>
    <s v="Aditya Gupta"/>
    <x v="0"/>
    <n v="45"/>
    <x v="5"/>
    <n v="409893.9"/>
    <x v="0"/>
    <n v="93406.05"/>
    <n v="888"/>
    <x v="0"/>
    <s v="American Express"/>
    <n v="499149.76"/>
    <n v="206646.74"/>
    <s v="Rejected"/>
    <d v="2025-07-01T00:00:00"/>
    <x v="93"/>
    <n v="5"/>
    <x v="2"/>
    <x v="2"/>
    <n v="503299.95"/>
    <x v="1"/>
  </r>
  <r>
    <n v="113"/>
    <s v="Pooja Singh"/>
    <x v="1"/>
    <n v="63"/>
    <x v="3"/>
    <n v="76321.5"/>
    <x v="1"/>
    <n v="167223.41"/>
    <n v="738"/>
    <x v="0"/>
    <s v="RuPay"/>
    <n v="-9538.94"/>
    <n v="162122.51"/>
    <s v="Rejected"/>
    <d v="2025-02-27T00:00:00"/>
    <x v="65"/>
    <n v="3"/>
    <x v="2"/>
    <x v="2"/>
    <n v="243544.91"/>
    <x v="0"/>
  </r>
  <r>
    <n v="114"/>
    <s v="Vihaan Sharma"/>
    <x v="0"/>
    <n v="68"/>
    <x v="3"/>
    <n v="66519.63"/>
    <x v="1"/>
    <n v="66691.83"/>
    <n v="303"/>
    <x v="2"/>
    <s v="American Express"/>
    <n v="136691.82999999999"/>
    <n v="230662.02"/>
    <s v="Rejected"/>
    <d v="2025-03-07T00:00:00"/>
    <x v="94"/>
    <n v="5"/>
    <x v="0"/>
    <x v="0"/>
    <n v="133211.46000000002"/>
    <x v="0"/>
  </r>
  <r>
    <n v="115"/>
    <s v="Riya Patel"/>
    <x v="1"/>
    <n v="19"/>
    <x v="0"/>
    <n v="199925.59"/>
    <x v="2"/>
    <n v="181069.39"/>
    <n v="604"/>
    <x v="2"/>
    <s v="RuPay"/>
    <n v="136680.51999999999"/>
    <n v="244747.99"/>
    <s v="Pending"/>
    <d v="2025-02-09T00:00:00"/>
    <x v="95"/>
    <n v="3"/>
    <x v="2"/>
    <x v="2"/>
    <n v="380994.98"/>
    <x v="0"/>
  </r>
  <r>
    <n v="116"/>
    <s v="Diya Patel"/>
    <x v="1"/>
    <n v="68"/>
    <x v="4"/>
    <n v="303425.25"/>
    <x v="0"/>
    <n v="25521.66"/>
    <n v="350"/>
    <x v="0"/>
    <s v="Visa"/>
    <n v="466529.56"/>
    <n v="38638.47"/>
    <s v="Rejected"/>
    <d v="2025-02-22T00:00:00"/>
    <x v="96"/>
    <n v="5"/>
    <x v="0"/>
    <x v="0"/>
    <n v="328946.90999999997"/>
    <x v="0"/>
  </r>
  <r>
    <n v="117"/>
    <s v="Aarav Trivedi"/>
    <x v="0"/>
    <n v="18"/>
    <x v="5"/>
    <n v="271114.90000000002"/>
    <x v="0"/>
    <n v="110566.12"/>
    <n v="494"/>
    <x v="0"/>
    <s v="RuPay"/>
    <n v="211646.34"/>
    <n v="23446.5"/>
    <s v="Approved"/>
    <d v="2025-07-20T00:00:00"/>
    <x v="9"/>
    <n v="5"/>
    <x v="1"/>
    <x v="1"/>
    <n v="381681.02"/>
    <x v="0"/>
  </r>
  <r>
    <n v="118"/>
    <s v="Meera Verma"/>
    <x v="1"/>
    <n v="55"/>
    <x v="3"/>
    <n v="245823.33"/>
    <x v="0"/>
    <n v="201331.53"/>
    <n v="592"/>
    <x v="1"/>
    <s v="RuPay"/>
    <n v="152341.51"/>
    <n v="105754.72"/>
    <s v="Approved"/>
    <d v="2025-11-03T00:00:00"/>
    <x v="53"/>
    <n v="1"/>
    <x v="1"/>
    <x v="1"/>
    <n v="447154.86"/>
    <x v="0"/>
  </r>
  <r>
    <n v="119"/>
    <s v="Jay Mehta"/>
    <x v="0"/>
    <n v="61"/>
    <x v="0"/>
    <n v="418882.73"/>
    <x v="0"/>
    <n v="85380.82"/>
    <n v="714"/>
    <x v="3"/>
    <s v="Discover"/>
    <n v="412822.54"/>
    <n v="154006.39999999999"/>
    <s v="Pending"/>
    <d v="2025-04-27T00:00:00"/>
    <x v="97"/>
    <n v="5"/>
    <x v="2"/>
    <x v="2"/>
    <n v="504263.55"/>
    <x v="0"/>
  </r>
  <r>
    <n v="120"/>
    <s v="Pooja Trivedi"/>
    <x v="1"/>
    <n v="42"/>
    <x v="1"/>
    <n v="262782.21999999997"/>
    <x v="0"/>
    <n v="195851.17"/>
    <n v="610"/>
    <x v="1"/>
    <s v="MasterCard"/>
    <n v="178782.99"/>
    <n v="92062.07"/>
    <s v="Rejected"/>
    <d v="2025-08-23T00:00:00"/>
    <x v="98"/>
    <n v="2"/>
    <x v="2"/>
    <x v="2"/>
    <n v="458633.39"/>
    <x v="0"/>
  </r>
  <r>
    <n v="121"/>
    <s v="Arjun Shah"/>
    <x v="0"/>
    <n v="22"/>
    <x v="2"/>
    <n v="131600.04"/>
    <x v="2"/>
    <n v="224802.2"/>
    <n v="605"/>
    <x v="2"/>
    <s v="Discover"/>
    <n v="54889.29"/>
    <n v="201159.34"/>
    <s v="Pending"/>
    <d v="2025-05-21T00:00:00"/>
    <x v="70"/>
    <n v="3"/>
    <x v="2"/>
    <x v="2"/>
    <n v="356402.24"/>
    <x v="0"/>
  </r>
  <r>
    <n v="122"/>
    <s v="Kavya Trivedi"/>
    <x v="1"/>
    <n v="59"/>
    <x v="0"/>
    <n v="301405.34999999998"/>
    <x v="0"/>
    <n v="105291.41"/>
    <n v="327"/>
    <x v="1"/>
    <s v="MasterCard"/>
    <n v="327937.15000000002"/>
    <n v="231134.1"/>
    <s v="Pending"/>
    <d v="2025-06-18T00:00:00"/>
    <x v="99"/>
    <n v="2"/>
    <x v="0"/>
    <x v="0"/>
    <n v="406696.76"/>
    <x v="1"/>
  </r>
  <r>
    <n v="123"/>
    <s v="Sneha Sharma"/>
    <x v="1"/>
    <n v="41"/>
    <x v="0"/>
    <n v="60595.360000000001"/>
    <x v="1"/>
    <n v="273216.58"/>
    <n v="811"/>
    <x v="1"/>
    <s v="American Express"/>
    <n v="-46853.79"/>
    <n v="88468.95"/>
    <s v="Approved"/>
    <d v="2025-05-04T00:00:00"/>
    <x v="96"/>
    <n v="5"/>
    <x v="2"/>
    <x v="2"/>
    <n v="333811.94"/>
    <x v="0"/>
  </r>
  <r>
    <n v="124"/>
    <s v="Arjun Sharma"/>
    <x v="0"/>
    <n v="51"/>
    <x v="4"/>
    <n v="460229.65"/>
    <x v="0"/>
    <n v="55385.22"/>
    <n v="445"/>
    <x v="0"/>
    <s v="RuPay"/>
    <n v="451476.41"/>
    <n v="172910.3"/>
    <s v="Approved"/>
    <d v="2025-03-01T00:00:00"/>
    <x v="5"/>
    <n v="2"/>
    <x v="1"/>
    <x v="1"/>
    <n v="515614.87"/>
    <x v="0"/>
  </r>
  <r>
    <n v="125"/>
    <s v="Rohit Singh"/>
    <x v="0"/>
    <n v="29"/>
    <x v="3"/>
    <n v="461043.66"/>
    <x v="0"/>
    <n v="134672.85999999999"/>
    <n v="868"/>
    <x v="4"/>
    <s v="American Express"/>
    <n v="463028.57"/>
    <n v="33941.39"/>
    <s v="Pending"/>
    <d v="2025-07-26T00:00:00"/>
    <x v="100"/>
    <n v="1"/>
    <x v="2"/>
    <x v="2"/>
    <n v="595716.52"/>
    <x v="0"/>
  </r>
  <r>
    <n v="126"/>
    <s v="Rahul Gupta"/>
    <x v="0"/>
    <n v="27"/>
    <x v="0"/>
    <n v="211600.99"/>
    <x v="0"/>
    <n v="13171.06"/>
    <n v="434"/>
    <x v="2"/>
    <s v="Discover"/>
    <n v="349195.94"/>
    <n v="116336.82"/>
    <s v="Approved"/>
    <d v="2025-10-17T00:00:00"/>
    <x v="101"/>
    <n v="5"/>
    <x v="1"/>
    <x v="1"/>
    <n v="224772.05"/>
    <x v="1"/>
  </r>
  <r>
    <n v="127"/>
    <s v="Aditya Sharma"/>
    <x v="0"/>
    <n v="39"/>
    <x v="4"/>
    <n v="162870.54999999999"/>
    <x v="2"/>
    <n v="212587.23"/>
    <n v="429"/>
    <x v="0"/>
    <s v="Visa"/>
    <n v="105583.63"/>
    <n v="56033.03"/>
    <s v="Pending"/>
    <d v="2025-08-28T00:00:00"/>
    <x v="102"/>
    <n v="1"/>
    <x v="1"/>
    <x v="1"/>
    <n v="375457.78"/>
    <x v="0"/>
  </r>
  <r>
    <n v="128"/>
    <s v="Sneha Trivedi"/>
    <x v="1"/>
    <n v="56"/>
    <x v="0"/>
    <n v="166636.43"/>
    <x v="2"/>
    <n v="103655.58"/>
    <n v="511"/>
    <x v="0"/>
    <s v="American Express"/>
    <n v="181053.95"/>
    <n v="242783.77"/>
    <s v="Approved"/>
    <d v="2025-03-30T00:00:00"/>
    <x v="103"/>
    <n v="3"/>
    <x v="1"/>
    <x v="1"/>
    <n v="270292.01"/>
    <x v="0"/>
  </r>
  <r>
    <n v="129"/>
    <s v="Arjun Verma"/>
    <x v="0"/>
    <n v="31"/>
    <x v="4"/>
    <n v="388207.95"/>
    <x v="0"/>
    <n v="192297.94"/>
    <n v="402"/>
    <x v="1"/>
    <s v="Discover"/>
    <n v="251893.28"/>
    <n v="219687.26"/>
    <s v="Rejected"/>
    <d v="2025-06-02T00:00:00"/>
    <x v="104"/>
    <n v="1"/>
    <x v="1"/>
    <x v="1"/>
    <n v="580505.89"/>
    <x v="0"/>
  </r>
  <r>
    <n v="130"/>
    <s v="Sneha Patel"/>
    <x v="1"/>
    <n v="38"/>
    <x v="0"/>
    <n v="266991.34999999998"/>
    <x v="0"/>
    <n v="147491.67000000001"/>
    <n v="481"/>
    <x v="3"/>
    <s v="RuPay"/>
    <n v="213899.14"/>
    <n v="172631.34"/>
    <s v="Approved"/>
    <d v="2025-09-13T00:00:00"/>
    <x v="34"/>
    <n v="2"/>
    <x v="1"/>
    <x v="1"/>
    <n v="414483.02"/>
    <x v="0"/>
  </r>
  <r>
    <n v="131"/>
    <s v="Manav Patel"/>
    <x v="0"/>
    <n v="53"/>
    <x v="4"/>
    <n v="17340.34"/>
    <x v="1"/>
    <n v="292704.62"/>
    <n v="456"/>
    <x v="2"/>
    <s v="MasterCard"/>
    <n v="-184189.4"/>
    <n v="61910.25"/>
    <s v="Rejected"/>
    <d v="2025-10-11T00:00:00"/>
    <x v="105"/>
    <n v="3"/>
    <x v="1"/>
    <x v="1"/>
    <n v="310044.96000000002"/>
    <x v="0"/>
  </r>
  <r>
    <n v="132"/>
    <s v="Nisha Shah"/>
    <x v="1"/>
    <n v="43"/>
    <x v="1"/>
    <n v="466847.38"/>
    <x v="0"/>
    <n v="12606.9"/>
    <n v="322"/>
    <x v="3"/>
    <s v="American Express"/>
    <n v="589257.98"/>
    <n v="237317.92"/>
    <s v="Rejected"/>
    <d v="2025-09-29T00:00:00"/>
    <x v="106"/>
    <n v="2"/>
    <x v="0"/>
    <x v="0"/>
    <n v="479454.28"/>
    <x v="0"/>
  </r>
  <r>
    <n v="133"/>
    <s v="Rohit Mehta"/>
    <x v="0"/>
    <n v="23"/>
    <x v="0"/>
    <n v="155015.42000000001"/>
    <x v="2"/>
    <n v="281677.71000000002"/>
    <n v="414"/>
    <x v="4"/>
    <s v="American Express"/>
    <n v="-116277.99"/>
    <n v="207982.66"/>
    <s v="Rejected"/>
    <d v="2025-02-27T00:00:00"/>
    <x v="107"/>
    <n v="1"/>
    <x v="1"/>
    <x v="1"/>
    <n v="436693.13"/>
    <x v="0"/>
  </r>
  <r>
    <n v="134"/>
    <s v="Sneha Joshi"/>
    <x v="1"/>
    <n v="57"/>
    <x v="2"/>
    <n v="275350.95"/>
    <x v="0"/>
    <n v="286139.55"/>
    <n v="830"/>
    <x v="2"/>
    <s v="Discover"/>
    <n v="100484.56"/>
    <n v="132957.57"/>
    <s v="Approved"/>
    <d v="2025-12-26T00:00:00"/>
    <x v="108"/>
    <n v="5"/>
    <x v="2"/>
    <x v="2"/>
    <n v="561490.5"/>
    <x v="0"/>
  </r>
  <r>
    <n v="135"/>
    <s v="Arjun Sharma"/>
    <x v="0"/>
    <n v="68"/>
    <x v="5"/>
    <n v="202740.02"/>
    <x v="0"/>
    <n v="13036.97"/>
    <n v="721"/>
    <x v="4"/>
    <s v="MasterCard"/>
    <n v="240404.12"/>
    <n v="57091.46"/>
    <s v="Approved"/>
    <d v="2025-06-18T00:00:00"/>
    <x v="109"/>
    <n v="2"/>
    <x v="2"/>
    <x v="2"/>
    <n v="215776.99"/>
    <x v="0"/>
  </r>
  <r>
    <n v="136"/>
    <s v="Sneha Patel"/>
    <x v="1"/>
    <n v="41"/>
    <x v="4"/>
    <n v="147123.54999999999"/>
    <x v="2"/>
    <n v="186059.75"/>
    <n v="826"/>
    <x v="0"/>
    <s v="MasterCard"/>
    <n v="125027.17"/>
    <n v="27152.26"/>
    <s v="Pending"/>
    <d v="2025-02-20T00:00:00"/>
    <x v="110"/>
    <n v="2"/>
    <x v="2"/>
    <x v="2"/>
    <n v="333183.3"/>
    <x v="0"/>
  </r>
  <r>
    <n v="137"/>
    <s v="Nisha Shah"/>
    <x v="1"/>
    <n v="48"/>
    <x v="4"/>
    <n v="5893.39"/>
    <x v="1"/>
    <n v="21628"/>
    <n v="671"/>
    <x v="2"/>
    <s v="Discover"/>
    <n v="89465.2"/>
    <n v="90033.27"/>
    <s v="Pending"/>
    <d v="2025-10-09T00:00:00"/>
    <x v="111"/>
    <n v="3"/>
    <x v="2"/>
    <x v="2"/>
    <n v="27521.39"/>
    <x v="0"/>
  </r>
  <r>
    <n v="138"/>
    <s v="Aditya Gupta"/>
    <x v="0"/>
    <n v="69"/>
    <x v="3"/>
    <n v="10770.12"/>
    <x v="1"/>
    <n v="219581.46"/>
    <n v="874"/>
    <x v="0"/>
    <s v="American Express"/>
    <n v="-127659.5"/>
    <n v="158386.49"/>
    <s v="Rejected"/>
    <d v="2025-11-04T00:00:00"/>
    <x v="112"/>
    <n v="4"/>
    <x v="2"/>
    <x v="2"/>
    <n v="230351.58"/>
    <x v="0"/>
  </r>
  <r>
    <n v="139"/>
    <s v="Jay Joshi"/>
    <x v="0"/>
    <n v="31"/>
    <x v="5"/>
    <n v="197478.57"/>
    <x v="2"/>
    <n v="211162.64"/>
    <n v="528"/>
    <x v="1"/>
    <s v="Discover"/>
    <n v="89181.13"/>
    <n v="97330.99"/>
    <s v="Pending"/>
    <d v="2025-02-08T00:00:00"/>
    <x v="91"/>
    <n v="5"/>
    <x v="1"/>
    <x v="1"/>
    <n v="408641.21"/>
    <x v="0"/>
  </r>
  <r>
    <n v="140"/>
    <s v="Aditya Joshi"/>
    <x v="0"/>
    <n v="33"/>
    <x v="4"/>
    <n v="418160.03"/>
    <x v="0"/>
    <n v="62557.4"/>
    <n v="661"/>
    <x v="2"/>
    <s v="Visa"/>
    <n v="398721.35"/>
    <n v="109604.23"/>
    <s v="Pending"/>
    <d v="2025-10-18T00:00:00"/>
    <x v="113"/>
    <n v="3"/>
    <x v="2"/>
    <x v="2"/>
    <n v="480717.43000000005"/>
    <x v="0"/>
  </r>
  <r>
    <n v="141"/>
    <s v="Rahul Verma"/>
    <x v="0"/>
    <n v="20"/>
    <x v="5"/>
    <n v="34845.06"/>
    <x v="1"/>
    <n v="215748.7"/>
    <n v="754"/>
    <x v="3"/>
    <s v="Discover"/>
    <n v="-34445.83"/>
    <n v="183627.51999999999"/>
    <s v="Pending"/>
    <d v="2025-07-23T00:00:00"/>
    <x v="114"/>
    <n v="4"/>
    <x v="2"/>
    <x v="2"/>
    <n v="250593.76"/>
    <x v="0"/>
  </r>
  <r>
    <n v="142"/>
    <s v="Arjun Patel"/>
    <x v="0"/>
    <n v="26"/>
    <x v="2"/>
    <n v="149374.34"/>
    <x v="2"/>
    <n v="91913.74"/>
    <n v="314"/>
    <x v="0"/>
    <s v="MasterCard"/>
    <n v="166004.26"/>
    <n v="82773.740000000005"/>
    <s v="Pending"/>
    <d v="2025-12-30T00:00:00"/>
    <x v="115"/>
    <n v="1"/>
    <x v="0"/>
    <x v="0"/>
    <n v="241288.08000000002"/>
    <x v="0"/>
  </r>
  <r>
    <n v="143"/>
    <s v="Anaya Desai"/>
    <x v="1"/>
    <n v="59"/>
    <x v="2"/>
    <n v="338432.5"/>
    <x v="0"/>
    <n v="210361.86"/>
    <n v="354"/>
    <x v="0"/>
    <s v="MasterCard"/>
    <n v="158939.62"/>
    <n v="100136.41"/>
    <s v="Pending"/>
    <d v="2025-10-27T00:00:00"/>
    <x v="116"/>
    <n v="4"/>
    <x v="0"/>
    <x v="0"/>
    <n v="548794.36"/>
    <x v="0"/>
  </r>
  <r>
    <n v="144"/>
    <s v="Priya Joshi"/>
    <x v="1"/>
    <n v="46"/>
    <x v="0"/>
    <n v="356856.92"/>
    <x v="0"/>
    <n v="56765.21"/>
    <n v="349"/>
    <x v="0"/>
    <s v="RuPay"/>
    <n v="460011.73"/>
    <n v="170942.47"/>
    <s v="Pending"/>
    <d v="2025-11-02T00:00:00"/>
    <x v="117"/>
    <n v="5"/>
    <x v="0"/>
    <x v="0"/>
    <n v="413622.13"/>
    <x v="0"/>
  </r>
  <r>
    <n v="145"/>
    <s v="Rahul Sharma"/>
    <x v="0"/>
    <n v="66"/>
    <x v="3"/>
    <n v="420035.59"/>
    <x v="0"/>
    <n v="266024.62"/>
    <n v="875"/>
    <x v="0"/>
    <s v="MasterCard"/>
    <n v="338593.33"/>
    <n v="230473.82"/>
    <s v="Approved"/>
    <d v="2025-02-17T00:00:00"/>
    <x v="118"/>
    <n v="3"/>
    <x v="2"/>
    <x v="2"/>
    <n v="686060.21"/>
    <x v="0"/>
  </r>
  <r>
    <n v="146"/>
    <s v="Pooja Joshi"/>
    <x v="1"/>
    <n v="34"/>
    <x v="2"/>
    <n v="199337.37"/>
    <x v="2"/>
    <n v="254499.4"/>
    <n v="669"/>
    <x v="1"/>
    <s v="American Express"/>
    <n v="-18598.59"/>
    <n v="244552.93"/>
    <s v="Approved"/>
    <d v="2025-11-25T00:00:00"/>
    <x v="119"/>
    <n v="4"/>
    <x v="2"/>
    <x v="2"/>
    <n v="453836.77"/>
    <x v="0"/>
  </r>
  <r>
    <n v="147"/>
    <s v="Isha Sharma"/>
    <x v="1"/>
    <n v="48"/>
    <x v="3"/>
    <n v="358773.2"/>
    <x v="0"/>
    <n v="235811.58"/>
    <n v="744"/>
    <x v="2"/>
    <s v="American Express"/>
    <n v="168926.29"/>
    <n v="108894.83"/>
    <s v="Pending"/>
    <d v="2025-02-22T00:00:00"/>
    <x v="120"/>
    <n v="4"/>
    <x v="2"/>
    <x v="2"/>
    <n v="594584.78"/>
    <x v="0"/>
  </r>
  <r>
    <n v="148"/>
    <s v="Riya Gupta"/>
    <x v="1"/>
    <n v="65"/>
    <x v="5"/>
    <n v="305915.65000000002"/>
    <x v="0"/>
    <n v="25180.11"/>
    <n v="885"/>
    <x v="1"/>
    <s v="Discover"/>
    <n v="318314.52"/>
    <n v="38928.03"/>
    <s v="Approved"/>
    <d v="2025-01-19T00:00:00"/>
    <x v="121"/>
    <n v="2"/>
    <x v="2"/>
    <x v="2"/>
    <n v="331095.76"/>
    <x v="0"/>
  </r>
  <r>
    <n v="149"/>
    <s v="Priya Verma"/>
    <x v="1"/>
    <n v="65"/>
    <x v="4"/>
    <n v="311239.25"/>
    <x v="0"/>
    <n v="205194.88"/>
    <n v="471"/>
    <x v="1"/>
    <s v="Visa"/>
    <n v="181684.21"/>
    <n v="234240"/>
    <s v="Pending"/>
    <d v="2025-11-09T00:00:00"/>
    <x v="115"/>
    <n v="1"/>
    <x v="1"/>
    <x v="1"/>
    <n v="516434.13"/>
    <x v="0"/>
  </r>
  <r>
    <n v="150"/>
    <s v="Isha Sharma"/>
    <x v="1"/>
    <n v="39"/>
    <x v="5"/>
    <n v="36289.81"/>
    <x v="1"/>
    <n v="64816.639999999999"/>
    <n v="425"/>
    <x v="3"/>
    <s v="Discover"/>
    <n v="86350.68"/>
    <n v="76430.16"/>
    <s v="Pending"/>
    <d v="2025-01-26T00:00:00"/>
    <x v="122"/>
    <n v="4"/>
    <x v="1"/>
    <x v="1"/>
    <n v="101106.45"/>
    <x v="0"/>
  </r>
  <r>
    <n v="151"/>
    <s v="Nisha Patel"/>
    <x v="1"/>
    <n v="42"/>
    <x v="0"/>
    <n v="83224.25"/>
    <x v="1"/>
    <n v="176126.97"/>
    <n v="847"/>
    <x v="0"/>
    <s v="Discover"/>
    <n v="-76843"/>
    <n v="171327.34"/>
    <s v="Approved"/>
    <d v="2025-10-13T00:00:00"/>
    <x v="123"/>
    <n v="3"/>
    <x v="2"/>
    <x v="2"/>
    <n v="259351.22"/>
    <x v="0"/>
  </r>
  <r>
    <n v="152"/>
    <s v="Diya Singh"/>
    <x v="1"/>
    <n v="40"/>
    <x v="4"/>
    <n v="198895.65"/>
    <x v="2"/>
    <n v="13117.75"/>
    <n v="754"/>
    <x v="0"/>
    <s v="Discover"/>
    <n v="260449.81"/>
    <n v="63172.02"/>
    <s v="Rejected"/>
    <d v="2025-01-16T00:00:00"/>
    <x v="124"/>
    <n v="3"/>
    <x v="2"/>
    <x v="2"/>
    <n v="212013.4"/>
    <x v="0"/>
  </r>
  <r>
    <n v="153"/>
    <s v="Isha Gupta"/>
    <x v="1"/>
    <n v="28"/>
    <x v="5"/>
    <n v="480950.93"/>
    <x v="0"/>
    <n v="122022.18"/>
    <n v="467"/>
    <x v="1"/>
    <s v="RuPay"/>
    <n v="412733.28"/>
    <n v="232483.78"/>
    <s v="Approved"/>
    <d v="2025-09-30T00:00:00"/>
    <x v="125"/>
    <n v="4"/>
    <x v="1"/>
    <x v="1"/>
    <n v="602973.11"/>
    <x v="0"/>
  </r>
  <r>
    <n v="154"/>
    <s v="Priya Trivedi"/>
    <x v="1"/>
    <n v="25"/>
    <x v="4"/>
    <n v="122633.18"/>
    <x v="2"/>
    <n v="268846.99"/>
    <n v="838"/>
    <x v="2"/>
    <s v="American Express"/>
    <n v="43257.33"/>
    <n v="68706.53"/>
    <s v="Approved"/>
    <d v="2025-07-15T00:00:00"/>
    <x v="33"/>
    <n v="2"/>
    <x v="2"/>
    <x v="2"/>
    <n v="391480.17"/>
    <x v="0"/>
  </r>
  <r>
    <n v="155"/>
    <s v="Riya Mehta"/>
    <x v="1"/>
    <n v="25"/>
    <x v="3"/>
    <n v="212230"/>
    <x v="0"/>
    <n v="135108.93"/>
    <n v="346"/>
    <x v="2"/>
    <s v="Discover"/>
    <n v="135238.03"/>
    <n v="194231.45"/>
    <s v="Rejected"/>
    <d v="2025-04-12T00:00:00"/>
    <x v="126"/>
    <n v="5"/>
    <x v="0"/>
    <x v="0"/>
    <n v="347338.93"/>
    <x v="0"/>
  </r>
  <r>
    <n v="156"/>
    <s v="Isha Joshi"/>
    <x v="1"/>
    <n v="66"/>
    <x v="3"/>
    <n v="188942.39"/>
    <x v="2"/>
    <n v="58463.74"/>
    <n v="619"/>
    <x v="3"/>
    <s v="RuPay"/>
    <n v="327885.26"/>
    <n v="113936.74"/>
    <s v="Rejected"/>
    <d v="2025-11-25T00:00:00"/>
    <x v="127"/>
    <n v="1"/>
    <x v="2"/>
    <x v="2"/>
    <n v="247406.13"/>
    <x v="0"/>
  </r>
  <r>
    <n v="157"/>
    <s v="Vihaan Mehta"/>
    <x v="0"/>
    <n v="27"/>
    <x v="2"/>
    <n v="182863.16"/>
    <x v="2"/>
    <n v="151194.96"/>
    <n v="788"/>
    <x v="0"/>
    <s v="Discover"/>
    <n v="111494.59"/>
    <n v="241580.43"/>
    <s v="Approved"/>
    <d v="2025-05-22T00:00:00"/>
    <x v="128"/>
    <n v="1"/>
    <x v="2"/>
    <x v="2"/>
    <n v="334058.12"/>
    <x v="0"/>
  </r>
  <r>
    <n v="158"/>
    <s v="Rohit Trivedi"/>
    <x v="0"/>
    <n v="49"/>
    <x v="0"/>
    <n v="153458.9"/>
    <x v="2"/>
    <n v="78105.2"/>
    <n v="610"/>
    <x v="0"/>
    <s v="Discover"/>
    <n v="160210.79999999999"/>
    <n v="184220.77"/>
    <s v="Rejected"/>
    <d v="2025-02-21T00:00:00"/>
    <x v="129"/>
    <n v="3"/>
    <x v="2"/>
    <x v="2"/>
    <n v="231564.09999999998"/>
    <x v="0"/>
  </r>
  <r>
    <n v="159"/>
    <s v="Jay Patel"/>
    <x v="0"/>
    <n v="68"/>
    <x v="3"/>
    <n v="20688.39"/>
    <x v="1"/>
    <n v="182453.86"/>
    <n v="760"/>
    <x v="3"/>
    <s v="Visa"/>
    <n v="-143946.64000000001"/>
    <n v="181490.14"/>
    <s v="Rejected"/>
    <d v="2025-03-14T00:00:00"/>
    <x v="130"/>
    <n v="3"/>
    <x v="2"/>
    <x v="2"/>
    <n v="203142.25"/>
    <x v="0"/>
  </r>
  <r>
    <n v="160"/>
    <s v="Kavya Patel"/>
    <x v="1"/>
    <n v="25"/>
    <x v="0"/>
    <n v="59934.89"/>
    <x v="1"/>
    <n v="275614.63"/>
    <n v="629"/>
    <x v="0"/>
    <s v="MasterCard"/>
    <n v="-22065.759999999998"/>
    <n v="65386.64"/>
    <s v="Rejected"/>
    <d v="2025-05-24T00:00:00"/>
    <x v="5"/>
    <n v="2"/>
    <x v="2"/>
    <x v="2"/>
    <n v="335549.52"/>
    <x v="0"/>
  </r>
  <r>
    <n v="161"/>
    <s v="Sneha Desai"/>
    <x v="1"/>
    <n v="51"/>
    <x v="4"/>
    <n v="276796.28999999998"/>
    <x v="0"/>
    <n v="216664.89"/>
    <n v="542"/>
    <x v="1"/>
    <s v="American Express"/>
    <n v="207677.44"/>
    <n v="67881.97"/>
    <s v="Rejected"/>
    <d v="2025-12-23T00:00:00"/>
    <x v="131"/>
    <n v="1"/>
    <x v="1"/>
    <x v="1"/>
    <n v="493461.18"/>
    <x v="0"/>
  </r>
  <r>
    <n v="162"/>
    <s v="Rahul Singh"/>
    <x v="0"/>
    <n v="61"/>
    <x v="5"/>
    <n v="243743.68"/>
    <x v="0"/>
    <n v="180739.85"/>
    <n v="844"/>
    <x v="1"/>
    <s v="Visa"/>
    <n v="150012.76999999999"/>
    <n v="128963.3"/>
    <s v="Approved"/>
    <d v="2025-12-19T00:00:00"/>
    <x v="132"/>
    <n v="1"/>
    <x v="2"/>
    <x v="2"/>
    <n v="424483.53"/>
    <x v="0"/>
  </r>
  <r>
    <n v="163"/>
    <s v="Sneha Desai"/>
    <x v="1"/>
    <n v="26"/>
    <x v="4"/>
    <n v="410016.33"/>
    <x v="0"/>
    <n v="95729.08"/>
    <n v="605"/>
    <x v="2"/>
    <s v="Visa"/>
    <n v="356974.37"/>
    <n v="70893.600000000006"/>
    <s v="Rejected"/>
    <d v="2025-03-17T00:00:00"/>
    <x v="133"/>
    <n v="5"/>
    <x v="2"/>
    <x v="2"/>
    <n v="505745.41000000003"/>
    <x v="0"/>
  </r>
  <r>
    <n v="164"/>
    <s v="Rohit Trivedi"/>
    <x v="0"/>
    <n v="53"/>
    <x v="4"/>
    <n v="197621.8"/>
    <x v="2"/>
    <n v="133129.85999999999"/>
    <n v="766"/>
    <x v="1"/>
    <s v="MasterCard"/>
    <n v="250254.61"/>
    <n v="246744.55"/>
    <s v="Pending"/>
    <d v="2025-10-07T00:00:00"/>
    <x v="134"/>
    <n v="5"/>
    <x v="2"/>
    <x v="2"/>
    <n v="330751.65999999997"/>
    <x v="0"/>
  </r>
  <r>
    <n v="165"/>
    <s v="Karan Gupta"/>
    <x v="0"/>
    <n v="46"/>
    <x v="2"/>
    <n v="442784.79"/>
    <x v="0"/>
    <n v="100564.76"/>
    <n v="893"/>
    <x v="2"/>
    <s v="Visa"/>
    <n v="428234.47"/>
    <n v="97520.46"/>
    <s v="Rejected"/>
    <d v="2025-04-09T00:00:00"/>
    <x v="135"/>
    <n v="2"/>
    <x v="2"/>
    <x v="2"/>
    <n v="543349.54999999993"/>
    <x v="0"/>
  </r>
  <r>
    <n v="166"/>
    <s v="Isha Mehta"/>
    <x v="1"/>
    <n v="31"/>
    <x v="2"/>
    <n v="209933.11"/>
    <x v="0"/>
    <n v="186897.75"/>
    <n v="622"/>
    <x v="0"/>
    <s v="American Express"/>
    <n v="96312.74"/>
    <n v="29814.31"/>
    <s v="Approved"/>
    <d v="2025-03-18T00:00:00"/>
    <x v="136"/>
    <n v="5"/>
    <x v="2"/>
    <x v="2"/>
    <n v="396830.86"/>
    <x v="0"/>
  </r>
  <r>
    <n v="167"/>
    <s v="Priya Patel"/>
    <x v="1"/>
    <n v="48"/>
    <x v="1"/>
    <n v="116176.17"/>
    <x v="2"/>
    <n v="249184.54"/>
    <n v="438"/>
    <x v="0"/>
    <s v="Visa"/>
    <n v="4281.8100000000004"/>
    <n v="96910.01"/>
    <s v="Pending"/>
    <d v="2025-05-13T00:00:00"/>
    <x v="137"/>
    <n v="5"/>
    <x v="1"/>
    <x v="1"/>
    <n v="365360.71"/>
    <x v="0"/>
  </r>
  <r>
    <n v="168"/>
    <s v="Aditya Shah"/>
    <x v="0"/>
    <n v="26"/>
    <x v="0"/>
    <n v="214207.79"/>
    <x v="0"/>
    <n v="19022.740000000002"/>
    <n v="622"/>
    <x v="0"/>
    <s v="Discover"/>
    <n v="267969.42"/>
    <n v="191671.75"/>
    <s v="Pending"/>
    <d v="2025-05-06T00:00:00"/>
    <x v="138"/>
    <n v="2"/>
    <x v="2"/>
    <x v="2"/>
    <n v="233230.53"/>
    <x v="0"/>
  </r>
  <r>
    <n v="169"/>
    <s v="Aarav Singh"/>
    <x v="0"/>
    <n v="52"/>
    <x v="0"/>
    <n v="293260.09000000003"/>
    <x v="0"/>
    <n v="257637.18"/>
    <n v="417"/>
    <x v="3"/>
    <s v="Visa"/>
    <n v="117628.32"/>
    <n v="62147.93"/>
    <s v="Pending"/>
    <d v="2025-12-15T00:00:00"/>
    <x v="139"/>
    <n v="3"/>
    <x v="1"/>
    <x v="1"/>
    <n v="550897.27"/>
    <x v="0"/>
  </r>
  <r>
    <n v="170"/>
    <s v="Rohit Trivedi"/>
    <x v="0"/>
    <n v="65"/>
    <x v="1"/>
    <n v="66883.97"/>
    <x v="1"/>
    <n v="32212.42"/>
    <n v="522"/>
    <x v="0"/>
    <s v="RuPay"/>
    <n v="128327.01"/>
    <n v="121306.13"/>
    <s v="Approved"/>
    <d v="2025-01-25T00:00:00"/>
    <x v="140"/>
    <n v="3"/>
    <x v="1"/>
    <x v="1"/>
    <n v="99096.39"/>
    <x v="0"/>
  </r>
  <r>
    <n v="171"/>
    <s v="Aarav Singh"/>
    <x v="0"/>
    <n v="67"/>
    <x v="1"/>
    <n v="115794.38"/>
    <x v="2"/>
    <n v="296370.40999999997"/>
    <n v="893"/>
    <x v="1"/>
    <s v="American Express"/>
    <n v="-16178.85"/>
    <n v="16815.310000000001"/>
    <s v="Rejected"/>
    <d v="2025-03-22T00:00:00"/>
    <x v="137"/>
    <n v="2"/>
    <x v="2"/>
    <x v="2"/>
    <n v="412164.79"/>
    <x v="0"/>
  </r>
  <r>
    <n v="172"/>
    <s v="Diya Singh"/>
    <x v="1"/>
    <n v="25"/>
    <x v="0"/>
    <n v="386279.49"/>
    <x v="0"/>
    <n v="84028.63"/>
    <n v="468"/>
    <x v="0"/>
    <s v="Visa"/>
    <n v="393373.16"/>
    <n v="71814.38"/>
    <s v="Rejected"/>
    <d v="2025-01-18T00:00:00"/>
    <x v="141"/>
    <n v="3"/>
    <x v="1"/>
    <x v="1"/>
    <n v="470308.12"/>
    <x v="0"/>
  </r>
  <r>
    <n v="173"/>
    <s v="Priya Verma"/>
    <x v="1"/>
    <n v="68"/>
    <x v="2"/>
    <n v="51538.87"/>
    <x v="1"/>
    <n v="221266.38"/>
    <n v="814"/>
    <x v="2"/>
    <s v="Discover"/>
    <n v="-140421.01"/>
    <n v="44576.800000000003"/>
    <s v="Approved"/>
    <d v="2025-03-13T00:00:00"/>
    <x v="142"/>
    <n v="4"/>
    <x v="2"/>
    <x v="2"/>
    <n v="272805.25"/>
    <x v="0"/>
  </r>
  <r>
    <n v="174"/>
    <s v="Vihaan Gupta"/>
    <x v="0"/>
    <n v="49"/>
    <x v="2"/>
    <n v="392744.89"/>
    <x v="0"/>
    <n v="90341.36"/>
    <n v="353"/>
    <x v="1"/>
    <s v="Discover"/>
    <n v="409639.23"/>
    <n v="144610.29"/>
    <s v="Rejected"/>
    <d v="2025-01-25T00:00:00"/>
    <x v="143"/>
    <n v="2"/>
    <x v="0"/>
    <x v="0"/>
    <n v="483086.25"/>
    <x v="0"/>
  </r>
  <r>
    <n v="175"/>
    <s v="Yash Shah"/>
    <x v="0"/>
    <n v="27"/>
    <x v="5"/>
    <n v="300127"/>
    <x v="0"/>
    <n v="60649.58"/>
    <n v="352"/>
    <x v="4"/>
    <s v="Visa"/>
    <n v="322737.08"/>
    <n v="152786.31"/>
    <s v="Pending"/>
    <d v="2025-12-29T00:00:00"/>
    <x v="144"/>
    <n v="3"/>
    <x v="0"/>
    <x v="0"/>
    <n v="360776.58"/>
    <x v="0"/>
  </r>
  <r>
    <n v="176"/>
    <s v="Priya Patel"/>
    <x v="1"/>
    <n v="22"/>
    <x v="4"/>
    <n v="176117.52"/>
    <x v="2"/>
    <n v="259987.77"/>
    <n v="453"/>
    <x v="4"/>
    <s v="Visa"/>
    <n v="18161.12"/>
    <n v="55005.06"/>
    <s v="Approved"/>
    <d v="2025-12-20T00:00:00"/>
    <x v="145"/>
    <n v="4"/>
    <x v="1"/>
    <x v="1"/>
    <n v="436105.29"/>
    <x v="0"/>
  </r>
  <r>
    <n v="177"/>
    <s v="Nisha Gupta"/>
    <x v="1"/>
    <n v="29"/>
    <x v="4"/>
    <n v="64747.25"/>
    <x v="1"/>
    <n v="187190.72"/>
    <n v="874"/>
    <x v="1"/>
    <s v="Discover"/>
    <n v="69059.66"/>
    <n v="109918.67"/>
    <s v="Rejected"/>
    <d v="2025-05-13T00:00:00"/>
    <x v="146"/>
    <n v="4"/>
    <x v="2"/>
    <x v="2"/>
    <n v="251937.97"/>
    <x v="0"/>
  </r>
  <r>
    <n v="178"/>
    <s v="Meera Desai"/>
    <x v="1"/>
    <n v="53"/>
    <x v="1"/>
    <n v="190253.76"/>
    <x v="2"/>
    <n v="51927.99"/>
    <n v="342"/>
    <x v="3"/>
    <s v="Visa"/>
    <n v="269328.83"/>
    <n v="60838.92"/>
    <s v="Rejected"/>
    <d v="2025-01-30T00:00:00"/>
    <x v="36"/>
    <n v="4"/>
    <x v="0"/>
    <x v="0"/>
    <n v="242181.75"/>
    <x v="0"/>
  </r>
  <r>
    <n v="179"/>
    <s v="Aditya Desai"/>
    <x v="0"/>
    <n v="60"/>
    <x v="4"/>
    <n v="246392.63"/>
    <x v="0"/>
    <n v="64115.78"/>
    <n v="658"/>
    <x v="4"/>
    <s v="Visa"/>
    <n v="341416.01"/>
    <n v="118705.92"/>
    <s v="Rejected"/>
    <d v="2025-01-25T00:00:00"/>
    <x v="96"/>
    <n v="1"/>
    <x v="2"/>
    <x v="2"/>
    <n v="310508.41000000003"/>
    <x v="0"/>
  </r>
  <r>
    <n v="180"/>
    <s v="Vihaan Shah"/>
    <x v="0"/>
    <n v="45"/>
    <x v="2"/>
    <n v="484023.56"/>
    <x v="0"/>
    <n v="226401.85"/>
    <n v="373"/>
    <x v="4"/>
    <s v="RuPay"/>
    <n v="442020.73"/>
    <n v="94495.42"/>
    <s v="Approved"/>
    <d v="2025-11-27T00:00:00"/>
    <x v="147"/>
    <n v="3"/>
    <x v="0"/>
    <x v="0"/>
    <n v="710425.41"/>
    <x v="0"/>
  </r>
  <r>
    <n v="181"/>
    <s v="Yash Verma"/>
    <x v="0"/>
    <n v="69"/>
    <x v="2"/>
    <n v="227337.1"/>
    <x v="0"/>
    <n v="251068.77"/>
    <n v="876"/>
    <x v="2"/>
    <s v="MasterCard"/>
    <n v="33114.980000000003"/>
    <n v="59109.599999999999"/>
    <s v="Approved"/>
    <d v="2025-08-11T00:00:00"/>
    <x v="16"/>
    <n v="2"/>
    <x v="2"/>
    <x v="2"/>
    <n v="478405.87"/>
    <x v="0"/>
  </r>
  <r>
    <n v="182"/>
    <s v="Sneha Trivedi"/>
    <x v="1"/>
    <n v="21"/>
    <x v="2"/>
    <n v="56673.57"/>
    <x v="1"/>
    <n v="189800.67"/>
    <n v="559"/>
    <x v="1"/>
    <s v="Visa"/>
    <n v="-90885.32"/>
    <n v="68512.240000000005"/>
    <s v="Pending"/>
    <d v="2025-10-30T00:00:00"/>
    <x v="62"/>
    <n v="2"/>
    <x v="1"/>
    <x v="1"/>
    <n v="246474.24000000002"/>
    <x v="0"/>
  </r>
  <r>
    <n v="183"/>
    <s v="Aditya Gupta"/>
    <x v="0"/>
    <n v="40"/>
    <x v="4"/>
    <n v="281671.3"/>
    <x v="0"/>
    <n v="129415.98"/>
    <n v="775"/>
    <x v="4"/>
    <s v="Visa"/>
    <n v="253368.93"/>
    <n v="80274.13"/>
    <s v="Rejected"/>
    <d v="2025-06-11T00:00:00"/>
    <x v="73"/>
    <n v="1"/>
    <x v="2"/>
    <x v="2"/>
    <n v="411087.27999999997"/>
    <x v="0"/>
  </r>
  <r>
    <n v="184"/>
    <s v="Aarav Gupta"/>
    <x v="0"/>
    <n v="41"/>
    <x v="1"/>
    <n v="354740.8"/>
    <x v="0"/>
    <n v="166552.1"/>
    <n v="894"/>
    <x v="4"/>
    <s v="Visa"/>
    <n v="375263.88"/>
    <n v="191217.08"/>
    <s v="Approved"/>
    <d v="2025-12-10T00:00:00"/>
    <x v="126"/>
    <n v="3"/>
    <x v="2"/>
    <x v="2"/>
    <n v="521292.9"/>
    <x v="0"/>
  </r>
  <r>
    <n v="185"/>
    <s v="Jay Shah"/>
    <x v="0"/>
    <n v="38"/>
    <x v="1"/>
    <n v="256783.19"/>
    <x v="0"/>
    <n v="269168.01"/>
    <n v="716"/>
    <x v="4"/>
    <s v="Discover"/>
    <n v="95341.95"/>
    <n v="127567.74"/>
    <s v="Pending"/>
    <d v="2025-03-02T00:00:00"/>
    <x v="86"/>
    <n v="4"/>
    <x v="2"/>
    <x v="2"/>
    <n v="525951.19999999995"/>
    <x v="0"/>
  </r>
  <r>
    <n v="186"/>
    <s v="Nisha Singh"/>
    <x v="1"/>
    <n v="68"/>
    <x v="5"/>
    <n v="141381.70000000001"/>
    <x v="2"/>
    <n v="145416.29"/>
    <n v="558"/>
    <x v="4"/>
    <s v="RuPay"/>
    <n v="65481.52"/>
    <n v="227711.54"/>
    <s v="Approved"/>
    <d v="2025-11-22T00:00:00"/>
    <x v="148"/>
    <n v="5"/>
    <x v="1"/>
    <x v="1"/>
    <n v="286797.99"/>
    <x v="0"/>
  </r>
  <r>
    <n v="187"/>
    <s v="Aditya Singh"/>
    <x v="0"/>
    <n v="38"/>
    <x v="0"/>
    <n v="170072.11"/>
    <x v="2"/>
    <n v="22811.54"/>
    <n v="511"/>
    <x v="3"/>
    <s v="American Express"/>
    <n v="343405.32"/>
    <n v="198027.2"/>
    <s v="Approved"/>
    <d v="2025-09-10T00:00:00"/>
    <x v="149"/>
    <n v="1"/>
    <x v="1"/>
    <x v="1"/>
    <n v="192883.65"/>
    <x v="0"/>
  </r>
  <r>
    <n v="188"/>
    <s v="Aditya Sharma"/>
    <x v="0"/>
    <n v="37"/>
    <x v="4"/>
    <n v="388071.99"/>
    <x v="0"/>
    <n v="296916.83"/>
    <n v="850"/>
    <x v="0"/>
    <s v="Visa"/>
    <n v="186128.55"/>
    <n v="104255.24"/>
    <s v="Approved"/>
    <d v="2025-02-06T00:00:00"/>
    <x v="56"/>
    <n v="2"/>
    <x v="2"/>
    <x v="2"/>
    <n v="684988.82000000007"/>
    <x v="0"/>
  </r>
  <r>
    <n v="189"/>
    <s v="Pooja Gupta"/>
    <x v="1"/>
    <n v="51"/>
    <x v="4"/>
    <n v="293530.65000000002"/>
    <x v="0"/>
    <n v="254517.13"/>
    <n v="307"/>
    <x v="4"/>
    <s v="RuPay"/>
    <n v="198869.17"/>
    <n v="19247.5"/>
    <s v="Pending"/>
    <d v="2025-04-14T00:00:00"/>
    <x v="27"/>
    <n v="4"/>
    <x v="0"/>
    <x v="0"/>
    <n v="548047.78"/>
    <x v="0"/>
  </r>
  <r>
    <n v="190"/>
    <s v="Yash Mehta"/>
    <x v="0"/>
    <n v="42"/>
    <x v="1"/>
    <n v="337026.35"/>
    <x v="0"/>
    <n v="43653.83"/>
    <n v="872"/>
    <x v="3"/>
    <s v="RuPay"/>
    <n v="438454.49"/>
    <n v="248218.32"/>
    <s v="Rejected"/>
    <d v="2025-10-14T00:00:00"/>
    <x v="129"/>
    <n v="2"/>
    <x v="2"/>
    <x v="2"/>
    <n v="380680.18"/>
    <x v="0"/>
  </r>
  <r>
    <n v="191"/>
    <s v="Pooja Shah"/>
    <x v="1"/>
    <n v="35"/>
    <x v="4"/>
    <n v="66309.929999999993"/>
    <x v="1"/>
    <n v="150408.98000000001"/>
    <n v="886"/>
    <x v="3"/>
    <s v="Discover"/>
    <n v="-226.89"/>
    <n v="198065.85"/>
    <s v="Approved"/>
    <d v="2025-09-28T00:00:00"/>
    <x v="150"/>
    <n v="2"/>
    <x v="2"/>
    <x v="2"/>
    <n v="216718.91"/>
    <x v="0"/>
  </r>
  <r>
    <n v="192"/>
    <s v="Arjun Desai"/>
    <x v="0"/>
    <n v="24"/>
    <x v="0"/>
    <n v="315632.62"/>
    <x v="0"/>
    <n v="135455.79999999999"/>
    <n v="854"/>
    <x v="2"/>
    <s v="RuPay"/>
    <n v="363555.64"/>
    <n v="46610.46"/>
    <s v="Pending"/>
    <d v="2025-06-25T00:00:00"/>
    <x v="151"/>
    <n v="5"/>
    <x v="2"/>
    <x v="2"/>
    <n v="451088.42"/>
    <x v="0"/>
  </r>
  <r>
    <n v="193"/>
    <s v="Rohit Desai"/>
    <x v="0"/>
    <n v="34"/>
    <x v="3"/>
    <n v="212181.69"/>
    <x v="0"/>
    <n v="87094.27"/>
    <n v="662"/>
    <x v="4"/>
    <s v="American Express"/>
    <n v="324228.08"/>
    <n v="23470.25"/>
    <s v="Approved"/>
    <d v="2025-12-12T00:00:00"/>
    <x v="152"/>
    <n v="2"/>
    <x v="2"/>
    <x v="2"/>
    <n v="299275.96000000002"/>
    <x v="0"/>
  </r>
  <r>
    <n v="194"/>
    <s v="Rahul Trivedi"/>
    <x v="0"/>
    <n v="41"/>
    <x v="5"/>
    <n v="439624.73"/>
    <x v="0"/>
    <n v="4514.28"/>
    <n v="478"/>
    <x v="4"/>
    <s v="RuPay"/>
    <n v="478228.88"/>
    <n v="33329.550000000003"/>
    <s v="Rejected"/>
    <d v="2025-02-19T00:00:00"/>
    <x v="153"/>
    <n v="3"/>
    <x v="1"/>
    <x v="1"/>
    <n v="444139.01"/>
    <x v="0"/>
  </r>
  <r>
    <n v="195"/>
    <s v="Diya Singh"/>
    <x v="1"/>
    <n v="51"/>
    <x v="3"/>
    <n v="11666.58"/>
    <x v="1"/>
    <n v="249880.73"/>
    <n v="876"/>
    <x v="3"/>
    <s v="RuPay"/>
    <n v="-92356.34"/>
    <n v="102716.94"/>
    <s v="Rejected"/>
    <d v="2025-07-23T00:00:00"/>
    <x v="154"/>
    <n v="2"/>
    <x v="2"/>
    <x v="2"/>
    <n v="261547.31"/>
    <x v="0"/>
  </r>
  <r>
    <n v="196"/>
    <s v="Manav Trivedi"/>
    <x v="0"/>
    <n v="67"/>
    <x v="3"/>
    <n v="155052.64000000001"/>
    <x v="2"/>
    <n v="96611.28"/>
    <n v="711"/>
    <x v="1"/>
    <s v="MasterCard"/>
    <n v="158523.35"/>
    <n v="207942.26"/>
    <s v="Rejected"/>
    <d v="2025-03-28T00:00:00"/>
    <x v="111"/>
    <n v="4"/>
    <x v="2"/>
    <x v="2"/>
    <n v="251663.92"/>
    <x v="0"/>
  </r>
  <r>
    <n v="197"/>
    <s v="Priya Joshi"/>
    <x v="1"/>
    <n v="36"/>
    <x v="3"/>
    <n v="109109.18"/>
    <x v="2"/>
    <n v="175771.92"/>
    <n v="808"/>
    <x v="2"/>
    <s v="Visa"/>
    <n v="-61128.57"/>
    <n v="123403.76"/>
    <s v="Rejected"/>
    <d v="2025-03-30T00:00:00"/>
    <x v="27"/>
    <n v="4"/>
    <x v="2"/>
    <x v="2"/>
    <n v="284881.09999999998"/>
    <x v="0"/>
  </r>
  <r>
    <n v="198"/>
    <s v="Jay Mehta"/>
    <x v="0"/>
    <n v="56"/>
    <x v="5"/>
    <n v="187078.66"/>
    <x v="2"/>
    <n v="161976.57"/>
    <n v="316"/>
    <x v="1"/>
    <s v="American Express"/>
    <n v="155802.82"/>
    <n v="18349.150000000001"/>
    <s v="Rejected"/>
    <d v="2025-04-05T00:00:00"/>
    <x v="155"/>
    <n v="4"/>
    <x v="0"/>
    <x v="0"/>
    <n v="349055.23"/>
    <x v="0"/>
  </r>
  <r>
    <n v="199"/>
    <s v="Yash Joshi"/>
    <x v="0"/>
    <n v="58"/>
    <x v="0"/>
    <n v="354772.9"/>
    <x v="0"/>
    <n v="92034.44"/>
    <n v="755"/>
    <x v="2"/>
    <s v="MasterCard"/>
    <n v="395011.78"/>
    <n v="155410.54999999999"/>
    <s v="Rejected"/>
    <d v="2025-12-24T00:00:00"/>
    <x v="5"/>
    <n v="5"/>
    <x v="2"/>
    <x v="2"/>
    <n v="446807.34"/>
    <x v="0"/>
  </r>
  <r>
    <n v="200"/>
    <s v="Priya Sharma"/>
    <x v="1"/>
    <n v="65"/>
    <x v="4"/>
    <n v="416305.54"/>
    <x v="0"/>
    <n v="115107.87"/>
    <n v="828"/>
    <x v="1"/>
    <s v="RuPay"/>
    <n v="478016"/>
    <n v="156427.07999999999"/>
    <s v="Pending"/>
    <d v="2025-10-22T00:00:00"/>
    <x v="153"/>
    <n v="4"/>
    <x v="2"/>
    <x v="2"/>
    <n v="531413.40999999992"/>
    <x v="0"/>
  </r>
  <r>
    <n v="201"/>
    <s v="Diya Singh"/>
    <x v="1"/>
    <n v="21"/>
    <x v="3"/>
    <n v="300236.53999999998"/>
    <x v="0"/>
    <n v="165311"/>
    <n v="807"/>
    <x v="4"/>
    <s v="MasterCard"/>
    <n v="245224.33"/>
    <n v="176057.83"/>
    <s v="Approved"/>
    <d v="2025-01-06T00:00:00"/>
    <x v="82"/>
    <n v="3"/>
    <x v="2"/>
    <x v="2"/>
    <n v="465547.54"/>
    <x v="0"/>
  </r>
  <r>
    <n v="202"/>
    <s v="Diya Verma"/>
    <x v="1"/>
    <n v="21"/>
    <x v="3"/>
    <n v="469319.21"/>
    <x v="0"/>
    <n v="157841.89000000001"/>
    <n v="525"/>
    <x v="0"/>
    <s v="Visa"/>
    <n v="410393.74"/>
    <n v="130533.94"/>
    <s v="Approved"/>
    <d v="2025-09-16T00:00:00"/>
    <x v="66"/>
    <n v="3"/>
    <x v="1"/>
    <x v="1"/>
    <n v="627161.10000000009"/>
    <x v="0"/>
  </r>
  <r>
    <n v="203"/>
    <s v="Aditya Trivedi"/>
    <x v="0"/>
    <n v="58"/>
    <x v="4"/>
    <n v="463331.47"/>
    <x v="0"/>
    <n v="138046.25"/>
    <n v="470"/>
    <x v="4"/>
    <s v="MasterCard"/>
    <n v="367443.62"/>
    <n v="202538.37"/>
    <s v="Rejected"/>
    <d v="2025-02-18T00:00:00"/>
    <x v="156"/>
    <n v="5"/>
    <x v="1"/>
    <x v="1"/>
    <n v="601377.72"/>
    <x v="0"/>
  </r>
  <r>
    <n v="204"/>
    <s v="Priya Shah"/>
    <x v="1"/>
    <n v="47"/>
    <x v="2"/>
    <n v="370887.38"/>
    <x v="0"/>
    <n v="245304.66"/>
    <n v="869"/>
    <x v="3"/>
    <s v="RuPay"/>
    <n v="269335.34000000003"/>
    <n v="71792.479999999996"/>
    <s v="Approved"/>
    <d v="2025-03-28T00:00:00"/>
    <x v="157"/>
    <n v="2"/>
    <x v="2"/>
    <x v="2"/>
    <n v="616192.04"/>
    <x v="0"/>
  </r>
  <r>
    <n v="205"/>
    <s v="Aditya Joshi"/>
    <x v="0"/>
    <n v="69"/>
    <x v="3"/>
    <n v="438639.39"/>
    <x v="0"/>
    <n v="76065.09"/>
    <n v="474"/>
    <x v="3"/>
    <s v="Discover"/>
    <n v="544848.64000000001"/>
    <n v="96904.88"/>
    <s v="Pending"/>
    <d v="2025-11-27T00:00:00"/>
    <x v="114"/>
    <n v="3"/>
    <x v="1"/>
    <x v="1"/>
    <n v="514704.48"/>
    <x v="0"/>
  </r>
  <r>
    <n v="206"/>
    <s v="Aditya Gupta"/>
    <x v="0"/>
    <n v="68"/>
    <x v="5"/>
    <n v="15785.01"/>
    <x v="1"/>
    <n v="84147.55"/>
    <n v="509"/>
    <x v="2"/>
    <s v="American Express"/>
    <n v="98733.3"/>
    <n v="241131.11"/>
    <s v="Approved"/>
    <d v="2025-02-05T00:00:00"/>
    <x v="158"/>
    <n v="2"/>
    <x v="1"/>
    <x v="1"/>
    <n v="99932.56"/>
    <x v="0"/>
  </r>
  <r>
    <n v="207"/>
    <s v="Priya Trivedi"/>
    <x v="1"/>
    <n v="61"/>
    <x v="4"/>
    <n v="123604.59"/>
    <x v="2"/>
    <n v="229166"/>
    <n v="582"/>
    <x v="2"/>
    <s v="Discover"/>
    <n v="-76047.03"/>
    <n v="227928.41"/>
    <s v="Pending"/>
    <d v="2025-10-23T00:00:00"/>
    <x v="34"/>
    <n v="2"/>
    <x v="1"/>
    <x v="1"/>
    <n v="352770.58999999997"/>
    <x v="0"/>
  </r>
  <r>
    <n v="208"/>
    <s v="Nisha Patel"/>
    <x v="1"/>
    <n v="22"/>
    <x v="0"/>
    <n v="4026.67"/>
    <x v="1"/>
    <n v="117637.9"/>
    <n v="301"/>
    <x v="2"/>
    <s v="Visa"/>
    <n v="79160.66"/>
    <n v="214424.95"/>
    <s v="Rejected"/>
    <d v="2025-11-09T00:00:00"/>
    <x v="2"/>
    <n v="3"/>
    <x v="0"/>
    <x v="0"/>
    <n v="121664.56999999999"/>
    <x v="0"/>
  </r>
  <r>
    <n v="209"/>
    <s v="Nisha Singh"/>
    <x v="1"/>
    <n v="36"/>
    <x v="2"/>
    <n v="477149.44"/>
    <x v="0"/>
    <n v="30719.13"/>
    <n v="677"/>
    <x v="1"/>
    <s v="RuPay"/>
    <n v="546754.49"/>
    <n v="87611.95"/>
    <s v="Pending"/>
    <d v="2025-03-29T00:00:00"/>
    <x v="159"/>
    <n v="2"/>
    <x v="2"/>
    <x v="2"/>
    <n v="507868.57"/>
    <x v="0"/>
  </r>
  <r>
    <n v="210"/>
    <s v="Riya Verma"/>
    <x v="1"/>
    <n v="31"/>
    <x v="5"/>
    <n v="42051.02"/>
    <x v="1"/>
    <n v="237613.25"/>
    <n v="339"/>
    <x v="0"/>
    <s v="RuPay"/>
    <n v="-120105.32"/>
    <n v="243942.74"/>
    <s v="Approved"/>
    <d v="2025-04-12T00:00:00"/>
    <x v="160"/>
    <n v="3"/>
    <x v="0"/>
    <x v="0"/>
    <n v="279664.27"/>
    <x v="0"/>
  </r>
  <r>
    <n v="211"/>
    <s v="Rahul Shah"/>
    <x v="0"/>
    <n v="62"/>
    <x v="5"/>
    <n v="123883.82"/>
    <x v="2"/>
    <n v="205381.52"/>
    <n v="684"/>
    <x v="3"/>
    <s v="RuPay"/>
    <n v="-6225.31"/>
    <n v="178478.68"/>
    <s v="Approved"/>
    <d v="2025-02-10T00:00:00"/>
    <x v="146"/>
    <n v="1"/>
    <x v="2"/>
    <x v="2"/>
    <n v="329265.33999999997"/>
    <x v="0"/>
  </r>
  <r>
    <n v="212"/>
    <s v="Vihaan Joshi"/>
    <x v="0"/>
    <n v="46"/>
    <x v="0"/>
    <n v="6876.42"/>
    <x v="1"/>
    <n v="220165.27"/>
    <n v="301"/>
    <x v="1"/>
    <s v="MasterCard"/>
    <n v="-42617.41"/>
    <n v="91001.67"/>
    <s v="Pending"/>
    <d v="2025-02-22T00:00:00"/>
    <x v="161"/>
    <n v="1"/>
    <x v="0"/>
    <x v="0"/>
    <n v="227041.69"/>
    <x v="0"/>
  </r>
  <r>
    <n v="213"/>
    <s v="Priya Desai"/>
    <x v="1"/>
    <n v="40"/>
    <x v="3"/>
    <n v="445107.74"/>
    <x v="0"/>
    <n v="11720.47"/>
    <n v="360"/>
    <x v="4"/>
    <s v="Discover"/>
    <n v="501771.71"/>
    <n v="25333.33"/>
    <s v="Approved"/>
    <d v="2025-04-28T00:00:00"/>
    <x v="162"/>
    <n v="4"/>
    <x v="0"/>
    <x v="0"/>
    <n v="456828.20999999996"/>
    <x v="0"/>
  </r>
  <r>
    <n v="214"/>
    <s v="Diya Sharma"/>
    <x v="1"/>
    <n v="39"/>
    <x v="4"/>
    <n v="40819.82"/>
    <x v="1"/>
    <n v="28309.21"/>
    <n v="516"/>
    <x v="0"/>
    <s v="RuPay"/>
    <n v="49849.35"/>
    <n v="34716.99"/>
    <s v="Rejected"/>
    <d v="2025-11-09T00:00:00"/>
    <x v="163"/>
    <n v="5"/>
    <x v="1"/>
    <x v="1"/>
    <n v="69129.03"/>
    <x v="0"/>
  </r>
  <r>
    <n v="215"/>
    <s v="Rahul Trivedi"/>
    <x v="0"/>
    <n v="63"/>
    <x v="0"/>
    <n v="203875.68"/>
    <x v="0"/>
    <n v="119933.5"/>
    <n v="380"/>
    <x v="2"/>
    <s v="Visa"/>
    <n v="123551.62"/>
    <n v="99791.87"/>
    <s v="Rejected"/>
    <d v="2025-03-12T00:00:00"/>
    <x v="164"/>
    <n v="1"/>
    <x v="0"/>
    <x v="0"/>
    <n v="323809.18"/>
    <x v="0"/>
  </r>
  <r>
    <n v="216"/>
    <s v="Vihaan Shah"/>
    <x v="0"/>
    <n v="23"/>
    <x v="2"/>
    <n v="41615.21"/>
    <x v="1"/>
    <n v="83983.28"/>
    <n v="836"/>
    <x v="2"/>
    <s v="MasterCard"/>
    <n v="16337.94"/>
    <n v="181698.33"/>
    <s v="Approved"/>
    <d v="2025-09-02T00:00:00"/>
    <x v="165"/>
    <n v="3"/>
    <x v="2"/>
    <x v="2"/>
    <n v="125598.48999999999"/>
    <x v="0"/>
  </r>
  <r>
    <n v="217"/>
    <s v="Rohit Joshi"/>
    <x v="0"/>
    <n v="47"/>
    <x v="4"/>
    <n v="491022.74"/>
    <x v="0"/>
    <n v="290052.32"/>
    <n v="766"/>
    <x v="3"/>
    <s v="MasterCard"/>
    <n v="313142.03000000003"/>
    <n v="243628.11"/>
    <s v="Pending"/>
    <d v="2025-06-10T00:00:00"/>
    <x v="68"/>
    <n v="3"/>
    <x v="2"/>
    <x v="2"/>
    <n v="781075.06"/>
    <x v="0"/>
  </r>
  <r>
    <n v="218"/>
    <s v="Aarav Gupta"/>
    <x v="0"/>
    <n v="60"/>
    <x v="2"/>
    <n v="48496.47"/>
    <x v="1"/>
    <n v="279707.87"/>
    <n v="386"/>
    <x v="1"/>
    <s v="MasterCard"/>
    <n v="-187827.12"/>
    <n v="179488.89"/>
    <s v="Rejected"/>
    <d v="2025-06-19T00:00:00"/>
    <x v="1"/>
    <n v="1"/>
    <x v="0"/>
    <x v="0"/>
    <n v="328204.33999999997"/>
    <x v="0"/>
  </r>
  <r>
    <n v="219"/>
    <s v="Anaya Mehta"/>
    <x v="1"/>
    <n v="68"/>
    <x v="0"/>
    <n v="463992.54"/>
    <x v="0"/>
    <n v="270690.94"/>
    <n v="347"/>
    <x v="3"/>
    <s v="Discover"/>
    <n v="356947.83"/>
    <n v="129392.54"/>
    <s v="Pending"/>
    <d v="2025-01-23T00:00:00"/>
    <x v="57"/>
    <n v="4"/>
    <x v="0"/>
    <x v="0"/>
    <n v="734683.48"/>
    <x v="0"/>
  </r>
  <r>
    <n v="220"/>
    <s v="Rahul Shah"/>
    <x v="0"/>
    <n v="29"/>
    <x v="2"/>
    <n v="100989.48"/>
    <x v="2"/>
    <n v="112141.22"/>
    <n v="639"/>
    <x v="3"/>
    <s v="American Express"/>
    <n v="17319.07"/>
    <n v="208013.98"/>
    <s v="Rejected"/>
    <d v="2025-06-03T00:00:00"/>
    <x v="102"/>
    <n v="3"/>
    <x v="2"/>
    <x v="2"/>
    <n v="213130.7"/>
    <x v="0"/>
  </r>
  <r>
    <n v="221"/>
    <s v="Aditya Mehta"/>
    <x v="0"/>
    <n v="23"/>
    <x v="0"/>
    <n v="406480.09"/>
    <x v="0"/>
    <n v="185374.65"/>
    <n v="605"/>
    <x v="1"/>
    <s v="MasterCard"/>
    <n v="383162.55"/>
    <n v="18373.5"/>
    <s v="Pending"/>
    <d v="2025-03-01T00:00:00"/>
    <x v="166"/>
    <n v="1"/>
    <x v="2"/>
    <x v="2"/>
    <n v="591854.74"/>
    <x v="0"/>
  </r>
  <r>
    <n v="222"/>
    <s v="Rahul Sharma"/>
    <x v="0"/>
    <n v="23"/>
    <x v="5"/>
    <n v="44418.71"/>
    <x v="1"/>
    <n v="80721.45"/>
    <n v="547"/>
    <x v="4"/>
    <s v="American Express"/>
    <n v="12613.38"/>
    <n v="237713.33"/>
    <s v="Rejected"/>
    <d v="2025-02-07T00:00:00"/>
    <x v="167"/>
    <n v="4"/>
    <x v="1"/>
    <x v="1"/>
    <n v="125140.16"/>
    <x v="0"/>
  </r>
  <r>
    <n v="223"/>
    <s v="Nisha Trivedi"/>
    <x v="1"/>
    <n v="34"/>
    <x v="0"/>
    <n v="467303.43"/>
    <x v="0"/>
    <n v="272215.63"/>
    <n v="435"/>
    <x v="1"/>
    <s v="Discover"/>
    <n v="345023.11"/>
    <n v="42533.41"/>
    <s v="Rejected"/>
    <d v="2025-09-22T00:00:00"/>
    <x v="77"/>
    <n v="2"/>
    <x v="1"/>
    <x v="1"/>
    <n v="739519.06"/>
    <x v="0"/>
  </r>
  <r>
    <n v="224"/>
    <s v="Isha Trivedi"/>
    <x v="1"/>
    <n v="28"/>
    <x v="0"/>
    <n v="383984.91"/>
    <x v="0"/>
    <n v="173785.22"/>
    <n v="842"/>
    <x v="3"/>
    <s v="Visa"/>
    <n v="335410.84000000003"/>
    <n v="158271.14000000001"/>
    <s v="Approved"/>
    <d v="2025-11-27T00:00:00"/>
    <x v="168"/>
    <n v="3"/>
    <x v="2"/>
    <x v="2"/>
    <n v="557770.13"/>
    <x v="0"/>
  </r>
  <r>
    <n v="225"/>
    <s v="Pooja Verma"/>
    <x v="1"/>
    <n v="35"/>
    <x v="0"/>
    <n v="116003.18"/>
    <x v="2"/>
    <n v="240220.26"/>
    <n v="453"/>
    <x v="0"/>
    <s v="MasterCard"/>
    <n v="-48582.31"/>
    <n v="145415.96"/>
    <s v="Pending"/>
    <d v="2025-11-01T00:00:00"/>
    <x v="169"/>
    <n v="3"/>
    <x v="1"/>
    <x v="1"/>
    <n v="356223.44"/>
    <x v="0"/>
  </r>
  <r>
    <n v="226"/>
    <s v="Kavya Desai"/>
    <x v="1"/>
    <n v="24"/>
    <x v="1"/>
    <n v="332741.56"/>
    <x v="0"/>
    <n v="220024.41"/>
    <n v="552"/>
    <x v="2"/>
    <s v="Visa"/>
    <n v="157719.32"/>
    <n v="135628.4"/>
    <s v="Pending"/>
    <d v="2025-11-12T00:00:00"/>
    <x v="170"/>
    <n v="2"/>
    <x v="1"/>
    <x v="1"/>
    <n v="552765.97"/>
    <x v="0"/>
  </r>
  <r>
    <n v="227"/>
    <s v="Kavya Trivedi"/>
    <x v="1"/>
    <n v="55"/>
    <x v="2"/>
    <n v="469258.85"/>
    <x v="0"/>
    <n v="85332.54"/>
    <n v="846"/>
    <x v="0"/>
    <s v="American Express"/>
    <n v="546490.17000000004"/>
    <n v="83222.94"/>
    <s v="Pending"/>
    <d v="2025-10-29T00:00:00"/>
    <x v="166"/>
    <n v="1"/>
    <x v="2"/>
    <x v="2"/>
    <n v="554591.39"/>
    <x v="0"/>
  </r>
  <r>
    <n v="228"/>
    <s v="Riya Gupta"/>
    <x v="1"/>
    <n v="47"/>
    <x v="3"/>
    <n v="47287.89"/>
    <x v="1"/>
    <n v="174636.29"/>
    <n v="594"/>
    <x v="3"/>
    <s v="Visa"/>
    <n v="45684.77"/>
    <n v="115003.49"/>
    <s v="Approved"/>
    <d v="2025-11-30T00:00:00"/>
    <x v="119"/>
    <n v="3"/>
    <x v="1"/>
    <x v="1"/>
    <n v="221924.18"/>
    <x v="0"/>
  </r>
  <r>
    <n v="229"/>
    <s v="Priya Desai"/>
    <x v="1"/>
    <n v="35"/>
    <x v="3"/>
    <n v="370550.36"/>
    <x v="0"/>
    <n v="208220.09"/>
    <n v="504"/>
    <x v="4"/>
    <s v="Discover"/>
    <n v="202194.76"/>
    <n v="91300.07"/>
    <s v="Pending"/>
    <d v="2025-04-08T00:00:00"/>
    <x v="171"/>
    <n v="2"/>
    <x v="1"/>
    <x v="1"/>
    <n v="578770.44999999995"/>
    <x v="0"/>
  </r>
  <r>
    <n v="230"/>
    <s v="Yash Gupta"/>
    <x v="0"/>
    <n v="43"/>
    <x v="2"/>
    <n v="236917.77"/>
    <x v="0"/>
    <n v="109214.81"/>
    <n v="647"/>
    <x v="2"/>
    <s v="Visa"/>
    <n v="197050.14"/>
    <n v="129527.13"/>
    <s v="Approved"/>
    <d v="2025-12-10T00:00:00"/>
    <x v="40"/>
    <n v="1"/>
    <x v="2"/>
    <x v="2"/>
    <n v="346132.57999999996"/>
    <x v="0"/>
  </r>
  <r>
    <n v="231"/>
    <s v="Arjun Verma"/>
    <x v="0"/>
    <n v="49"/>
    <x v="1"/>
    <n v="54664.52"/>
    <x v="1"/>
    <n v="248006.64"/>
    <n v="867"/>
    <x v="1"/>
    <s v="Visa"/>
    <n v="-56429.43"/>
    <n v="200823.32"/>
    <s v="Pending"/>
    <d v="2025-04-19T00:00:00"/>
    <x v="172"/>
    <n v="3"/>
    <x v="2"/>
    <x v="2"/>
    <n v="302671.16000000003"/>
    <x v="0"/>
  </r>
  <r>
    <n v="232"/>
    <s v="Rahul Verma"/>
    <x v="0"/>
    <n v="22"/>
    <x v="0"/>
    <n v="489826.19"/>
    <x v="0"/>
    <n v="77760.77"/>
    <n v="543"/>
    <x v="0"/>
    <s v="RuPay"/>
    <n v="513570.01"/>
    <n v="78404.56"/>
    <s v="Rejected"/>
    <d v="2025-01-07T00:00:00"/>
    <x v="39"/>
    <n v="1"/>
    <x v="1"/>
    <x v="1"/>
    <n v="567586.96"/>
    <x v="0"/>
  </r>
  <r>
    <n v="233"/>
    <s v="Sneha Trivedi"/>
    <x v="1"/>
    <n v="58"/>
    <x v="3"/>
    <n v="265476.84999999998"/>
    <x v="0"/>
    <n v="146967.59"/>
    <n v="549"/>
    <x v="2"/>
    <s v="American Express"/>
    <n v="301973.17"/>
    <n v="242509.76"/>
    <s v="Rejected"/>
    <d v="2025-03-31T00:00:00"/>
    <x v="173"/>
    <n v="3"/>
    <x v="1"/>
    <x v="1"/>
    <n v="412444.43999999994"/>
    <x v="0"/>
  </r>
  <r>
    <n v="234"/>
    <s v="Diya Sharma"/>
    <x v="1"/>
    <n v="70"/>
    <x v="5"/>
    <n v="28089.15"/>
    <x v="1"/>
    <n v="229936.1"/>
    <n v="591"/>
    <x v="1"/>
    <s v="American Express"/>
    <n v="-195031.24"/>
    <n v="21789.35"/>
    <s v="Pending"/>
    <d v="2025-01-03T00:00:00"/>
    <x v="30"/>
    <n v="5"/>
    <x v="1"/>
    <x v="1"/>
    <n v="258025.25"/>
    <x v="0"/>
  </r>
  <r>
    <n v="235"/>
    <s v="Diya Singh"/>
    <x v="1"/>
    <n v="34"/>
    <x v="4"/>
    <n v="355569.91"/>
    <x v="0"/>
    <n v="227184.8"/>
    <n v="547"/>
    <x v="1"/>
    <s v="RuPay"/>
    <n v="183928.3"/>
    <n v="167059.42000000001"/>
    <s v="Rejected"/>
    <d v="2025-03-09T00:00:00"/>
    <x v="165"/>
    <n v="1"/>
    <x v="1"/>
    <x v="1"/>
    <n v="582754.71"/>
    <x v="0"/>
  </r>
  <r>
    <n v="236"/>
    <s v="Sneha Joshi"/>
    <x v="1"/>
    <n v="19"/>
    <x v="5"/>
    <n v="82106.240000000005"/>
    <x v="1"/>
    <n v="138145.53"/>
    <n v="736"/>
    <x v="3"/>
    <s v="Discover"/>
    <n v="-38760.559999999998"/>
    <n v="45399.199999999997"/>
    <s v="Rejected"/>
    <d v="2025-01-15T00:00:00"/>
    <x v="174"/>
    <n v="3"/>
    <x v="2"/>
    <x v="2"/>
    <n v="220251.77000000002"/>
    <x v="0"/>
  </r>
  <r>
    <n v="237"/>
    <s v="Kavya Gupta"/>
    <x v="1"/>
    <n v="31"/>
    <x v="4"/>
    <n v="444940.56"/>
    <x v="0"/>
    <n v="117552.69"/>
    <n v="591"/>
    <x v="4"/>
    <s v="American Express"/>
    <n v="336234.91"/>
    <n v="210574.89"/>
    <s v="Approved"/>
    <d v="2025-06-23T00:00:00"/>
    <x v="20"/>
    <n v="4"/>
    <x v="1"/>
    <x v="1"/>
    <n v="562493.25"/>
    <x v="0"/>
  </r>
  <r>
    <n v="238"/>
    <s v="Meera Trivedi"/>
    <x v="1"/>
    <n v="28"/>
    <x v="1"/>
    <n v="166389.10999999999"/>
    <x v="2"/>
    <n v="216989.27"/>
    <n v="425"/>
    <x v="3"/>
    <s v="RuPay"/>
    <n v="-44690.45"/>
    <n v="229227.65"/>
    <s v="Pending"/>
    <d v="2025-11-27T00:00:00"/>
    <x v="39"/>
    <n v="4"/>
    <x v="1"/>
    <x v="1"/>
    <n v="383378.38"/>
    <x v="0"/>
  </r>
  <r>
    <n v="239"/>
    <s v="Rahul Singh"/>
    <x v="0"/>
    <n v="65"/>
    <x v="1"/>
    <n v="336300.45"/>
    <x v="0"/>
    <n v="144275.24"/>
    <n v="674"/>
    <x v="0"/>
    <s v="RuPay"/>
    <n v="275407.44"/>
    <n v="241397.89"/>
    <s v="Rejected"/>
    <d v="2025-06-21T00:00:00"/>
    <x v="1"/>
    <n v="2"/>
    <x v="2"/>
    <x v="2"/>
    <n v="480575.69"/>
    <x v="0"/>
  </r>
  <r>
    <n v="240"/>
    <s v="Anaya Sharma"/>
    <x v="1"/>
    <n v="35"/>
    <x v="1"/>
    <n v="290390.89"/>
    <x v="0"/>
    <n v="27578.82"/>
    <n v="555"/>
    <x v="0"/>
    <s v="Visa"/>
    <n v="308029.43"/>
    <n v="141540.07999999999"/>
    <s v="Rejected"/>
    <d v="2025-08-10T00:00:00"/>
    <x v="175"/>
    <n v="1"/>
    <x v="1"/>
    <x v="1"/>
    <n v="317969.71000000002"/>
    <x v="0"/>
  </r>
  <r>
    <n v="241"/>
    <s v="Arjun Singh"/>
    <x v="0"/>
    <n v="66"/>
    <x v="0"/>
    <n v="283942.52"/>
    <x v="0"/>
    <n v="210328.18"/>
    <n v="684"/>
    <x v="2"/>
    <s v="Visa"/>
    <n v="168336.33"/>
    <n v="80428.160000000003"/>
    <s v="Rejected"/>
    <d v="2025-01-05T00:00:00"/>
    <x v="93"/>
    <n v="3"/>
    <x v="2"/>
    <x v="2"/>
    <n v="494270.7"/>
    <x v="0"/>
  </r>
  <r>
    <n v="242"/>
    <s v="Sneha Gupta"/>
    <x v="1"/>
    <n v="64"/>
    <x v="1"/>
    <n v="14104.96"/>
    <x v="1"/>
    <n v="11776.35"/>
    <n v="449"/>
    <x v="2"/>
    <s v="MasterCard"/>
    <n v="74038.97"/>
    <n v="235032.59"/>
    <s v="Rejected"/>
    <d v="2025-04-24T00:00:00"/>
    <x v="176"/>
    <n v="3"/>
    <x v="1"/>
    <x v="1"/>
    <n v="25881.309999999998"/>
    <x v="0"/>
  </r>
  <r>
    <n v="243"/>
    <s v="Pooja Patel"/>
    <x v="1"/>
    <n v="27"/>
    <x v="0"/>
    <n v="391606.64"/>
    <x v="0"/>
    <n v="85858.37"/>
    <n v="321"/>
    <x v="4"/>
    <s v="RuPay"/>
    <n v="433590.73"/>
    <n v="185697.24"/>
    <s v="Rejected"/>
    <d v="2025-10-23T00:00:00"/>
    <x v="177"/>
    <n v="2"/>
    <x v="0"/>
    <x v="0"/>
    <n v="477465.01"/>
    <x v="0"/>
  </r>
  <r>
    <n v="244"/>
    <s v="Jay Gupta"/>
    <x v="0"/>
    <n v="22"/>
    <x v="2"/>
    <n v="453078.21"/>
    <x v="0"/>
    <n v="50213.43"/>
    <n v="687"/>
    <x v="2"/>
    <s v="Discover"/>
    <n v="483026.38"/>
    <n v="244867.95"/>
    <s v="Approved"/>
    <d v="2025-04-17T00:00:00"/>
    <x v="58"/>
    <n v="1"/>
    <x v="2"/>
    <x v="2"/>
    <n v="503291.64"/>
    <x v="0"/>
  </r>
  <r>
    <n v="245"/>
    <s v="Anaya Trivedi"/>
    <x v="1"/>
    <n v="62"/>
    <x v="1"/>
    <n v="102369.27"/>
    <x v="2"/>
    <n v="260254.72"/>
    <n v="315"/>
    <x v="4"/>
    <s v="MasterCard"/>
    <n v="34274.74"/>
    <n v="67979.649999999994"/>
    <s v="Rejected"/>
    <d v="2025-06-29T00:00:00"/>
    <x v="178"/>
    <n v="4"/>
    <x v="0"/>
    <x v="0"/>
    <n v="362623.99"/>
    <x v="0"/>
  </r>
  <r>
    <n v="246"/>
    <s v="Aarav Verma"/>
    <x v="0"/>
    <n v="60"/>
    <x v="3"/>
    <n v="267958.3"/>
    <x v="0"/>
    <n v="50215.44"/>
    <n v="722"/>
    <x v="2"/>
    <s v="Visa"/>
    <n v="250581.31"/>
    <n v="64246.559999999998"/>
    <s v="Approved"/>
    <d v="2025-10-11T00:00:00"/>
    <x v="179"/>
    <n v="4"/>
    <x v="2"/>
    <x v="2"/>
    <n v="318173.74"/>
    <x v="0"/>
  </r>
  <r>
    <n v="247"/>
    <s v="Vihaan Verma"/>
    <x v="0"/>
    <n v="46"/>
    <x v="5"/>
    <n v="224387.55"/>
    <x v="0"/>
    <n v="43741.63"/>
    <n v="636"/>
    <x v="2"/>
    <s v="RuPay"/>
    <n v="231701.34"/>
    <n v="30760.82"/>
    <s v="Pending"/>
    <d v="2025-01-28T00:00:00"/>
    <x v="180"/>
    <n v="2"/>
    <x v="2"/>
    <x v="2"/>
    <n v="268129.18"/>
    <x v="0"/>
  </r>
  <r>
    <n v="248"/>
    <s v="Pooja Verma"/>
    <x v="1"/>
    <n v="28"/>
    <x v="3"/>
    <n v="244816.3"/>
    <x v="0"/>
    <n v="218338.89"/>
    <n v="885"/>
    <x v="2"/>
    <s v="Visa"/>
    <n v="210517"/>
    <n v="129881.66"/>
    <s v="Pending"/>
    <d v="2025-12-16T00:00:00"/>
    <x v="138"/>
    <n v="4"/>
    <x v="2"/>
    <x v="2"/>
    <n v="463155.19"/>
    <x v="0"/>
  </r>
  <r>
    <n v="249"/>
    <s v="Isha Trivedi"/>
    <x v="1"/>
    <n v="42"/>
    <x v="2"/>
    <n v="432069.31"/>
    <x v="0"/>
    <n v="257130.94"/>
    <n v="540"/>
    <x v="4"/>
    <s v="Discover"/>
    <n v="274387.53000000003"/>
    <n v="120100.56"/>
    <s v="Approved"/>
    <d v="2025-02-07T00:00:00"/>
    <x v="77"/>
    <n v="1"/>
    <x v="1"/>
    <x v="1"/>
    <n v="689200.25"/>
    <x v="0"/>
  </r>
  <r>
    <n v="250"/>
    <s v="Rohit Desai"/>
    <x v="0"/>
    <n v="45"/>
    <x v="3"/>
    <n v="62441.51"/>
    <x v="1"/>
    <n v="177850.77"/>
    <n v="642"/>
    <x v="0"/>
    <s v="American Express"/>
    <n v="-94437.47"/>
    <n v="54039.62"/>
    <s v="Rejected"/>
    <d v="2025-11-30T00:00:00"/>
    <x v="181"/>
    <n v="4"/>
    <x v="2"/>
    <x v="2"/>
    <n v="240292.28"/>
    <x v="0"/>
  </r>
  <r>
    <n v="251"/>
    <s v="Sneha Singh"/>
    <x v="1"/>
    <n v="60"/>
    <x v="3"/>
    <n v="286483.53000000003"/>
    <x v="0"/>
    <n v="217206.88"/>
    <n v="545"/>
    <x v="3"/>
    <s v="American Express"/>
    <n v="267029.59999999998"/>
    <n v="115521.57"/>
    <s v="Approved"/>
    <d v="2025-02-18T00:00:00"/>
    <x v="182"/>
    <n v="4"/>
    <x v="1"/>
    <x v="1"/>
    <n v="503690.41000000003"/>
    <x v="0"/>
  </r>
  <r>
    <n v="252"/>
    <s v="Pooja Patel"/>
    <x v="1"/>
    <n v="49"/>
    <x v="1"/>
    <n v="188387.07"/>
    <x v="2"/>
    <n v="200435.66"/>
    <n v="593"/>
    <x v="0"/>
    <s v="RuPay"/>
    <n v="85829.47"/>
    <n v="235546.34"/>
    <s v="Pending"/>
    <d v="2025-06-23T00:00:00"/>
    <x v="3"/>
    <n v="1"/>
    <x v="1"/>
    <x v="1"/>
    <n v="388822.73"/>
    <x v="0"/>
  </r>
  <r>
    <n v="253"/>
    <s v="Yash Gupta"/>
    <x v="0"/>
    <n v="26"/>
    <x v="4"/>
    <n v="425933.1"/>
    <x v="0"/>
    <n v="155637.87"/>
    <n v="570"/>
    <x v="3"/>
    <s v="MasterCard"/>
    <n v="301828.59999999998"/>
    <n v="248207.6"/>
    <s v="Approved"/>
    <d v="2025-04-13T00:00:00"/>
    <x v="102"/>
    <n v="1"/>
    <x v="1"/>
    <x v="1"/>
    <n v="581570.97"/>
    <x v="0"/>
  </r>
  <r>
    <n v="254"/>
    <s v="Yash Singh"/>
    <x v="0"/>
    <n v="26"/>
    <x v="3"/>
    <n v="332752.40000000002"/>
    <x v="0"/>
    <n v="14592.61"/>
    <n v="402"/>
    <x v="3"/>
    <s v="RuPay"/>
    <n v="508494.97"/>
    <n v="175375.14"/>
    <s v="Rejected"/>
    <d v="2025-02-01T00:00:00"/>
    <x v="183"/>
    <n v="3"/>
    <x v="1"/>
    <x v="1"/>
    <n v="347345.01"/>
    <x v="0"/>
  </r>
  <r>
    <n v="255"/>
    <s v="Rahul Gupta"/>
    <x v="0"/>
    <n v="56"/>
    <x v="3"/>
    <n v="90237.34"/>
    <x v="1"/>
    <n v="31795.06"/>
    <n v="381"/>
    <x v="3"/>
    <s v="RuPay"/>
    <n v="176930.21"/>
    <n v="19915.080000000002"/>
    <s v="Approved"/>
    <d v="2025-02-06T00:00:00"/>
    <x v="58"/>
    <n v="4"/>
    <x v="0"/>
    <x v="0"/>
    <n v="122032.4"/>
    <x v="0"/>
  </r>
  <r>
    <n v="256"/>
    <s v="Nisha Mehta"/>
    <x v="1"/>
    <n v="32"/>
    <x v="3"/>
    <n v="213655.92"/>
    <x v="0"/>
    <n v="288268.79999999999"/>
    <n v="571"/>
    <x v="0"/>
    <s v="Visa"/>
    <n v="-61813.65"/>
    <n v="75717.41"/>
    <s v="Pending"/>
    <d v="2025-01-13T00:00:00"/>
    <x v="41"/>
    <n v="3"/>
    <x v="1"/>
    <x v="1"/>
    <n v="501924.72"/>
    <x v="0"/>
  </r>
  <r>
    <n v="257"/>
    <s v="Yash Singh"/>
    <x v="0"/>
    <n v="67"/>
    <x v="3"/>
    <n v="185734.11"/>
    <x v="2"/>
    <n v="289401.37"/>
    <n v="843"/>
    <x v="4"/>
    <s v="Visa"/>
    <n v="-95414.87"/>
    <n v="75821.64"/>
    <s v="Approved"/>
    <d v="2025-07-29T00:00:00"/>
    <x v="11"/>
    <n v="5"/>
    <x v="2"/>
    <x v="2"/>
    <n v="475135.48"/>
    <x v="0"/>
  </r>
  <r>
    <n v="258"/>
    <s v="Priya Desai"/>
    <x v="1"/>
    <n v="31"/>
    <x v="0"/>
    <n v="57646.05"/>
    <x v="1"/>
    <n v="207167.04"/>
    <n v="367"/>
    <x v="2"/>
    <s v="Visa"/>
    <n v="4170.79"/>
    <n v="50248.84"/>
    <s v="Pending"/>
    <d v="2025-11-03T00:00:00"/>
    <x v="71"/>
    <n v="3"/>
    <x v="0"/>
    <x v="0"/>
    <n v="264813.09000000003"/>
    <x v="0"/>
  </r>
  <r>
    <n v="259"/>
    <s v="Rahul Mehta"/>
    <x v="0"/>
    <n v="61"/>
    <x v="1"/>
    <n v="36229.360000000001"/>
    <x v="1"/>
    <n v="78526.990000000005"/>
    <n v="414"/>
    <x v="1"/>
    <s v="Visa"/>
    <n v="5520.33"/>
    <n v="206749.07"/>
    <s v="Approved"/>
    <d v="2025-01-13T00:00:00"/>
    <x v="132"/>
    <n v="1"/>
    <x v="1"/>
    <x v="1"/>
    <n v="114756.35"/>
    <x v="0"/>
  </r>
  <r>
    <n v="260"/>
    <s v="Arjun Gupta"/>
    <x v="0"/>
    <n v="31"/>
    <x v="2"/>
    <n v="392036.15"/>
    <x v="0"/>
    <n v="101167.24"/>
    <n v="801"/>
    <x v="0"/>
    <s v="Discover"/>
    <n v="334254.3"/>
    <n v="157662.35"/>
    <s v="Rejected"/>
    <d v="2025-11-30T00:00:00"/>
    <x v="50"/>
    <n v="2"/>
    <x v="2"/>
    <x v="2"/>
    <n v="493203.39"/>
    <x v="0"/>
  </r>
  <r>
    <n v="261"/>
    <s v="Meera Sharma"/>
    <x v="1"/>
    <n v="58"/>
    <x v="2"/>
    <n v="206282.97"/>
    <x v="0"/>
    <n v="186950.32"/>
    <n v="804"/>
    <x v="3"/>
    <s v="RuPay"/>
    <n v="94455.46"/>
    <n v="146650.63"/>
    <s v="Pending"/>
    <d v="2025-06-07T00:00:00"/>
    <x v="132"/>
    <n v="2"/>
    <x v="2"/>
    <x v="2"/>
    <n v="393233.29000000004"/>
    <x v="0"/>
  </r>
  <r>
    <n v="262"/>
    <s v="Karan Singh"/>
    <x v="0"/>
    <n v="49"/>
    <x v="4"/>
    <n v="393991.69"/>
    <x v="0"/>
    <n v="116293.99"/>
    <n v="595"/>
    <x v="4"/>
    <s v="Visa"/>
    <n v="460793.35"/>
    <n v="46326.33"/>
    <s v="Rejected"/>
    <d v="2025-01-11T00:00:00"/>
    <x v="184"/>
    <n v="4"/>
    <x v="1"/>
    <x v="1"/>
    <n v="510285.68"/>
    <x v="0"/>
  </r>
  <r>
    <n v="263"/>
    <s v="Meera Trivedi"/>
    <x v="1"/>
    <n v="47"/>
    <x v="2"/>
    <n v="467049.91"/>
    <x v="0"/>
    <n v="70282.5"/>
    <n v="427"/>
    <x v="1"/>
    <s v="Discover"/>
    <n v="499541.74"/>
    <n v="68760.72"/>
    <s v="Approved"/>
    <d v="2025-09-22T00:00:00"/>
    <x v="185"/>
    <n v="2"/>
    <x v="1"/>
    <x v="1"/>
    <n v="537332.40999999992"/>
    <x v="0"/>
  </r>
  <r>
    <n v="264"/>
    <s v="Kavya Patel"/>
    <x v="1"/>
    <n v="58"/>
    <x v="2"/>
    <n v="406886.41"/>
    <x v="0"/>
    <n v="270659.26"/>
    <n v="369"/>
    <x v="3"/>
    <s v="MasterCard"/>
    <n v="251014.24"/>
    <n v="71083.75"/>
    <s v="Approved"/>
    <d v="2025-04-06T00:00:00"/>
    <x v="96"/>
    <n v="5"/>
    <x v="0"/>
    <x v="0"/>
    <n v="677545.66999999993"/>
    <x v="0"/>
  </r>
  <r>
    <n v="265"/>
    <s v="Kavya Sharma"/>
    <x v="1"/>
    <n v="21"/>
    <x v="1"/>
    <n v="244522.05"/>
    <x v="0"/>
    <n v="276479.73"/>
    <n v="360"/>
    <x v="4"/>
    <s v="RuPay"/>
    <n v="70877.490000000005"/>
    <n v="44653.39"/>
    <s v="Rejected"/>
    <d v="2025-07-29T00:00:00"/>
    <x v="77"/>
    <n v="4"/>
    <x v="0"/>
    <x v="0"/>
    <n v="521001.77999999997"/>
    <x v="0"/>
  </r>
  <r>
    <n v="266"/>
    <s v="Kavya Gupta"/>
    <x v="1"/>
    <n v="63"/>
    <x v="1"/>
    <n v="442618.33"/>
    <x v="0"/>
    <n v="31124.61"/>
    <n v="323"/>
    <x v="0"/>
    <s v="Visa"/>
    <n v="522062.37"/>
    <n v="245439.58"/>
    <s v="Approved"/>
    <d v="2025-11-05T00:00:00"/>
    <x v="116"/>
    <n v="3"/>
    <x v="0"/>
    <x v="0"/>
    <n v="473742.94"/>
    <x v="0"/>
  </r>
  <r>
    <n v="267"/>
    <s v="Jay Shah"/>
    <x v="0"/>
    <n v="54"/>
    <x v="3"/>
    <n v="388185.56"/>
    <x v="0"/>
    <n v="105247.11"/>
    <n v="676"/>
    <x v="0"/>
    <s v="RuPay"/>
    <n v="361496.58"/>
    <n v="169668.3"/>
    <s v="Approved"/>
    <d v="2025-04-14T00:00:00"/>
    <x v="7"/>
    <n v="1"/>
    <x v="2"/>
    <x v="2"/>
    <n v="493432.67"/>
    <x v="0"/>
  </r>
  <r>
    <n v="268"/>
    <s v="Riya Desai"/>
    <x v="1"/>
    <n v="47"/>
    <x v="5"/>
    <n v="8046.31"/>
    <x v="1"/>
    <n v="217271.18"/>
    <n v="765"/>
    <x v="2"/>
    <s v="MasterCard"/>
    <n v="-12587.25"/>
    <n v="190765.38"/>
    <s v="Rejected"/>
    <d v="2025-04-11T00:00:00"/>
    <x v="60"/>
    <n v="2"/>
    <x v="2"/>
    <x v="2"/>
    <n v="225317.49"/>
    <x v="0"/>
  </r>
  <r>
    <n v="269"/>
    <s v="Priya Verma"/>
    <x v="1"/>
    <n v="67"/>
    <x v="0"/>
    <n v="315645.14"/>
    <x v="0"/>
    <n v="271663.84000000003"/>
    <n v="892"/>
    <x v="1"/>
    <s v="Discover"/>
    <n v="239945.24"/>
    <n v="205154.77"/>
    <s v="Approved"/>
    <d v="2025-02-08T00:00:00"/>
    <x v="186"/>
    <n v="1"/>
    <x v="2"/>
    <x v="2"/>
    <n v="587308.98"/>
    <x v="0"/>
  </r>
  <r>
    <n v="270"/>
    <s v="Arjun Joshi"/>
    <x v="0"/>
    <n v="40"/>
    <x v="2"/>
    <n v="427849.94"/>
    <x v="0"/>
    <n v="168436.84"/>
    <n v="514"/>
    <x v="0"/>
    <s v="Visa"/>
    <n v="417562.8"/>
    <n v="118001.24"/>
    <s v="Approved"/>
    <d v="2025-08-23T00:00:00"/>
    <x v="187"/>
    <n v="2"/>
    <x v="1"/>
    <x v="1"/>
    <n v="596286.78"/>
    <x v="0"/>
  </r>
  <r>
    <n v="271"/>
    <s v="Vihaan Sharma"/>
    <x v="0"/>
    <n v="32"/>
    <x v="4"/>
    <n v="157127.76"/>
    <x v="2"/>
    <n v="43701.279999999999"/>
    <n v="677"/>
    <x v="2"/>
    <s v="MasterCard"/>
    <n v="299201.01"/>
    <n v="94921.37"/>
    <s v="Rejected"/>
    <d v="2025-10-16T00:00:00"/>
    <x v="188"/>
    <n v="3"/>
    <x v="2"/>
    <x v="2"/>
    <n v="200829.04"/>
    <x v="0"/>
  </r>
  <r>
    <n v="272"/>
    <s v="Manav Desai"/>
    <x v="0"/>
    <n v="27"/>
    <x v="4"/>
    <n v="68324.009999999995"/>
    <x v="1"/>
    <n v="48817.23"/>
    <n v="364"/>
    <x v="3"/>
    <s v="RuPay"/>
    <n v="165215.84"/>
    <n v="124171.26"/>
    <s v="Pending"/>
    <d v="2025-04-20T00:00:00"/>
    <x v="189"/>
    <n v="1"/>
    <x v="0"/>
    <x v="0"/>
    <n v="117141.23999999999"/>
    <x v="0"/>
  </r>
  <r>
    <n v="273"/>
    <s v="Karan Joshi"/>
    <x v="0"/>
    <n v="23"/>
    <x v="0"/>
    <n v="136245.26999999999"/>
    <x v="2"/>
    <n v="217004.01"/>
    <n v="406"/>
    <x v="4"/>
    <s v="Discover"/>
    <n v="-2027.96"/>
    <n v="85157.08"/>
    <s v="Approved"/>
    <d v="2025-04-27T00:00:00"/>
    <x v="190"/>
    <n v="5"/>
    <x v="1"/>
    <x v="1"/>
    <n v="353249.28000000003"/>
    <x v="0"/>
  </r>
  <r>
    <n v="274"/>
    <s v="Arjun Shah"/>
    <x v="0"/>
    <n v="63"/>
    <x v="5"/>
    <n v="128886.1"/>
    <x v="2"/>
    <n v="86334.71"/>
    <n v="693"/>
    <x v="0"/>
    <s v="MasterCard"/>
    <n v="229547.51"/>
    <n v="177875.94"/>
    <s v="Pending"/>
    <d v="2025-09-22T00:00:00"/>
    <x v="64"/>
    <n v="2"/>
    <x v="2"/>
    <x v="2"/>
    <n v="215220.81"/>
    <x v="0"/>
  </r>
  <r>
    <n v="275"/>
    <s v="Kavya Gupta"/>
    <x v="1"/>
    <n v="38"/>
    <x v="1"/>
    <n v="174100.57"/>
    <x v="2"/>
    <n v="132904.56"/>
    <n v="747"/>
    <x v="0"/>
    <s v="MasterCard"/>
    <n v="197425.71"/>
    <n v="183802.85"/>
    <s v="Rejected"/>
    <d v="2025-10-14T00:00:00"/>
    <x v="96"/>
    <n v="2"/>
    <x v="2"/>
    <x v="2"/>
    <n v="307005.13"/>
    <x v="0"/>
  </r>
  <r>
    <n v="276"/>
    <s v="Diya Gupta"/>
    <x v="1"/>
    <n v="62"/>
    <x v="4"/>
    <n v="193256.18"/>
    <x v="2"/>
    <n v="37159.46"/>
    <n v="567"/>
    <x v="3"/>
    <s v="Visa"/>
    <n v="193807.71"/>
    <n v="72475.240000000005"/>
    <s v="Pending"/>
    <d v="2025-09-25T00:00:00"/>
    <x v="54"/>
    <n v="3"/>
    <x v="1"/>
    <x v="1"/>
    <n v="230415.63999999998"/>
    <x v="0"/>
  </r>
  <r>
    <n v="277"/>
    <s v="Nisha Patel"/>
    <x v="1"/>
    <n v="48"/>
    <x v="4"/>
    <n v="445705.34"/>
    <x v="0"/>
    <n v="117258.88"/>
    <n v="819"/>
    <x v="3"/>
    <s v="Visa"/>
    <n v="410982.49"/>
    <n v="207018.31"/>
    <s v="Rejected"/>
    <d v="2025-07-16T00:00:00"/>
    <x v="162"/>
    <n v="4"/>
    <x v="2"/>
    <x v="2"/>
    <n v="562964.22"/>
    <x v="0"/>
  </r>
  <r>
    <n v="278"/>
    <s v="Jay Joshi"/>
    <x v="0"/>
    <n v="65"/>
    <x v="5"/>
    <n v="39710.550000000003"/>
    <x v="1"/>
    <n v="243202.62"/>
    <n v="387"/>
    <x v="0"/>
    <s v="American Express"/>
    <n v="-78520.06"/>
    <n v="222160.88"/>
    <s v="Pending"/>
    <d v="2025-03-18T00:00:00"/>
    <x v="114"/>
    <n v="4"/>
    <x v="0"/>
    <x v="0"/>
    <n v="282913.17"/>
    <x v="0"/>
  </r>
  <r>
    <n v="279"/>
    <s v="Riya Desai"/>
    <x v="1"/>
    <n v="24"/>
    <x v="0"/>
    <n v="499839.2"/>
    <x v="0"/>
    <n v="82354.45"/>
    <n v="718"/>
    <x v="1"/>
    <s v="Visa"/>
    <n v="481841.91"/>
    <n v="128577.63"/>
    <s v="Rejected"/>
    <d v="2025-01-10T00:00:00"/>
    <x v="124"/>
    <n v="1"/>
    <x v="2"/>
    <x v="2"/>
    <n v="582193.65"/>
    <x v="0"/>
  </r>
  <r>
    <n v="280"/>
    <s v="Diya Verma"/>
    <x v="1"/>
    <n v="59"/>
    <x v="1"/>
    <n v="299993.89"/>
    <x v="0"/>
    <n v="52029.99"/>
    <n v="305"/>
    <x v="0"/>
    <s v="Discover"/>
    <n v="321344.37"/>
    <n v="100356.33"/>
    <s v="Approved"/>
    <d v="2025-10-17T00:00:00"/>
    <x v="191"/>
    <n v="2"/>
    <x v="0"/>
    <x v="0"/>
    <n v="352023.88"/>
    <x v="0"/>
  </r>
  <r>
    <n v="281"/>
    <s v="Nisha Trivedi"/>
    <x v="1"/>
    <n v="67"/>
    <x v="2"/>
    <n v="111346.51"/>
    <x v="2"/>
    <n v="123226.82"/>
    <n v="638"/>
    <x v="3"/>
    <s v="Discover"/>
    <n v="178987.38"/>
    <n v="238608.4"/>
    <s v="Pending"/>
    <d v="2025-11-21T00:00:00"/>
    <x v="192"/>
    <n v="1"/>
    <x v="2"/>
    <x v="2"/>
    <n v="234573.33000000002"/>
    <x v="0"/>
  </r>
  <r>
    <n v="282"/>
    <s v="Arjun Verma"/>
    <x v="0"/>
    <n v="20"/>
    <x v="1"/>
    <n v="163932.44"/>
    <x v="2"/>
    <n v="190861.78"/>
    <n v="595"/>
    <x v="0"/>
    <s v="MasterCard"/>
    <n v="57078.3"/>
    <n v="74064.289999999994"/>
    <s v="Approved"/>
    <d v="2025-10-04T00:00:00"/>
    <x v="193"/>
    <n v="3"/>
    <x v="1"/>
    <x v="1"/>
    <n v="354794.22"/>
    <x v="0"/>
  </r>
  <r>
    <n v="283"/>
    <s v="Yash Patel"/>
    <x v="0"/>
    <n v="24"/>
    <x v="0"/>
    <n v="361141.47"/>
    <x v="0"/>
    <n v="110430.38"/>
    <n v="407"/>
    <x v="3"/>
    <s v="RuPay"/>
    <n v="372793.57"/>
    <n v="134398.17000000001"/>
    <s v="Approved"/>
    <d v="2025-09-04T00:00:00"/>
    <x v="71"/>
    <n v="2"/>
    <x v="1"/>
    <x v="1"/>
    <n v="471571.85"/>
    <x v="0"/>
  </r>
  <r>
    <n v="284"/>
    <s v="Aarav Patel"/>
    <x v="0"/>
    <n v="33"/>
    <x v="0"/>
    <n v="212875.07"/>
    <x v="0"/>
    <n v="170516.44"/>
    <n v="429"/>
    <x v="0"/>
    <s v="MasterCard"/>
    <n v="59971.83"/>
    <n v="162828.32"/>
    <s v="Approved"/>
    <d v="2025-06-09T00:00:00"/>
    <x v="194"/>
    <n v="3"/>
    <x v="1"/>
    <x v="1"/>
    <n v="383391.51"/>
    <x v="0"/>
  </r>
  <r>
    <n v="285"/>
    <s v="Sneha Mehta"/>
    <x v="1"/>
    <n v="45"/>
    <x v="2"/>
    <n v="453785.96"/>
    <x v="0"/>
    <n v="117727.7"/>
    <n v="347"/>
    <x v="4"/>
    <s v="Discover"/>
    <n v="376961.25"/>
    <n v="145720.1"/>
    <s v="Rejected"/>
    <d v="2025-10-23T00:00:00"/>
    <x v="58"/>
    <n v="1"/>
    <x v="0"/>
    <x v="0"/>
    <n v="571513.66"/>
    <x v="0"/>
  </r>
  <r>
    <n v="286"/>
    <s v="Yash Sharma"/>
    <x v="0"/>
    <n v="23"/>
    <x v="1"/>
    <n v="121935.58"/>
    <x v="2"/>
    <n v="224055.29"/>
    <n v="578"/>
    <x v="4"/>
    <s v="American Express"/>
    <n v="73708.14"/>
    <n v="189702.46"/>
    <s v="Rejected"/>
    <d v="2025-05-04T00:00:00"/>
    <x v="195"/>
    <n v="5"/>
    <x v="1"/>
    <x v="1"/>
    <n v="345990.87"/>
    <x v="0"/>
  </r>
  <r>
    <n v="287"/>
    <s v="Anaya Desai"/>
    <x v="1"/>
    <n v="47"/>
    <x v="0"/>
    <n v="79504.479999999996"/>
    <x v="1"/>
    <n v="202597.87"/>
    <n v="341"/>
    <x v="1"/>
    <s v="American Express"/>
    <n v="3040.29"/>
    <n v="113107.8"/>
    <s v="Pending"/>
    <d v="2025-09-16T00:00:00"/>
    <x v="196"/>
    <n v="2"/>
    <x v="0"/>
    <x v="0"/>
    <n v="282102.34999999998"/>
    <x v="0"/>
  </r>
  <r>
    <n v="288"/>
    <s v="Pooja Mehta"/>
    <x v="1"/>
    <n v="23"/>
    <x v="2"/>
    <n v="375804.35"/>
    <x v="0"/>
    <n v="147605.47"/>
    <n v="316"/>
    <x v="4"/>
    <s v="RuPay"/>
    <n v="292068.40000000002"/>
    <n v="66988.740000000005"/>
    <s v="Pending"/>
    <d v="2025-04-25T00:00:00"/>
    <x v="7"/>
    <n v="4"/>
    <x v="0"/>
    <x v="0"/>
    <n v="523409.81999999995"/>
    <x v="0"/>
  </r>
  <r>
    <n v="289"/>
    <s v="Rahul Trivedi"/>
    <x v="0"/>
    <n v="49"/>
    <x v="4"/>
    <n v="187542.94"/>
    <x v="2"/>
    <n v="255556.54"/>
    <n v="478"/>
    <x v="2"/>
    <s v="Discover"/>
    <n v="25030.79"/>
    <n v="132644.82"/>
    <s v="Approved"/>
    <d v="2025-09-08T00:00:00"/>
    <x v="3"/>
    <n v="2"/>
    <x v="1"/>
    <x v="1"/>
    <n v="443099.48"/>
    <x v="0"/>
  </r>
  <r>
    <n v="290"/>
    <s v="Aditya Verma"/>
    <x v="0"/>
    <n v="58"/>
    <x v="2"/>
    <n v="34727.35"/>
    <x v="1"/>
    <n v="71954.89"/>
    <n v="824"/>
    <x v="3"/>
    <s v="Discover"/>
    <n v="109972.89"/>
    <n v="128777.01"/>
    <s v="Rejected"/>
    <d v="2025-05-26T00:00:00"/>
    <x v="197"/>
    <n v="2"/>
    <x v="2"/>
    <x v="2"/>
    <n v="106682.23999999999"/>
    <x v="0"/>
  </r>
  <r>
    <n v="291"/>
    <s v="Sneha Trivedi"/>
    <x v="1"/>
    <n v="48"/>
    <x v="1"/>
    <n v="275275.40000000002"/>
    <x v="0"/>
    <n v="286625.26"/>
    <n v="808"/>
    <x v="1"/>
    <s v="Discover"/>
    <n v="72753.89"/>
    <n v="104717.85"/>
    <s v="Rejected"/>
    <d v="2025-07-17T00:00:00"/>
    <x v="198"/>
    <n v="5"/>
    <x v="2"/>
    <x v="2"/>
    <n v="561900.66"/>
    <x v="0"/>
  </r>
  <r>
    <n v="292"/>
    <s v="Priya Patel"/>
    <x v="1"/>
    <n v="33"/>
    <x v="3"/>
    <n v="377451.77"/>
    <x v="0"/>
    <n v="216087.32"/>
    <n v="306"/>
    <x v="1"/>
    <s v="RuPay"/>
    <n v="173011.38"/>
    <n v="42609.61"/>
    <s v="Pending"/>
    <d v="2025-04-04T00:00:00"/>
    <x v="79"/>
    <n v="4"/>
    <x v="0"/>
    <x v="0"/>
    <n v="593539.09000000008"/>
    <x v="0"/>
  </r>
  <r>
    <n v="293"/>
    <s v="Karan Shah"/>
    <x v="0"/>
    <n v="70"/>
    <x v="1"/>
    <n v="342875.04"/>
    <x v="0"/>
    <n v="279237.53000000003"/>
    <n v="753"/>
    <x v="0"/>
    <s v="RuPay"/>
    <n v="72654.77"/>
    <n v="168533.63"/>
    <s v="Pending"/>
    <d v="2025-04-02T00:00:00"/>
    <x v="113"/>
    <n v="4"/>
    <x v="2"/>
    <x v="2"/>
    <n v="622112.57000000007"/>
    <x v="0"/>
  </r>
  <r>
    <n v="294"/>
    <s v="Arjun Patel"/>
    <x v="0"/>
    <n v="33"/>
    <x v="3"/>
    <n v="359137.59"/>
    <x v="0"/>
    <n v="286948.59000000003"/>
    <n v="777"/>
    <x v="2"/>
    <s v="American Express"/>
    <n v="90326.76"/>
    <n v="139491.48000000001"/>
    <s v="Approved"/>
    <d v="2025-10-01T00:00:00"/>
    <x v="66"/>
    <n v="1"/>
    <x v="2"/>
    <x v="2"/>
    <n v="646086.18000000005"/>
    <x v="0"/>
  </r>
  <r>
    <n v="295"/>
    <s v="Karan Joshi"/>
    <x v="0"/>
    <n v="62"/>
    <x v="1"/>
    <n v="53846.65"/>
    <x v="1"/>
    <n v="123674.5"/>
    <n v="799"/>
    <x v="2"/>
    <s v="MasterCard"/>
    <n v="-45107.67"/>
    <n v="108125.9"/>
    <s v="Pending"/>
    <d v="2025-01-14T00:00:00"/>
    <x v="199"/>
    <n v="5"/>
    <x v="2"/>
    <x v="2"/>
    <n v="177521.15"/>
    <x v="0"/>
  </r>
  <r>
    <n v="296"/>
    <s v="Aditya Trivedi"/>
    <x v="0"/>
    <n v="48"/>
    <x v="0"/>
    <n v="289387.74"/>
    <x v="0"/>
    <n v="172197.77"/>
    <n v="319"/>
    <x v="3"/>
    <s v="Visa"/>
    <n v="218781.73"/>
    <n v="188889.34"/>
    <s v="Pending"/>
    <d v="2025-04-03T00:00:00"/>
    <x v="200"/>
    <n v="4"/>
    <x v="0"/>
    <x v="0"/>
    <n v="461585.51"/>
    <x v="0"/>
  </r>
  <r>
    <n v="297"/>
    <s v="Sneha Mehta"/>
    <x v="1"/>
    <n v="63"/>
    <x v="4"/>
    <n v="400026.48"/>
    <x v="0"/>
    <n v="3018.19"/>
    <n v="413"/>
    <x v="3"/>
    <s v="Visa"/>
    <n v="478685.55"/>
    <n v="173709.59"/>
    <s v="Pending"/>
    <d v="2025-11-20T00:00:00"/>
    <x v="138"/>
    <n v="5"/>
    <x v="1"/>
    <x v="1"/>
    <n v="403044.67"/>
    <x v="0"/>
  </r>
  <r>
    <n v="298"/>
    <s v="Pooja Gupta"/>
    <x v="1"/>
    <n v="22"/>
    <x v="0"/>
    <n v="321316.68"/>
    <x v="0"/>
    <n v="23266.21"/>
    <n v="533"/>
    <x v="0"/>
    <s v="MasterCard"/>
    <n v="489856.32"/>
    <n v="37850.730000000003"/>
    <s v="Pending"/>
    <d v="2025-04-16T00:00:00"/>
    <x v="128"/>
    <n v="2"/>
    <x v="1"/>
    <x v="1"/>
    <n v="344582.89"/>
    <x v="0"/>
  </r>
  <r>
    <n v="299"/>
    <s v="Nisha Verma"/>
    <x v="1"/>
    <n v="43"/>
    <x v="4"/>
    <n v="386642.54"/>
    <x v="0"/>
    <n v="195452.87"/>
    <n v="659"/>
    <x v="3"/>
    <s v="American Express"/>
    <n v="282824.23"/>
    <n v="124208.96000000001"/>
    <s v="Approved"/>
    <d v="2025-03-11T00:00:00"/>
    <x v="92"/>
    <n v="1"/>
    <x v="2"/>
    <x v="2"/>
    <n v="582095.40999999992"/>
    <x v="0"/>
  </r>
  <r>
    <n v="300"/>
    <s v="Meera Joshi"/>
    <x v="1"/>
    <n v="51"/>
    <x v="5"/>
    <n v="243335.63"/>
    <x v="0"/>
    <n v="17586.47"/>
    <n v="323"/>
    <x v="4"/>
    <s v="RuPay"/>
    <n v="336062.49"/>
    <n v="187971.99"/>
    <s v="Pending"/>
    <d v="2025-08-23T00:00:00"/>
    <x v="201"/>
    <n v="4"/>
    <x v="0"/>
    <x v="0"/>
    <n v="260922.1"/>
    <x v="0"/>
  </r>
  <r>
    <n v="301"/>
    <s v="Aarav Desai"/>
    <x v="0"/>
    <n v="53"/>
    <x v="2"/>
    <n v="317161.01"/>
    <x v="0"/>
    <n v="22324.81"/>
    <n v="578"/>
    <x v="0"/>
    <s v="American Express"/>
    <n v="382932.69"/>
    <n v="68588.320000000007"/>
    <s v="Approved"/>
    <d v="2025-02-21T00:00:00"/>
    <x v="202"/>
    <n v="3"/>
    <x v="1"/>
    <x v="1"/>
    <n v="339485.82"/>
    <x v="0"/>
  </r>
  <r>
    <n v="302"/>
    <s v="Aditya Shah"/>
    <x v="0"/>
    <n v="34"/>
    <x v="3"/>
    <n v="416402.49"/>
    <x v="0"/>
    <n v="49674.84"/>
    <n v="361"/>
    <x v="1"/>
    <s v="MasterCard"/>
    <n v="528290.55000000005"/>
    <n v="88015.17"/>
    <s v="Approved"/>
    <d v="2025-05-11T00:00:00"/>
    <x v="203"/>
    <n v="3"/>
    <x v="0"/>
    <x v="0"/>
    <n v="466077.32999999996"/>
    <x v="0"/>
  </r>
  <r>
    <n v="303"/>
    <s v="Rohit Desai"/>
    <x v="0"/>
    <n v="53"/>
    <x v="4"/>
    <n v="46441.01"/>
    <x v="1"/>
    <n v="185668.27"/>
    <n v="682"/>
    <x v="3"/>
    <s v="Visa"/>
    <n v="-20266.169999999998"/>
    <n v="222906.08"/>
    <s v="Pending"/>
    <d v="2025-11-11T00:00:00"/>
    <x v="204"/>
    <n v="2"/>
    <x v="2"/>
    <x v="2"/>
    <n v="232109.28"/>
    <x v="0"/>
  </r>
  <r>
    <n v="304"/>
    <s v="Karan Verma"/>
    <x v="0"/>
    <n v="56"/>
    <x v="2"/>
    <n v="23711.599999999999"/>
    <x v="1"/>
    <n v="133649.26"/>
    <n v="530"/>
    <x v="1"/>
    <s v="RuPay"/>
    <n v="-10866.05"/>
    <n v="84767.82"/>
    <s v="Approved"/>
    <d v="2025-12-08T00:00:00"/>
    <x v="205"/>
    <n v="5"/>
    <x v="1"/>
    <x v="1"/>
    <n v="157360.86000000002"/>
    <x v="0"/>
  </r>
  <r>
    <n v="305"/>
    <s v="Sneha Singh"/>
    <x v="1"/>
    <n v="26"/>
    <x v="5"/>
    <n v="264686.61"/>
    <x v="0"/>
    <n v="206116.29"/>
    <n v="301"/>
    <x v="1"/>
    <s v="RuPay"/>
    <n v="233594.56"/>
    <n v="82755.34"/>
    <s v="Pending"/>
    <d v="2025-12-09T00:00:00"/>
    <x v="206"/>
    <n v="2"/>
    <x v="0"/>
    <x v="0"/>
    <n v="470802.9"/>
    <x v="0"/>
  </r>
  <r>
    <n v="306"/>
    <s v="Manav Gupta"/>
    <x v="0"/>
    <n v="52"/>
    <x v="4"/>
    <n v="406941.11"/>
    <x v="0"/>
    <n v="145773.87"/>
    <n v="844"/>
    <x v="2"/>
    <s v="MasterCard"/>
    <n v="272741.15999999997"/>
    <n v="50880.43"/>
    <s v="Pending"/>
    <d v="2025-11-07T00:00:00"/>
    <x v="51"/>
    <n v="1"/>
    <x v="2"/>
    <x v="2"/>
    <n v="552714.98"/>
    <x v="0"/>
  </r>
  <r>
    <n v="307"/>
    <s v="Arjun Trivedi"/>
    <x v="0"/>
    <n v="65"/>
    <x v="2"/>
    <n v="206753.91"/>
    <x v="0"/>
    <n v="113558.36"/>
    <n v="661"/>
    <x v="1"/>
    <s v="Discover"/>
    <n v="260149.38"/>
    <n v="132840.29999999999"/>
    <s v="Pending"/>
    <d v="2025-08-09T00:00:00"/>
    <x v="153"/>
    <n v="2"/>
    <x v="2"/>
    <x v="2"/>
    <n v="320312.27"/>
    <x v="0"/>
  </r>
  <r>
    <n v="308"/>
    <s v="Vihaan Shah"/>
    <x v="0"/>
    <n v="59"/>
    <x v="1"/>
    <n v="63107.040000000001"/>
    <x v="1"/>
    <n v="64705.66"/>
    <n v="737"/>
    <x v="1"/>
    <s v="Visa"/>
    <n v="81465.37"/>
    <n v="222309.01"/>
    <s v="Approved"/>
    <d v="2025-03-28T00:00:00"/>
    <x v="207"/>
    <n v="2"/>
    <x v="2"/>
    <x v="2"/>
    <n v="127812.70000000001"/>
    <x v="0"/>
  </r>
  <r>
    <n v="309"/>
    <s v="Vihaan Gupta"/>
    <x v="0"/>
    <n v="58"/>
    <x v="4"/>
    <n v="116566.14"/>
    <x v="2"/>
    <n v="76293.88"/>
    <n v="825"/>
    <x v="2"/>
    <s v="MasterCard"/>
    <n v="191742.99"/>
    <n v="50580.28"/>
    <s v="Rejected"/>
    <d v="2025-03-19T00:00:00"/>
    <x v="208"/>
    <n v="4"/>
    <x v="2"/>
    <x v="2"/>
    <n v="192860.02000000002"/>
    <x v="0"/>
  </r>
  <r>
    <n v="310"/>
    <s v="Priya Joshi"/>
    <x v="1"/>
    <n v="55"/>
    <x v="5"/>
    <n v="397978.5"/>
    <x v="0"/>
    <n v="5147.87"/>
    <n v="516"/>
    <x v="4"/>
    <s v="American Express"/>
    <n v="455906.63"/>
    <n v="162177.63"/>
    <s v="Pending"/>
    <d v="2025-09-08T00:00:00"/>
    <x v="128"/>
    <n v="3"/>
    <x v="1"/>
    <x v="1"/>
    <n v="403126.37"/>
    <x v="0"/>
  </r>
  <r>
    <n v="311"/>
    <s v="Kavya Shah"/>
    <x v="1"/>
    <n v="65"/>
    <x v="2"/>
    <n v="433881.19"/>
    <x v="0"/>
    <n v="114115.65"/>
    <n v="776"/>
    <x v="4"/>
    <s v="MasterCard"/>
    <n v="434036.93"/>
    <n v="155035.43"/>
    <s v="Approved"/>
    <d v="2025-10-21T00:00:00"/>
    <x v="146"/>
    <n v="3"/>
    <x v="2"/>
    <x v="2"/>
    <n v="547996.84"/>
    <x v="0"/>
  </r>
  <r>
    <n v="312"/>
    <s v="Karan Shah"/>
    <x v="0"/>
    <n v="42"/>
    <x v="5"/>
    <n v="321141.94"/>
    <x v="0"/>
    <n v="271456.42"/>
    <n v="467"/>
    <x v="2"/>
    <s v="Visa"/>
    <n v="231947.67"/>
    <n v="188926.34"/>
    <s v="Pending"/>
    <d v="2025-12-28T00:00:00"/>
    <x v="209"/>
    <n v="3"/>
    <x v="1"/>
    <x v="1"/>
    <n v="592598.36"/>
    <x v="0"/>
  </r>
  <r>
    <n v="313"/>
    <s v="Yash Shah"/>
    <x v="0"/>
    <n v="51"/>
    <x v="0"/>
    <n v="483089.3"/>
    <x v="0"/>
    <n v="275823.45"/>
    <n v="885"/>
    <x v="0"/>
    <s v="MasterCard"/>
    <n v="283777.25"/>
    <n v="67943.37"/>
    <s v="Pending"/>
    <d v="2025-06-06T00:00:00"/>
    <x v="86"/>
    <n v="3"/>
    <x v="2"/>
    <x v="2"/>
    <n v="758912.75"/>
    <x v="0"/>
  </r>
  <r>
    <n v="314"/>
    <s v="Rohit Mehta"/>
    <x v="0"/>
    <n v="62"/>
    <x v="0"/>
    <n v="103043.36"/>
    <x v="2"/>
    <n v="146270.54999999999"/>
    <n v="524"/>
    <x v="0"/>
    <s v="RuPay"/>
    <n v="-18519.04"/>
    <n v="134421.35999999999"/>
    <s v="Pending"/>
    <d v="2025-06-02T00:00:00"/>
    <x v="210"/>
    <n v="1"/>
    <x v="1"/>
    <x v="1"/>
    <n v="249313.90999999997"/>
    <x v="0"/>
  </r>
  <r>
    <n v="315"/>
    <s v="Riya Desai"/>
    <x v="1"/>
    <n v="67"/>
    <x v="3"/>
    <n v="116200.38"/>
    <x v="2"/>
    <n v="237881.86"/>
    <n v="386"/>
    <x v="4"/>
    <s v="RuPay"/>
    <n v="37255.07"/>
    <n v="198556.78"/>
    <s v="Approved"/>
    <d v="2025-11-30T00:00:00"/>
    <x v="113"/>
    <n v="4"/>
    <x v="0"/>
    <x v="0"/>
    <n v="354082.24"/>
    <x v="0"/>
  </r>
  <r>
    <n v="316"/>
    <s v="Rahul Singh"/>
    <x v="0"/>
    <n v="29"/>
    <x v="4"/>
    <n v="212062.36"/>
    <x v="0"/>
    <n v="17627.61"/>
    <n v="384"/>
    <x v="1"/>
    <s v="RuPay"/>
    <n v="240010.14"/>
    <n v="175375.4"/>
    <s v="Approved"/>
    <d v="2025-03-02T00:00:00"/>
    <x v="19"/>
    <n v="2"/>
    <x v="0"/>
    <x v="0"/>
    <n v="229689.96999999997"/>
    <x v="0"/>
  </r>
  <r>
    <n v="317"/>
    <s v="Rahul Joshi"/>
    <x v="0"/>
    <n v="66"/>
    <x v="2"/>
    <n v="45616.83"/>
    <x v="1"/>
    <n v="54655.31"/>
    <n v="432"/>
    <x v="4"/>
    <s v="Visa"/>
    <n v="28453.46"/>
    <n v="92717.75"/>
    <s v="Approved"/>
    <d v="2025-11-16T00:00:00"/>
    <x v="94"/>
    <n v="4"/>
    <x v="1"/>
    <x v="1"/>
    <n v="100272.14"/>
    <x v="0"/>
  </r>
  <r>
    <n v="318"/>
    <s v="Arjun Joshi"/>
    <x v="0"/>
    <n v="50"/>
    <x v="5"/>
    <n v="117796.29"/>
    <x v="2"/>
    <n v="273424.46999999997"/>
    <n v="827"/>
    <x v="2"/>
    <s v="MasterCard"/>
    <n v="-106419.28"/>
    <n v="230597.89"/>
    <s v="Approved"/>
    <d v="2025-06-17T00:00:00"/>
    <x v="15"/>
    <n v="1"/>
    <x v="2"/>
    <x v="2"/>
    <n v="391220.75999999995"/>
    <x v="0"/>
  </r>
  <r>
    <n v="319"/>
    <s v="Isha Shah"/>
    <x v="1"/>
    <n v="54"/>
    <x v="2"/>
    <n v="386092.98"/>
    <x v="0"/>
    <n v="125004.8"/>
    <n v="310"/>
    <x v="3"/>
    <s v="American Express"/>
    <n v="421758.37"/>
    <n v="150039.99"/>
    <s v="Approved"/>
    <d v="2025-05-22T00:00:00"/>
    <x v="38"/>
    <n v="3"/>
    <x v="0"/>
    <x v="0"/>
    <n v="511097.77999999997"/>
    <x v="0"/>
  </r>
  <r>
    <n v="320"/>
    <s v="Riya Patel"/>
    <x v="1"/>
    <n v="57"/>
    <x v="3"/>
    <n v="437515.21"/>
    <x v="0"/>
    <n v="17408.73"/>
    <n v="505"/>
    <x v="3"/>
    <s v="MasterCard"/>
    <n v="449193.78"/>
    <n v="111168.04"/>
    <s v="Pending"/>
    <d v="2025-04-20T00:00:00"/>
    <x v="131"/>
    <n v="3"/>
    <x v="1"/>
    <x v="1"/>
    <n v="454923.94"/>
    <x v="0"/>
  </r>
  <r>
    <n v="321"/>
    <s v="Aarav Verma"/>
    <x v="0"/>
    <n v="45"/>
    <x v="3"/>
    <n v="149511.82999999999"/>
    <x v="2"/>
    <n v="207331.95"/>
    <n v="765"/>
    <x v="1"/>
    <s v="MasterCard"/>
    <n v="13715.99"/>
    <n v="83138.86"/>
    <s v="Pending"/>
    <d v="2025-10-30T00:00:00"/>
    <x v="211"/>
    <n v="3"/>
    <x v="2"/>
    <x v="2"/>
    <n v="356843.78"/>
    <x v="0"/>
  </r>
  <r>
    <n v="322"/>
    <s v="Kavya Desai"/>
    <x v="1"/>
    <n v="55"/>
    <x v="5"/>
    <n v="491918.3"/>
    <x v="0"/>
    <n v="41585.660000000003"/>
    <n v="798"/>
    <x v="4"/>
    <s v="American Express"/>
    <n v="499199.26"/>
    <n v="65862.5"/>
    <s v="Pending"/>
    <d v="2025-05-22T00:00:00"/>
    <x v="201"/>
    <n v="1"/>
    <x v="2"/>
    <x v="2"/>
    <n v="533503.96"/>
    <x v="0"/>
  </r>
  <r>
    <n v="323"/>
    <s v="Vihaan Sharma"/>
    <x v="0"/>
    <n v="20"/>
    <x v="3"/>
    <n v="450142.28"/>
    <x v="0"/>
    <n v="25940.99"/>
    <n v="483"/>
    <x v="4"/>
    <s v="MasterCard"/>
    <n v="470316.47"/>
    <n v="32463.73"/>
    <s v="Rejected"/>
    <d v="2025-09-27T00:00:00"/>
    <x v="212"/>
    <n v="2"/>
    <x v="1"/>
    <x v="1"/>
    <n v="476083.27"/>
    <x v="0"/>
  </r>
  <r>
    <n v="324"/>
    <s v="Rohit Verma"/>
    <x v="0"/>
    <n v="36"/>
    <x v="2"/>
    <n v="295264.88"/>
    <x v="0"/>
    <n v="191811.71"/>
    <n v="542"/>
    <x v="2"/>
    <s v="American Express"/>
    <n v="303283.46000000002"/>
    <n v="214073.49"/>
    <s v="Rejected"/>
    <d v="2025-06-11T00:00:00"/>
    <x v="166"/>
    <n v="2"/>
    <x v="1"/>
    <x v="1"/>
    <n v="487076.58999999997"/>
    <x v="0"/>
  </r>
  <r>
    <n v="325"/>
    <s v="Karan Trivedi"/>
    <x v="0"/>
    <n v="51"/>
    <x v="0"/>
    <n v="420879.02"/>
    <x v="0"/>
    <n v="187407.28"/>
    <n v="803"/>
    <x v="4"/>
    <s v="RuPay"/>
    <n v="339237.97"/>
    <n v="32817.71"/>
    <s v="Pending"/>
    <d v="2025-02-16T00:00:00"/>
    <x v="213"/>
    <n v="3"/>
    <x v="2"/>
    <x v="2"/>
    <n v="608286.30000000005"/>
    <x v="0"/>
  </r>
  <r>
    <n v="326"/>
    <s v="Kavya Shah"/>
    <x v="1"/>
    <n v="35"/>
    <x v="1"/>
    <n v="340322.18"/>
    <x v="0"/>
    <n v="252194.33"/>
    <n v="793"/>
    <x v="1"/>
    <s v="American Express"/>
    <n v="105588.62"/>
    <n v="245131.75"/>
    <s v="Pending"/>
    <d v="2025-10-01T00:00:00"/>
    <x v="214"/>
    <n v="3"/>
    <x v="2"/>
    <x v="2"/>
    <n v="592516.51"/>
    <x v="0"/>
  </r>
  <r>
    <n v="327"/>
    <s v="Vihaan Singh"/>
    <x v="0"/>
    <n v="38"/>
    <x v="2"/>
    <n v="212369.69"/>
    <x v="0"/>
    <n v="32583.56"/>
    <n v="526"/>
    <x v="1"/>
    <s v="Discover"/>
    <n v="300737.77"/>
    <n v="76896.97"/>
    <s v="Approved"/>
    <d v="2025-09-30T00:00:00"/>
    <x v="118"/>
    <n v="5"/>
    <x v="1"/>
    <x v="1"/>
    <n v="244953.25"/>
    <x v="0"/>
  </r>
  <r>
    <n v="328"/>
    <s v="Rohit Joshi"/>
    <x v="0"/>
    <n v="55"/>
    <x v="4"/>
    <n v="154495.25"/>
    <x v="2"/>
    <n v="225348.1"/>
    <n v="721"/>
    <x v="2"/>
    <s v="Discover"/>
    <n v="22592.6"/>
    <n v="102389.05"/>
    <s v="Pending"/>
    <d v="2025-12-03T00:00:00"/>
    <x v="88"/>
    <n v="1"/>
    <x v="2"/>
    <x v="2"/>
    <n v="379843.35"/>
    <x v="0"/>
  </r>
  <r>
    <n v="329"/>
    <s v="Riya Patel"/>
    <x v="1"/>
    <n v="21"/>
    <x v="1"/>
    <n v="337415.57"/>
    <x v="0"/>
    <n v="216928.99"/>
    <n v="339"/>
    <x v="2"/>
    <s v="RuPay"/>
    <n v="198357.56"/>
    <n v="73297.210000000006"/>
    <s v="Rejected"/>
    <d v="2025-06-30T00:00:00"/>
    <x v="173"/>
    <n v="5"/>
    <x v="0"/>
    <x v="0"/>
    <n v="554344.56000000006"/>
    <x v="0"/>
  </r>
  <r>
    <n v="330"/>
    <s v="Pooja Shah"/>
    <x v="1"/>
    <n v="44"/>
    <x v="4"/>
    <n v="384190.15"/>
    <x v="0"/>
    <n v="223127.4"/>
    <n v="841"/>
    <x v="4"/>
    <s v="American Express"/>
    <n v="257104.31"/>
    <n v="50208.7"/>
    <s v="Pending"/>
    <d v="2025-07-27T00:00:00"/>
    <x v="215"/>
    <n v="5"/>
    <x v="2"/>
    <x v="2"/>
    <n v="607317.55000000005"/>
    <x v="0"/>
  </r>
  <r>
    <n v="331"/>
    <s v="Rahul Trivedi"/>
    <x v="0"/>
    <n v="62"/>
    <x v="0"/>
    <n v="272968.48"/>
    <x v="0"/>
    <n v="127380.97"/>
    <n v="806"/>
    <x v="2"/>
    <s v="American Express"/>
    <n v="250485.55"/>
    <n v="197252.4"/>
    <s v="Rejected"/>
    <d v="2025-05-30T00:00:00"/>
    <x v="26"/>
    <n v="4"/>
    <x v="2"/>
    <x v="2"/>
    <n v="400349.44999999995"/>
    <x v="0"/>
  </r>
  <r>
    <n v="332"/>
    <s v="Nisha Gupta"/>
    <x v="1"/>
    <n v="23"/>
    <x v="0"/>
    <n v="64222.81"/>
    <x v="1"/>
    <n v="131366.01"/>
    <n v="432"/>
    <x v="1"/>
    <s v="MasterCard"/>
    <n v="-20385.98"/>
    <n v="235910.84"/>
    <s v="Rejected"/>
    <d v="2025-05-15T00:00:00"/>
    <x v="216"/>
    <n v="3"/>
    <x v="1"/>
    <x v="1"/>
    <n v="195588.82"/>
    <x v="0"/>
  </r>
  <r>
    <n v="333"/>
    <s v="Riya Patel"/>
    <x v="1"/>
    <n v="47"/>
    <x v="0"/>
    <n v="218311.5"/>
    <x v="0"/>
    <n v="73110.66"/>
    <n v="478"/>
    <x v="2"/>
    <s v="RuPay"/>
    <n v="230674.91"/>
    <n v="104780.68"/>
    <s v="Approved"/>
    <d v="2025-09-17T00:00:00"/>
    <x v="119"/>
    <n v="4"/>
    <x v="1"/>
    <x v="1"/>
    <n v="291422.16000000003"/>
    <x v="0"/>
  </r>
  <r>
    <n v="334"/>
    <s v="Aarav Patel"/>
    <x v="0"/>
    <n v="19"/>
    <x v="0"/>
    <n v="197446.73"/>
    <x v="2"/>
    <n v="19124.03"/>
    <n v="386"/>
    <x v="2"/>
    <s v="American Express"/>
    <n v="282920.3"/>
    <n v="245483.63"/>
    <s v="Pending"/>
    <d v="2025-09-08T00:00:00"/>
    <x v="178"/>
    <n v="4"/>
    <x v="0"/>
    <x v="0"/>
    <n v="216570.76"/>
    <x v="0"/>
  </r>
  <r>
    <n v="335"/>
    <s v="Yash Singh"/>
    <x v="0"/>
    <n v="40"/>
    <x v="5"/>
    <n v="405947.59"/>
    <x v="0"/>
    <n v="284332.03000000003"/>
    <n v="767"/>
    <x v="1"/>
    <s v="Visa"/>
    <n v="315363.26"/>
    <n v="46329.99"/>
    <s v="Rejected"/>
    <d v="2025-07-03T00:00:00"/>
    <x v="217"/>
    <n v="4"/>
    <x v="2"/>
    <x v="2"/>
    <n v="690279.62000000011"/>
    <x v="0"/>
  </r>
  <r>
    <n v="336"/>
    <s v="Kavya Singh"/>
    <x v="1"/>
    <n v="63"/>
    <x v="0"/>
    <n v="321009"/>
    <x v="0"/>
    <n v="44832.9"/>
    <n v="325"/>
    <x v="4"/>
    <s v="RuPay"/>
    <n v="287937.43"/>
    <n v="27365.67"/>
    <s v="Approved"/>
    <d v="2025-12-30T00:00:00"/>
    <x v="218"/>
    <n v="1"/>
    <x v="0"/>
    <x v="0"/>
    <n v="365841.9"/>
    <x v="0"/>
  </r>
  <r>
    <n v="337"/>
    <s v="Isha Patel"/>
    <x v="1"/>
    <n v="62"/>
    <x v="1"/>
    <n v="497274.19"/>
    <x v="0"/>
    <n v="251484.74"/>
    <n v="839"/>
    <x v="1"/>
    <s v="RuPay"/>
    <n v="302069.59000000003"/>
    <n v="124903.84"/>
    <s v="Rejected"/>
    <d v="2025-02-08T00:00:00"/>
    <x v="219"/>
    <n v="2"/>
    <x v="2"/>
    <x v="2"/>
    <n v="748758.92999999993"/>
    <x v="0"/>
  </r>
  <r>
    <n v="338"/>
    <s v="Isha Verma"/>
    <x v="1"/>
    <n v="54"/>
    <x v="0"/>
    <n v="386146.16"/>
    <x v="0"/>
    <n v="291226.95"/>
    <n v="788"/>
    <x v="2"/>
    <s v="RuPay"/>
    <n v="199916.26"/>
    <n v="136607.82"/>
    <s v="Pending"/>
    <d v="2025-03-31T00:00:00"/>
    <x v="220"/>
    <n v="1"/>
    <x v="2"/>
    <x v="2"/>
    <n v="677373.11"/>
    <x v="0"/>
  </r>
  <r>
    <n v="339"/>
    <s v="Priya Mehta"/>
    <x v="1"/>
    <n v="30"/>
    <x v="1"/>
    <n v="54671.02"/>
    <x v="1"/>
    <n v="127142"/>
    <n v="794"/>
    <x v="3"/>
    <s v="MasterCard"/>
    <n v="57618.81"/>
    <n v="224183.09"/>
    <s v="Rejected"/>
    <d v="2025-01-04T00:00:00"/>
    <x v="221"/>
    <n v="1"/>
    <x v="2"/>
    <x v="2"/>
    <n v="181813.02"/>
    <x v="0"/>
  </r>
  <r>
    <n v="340"/>
    <s v="Pooja Desai"/>
    <x v="1"/>
    <n v="31"/>
    <x v="5"/>
    <n v="30109.05"/>
    <x v="1"/>
    <n v="290891.92"/>
    <n v="573"/>
    <x v="4"/>
    <s v="Visa"/>
    <n v="-189654.07"/>
    <n v="86996.44"/>
    <s v="Pending"/>
    <d v="2025-01-21T00:00:00"/>
    <x v="69"/>
    <n v="3"/>
    <x v="1"/>
    <x v="1"/>
    <n v="321000.96999999997"/>
    <x v="0"/>
  </r>
  <r>
    <n v="341"/>
    <s v="Kavya Mehta"/>
    <x v="1"/>
    <n v="42"/>
    <x v="1"/>
    <n v="228521.56"/>
    <x v="0"/>
    <n v="241884.18"/>
    <n v="771"/>
    <x v="4"/>
    <s v="Discover"/>
    <n v="28452.240000000002"/>
    <n v="210322.59"/>
    <s v="Rejected"/>
    <d v="2025-03-01T00:00:00"/>
    <x v="190"/>
    <n v="3"/>
    <x v="2"/>
    <x v="2"/>
    <n v="470405.74"/>
    <x v="0"/>
  </r>
  <r>
    <n v="342"/>
    <s v="Priya Joshi"/>
    <x v="1"/>
    <n v="41"/>
    <x v="1"/>
    <n v="141202.38"/>
    <x v="2"/>
    <n v="241276.37"/>
    <n v="460"/>
    <x v="4"/>
    <s v="RuPay"/>
    <n v="7327"/>
    <n v="37498.730000000003"/>
    <s v="Approved"/>
    <d v="2025-09-12T00:00:00"/>
    <x v="141"/>
    <n v="2"/>
    <x v="1"/>
    <x v="1"/>
    <n v="382478.75"/>
    <x v="0"/>
  </r>
  <r>
    <n v="343"/>
    <s v="Priya Joshi"/>
    <x v="1"/>
    <n v="36"/>
    <x v="4"/>
    <n v="390967.09"/>
    <x v="0"/>
    <n v="124325.43"/>
    <n v="579"/>
    <x v="2"/>
    <s v="American Express"/>
    <n v="280699.15999999997"/>
    <n v="108065.18"/>
    <s v="Approved"/>
    <d v="2025-09-13T00:00:00"/>
    <x v="133"/>
    <n v="2"/>
    <x v="1"/>
    <x v="1"/>
    <n v="515292.52"/>
    <x v="0"/>
  </r>
  <r>
    <n v="344"/>
    <s v="Jay Shah"/>
    <x v="0"/>
    <n v="64"/>
    <x v="5"/>
    <n v="125636.09"/>
    <x v="2"/>
    <n v="133239.1"/>
    <n v="463"/>
    <x v="2"/>
    <s v="MasterCard"/>
    <n v="7754.41"/>
    <n v="94788"/>
    <s v="Approved"/>
    <d v="2025-11-01T00:00:00"/>
    <x v="121"/>
    <n v="2"/>
    <x v="1"/>
    <x v="1"/>
    <n v="258875.19"/>
    <x v="0"/>
  </r>
  <r>
    <n v="345"/>
    <s v="Arjun Joshi"/>
    <x v="0"/>
    <n v="35"/>
    <x v="2"/>
    <n v="483129.03"/>
    <x v="0"/>
    <n v="64703.14"/>
    <n v="875"/>
    <x v="4"/>
    <s v="RuPay"/>
    <n v="533674.18000000005"/>
    <n v="143318.39999999999"/>
    <s v="Pending"/>
    <d v="2025-10-05T00:00:00"/>
    <x v="222"/>
    <n v="2"/>
    <x v="2"/>
    <x v="2"/>
    <n v="547832.17000000004"/>
    <x v="0"/>
  </r>
  <r>
    <n v="346"/>
    <s v="Rahul Desai"/>
    <x v="0"/>
    <n v="49"/>
    <x v="5"/>
    <n v="357370.07"/>
    <x v="0"/>
    <n v="290522.90000000002"/>
    <n v="591"/>
    <x v="3"/>
    <s v="American Express"/>
    <n v="116505.2"/>
    <n v="48962.96"/>
    <s v="Rejected"/>
    <d v="2025-07-17T00:00:00"/>
    <x v="223"/>
    <n v="5"/>
    <x v="1"/>
    <x v="1"/>
    <n v="647892.97"/>
    <x v="0"/>
  </r>
  <r>
    <n v="347"/>
    <s v="Jay Desai"/>
    <x v="0"/>
    <n v="42"/>
    <x v="5"/>
    <n v="19123.11"/>
    <x v="1"/>
    <n v="106032.92"/>
    <n v="339"/>
    <x v="4"/>
    <s v="Discover"/>
    <n v="40608.32"/>
    <n v="206809.5"/>
    <s v="Pending"/>
    <d v="2025-09-06T00:00:00"/>
    <x v="154"/>
    <n v="1"/>
    <x v="0"/>
    <x v="0"/>
    <n v="125156.03"/>
    <x v="0"/>
  </r>
  <r>
    <n v="348"/>
    <s v="Anaya Singh"/>
    <x v="1"/>
    <n v="50"/>
    <x v="1"/>
    <n v="454733.6"/>
    <x v="0"/>
    <n v="299395.27"/>
    <n v="644"/>
    <x v="2"/>
    <s v="American Express"/>
    <n v="355216.79"/>
    <n v="99986.1"/>
    <s v="Approved"/>
    <d v="2025-01-24T00:00:00"/>
    <x v="154"/>
    <n v="2"/>
    <x v="2"/>
    <x v="2"/>
    <n v="754128.87"/>
    <x v="0"/>
  </r>
  <r>
    <n v="349"/>
    <s v="Pooja Verma"/>
    <x v="1"/>
    <n v="68"/>
    <x v="2"/>
    <n v="99512.58"/>
    <x v="1"/>
    <n v="234859.17"/>
    <n v="499"/>
    <x v="0"/>
    <s v="MasterCard"/>
    <n v="-54849.11"/>
    <n v="209999.1"/>
    <s v="Rejected"/>
    <d v="2025-08-23T00:00:00"/>
    <x v="224"/>
    <n v="2"/>
    <x v="1"/>
    <x v="1"/>
    <n v="334371.75"/>
    <x v="0"/>
  </r>
  <r>
    <n v="350"/>
    <s v="Manav Desai"/>
    <x v="0"/>
    <n v="35"/>
    <x v="3"/>
    <n v="50834.080000000002"/>
    <x v="1"/>
    <n v="68004.55"/>
    <n v="660"/>
    <x v="3"/>
    <s v="American Express"/>
    <n v="72462.83"/>
    <n v="96662.54"/>
    <s v="Rejected"/>
    <d v="2025-06-05T00:00:00"/>
    <x v="225"/>
    <n v="2"/>
    <x v="2"/>
    <x v="2"/>
    <n v="118838.63"/>
    <x v="0"/>
  </r>
  <r>
    <n v="351"/>
    <s v="Priya Trivedi"/>
    <x v="1"/>
    <n v="62"/>
    <x v="1"/>
    <n v="426622"/>
    <x v="0"/>
    <n v="216950.63"/>
    <n v="361"/>
    <x v="0"/>
    <s v="RuPay"/>
    <n v="280557.86"/>
    <n v="211130.93"/>
    <s v="Pending"/>
    <d v="2025-03-31T00:00:00"/>
    <x v="170"/>
    <n v="2"/>
    <x v="0"/>
    <x v="0"/>
    <n v="643572.63"/>
    <x v="0"/>
  </r>
  <r>
    <n v="352"/>
    <s v="Arjun Desai"/>
    <x v="0"/>
    <n v="19"/>
    <x v="0"/>
    <n v="116191.07"/>
    <x v="2"/>
    <n v="38427.75"/>
    <n v="819"/>
    <x v="2"/>
    <s v="MasterCard"/>
    <n v="237381.75"/>
    <n v="193783.85"/>
    <s v="Approved"/>
    <d v="2025-04-25T00:00:00"/>
    <x v="56"/>
    <n v="1"/>
    <x v="2"/>
    <x v="2"/>
    <n v="154618.82"/>
    <x v="0"/>
  </r>
  <r>
    <n v="353"/>
    <s v="Meera Shah"/>
    <x v="1"/>
    <n v="39"/>
    <x v="1"/>
    <n v="151759.73000000001"/>
    <x v="2"/>
    <n v="170255.52"/>
    <n v="600"/>
    <x v="3"/>
    <s v="RuPay"/>
    <n v="117837.11"/>
    <n v="181174.6"/>
    <s v="Pending"/>
    <d v="2025-03-07T00:00:00"/>
    <x v="226"/>
    <n v="4"/>
    <x v="1"/>
    <x v="1"/>
    <n v="322015.25"/>
    <x v="0"/>
  </r>
  <r>
    <n v="354"/>
    <s v="Rohit Sharma"/>
    <x v="0"/>
    <n v="66"/>
    <x v="4"/>
    <n v="169185.51"/>
    <x v="2"/>
    <n v="251907.12"/>
    <n v="741"/>
    <x v="1"/>
    <s v="Visa"/>
    <n v="19063.560000000001"/>
    <n v="217896.87"/>
    <s v="Pending"/>
    <d v="2025-10-01T00:00:00"/>
    <x v="227"/>
    <n v="3"/>
    <x v="2"/>
    <x v="2"/>
    <n v="421092.63"/>
    <x v="0"/>
  </r>
  <r>
    <n v="355"/>
    <s v="Priya Singh"/>
    <x v="1"/>
    <n v="36"/>
    <x v="1"/>
    <n v="406499.72"/>
    <x v="0"/>
    <n v="11391.1"/>
    <n v="412"/>
    <x v="2"/>
    <s v="RuPay"/>
    <n v="568843.29"/>
    <n v="129318.64"/>
    <s v="Approved"/>
    <d v="2025-01-06T00:00:00"/>
    <x v="179"/>
    <n v="5"/>
    <x v="1"/>
    <x v="1"/>
    <n v="417890.81999999995"/>
    <x v="0"/>
  </r>
  <r>
    <n v="356"/>
    <s v="Anaya Trivedi"/>
    <x v="1"/>
    <n v="46"/>
    <x v="5"/>
    <n v="435963.38"/>
    <x v="0"/>
    <n v="196542.58"/>
    <n v="521"/>
    <x v="2"/>
    <s v="RuPay"/>
    <n v="307722.40999999997"/>
    <n v="124657.3"/>
    <s v="Rejected"/>
    <d v="2025-10-26T00:00:00"/>
    <x v="158"/>
    <n v="3"/>
    <x v="1"/>
    <x v="1"/>
    <n v="632505.96"/>
    <x v="0"/>
  </r>
  <r>
    <n v="357"/>
    <s v="Diya Shah"/>
    <x v="1"/>
    <n v="51"/>
    <x v="2"/>
    <n v="116196.11"/>
    <x v="2"/>
    <n v="203346.17"/>
    <n v="454"/>
    <x v="3"/>
    <s v="Visa"/>
    <n v="65318.239999999998"/>
    <n v="193000.24"/>
    <s v="Pending"/>
    <d v="2025-12-13T00:00:00"/>
    <x v="159"/>
    <n v="1"/>
    <x v="1"/>
    <x v="1"/>
    <n v="319542.28000000003"/>
    <x v="0"/>
  </r>
  <r>
    <n v="358"/>
    <s v="Rahul Gupta"/>
    <x v="0"/>
    <n v="34"/>
    <x v="3"/>
    <n v="402958.93"/>
    <x v="0"/>
    <n v="203822.35"/>
    <n v="546"/>
    <x v="1"/>
    <s v="American Express"/>
    <n v="342984.06"/>
    <n v="193158.86"/>
    <s v="Approved"/>
    <d v="2025-12-11T00:00:00"/>
    <x v="38"/>
    <n v="1"/>
    <x v="1"/>
    <x v="1"/>
    <n v="606781.28"/>
    <x v="0"/>
  </r>
  <r>
    <n v="359"/>
    <s v="Arjun Sharma"/>
    <x v="0"/>
    <n v="33"/>
    <x v="3"/>
    <n v="295237.37"/>
    <x v="0"/>
    <n v="148630.35"/>
    <n v="332"/>
    <x v="4"/>
    <s v="Visa"/>
    <n v="252602.19"/>
    <n v="18785.93"/>
    <s v="Rejected"/>
    <d v="2025-08-01T00:00:00"/>
    <x v="32"/>
    <n v="2"/>
    <x v="0"/>
    <x v="0"/>
    <n v="443867.72"/>
    <x v="0"/>
  </r>
  <r>
    <n v="360"/>
    <s v="Priya Shah"/>
    <x v="1"/>
    <n v="43"/>
    <x v="2"/>
    <n v="37484.46"/>
    <x v="1"/>
    <n v="79575.17"/>
    <n v="335"/>
    <x v="4"/>
    <s v="American Express"/>
    <n v="13582.32"/>
    <n v="141542.59"/>
    <s v="Approved"/>
    <d v="2025-05-07T00:00:00"/>
    <x v="79"/>
    <n v="4"/>
    <x v="0"/>
    <x v="0"/>
    <n v="117059.63"/>
    <x v="0"/>
  </r>
  <r>
    <n v="361"/>
    <s v="Meera Verma"/>
    <x v="1"/>
    <n v="65"/>
    <x v="3"/>
    <n v="215387.28"/>
    <x v="0"/>
    <n v="13805.11"/>
    <n v="803"/>
    <x v="3"/>
    <s v="MasterCard"/>
    <n v="232737.24"/>
    <n v="46375.39"/>
    <s v="Rejected"/>
    <d v="2025-08-14T00:00:00"/>
    <x v="228"/>
    <n v="3"/>
    <x v="2"/>
    <x v="2"/>
    <n v="229192.39"/>
    <x v="0"/>
  </r>
  <r>
    <n v="362"/>
    <s v="Rohit Shah"/>
    <x v="0"/>
    <n v="56"/>
    <x v="3"/>
    <n v="56083.68"/>
    <x v="1"/>
    <n v="223769.48"/>
    <n v="635"/>
    <x v="4"/>
    <s v="Visa"/>
    <n v="-52597.14"/>
    <n v="50931.63"/>
    <s v="Approved"/>
    <d v="2025-11-09T00:00:00"/>
    <x v="56"/>
    <n v="1"/>
    <x v="2"/>
    <x v="2"/>
    <n v="279853.16000000003"/>
    <x v="0"/>
  </r>
  <r>
    <n v="363"/>
    <s v="Aditya Patel"/>
    <x v="0"/>
    <n v="61"/>
    <x v="0"/>
    <n v="440771.28"/>
    <x v="0"/>
    <n v="157760.87"/>
    <n v="430"/>
    <x v="0"/>
    <s v="Discover"/>
    <n v="453773.22"/>
    <n v="178371.95"/>
    <s v="Approved"/>
    <d v="2025-08-20T00:00:00"/>
    <x v="128"/>
    <n v="1"/>
    <x v="1"/>
    <x v="1"/>
    <n v="598532.15"/>
    <x v="0"/>
  </r>
  <r>
    <n v="364"/>
    <s v="Manav Gupta"/>
    <x v="0"/>
    <n v="70"/>
    <x v="3"/>
    <n v="190608.66"/>
    <x v="2"/>
    <n v="149050.53"/>
    <n v="501"/>
    <x v="3"/>
    <s v="Visa"/>
    <n v="82863.31"/>
    <n v="181020.19"/>
    <s v="Pending"/>
    <d v="2025-07-22T00:00:00"/>
    <x v="229"/>
    <n v="3"/>
    <x v="1"/>
    <x v="1"/>
    <n v="339659.19"/>
    <x v="0"/>
  </r>
  <r>
    <n v="365"/>
    <s v="Yash Shah"/>
    <x v="0"/>
    <n v="69"/>
    <x v="0"/>
    <n v="157861.03"/>
    <x v="2"/>
    <n v="197337.57"/>
    <n v="532"/>
    <x v="1"/>
    <s v="Discover"/>
    <n v="121201.97"/>
    <n v="87372.36"/>
    <s v="Approved"/>
    <d v="2025-09-29T00:00:00"/>
    <x v="230"/>
    <n v="2"/>
    <x v="1"/>
    <x v="1"/>
    <n v="355198.6"/>
    <x v="0"/>
  </r>
  <r>
    <n v="366"/>
    <s v="Rohit Joshi"/>
    <x v="0"/>
    <n v="48"/>
    <x v="5"/>
    <n v="43119.14"/>
    <x v="1"/>
    <n v="110102.01"/>
    <n v="551"/>
    <x v="1"/>
    <s v="Visa"/>
    <n v="-52729.67"/>
    <n v="57814.42"/>
    <s v="Pending"/>
    <d v="2025-11-19T00:00:00"/>
    <x v="183"/>
    <n v="2"/>
    <x v="1"/>
    <x v="1"/>
    <n v="153221.15"/>
    <x v="0"/>
  </r>
  <r>
    <n v="367"/>
    <s v="Nisha Verma"/>
    <x v="1"/>
    <n v="59"/>
    <x v="1"/>
    <n v="63987.21"/>
    <x v="1"/>
    <n v="297318.75"/>
    <n v="649"/>
    <x v="0"/>
    <s v="MasterCard"/>
    <n v="-61492.07"/>
    <n v="190880.23"/>
    <s v="Pending"/>
    <d v="2025-08-15T00:00:00"/>
    <x v="64"/>
    <n v="1"/>
    <x v="2"/>
    <x v="2"/>
    <n v="361305.96"/>
    <x v="0"/>
  </r>
  <r>
    <n v="368"/>
    <s v="Kavya Desai"/>
    <x v="1"/>
    <n v="49"/>
    <x v="5"/>
    <n v="65221.75"/>
    <x v="1"/>
    <n v="140077.37"/>
    <n v="720"/>
    <x v="1"/>
    <s v="Discover"/>
    <n v="-18444.77"/>
    <n v="107950.38"/>
    <s v="Approved"/>
    <d v="2025-01-02T00:00:00"/>
    <x v="231"/>
    <n v="3"/>
    <x v="2"/>
    <x v="2"/>
    <n v="205299.12"/>
    <x v="0"/>
  </r>
  <r>
    <n v="369"/>
    <s v="Priya Singh"/>
    <x v="1"/>
    <n v="37"/>
    <x v="5"/>
    <n v="90866.23"/>
    <x v="1"/>
    <n v="162300.31"/>
    <n v="405"/>
    <x v="0"/>
    <s v="RuPay"/>
    <n v="62001.99"/>
    <n v="242019.1"/>
    <s v="Approved"/>
    <d v="2025-09-15T00:00:00"/>
    <x v="106"/>
    <n v="4"/>
    <x v="1"/>
    <x v="1"/>
    <n v="253166.53999999998"/>
    <x v="0"/>
  </r>
  <r>
    <n v="370"/>
    <s v="Manav Mehta"/>
    <x v="0"/>
    <n v="43"/>
    <x v="0"/>
    <n v="470656.13"/>
    <x v="0"/>
    <n v="192576.07"/>
    <n v="360"/>
    <x v="3"/>
    <s v="Visa"/>
    <n v="406044.61"/>
    <n v="32167.52"/>
    <s v="Approved"/>
    <d v="2025-09-27T00:00:00"/>
    <x v="232"/>
    <n v="3"/>
    <x v="0"/>
    <x v="0"/>
    <n v="663232.19999999995"/>
    <x v="0"/>
  </r>
  <r>
    <n v="371"/>
    <s v="Nisha Mehta"/>
    <x v="1"/>
    <n v="24"/>
    <x v="4"/>
    <n v="27958.18"/>
    <x v="1"/>
    <n v="112230.55"/>
    <n v="602"/>
    <x v="1"/>
    <s v="American Express"/>
    <n v="-70860.460000000006"/>
    <n v="209549.04"/>
    <s v="Approved"/>
    <d v="2025-02-26T00:00:00"/>
    <x v="233"/>
    <n v="4"/>
    <x v="2"/>
    <x v="2"/>
    <n v="140188.73000000001"/>
    <x v="0"/>
  </r>
  <r>
    <n v="372"/>
    <s v="Jay Patel"/>
    <x v="0"/>
    <n v="27"/>
    <x v="0"/>
    <n v="132843.79"/>
    <x v="2"/>
    <n v="34382.97"/>
    <n v="713"/>
    <x v="2"/>
    <s v="RuPay"/>
    <n v="137900.38"/>
    <n v="174075.29"/>
    <s v="Rejected"/>
    <d v="2025-01-14T00:00:00"/>
    <x v="172"/>
    <n v="5"/>
    <x v="2"/>
    <x v="2"/>
    <n v="167226.76"/>
    <x v="0"/>
  </r>
  <r>
    <n v="373"/>
    <s v="Diya Trivedi"/>
    <x v="1"/>
    <n v="23"/>
    <x v="3"/>
    <n v="473400.95"/>
    <x v="0"/>
    <n v="292005.2"/>
    <n v="369"/>
    <x v="1"/>
    <s v="MasterCard"/>
    <n v="369678.94"/>
    <n v="98754.89"/>
    <s v="Rejected"/>
    <d v="2025-07-11T00:00:00"/>
    <x v="234"/>
    <n v="1"/>
    <x v="0"/>
    <x v="0"/>
    <n v="765406.15"/>
    <x v="0"/>
  </r>
  <r>
    <n v="374"/>
    <s v="Manav Desai"/>
    <x v="0"/>
    <n v="26"/>
    <x v="0"/>
    <n v="186257.06"/>
    <x v="2"/>
    <n v="188503.49"/>
    <n v="345"/>
    <x v="0"/>
    <s v="RuPay"/>
    <n v="111897.49"/>
    <n v="19566.32"/>
    <s v="Pending"/>
    <d v="2025-12-21T00:00:00"/>
    <x v="235"/>
    <n v="2"/>
    <x v="0"/>
    <x v="0"/>
    <n v="374760.55"/>
    <x v="0"/>
  </r>
  <r>
    <n v="375"/>
    <s v="Aditya Desai"/>
    <x v="0"/>
    <n v="53"/>
    <x v="1"/>
    <n v="99501.65"/>
    <x v="1"/>
    <n v="30627.63"/>
    <n v="854"/>
    <x v="2"/>
    <s v="Discover"/>
    <n v="150203.76999999999"/>
    <n v="171469.57"/>
    <s v="Approved"/>
    <d v="2025-11-08T00:00:00"/>
    <x v="216"/>
    <n v="3"/>
    <x v="2"/>
    <x v="2"/>
    <n v="130129.28"/>
    <x v="0"/>
  </r>
  <r>
    <n v="376"/>
    <s v="Pooja Shah"/>
    <x v="1"/>
    <n v="35"/>
    <x v="1"/>
    <n v="392147.34"/>
    <x v="0"/>
    <n v="15558.78"/>
    <n v="823"/>
    <x v="0"/>
    <s v="Visa"/>
    <n v="501529.72"/>
    <n v="130263.88"/>
    <s v="Approved"/>
    <d v="2025-04-20T00:00:00"/>
    <x v="24"/>
    <n v="3"/>
    <x v="2"/>
    <x v="2"/>
    <n v="407706.12000000005"/>
    <x v="0"/>
  </r>
  <r>
    <n v="377"/>
    <s v="Diya Mehta"/>
    <x v="1"/>
    <n v="50"/>
    <x v="5"/>
    <n v="14371.42"/>
    <x v="1"/>
    <n v="143081.10999999999"/>
    <n v="487"/>
    <x v="3"/>
    <s v="American Express"/>
    <n v="-21936.78"/>
    <n v="47892.69"/>
    <s v="Rejected"/>
    <d v="2025-05-01T00:00:00"/>
    <x v="64"/>
    <n v="3"/>
    <x v="1"/>
    <x v="1"/>
    <n v="157452.53"/>
    <x v="0"/>
  </r>
  <r>
    <n v="378"/>
    <s v="Kavya Sharma"/>
    <x v="1"/>
    <n v="45"/>
    <x v="5"/>
    <n v="486416.64000000001"/>
    <x v="0"/>
    <n v="113689.22"/>
    <n v="394"/>
    <x v="1"/>
    <s v="Visa"/>
    <n v="427638.14"/>
    <n v="53914.43"/>
    <s v="Approved"/>
    <d v="2025-07-03T00:00:00"/>
    <x v="159"/>
    <n v="2"/>
    <x v="0"/>
    <x v="0"/>
    <n v="600105.86"/>
    <x v="0"/>
  </r>
  <r>
    <n v="379"/>
    <s v="Arjun Patel"/>
    <x v="0"/>
    <n v="32"/>
    <x v="2"/>
    <n v="90125.38"/>
    <x v="1"/>
    <n v="120673.56"/>
    <n v="865"/>
    <x v="1"/>
    <s v="American Express"/>
    <n v="37776.28"/>
    <n v="109296.28"/>
    <s v="Pending"/>
    <d v="2025-04-25T00:00:00"/>
    <x v="57"/>
    <n v="5"/>
    <x v="2"/>
    <x v="2"/>
    <n v="210798.94"/>
    <x v="0"/>
  </r>
  <r>
    <n v="380"/>
    <s v="Diya Desai"/>
    <x v="1"/>
    <n v="61"/>
    <x v="4"/>
    <n v="238788.67"/>
    <x v="0"/>
    <n v="71494.86"/>
    <n v="430"/>
    <x v="1"/>
    <s v="Visa"/>
    <n v="305584.23"/>
    <n v="239906.5"/>
    <s v="Approved"/>
    <d v="2025-06-05T00:00:00"/>
    <x v="71"/>
    <n v="3"/>
    <x v="1"/>
    <x v="1"/>
    <n v="310283.53000000003"/>
    <x v="0"/>
  </r>
  <r>
    <n v="381"/>
    <s v="Arjun Shah"/>
    <x v="0"/>
    <n v="44"/>
    <x v="2"/>
    <n v="495451.08"/>
    <x v="0"/>
    <n v="53712.75"/>
    <n v="688"/>
    <x v="3"/>
    <s v="RuPay"/>
    <n v="547110.41"/>
    <n v="105722.08"/>
    <s v="Approved"/>
    <d v="2025-09-14T00:00:00"/>
    <x v="154"/>
    <n v="1"/>
    <x v="2"/>
    <x v="2"/>
    <n v="549163.83000000007"/>
    <x v="0"/>
  </r>
  <r>
    <n v="382"/>
    <s v="Yash Verma"/>
    <x v="0"/>
    <n v="30"/>
    <x v="3"/>
    <n v="397221.19"/>
    <x v="0"/>
    <n v="3337.02"/>
    <n v="811"/>
    <x v="4"/>
    <s v="RuPay"/>
    <n v="549649.93000000005"/>
    <n v="132354.85999999999"/>
    <s v="Approved"/>
    <d v="2025-11-05T00:00:00"/>
    <x v="48"/>
    <n v="2"/>
    <x v="2"/>
    <x v="2"/>
    <n v="400558.21"/>
    <x v="0"/>
  </r>
  <r>
    <n v="383"/>
    <s v="Priya Mehta"/>
    <x v="1"/>
    <n v="62"/>
    <x v="5"/>
    <n v="434447.15"/>
    <x v="0"/>
    <n v="220818.11"/>
    <n v="370"/>
    <x v="1"/>
    <s v="MasterCard"/>
    <n v="388384.49"/>
    <n v="154810.10999999999"/>
    <s v="Pending"/>
    <d v="2025-07-09T00:00:00"/>
    <x v="148"/>
    <n v="1"/>
    <x v="0"/>
    <x v="0"/>
    <n v="655265.26"/>
    <x v="0"/>
  </r>
  <r>
    <n v="384"/>
    <s v="Arjun Gupta"/>
    <x v="0"/>
    <n v="31"/>
    <x v="5"/>
    <n v="67473.33"/>
    <x v="1"/>
    <n v="157719.39000000001"/>
    <n v="587"/>
    <x v="3"/>
    <s v="RuPay"/>
    <n v="-78532.41"/>
    <n v="64676.89"/>
    <s v="Approved"/>
    <d v="2025-09-10T00:00:00"/>
    <x v="236"/>
    <n v="2"/>
    <x v="1"/>
    <x v="1"/>
    <n v="225192.72000000003"/>
    <x v="0"/>
  </r>
  <r>
    <n v="385"/>
    <s v="Nisha Shah"/>
    <x v="1"/>
    <n v="59"/>
    <x v="3"/>
    <n v="406748.35"/>
    <x v="0"/>
    <n v="40087.370000000003"/>
    <n v="593"/>
    <x v="4"/>
    <s v="Visa"/>
    <n v="407853.42"/>
    <n v="119019.78"/>
    <s v="Rejected"/>
    <d v="2025-09-12T00:00:00"/>
    <x v="98"/>
    <n v="2"/>
    <x v="1"/>
    <x v="1"/>
    <n v="446835.72"/>
    <x v="0"/>
  </r>
  <r>
    <n v="386"/>
    <s v="Nisha Gupta"/>
    <x v="1"/>
    <n v="64"/>
    <x v="1"/>
    <n v="30827.27"/>
    <x v="1"/>
    <n v="99284.51"/>
    <n v="896"/>
    <x v="0"/>
    <s v="RuPay"/>
    <n v="493.43"/>
    <n v="202625.71"/>
    <s v="Pending"/>
    <d v="2025-04-05T00:00:00"/>
    <x v="96"/>
    <n v="4"/>
    <x v="2"/>
    <x v="2"/>
    <n v="130111.78"/>
    <x v="0"/>
  </r>
  <r>
    <n v="387"/>
    <s v="Rohit Gupta"/>
    <x v="0"/>
    <n v="18"/>
    <x v="3"/>
    <n v="316567.24"/>
    <x v="0"/>
    <n v="255287.53"/>
    <n v="402"/>
    <x v="1"/>
    <s v="American Express"/>
    <n v="141619.34"/>
    <n v="50476.09"/>
    <s v="Rejected"/>
    <d v="2025-01-23T00:00:00"/>
    <x v="32"/>
    <n v="1"/>
    <x v="1"/>
    <x v="1"/>
    <n v="571854.77"/>
    <x v="0"/>
  </r>
  <r>
    <n v="388"/>
    <s v="Isha Desai"/>
    <x v="1"/>
    <n v="41"/>
    <x v="4"/>
    <n v="305317.58"/>
    <x v="0"/>
    <n v="5159"/>
    <n v="736"/>
    <x v="2"/>
    <s v="Discover"/>
    <n v="308412.21000000002"/>
    <n v="43480.31"/>
    <s v="Rejected"/>
    <d v="2025-04-02T00:00:00"/>
    <x v="1"/>
    <n v="3"/>
    <x v="2"/>
    <x v="2"/>
    <n v="310476.58"/>
    <x v="0"/>
  </r>
  <r>
    <n v="389"/>
    <s v="Jay Joshi"/>
    <x v="0"/>
    <n v="40"/>
    <x v="2"/>
    <n v="21858.36"/>
    <x v="1"/>
    <n v="143266.07999999999"/>
    <n v="354"/>
    <x v="2"/>
    <s v="RuPay"/>
    <n v="-17614.46"/>
    <n v="100453.03"/>
    <s v="Pending"/>
    <d v="2025-10-06T00:00:00"/>
    <x v="237"/>
    <n v="1"/>
    <x v="0"/>
    <x v="0"/>
    <n v="165124.44"/>
    <x v="0"/>
  </r>
  <r>
    <n v="390"/>
    <s v="Aarav Joshi"/>
    <x v="0"/>
    <n v="29"/>
    <x v="1"/>
    <n v="123898.81"/>
    <x v="2"/>
    <n v="255232.67"/>
    <n v="341"/>
    <x v="0"/>
    <s v="Visa"/>
    <n v="-108491.74"/>
    <n v="18545.23"/>
    <s v="Approved"/>
    <d v="2025-09-02T00:00:00"/>
    <x v="86"/>
    <n v="5"/>
    <x v="0"/>
    <x v="0"/>
    <n v="379131.48"/>
    <x v="0"/>
  </r>
  <r>
    <n v="391"/>
    <s v="Karan Singh"/>
    <x v="0"/>
    <n v="35"/>
    <x v="1"/>
    <n v="46769.25"/>
    <x v="1"/>
    <n v="110831.62"/>
    <n v="575"/>
    <x v="3"/>
    <s v="American Express"/>
    <n v="-2241.48"/>
    <n v="103627.54"/>
    <s v="Pending"/>
    <d v="2025-03-01T00:00:00"/>
    <x v="238"/>
    <n v="5"/>
    <x v="1"/>
    <x v="1"/>
    <n v="157600.87"/>
    <x v="0"/>
  </r>
  <r>
    <n v="392"/>
    <s v="Isha Shah"/>
    <x v="1"/>
    <n v="33"/>
    <x v="3"/>
    <n v="199388.48"/>
    <x v="2"/>
    <n v="29110.42"/>
    <n v="372"/>
    <x v="4"/>
    <s v="American Express"/>
    <n v="288818.65000000002"/>
    <n v="91098.8"/>
    <s v="Rejected"/>
    <d v="2025-08-05T00:00:00"/>
    <x v="39"/>
    <n v="3"/>
    <x v="0"/>
    <x v="0"/>
    <n v="228498.90000000002"/>
    <x v="0"/>
  </r>
  <r>
    <n v="393"/>
    <s v="Yash Singh"/>
    <x v="0"/>
    <n v="33"/>
    <x v="1"/>
    <n v="80191.22"/>
    <x v="1"/>
    <n v="216251.13"/>
    <n v="640"/>
    <x v="1"/>
    <s v="Discover"/>
    <n v="40392.58"/>
    <n v="89984.57"/>
    <s v="Pending"/>
    <d v="2025-02-07T00:00:00"/>
    <x v="185"/>
    <n v="4"/>
    <x v="2"/>
    <x v="2"/>
    <n v="296442.34999999998"/>
    <x v="0"/>
  </r>
  <r>
    <n v="394"/>
    <s v="Yash Joshi"/>
    <x v="0"/>
    <n v="34"/>
    <x v="3"/>
    <n v="214836.33"/>
    <x v="0"/>
    <n v="24012.97"/>
    <n v="477"/>
    <x v="0"/>
    <s v="MasterCard"/>
    <n v="288925.77"/>
    <n v="82547.929999999993"/>
    <s v="Pending"/>
    <d v="2025-09-06T00:00:00"/>
    <x v="60"/>
    <n v="4"/>
    <x v="1"/>
    <x v="1"/>
    <n v="238849.3"/>
    <x v="0"/>
  </r>
  <r>
    <n v="395"/>
    <s v="Karan Trivedi"/>
    <x v="0"/>
    <n v="33"/>
    <x v="3"/>
    <n v="163781.26"/>
    <x v="2"/>
    <n v="203289"/>
    <n v="878"/>
    <x v="4"/>
    <s v="American Express"/>
    <n v="58112.79"/>
    <n v="202569.7"/>
    <s v="Pending"/>
    <d v="2025-07-18T00:00:00"/>
    <x v="239"/>
    <n v="5"/>
    <x v="2"/>
    <x v="2"/>
    <n v="367070.26"/>
    <x v="0"/>
  </r>
  <r>
    <n v="396"/>
    <s v="Anaya Trivedi"/>
    <x v="1"/>
    <n v="67"/>
    <x v="0"/>
    <n v="412296.07"/>
    <x v="0"/>
    <n v="47185.95"/>
    <n v="750"/>
    <x v="2"/>
    <s v="Visa"/>
    <n v="441072"/>
    <n v="162083.84"/>
    <s v="Pending"/>
    <d v="2025-06-01T00:00:00"/>
    <x v="240"/>
    <n v="1"/>
    <x v="2"/>
    <x v="2"/>
    <n v="459482.02"/>
    <x v="0"/>
  </r>
  <r>
    <n v="397"/>
    <s v="Anaya Singh"/>
    <x v="1"/>
    <n v="43"/>
    <x v="2"/>
    <n v="199852.92"/>
    <x v="2"/>
    <n v="245749.71"/>
    <n v="604"/>
    <x v="3"/>
    <s v="Visa"/>
    <n v="112277.38"/>
    <n v="127340.51"/>
    <s v="Pending"/>
    <d v="2025-08-31T00:00:00"/>
    <x v="162"/>
    <n v="2"/>
    <x v="2"/>
    <x v="2"/>
    <n v="445602.63"/>
    <x v="0"/>
  </r>
  <r>
    <n v="398"/>
    <s v="Arjun Mehta"/>
    <x v="0"/>
    <n v="45"/>
    <x v="0"/>
    <n v="123601.92"/>
    <x v="2"/>
    <n v="224975.64"/>
    <n v="503"/>
    <x v="3"/>
    <s v="MasterCard"/>
    <n v="32182.18"/>
    <n v="135716.57999999999"/>
    <s v="Approved"/>
    <d v="2025-02-24T00:00:00"/>
    <x v="153"/>
    <n v="4"/>
    <x v="1"/>
    <x v="1"/>
    <n v="348577.56"/>
    <x v="0"/>
  </r>
  <r>
    <n v="399"/>
    <s v="Diya Patel"/>
    <x v="1"/>
    <n v="41"/>
    <x v="2"/>
    <n v="117200.94"/>
    <x v="2"/>
    <n v="64374.720000000001"/>
    <n v="484"/>
    <x v="4"/>
    <s v="American Express"/>
    <n v="141687.22"/>
    <n v="47973.919999999998"/>
    <s v="Pending"/>
    <d v="2025-08-22T00:00:00"/>
    <x v="241"/>
    <n v="1"/>
    <x v="1"/>
    <x v="1"/>
    <n v="181575.66"/>
    <x v="0"/>
  </r>
  <r>
    <n v="400"/>
    <s v="Vihaan Singh"/>
    <x v="0"/>
    <n v="44"/>
    <x v="1"/>
    <n v="113382.39999999999"/>
    <x v="2"/>
    <n v="89446.74"/>
    <n v="470"/>
    <x v="3"/>
    <s v="RuPay"/>
    <n v="85348.05"/>
    <n v="140587.64000000001"/>
    <s v="Pending"/>
    <d v="2025-05-28T00:00:00"/>
    <x v="242"/>
    <n v="2"/>
    <x v="1"/>
    <x v="1"/>
    <n v="202829.14"/>
    <x v="0"/>
  </r>
  <r>
    <n v="401"/>
    <s v="Sneha Mehta"/>
    <x v="1"/>
    <n v="50"/>
    <x v="0"/>
    <n v="60273.2"/>
    <x v="1"/>
    <n v="107098.1"/>
    <n v="783"/>
    <x v="0"/>
    <s v="Visa"/>
    <n v="-2731.64"/>
    <n v="245704.61"/>
    <s v="Approved"/>
    <d v="2025-05-12T00:00:00"/>
    <x v="243"/>
    <n v="1"/>
    <x v="2"/>
    <x v="2"/>
    <n v="167371.29999999999"/>
    <x v="0"/>
  </r>
  <r>
    <n v="402"/>
    <s v="Pooja Desai"/>
    <x v="1"/>
    <n v="42"/>
    <x v="0"/>
    <n v="18907.43"/>
    <x v="1"/>
    <n v="289993.48"/>
    <n v="468"/>
    <x v="3"/>
    <s v="RuPay"/>
    <n v="-128989.4"/>
    <n v="151897.14000000001"/>
    <s v="Pending"/>
    <d v="2025-01-21T00:00:00"/>
    <x v="215"/>
    <n v="3"/>
    <x v="1"/>
    <x v="1"/>
    <n v="308900.90999999997"/>
    <x v="0"/>
  </r>
  <r>
    <n v="403"/>
    <s v="Rohit Sharma"/>
    <x v="0"/>
    <n v="32"/>
    <x v="2"/>
    <n v="318972.53000000003"/>
    <x v="0"/>
    <n v="192491.53"/>
    <n v="875"/>
    <x v="1"/>
    <s v="American Express"/>
    <n v="171648.88"/>
    <n v="135329.79999999999"/>
    <s v="Rejected"/>
    <d v="2025-01-08T00:00:00"/>
    <x v="197"/>
    <n v="5"/>
    <x v="2"/>
    <x v="2"/>
    <n v="511464.06000000006"/>
    <x v="0"/>
  </r>
  <r>
    <n v="404"/>
    <s v="Rohit Verma"/>
    <x v="0"/>
    <n v="51"/>
    <x v="4"/>
    <n v="353786.58"/>
    <x v="0"/>
    <n v="179937.17"/>
    <n v="864"/>
    <x v="0"/>
    <s v="Discover"/>
    <n v="361714.54"/>
    <n v="170596.99"/>
    <s v="Approved"/>
    <d v="2025-12-02T00:00:00"/>
    <x v="32"/>
    <n v="2"/>
    <x v="2"/>
    <x v="2"/>
    <n v="533723.75"/>
    <x v="0"/>
  </r>
  <r>
    <n v="405"/>
    <s v="Isha Verma"/>
    <x v="1"/>
    <n v="47"/>
    <x v="2"/>
    <n v="258999.77"/>
    <x v="0"/>
    <n v="203766.17"/>
    <n v="704"/>
    <x v="4"/>
    <s v="American Express"/>
    <n v="190917.42"/>
    <n v="63032.17"/>
    <s v="Rejected"/>
    <d v="2025-02-03T00:00:00"/>
    <x v="180"/>
    <n v="2"/>
    <x v="2"/>
    <x v="2"/>
    <n v="462765.94"/>
    <x v="0"/>
  </r>
  <r>
    <n v="406"/>
    <s v="Rohit Trivedi"/>
    <x v="0"/>
    <n v="51"/>
    <x v="0"/>
    <n v="345401"/>
    <x v="0"/>
    <n v="128755.64"/>
    <n v="590"/>
    <x v="4"/>
    <s v="American Express"/>
    <n v="284435.08"/>
    <n v="207032.61"/>
    <s v="Rejected"/>
    <d v="2025-10-15T00:00:00"/>
    <x v="244"/>
    <n v="5"/>
    <x v="1"/>
    <x v="1"/>
    <n v="474156.64"/>
    <x v="0"/>
  </r>
  <r>
    <n v="407"/>
    <s v="Meera Shah"/>
    <x v="1"/>
    <n v="31"/>
    <x v="3"/>
    <n v="269409.39"/>
    <x v="0"/>
    <n v="141094.26999999999"/>
    <n v="449"/>
    <x v="3"/>
    <s v="RuPay"/>
    <n v="142444.10999999999"/>
    <n v="36928.639999999999"/>
    <s v="Approved"/>
    <d v="2025-12-15T00:00:00"/>
    <x v="200"/>
    <n v="2"/>
    <x v="1"/>
    <x v="1"/>
    <n v="410503.66000000003"/>
    <x v="0"/>
  </r>
  <r>
    <n v="408"/>
    <s v="Anaya Mehta"/>
    <x v="1"/>
    <n v="66"/>
    <x v="3"/>
    <n v="8334.66"/>
    <x v="1"/>
    <n v="194178.67"/>
    <n v="752"/>
    <x v="0"/>
    <s v="RuPay"/>
    <n v="-69756.12"/>
    <n v="209690.7"/>
    <s v="Approved"/>
    <d v="2025-03-23T00:00:00"/>
    <x v="245"/>
    <n v="5"/>
    <x v="2"/>
    <x v="2"/>
    <n v="202513.33000000002"/>
    <x v="0"/>
  </r>
  <r>
    <n v="409"/>
    <s v="Manav Patel"/>
    <x v="0"/>
    <n v="18"/>
    <x v="0"/>
    <n v="208117.89"/>
    <x v="0"/>
    <n v="259655.15"/>
    <n v="467"/>
    <x v="1"/>
    <s v="Discover"/>
    <n v="140213.19"/>
    <n v="66551.56"/>
    <s v="Rejected"/>
    <d v="2025-01-19T00:00:00"/>
    <x v="53"/>
    <n v="5"/>
    <x v="1"/>
    <x v="1"/>
    <n v="467773.04000000004"/>
    <x v="0"/>
  </r>
  <r>
    <n v="410"/>
    <s v="Jay Patel"/>
    <x v="0"/>
    <n v="54"/>
    <x v="0"/>
    <n v="45005.82"/>
    <x v="1"/>
    <n v="205697.88"/>
    <n v="430"/>
    <x v="3"/>
    <s v="MasterCard"/>
    <n v="-61347.34"/>
    <n v="138127.04999999999"/>
    <s v="Approved"/>
    <d v="2025-02-05T00:00:00"/>
    <x v="29"/>
    <n v="4"/>
    <x v="1"/>
    <x v="1"/>
    <n v="250703.7"/>
    <x v="0"/>
  </r>
  <r>
    <n v="411"/>
    <s v="Karan Joshi"/>
    <x v="0"/>
    <n v="44"/>
    <x v="5"/>
    <n v="117583.47"/>
    <x v="2"/>
    <n v="78238.38"/>
    <n v="392"/>
    <x v="0"/>
    <s v="MasterCard"/>
    <n v="47390.17"/>
    <n v="128778.8"/>
    <s v="Pending"/>
    <d v="2025-04-04T00:00:00"/>
    <x v="241"/>
    <n v="2"/>
    <x v="0"/>
    <x v="0"/>
    <n v="195821.85"/>
    <x v="0"/>
  </r>
  <r>
    <n v="412"/>
    <s v="Manav Shah"/>
    <x v="0"/>
    <n v="43"/>
    <x v="2"/>
    <n v="352969.92"/>
    <x v="0"/>
    <n v="25942.3"/>
    <n v="686"/>
    <x v="2"/>
    <s v="American Express"/>
    <n v="409203.39"/>
    <n v="118887.05"/>
    <s v="Rejected"/>
    <d v="2025-04-13T00:00:00"/>
    <x v="33"/>
    <n v="2"/>
    <x v="2"/>
    <x v="2"/>
    <n v="378912.22"/>
    <x v="0"/>
  </r>
  <r>
    <n v="413"/>
    <s v="Rahul Verma"/>
    <x v="0"/>
    <n v="19"/>
    <x v="3"/>
    <n v="246626.09"/>
    <x v="0"/>
    <n v="138381.01999999999"/>
    <n v="858"/>
    <x v="3"/>
    <s v="Visa"/>
    <n v="130328.46"/>
    <n v="146402.14000000001"/>
    <s v="Pending"/>
    <d v="2025-01-27T00:00:00"/>
    <x v="112"/>
    <n v="2"/>
    <x v="2"/>
    <x v="2"/>
    <n v="385007.11"/>
    <x v="0"/>
  </r>
  <r>
    <n v="414"/>
    <s v="Jay Patel"/>
    <x v="0"/>
    <n v="44"/>
    <x v="0"/>
    <n v="358117.26"/>
    <x v="0"/>
    <n v="275393.98"/>
    <n v="499"/>
    <x v="1"/>
    <s v="American Express"/>
    <n v="132020.65"/>
    <n v="135948.70000000001"/>
    <s v="Approved"/>
    <d v="2025-03-13T00:00:00"/>
    <x v="55"/>
    <n v="3"/>
    <x v="1"/>
    <x v="1"/>
    <n v="633511.24"/>
    <x v="0"/>
  </r>
  <r>
    <n v="415"/>
    <s v="Rahul Singh"/>
    <x v="0"/>
    <n v="18"/>
    <x v="2"/>
    <n v="440320.8"/>
    <x v="0"/>
    <n v="267721.52"/>
    <n v="711"/>
    <x v="1"/>
    <s v="American Express"/>
    <n v="367006.71"/>
    <n v="26112.81"/>
    <s v="Pending"/>
    <d v="2025-06-14T00:00:00"/>
    <x v="246"/>
    <n v="4"/>
    <x v="2"/>
    <x v="2"/>
    <n v="708042.32000000007"/>
    <x v="0"/>
  </r>
  <r>
    <n v="416"/>
    <s v="Jay Trivedi"/>
    <x v="0"/>
    <n v="41"/>
    <x v="1"/>
    <n v="306609.46999999997"/>
    <x v="0"/>
    <n v="145381.88"/>
    <n v="670"/>
    <x v="3"/>
    <s v="Discover"/>
    <n v="174347.89"/>
    <n v="81512.02"/>
    <s v="Rejected"/>
    <d v="2025-12-03T00:00:00"/>
    <x v="247"/>
    <n v="3"/>
    <x v="2"/>
    <x v="2"/>
    <n v="451991.35"/>
    <x v="0"/>
  </r>
  <r>
    <n v="417"/>
    <s v="Yash Mehta"/>
    <x v="0"/>
    <n v="43"/>
    <x v="0"/>
    <n v="498901.48"/>
    <x v="0"/>
    <n v="19953.36"/>
    <n v="681"/>
    <x v="1"/>
    <s v="Discover"/>
    <n v="592708.49"/>
    <n v="235495.7"/>
    <s v="Approved"/>
    <d v="2025-10-17T00:00:00"/>
    <x v="248"/>
    <n v="1"/>
    <x v="2"/>
    <x v="2"/>
    <n v="518854.83999999997"/>
    <x v="0"/>
  </r>
  <r>
    <n v="418"/>
    <s v="Aarav Mehta"/>
    <x v="0"/>
    <n v="55"/>
    <x v="1"/>
    <n v="426956.75"/>
    <x v="0"/>
    <n v="202988.84"/>
    <n v="341"/>
    <x v="0"/>
    <s v="RuPay"/>
    <n v="320629.15999999997"/>
    <n v="233848.84"/>
    <s v="Pending"/>
    <d v="2025-08-17T00:00:00"/>
    <x v="70"/>
    <n v="4"/>
    <x v="0"/>
    <x v="0"/>
    <n v="629945.59"/>
    <x v="0"/>
  </r>
  <r>
    <n v="419"/>
    <s v="Priya Gupta"/>
    <x v="1"/>
    <n v="44"/>
    <x v="1"/>
    <n v="125196.28"/>
    <x v="2"/>
    <n v="74089.3"/>
    <n v="579"/>
    <x v="3"/>
    <s v="RuPay"/>
    <n v="103849.85"/>
    <n v="41945.93"/>
    <s v="Rejected"/>
    <d v="2025-03-27T00:00:00"/>
    <x v="225"/>
    <n v="1"/>
    <x v="1"/>
    <x v="1"/>
    <n v="199285.58000000002"/>
    <x v="0"/>
  </r>
  <r>
    <n v="420"/>
    <s v="Aarav Singh"/>
    <x v="0"/>
    <n v="69"/>
    <x v="5"/>
    <n v="448417.04"/>
    <x v="0"/>
    <n v="10531.14"/>
    <n v="849"/>
    <x v="4"/>
    <s v="Visa"/>
    <n v="595649.92000000004"/>
    <n v="168720.53"/>
    <s v="Approved"/>
    <d v="2025-04-16T00:00:00"/>
    <x v="213"/>
    <n v="5"/>
    <x v="2"/>
    <x v="2"/>
    <n v="458948.18"/>
    <x v="0"/>
  </r>
  <r>
    <n v="421"/>
    <s v="Pooja Singh"/>
    <x v="1"/>
    <n v="66"/>
    <x v="3"/>
    <n v="9240.57"/>
    <x v="1"/>
    <n v="214257.94"/>
    <n v="852"/>
    <x v="0"/>
    <s v="RuPay"/>
    <n v="-145506.79"/>
    <n v="169643.33"/>
    <s v="Approved"/>
    <d v="2025-05-02T00:00:00"/>
    <x v="249"/>
    <n v="2"/>
    <x v="2"/>
    <x v="2"/>
    <n v="223498.51"/>
    <x v="0"/>
  </r>
  <r>
    <n v="422"/>
    <s v="Diya Verma"/>
    <x v="1"/>
    <n v="29"/>
    <x v="4"/>
    <n v="196986.1"/>
    <x v="2"/>
    <n v="27334.01"/>
    <n v="709"/>
    <x v="0"/>
    <s v="Discover"/>
    <n v="265958.25"/>
    <n v="188363.29"/>
    <s v="Rejected"/>
    <d v="2025-08-04T00:00:00"/>
    <x v="250"/>
    <n v="4"/>
    <x v="2"/>
    <x v="2"/>
    <n v="224320.11000000002"/>
    <x v="0"/>
  </r>
  <r>
    <n v="423"/>
    <s v="Anaya Shah"/>
    <x v="1"/>
    <n v="32"/>
    <x v="1"/>
    <n v="363609"/>
    <x v="0"/>
    <n v="293682.45"/>
    <n v="477"/>
    <x v="1"/>
    <s v="MasterCard"/>
    <n v="109810.86"/>
    <n v="40973.94"/>
    <s v="Approved"/>
    <d v="2025-07-12T00:00:00"/>
    <x v="29"/>
    <n v="3"/>
    <x v="1"/>
    <x v="1"/>
    <n v="657291.44999999995"/>
    <x v="0"/>
  </r>
  <r>
    <n v="424"/>
    <s v="Priya Trivedi"/>
    <x v="1"/>
    <n v="27"/>
    <x v="2"/>
    <n v="176177.54"/>
    <x v="2"/>
    <n v="293584.78999999998"/>
    <n v="662"/>
    <x v="1"/>
    <s v="RuPay"/>
    <n v="51167.91"/>
    <n v="32162.02"/>
    <s v="Pending"/>
    <d v="2025-05-11T00:00:00"/>
    <x v="130"/>
    <n v="5"/>
    <x v="2"/>
    <x v="2"/>
    <n v="469762.32999999996"/>
    <x v="0"/>
  </r>
  <r>
    <n v="425"/>
    <s v="Sneha Trivedi"/>
    <x v="1"/>
    <n v="66"/>
    <x v="3"/>
    <n v="422356.4"/>
    <x v="0"/>
    <n v="125530.72"/>
    <n v="339"/>
    <x v="4"/>
    <s v="American Express"/>
    <n v="481210.48"/>
    <n v="105101.86"/>
    <s v="Approved"/>
    <d v="2025-10-24T00:00:00"/>
    <x v="88"/>
    <n v="2"/>
    <x v="0"/>
    <x v="0"/>
    <n v="547887.12"/>
    <x v="0"/>
  </r>
  <r>
    <n v="426"/>
    <s v="Priya Sharma"/>
    <x v="1"/>
    <n v="62"/>
    <x v="1"/>
    <n v="375962.86"/>
    <x v="0"/>
    <n v="291630.09000000003"/>
    <n v="807"/>
    <x v="2"/>
    <s v="Discover"/>
    <n v="159963.19"/>
    <n v="69181.710000000006"/>
    <s v="Rejected"/>
    <d v="2025-03-11T00:00:00"/>
    <x v="251"/>
    <n v="5"/>
    <x v="2"/>
    <x v="2"/>
    <n v="667592.94999999995"/>
    <x v="0"/>
  </r>
  <r>
    <n v="427"/>
    <s v="Nisha Trivedi"/>
    <x v="1"/>
    <n v="21"/>
    <x v="4"/>
    <n v="24746.89"/>
    <x v="1"/>
    <n v="2772.69"/>
    <n v="583"/>
    <x v="0"/>
    <s v="Visa"/>
    <n v="132849.63"/>
    <n v="142769.57999999999"/>
    <s v="Approved"/>
    <d v="2025-11-05T00:00:00"/>
    <x v="186"/>
    <n v="2"/>
    <x v="1"/>
    <x v="1"/>
    <n v="27519.579999999998"/>
    <x v="0"/>
  </r>
  <r>
    <n v="428"/>
    <s v="Manav Trivedi"/>
    <x v="0"/>
    <n v="27"/>
    <x v="0"/>
    <n v="108068.34"/>
    <x v="2"/>
    <n v="201177.21"/>
    <n v="530"/>
    <x v="2"/>
    <s v="Visa"/>
    <n v="-13737.9"/>
    <n v="70994.710000000006"/>
    <s v="Rejected"/>
    <d v="2025-10-27T00:00:00"/>
    <x v="236"/>
    <n v="1"/>
    <x v="1"/>
    <x v="1"/>
    <n v="309245.55"/>
    <x v="0"/>
  </r>
  <r>
    <n v="429"/>
    <s v="Karan Patel"/>
    <x v="0"/>
    <n v="23"/>
    <x v="0"/>
    <n v="267726.05"/>
    <x v="0"/>
    <n v="270036.02"/>
    <n v="813"/>
    <x v="0"/>
    <s v="Discover"/>
    <n v="112320.47"/>
    <n v="22297.74"/>
    <s v="Rejected"/>
    <d v="2025-05-02T00:00:00"/>
    <x v="95"/>
    <n v="4"/>
    <x v="2"/>
    <x v="2"/>
    <n v="537762.07000000007"/>
    <x v="0"/>
  </r>
  <r>
    <n v="430"/>
    <s v="Yash Gupta"/>
    <x v="0"/>
    <n v="27"/>
    <x v="3"/>
    <n v="291689.5"/>
    <x v="0"/>
    <n v="290835.38"/>
    <n v="583"/>
    <x v="4"/>
    <s v="Discover"/>
    <n v="28855.57"/>
    <n v="59044.24"/>
    <s v="Rejected"/>
    <d v="2025-07-25T00:00:00"/>
    <x v="37"/>
    <n v="4"/>
    <x v="1"/>
    <x v="1"/>
    <n v="582524.88"/>
    <x v="0"/>
  </r>
  <r>
    <n v="431"/>
    <s v="Aarav Singh"/>
    <x v="0"/>
    <n v="58"/>
    <x v="5"/>
    <n v="499731.86"/>
    <x v="0"/>
    <n v="90255.97"/>
    <n v="835"/>
    <x v="1"/>
    <s v="Discover"/>
    <n v="456323.16"/>
    <n v="159680.74"/>
    <s v="Pending"/>
    <d v="2025-08-10T00:00:00"/>
    <x v="182"/>
    <n v="2"/>
    <x v="2"/>
    <x v="2"/>
    <n v="589987.82999999996"/>
    <x v="0"/>
  </r>
  <r>
    <n v="432"/>
    <s v="Rahul Trivedi"/>
    <x v="0"/>
    <n v="21"/>
    <x v="0"/>
    <n v="265217.71999999997"/>
    <x v="0"/>
    <n v="180619.17"/>
    <n v="558"/>
    <x v="0"/>
    <s v="RuPay"/>
    <n v="204691.49"/>
    <n v="128148.9"/>
    <s v="Pending"/>
    <d v="2025-09-29T00:00:00"/>
    <x v="238"/>
    <n v="2"/>
    <x v="1"/>
    <x v="1"/>
    <n v="445836.89"/>
    <x v="0"/>
  </r>
  <r>
    <n v="433"/>
    <s v="Diya Shah"/>
    <x v="1"/>
    <n v="29"/>
    <x v="1"/>
    <n v="400975.2"/>
    <x v="0"/>
    <n v="80553.14"/>
    <n v="770"/>
    <x v="2"/>
    <s v="American Express"/>
    <n v="339351.92"/>
    <n v="83771.75"/>
    <s v="Pending"/>
    <d v="2025-12-12T00:00:00"/>
    <x v="252"/>
    <n v="5"/>
    <x v="2"/>
    <x v="2"/>
    <n v="481528.34"/>
    <x v="0"/>
  </r>
  <r>
    <n v="434"/>
    <s v="Aarav Mehta"/>
    <x v="0"/>
    <n v="51"/>
    <x v="0"/>
    <n v="496492.19"/>
    <x v="0"/>
    <n v="202171.09"/>
    <n v="826"/>
    <x v="1"/>
    <s v="Visa"/>
    <n v="341829.09"/>
    <n v="110329.92"/>
    <s v="Pending"/>
    <d v="2025-12-16T00:00:00"/>
    <x v="117"/>
    <n v="4"/>
    <x v="2"/>
    <x v="2"/>
    <n v="698663.28"/>
    <x v="0"/>
  </r>
  <r>
    <n v="435"/>
    <s v="Isha Verma"/>
    <x v="1"/>
    <n v="42"/>
    <x v="4"/>
    <n v="460149.52"/>
    <x v="0"/>
    <n v="204683.56"/>
    <n v="688"/>
    <x v="0"/>
    <s v="Visa"/>
    <n v="312299.3"/>
    <n v="206072.82"/>
    <s v="Approved"/>
    <d v="2025-10-22T00:00:00"/>
    <x v="96"/>
    <n v="4"/>
    <x v="2"/>
    <x v="2"/>
    <n v="664833.08000000007"/>
    <x v="0"/>
  </r>
  <r>
    <n v="436"/>
    <s v="Priya Sharma"/>
    <x v="1"/>
    <n v="25"/>
    <x v="2"/>
    <n v="337885.41"/>
    <x v="0"/>
    <n v="249538.6"/>
    <n v="450"/>
    <x v="4"/>
    <s v="American Express"/>
    <n v="260971.82"/>
    <n v="68343.539999999994"/>
    <s v="Pending"/>
    <d v="2025-11-09T00:00:00"/>
    <x v="253"/>
    <n v="4"/>
    <x v="1"/>
    <x v="1"/>
    <n v="587424.01"/>
    <x v="0"/>
  </r>
  <r>
    <n v="437"/>
    <s v="Manav Verma"/>
    <x v="0"/>
    <n v="40"/>
    <x v="5"/>
    <n v="417047.17"/>
    <x v="0"/>
    <n v="284972.36"/>
    <n v="337"/>
    <x v="4"/>
    <s v="Visa"/>
    <n v="281648.96999999997"/>
    <n v="196451.93"/>
    <s v="Pending"/>
    <d v="2025-04-05T00:00:00"/>
    <x v="57"/>
    <n v="5"/>
    <x v="0"/>
    <x v="0"/>
    <n v="702019.53"/>
    <x v="0"/>
  </r>
  <r>
    <n v="438"/>
    <s v="Aarav Sharma"/>
    <x v="0"/>
    <n v="26"/>
    <x v="3"/>
    <n v="297558.11"/>
    <x v="0"/>
    <n v="64735.86"/>
    <n v="844"/>
    <x v="0"/>
    <s v="RuPay"/>
    <n v="345630.65"/>
    <n v="140571.46"/>
    <s v="Pending"/>
    <d v="2025-03-26T00:00:00"/>
    <x v="254"/>
    <n v="4"/>
    <x v="2"/>
    <x v="2"/>
    <n v="362293.97"/>
    <x v="0"/>
  </r>
  <r>
    <n v="439"/>
    <s v="Aarav Desai"/>
    <x v="0"/>
    <n v="43"/>
    <x v="2"/>
    <n v="216656.48"/>
    <x v="0"/>
    <n v="296805.81"/>
    <n v="583"/>
    <x v="0"/>
    <s v="Visa"/>
    <n v="-66758.399999999994"/>
    <n v="217089.22"/>
    <s v="Pending"/>
    <d v="2025-05-06T00:00:00"/>
    <x v="238"/>
    <n v="5"/>
    <x v="1"/>
    <x v="1"/>
    <n v="513462.29000000004"/>
    <x v="0"/>
  </r>
  <r>
    <n v="440"/>
    <s v="Sneha Patel"/>
    <x v="1"/>
    <n v="32"/>
    <x v="1"/>
    <n v="115450.85"/>
    <x v="2"/>
    <n v="264618.51"/>
    <n v="517"/>
    <x v="2"/>
    <s v="MasterCard"/>
    <n v="-20794.669999999998"/>
    <n v="236996.51"/>
    <s v="Rejected"/>
    <d v="2025-02-10T00:00:00"/>
    <x v="219"/>
    <n v="4"/>
    <x v="1"/>
    <x v="1"/>
    <n v="380069.36"/>
    <x v="0"/>
  </r>
  <r>
    <n v="441"/>
    <s v="Isha Trivedi"/>
    <x v="1"/>
    <n v="20"/>
    <x v="3"/>
    <n v="470471.17"/>
    <x v="0"/>
    <n v="210579.32"/>
    <n v="468"/>
    <x v="0"/>
    <s v="American Express"/>
    <n v="309473.59999999998"/>
    <n v="162989.43"/>
    <s v="Rejected"/>
    <d v="2025-07-09T00:00:00"/>
    <x v="255"/>
    <n v="3"/>
    <x v="1"/>
    <x v="1"/>
    <n v="681050.49"/>
    <x v="0"/>
  </r>
  <r>
    <n v="442"/>
    <s v="Aarav Joshi"/>
    <x v="0"/>
    <n v="59"/>
    <x v="0"/>
    <n v="375663.17"/>
    <x v="0"/>
    <n v="52230.5"/>
    <n v="898"/>
    <x v="4"/>
    <s v="American Express"/>
    <n v="328438.02"/>
    <n v="121714.45"/>
    <s v="Approved"/>
    <d v="2025-12-15T00:00:00"/>
    <x v="38"/>
    <n v="1"/>
    <x v="2"/>
    <x v="2"/>
    <n v="427893.67"/>
    <x v="0"/>
  </r>
  <r>
    <n v="443"/>
    <s v="Meera Patel"/>
    <x v="1"/>
    <n v="40"/>
    <x v="1"/>
    <n v="434507.69"/>
    <x v="0"/>
    <n v="79638.05"/>
    <n v="760"/>
    <x v="0"/>
    <s v="American Express"/>
    <n v="451795.02"/>
    <n v="79915.77"/>
    <s v="Rejected"/>
    <d v="2025-09-25T00:00:00"/>
    <x v="180"/>
    <n v="1"/>
    <x v="2"/>
    <x v="2"/>
    <n v="514145.74"/>
    <x v="0"/>
  </r>
  <r>
    <n v="444"/>
    <s v="Yash Gupta"/>
    <x v="0"/>
    <n v="69"/>
    <x v="2"/>
    <n v="241861.93"/>
    <x v="0"/>
    <n v="261271.52"/>
    <n v="517"/>
    <x v="3"/>
    <s v="Visa"/>
    <n v="144076.29999999999"/>
    <n v="85060.88"/>
    <s v="Pending"/>
    <d v="2025-01-12T00:00:00"/>
    <x v="18"/>
    <n v="5"/>
    <x v="1"/>
    <x v="1"/>
    <n v="503133.44999999995"/>
    <x v="0"/>
  </r>
  <r>
    <n v="445"/>
    <s v="Anaya Patel"/>
    <x v="1"/>
    <n v="32"/>
    <x v="2"/>
    <n v="434068.11"/>
    <x v="0"/>
    <n v="148593.93"/>
    <n v="428"/>
    <x v="0"/>
    <s v="MasterCard"/>
    <n v="353917.88"/>
    <n v="48204.26"/>
    <s v="Approved"/>
    <d v="2025-03-29T00:00:00"/>
    <x v="256"/>
    <n v="3"/>
    <x v="1"/>
    <x v="1"/>
    <n v="582662.04"/>
    <x v="0"/>
  </r>
  <r>
    <n v="446"/>
    <s v="Aarav Gupta"/>
    <x v="0"/>
    <n v="27"/>
    <x v="4"/>
    <n v="482621.68"/>
    <x v="0"/>
    <n v="87933.98"/>
    <n v="874"/>
    <x v="4"/>
    <s v="RuPay"/>
    <n v="502893.02"/>
    <n v="41487.35"/>
    <s v="Rejected"/>
    <d v="2025-02-05T00:00:00"/>
    <x v="42"/>
    <n v="5"/>
    <x v="2"/>
    <x v="2"/>
    <n v="570555.66"/>
    <x v="0"/>
  </r>
  <r>
    <n v="447"/>
    <s v="Vihaan Singh"/>
    <x v="0"/>
    <n v="41"/>
    <x v="2"/>
    <n v="90273.29"/>
    <x v="1"/>
    <n v="118321.36"/>
    <n v="653"/>
    <x v="0"/>
    <s v="MasterCard"/>
    <n v="-6599.81"/>
    <n v="101565.89"/>
    <s v="Rejected"/>
    <d v="2025-08-09T00:00:00"/>
    <x v="223"/>
    <n v="3"/>
    <x v="2"/>
    <x v="2"/>
    <n v="208594.65"/>
    <x v="0"/>
  </r>
  <r>
    <n v="448"/>
    <s v="Karan Patel"/>
    <x v="0"/>
    <n v="57"/>
    <x v="3"/>
    <n v="311517.15999999997"/>
    <x v="0"/>
    <n v="41996.26"/>
    <n v="660"/>
    <x v="3"/>
    <s v="Visa"/>
    <n v="437263.53"/>
    <n v="73147.27"/>
    <s v="Rejected"/>
    <d v="2025-05-24T00:00:00"/>
    <x v="229"/>
    <n v="1"/>
    <x v="2"/>
    <x v="2"/>
    <n v="353513.42"/>
    <x v="0"/>
  </r>
  <r>
    <n v="449"/>
    <s v="Nisha Patel"/>
    <x v="1"/>
    <n v="36"/>
    <x v="5"/>
    <n v="423286.55"/>
    <x v="0"/>
    <n v="71660.929999999993"/>
    <n v="781"/>
    <x v="3"/>
    <s v="American Express"/>
    <n v="444572.19"/>
    <n v="151446.56"/>
    <s v="Rejected"/>
    <d v="2025-04-26T00:00:00"/>
    <x v="91"/>
    <n v="5"/>
    <x v="2"/>
    <x v="2"/>
    <n v="494947.48"/>
    <x v="0"/>
  </r>
  <r>
    <n v="450"/>
    <s v="Pooja Trivedi"/>
    <x v="1"/>
    <n v="49"/>
    <x v="2"/>
    <n v="24524.1"/>
    <x v="1"/>
    <n v="144419.47"/>
    <n v="759"/>
    <x v="3"/>
    <s v="RuPay"/>
    <n v="-79330.73"/>
    <n v="119592.16"/>
    <s v="Pending"/>
    <d v="2025-03-29T00:00:00"/>
    <x v="87"/>
    <n v="4"/>
    <x v="2"/>
    <x v="2"/>
    <n v="168943.57"/>
    <x v="0"/>
  </r>
  <r>
    <n v="451"/>
    <s v="Aditya Singh"/>
    <x v="0"/>
    <n v="54"/>
    <x v="4"/>
    <n v="93723.02"/>
    <x v="1"/>
    <n v="154315.78"/>
    <n v="415"/>
    <x v="2"/>
    <s v="American Express"/>
    <n v="18085.73"/>
    <n v="140881.19"/>
    <s v="Rejected"/>
    <d v="2025-04-06T00:00:00"/>
    <x v="47"/>
    <n v="1"/>
    <x v="1"/>
    <x v="1"/>
    <n v="248038.8"/>
    <x v="0"/>
  </r>
  <r>
    <n v="452"/>
    <s v="Karan Gupta"/>
    <x v="0"/>
    <n v="39"/>
    <x v="3"/>
    <n v="385694.29"/>
    <x v="0"/>
    <n v="5461.67"/>
    <n v="356"/>
    <x v="2"/>
    <s v="Visa"/>
    <n v="491511.58"/>
    <n v="30870.22"/>
    <s v="Rejected"/>
    <d v="2025-09-02T00:00:00"/>
    <x v="101"/>
    <n v="4"/>
    <x v="0"/>
    <x v="0"/>
    <n v="391155.95999999996"/>
    <x v="0"/>
  </r>
  <r>
    <n v="453"/>
    <s v="Rahul Trivedi"/>
    <x v="0"/>
    <n v="28"/>
    <x v="1"/>
    <n v="158905.99"/>
    <x v="2"/>
    <n v="38633.39"/>
    <n v="543"/>
    <x v="3"/>
    <s v="Discover"/>
    <n v="151823.87"/>
    <n v="19126.84"/>
    <s v="Pending"/>
    <d v="2025-12-22T00:00:00"/>
    <x v="257"/>
    <n v="5"/>
    <x v="1"/>
    <x v="1"/>
    <n v="197539.38"/>
    <x v="0"/>
  </r>
  <r>
    <n v="454"/>
    <s v="Nisha Singh"/>
    <x v="1"/>
    <n v="43"/>
    <x v="3"/>
    <n v="92430.77"/>
    <x v="1"/>
    <n v="37502.22"/>
    <n v="387"/>
    <x v="0"/>
    <s v="Visa"/>
    <n v="129917.58"/>
    <n v="229971.91"/>
    <s v="Rejected"/>
    <d v="2025-11-22T00:00:00"/>
    <x v="144"/>
    <n v="2"/>
    <x v="0"/>
    <x v="0"/>
    <n v="129932.99"/>
    <x v="0"/>
  </r>
  <r>
    <n v="455"/>
    <s v="Karan Shah"/>
    <x v="0"/>
    <n v="30"/>
    <x v="4"/>
    <n v="244723.61"/>
    <x v="0"/>
    <n v="178946.87"/>
    <n v="492"/>
    <x v="2"/>
    <s v="Discover"/>
    <n v="218780.28"/>
    <n v="203166.13"/>
    <s v="Rejected"/>
    <d v="2025-12-18T00:00:00"/>
    <x v="57"/>
    <n v="3"/>
    <x v="1"/>
    <x v="1"/>
    <n v="423670.48"/>
    <x v="0"/>
  </r>
  <r>
    <n v="456"/>
    <s v="Aditya Gupta"/>
    <x v="0"/>
    <n v="21"/>
    <x v="5"/>
    <n v="228306.23"/>
    <x v="0"/>
    <n v="274716.14"/>
    <n v="487"/>
    <x v="4"/>
    <s v="American Express"/>
    <n v="56048.25"/>
    <n v="23225.63"/>
    <s v="Pending"/>
    <d v="2025-04-29T00:00:00"/>
    <x v="214"/>
    <n v="2"/>
    <x v="1"/>
    <x v="1"/>
    <n v="503022.37"/>
    <x v="0"/>
  </r>
  <r>
    <n v="457"/>
    <s v="Meera Mehta"/>
    <x v="1"/>
    <n v="26"/>
    <x v="0"/>
    <n v="367551.46"/>
    <x v="0"/>
    <n v="18593.63"/>
    <n v="628"/>
    <x v="2"/>
    <s v="Visa"/>
    <n v="444738.74"/>
    <n v="214987.76"/>
    <s v="Rejected"/>
    <d v="2025-08-11T00:00:00"/>
    <x v="158"/>
    <n v="5"/>
    <x v="2"/>
    <x v="2"/>
    <n v="386145.09"/>
    <x v="0"/>
  </r>
  <r>
    <n v="458"/>
    <s v="Aarav Patel"/>
    <x v="0"/>
    <n v="32"/>
    <x v="4"/>
    <n v="144938.4"/>
    <x v="2"/>
    <n v="7381.38"/>
    <n v="547"/>
    <x v="0"/>
    <s v="Discover"/>
    <n v="305935.14"/>
    <n v="95791.64"/>
    <s v="Pending"/>
    <d v="2025-06-25T00:00:00"/>
    <x v="108"/>
    <n v="3"/>
    <x v="1"/>
    <x v="1"/>
    <n v="152319.78"/>
    <x v="0"/>
  </r>
  <r>
    <n v="459"/>
    <s v="Yash Shah"/>
    <x v="0"/>
    <n v="57"/>
    <x v="3"/>
    <n v="117233.59"/>
    <x v="2"/>
    <n v="71630.289999999994"/>
    <n v="652"/>
    <x v="3"/>
    <s v="Visa"/>
    <n v="74114"/>
    <n v="236362.65"/>
    <s v="Rejected"/>
    <d v="2025-03-28T00:00:00"/>
    <x v="207"/>
    <n v="2"/>
    <x v="2"/>
    <x v="2"/>
    <n v="188863.88"/>
    <x v="0"/>
  </r>
  <r>
    <n v="460"/>
    <s v="Manav Shah"/>
    <x v="0"/>
    <n v="68"/>
    <x v="4"/>
    <n v="215770.38"/>
    <x v="0"/>
    <n v="117766.56"/>
    <n v="357"/>
    <x v="2"/>
    <s v="RuPay"/>
    <n v="124909.72"/>
    <n v="40006.49"/>
    <s v="Pending"/>
    <d v="2025-11-15T00:00:00"/>
    <x v="185"/>
    <n v="2"/>
    <x v="0"/>
    <x v="0"/>
    <n v="333536.94"/>
    <x v="0"/>
  </r>
  <r>
    <n v="461"/>
    <s v="Arjun Mehta"/>
    <x v="0"/>
    <n v="49"/>
    <x v="0"/>
    <n v="479940.3"/>
    <x v="0"/>
    <n v="109699.25"/>
    <n v="316"/>
    <x v="2"/>
    <s v="MasterCard"/>
    <n v="410247.08"/>
    <n v="48749.8"/>
    <s v="Pending"/>
    <d v="2025-02-12T00:00:00"/>
    <x v="107"/>
    <n v="5"/>
    <x v="0"/>
    <x v="0"/>
    <n v="589639.55000000005"/>
    <x v="0"/>
  </r>
  <r>
    <n v="462"/>
    <s v="Nisha Patel"/>
    <x v="1"/>
    <n v="28"/>
    <x v="1"/>
    <n v="265111.73"/>
    <x v="0"/>
    <n v="201855.14"/>
    <n v="681"/>
    <x v="0"/>
    <s v="Discover"/>
    <n v="243062.98"/>
    <n v="140273.12"/>
    <s v="Approved"/>
    <d v="2025-07-09T00:00:00"/>
    <x v="258"/>
    <n v="3"/>
    <x v="2"/>
    <x v="2"/>
    <n v="466966.87"/>
    <x v="0"/>
  </r>
  <r>
    <n v="463"/>
    <s v="Yash Sharma"/>
    <x v="0"/>
    <n v="43"/>
    <x v="4"/>
    <n v="472307.22"/>
    <x v="0"/>
    <n v="170004.61"/>
    <n v="451"/>
    <x v="1"/>
    <s v="RuPay"/>
    <n v="414425.17"/>
    <n v="152555.92000000001"/>
    <s v="Rejected"/>
    <d v="2025-09-28T00:00:00"/>
    <x v="59"/>
    <n v="3"/>
    <x v="1"/>
    <x v="1"/>
    <n v="642311.82999999996"/>
    <x v="0"/>
  </r>
  <r>
    <n v="464"/>
    <s v="Rohit Gupta"/>
    <x v="0"/>
    <n v="33"/>
    <x v="3"/>
    <n v="207537.18"/>
    <x v="0"/>
    <n v="167614.46"/>
    <n v="618"/>
    <x v="4"/>
    <s v="American Express"/>
    <n v="194032.06"/>
    <n v="47022.57"/>
    <s v="Approved"/>
    <d v="2025-12-10T00:00:00"/>
    <x v="65"/>
    <n v="3"/>
    <x v="2"/>
    <x v="2"/>
    <n v="375151.64"/>
    <x v="0"/>
  </r>
  <r>
    <n v="465"/>
    <s v="Diya Desai"/>
    <x v="1"/>
    <n v="44"/>
    <x v="2"/>
    <n v="390816.79"/>
    <x v="0"/>
    <n v="81310.23"/>
    <n v="340"/>
    <x v="3"/>
    <s v="RuPay"/>
    <n v="370866.91"/>
    <n v="65629.73"/>
    <s v="Pending"/>
    <d v="2025-05-09T00:00:00"/>
    <x v="259"/>
    <n v="5"/>
    <x v="0"/>
    <x v="0"/>
    <n v="472127.01999999996"/>
    <x v="0"/>
  </r>
  <r>
    <n v="466"/>
    <s v="Kavya Joshi"/>
    <x v="1"/>
    <n v="39"/>
    <x v="1"/>
    <n v="180282.33"/>
    <x v="2"/>
    <n v="137729.82"/>
    <n v="793"/>
    <x v="3"/>
    <s v="RuPay"/>
    <n v="128399.19"/>
    <n v="20357.98"/>
    <s v="Approved"/>
    <d v="2025-04-12T00:00:00"/>
    <x v="23"/>
    <n v="5"/>
    <x v="2"/>
    <x v="2"/>
    <n v="318012.15000000002"/>
    <x v="0"/>
  </r>
  <r>
    <n v="467"/>
    <s v="Isha Joshi"/>
    <x v="1"/>
    <n v="57"/>
    <x v="0"/>
    <n v="373457.44"/>
    <x v="0"/>
    <n v="282602.32"/>
    <n v="658"/>
    <x v="1"/>
    <s v="American Express"/>
    <n v="134337.12"/>
    <n v="118037.11"/>
    <s v="Rejected"/>
    <d v="2025-12-18T00:00:00"/>
    <x v="70"/>
    <n v="4"/>
    <x v="2"/>
    <x v="2"/>
    <n v="656059.76"/>
    <x v="0"/>
  </r>
  <r>
    <n v="468"/>
    <s v="Diya Singh"/>
    <x v="1"/>
    <n v="39"/>
    <x v="3"/>
    <n v="236029.33"/>
    <x v="0"/>
    <n v="175258.51"/>
    <n v="623"/>
    <x v="1"/>
    <s v="RuPay"/>
    <n v="192386.1"/>
    <n v="135772.04999999999"/>
    <s v="Rejected"/>
    <d v="2025-11-23T00:00:00"/>
    <x v="190"/>
    <n v="5"/>
    <x v="2"/>
    <x v="2"/>
    <n v="411287.83999999997"/>
    <x v="0"/>
  </r>
  <r>
    <n v="469"/>
    <s v="Jay Trivedi"/>
    <x v="0"/>
    <n v="63"/>
    <x v="4"/>
    <n v="464883.75"/>
    <x v="0"/>
    <n v="33603.589999999997"/>
    <n v="336"/>
    <x v="3"/>
    <s v="American Express"/>
    <n v="468012.92"/>
    <n v="217193.78"/>
    <s v="Pending"/>
    <d v="2025-11-26T00:00:00"/>
    <x v="260"/>
    <n v="3"/>
    <x v="0"/>
    <x v="0"/>
    <n v="498487.33999999997"/>
    <x v="0"/>
  </r>
  <r>
    <n v="470"/>
    <s v="Meera Desai"/>
    <x v="1"/>
    <n v="63"/>
    <x v="4"/>
    <n v="358864.57"/>
    <x v="0"/>
    <n v="36075.97"/>
    <n v="592"/>
    <x v="4"/>
    <s v="RuPay"/>
    <n v="477298.9"/>
    <n v="235779.55"/>
    <s v="Pending"/>
    <d v="2025-12-26T00:00:00"/>
    <x v="221"/>
    <n v="2"/>
    <x v="1"/>
    <x v="1"/>
    <n v="394940.54000000004"/>
    <x v="0"/>
  </r>
  <r>
    <n v="471"/>
    <s v="Diya Trivedi"/>
    <x v="1"/>
    <n v="36"/>
    <x v="4"/>
    <n v="332738.44"/>
    <x v="0"/>
    <n v="49732.82"/>
    <n v="771"/>
    <x v="0"/>
    <s v="Discover"/>
    <n v="351258.73"/>
    <n v="194571.43"/>
    <s v="Approved"/>
    <d v="2025-02-18T00:00:00"/>
    <x v="261"/>
    <n v="2"/>
    <x v="2"/>
    <x v="2"/>
    <n v="382471.26"/>
    <x v="0"/>
  </r>
  <r>
    <n v="472"/>
    <s v="Jay Verma"/>
    <x v="0"/>
    <n v="27"/>
    <x v="0"/>
    <n v="222249.47"/>
    <x v="0"/>
    <n v="157774.38"/>
    <n v="392"/>
    <x v="1"/>
    <s v="Discover"/>
    <n v="121571.38"/>
    <n v="100635.46"/>
    <s v="Pending"/>
    <d v="2025-11-16T00:00:00"/>
    <x v="5"/>
    <n v="3"/>
    <x v="0"/>
    <x v="0"/>
    <n v="380023.85"/>
    <x v="0"/>
  </r>
  <r>
    <n v="473"/>
    <s v="Karan Joshi"/>
    <x v="0"/>
    <n v="49"/>
    <x v="2"/>
    <n v="355571.46"/>
    <x v="0"/>
    <n v="100325.97"/>
    <n v="846"/>
    <x v="4"/>
    <s v="MasterCard"/>
    <n v="379152.39"/>
    <n v="177054.86"/>
    <s v="Rejected"/>
    <d v="2025-04-15T00:00:00"/>
    <x v="81"/>
    <n v="1"/>
    <x v="2"/>
    <x v="2"/>
    <n v="455897.43000000005"/>
    <x v="0"/>
  </r>
  <r>
    <n v="474"/>
    <s v="Anaya Singh"/>
    <x v="1"/>
    <n v="27"/>
    <x v="2"/>
    <n v="405905.75"/>
    <x v="0"/>
    <n v="55388.639999999999"/>
    <n v="821"/>
    <x v="1"/>
    <s v="American Express"/>
    <n v="472413.92"/>
    <n v="195395.65"/>
    <s v="Pending"/>
    <d v="2025-11-01T00:00:00"/>
    <x v="262"/>
    <n v="3"/>
    <x v="2"/>
    <x v="2"/>
    <n v="461294.39"/>
    <x v="0"/>
  </r>
  <r>
    <n v="475"/>
    <s v="Diya Joshi"/>
    <x v="1"/>
    <n v="28"/>
    <x v="5"/>
    <n v="357779.99"/>
    <x v="0"/>
    <n v="118856.87"/>
    <n v="624"/>
    <x v="2"/>
    <s v="RuPay"/>
    <n v="410494.57"/>
    <n v="210037.18"/>
    <s v="Rejected"/>
    <d v="2025-05-19T00:00:00"/>
    <x v="210"/>
    <n v="4"/>
    <x v="2"/>
    <x v="2"/>
    <n v="476636.86"/>
    <x v="0"/>
  </r>
  <r>
    <n v="476"/>
    <s v="Pooja Gupta"/>
    <x v="1"/>
    <n v="23"/>
    <x v="1"/>
    <n v="63492"/>
    <x v="1"/>
    <n v="106152.46"/>
    <n v="693"/>
    <x v="0"/>
    <s v="Visa"/>
    <n v="-19775.52"/>
    <n v="107486.53"/>
    <s v="Approved"/>
    <d v="2025-11-23T00:00:00"/>
    <x v="5"/>
    <n v="4"/>
    <x v="2"/>
    <x v="2"/>
    <n v="169644.46000000002"/>
    <x v="0"/>
  </r>
  <r>
    <n v="477"/>
    <s v="Vihaan Shah"/>
    <x v="0"/>
    <n v="67"/>
    <x v="5"/>
    <n v="341504.82"/>
    <x v="0"/>
    <n v="174258"/>
    <n v="672"/>
    <x v="3"/>
    <s v="MasterCard"/>
    <n v="322737.90000000002"/>
    <n v="231127.13"/>
    <s v="Rejected"/>
    <d v="2025-09-04T00:00:00"/>
    <x v="148"/>
    <n v="4"/>
    <x v="2"/>
    <x v="2"/>
    <n v="515762.82"/>
    <x v="0"/>
  </r>
  <r>
    <n v="478"/>
    <s v="Meera Singh"/>
    <x v="1"/>
    <n v="69"/>
    <x v="2"/>
    <n v="260446.11"/>
    <x v="0"/>
    <n v="111231.17"/>
    <n v="433"/>
    <x v="4"/>
    <s v="MasterCard"/>
    <n v="199440"/>
    <n v="32282.65"/>
    <s v="Approved"/>
    <d v="2025-06-11T00:00:00"/>
    <x v="253"/>
    <n v="3"/>
    <x v="1"/>
    <x v="1"/>
    <n v="371677.27999999997"/>
    <x v="0"/>
  </r>
  <r>
    <n v="479"/>
    <s v="Rohit Sharma"/>
    <x v="0"/>
    <n v="54"/>
    <x v="2"/>
    <n v="495576.78"/>
    <x v="0"/>
    <n v="26463.9"/>
    <n v="830"/>
    <x v="0"/>
    <s v="Discover"/>
    <n v="615124.38"/>
    <n v="103743.35"/>
    <s v="Approved"/>
    <d v="2025-09-09T00:00:00"/>
    <x v="240"/>
    <n v="3"/>
    <x v="2"/>
    <x v="2"/>
    <n v="522040.68000000005"/>
    <x v="0"/>
  </r>
  <r>
    <n v="480"/>
    <s v="Jay Singh"/>
    <x v="0"/>
    <n v="28"/>
    <x v="0"/>
    <n v="207353.31"/>
    <x v="0"/>
    <n v="269627.92"/>
    <n v="481"/>
    <x v="0"/>
    <s v="RuPay"/>
    <n v="-23867.61"/>
    <n v="156440.29999999999"/>
    <s v="Approved"/>
    <d v="2025-06-03T00:00:00"/>
    <x v="263"/>
    <n v="1"/>
    <x v="1"/>
    <x v="1"/>
    <n v="476981.23"/>
    <x v="0"/>
  </r>
  <r>
    <n v="481"/>
    <s v="Karan Mehta"/>
    <x v="0"/>
    <n v="43"/>
    <x v="0"/>
    <n v="488268.97"/>
    <x v="0"/>
    <n v="11371.21"/>
    <n v="710"/>
    <x v="4"/>
    <s v="Discover"/>
    <n v="526988.27"/>
    <n v="23777.09"/>
    <s v="Approved"/>
    <d v="2025-10-22T00:00:00"/>
    <x v="133"/>
    <n v="1"/>
    <x v="2"/>
    <x v="2"/>
    <n v="499640.18"/>
    <x v="0"/>
  </r>
  <r>
    <n v="482"/>
    <s v="Meera Singh"/>
    <x v="1"/>
    <n v="41"/>
    <x v="3"/>
    <n v="33424.65"/>
    <x v="1"/>
    <n v="130147.25"/>
    <n v="341"/>
    <x v="3"/>
    <s v="Discover"/>
    <n v="101791.5"/>
    <n v="57536.66"/>
    <s v="Approved"/>
    <d v="2025-03-16T00:00:00"/>
    <x v="38"/>
    <n v="4"/>
    <x v="0"/>
    <x v="0"/>
    <n v="163571.9"/>
    <x v="0"/>
  </r>
  <r>
    <n v="483"/>
    <s v="Rohit Gupta"/>
    <x v="0"/>
    <n v="21"/>
    <x v="4"/>
    <n v="402414.74"/>
    <x v="0"/>
    <n v="266905.07"/>
    <n v="828"/>
    <x v="2"/>
    <s v="American Express"/>
    <n v="141999.28"/>
    <n v="218007.25"/>
    <s v="Pending"/>
    <d v="2025-06-14T00:00:00"/>
    <x v="264"/>
    <n v="4"/>
    <x v="2"/>
    <x v="2"/>
    <n v="669319.81000000006"/>
    <x v="0"/>
  </r>
  <r>
    <n v="484"/>
    <s v="Meera Shah"/>
    <x v="1"/>
    <n v="28"/>
    <x v="4"/>
    <n v="486639.6"/>
    <x v="0"/>
    <n v="38789.14"/>
    <n v="825"/>
    <x v="0"/>
    <s v="MasterCard"/>
    <n v="525058.87"/>
    <n v="81938.09"/>
    <s v="Approved"/>
    <d v="2025-01-16T00:00:00"/>
    <x v="245"/>
    <n v="3"/>
    <x v="2"/>
    <x v="2"/>
    <n v="525428.74"/>
    <x v="0"/>
  </r>
  <r>
    <n v="485"/>
    <s v="Meera Patel"/>
    <x v="1"/>
    <n v="57"/>
    <x v="4"/>
    <n v="102313.64"/>
    <x v="2"/>
    <n v="69209.45"/>
    <n v="360"/>
    <x v="4"/>
    <s v="MasterCard"/>
    <n v="71954.37"/>
    <n v="42112.57"/>
    <s v="Approved"/>
    <d v="2025-09-21T00:00:00"/>
    <x v="221"/>
    <n v="1"/>
    <x v="0"/>
    <x v="0"/>
    <n v="171523.09"/>
    <x v="0"/>
  </r>
  <r>
    <n v="486"/>
    <s v="Kavya Joshi"/>
    <x v="1"/>
    <n v="50"/>
    <x v="0"/>
    <n v="251575.21"/>
    <x v="0"/>
    <n v="277565.94"/>
    <n v="533"/>
    <x v="2"/>
    <s v="Visa"/>
    <n v="17355.650000000001"/>
    <n v="68644.13"/>
    <s v="Pending"/>
    <d v="2025-11-09T00:00:00"/>
    <x v="243"/>
    <n v="1"/>
    <x v="1"/>
    <x v="1"/>
    <n v="529141.15"/>
    <x v="0"/>
  </r>
  <r>
    <n v="487"/>
    <s v="Pooja Mehta"/>
    <x v="1"/>
    <n v="51"/>
    <x v="1"/>
    <n v="412892.68"/>
    <x v="0"/>
    <n v="97321.58"/>
    <n v="763"/>
    <x v="3"/>
    <s v="Discover"/>
    <n v="389338.85"/>
    <n v="151561.19"/>
    <s v="Approved"/>
    <d v="2025-04-04T00:00:00"/>
    <x v="180"/>
    <n v="1"/>
    <x v="2"/>
    <x v="2"/>
    <n v="510214.26"/>
    <x v="0"/>
  </r>
  <r>
    <n v="488"/>
    <s v="Riya Verma"/>
    <x v="1"/>
    <n v="65"/>
    <x v="3"/>
    <n v="89245"/>
    <x v="1"/>
    <n v="42094.3"/>
    <n v="395"/>
    <x v="4"/>
    <s v="RuPay"/>
    <n v="174934.94"/>
    <n v="183370.27"/>
    <s v="Pending"/>
    <d v="2025-10-03T00:00:00"/>
    <x v="265"/>
    <n v="1"/>
    <x v="0"/>
    <x v="0"/>
    <n v="131339.29999999999"/>
    <x v="0"/>
  </r>
  <r>
    <n v="489"/>
    <s v="Arjun Singh"/>
    <x v="0"/>
    <n v="60"/>
    <x v="5"/>
    <n v="83620.759999999995"/>
    <x v="1"/>
    <n v="260942.34"/>
    <n v="748"/>
    <x v="3"/>
    <s v="MasterCard"/>
    <n v="-44310.6"/>
    <n v="97970.91"/>
    <s v="Pending"/>
    <d v="2025-12-12T00:00:00"/>
    <x v="22"/>
    <n v="1"/>
    <x v="2"/>
    <x v="2"/>
    <n v="344563.1"/>
    <x v="0"/>
  </r>
  <r>
    <n v="490"/>
    <s v="Aditya Mehta"/>
    <x v="0"/>
    <n v="22"/>
    <x v="3"/>
    <n v="40575.4"/>
    <x v="1"/>
    <n v="100219.79"/>
    <n v="502"/>
    <x v="1"/>
    <s v="RuPay"/>
    <n v="-32890.68"/>
    <n v="242090.74"/>
    <s v="Approved"/>
    <d v="2025-05-07T00:00:00"/>
    <x v="266"/>
    <n v="2"/>
    <x v="1"/>
    <x v="1"/>
    <n v="140795.19"/>
    <x v="0"/>
  </r>
  <r>
    <n v="491"/>
    <s v="Aditya Joshi"/>
    <x v="0"/>
    <n v="45"/>
    <x v="5"/>
    <n v="460725.36"/>
    <x v="0"/>
    <n v="197246.22"/>
    <n v="877"/>
    <x v="1"/>
    <s v="RuPay"/>
    <n v="288466.03000000003"/>
    <n v="178963.63"/>
    <s v="Approved"/>
    <d v="2025-08-01T00:00:00"/>
    <x v="17"/>
    <n v="2"/>
    <x v="2"/>
    <x v="2"/>
    <n v="657971.57999999996"/>
    <x v="0"/>
  </r>
  <r>
    <n v="492"/>
    <s v="Rohit Sharma"/>
    <x v="0"/>
    <n v="50"/>
    <x v="0"/>
    <n v="317327.18"/>
    <x v="0"/>
    <n v="293388.07"/>
    <n v="376"/>
    <x v="2"/>
    <s v="RuPay"/>
    <n v="212344.7"/>
    <n v="60189.46"/>
    <s v="Approved"/>
    <d v="2025-10-23T00:00:00"/>
    <x v="12"/>
    <n v="5"/>
    <x v="0"/>
    <x v="0"/>
    <n v="610715.25"/>
    <x v="0"/>
  </r>
  <r>
    <n v="493"/>
    <s v="Pooja Trivedi"/>
    <x v="1"/>
    <n v="47"/>
    <x v="0"/>
    <n v="346840.59"/>
    <x v="0"/>
    <n v="82234.11"/>
    <n v="522"/>
    <x v="4"/>
    <s v="Visa"/>
    <n v="439003.26"/>
    <n v="45779.08"/>
    <s v="Pending"/>
    <d v="2025-10-25T00:00:00"/>
    <x v="53"/>
    <n v="5"/>
    <x v="1"/>
    <x v="1"/>
    <n v="429074.7"/>
    <x v="0"/>
  </r>
  <r>
    <n v="494"/>
    <s v="Diya Sharma"/>
    <x v="1"/>
    <n v="53"/>
    <x v="5"/>
    <n v="72616.740000000005"/>
    <x v="1"/>
    <n v="85176.05"/>
    <n v="466"/>
    <x v="3"/>
    <s v="RuPay"/>
    <n v="100130.54"/>
    <n v="116973.64"/>
    <s v="Pending"/>
    <d v="2025-12-10T00:00:00"/>
    <x v="107"/>
    <n v="5"/>
    <x v="1"/>
    <x v="1"/>
    <n v="157792.79"/>
    <x v="0"/>
  </r>
  <r>
    <n v="495"/>
    <s v="Arjun Desai"/>
    <x v="0"/>
    <n v="50"/>
    <x v="5"/>
    <n v="374066.49"/>
    <x v="0"/>
    <n v="219385.74"/>
    <n v="674"/>
    <x v="4"/>
    <s v="MasterCard"/>
    <n v="221336.15"/>
    <n v="203950.66"/>
    <s v="Rejected"/>
    <d v="2025-09-17T00:00:00"/>
    <x v="21"/>
    <n v="3"/>
    <x v="2"/>
    <x v="2"/>
    <n v="593452.23"/>
    <x v="0"/>
  </r>
  <r>
    <n v="496"/>
    <s v="Kavya Mehta"/>
    <x v="1"/>
    <n v="56"/>
    <x v="2"/>
    <n v="485554.33"/>
    <x v="0"/>
    <n v="164476.26999999999"/>
    <n v="300"/>
    <x v="3"/>
    <s v="Discover"/>
    <n v="415154.21"/>
    <n v="15334.24"/>
    <s v="Pending"/>
    <d v="2025-06-21T00:00:00"/>
    <x v="10"/>
    <n v="2"/>
    <x v="0"/>
    <x v="0"/>
    <n v="650030.6"/>
    <x v="0"/>
  </r>
  <r>
    <n v="497"/>
    <s v="Isha Trivedi"/>
    <x v="1"/>
    <n v="43"/>
    <x v="3"/>
    <n v="42639.15"/>
    <x v="1"/>
    <n v="68129.3"/>
    <n v="857"/>
    <x v="3"/>
    <s v="Discover"/>
    <n v="156256.54999999999"/>
    <n v="99980.67"/>
    <s v="Pending"/>
    <d v="2025-08-22T00:00:00"/>
    <x v="131"/>
    <n v="2"/>
    <x v="2"/>
    <x v="2"/>
    <n v="110768.45000000001"/>
    <x v="0"/>
  </r>
  <r>
    <n v="498"/>
    <s v="Riya Verma"/>
    <x v="1"/>
    <n v="50"/>
    <x v="5"/>
    <n v="174013.73"/>
    <x v="2"/>
    <n v="120911.91"/>
    <n v="462"/>
    <x v="2"/>
    <s v="Visa"/>
    <n v="154910.53"/>
    <n v="215202.71"/>
    <s v="Pending"/>
    <d v="2025-02-15T00:00:00"/>
    <x v="106"/>
    <n v="5"/>
    <x v="1"/>
    <x v="1"/>
    <n v="294925.64"/>
    <x v="0"/>
  </r>
  <r>
    <n v="499"/>
    <s v="Aarav Patel"/>
    <x v="0"/>
    <n v="42"/>
    <x v="5"/>
    <n v="224919.24"/>
    <x v="0"/>
    <n v="44957.97"/>
    <n v="718"/>
    <x v="4"/>
    <s v="American Express"/>
    <n v="275230.67"/>
    <n v="113213.75999999999"/>
    <s v="Pending"/>
    <d v="2025-08-03T00:00:00"/>
    <x v="267"/>
    <n v="5"/>
    <x v="2"/>
    <x v="2"/>
    <n v="269877.20999999996"/>
    <x v="0"/>
  </r>
  <r>
    <n v="500"/>
    <s v="Yash Gupta"/>
    <x v="0"/>
    <n v="53"/>
    <x v="0"/>
    <n v="424665.24"/>
    <x v="0"/>
    <n v="34722.54"/>
    <n v="390"/>
    <x v="2"/>
    <s v="RuPay"/>
    <n v="559571.52"/>
    <n v="164818.98000000001"/>
    <s v="Approved"/>
    <d v="2025-08-24T00:00:00"/>
    <x v="152"/>
    <n v="3"/>
    <x v="0"/>
    <x v="0"/>
    <n v="459387.77999999997"/>
    <x v="0"/>
  </r>
  <r>
    <n v="501"/>
    <s v="Kavya Verma"/>
    <x v="1"/>
    <n v="48"/>
    <x v="4"/>
    <n v="239273.44"/>
    <x v="0"/>
    <n v="213422.42"/>
    <n v="862"/>
    <x v="2"/>
    <s v="Discover"/>
    <n v="150252.63"/>
    <n v="230033.16"/>
    <s v="Rejected"/>
    <d v="2025-09-29T00:00:00"/>
    <x v="175"/>
    <n v="4"/>
    <x v="2"/>
    <x v="2"/>
    <n v="452695.86"/>
    <x v="0"/>
  </r>
  <r>
    <n v="502"/>
    <s v="Nisha Singh"/>
    <x v="1"/>
    <n v="48"/>
    <x v="4"/>
    <n v="153823.93"/>
    <x v="2"/>
    <n v="198780.48"/>
    <n v="309"/>
    <x v="1"/>
    <s v="RuPay"/>
    <n v="78364.2"/>
    <n v="107253.61"/>
    <s v="Pending"/>
    <d v="2025-11-30T00:00:00"/>
    <x v="230"/>
    <n v="3"/>
    <x v="0"/>
    <x v="0"/>
    <n v="352604.41000000003"/>
    <x v="0"/>
  </r>
  <r>
    <n v="503"/>
    <s v="Arjun Singh"/>
    <x v="0"/>
    <n v="37"/>
    <x v="2"/>
    <n v="298864.03999999998"/>
    <x v="0"/>
    <n v="97622.28"/>
    <n v="599"/>
    <x v="3"/>
    <s v="Discover"/>
    <n v="396795.71"/>
    <n v="188297.25"/>
    <s v="Approved"/>
    <d v="2025-07-28T00:00:00"/>
    <x v="50"/>
    <n v="3"/>
    <x v="1"/>
    <x v="1"/>
    <n v="396486.31999999995"/>
    <x v="0"/>
  </r>
  <r>
    <n v="504"/>
    <s v="Riya Shah"/>
    <x v="1"/>
    <n v="41"/>
    <x v="0"/>
    <n v="34835.879999999997"/>
    <x v="1"/>
    <n v="237973.07"/>
    <n v="794"/>
    <x v="2"/>
    <s v="Discover"/>
    <n v="-114245.52"/>
    <n v="45776.85"/>
    <s v="Pending"/>
    <d v="2025-05-28T00:00:00"/>
    <x v="243"/>
    <n v="3"/>
    <x v="2"/>
    <x v="2"/>
    <n v="272808.95"/>
    <x v="0"/>
  </r>
  <r>
    <n v="505"/>
    <s v="Arjun Joshi"/>
    <x v="0"/>
    <n v="28"/>
    <x v="0"/>
    <n v="368141.58"/>
    <x v="0"/>
    <n v="265371.23"/>
    <n v="317"/>
    <x v="4"/>
    <s v="Visa"/>
    <n v="225761.91"/>
    <n v="123520.88"/>
    <s v="Pending"/>
    <d v="2025-09-26T00:00:00"/>
    <x v="34"/>
    <n v="3"/>
    <x v="0"/>
    <x v="0"/>
    <n v="633512.81000000006"/>
    <x v="0"/>
  </r>
  <r>
    <n v="506"/>
    <s v="Riya Trivedi"/>
    <x v="1"/>
    <n v="27"/>
    <x v="4"/>
    <n v="280063.31"/>
    <x v="0"/>
    <n v="164525.79"/>
    <n v="755"/>
    <x v="3"/>
    <s v="RuPay"/>
    <n v="274832.90999999997"/>
    <n v="78008.59"/>
    <s v="Pending"/>
    <d v="2025-04-10T00:00:00"/>
    <x v="102"/>
    <n v="5"/>
    <x v="2"/>
    <x v="2"/>
    <n v="444589.1"/>
    <x v="0"/>
  </r>
  <r>
    <n v="507"/>
    <s v="Meera Gupta"/>
    <x v="1"/>
    <n v="39"/>
    <x v="0"/>
    <n v="422191.53"/>
    <x v="0"/>
    <n v="66418.34"/>
    <n v="865"/>
    <x v="1"/>
    <s v="American Express"/>
    <n v="410241.2"/>
    <n v="56336.45"/>
    <s v="Rejected"/>
    <d v="2025-01-29T00:00:00"/>
    <x v="268"/>
    <n v="1"/>
    <x v="2"/>
    <x v="2"/>
    <n v="488609.87"/>
    <x v="0"/>
  </r>
  <r>
    <n v="508"/>
    <s v="Aditya Verma"/>
    <x v="0"/>
    <n v="28"/>
    <x v="0"/>
    <n v="426167.93"/>
    <x v="0"/>
    <n v="255630.92"/>
    <n v="465"/>
    <x v="2"/>
    <s v="American Express"/>
    <n v="242940.73"/>
    <n v="218072.01"/>
    <s v="Rejected"/>
    <d v="2025-12-28T00:00:00"/>
    <x v="269"/>
    <n v="5"/>
    <x v="1"/>
    <x v="1"/>
    <n v="681798.85"/>
    <x v="0"/>
  </r>
  <r>
    <n v="509"/>
    <s v="Aarav Patel"/>
    <x v="0"/>
    <n v="58"/>
    <x v="3"/>
    <n v="227759.44"/>
    <x v="0"/>
    <n v="165851.46"/>
    <n v="326"/>
    <x v="2"/>
    <s v="RuPay"/>
    <n v="227136.88"/>
    <n v="222859.32"/>
    <s v="Rejected"/>
    <d v="2025-09-26T00:00:00"/>
    <x v="270"/>
    <n v="5"/>
    <x v="0"/>
    <x v="0"/>
    <n v="393610.9"/>
    <x v="0"/>
  </r>
  <r>
    <n v="510"/>
    <s v="Rahul Sharma"/>
    <x v="0"/>
    <n v="42"/>
    <x v="3"/>
    <n v="300625.63"/>
    <x v="0"/>
    <n v="49876.39"/>
    <n v="346"/>
    <x v="1"/>
    <s v="Discover"/>
    <n v="396332.18"/>
    <n v="30560.27"/>
    <s v="Rejected"/>
    <d v="2025-04-17T00:00:00"/>
    <x v="149"/>
    <n v="3"/>
    <x v="0"/>
    <x v="0"/>
    <n v="350502.02"/>
    <x v="0"/>
  </r>
  <r>
    <n v="511"/>
    <s v="Aditya Verma"/>
    <x v="0"/>
    <n v="66"/>
    <x v="5"/>
    <n v="469753.04"/>
    <x v="0"/>
    <n v="158853.68"/>
    <n v="563"/>
    <x v="3"/>
    <s v="Discover"/>
    <n v="416674.72"/>
    <n v="171917.54"/>
    <s v="Rejected"/>
    <d v="2025-12-04T00:00:00"/>
    <x v="271"/>
    <n v="3"/>
    <x v="1"/>
    <x v="1"/>
    <n v="628606.71999999997"/>
    <x v="0"/>
  </r>
  <r>
    <n v="512"/>
    <s v="Kavya Sharma"/>
    <x v="1"/>
    <n v="39"/>
    <x v="4"/>
    <n v="344437.03"/>
    <x v="0"/>
    <n v="91352.68"/>
    <n v="875"/>
    <x v="2"/>
    <s v="Visa"/>
    <n v="296909.31"/>
    <n v="187639.21"/>
    <s v="Rejected"/>
    <d v="2025-09-13T00:00:00"/>
    <x v="272"/>
    <n v="1"/>
    <x v="2"/>
    <x v="2"/>
    <n v="435789.71"/>
    <x v="0"/>
  </r>
  <r>
    <n v="513"/>
    <s v="Riya Patel"/>
    <x v="1"/>
    <n v="51"/>
    <x v="4"/>
    <n v="424312.4"/>
    <x v="0"/>
    <n v="253219.25"/>
    <n v="465"/>
    <x v="3"/>
    <s v="RuPay"/>
    <n v="361661.25"/>
    <n v="90146.71"/>
    <s v="Pending"/>
    <d v="2025-10-03T00:00:00"/>
    <x v="84"/>
    <n v="3"/>
    <x v="1"/>
    <x v="1"/>
    <n v="677531.65"/>
    <x v="0"/>
  </r>
  <r>
    <n v="514"/>
    <s v="Sneha Gupta"/>
    <x v="1"/>
    <n v="40"/>
    <x v="2"/>
    <n v="494834.41"/>
    <x v="0"/>
    <n v="247052.11"/>
    <n v="592"/>
    <x v="0"/>
    <s v="RuPay"/>
    <n v="266550.18"/>
    <n v="200475.39"/>
    <s v="Pending"/>
    <d v="2025-03-10T00:00:00"/>
    <x v="4"/>
    <n v="3"/>
    <x v="1"/>
    <x v="1"/>
    <n v="741886.52"/>
    <x v="0"/>
  </r>
  <r>
    <n v="515"/>
    <s v="Manav Verma"/>
    <x v="0"/>
    <n v="45"/>
    <x v="5"/>
    <n v="275075.68"/>
    <x v="0"/>
    <n v="117871.08"/>
    <n v="845"/>
    <x v="1"/>
    <s v="American Express"/>
    <n v="290924.7"/>
    <n v="137987"/>
    <s v="Pending"/>
    <d v="2025-08-02T00:00:00"/>
    <x v="14"/>
    <n v="4"/>
    <x v="2"/>
    <x v="2"/>
    <n v="392946.76"/>
    <x v="0"/>
  </r>
  <r>
    <n v="516"/>
    <s v="Riya Patel"/>
    <x v="1"/>
    <n v="23"/>
    <x v="5"/>
    <n v="495311.86"/>
    <x v="0"/>
    <n v="92030.37"/>
    <n v="825"/>
    <x v="0"/>
    <s v="RuPay"/>
    <n v="468059.19"/>
    <n v="146745.71"/>
    <s v="Pending"/>
    <d v="2025-06-07T00:00:00"/>
    <x v="78"/>
    <n v="1"/>
    <x v="2"/>
    <x v="2"/>
    <n v="587342.23"/>
    <x v="0"/>
  </r>
  <r>
    <n v="517"/>
    <s v="Meera Gupta"/>
    <x v="1"/>
    <n v="19"/>
    <x v="5"/>
    <n v="211911.47"/>
    <x v="0"/>
    <n v="222212.2"/>
    <n v="403"/>
    <x v="0"/>
    <s v="Visa"/>
    <n v="47863.58"/>
    <n v="199838.76"/>
    <s v="Approved"/>
    <d v="2025-07-05T00:00:00"/>
    <x v="168"/>
    <n v="4"/>
    <x v="1"/>
    <x v="1"/>
    <n v="434123.67000000004"/>
    <x v="0"/>
  </r>
  <r>
    <n v="518"/>
    <s v="Rohit Trivedi"/>
    <x v="0"/>
    <n v="25"/>
    <x v="5"/>
    <n v="294013.40999999997"/>
    <x v="0"/>
    <n v="133900.43"/>
    <n v="560"/>
    <x v="1"/>
    <s v="Visa"/>
    <n v="168408.95"/>
    <n v="223766.55"/>
    <s v="Rejected"/>
    <d v="2025-12-07T00:00:00"/>
    <x v="12"/>
    <n v="5"/>
    <x v="1"/>
    <x v="1"/>
    <n v="427913.83999999997"/>
    <x v="0"/>
  </r>
  <r>
    <n v="519"/>
    <s v="Jay Sharma"/>
    <x v="0"/>
    <n v="31"/>
    <x v="1"/>
    <n v="400728.13"/>
    <x v="0"/>
    <n v="102649.32"/>
    <n v="635"/>
    <x v="0"/>
    <s v="RuPay"/>
    <n v="358209.96"/>
    <n v="45409.59"/>
    <s v="Approved"/>
    <d v="2025-06-21T00:00:00"/>
    <x v="270"/>
    <n v="3"/>
    <x v="2"/>
    <x v="2"/>
    <n v="503377.45"/>
    <x v="0"/>
  </r>
  <r>
    <n v="520"/>
    <s v="Karan Verma"/>
    <x v="0"/>
    <n v="56"/>
    <x v="3"/>
    <n v="27941.37"/>
    <x v="1"/>
    <n v="112492.29"/>
    <n v="321"/>
    <x v="1"/>
    <s v="MasterCard"/>
    <n v="-58784.98"/>
    <n v="16438.41"/>
    <s v="Pending"/>
    <d v="2025-06-03T00:00:00"/>
    <x v="180"/>
    <n v="3"/>
    <x v="0"/>
    <x v="0"/>
    <n v="140433.66"/>
    <x v="0"/>
  </r>
  <r>
    <n v="521"/>
    <s v="Anaya Verma"/>
    <x v="1"/>
    <n v="32"/>
    <x v="2"/>
    <n v="450239.22"/>
    <x v="0"/>
    <n v="239568.78"/>
    <n v="587"/>
    <x v="4"/>
    <s v="Visa"/>
    <n v="310364.02"/>
    <n v="209912.49"/>
    <s v="Approved"/>
    <d v="2025-02-11T00:00:00"/>
    <x v="115"/>
    <n v="3"/>
    <x v="1"/>
    <x v="1"/>
    <n v="689808"/>
    <x v="0"/>
  </r>
  <r>
    <n v="522"/>
    <s v="Kavya Verma"/>
    <x v="1"/>
    <n v="70"/>
    <x v="1"/>
    <n v="383518.59"/>
    <x v="0"/>
    <n v="60768.75"/>
    <n v="553"/>
    <x v="4"/>
    <s v="MasterCard"/>
    <n v="411783.67999999999"/>
    <n v="138914.79999999999"/>
    <s v="Pending"/>
    <d v="2025-11-11T00:00:00"/>
    <x v="148"/>
    <n v="4"/>
    <x v="1"/>
    <x v="1"/>
    <n v="444287.34"/>
    <x v="0"/>
  </r>
  <r>
    <n v="523"/>
    <s v="Vihaan Gupta"/>
    <x v="0"/>
    <n v="25"/>
    <x v="3"/>
    <n v="112876.62"/>
    <x v="2"/>
    <n v="281312.45"/>
    <n v="334"/>
    <x v="1"/>
    <s v="Visa"/>
    <n v="-75801.56"/>
    <n v="182092.88"/>
    <s v="Rejected"/>
    <d v="2025-02-01T00:00:00"/>
    <x v="0"/>
    <n v="1"/>
    <x v="0"/>
    <x v="0"/>
    <n v="394189.07"/>
    <x v="0"/>
  </r>
  <r>
    <n v="524"/>
    <s v="Priya Sharma"/>
    <x v="1"/>
    <n v="30"/>
    <x v="0"/>
    <n v="346819.57"/>
    <x v="0"/>
    <n v="229727.68"/>
    <n v="328"/>
    <x v="3"/>
    <s v="MasterCard"/>
    <n v="221426.92"/>
    <n v="82728.28"/>
    <s v="Pending"/>
    <d v="2025-03-07T00:00:00"/>
    <x v="202"/>
    <n v="2"/>
    <x v="0"/>
    <x v="0"/>
    <n v="576547.25"/>
    <x v="0"/>
  </r>
  <r>
    <n v="525"/>
    <s v="Arjun Mehta"/>
    <x v="0"/>
    <n v="18"/>
    <x v="4"/>
    <n v="89071.360000000001"/>
    <x v="1"/>
    <n v="57489.52"/>
    <n v="476"/>
    <x v="1"/>
    <s v="Visa"/>
    <n v="201916.97"/>
    <n v="143245.79999999999"/>
    <s v="Approved"/>
    <d v="2025-07-05T00:00:00"/>
    <x v="79"/>
    <n v="2"/>
    <x v="1"/>
    <x v="1"/>
    <n v="146560.88"/>
    <x v="0"/>
  </r>
  <r>
    <n v="526"/>
    <s v="Aarav Desai"/>
    <x v="0"/>
    <n v="18"/>
    <x v="2"/>
    <n v="219431.97"/>
    <x v="0"/>
    <n v="212082.98"/>
    <n v="562"/>
    <x v="4"/>
    <s v="RuPay"/>
    <n v="130229.39"/>
    <n v="225705.16"/>
    <s v="Approved"/>
    <d v="2025-05-25T00:00:00"/>
    <x v="197"/>
    <n v="1"/>
    <x v="1"/>
    <x v="1"/>
    <n v="431514.95"/>
    <x v="0"/>
  </r>
  <r>
    <n v="527"/>
    <s v="Diya Verma"/>
    <x v="1"/>
    <n v="47"/>
    <x v="0"/>
    <n v="368124.62"/>
    <x v="0"/>
    <n v="266913.8"/>
    <n v="769"/>
    <x v="0"/>
    <s v="Visa"/>
    <n v="256559.86"/>
    <n v="167259.26"/>
    <s v="Approved"/>
    <d v="2025-10-28T00:00:00"/>
    <x v="200"/>
    <n v="3"/>
    <x v="2"/>
    <x v="2"/>
    <n v="635038.41999999993"/>
    <x v="0"/>
  </r>
  <r>
    <n v="528"/>
    <s v="Karan Desai"/>
    <x v="0"/>
    <n v="26"/>
    <x v="3"/>
    <n v="210544.69"/>
    <x v="0"/>
    <n v="112278.05"/>
    <n v="387"/>
    <x v="1"/>
    <s v="RuPay"/>
    <n v="240250.41"/>
    <n v="188627.8"/>
    <s v="Approved"/>
    <d v="2025-07-21T00:00:00"/>
    <x v="209"/>
    <n v="5"/>
    <x v="0"/>
    <x v="0"/>
    <n v="322822.74"/>
    <x v="0"/>
  </r>
  <r>
    <n v="529"/>
    <s v="Manav Joshi"/>
    <x v="0"/>
    <n v="20"/>
    <x v="2"/>
    <n v="445318.58"/>
    <x v="0"/>
    <n v="295630.37"/>
    <n v="771"/>
    <x v="2"/>
    <s v="Visa"/>
    <n v="254930.62"/>
    <n v="94138.2"/>
    <s v="Pending"/>
    <d v="2025-06-07T00:00:00"/>
    <x v="273"/>
    <n v="3"/>
    <x v="2"/>
    <x v="2"/>
    <n v="740948.95"/>
    <x v="0"/>
  </r>
  <r>
    <n v="530"/>
    <s v="Sneha Joshi"/>
    <x v="1"/>
    <n v="39"/>
    <x v="3"/>
    <n v="293423.26"/>
    <x v="0"/>
    <n v="263555.38"/>
    <n v="873"/>
    <x v="4"/>
    <s v="Visa"/>
    <n v="126535.73"/>
    <n v="218292.92"/>
    <s v="Rejected"/>
    <d v="2025-04-17T00:00:00"/>
    <x v="180"/>
    <n v="4"/>
    <x v="2"/>
    <x v="2"/>
    <n v="556978.64"/>
    <x v="0"/>
  </r>
  <r>
    <n v="531"/>
    <s v="Priya Sharma"/>
    <x v="1"/>
    <n v="24"/>
    <x v="3"/>
    <n v="187487.7"/>
    <x v="2"/>
    <n v="227984.74"/>
    <n v="584"/>
    <x v="1"/>
    <s v="Visa"/>
    <n v="89827.89"/>
    <n v="210139.3"/>
    <s v="Approved"/>
    <d v="2025-05-19T00:00:00"/>
    <x v="146"/>
    <n v="1"/>
    <x v="1"/>
    <x v="1"/>
    <n v="415472.44"/>
    <x v="0"/>
  </r>
  <r>
    <n v="532"/>
    <s v="Manav Patel"/>
    <x v="0"/>
    <n v="57"/>
    <x v="0"/>
    <n v="233856.46"/>
    <x v="0"/>
    <n v="46228.43"/>
    <n v="547"/>
    <x v="4"/>
    <s v="Visa"/>
    <n v="264102.8"/>
    <n v="231654.57"/>
    <s v="Pending"/>
    <d v="2025-03-18T00:00:00"/>
    <x v="267"/>
    <n v="1"/>
    <x v="1"/>
    <x v="1"/>
    <n v="280084.89"/>
    <x v="0"/>
  </r>
  <r>
    <n v="533"/>
    <s v="Aditya Sharma"/>
    <x v="0"/>
    <n v="57"/>
    <x v="2"/>
    <n v="133762.6"/>
    <x v="2"/>
    <n v="33824.97"/>
    <n v="896"/>
    <x v="0"/>
    <s v="RuPay"/>
    <n v="248368.83"/>
    <n v="83357.37"/>
    <s v="Rejected"/>
    <d v="2025-06-29T00:00:00"/>
    <x v="142"/>
    <n v="2"/>
    <x v="2"/>
    <x v="2"/>
    <n v="167587.57"/>
    <x v="0"/>
  </r>
  <r>
    <n v="534"/>
    <s v="Rohit Patel"/>
    <x v="0"/>
    <n v="32"/>
    <x v="3"/>
    <n v="164377.26"/>
    <x v="2"/>
    <n v="120412.98"/>
    <n v="676"/>
    <x v="1"/>
    <s v="American Express"/>
    <n v="239115.48"/>
    <n v="127177.66"/>
    <s v="Pending"/>
    <d v="2025-05-13T00:00:00"/>
    <x v="26"/>
    <n v="1"/>
    <x v="2"/>
    <x v="2"/>
    <n v="284790.24"/>
    <x v="0"/>
  </r>
  <r>
    <n v="535"/>
    <s v="Nisha Singh"/>
    <x v="1"/>
    <n v="41"/>
    <x v="1"/>
    <n v="95041.93"/>
    <x v="1"/>
    <n v="74967.77"/>
    <n v="573"/>
    <x v="0"/>
    <s v="Visa"/>
    <n v="96022.49"/>
    <n v="172353.66"/>
    <s v="Pending"/>
    <d v="2025-03-07T00:00:00"/>
    <x v="140"/>
    <n v="3"/>
    <x v="1"/>
    <x v="1"/>
    <n v="170009.7"/>
    <x v="0"/>
  </r>
  <r>
    <n v="536"/>
    <s v="Yash Patel"/>
    <x v="0"/>
    <n v="31"/>
    <x v="5"/>
    <n v="251253.87"/>
    <x v="0"/>
    <n v="11300.65"/>
    <n v="589"/>
    <x v="4"/>
    <s v="Discover"/>
    <n v="344782.88"/>
    <n v="179026.94"/>
    <s v="Approved"/>
    <d v="2025-08-22T00:00:00"/>
    <x v="23"/>
    <n v="2"/>
    <x v="1"/>
    <x v="1"/>
    <n v="262554.52"/>
    <x v="0"/>
  </r>
  <r>
    <n v="537"/>
    <s v="Manav Joshi"/>
    <x v="0"/>
    <n v="31"/>
    <x v="3"/>
    <n v="81755.539999999994"/>
    <x v="1"/>
    <n v="295040.95"/>
    <n v="707"/>
    <x v="2"/>
    <s v="MasterCard"/>
    <n v="-105085.31"/>
    <n v="182621.28"/>
    <s v="Rejected"/>
    <d v="2025-02-09T00:00:00"/>
    <x v="67"/>
    <n v="2"/>
    <x v="2"/>
    <x v="2"/>
    <n v="376796.49"/>
    <x v="0"/>
  </r>
  <r>
    <n v="538"/>
    <s v="Vihaan Joshi"/>
    <x v="0"/>
    <n v="34"/>
    <x v="1"/>
    <n v="61353.54"/>
    <x v="1"/>
    <n v="207934.71"/>
    <n v="887"/>
    <x v="2"/>
    <s v="RuPay"/>
    <n v="-72930.02"/>
    <n v="196029.63"/>
    <s v="Approved"/>
    <d v="2025-08-17T00:00:00"/>
    <x v="274"/>
    <n v="1"/>
    <x v="2"/>
    <x v="2"/>
    <n v="269288.25"/>
    <x v="0"/>
  </r>
  <r>
    <n v="539"/>
    <s v="Diya Shah"/>
    <x v="1"/>
    <n v="21"/>
    <x v="4"/>
    <n v="34312.839999999997"/>
    <x v="1"/>
    <n v="252419.47"/>
    <n v="664"/>
    <x v="3"/>
    <s v="RuPay"/>
    <n v="-83454.259999999995"/>
    <n v="221571.79"/>
    <s v="Approved"/>
    <d v="2025-12-01T00:00:00"/>
    <x v="34"/>
    <n v="1"/>
    <x v="2"/>
    <x v="2"/>
    <n v="286732.31"/>
    <x v="0"/>
  </r>
  <r>
    <n v="540"/>
    <s v="Karan Desai"/>
    <x v="0"/>
    <n v="55"/>
    <x v="1"/>
    <n v="24529.53"/>
    <x v="1"/>
    <n v="156584.5"/>
    <n v="570"/>
    <x v="3"/>
    <s v="Visa"/>
    <n v="-68809.62"/>
    <n v="236785.21"/>
    <s v="Pending"/>
    <d v="2025-05-31T00:00:00"/>
    <x v="138"/>
    <n v="1"/>
    <x v="1"/>
    <x v="1"/>
    <n v="181114.03"/>
    <x v="0"/>
  </r>
  <r>
    <n v="541"/>
    <s v="Yash Patel"/>
    <x v="0"/>
    <n v="24"/>
    <x v="1"/>
    <n v="384162.97"/>
    <x v="0"/>
    <n v="4192.6499999999996"/>
    <n v="702"/>
    <x v="1"/>
    <s v="Discover"/>
    <n v="499563.07"/>
    <n v="23642.12"/>
    <s v="Rejected"/>
    <d v="2025-03-25T00:00:00"/>
    <x v="150"/>
    <n v="1"/>
    <x v="2"/>
    <x v="2"/>
    <n v="388355.62"/>
    <x v="0"/>
  </r>
  <r>
    <n v="542"/>
    <s v="Priya Sharma"/>
    <x v="1"/>
    <n v="18"/>
    <x v="2"/>
    <n v="299606.37"/>
    <x v="0"/>
    <n v="142414.54999999999"/>
    <n v="875"/>
    <x v="3"/>
    <s v="Discover"/>
    <n v="167325.32"/>
    <n v="51040.39"/>
    <s v="Rejected"/>
    <d v="2025-03-11T00:00:00"/>
    <x v="36"/>
    <n v="4"/>
    <x v="2"/>
    <x v="2"/>
    <n v="442020.92"/>
    <x v="0"/>
  </r>
  <r>
    <n v="543"/>
    <s v="Jay Patel"/>
    <x v="0"/>
    <n v="20"/>
    <x v="1"/>
    <n v="459701.74"/>
    <x v="0"/>
    <n v="124434.08"/>
    <n v="838"/>
    <x v="3"/>
    <s v="Visa"/>
    <n v="421457.57"/>
    <n v="109295.89"/>
    <s v="Approved"/>
    <d v="2025-07-11T00:00:00"/>
    <x v="275"/>
    <n v="4"/>
    <x v="2"/>
    <x v="2"/>
    <n v="584135.81999999995"/>
    <x v="0"/>
  </r>
  <r>
    <n v="544"/>
    <s v="Yash Patel"/>
    <x v="0"/>
    <n v="31"/>
    <x v="2"/>
    <n v="35980.04"/>
    <x v="1"/>
    <n v="212275.38"/>
    <n v="895"/>
    <x v="3"/>
    <s v="American Express"/>
    <n v="-150225.89000000001"/>
    <n v="96426.66"/>
    <s v="Approved"/>
    <d v="2025-01-13T00:00:00"/>
    <x v="276"/>
    <n v="2"/>
    <x v="2"/>
    <x v="2"/>
    <n v="248255.42"/>
    <x v="0"/>
  </r>
  <r>
    <n v="545"/>
    <s v="Sneha Mehta"/>
    <x v="1"/>
    <n v="41"/>
    <x v="2"/>
    <n v="474451.14"/>
    <x v="0"/>
    <n v="99032.84"/>
    <n v="348"/>
    <x v="1"/>
    <s v="MasterCard"/>
    <n v="444655.69"/>
    <n v="224765.3"/>
    <s v="Approved"/>
    <d v="2025-10-03T00:00:00"/>
    <x v="50"/>
    <n v="1"/>
    <x v="0"/>
    <x v="0"/>
    <n v="573483.98"/>
    <x v="0"/>
  </r>
  <r>
    <n v="546"/>
    <s v="Kavya Trivedi"/>
    <x v="1"/>
    <n v="20"/>
    <x v="5"/>
    <n v="98504.48"/>
    <x v="1"/>
    <n v="16269.98"/>
    <n v="347"/>
    <x v="4"/>
    <s v="RuPay"/>
    <n v="224136.91"/>
    <n v="122612.41"/>
    <s v="Approved"/>
    <d v="2025-08-26T00:00:00"/>
    <x v="68"/>
    <n v="5"/>
    <x v="0"/>
    <x v="0"/>
    <n v="114774.45999999999"/>
    <x v="0"/>
  </r>
  <r>
    <n v="547"/>
    <s v="Pooja Shah"/>
    <x v="1"/>
    <n v="25"/>
    <x v="2"/>
    <n v="388687.9"/>
    <x v="0"/>
    <n v="170009.71"/>
    <n v="316"/>
    <x v="2"/>
    <s v="Discover"/>
    <n v="229323.15"/>
    <n v="235832.43"/>
    <s v="Approved"/>
    <d v="2025-04-24T00:00:00"/>
    <x v="277"/>
    <n v="1"/>
    <x v="0"/>
    <x v="0"/>
    <n v="558697.61"/>
    <x v="0"/>
  </r>
  <r>
    <n v="548"/>
    <s v="Anaya Singh"/>
    <x v="1"/>
    <n v="25"/>
    <x v="1"/>
    <n v="131301.6"/>
    <x v="2"/>
    <n v="259874.25"/>
    <n v="552"/>
    <x v="4"/>
    <s v="RuPay"/>
    <n v="51516.52"/>
    <n v="71119.75"/>
    <s v="Approved"/>
    <d v="2025-10-13T00:00:00"/>
    <x v="228"/>
    <n v="2"/>
    <x v="1"/>
    <x v="1"/>
    <n v="391175.85"/>
    <x v="0"/>
  </r>
  <r>
    <n v="549"/>
    <s v="Rohit Gupta"/>
    <x v="0"/>
    <n v="61"/>
    <x v="5"/>
    <n v="191274.63"/>
    <x v="2"/>
    <n v="267072.59000000003"/>
    <n v="684"/>
    <x v="1"/>
    <s v="Visa"/>
    <n v="-60546.16"/>
    <n v="141313.39000000001"/>
    <s v="Pending"/>
    <d v="2025-08-29T00:00:00"/>
    <x v="139"/>
    <n v="4"/>
    <x v="2"/>
    <x v="2"/>
    <n v="458347.22000000003"/>
    <x v="0"/>
  </r>
  <r>
    <n v="550"/>
    <s v="Aarav Verma"/>
    <x v="0"/>
    <n v="40"/>
    <x v="5"/>
    <n v="461074.77"/>
    <x v="0"/>
    <n v="251598.54"/>
    <n v="795"/>
    <x v="3"/>
    <s v="Discover"/>
    <n v="337301.79"/>
    <n v="37383.980000000003"/>
    <s v="Pending"/>
    <d v="2025-02-27T00:00:00"/>
    <x v="278"/>
    <n v="2"/>
    <x v="2"/>
    <x v="2"/>
    <n v="712673.31"/>
    <x v="0"/>
  </r>
  <r>
    <n v="551"/>
    <s v="Jay Patel"/>
    <x v="0"/>
    <n v="35"/>
    <x v="0"/>
    <n v="372189.5"/>
    <x v="0"/>
    <n v="125890.65"/>
    <n v="895"/>
    <x v="3"/>
    <s v="American Express"/>
    <n v="406215.54"/>
    <n v="226205.61"/>
    <s v="Approved"/>
    <d v="2025-06-24T00:00:00"/>
    <x v="221"/>
    <n v="5"/>
    <x v="2"/>
    <x v="2"/>
    <n v="498080.15"/>
    <x v="0"/>
  </r>
  <r>
    <n v="552"/>
    <s v="Meera Gupta"/>
    <x v="1"/>
    <n v="52"/>
    <x v="2"/>
    <n v="230550.5"/>
    <x v="0"/>
    <n v="128628.09"/>
    <n v="649"/>
    <x v="0"/>
    <s v="American Express"/>
    <n v="186892.67"/>
    <n v="131706.82999999999"/>
    <s v="Pending"/>
    <d v="2025-06-21T00:00:00"/>
    <x v="279"/>
    <n v="4"/>
    <x v="2"/>
    <x v="2"/>
    <n v="359178.58999999997"/>
    <x v="0"/>
  </r>
  <r>
    <n v="553"/>
    <s v="Aarav Patel"/>
    <x v="0"/>
    <n v="30"/>
    <x v="2"/>
    <n v="36616.019999999997"/>
    <x v="1"/>
    <n v="145995.12"/>
    <n v="737"/>
    <x v="2"/>
    <s v="American Express"/>
    <n v="-67327.41"/>
    <n v="228075.89"/>
    <s v="Pending"/>
    <d v="2025-06-07T00:00:00"/>
    <x v="200"/>
    <n v="1"/>
    <x v="2"/>
    <x v="2"/>
    <n v="182611.13999999998"/>
    <x v="0"/>
  </r>
  <r>
    <n v="554"/>
    <s v="Sneha Singh"/>
    <x v="1"/>
    <n v="68"/>
    <x v="0"/>
    <n v="36786.69"/>
    <x v="1"/>
    <n v="159465.48000000001"/>
    <n v="414"/>
    <x v="2"/>
    <s v="RuPay"/>
    <n v="-35253.57"/>
    <n v="130984.88"/>
    <s v="Pending"/>
    <d v="2025-10-19T00:00:00"/>
    <x v="235"/>
    <n v="4"/>
    <x v="1"/>
    <x v="1"/>
    <n v="196252.17"/>
    <x v="0"/>
  </r>
  <r>
    <n v="555"/>
    <s v="Aarav Singh"/>
    <x v="0"/>
    <n v="44"/>
    <x v="1"/>
    <n v="338051.16"/>
    <x v="0"/>
    <n v="132932.85"/>
    <n v="696"/>
    <x v="0"/>
    <s v="American Express"/>
    <n v="374922.65"/>
    <n v="21061.69"/>
    <s v="Pending"/>
    <d v="2025-01-23T00:00:00"/>
    <x v="202"/>
    <n v="3"/>
    <x v="2"/>
    <x v="2"/>
    <n v="470984.01"/>
    <x v="0"/>
  </r>
  <r>
    <n v="556"/>
    <s v="Anaya Mehta"/>
    <x v="1"/>
    <n v="18"/>
    <x v="4"/>
    <n v="492572.51"/>
    <x v="0"/>
    <n v="262720.03000000003"/>
    <n v="825"/>
    <x v="2"/>
    <s v="RuPay"/>
    <n v="394276.61"/>
    <n v="107845.74"/>
    <s v="Pending"/>
    <d v="2025-04-16T00:00:00"/>
    <x v="256"/>
    <n v="4"/>
    <x v="2"/>
    <x v="2"/>
    <n v="755292.54"/>
    <x v="0"/>
  </r>
  <r>
    <n v="557"/>
    <s v="Vihaan Verma"/>
    <x v="0"/>
    <n v="31"/>
    <x v="3"/>
    <n v="190096.74"/>
    <x v="2"/>
    <n v="70658.16"/>
    <n v="563"/>
    <x v="3"/>
    <s v="Discover"/>
    <n v="303009.71000000002"/>
    <n v="21517.53"/>
    <s v="Pending"/>
    <d v="2025-09-25T00:00:00"/>
    <x v="80"/>
    <n v="1"/>
    <x v="1"/>
    <x v="1"/>
    <n v="260754.9"/>
    <x v="0"/>
  </r>
  <r>
    <n v="558"/>
    <s v="Anaya Joshi"/>
    <x v="1"/>
    <n v="23"/>
    <x v="0"/>
    <n v="25350.58"/>
    <x v="1"/>
    <n v="211812.05"/>
    <n v="526"/>
    <x v="0"/>
    <s v="MasterCard"/>
    <n v="-155120.38"/>
    <n v="20277.669999999998"/>
    <s v="Pending"/>
    <d v="2025-09-12T00:00:00"/>
    <x v="152"/>
    <n v="2"/>
    <x v="1"/>
    <x v="1"/>
    <n v="237162.63"/>
    <x v="0"/>
  </r>
  <r>
    <n v="559"/>
    <s v="Meera Mehta"/>
    <x v="1"/>
    <n v="38"/>
    <x v="0"/>
    <n v="211946.34"/>
    <x v="0"/>
    <n v="60294.1"/>
    <n v="326"/>
    <x v="4"/>
    <s v="Visa"/>
    <n v="187114.67"/>
    <n v="79610.42"/>
    <s v="Rejected"/>
    <d v="2025-04-02T00:00:00"/>
    <x v="21"/>
    <n v="5"/>
    <x v="0"/>
    <x v="0"/>
    <n v="272240.44"/>
    <x v="0"/>
  </r>
  <r>
    <n v="560"/>
    <s v="Kavya Joshi"/>
    <x v="1"/>
    <n v="50"/>
    <x v="2"/>
    <n v="30602.47"/>
    <x v="1"/>
    <n v="120565.79"/>
    <n v="568"/>
    <x v="0"/>
    <s v="Discover"/>
    <n v="-14030.41"/>
    <n v="212760.67"/>
    <s v="Rejected"/>
    <d v="2025-01-15T00:00:00"/>
    <x v="17"/>
    <n v="3"/>
    <x v="1"/>
    <x v="1"/>
    <n v="151168.26"/>
    <x v="0"/>
  </r>
  <r>
    <n v="561"/>
    <s v="Arjun Patel"/>
    <x v="0"/>
    <n v="60"/>
    <x v="2"/>
    <n v="418094.56"/>
    <x v="0"/>
    <n v="73807.12"/>
    <n v="861"/>
    <x v="1"/>
    <s v="Discover"/>
    <n v="522853.03"/>
    <n v="137052.31"/>
    <s v="Rejected"/>
    <d v="2025-08-01T00:00:00"/>
    <x v="275"/>
    <n v="3"/>
    <x v="2"/>
    <x v="2"/>
    <n v="491901.68"/>
    <x v="0"/>
  </r>
  <r>
    <n v="562"/>
    <s v="Pooja Verma"/>
    <x v="1"/>
    <n v="69"/>
    <x v="0"/>
    <n v="423205.22"/>
    <x v="0"/>
    <n v="102712.08"/>
    <n v="406"/>
    <x v="3"/>
    <s v="Discover"/>
    <n v="411916.13"/>
    <n v="52584.46"/>
    <s v="Pending"/>
    <d v="2025-06-04T00:00:00"/>
    <x v="12"/>
    <n v="5"/>
    <x v="1"/>
    <x v="1"/>
    <n v="525917.29999999993"/>
    <x v="0"/>
  </r>
  <r>
    <n v="563"/>
    <s v="Nisha Mehta"/>
    <x v="1"/>
    <n v="46"/>
    <x v="3"/>
    <n v="89805.85"/>
    <x v="1"/>
    <n v="3448.71"/>
    <n v="300"/>
    <x v="1"/>
    <s v="Visa"/>
    <n v="207929.07"/>
    <n v="85743.29"/>
    <s v="Pending"/>
    <d v="2025-07-10T00:00:00"/>
    <x v="18"/>
    <n v="4"/>
    <x v="0"/>
    <x v="0"/>
    <n v="93254.560000000012"/>
    <x v="0"/>
  </r>
  <r>
    <n v="564"/>
    <s v="Arjun Gupta"/>
    <x v="0"/>
    <n v="68"/>
    <x v="3"/>
    <n v="52243.199999999997"/>
    <x v="1"/>
    <n v="144893.01999999999"/>
    <n v="691"/>
    <x v="4"/>
    <s v="Visa"/>
    <n v="-70554.59"/>
    <n v="167071.84"/>
    <s v="Pending"/>
    <d v="2025-12-19T00:00:00"/>
    <x v="56"/>
    <n v="4"/>
    <x v="2"/>
    <x v="2"/>
    <n v="197136.21999999997"/>
    <x v="0"/>
  </r>
  <r>
    <n v="565"/>
    <s v="Vihaan Sharma"/>
    <x v="0"/>
    <n v="18"/>
    <x v="3"/>
    <n v="173347.53"/>
    <x v="2"/>
    <n v="4461.2299999999996"/>
    <n v="412"/>
    <x v="1"/>
    <s v="RuPay"/>
    <n v="187461.35"/>
    <n v="22933.01"/>
    <s v="Pending"/>
    <d v="2025-01-12T00:00:00"/>
    <x v="178"/>
    <n v="1"/>
    <x v="1"/>
    <x v="1"/>
    <n v="177808.76"/>
    <x v="0"/>
  </r>
  <r>
    <n v="566"/>
    <s v="Isha Desai"/>
    <x v="1"/>
    <n v="49"/>
    <x v="0"/>
    <n v="428692.32"/>
    <x v="0"/>
    <n v="198732.69"/>
    <n v="592"/>
    <x v="4"/>
    <s v="Visa"/>
    <n v="340320.39"/>
    <n v="181333.46"/>
    <s v="Rejected"/>
    <d v="2025-05-30T00:00:00"/>
    <x v="2"/>
    <n v="1"/>
    <x v="1"/>
    <x v="1"/>
    <n v="627425.01"/>
    <x v="0"/>
  </r>
  <r>
    <n v="567"/>
    <s v="Jay Mehta"/>
    <x v="0"/>
    <n v="41"/>
    <x v="3"/>
    <n v="496133.16"/>
    <x v="0"/>
    <n v="285617.03999999998"/>
    <n v="636"/>
    <x v="3"/>
    <s v="Visa"/>
    <n v="368266.27"/>
    <n v="165680.42000000001"/>
    <s v="Rejected"/>
    <d v="2025-10-10T00:00:00"/>
    <x v="248"/>
    <n v="1"/>
    <x v="2"/>
    <x v="2"/>
    <n v="781750.2"/>
    <x v="0"/>
  </r>
  <r>
    <n v="568"/>
    <s v="Yash Verma"/>
    <x v="0"/>
    <n v="54"/>
    <x v="0"/>
    <n v="427017.34"/>
    <x v="0"/>
    <n v="287993.46000000002"/>
    <n v="808"/>
    <x v="2"/>
    <s v="Discover"/>
    <n v="257286.88"/>
    <n v="84996.68"/>
    <s v="Approved"/>
    <d v="2025-05-07T00:00:00"/>
    <x v="163"/>
    <n v="5"/>
    <x v="2"/>
    <x v="2"/>
    <n v="715010.8"/>
    <x v="0"/>
  </r>
  <r>
    <n v="569"/>
    <s v="Anaya Trivedi"/>
    <x v="1"/>
    <n v="58"/>
    <x v="0"/>
    <n v="71452.39"/>
    <x v="1"/>
    <n v="122607.01"/>
    <n v="338"/>
    <x v="1"/>
    <s v="Visa"/>
    <n v="31776.49"/>
    <n v="241964.1"/>
    <s v="Approved"/>
    <d v="2025-01-23T00:00:00"/>
    <x v="90"/>
    <n v="2"/>
    <x v="0"/>
    <x v="0"/>
    <n v="194059.4"/>
    <x v="0"/>
  </r>
  <r>
    <n v="570"/>
    <s v="Aditya Trivedi"/>
    <x v="0"/>
    <n v="62"/>
    <x v="1"/>
    <n v="197153.8"/>
    <x v="2"/>
    <n v="186608.41"/>
    <n v="303"/>
    <x v="1"/>
    <s v="Visa"/>
    <n v="159524.26"/>
    <n v="26203.439999999999"/>
    <s v="Rejected"/>
    <d v="2025-08-20T00:00:00"/>
    <x v="73"/>
    <n v="5"/>
    <x v="0"/>
    <x v="0"/>
    <n v="383762.20999999996"/>
    <x v="0"/>
  </r>
  <r>
    <n v="571"/>
    <s v="Diya Verma"/>
    <x v="1"/>
    <n v="55"/>
    <x v="5"/>
    <n v="129179.03"/>
    <x v="2"/>
    <n v="246114.16"/>
    <n v="623"/>
    <x v="0"/>
    <s v="Visa"/>
    <n v="-52030.82"/>
    <n v="25497.06"/>
    <s v="Approved"/>
    <d v="2025-07-30T00:00:00"/>
    <x v="174"/>
    <n v="5"/>
    <x v="2"/>
    <x v="2"/>
    <n v="375293.19"/>
    <x v="0"/>
  </r>
  <r>
    <n v="572"/>
    <s v="Rahul Singh"/>
    <x v="0"/>
    <n v="63"/>
    <x v="4"/>
    <n v="200063"/>
    <x v="0"/>
    <n v="85412.28"/>
    <n v="502"/>
    <x v="2"/>
    <s v="RuPay"/>
    <n v="246450.64"/>
    <n v="97023.66"/>
    <s v="Approved"/>
    <d v="2025-05-10T00:00:00"/>
    <x v="136"/>
    <n v="4"/>
    <x v="1"/>
    <x v="1"/>
    <n v="285475.28000000003"/>
    <x v="0"/>
  </r>
  <r>
    <n v="573"/>
    <s v="Meera Mehta"/>
    <x v="1"/>
    <n v="45"/>
    <x v="3"/>
    <n v="158232.82999999999"/>
    <x v="2"/>
    <n v="63584.51"/>
    <n v="443"/>
    <x v="1"/>
    <s v="American Express"/>
    <n v="217449.92"/>
    <n v="168799.07"/>
    <s v="Pending"/>
    <d v="2025-05-10T00:00:00"/>
    <x v="142"/>
    <n v="5"/>
    <x v="1"/>
    <x v="1"/>
    <n v="221817.34"/>
    <x v="0"/>
  </r>
  <r>
    <n v="574"/>
    <s v="Karan Gupta"/>
    <x v="0"/>
    <n v="40"/>
    <x v="3"/>
    <n v="469624.94"/>
    <x v="0"/>
    <n v="283217.06"/>
    <n v="501"/>
    <x v="1"/>
    <s v="Visa"/>
    <n v="209489.74"/>
    <n v="80688.69"/>
    <s v="Pending"/>
    <d v="2025-06-03T00:00:00"/>
    <x v="280"/>
    <n v="5"/>
    <x v="1"/>
    <x v="1"/>
    <n v="752842"/>
    <x v="0"/>
  </r>
  <r>
    <n v="575"/>
    <s v="Arjun Trivedi"/>
    <x v="0"/>
    <n v="47"/>
    <x v="1"/>
    <n v="376001.09"/>
    <x v="0"/>
    <n v="120583.61"/>
    <n v="475"/>
    <x v="0"/>
    <s v="Discover"/>
    <n v="443956.83"/>
    <n v="97927.35"/>
    <s v="Approved"/>
    <d v="2025-10-14T00:00:00"/>
    <x v="12"/>
    <n v="4"/>
    <x v="1"/>
    <x v="1"/>
    <n v="496584.7"/>
    <x v="0"/>
  </r>
  <r>
    <n v="576"/>
    <s v="Rohit Mehta"/>
    <x v="0"/>
    <n v="41"/>
    <x v="3"/>
    <n v="203444.61"/>
    <x v="0"/>
    <n v="141912.32999999999"/>
    <n v="305"/>
    <x v="4"/>
    <s v="Discover"/>
    <n v="229750.6"/>
    <n v="111467.87"/>
    <s v="Approved"/>
    <d v="2025-02-16T00:00:00"/>
    <x v="95"/>
    <n v="3"/>
    <x v="0"/>
    <x v="0"/>
    <n v="345356.93999999994"/>
    <x v="0"/>
  </r>
  <r>
    <n v="577"/>
    <s v="Karan Desai"/>
    <x v="0"/>
    <n v="62"/>
    <x v="1"/>
    <n v="77659.14"/>
    <x v="1"/>
    <n v="49991.18"/>
    <n v="301"/>
    <x v="0"/>
    <s v="Discover"/>
    <n v="224199.7"/>
    <n v="225166.13"/>
    <s v="Pending"/>
    <d v="2025-05-16T00:00:00"/>
    <x v="121"/>
    <n v="2"/>
    <x v="0"/>
    <x v="0"/>
    <n v="127650.32"/>
    <x v="0"/>
  </r>
  <r>
    <n v="578"/>
    <s v="Riya Patel"/>
    <x v="1"/>
    <n v="25"/>
    <x v="3"/>
    <n v="184873.89"/>
    <x v="2"/>
    <n v="168400.18"/>
    <n v="325"/>
    <x v="0"/>
    <s v="American Express"/>
    <n v="92497.74"/>
    <n v="47570.6"/>
    <s v="Rejected"/>
    <d v="2025-09-13T00:00:00"/>
    <x v="67"/>
    <n v="4"/>
    <x v="0"/>
    <x v="0"/>
    <n v="353274.07"/>
    <x v="0"/>
  </r>
  <r>
    <n v="579"/>
    <s v="Riya Joshi"/>
    <x v="1"/>
    <n v="32"/>
    <x v="1"/>
    <n v="96798.080000000002"/>
    <x v="1"/>
    <n v="256522.33"/>
    <n v="760"/>
    <x v="0"/>
    <s v="MasterCard"/>
    <n v="-66167.66"/>
    <n v="227813.99"/>
    <s v="Rejected"/>
    <d v="2025-09-27T00:00:00"/>
    <x v="150"/>
    <n v="2"/>
    <x v="2"/>
    <x v="2"/>
    <n v="353320.41"/>
    <x v="0"/>
  </r>
  <r>
    <n v="580"/>
    <s v="Aarav Shah"/>
    <x v="0"/>
    <n v="29"/>
    <x v="4"/>
    <n v="157711.76"/>
    <x v="2"/>
    <n v="232846.92"/>
    <n v="662"/>
    <x v="0"/>
    <s v="Discover"/>
    <n v="15153.08"/>
    <n v="62825.69"/>
    <s v="Pending"/>
    <d v="2025-05-28T00:00:00"/>
    <x v="60"/>
    <n v="2"/>
    <x v="2"/>
    <x v="2"/>
    <n v="390558.68000000005"/>
    <x v="0"/>
  </r>
  <r>
    <n v="581"/>
    <s v="Sneha Joshi"/>
    <x v="1"/>
    <n v="64"/>
    <x v="5"/>
    <n v="195443.45"/>
    <x v="2"/>
    <n v="109699.46"/>
    <n v="804"/>
    <x v="0"/>
    <s v="Discover"/>
    <n v="106743.74"/>
    <n v="153444.24"/>
    <s v="Approved"/>
    <d v="2025-06-21T00:00:00"/>
    <x v="168"/>
    <n v="3"/>
    <x v="2"/>
    <x v="2"/>
    <n v="305142.91000000003"/>
    <x v="0"/>
  </r>
  <r>
    <n v="582"/>
    <s v="Anaya Mehta"/>
    <x v="1"/>
    <n v="56"/>
    <x v="4"/>
    <n v="453760.92"/>
    <x v="0"/>
    <n v="222015.71"/>
    <n v="303"/>
    <x v="0"/>
    <s v="RuPay"/>
    <n v="327470.02"/>
    <n v="143079.25"/>
    <s v="Approved"/>
    <d v="2025-08-23T00:00:00"/>
    <x v="127"/>
    <n v="1"/>
    <x v="0"/>
    <x v="0"/>
    <n v="675776.63"/>
    <x v="0"/>
  </r>
  <r>
    <n v="583"/>
    <s v="Rahul Joshi"/>
    <x v="0"/>
    <n v="50"/>
    <x v="5"/>
    <n v="67604.84"/>
    <x v="1"/>
    <n v="93362.7"/>
    <n v="409"/>
    <x v="2"/>
    <s v="Visa"/>
    <n v="116007.49"/>
    <n v="118721.65"/>
    <s v="Approved"/>
    <d v="2025-12-03T00:00:00"/>
    <x v="220"/>
    <n v="2"/>
    <x v="1"/>
    <x v="1"/>
    <n v="160967.53999999998"/>
    <x v="0"/>
  </r>
  <r>
    <n v="584"/>
    <s v="Jay Desai"/>
    <x v="0"/>
    <n v="32"/>
    <x v="3"/>
    <n v="383175.18"/>
    <x v="0"/>
    <n v="261909.84"/>
    <n v="429"/>
    <x v="0"/>
    <s v="MasterCard"/>
    <n v="142650.91"/>
    <n v="60523.55"/>
    <s v="Rejected"/>
    <d v="2025-04-03T00:00:00"/>
    <x v="181"/>
    <n v="5"/>
    <x v="1"/>
    <x v="1"/>
    <n v="645085.02"/>
    <x v="0"/>
  </r>
  <r>
    <n v="585"/>
    <s v="Rohit Sharma"/>
    <x v="0"/>
    <n v="61"/>
    <x v="1"/>
    <n v="143692.88"/>
    <x v="2"/>
    <n v="105761.61"/>
    <n v="622"/>
    <x v="4"/>
    <s v="RuPay"/>
    <n v="60273.11"/>
    <n v="206555.66"/>
    <s v="Pending"/>
    <d v="2025-06-09T00:00:00"/>
    <x v="281"/>
    <n v="1"/>
    <x v="2"/>
    <x v="2"/>
    <n v="249454.49"/>
    <x v="0"/>
  </r>
  <r>
    <n v="586"/>
    <s v="Vihaan Desai"/>
    <x v="0"/>
    <n v="62"/>
    <x v="0"/>
    <n v="347243.97"/>
    <x v="0"/>
    <n v="136214.59"/>
    <n v="427"/>
    <x v="1"/>
    <s v="Discover"/>
    <n v="230536.36"/>
    <n v="182110.14"/>
    <s v="Pending"/>
    <d v="2025-02-27T00:00:00"/>
    <x v="282"/>
    <n v="1"/>
    <x v="1"/>
    <x v="1"/>
    <n v="483458.55999999994"/>
    <x v="0"/>
  </r>
  <r>
    <n v="587"/>
    <s v="Nisha Shah"/>
    <x v="1"/>
    <n v="37"/>
    <x v="1"/>
    <n v="423336"/>
    <x v="0"/>
    <n v="273047.33"/>
    <n v="621"/>
    <x v="3"/>
    <s v="American Express"/>
    <n v="228567.33"/>
    <n v="66371.67"/>
    <s v="Pending"/>
    <d v="2025-08-20T00:00:00"/>
    <x v="107"/>
    <n v="1"/>
    <x v="2"/>
    <x v="2"/>
    <n v="696383.33000000007"/>
    <x v="0"/>
  </r>
  <r>
    <n v="588"/>
    <s v="Karan Patel"/>
    <x v="0"/>
    <n v="25"/>
    <x v="1"/>
    <n v="14754.36"/>
    <x v="1"/>
    <n v="173269.08"/>
    <n v="841"/>
    <x v="2"/>
    <s v="Visa"/>
    <n v="-82087.679999999993"/>
    <n v="82659.45"/>
    <s v="Rejected"/>
    <d v="2025-06-26T00:00:00"/>
    <x v="248"/>
    <n v="2"/>
    <x v="2"/>
    <x v="2"/>
    <n v="188023.44"/>
    <x v="0"/>
  </r>
  <r>
    <n v="589"/>
    <s v="Jay Shah"/>
    <x v="0"/>
    <n v="51"/>
    <x v="2"/>
    <n v="496798.58"/>
    <x v="0"/>
    <n v="175040.17"/>
    <n v="528"/>
    <x v="4"/>
    <s v="Discover"/>
    <n v="495432.94"/>
    <n v="188806.21"/>
    <s v="Rejected"/>
    <d v="2025-01-25T00:00:00"/>
    <x v="283"/>
    <n v="1"/>
    <x v="1"/>
    <x v="1"/>
    <n v="671838.75"/>
    <x v="0"/>
  </r>
  <r>
    <n v="590"/>
    <s v="Kavya Verma"/>
    <x v="1"/>
    <n v="48"/>
    <x v="3"/>
    <n v="295373.28999999998"/>
    <x v="0"/>
    <n v="31735.5"/>
    <n v="817"/>
    <x v="3"/>
    <s v="RuPay"/>
    <n v="399731.93"/>
    <n v="225471.81"/>
    <s v="Rejected"/>
    <d v="2025-01-25T00:00:00"/>
    <x v="7"/>
    <n v="2"/>
    <x v="2"/>
    <x v="2"/>
    <n v="327108.78999999998"/>
    <x v="0"/>
  </r>
  <r>
    <n v="591"/>
    <s v="Manav Trivedi"/>
    <x v="0"/>
    <n v="33"/>
    <x v="3"/>
    <n v="38904.31"/>
    <x v="1"/>
    <n v="98483.62"/>
    <n v="603"/>
    <x v="0"/>
    <s v="RuPay"/>
    <n v="4946.88"/>
    <n v="103711.67"/>
    <s v="Pending"/>
    <d v="2025-12-24T00:00:00"/>
    <x v="246"/>
    <n v="2"/>
    <x v="2"/>
    <x v="2"/>
    <n v="137387.93"/>
    <x v="0"/>
  </r>
  <r>
    <n v="592"/>
    <s v="Sneha Patel"/>
    <x v="1"/>
    <n v="19"/>
    <x v="5"/>
    <n v="338002.62"/>
    <x v="0"/>
    <n v="252141.38"/>
    <n v="715"/>
    <x v="2"/>
    <s v="Discover"/>
    <n v="153138.14000000001"/>
    <n v="230906"/>
    <s v="Pending"/>
    <d v="2025-02-21T00:00:00"/>
    <x v="39"/>
    <n v="3"/>
    <x v="2"/>
    <x v="2"/>
    <n v="590144"/>
    <x v="0"/>
  </r>
  <r>
    <n v="593"/>
    <s v="Riya Mehta"/>
    <x v="1"/>
    <n v="61"/>
    <x v="5"/>
    <n v="65223.14"/>
    <x v="1"/>
    <n v="154605.85999999999"/>
    <n v="791"/>
    <x v="4"/>
    <s v="American Express"/>
    <n v="24872.23"/>
    <n v="187333.19"/>
    <s v="Pending"/>
    <d v="2025-07-21T00:00:00"/>
    <x v="284"/>
    <n v="1"/>
    <x v="2"/>
    <x v="2"/>
    <n v="219829"/>
    <x v="0"/>
  </r>
  <r>
    <n v="594"/>
    <s v="Rahul Gupta"/>
    <x v="0"/>
    <n v="29"/>
    <x v="5"/>
    <n v="192825.68"/>
    <x v="2"/>
    <n v="115124.24"/>
    <n v="719"/>
    <x v="2"/>
    <s v="Discover"/>
    <n v="207370.06"/>
    <n v="120316.52"/>
    <s v="Rejected"/>
    <d v="2025-07-01T00:00:00"/>
    <x v="285"/>
    <n v="1"/>
    <x v="2"/>
    <x v="2"/>
    <n v="307949.92"/>
    <x v="0"/>
  </r>
  <r>
    <n v="595"/>
    <s v="Priya Mehta"/>
    <x v="1"/>
    <n v="59"/>
    <x v="1"/>
    <n v="184969.27"/>
    <x v="2"/>
    <n v="3846.55"/>
    <n v="493"/>
    <x v="3"/>
    <s v="Visa"/>
    <n v="243116.12"/>
    <n v="213735.06"/>
    <s v="Approved"/>
    <d v="2025-07-21T00:00:00"/>
    <x v="142"/>
    <n v="1"/>
    <x v="1"/>
    <x v="1"/>
    <n v="188815.81999999998"/>
    <x v="0"/>
  </r>
  <r>
    <n v="596"/>
    <s v="Yash Desai"/>
    <x v="0"/>
    <n v="29"/>
    <x v="3"/>
    <n v="110999.56"/>
    <x v="2"/>
    <n v="209988.23"/>
    <n v="851"/>
    <x v="2"/>
    <s v="Visa"/>
    <n v="-74544.75"/>
    <n v="72109.23"/>
    <s v="Rejected"/>
    <d v="2025-01-28T00:00:00"/>
    <x v="49"/>
    <n v="4"/>
    <x v="2"/>
    <x v="2"/>
    <n v="320987.79000000004"/>
    <x v="0"/>
  </r>
  <r>
    <n v="597"/>
    <s v="Priya Mehta"/>
    <x v="1"/>
    <n v="34"/>
    <x v="5"/>
    <n v="351805.51"/>
    <x v="0"/>
    <n v="294525.88"/>
    <n v="422"/>
    <x v="4"/>
    <s v="Discover"/>
    <n v="134407.28"/>
    <n v="147679.87"/>
    <s v="Pending"/>
    <d v="2025-04-04T00:00:00"/>
    <x v="223"/>
    <n v="1"/>
    <x v="1"/>
    <x v="1"/>
    <n v="646331.39"/>
    <x v="0"/>
  </r>
  <r>
    <n v="598"/>
    <s v="Yash Desai"/>
    <x v="0"/>
    <n v="43"/>
    <x v="5"/>
    <n v="10178.209999999999"/>
    <x v="1"/>
    <n v="49980.73"/>
    <n v="612"/>
    <x v="1"/>
    <s v="Discover"/>
    <n v="88237.39"/>
    <n v="228245.26"/>
    <s v="Approved"/>
    <d v="2025-03-19T00:00:00"/>
    <x v="286"/>
    <n v="4"/>
    <x v="2"/>
    <x v="2"/>
    <n v="60158.94"/>
    <x v="0"/>
  </r>
  <r>
    <n v="599"/>
    <s v="Isha Singh"/>
    <x v="1"/>
    <n v="61"/>
    <x v="5"/>
    <n v="333130.13"/>
    <x v="0"/>
    <n v="79132.800000000003"/>
    <n v="845"/>
    <x v="2"/>
    <s v="RuPay"/>
    <n v="320280"/>
    <n v="171224.59"/>
    <s v="Rejected"/>
    <d v="2025-09-09T00:00:00"/>
    <x v="84"/>
    <n v="5"/>
    <x v="2"/>
    <x v="2"/>
    <n v="412262.93"/>
    <x v="0"/>
  </r>
  <r>
    <n v="600"/>
    <s v="Nisha Patel"/>
    <x v="1"/>
    <n v="35"/>
    <x v="2"/>
    <n v="336844.93"/>
    <x v="0"/>
    <n v="299447.96000000002"/>
    <n v="320"/>
    <x v="3"/>
    <s v="MasterCard"/>
    <n v="97135"/>
    <n v="22802.47"/>
    <s v="Approved"/>
    <d v="2025-09-03T00:00:00"/>
    <x v="257"/>
    <n v="2"/>
    <x v="0"/>
    <x v="0"/>
    <n v="636292.89"/>
    <x v="0"/>
  </r>
  <r>
    <n v="601"/>
    <s v="Diya Desai"/>
    <x v="1"/>
    <n v="66"/>
    <x v="5"/>
    <n v="318150.90000000002"/>
    <x v="0"/>
    <n v="164388.20000000001"/>
    <n v="789"/>
    <x v="4"/>
    <s v="MasterCard"/>
    <n v="185940.58"/>
    <n v="52149.41"/>
    <s v="Pending"/>
    <d v="2025-09-10T00:00:00"/>
    <x v="287"/>
    <n v="4"/>
    <x v="2"/>
    <x v="2"/>
    <n v="482539.10000000003"/>
    <x v="0"/>
  </r>
  <r>
    <n v="602"/>
    <s v="Priya Gupta"/>
    <x v="1"/>
    <n v="59"/>
    <x v="2"/>
    <n v="487917.25"/>
    <x v="0"/>
    <n v="4314.3599999999997"/>
    <n v="789"/>
    <x v="4"/>
    <s v="MasterCard"/>
    <n v="572905.22"/>
    <n v="47598.47"/>
    <s v="Rejected"/>
    <d v="2025-02-03T00:00:00"/>
    <x v="288"/>
    <n v="5"/>
    <x v="2"/>
    <x v="2"/>
    <n v="492231.61"/>
    <x v="0"/>
  </r>
  <r>
    <n v="603"/>
    <s v="Manav Patel"/>
    <x v="0"/>
    <n v="34"/>
    <x v="4"/>
    <n v="420538.44"/>
    <x v="0"/>
    <n v="174160.17"/>
    <n v="633"/>
    <x v="0"/>
    <s v="Visa"/>
    <n v="317453.28999999998"/>
    <n v="232848.4"/>
    <s v="Approved"/>
    <d v="2025-10-12T00:00:00"/>
    <x v="50"/>
    <n v="3"/>
    <x v="2"/>
    <x v="2"/>
    <n v="594698.61"/>
    <x v="0"/>
  </r>
  <r>
    <n v="604"/>
    <s v="Vihaan Verma"/>
    <x v="0"/>
    <n v="61"/>
    <x v="5"/>
    <n v="210693.71"/>
    <x v="0"/>
    <n v="274270.14"/>
    <n v="707"/>
    <x v="2"/>
    <s v="RuPay"/>
    <n v="-33698.949999999997"/>
    <n v="111269.13"/>
    <s v="Approved"/>
    <d v="2025-05-20T00:00:00"/>
    <x v="180"/>
    <n v="2"/>
    <x v="2"/>
    <x v="2"/>
    <n v="484963.85"/>
    <x v="0"/>
  </r>
  <r>
    <n v="605"/>
    <s v="Diya Mehta"/>
    <x v="1"/>
    <n v="23"/>
    <x v="4"/>
    <n v="116546.81"/>
    <x v="2"/>
    <n v="133366.03"/>
    <n v="633"/>
    <x v="0"/>
    <s v="MasterCard"/>
    <n v="158343.1"/>
    <n v="138005.98000000001"/>
    <s v="Rejected"/>
    <d v="2025-02-26T00:00:00"/>
    <x v="72"/>
    <n v="1"/>
    <x v="2"/>
    <x v="2"/>
    <n v="249912.84"/>
    <x v="0"/>
  </r>
  <r>
    <n v="606"/>
    <s v="Kavya Trivedi"/>
    <x v="1"/>
    <n v="48"/>
    <x v="2"/>
    <n v="85063.37"/>
    <x v="1"/>
    <n v="105842.48"/>
    <n v="844"/>
    <x v="0"/>
    <s v="MasterCard"/>
    <n v="83303.86"/>
    <n v="96702.04"/>
    <s v="Pending"/>
    <d v="2025-06-17T00:00:00"/>
    <x v="31"/>
    <n v="3"/>
    <x v="2"/>
    <x v="2"/>
    <n v="190905.84999999998"/>
    <x v="0"/>
  </r>
  <r>
    <n v="607"/>
    <s v="Yash Mehta"/>
    <x v="0"/>
    <n v="52"/>
    <x v="0"/>
    <n v="131683.22"/>
    <x v="2"/>
    <n v="270833.17"/>
    <n v="397"/>
    <x v="2"/>
    <s v="Visa"/>
    <n v="-63326.34"/>
    <n v="164645.18"/>
    <s v="Rejected"/>
    <d v="2025-05-28T00:00:00"/>
    <x v="123"/>
    <n v="1"/>
    <x v="0"/>
    <x v="0"/>
    <n v="402516.39"/>
    <x v="0"/>
  </r>
  <r>
    <n v="608"/>
    <s v="Pooja Desai"/>
    <x v="1"/>
    <n v="50"/>
    <x v="5"/>
    <n v="79213.55"/>
    <x v="1"/>
    <n v="297684.84000000003"/>
    <n v="627"/>
    <x v="4"/>
    <s v="American Express"/>
    <n v="-170225.96"/>
    <n v="106683.12"/>
    <s v="Pending"/>
    <d v="2025-07-17T00:00:00"/>
    <x v="289"/>
    <n v="4"/>
    <x v="2"/>
    <x v="2"/>
    <n v="376898.39"/>
    <x v="0"/>
  </r>
  <r>
    <n v="609"/>
    <s v="Karan Gupta"/>
    <x v="0"/>
    <n v="46"/>
    <x v="3"/>
    <n v="34548.480000000003"/>
    <x v="1"/>
    <n v="100037.96"/>
    <n v="722"/>
    <x v="4"/>
    <s v="Discover"/>
    <n v="2951.78"/>
    <n v="80733.7"/>
    <s v="Pending"/>
    <d v="2025-10-04T00:00:00"/>
    <x v="190"/>
    <n v="2"/>
    <x v="2"/>
    <x v="2"/>
    <n v="134586.44"/>
    <x v="0"/>
  </r>
  <r>
    <n v="610"/>
    <s v="Meera Shah"/>
    <x v="1"/>
    <n v="50"/>
    <x v="2"/>
    <n v="459253.7"/>
    <x v="0"/>
    <n v="264288.59000000003"/>
    <n v="401"/>
    <x v="1"/>
    <s v="Discover"/>
    <n v="361727.58"/>
    <n v="168231.19"/>
    <s v="Approved"/>
    <d v="2025-04-03T00:00:00"/>
    <x v="109"/>
    <n v="1"/>
    <x v="1"/>
    <x v="1"/>
    <n v="723542.29"/>
    <x v="0"/>
  </r>
  <r>
    <n v="611"/>
    <s v="Yash Verma"/>
    <x v="0"/>
    <n v="27"/>
    <x v="1"/>
    <n v="177334.11"/>
    <x v="2"/>
    <n v="82579.97"/>
    <n v="552"/>
    <x v="4"/>
    <s v="RuPay"/>
    <n v="163705.97"/>
    <n v="41524.57"/>
    <s v="Pending"/>
    <d v="2025-04-08T00:00:00"/>
    <x v="89"/>
    <n v="1"/>
    <x v="1"/>
    <x v="1"/>
    <n v="259914.08"/>
    <x v="0"/>
  </r>
  <r>
    <n v="612"/>
    <s v="Sneha Desai"/>
    <x v="1"/>
    <n v="24"/>
    <x v="4"/>
    <n v="365383.92"/>
    <x v="0"/>
    <n v="42473.279999999999"/>
    <n v="606"/>
    <x v="2"/>
    <s v="MasterCard"/>
    <n v="337270.89"/>
    <n v="173748.79"/>
    <s v="Approved"/>
    <d v="2025-06-12T00:00:00"/>
    <x v="80"/>
    <n v="4"/>
    <x v="2"/>
    <x v="2"/>
    <n v="407857.19999999995"/>
    <x v="0"/>
  </r>
  <r>
    <n v="613"/>
    <s v="Pooja Trivedi"/>
    <x v="1"/>
    <n v="46"/>
    <x v="1"/>
    <n v="12660.34"/>
    <x v="1"/>
    <n v="155918.09"/>
    <n v="764"/>
    <x v="4"/>
    <s v="RuPay"/>
    <n v="-67463.960000000006"/>
    <n v="37125.730000000003"/>
    <s v="Pending"/>
    <d v="2025-11-16T00:00:00"/>
    <x v="16"/>
    <n v="4"/>
    <x v="2"/>
    <x v="2"/>
    <n v="168578.43"/>
    <x v="0"/>
  </r>
  <r>
    <n v="614"/>
    <s v="Yash Desai"/>
    <x v="0"/>
    <n v="40"/>
    <x v="0"/>
    <n v="88353.15"/>
    <x v="1"/>
    <n v="24866.3"/>
    <n v="585"/>
    <x v="4"/>
    <s v="Discover"/>
    <n v="211851.3"/>
    <n v="65984.95"/>
    <s v="Approved"/>
    <d v="2025-04-11T00:00:00"/>
    <x v="285"/>
    <n v="5"/>
    <x v="1"/>
    <x v="1"/>
    <n v="113219.45"/>
    <x v="0"/>
  </r>
  <r>
    <n v="615"/>
    <s v="Nisha Gupta"/>
    <x v="1"/>
    <n v="47"/>
    <x v="4"/>
    <n v="51547.56"/>
    <x v="1"/>
    <n v="181017.43"/>
    <n v="747"/>
    <x v="3"/>
    <s v="MasterCard"/>
    <n v="63196.11"/>
    <n v="50116.66"/>
    <s v="Rejected"/>
    <d v="2025-03-10T00:00:00"/>
    <x v="0"/>
    <n v="4"/>
    <x v="2"/>
    <x v="2"/>
    <n v="232564.99"/>
    <x v="0"/>
  </r>
  <r>
    <n v="616"/>
    <s v="Meera Gupta"/>
    <x v="1"/>
    <n v="61"/>
    <x v="1"/>
    <n v="61022.85"/>
    <x v="1"/>
    <n v="216745.5"/>
    <n v="687"/>
    <x v="1"/>
    <s v="Visa"/>
    <n v="-42905.41"/>
    <n v="112641.3"/>
    <s v="Rejected"/>
    <d v="2025-10-22T00:00:00"/>
    <x v="1"/>
    <n v="1"/>
    <x v="2"/>
    <x v="2"/>
    <n v="277768.34999999998"/>
    <x v="0"/>
  </r>
  <r>
    <n v="617"/>
    <s v="Aarav Patel"/>
    <x v="0"/>
    <n v="42"/>
    <x v="4"/>
    <n v="99247.85"/>
    <x v="1"/>
    <n v="276820.58"/>
    <n v="474"/>
    <x v="4"/>
    <s v="Visa"/>
    <n v="-170873.24"/>
    <n v="101012.46"/>
    <s v="Rejected"/>
    <d v="2025-10-24T00:00:00"/>
    <x v="156"/>
    <n v="5"/>
    <x v="1"/>
    <x v="1"/>
    <n v="376068.43000000005"/>
    <x v="0"/>
  </r>
  <r>
    <n v="618"/>
    <s v="Rohit Desai"/>
    <x v="0"/>
    <n v="22"/>
    <x v="5"/>
    <n v="462063.81"/>
    <x v="0"/>
    <n v="222244.57"/>
    <n v="397"/>
    <x v="0"/>
    <s v="RuPay"/>
    <n v="300270.98"/>
    <n v="75133.02"/>
    <s v="Approved"/>
    <d v="2025-12-22T00:00:00"/>
    <x v="65"/>
    <n v="5"/>
    <x v="0"/>
    <x v="0"/>
    <n v="684308.38"/>
    <x v="0"/>
  </r>
  <r>
    <n v="619"/>
    <s v="Meera Desai"/>
    <x v="1"/>
    <n v="28"/>
    <x v="3"/>
    <n v="42075.62"/>
    <x v="1"/>
    <n v="282614.8"/>
    <n v="884"/>
    <x v="2"/>
    <s v="MasterCard"/>
    <n v="-128934.53"/>
    <n v="66363.59"/>
    <s v="Pending"/>
    <d v="2025-03-12T00:00:00"/>
    <x v="11"/>
    <n v="2"/>
    <x v="2"/>
    <x v="2"/>
    <n v="324690.42"/>
    <x v="0"/>
  </r>
  <r>
    <n v="620"/>
    <s v="Anaya Singh"/>
    <x v="1"/>
    <n v="51"/>
    <x v="1"/>
    <n v="282542.2"/>
    <x v="0"/>
    <n v="208396.3"/>
    <n v="448"/>
    <x v="0"/>
    <s v="Discover"/>
    <n v="255776.13"/>
    <n v="109589.25"/>
    <s v="Rejected"/>
    <d v="2025-06-20T00:00:00"/>
    <x v="89"/>
    <n v="4"/>
    <x v="1"/>
    <x v="1"/>
    <n v="490938.5"/>
    <x v="0"/>
  </r>
  <r>
    <n v="621"/>
    <s v="Aarav Joshi"/>
    <x v="0"/>
    <n v="27"/>
    <x v="5"/>
    <n v="275552.65999999997"/>
    <x v="0"/>
    <n v="297517.13"/>
    <n v="721"/>
    <x v="0"/>
    <s v="Discover"/>
    <n v="-4364.32"/>
    <n v="233258.35"/>
    <s v="Rejected"/>
    <d v="2025-01-21T00:00:00"/>
    <x v="125"/>
    <n v="2"/>
    <x v="2"/>
    <x v="2"/>
    <n v="573069.79"/>
    <x v="0"/>
  </r>
  <r>
    <n v="622"/>
    <s v="Yash Mehta"/>
    <x v="0"/>
    <n v="18"/>
    <x v="0"/>
    <n v="45443.49"/>
    <x v="1"/>
    <n v="86259.75"/>
    <n v="413"/>
    <x v="0"/>
    <s v="MasterCard"/>
    <n v="-35738.160000000003"/>
    <n v="39082.51"/>
    <s v="Approved"/>
    <d v="2025-11-25T00:00:00"/>
    <x v="67"/>
    <n v="2"/>
    <x v="1"/>
    <x v="1"/>
    <n v="131703.24"/>
    <x v="0"/>
  </r>
  <r>
    <n v="623"/>
    <s v="Nisha Shah"/>
    <x v="1"/>
    <n v="44"/>
    <x v="3"/>
    <n v="315417.53000000003"/>
    <x v="0"/>
    <n v="90823.94"/>
    <n v="712"/>
    <x v="4"/>
    <s v="American Express"/>
    <n v="374157.17"/>
    <n v="92221.25"/>
    <s v="Rejected"/>
    <d v="2025-10-03T00:00:00"/>
    <x v="290"/>
    <n v="3"/>
    <x v="2"/>
    <x v="2"/>
    <n v="406241.47000000003"/>
    <x v="0"/>
  </r>
  <r>
    <n v="624"/>
    <s v="Jay Trivedi"/>
    <x v="0"/>
    <n v="66"/>
    <x v="5"/>
    <n v="250057.46"/>
    <x v="0"/>
    <n v="114724.73"/>
    <n v="301"/>
    <x v="3"/>
    <s v="Discover"/>
    <n v="235765.79"/>
    <n v="212324.61"/>
    <s v="Pending"/>
    <d v="2025-01-22T00:00:00"/>
    <x v="291"/>
    <n v="5"/>
    <x v="0"/>
    <x v="0"/>
    <n v="364782.19"/>
    <x v="0"/>
  </r>
  <r>
    <n v="625"/>
    <s v="Priya Sharma"/>
    <x v="1"/>
    <n v="64"/>
    <x v="4"/>
    <n v="177950.16"/>
    <x v="2"/>
    <n v="273865.28000000003"/>
    <n v="563"/>
    <x v="1"/>
    <s v="MasterCard"/>
    <n v="370.93"/>
    <n v="173017.61"/>
    <s v="Pending"/>
    <d v="2025-08-10T00:00:00"/>
    <x v="266"/>
    <n v="1"/>
    <x v="1"/>
    <x v="1"/>
    <n v="451815.44000000006"/>
    <x v="0"/>
  </r>
  <r>
    <n v="626"/>
    <s v="Sneha Mehta"/>
    <x v="1"/>
    <n v="64"/>
    <x v="1"/>
    <n v="188005.88"/>
    <x v="2"/>
    <n v="287233.15999999997"/>
    <n v="691"/>
    <x v="4"/>
    <s v="MasterCard"/>
    <n v="-85371.46"/>
    <n v="185255.87"/>
    <s v="Pending"/>
    <d v="2025-01-14T00:00:00"/>
    <x v="61"/>
    <n v="1"/>
    <x v="2"/>
    <x v="2"/>
    <n v="475239.04"/>
    <x v="0"/>
  </r>
  <r>
    <n v="627"/>
    <s v="Yash Shah"/>
    <x v="0"/>
    <n v="51"/>
    <x v="4"/>
    <n v="306006.53999999998"/>
    <x v="0"/>
    <n v="261009.1"/>
    <n v="606"/>
    <x v="4"/>
    <s v="RuPay"/>
    <n v="91335.8"/>
    <n v="146720.67000000001"/>
    <s v="Pending"/>
    <d v="2025-12-23T00:00:00"/>
    <x v="292"/>
    <n v="3"/>
    <x v="2"/>
    <x v="2"/>
    <n v="567015.64"/>
    <x v="0"/>
  </r>
  <r>
    <n v="628"/>
    <s v="Anaya Shah"/>
    <x v="1"/>
    <n v="29"/>
    <x v="3"/>
    <n v="279385.03999999998"/>
    <x v="0"/>
    <n v="2311.11"/>
    <n v="726"/>
    <x v="2"/>
    <s v="American Express"/>
    <n v="379970.26"/>
    <n v="166190.94"/>
    <s v="Pending"/>
    <d v="2025-02-23T00:00:00"/>
    <x v="287"/>
    <n v="2"/>
    <x v="2"/>
    <x v="2"/>
    <n v="281696.14999999997"/>
    <x v="0"/>
  </r>
  <r>
    <n v="629"/>
    <s v="Meera Shah"/>
    <x v="1"/>
    <n v="58"/>
    <x v="4"/>
    <n v="143851.88"/>
    <x v="2"/>
    <n v="290195.96000000002"/>
    <n v="832"/>
    <x v="0"/>
    <s v="MasterCard"/>
    <n v="13257.13"/>
    <n v="58660.5"/>
    <s v="Approved"/>
    <d v="2025-09-05T00:00:00"/>
    <x v="265"/>
    <n v="2"/>
    <x v="2"/>
    <x v="2"/>
    <n v="434047.84"/>
    <x v="0"/>
  </r>
  <r>
    <n v="630"/>
    <s v="Manav Singh"/>
    <x v="0"/>
    <n v="63"/>
    <x v="2"/>
    <n v="319381.75"/>
    <x v="0"/>
    <n v="85696.27"/>
    <n v="666"/>
    <x v="1"/>
    <s v="MasterCard"/>
    <n v="304847.68"/>
    <n v="126483.57"/>
    <s v="Approved"/>
    <d v="2025-12-26T00:00:00"/>
    <x v="74"/>
    <n v="4"/>
    <x v="2"/>
    <x v="2"/>
    <n v="405078.02"/>
    <x v="0"/>
  </r>
  <r>
    <n v="631"/>
    <s v="Priya Trivedi"/>
    <x v="1"/>
    <n v="37"/>
    <x v="0"/>
    <n v="125316.21"/>
    <x v="2"/>
    <n v="129743.13"/>
    <n v="647"/>
    <x v="1"/>
    <s v="MasterCard"/>
    <n v="7823.84"/>
    <n v="196907.51999999999"/>
    <s v="Rejected"/>
    <d v="2025-08-02T00:00:00"/>
    <x v="146"/>
    <n v="5"/>
    <x v="2"/>
    <x v="2"/>
    <n v="255059.34000000003"/>
    <x v="0"/>
  </r>
  <r>
    <n v="632"/>
    <s v="Meera Mehta"/>
    <x v="1"/>
    <n v="47"/>
    <x v="4"/>
    <n v="69736.320000000007"/>
    <x v="1"/>
    <n v="114505.8"/>
    <n v="627"/>
    <x v="3"/>
    <s v="Visa"/>
    <n v="83375.149999999994"/>
    <n v="197130.32"/>
    <s v="Rejected"/>
    <d v="2025-11-08T00:00:00"/>
    <x v="68"/>
    <n v="3"/>
    <x v="2"/>
    <x v="2"/>
    <n v="184242.12"/>
    <x v="0"/>
  </r>
  <r>
    <n v="633"/>
    <s v="Aditya Gupta"/>
    <x v="0"/>
    <n v="70"/>
    <x v="0"/>
    <n v="449442.08"/>
    <x v="0"/>
    <n v="153183.4"/>
    <n v="781"/>
    <x v="0"/>
    <s v="MasterCard"/>
    <n v="453727.51"/>
    <n v="76545.070000000007"/>
    <s v="Rejected"/>
    <d v="2025-11-06T00:00:00"/>
    <x v="293"/>
    <n v="4"/>
    <x v="2"/>
    <x v="2"/>
    <n v="602625.48"/>
    <x v="0"/>
  </r>
  <r>
    <n v="634"/>
    <s v="Vihaan Joshi"/>
    <x v="0"/>
    <n v="27"/>
    <x v="2"/>
    <n v="13451.67"/>
    <x v="1"/>
    <n v="181647.27"/>
    <n v="893"/>
    <x v="0"/>
    <s v="Discover"/>
    <n v="-13316.73"/>
    <n v="110035.91"/>
    <s v="Approved"/>
    <d v="2025-11-11T00:00:00"/>
    <x v="24"/>
    <n v="1"/>
    <x v="2"/>
    <x v="2"/>
    <n v="195098.94"/>
    <x v="0"/>
  </r>
  <r>
    <n v="635"/>
    <s v="Kavya Singh"/>
    <x v="1"/>
    <n v="50"/>
    <x v="0"/>
    <n v="227942.37"/>
    <x v="0"/>
    <n v="97541.79"/>
    <n v="378"/>
    <x v="2"/>
    <s v="Discover"/>
    <n v="203307.51999999999"/>
    <n v="176633.4"/>
    <s v="Pending"/>
    <d v="2025-03-03T00:00:00"/>
    <x v="208"/>
    <n v="4"/>
    <x v="0"/>
    <x v="0"/>
    <n v="325484.15999999997"/>
    <x v="0"/>
  </r>
  <r>
    <n v="636"/>
    <s v="Manav Singh"/>
    <x v="0"/>
    <n v="49"/>
    <x v="5"/>
    <n v="487184.73"/>
    <x v="0"/>
    <n v="32267.919999999998"/>
    <n v="581"/>
    <x v="2"/>
    <s v="Visa"/>
    <n v="538891.01"/>
    <n v="149751.53"/>
    <s v="Rejected"/>
    <d v="2025-10-31T00:00:00"/>
    <x v="227"/>
    <n v="3"/>
    <x v="1"/>
    <x v="1"/>
    <n v="519452.64999999997"/>
    <x v="0"/>
  </r>
  <r>
    <n v="637"/>
    <s v="Nisha Sharma"/>
    <x v="1"/>
    <n v="41"/>
    <x v="1"/>
    <n v="234162.58"/>
    <x v="0"/>
    <n v="25356.63"/>
    <n v="400"/>
    <x v="2"/>
    <s v="RuPay"/>
    <n v="215911.07"/>
    <n v="160358.67000000001"/>
    <s v="Pending"/>
    <d v="2025-02-08T00:00:00"/>
    <x v="26"/>
    <n v="4"/>
    <x v="0"/>
    <x v="0"/>
    <n v="259519.21"/>
    <x v="0"/>
  </r>
  <r>
    <n v="638"/>
    <s v="Anaya Verma"/>
    <x v="1"/>
    <n v="62"/>
    <x v="2"/>
    <n v="28329.85"/>
    <x v="1"/>
    <n v="211937.18"/>
    <n v="678"/>
    <x v="3"/>
    <s v="Discover"/>
    <n v="-169315.76"/>
    <n v="30356.68"/>
    <s v="Rejected"/>
    <d v="2025-06-11T00:00:00"/>
    <x v="291"/>
    <n v="1"/>
    <x v="2"/>
    <x v="2"/>
    <n v="240267.03"/>
    <x v="0"/>
  </r>
  <r>
    <n v="639"/>
    <s v="Jay Mehta"/>
    <x v="0"/>
    <n v="62"/>
    <x v="4"/>
    <n v="342134.58"/>
    <x v="0"/>
    <n v="286437.03999999998"/>
    <n v="824"/>
    <x v="2"/>
    <s v="American Express"/>
    <n v="188334.12"/>
    <n v="120723.28"/>
    <s v="Pending"/>
    <d v="2025-11-07T00:00:00"/>
    <x v="294"/>
    <n v="5"/>
    <x v="2"/>
    <x v="2"/>
    <n v="628571.62"/>
    <x v="0"/>
  </r>
  <r>
    <n v="640"/>
    <s v="Rahul Patel"/>
    <x v="0"/>
    <n v="51"/>
    <x v="1"/>
    <n v="423141.42"/>
    <x v="0"/>
    <n v="157786.26"/>
    <n v="324"/>
    <x v="3"/>
    <s v="American Express"/>
    <n v="285755.99"/>
    <n v="222954.93"/>
    <s v="Approved"/>
    <d v="2025-12-28T00:00:00"/>
    <x v="295"/>
    <n v="4"/>
    <x v="0"/>
    <x v="0"/>
    <n v="580927.67999999993"/>
    <x v="0"/>
  </r>
  <r>
    <n v="641"/>
    <s v="Aarav Desai"/>
    <x v="0"/>
    <n v="53"/>
    <x v="4"/>
    <n v="459919.41"/>
    <x v="0"/>
    <n v="224226.49"/>
    <n v="858"/>
    <x v="3"/>
    <s v="Visa"/>
    <n v="251528.22"/>
    <n v="206836.4"/>
    <s v="Approved"/>
    <d v="2025-05-15T00:00:00"/>
    <x v="34"/>
    <n v="4"/>
    <x v="2"/>
    <x v="2"/>
    <n v="684145.89999999991"/>
    <x v="0"/>
  </r>
  <r>
    <n v="642"/>
    <s v="Riya Gupta"/>
    <x v="1"/>
    <n v="54"/>
    <x v="5"/>
    <n v="437033.36"/>
    <x v="0"/>
    <n v="92718.38"/>
    <n v="791"/>
    <x v="0"/>
    <s v="Discover"/>
    <n v="434373.85"/>
    <n v="91946.87"/>
    <s v="Approved"/>
    <d v="2025-05-24T00:00:00"/>
    <x v="222"/>
    <n v="2"/>
    <x v="2"/>
    <x v="2"/>
    <n v="529751.74"/>
    <x v="0"/>
  </r>
  <r>
    <n v="643"/>
    <s v="Diya Patel"/>
    <x v="1"/>
    <n v="67"/>
    <x v="1"/>
    <n v="304035.26"/>
    <x v="0"/>
    <n v="7841.49"/>
    <n v="450"/>
    <x v="0"/>
    <s v="RuPay"/>
    <n v="483258.37"/>
    <n v="115833.96"/>
    <s v="Rejected"/>
    <d v="2025-10-25T00:00:00"/>
    <x v="213"/>
    <n v="4"/>
    <x v="1"/>
    <x v="1"/>
    <n v="311876.75"/>
    <x v="0"/>
  </r>
  <r>
    <n v="644"/>
    <s v="Vihaan Shah"/>
    <x v="0"/>
    <n v="39"/>
    <x v="2"/>
    <n v="494506.61"/>
    <x v="0"/>
    <n v="97088.86"/>
    <n v="543"/>
    <x v="2"/>
    <s v="American Express"/>
    <n v="412419.87"/>
    <n v="133494.22"/>
    <s v="Approved"/>
    <d v="2025-04-30T00:00:00"/>
    <x v="205"/>
    <n v="5"/>
    <x v="1"/>
    <x v="1"/>
    <n v="591595.47"/>
    <x v="0"/>
  </r>
  <r>
    <n v="645"/>
    <s v="Aditya Trivedi"/>
    <x v="0"/>
    <n v="69"/>
    <x v="1"/>
    <n v="142471.93"/>
    <x v="2"/>
    <n v="115999.54"/>
    <n v="589"/>
    <x v="4"/>
    <s v="MasterCard"/>
    <n v="147479.76"/>
    <n v="49860.27"/>
    <s v="Pending"/>
    <d v="2025-04-03T00:00:00"/>
    <x v="281"/>
    <n v="2"/>
    <x v="1"/>
    <x v="1"/>
    <n v="258471.46999999997"/>
    <x v="0"/>
  </r>
  <r>
    <n v="646"/>
    <s v="Priya Patel"/>
    <x v="1"/>
    <n v="35"/>
    <x v="3"/>
    <n v="185672.62"/>
    <x v="2"/>
    <n v="220712.12"/>
    <n v="587"/>
    <x v="4"/>
    <s v="Discover"/>
    <n v="150082.26"/>
    <n v="128448.25"/>
    <s v="Rejected"/>
    <d v="2025-07-11T00:00:00"/>
    <x v="23"/>
    <n v="4"/>
    <x v="1"/>
    <x v="1"/>
    <n v="406384.74"/>
    <x v="0"/>
  </r>
  <r>
    <n v="647"/>
    <s v="Rahul Patel"/>
    <x v="0"/>
    <n v="42"/>
    <x v="2"/>
    <n v="338144.25"/>
    <x v="0"/>
    <n v="209191.48"/>
    <n v="782"/>
    <x v="0"/>
    <s v="MasterCard"/>
    <n v="325371.98"/>
    <n v="100670.41"/>
    <s v="Rejected"/>
    <d v="2025-04-15T00:00:00"/>
    <x v="262"/>
    <n v="4"/>
    <x v="2"/>
    <x v="2"/>
    <n v="547335.73"/>
    <x v="0"/>
  </r>
  <r>
    <n v="648"/>
    <s v="Riya Singh"/>
    <x v="1"/>
    <n v="22"/>
    <x v="5"/>
    <n v="282839.46000000002"/>
    <x v="0"/>
    <n v="287563.68"/>
    <n v="358"/>
    <x v="4"/>
    <s v="American Express"/>
    <n v="108350.38"/>
    <n v="181707.62"/>
    <s v="Rejected"/>
    <d v="2025-04-11T00:00:00"/>
    <x v="172"/>
    <n v="5"/>
    <x v="0"/>
    <x v="0"/>
    <n v="570403.14"/>
    <x v="0"/>
  </r>
  <r>
    <n v="649"/>
    <s v="Priya Shah"/>
    <x v="1"/>
    <n v="50"/>
    <x v="5"/>
    <n v="423573.84"/>
    <x v="0"/>
    <n v="266555.69"/>
    <n v="460"/>
    <x v="4"/>
    <s v="Discover"/>
    <n v="335893.32"/>
    <n v="20140.57"/>
    <s v="Rejected"/>
    <d v="2025-01-13T00:00:00"/>
    <x v="206"/>
    <n v="4"/>
    <x v="1"/>
    <x v="1"/>
    <n v="690129.53"/>
    <x v="0"/>
  </r>
  <r>
    <n v="650"/>
    <s v="Sneha Shah"/>
    <x v="1"/>
    <n v="53"/>
    <x v="1"/>
    <n v="311608.99"/>
    <x v="0"/>
    <n v="273087.65999999997"/>
    <n v="752"/>
    <x v="4"/>
    <s v="RuPay"/>
    <n v="101933.59"/>
    <n v="249037.83"/>
    <s v="Rejected"/>
    <d v="2025-08-04T00:00:00"/>
    <x v="175"/>
    <n v="4"/>
    <x v="2"/>
    <x v="2"/>
    <n v="584696.64999999991"/>
    <x v="0"/>
  </r>
  <r>
    <n v="651"/>
    <s v="Arjun Patel"/>
    <x v="0"/>
    <n v="57"/>
    <x v="5"/>
    <n v="382841.82"/>
    <x v="0"/>
    <n v="127066.57"/>
    <n v="418"/>
    <x v="0"/>
    <s v="Discover"/>
    <n v="338516.35"/>
    <n v="231601.33"/>
    <s v="Pending"/>
    <d v="2025-11-01T00:00:00"/>
    <x v="66"/>
    <n v="5"/>
    <x v="1"/>
    <x v="1"/>
    <n v="509908.39"/>
    <x v="0"/>
  </r>
  <r>
    <n v="652"/>
    <s v="Riya Joshi"/>
    <x v="1"/>
    <n v="30"/>
    <x v="3"/>
    <n v="39420.97"/>
    <x v="1"/>
    <n v="17650.97"/>
    <n v="510"/>
    <x v="4"/>
    <s v="Discover"/>
    <n v="188093.73"/>
    <n v="19987.919999999998"/>
    <s v="Rejected"/>
    <d v="2025-09-09T00:00:00"/>
    <x v="296"/>
    <n v="5"/>
    <x v="1"/>
    <x v="1"/>
    <n v="57071.94"/>
    <x v="0"/>
  </r>
  <r>
    <n v="653"/>
    <s v="Diya Sharma"/>
    <x v="1"/>
    <n v="46"/>
    <x v="3"/>
    <n v="346477.67"/>
    <x v="0"/>
    <n v="5781.74"/>
    <n v="586"/>
    <x v="0"/>
    <s v="Discover"/>
    <n v="382966.01"/>
    <n v="109827.36"/>
    <s v="Approved"/>
    <d v="2025-05-22T00:00:00"/>
    <x v="202"/>
    <n v="4"/>
    <x v="1"/>
    <x v="1"/>
    <n v="352259.41"/>
    <x v="0"/>
  </r>
  <r>
    <n v="654"/>
    <s v="Isha Mehta"/>
    <x v="1"/>
    <n v="65"/>
    <x v="5"/>
    <n v="481425.64"/>
    <x v="0"/>
    <n v="102574.1"/>
    <n v="310"/>
    <x v="3"/>
    <s v="American Express"/>
    <n v="517738.36"/>
    <n v="171374.79"/>
    <s v="Rejected"/>
    <d v="2025-05-27T00:00:00"/>
    <x v="268"/>
    <n v="1"/>
    <x v="0"/>
    <x v="0"/>
    <n v="583999.74"/>
    <x v="0"/>
  </r>
  <r>
    <n v="655"/>
    <s v="Rahul Desai"/>
    <x v="0"/>
    <n v="61"/>
    <x v="5"/>
    <n v="147742.23000000001"/>
    <x v="2"/>
    <n v="165148.07"/>
    <n v="760"/>
    <x v="2"/>
    <s v="Visa"/>
    <n v="144947.74"/>
    <n v="151659.32999999999"/>
    <s v="Rejected"/>
    <d v="2025-11-20T00:00:00"/>
    <x v="72"/>
    <n v="4"/>
    <x v="2"/>
    <x v="2"/>
    <n v="312890.30000000005"/>
    <x v="0"/>
  </r>
  <r>
    <n v="656"/>
    <s v="Riya Desai"/>
    <x v="1"/>
    <n v="32"/>
    <x v="0"/>
    <n v="160239.59"/>
    <x v="2"/>
    <n v="237287.28"/>
    <n v="544"/>
    <x v="2"/>
    <s v="Visa"/>
    <n v="56934.12"/>
    <n v="222167.4"/>
    <s v="Rejected"/>
    <d v="2025-12-24T00:00:00"/>
    <x v="133"/>
    <n v="2"/>
    <x v="1"/>
    <x v="1"/>
    <n v="397526.87"/>
    <x v="0"/>
  </r>
  <r>
    <n v="657"/>
    <s v="Karan Mehta"/>
    <x v="0"/>
    <n v="62"/>
    <x v="0"/>
    <n v="45082.85"/>
    <x v="1"/>
    <n v="13961.36"/>
    <n v="894"/>
    <x v="2"/>
    <s v="Discover"/>
    <n v="124338.87"/>
    <n v="186703.53"/>
    <s v="Pending"/>
    <d v="2025-11-06T00:00:00"/>
    <x v="297"/>
    <n v="2"/>
    <x v="2"/>
    <x v="2"/>
    <n v="59044.21"/>
    <x v="0"/>
  </r>
  <r>
    <n v="658"/>
    <s v="Isha Trivedi"/>
    <x v="1"/>
    <n v="67"/>
    <x v="1"/>
    <n v="194843.64"/>
    <x v="2"/>
    <n v="296632.44"/>
    <n v="690"/>
    <x v="3"/>
    <s v="Discover"/>
    <n v="49736.42"/>
    <n v="22147.599999999999"/>
    <s v="Rejected"/>
    <d v="2025-09-18T00:00:00"/>
    <x v="128"/>
    <n v="2"/>
    <x v="2"/>
    <x v="2"/>
    <n v="491476.08"/>
    <x v="0"/>
  </r>
  <r>
    <n v="659"/>
    <s v="Kavya Shah"/>
    <x v="1"/>
    <n v="57"/>
    <x v="2"/>
    <n v="428052.66"/>
    <x v="0"/>
    <n v="182424.73"/>
    <n v="346"/>
    <x v="0"/>
    <s v="MasterCard"/>
    <n v="329059.32"/>
    <n v="208453.18"/>
    <s v="Approved"/>
    <d v="2025-10-24T00:00:00"/>
    <x v="77"/>
    <n v="4"/>
    <x v="0"/>
    <x v="0"/>
    <n v="610477.39"/>
    <x v="0"/>
  </r>
  <r>
    <n v="660"/>
    <s v="Karan Patel"/>
    <x v="0"/>
    <n v="69"/>
    <x v="3"/>
    <n v="152541.9"/>
    <x v="2"/>
    <n v="254459.93"/>
    <n v="509"/>
    <x v="3"/>
    <s v="Visa"/>
    <n v="14500.77"/>
    <n v="147521.23000000001"/>
    <s v="Rejected"/>
    <d v="2025-11-16T00:00:00"/>
    <x v="228"/>
    <n v="3"/>
    <x v="1"/>
    <x v="1"/>
    <n v="407001.82999999996"/>
    <x v="0"/>
  </r>
  <r>
    <n v="661"/>
    <s v="Priya Verma"/>
    <x v="1"/>
    <n v="54"/>
    <x v="5"/>
    <n v="306184.74"/>
    <x v="0"/>
    <n v="263405.92"/>
    <n v="772"/>
    <x v="3"/>
    <s v="Visa"/>
    <n v="55374.67"/>
    <n v="188908.36"/>
    <s v="Pending"/>
    <d v="2025-09-21T00:00:00"/>
    <x v="298"/>
    <n v="3"/>
    <x v="2"/>
    <x v="2"/>
    <n v="569590.65999999992"/>
    <x v="0"/>
  </r>
  <r>
    <n v="662"/>
    <s v="Aarav Gupta"/>
    <x v="0"/>
    <n v="21"/>
    <x v="0"/>
    <n v="434708.12"/>
    <x v="0"/>
    <n v="147678.56"/>
    <n v="754"/>
    <x v="1"/>
    <s v="RuPay"/>
    <n v="294377.13"/>
    <n v="81004.63"/>
    <s v="Rejected"/>
    <d v="2025-08-21T00:00:00"/>
    <x v="192"/>
    <n v="5"/>
    <x v="2"/>
    <x v="2"/>
    <n v="582386.67999999993"/>
    <x v="0"/>
  </r>
  <r>
    <n v="663"/>
    <s v="Meera Sharma"/>
    <x v="1"/>
    <n v="18"/>
    <x v="3"/>
    <n v="260444.14"/>
    <x v="0"/>
    <n v="124880.7"/>
    <n v="609"/>
    <x v="3"/>
    <s v="American Express"/>
    <n v="321173.5"/>
    <n v="163113.76999999999"/>
    <s v="Approved"/>
    <d v="2025-01-22T00:00:00"/>
    <x v="178"/>
    <n v="3"/>
    <x v="2"/>
    <x v="2"/>
    <n v="385324.84"/>
    <x v="0"/>
  </r>
  <r>
    <n v="664"/>
    <s v="Anaya Verma"/>
    <x v="1"/>
    <n v="44"/>
    <x v="0"/>
    <n v="213584.17"/>
    <x v="0"/>
    <n v="274047.25"/>
    <n v="486"/>
    <x v="1"/>
    <s v="RuPay"/>
    <n v="15836.64"/>
    <n v="16224.76"/>
    <s v="Rejected"/>
    <d v="2025-09-05T00:00:00"/>
    <x v="135"/>
    <n v="3"/>
    <x v="1"/>
    <x v="1"/>
    <n v="487631.42000000004"/>
    <x v="0"/>
  </r>
  <r>
    <n v="665"/>
    <s v="Aarav Sharma"/>
    <x v="0"/>
    <n v="66"/>
    <x v="2"/>
    <n v="445619.74"/>
    <x v="0"/>
    <n v="166179.72"/>
    <n v="442"/>
    <x v="0"/>
    <s v="Visa"/>
    <n v="421943.16"/>
    <n v="232301.26"/>
    <s v="Pending"/>
    <d v="2025-10-22T00:00:00"/>
    <x v="254"/>
    <n v="5"/>
    <x v="1"/>
    <x v="1"/>
    <n v="611799.46"/>
    <x v="0"/>
  </r>
  <r>
    <n v="666"/>
    <s v="Nisha Gupta"/>
    <x v="1"/>
    <n v="21"/>
    <x v="0"/>
    <n v="415120.52"/>
    <x v="0"/>
    <n v="23558"/>
    <n v="326"/>
    <x v="4"/>
    <s v="MasterCard"/>
    <n v="452542.84"/>
    <n v="136943.59"/>
    <s v="Pending"/>
    <d v="2025-07-01T00:00:00"/>
    <x v="78"/>
    <n v="3"/>
    <x v="0"/>
    <x v="0"/>
    <n v="438678.52"/>
    <x v="0"/>
  </r>
  <r>
    <n v="667"/>
    <s v="Arjun Sharma"/>
    <x v="0"/>
    <n v="31"/>
    <x v="0"/>
    <n v="133861.5"/>
    <x v="2"/>
    <n v="79354.5"/>
    <n v="519"/>
    <x v="0"/>
    <s v="MasterCard"/>
    <n v="167579.91"/>
    <n v="225839.79"/>
    <s v="Approved"/>
    <d v="2025-10-25T00:00:00"/>
    <x v="117"/>
    <n v="5"/>
    <x v="1"/>
    <x v="1"/>
    <n v="213216"/>
    <x v="0"/>
  </r>
  <r>
    <n v="668"/>
    <s v="Anaya Verma"/>
    <x v="1"/>
    <n v="52"/>
    <x v="1"/>
    <n v="453578.18"/>
    <x v="0"/>
    <n v="286308.28999999998"/>
    <n v="742"/>
    <x v="3"/>
    <s v="American Express"/>
    <n v="344532.29"/>
    <n v="175880.07"/>
    <s v="Rejected"/>
    <d v="2025-10-12T00:00:00"/>
    <x v="68"/>
    <n v="2"/>
    <x v="2"/>
    <x v="2"/>
    <n v="739886.47"/>
    <x v="0"/>
  </r>
  <r>
    <n v="669"/>
    <s v="Kavya Mehta"/>
    <x v="1"/>
    <n v="35"/>
    <x v="2"/>
    <n v="116412.46"/>
    <x v="2"/>
    <n v="9217.89"/>
    <n v="568"/>
    <x v="0"/>
    <s v="MasterCard"/>
    <n v="172007.46"/>
    <n v="228837.92"/>
    <s v="Rejected"/>
    <d v="2025-12-02T00:00:00"/>
    <x v="127"/>
    <n v="4"/>
    <x v="1"/>
    <x v="1"/>
    <n v="125630.35"/>
    <x v="0"/>
  </r>
  <r>
    <n v="670"/>
    <s v="Priya Gupta"/>
    <x v="1"/>
    <n v="22"/>
    <x v="1"/>
    <n v="306347.68"/>
    <x v="0"/>
    <n v="148380.26"/>
    <n v="652"/>
    <x v="1"/>
    <s v="American Express"/>
    <n v="353661.62"/>
    <n v="17243.12"/>
    <s v="Rejected"/>
    <d v="2025-12-25T00:00:00"/>
    <x v="292"/>
    <n v="2"/>
    <x v="2"/>
    <x v="2"/>
    <n v="454727.94"/>
    <x v="0"/>
  </r>
  <r>
    <n v="671"/>
    <s v="Aarav Singh"/>
    <x v="0"/>
    <n v="69"/>
    <x v="2"/>
    <n v="170323.08"/>
    <x v="2"/>
    <n v="104447.61"/>
    <n v="722"/>
    <x v="2"/>
    <s v="Visa"/>
    <n v="132108.13"/>
    <n v="127794.63"/>
    <s v="Rejected"/>
    <d v="2025-04-04T00:00:00"/>
    <x v="264"/>
    <n v="4"/>
    <x v="2"/>
    <x v="2"/>
    <n v="274770.69"/>
    <x v="0"/>
  </r>
  <r>
    <n v="672"/>
    <s v="Vihaan Shah"/>
    <x v="0"/>
    <n v="69"/>
    <x v="0"/>
    <n v="142335.39000000001"/>
    <x v="2"/>
    <n v="278324.47999999998"/>
    <n v="864"/>
    <x v="4"/>
    <s v="MasterCard"/>
    <n v="6503.29"/>
    <n v="207276.55"/>
    <s v="Approved"/>
    <d v="2025-05-08T00:00:00"/>
    <x v="94"/>
    <n v="2"/>
    <x v="2"/>
    <x v="2"/>
    <n v="420659.87"/>
    <x v="0"/>
  </r>
  <r>
    <n v="673"/>
    <s v="Riya Joshi"/>
    <x v="1"/>
    <n v="43"/>
    <x v="1"/>
    <n v="89519.53"/>
    <x v="1"/>
    <n v="117057.49"/>
    <n v="458"/>
    <x v="3"/>
    <s v="Discover"/>
    <n v="52806.76"/>
    <n v="116510.54"/>
    <s v="Approved"/>
    <d v="2025-08-15T00:00:00"/>
    <x v="43"/>
    <n v="5"/>
    <x v="1"/>
    <x v="1"/>
    <n v="206577.02000000002"/>
    <x v="0"/>
  </r>
  <r>
    <n v="674"/>
    <s v="Arjun Shah"/>
    <x v="0"/>
    <n v="49"/>
    <x v="0"/>
    <n v="318644.59000000003"/>
    <x v="0"/>
    <n v="133679.71"/>
    <n v="770"/>
    <x v="4"/>
    <s v="Discover"/>
    <n v="235431.39"/>
    <n v="17683.53"/>
    <s v="Rejected"/>
    <d v="2025-07-31T00:00:00"/>
    <x v="175"/>
    <n v="4"/>
    <x v="2"/>
    <x v="2"/>
    <n v="452324.30000000005"/>
    <x v="0"/>
  </r>
  <r>
    <n v="675"/>
    <s v="Aarav Gupta"/>
    <x v="0"/>
    <n v="22"/>
    <x v="5"/>
    <n v="385861.86"/>
    <x v="0"/>
    <n v="99753.67"/>
    <n v="556"/>
    <x v="1"/>
    <s v="Visa"/>
    <n v="420172.54"/>
    <n v="28205.38"/>
    <s v="Approved"/>
    <d v="2025-11-05T00:00:00"/>
    <x v="263"/>
    <n v="5"/>
    <x v="1"/>
    <x v="1"/>
    <n v="485615.52999999997"/>
    <x v="0"/>
  </r>
  <r>
    <n v="676"/>
    <s v="Sneha Trivedi"/>
    <x v="1"/>
    <n v="57"/>
    <x v="0"/>
    <n v="197649.58"/>
    <x v="2"/>
    <n v="221727.07"/>
    <n v="874"/>
    <x v="4"/>
    <s v="Visa"/>
    <n v="45617.47"/>
    <n v="76308.539999999994"/>
    <s v="Approved"/>
    <d v="2025-03-02T00:00:00"/>
    <x v="13"/>
    <n v="4"/>
    <x v="2"/>
    <x v="2"/>
    <n v="419376.65"/>
    <x v="0"/>
  </r>
  <r>
    <n v="677"/>
    <s v="Aditya Mehta"/>
    <x v="0"/>
    <n v="41"/>
    <x v="5"/>
    <n v="82923.789999999994"/>
    <x v="1"/>
    <n v="175108.16"/>
    <n v="788"/>
    <x v="3"/>
    <s v="Discover"/>
    <n v="-7013.61"/>
    <n v="73727.45"/>
    <s v="Rejected"/>
    <d v="2025-06-09T00:00:00"/>
    <x v="299"/>
    <n v="2"/>
    <x v="2"/>
    <x v="2"/>
    <n v="258031.95"/>
    <x v="0"/>
  </r>
  <r>
    <n v="678"/>
    <s v="Yash Shah"/>
    <x v="0"/>
    <n v="47"/>
    <x v="1"/>
    <n v="270258.96999999997"/>
    <x v="0"/>
    <n v="188190.02"/>
    <n v="309"/>
    <x v="1"/>
    <s v="RuPay"/>
    <n v="239490.61"/>
    <n v="170451.45"/>
    <s v="Approved"/>
    <d v="2025-09-08T00:00:00"/>
    <x v="298"/>
    <n v="5"/>
    <x v="0"/>
    <x v="0"/>
    <n v="458448.99"/>
    <x v="0"/>
  </r>
  <r>
    <n v="679"/>
    <s v="Karan Gupta"/>
    <x v="0"/>
    <n v="56"/>
    <x v="4"/>
    <n v="20830.98"/>
    <x v="1"/>
    <n v="19010.59"/>
    <n v="498"/>
    <x v="1"/>
    <s v="American Express"/>
    <n v="78670.070000000007"/>
    <n v="209053.07"/>
    <s v="Approved"/>
    <d v="2025-01-15T00:00:00"/>
    <x v="145"/>
    <n v="4"/>
    <x v="1"/>
    <x v="1"/>
    <n v="39841.57"/>
    <x v="0"/>
  </r>
  <r>
    <n v="680"/>
    <s v="Vihaan Desai"/>
    <x v="0"/>
    <n v="51"/>
    <x v="2"/>
    <n v="426620.15"/>
    <x v="0"/>
    <n v="175311.46"/>
    <n v="780"/>
    <x v="1"/>
    <s v="RuPay"/>
    <n v="443612.42"/>
    <n v="70571.89"/>
    <s v="Approved"/>
    <d v="2025-03-05T00:00:00"/>
    <x v="65"/>
    <n v="1"/>
    <x v="2"/>
    <x v="2"/>
    <n v="601931.61"/>
    <x v="0"/>
  </r>
  <r>
    <n v="681"/>
    <s v="Aarav Patel"/>
    <x v="0"/>
    <n v="19"/>
    <x v="0"/>
    <n v="234925.32"/>
    <x v="0"/>
    <n v="144590.15"/>
    <n v="766"/>
    <x v="3"/>
    <s v="Visa"/>
    <n v="104522.45"/>
    <n v="51375.53"/>
    <s v="Rejected"/>
    <d v="2025-04-01T00:00:00"/>
    <x v="167"/>
    <n v="1"/>
    <x v="2"/>
    <x v="2"/>
    <n v="379515.47"/>
    <x v="0"/>
  </r>
  <r>
    <n v="682"/>
    <s v="Rohit Gupta"/>
    <x v="0"/>
    <n v="27"/>
    <x v="1"/>
    <n v="181103.12"/>
    <x v="2"/>
    <n v="36308.379999999997"/>
    <n v="300"/>
    <x v="0"/>
    <s v="Discover"/>
    <n v="243582.23"/>
    <n v="200130.85"/>
    <s v="Approved"/>
    <d v="2025-09-17T00:00:00"/>
    <x v="95"/>
    <n v="4"/>
    <x v="0"/>
    <x v="0"/>
    <n v="217411.5"/>
    <x v="0"/>
  </r>
  <r>
    <n v="683"/>
    <s v="Meera Singh"/>
    <x v="1"/>
    <n v="70"/>
    <x v="2"/>
    <n v="487012.1"/>
    <x v="0"/>
    <n v="295903.56"/>
    <n v="675"/>
    <x v="0"/>
    <s v="RuPay"/>
    <n v="235437.94"/>
    <n v="246502.91"/>
    <s v="Rejected"/>
    <d v="2025-04-24T00:00:00"/>
    <x v="89"/>
    <n v="4"/>
    <x v="2"/>
    <x v="2"/>
    <n v="782915.65999999992"/>
    <x v="0"/>
  </r>
  <r>
    <n v="684"/>
    <s v="Sneha Singh"/>
    <x v="1"/>
    <n v="44"/>
    <x v="3"/>
    <n v="202169.52"/>
    <x v="0"/>
    <n v="111655.41"/>
    <n v="349"/>
    <x v="3"/>
    <s v="Discover"/>
    <n v="185926.76"/>
    <n v="31571.03"/>
    <s v="Pending"/>
    <d v="2025-11-29T00:00:00"/>
    <x v="64"/>
    <n v="1"/>
    <x v="0"/>
    <x v="0"/>
    <n v="313824.93"/>
    <x v="0"/>
  </r>
  <r>
    <n v="685"/>
    <s v="Manav Mehta"/>
    <x v="0"/>
    <n v="51"/>
    <x v="5"/>
    <n v="160600.93"/>
    <x v="2"/>
    <n v="17972.419999999998"/>
    <n v="398"/>
    <x v="3"/>
    <s v="RuPay"/>
    <n v="214288.97"/>
    <n v="72293.710000000006"/>
    <s v="Rejected"/>
    <d v="2025-05-22T00:00:00"/>
    <x v="189"/>
    <n v="4"/>
    <x v="0"/>
    <x v="0"/>
    <n v="178573.34999999998"/>
    <x v="0"/>
  </r>
  <r>
    <n v="686"/>
    <s v="Rahul Shah"/>
    <x v="0"/>
    <n v="18"/>
    <x v="3"/>
    <n v="29169.35"/>
    <x v="1"/>
    <n v="276918.55"/>
    <n v="693"/>
    <x v="1"/>
    <s v="Discover"/>
    <n v="-63450.86"/>
    <n v="114281.71"/>
    <s v="Approved"/>
    <d v="2025-08-23T00:00:00"/>
    <x v="64"/>
    <n v="2"/>
    <x v="2"/>
    <x v="2"/>
    <n v="306087.89999999997"/>
    <x v="0"/>
  </r>
  <r>
    <n v="687"/>
    <s v="Nisha Patel"/>
    <x v="1"/>
    <n v="24"/>
    <x v="3"/>
    <n v="40909.769999999997"/>
    <x v="1"/>
    <n v="279686.43"/>
    <n v="615"/>
    <x v="2"/>
    <s v="Discover"/>
    <n v="-85900.13"/>
    <n v="158248.98000000001"/>
    <s v="Approved"/>
    <d v="2025-04-07T00:00:00"/>
    <x v="235"/>
    <n v="2"/>
    <x v="2"/>
    <x v="2"/>
    <n v="320596.2"/>
    <x v="0"/>
  </r>
  <r>
    <n v="688"/>
    <s v="Diya Gupta"/>
    <x v="1"/>
    <n v="32"/>
    <x v="0"/>
    <n v="369531.42"/>
    <x v="0"/>
    <n v="102295.17"/>
    <n v="462"/>
    <x v="0"/>
    <s v="MasterCard"/>
    <n v="305788.37"/>
    <n v="54158.6"/>
    <s v="Pending"/>
    <d v="2025-08-08T00:00:00"/>
    <x v="243"/>
    <n v="3"/>
    <x v="1"/>
    <x v="1"/>
    <n v="471826.58999999997"/>
    <x v="0"/>
  </r>
  <r>
    <n v="689"/>
    <s v="Rahul Patel"/>
    <x v="0"/>
    <n v="28"/>
    <x v="0"/>
    <n v="291365.59999999998"/>
    <x v="0"/>
    <n v="288759.84000000003"/>
    <n v="874"/>
    <x v="1"/>
    <s v="RuPay"/>
    <n v="94505.16"/>
    <n v="40450.089999999997"/>
    <s v="Pending"/>
    <d v="2025-09-01T00:00:00"/>
    <x v="83"/>
    <n v="3"/>
    <x v="2"/>
    <x v="2"/>
    <n v="580125.43999999994"/>
    <x v="0"/>
  </r>
  <r>
    <n v="690"/>
    <s v="Nisha Sharma"/>
    <x v="1"/>
    <n v="63"/>
    <x v="0"/>
    <n v="111926.92"/>
    <x v="2"/>
    <n v="12807.99"/>
    <n v="531"/>
    <x v="2"/>
    <s v="Visa"/>
    <n v="150006.98000000001"/>
    <n v="239855.19"/>
    <s v="Pending"/>
    <d v="2025-11-06T00:00:00"/>
    <x v="51"/>
    <n v="5"/>
    <x v="1"/>
    <x v="1"/>
    <n v="124734.91"/>
    <x v="0"/>
  </r>
  <r>
    <n v="691"/>
    <s v="Nisha Joshi"/>
    <x v="1"/>
    <n v="18"/>
    <x v="4"/>
    <n v="461097.94"/>
    <x v="0"/>
    <n v="164290.67000000001"/>
    <n v="429"/>
    <x v="2"/>
    <s v="Discover"/>
    <n v="374377.04"/>
    <n v="20737.54"/>
    <s v="Rejected"/>
    <d v="2025-09-24T00:00:00"/>
    <x v="107"/>
    <n v="3"/>
    <x v="1"/>
    <x v="1"/>
    <n v="625388.61"/>
    <x v="0"/>
  </r>
  <r>
    <n v="692"/>
    <s v="Karan Joshi"/>
    <x v="0"/>
    <n v="18"/>
    <x v="0"/>
    <n v="91019.54"/>
    <x v="1"/>
    <n v="293074.65000000002"/>
    <n v="553"/>
    <x v="3"/>
    <s v="RuPay"/>
    <n v="-118892.74"/>
    <n v="74009.78"/>
    <s v="Approved"/>
    <d v="2025-12-13T00:00:00"/>
    <x v="142"/>
    <n v="5"/>
    <x v="1"/>
    <x v="1"/>
    <n v="384094.19"/>
    <x v="0"/>
  </r>
  <r>
    <n v="693"/>
    <s v="Rahul Singh"/>
    <x v="0"/>
    <n v="70"/>
    <x v="4"/>
    <n v="262806.73"/>
    <x v="0"/>
    <n v="4286.22"/>
    <n v="396"/>
    <x v="3"/>
    <s v="Discover"/>
    <n v="341977.38"/>
    <n v="144115.69"/>
    <s v="Rejected"/>
    <d v="2025-05-11T00:00:00"/>
    <x v="300"/>
    <n v="5"/>
    <x v="0"/>
    <x v="0"/>
    <n v="267092.94999999995"/>
    <x v="0"/>
  </r>
  <r>
    <n v="694"/>
    <s v="Karan Shah"/>
    <x v="0"/>
    <n v="46"/>
    <x v="5"/>
    <n v="497884.51"/>
    <x v="0"/>
    <n v="108712.46"/>
    <n v="876"/>
    <x v="1"/>
    <s v="RuPay"/>
    <n v="479276.06"/>
    <n v="42800.639999999999"/>
    <s v="Pending"/>
    <d v="2025-01-23T00:00:00"/>
    <x v="150"/>
    <n v="5"/>
    <x v="2"/>
    <x v="2"/>
    <n v="606596.97"/>
    <x v="0"/>
  </r>
  <r>
    <n v="695"/>
    <s v="Arjun Trivedi"/>
    <x v="0"/>
    <n v="21"/>
    <x v="2"/>
    <n v="488795.07"/>
    <x v="0"/>
    <n v="162044.74"/>
    <n v="658"/>
    <x v="0"/>
    <s v="American Express"/>
    <n v="340900.73"/>
    <n v="136563.95000000001"/>
    <s v="Rejected"/>
    <d v="2025-07-11T00:00:00"/>
    <x v="94"/>
    <n v="4"/>
    <x v="2"/>
    <x v="2"/>
    <n v="650839.81000000006"/>
    <x v="0"/>
  </r>
  <r>
    <n v="696"/>
    <s v="Isha Trivedi"/>
    <x v="1"/>
    <n v="25"/>
    <x v="2"/>
    <n v="54784.08"/>
    <x v="1"/>
    <n v="249712.14"/>
    <n v="581"/>
    <x v="0"/>
    <s v="Visa"/>
    <n v="-56893.58"/>
    <n v="245114.12"/>
    <s v="Approved"/>
    <d v="2025-02-03T00:00:00"/>
    <x v="185"/>
    <n v="2"/>
    <x v="1"/>
    <x v="1"/>
    <n v="304496.22000000003"/>
    <x v="0"/>
  </r>
  <r>
    <n v="697"/>
    <s v="Sneha Patel"/>
    <x v="1"/>
    <n v="25"/>
    <x v="4"/>
    <n v="244059.18"/>
    <x v="0"/>
    <n v="92051.520000000004"/>
    <n v="889"/>
    <x v="4"/>
    <s v="Visa"/>
    <n v="329899.92"/>
    <n v="30437.82"/>
    <s v="Pending"/>
    <d v="2025-04-04T00:00:00"/>
    <x v="301"/>
    <n v="4"/>
    <x v="2"/>
    <x v="2"/>
    <n v="336110.7"/>
    <x v="0"/>
  </r>
  <r>
    <n v="698"/>
    <s v="Yash Sharma"/>
    <x v="0"/>
    <n v="31"/>
    <x v="2"/>
    <n v="89582.23"/>
    <x v="1"/>
    <n v="61115.55"/>
    <n v="607"/>
    <x v="2"/>
    <s v="Discover"/>
    <n v="97291.74"/>
    <n v="101041.11"/>
    <s v="Approved"/>
    <d v="2025-05-18T00:00:00"/>
    <x v="116"/>
    <n v="1"/>
    <x v="2"/>
    <x v="2"/>
    <n v="150697.78"/>
    <x v="0"/>
  </r>
  <r>
    <n v="699"/>
    <s v="Pooja Desai"/>
    <x v="1"/>
    <n v="68"/>
    <x v="1"/>
    <n v="15267.67"/>
    <x v="1"/>
    <n v="141385.69"/>
    <n v="644"/>
    <x v="1"/>
    <s v="American Express"/>
    <n v="39928.67"/>
    <n v="183440.43"/>
    <s v="Approved"/>
    <d v="2025-02-01T00:00:00"/>
    <x v="6"/>
    <n v="4"/>
    <x v="2"/>
    <x v="2"/>
    <n v="156653.36000000002"/>
    <x v="0"/>
  </r>
  <r>
    <n v="700"/>
    <s v="Karan Gupta"/>
    <x v="0"/>
    <n v="48"/>
    <x v="3"/>
    <n v="363843.87"/>
    <x v="0"/>
    <n v="86730.52"/>
    <n v="472"/>
    <x v="4"/>
    <s v="RuPay"/>
    <n v="412773.22"/>
    <n v="149374.35"/>
    <s v="Pending"/>
    <d v="2025-08-14T00:00:00"/>
    <x v="289"/>
    <n v="2"/>
    <x v="1"/>
    <x v="1"/>
    <n v="450574.39"/>
    <x v="0"/>
  </r>
  <r>
    <n v="701"/>
    <s v="Jay Verma"/>
    <x v="0"/>
    <n v="60"/>
    <x v="1"/>
    <n v="190814.72"/>
    <x v="2"/>
    <n v="154283.22"/>
    <n v="568"/>
    <x v="0"/>
    <s v="MasterCard"/>
    <n v="225482.94"/>
    <n v="115847.49"/>
    <s v="Rejected"/>
    <d v="2025-08-12T00:00:00"/>
    <x v="302"/>
    <n v="1"/>
    <x v="1"/>
    <x v="1"/>
    <n v="345097.94"/>
    <x v="0"/>
  </r>
  <r>
    <n v="702"/>
    <s v="Isha Sharma"/>
    <x v="1"/>
    <n v="21"/>
    <x v="1"/>
    <n v="450444.27"/>
    <x v="0"/>
    <n v="209822.81"/>
    <n v="615"/>
    <x v="3"/>
    <s v="Discover"/>
    <n v="403994.21"/>
    <n v="158543.66"/>
    <s v="Rejected"/>
    <d v="2025-05-11T00:00:00"/>
    <x v="65"/>
    <n v="5"/>
    <x v="2"/>
    <x v="2"/>
    <n v="660267.08000000007"/>
    <x v="0"/>
  </r>
  <r>
    <n v="703"/>
    <s v="Anaya Sharma"/>
    <x v="1"/>
    <n v="23"/>
    <x v="4"/>
    <n v="211970.07"/>
    <x v="0"/>
    <n v="8808.26"/>
    <n v="820"/>
    <x v="3"/>
    <s v="American Express"/>
    <n v="216233.57"/>
    <n v="37685.32"/>
    <s v="Rejected"/>
    <d v="2025-07-04T00:00:00"/>
    <x v="52"/>
    <n v="4"/>
    <x v="2"/>
    <x v="2"/>
    <n v="220778.33000000002"/>
    <x v="0"/>
  </r>
  <r>
    <n v="704"/>
    <s v="Aarav Verma"/>
    <x v="0"/>
    <n v="25"/>
    <x v="0"/>
    <n v="284533.03999999998"/>
    <x v="0"/>
    <n v="102180.97"/>
    <n v="466"/>
    <x v="0"/>
    <s v="Visa"/>
    <n v="372885.42"/>
    <n v="170445.43"/>
    <s v="Rejected"/>
    <d v="2025-07-01T00:00:00"/>
    <x v="229"/>
    <n v="2"/>
    <x v="1"/>
    <x v="1"/>
    <n v="386714.01"/>
    <x v="0"/>
  </r>
  <r>
    <n v="705"/>
    <s v="Diya Desai"/>
    <x v="1"/>
    <n v="68"/>
    <x v="0"/>
    <n v="167424.65"/>
    <x v="2"/>
    <n v="125552.19"/>
    <n v="473"/>
    <x v="4"/>
    <s v="Visa"/>
    <n v="178121.66"/>
    <n v="29378.400000000001"/>
    <s v="Pending"/>
    <d v="2025-11-10T00:00:00"/>
    <x v="202"/>
    <n v="3"/>
    <x v="1"/>
    <x v="1"/>
    <n v="292976.83999999997"/>
    <x v="0"/>
  </r>
  <r>
    <n v="706"/>
    <s v="Nisha Joshi"/>
    <x v="1"/>
    <n v="60"/>
    <x v="3"/>
    <n v="367697.3"/>
    <x v="0"/>
    <n v="32301.21"/>
    <n v="361"/>
    <x v="4"/>
    <s v="American Express"/>
    <n v="498963.86"/>
    <n v="74045.61"/>
    <s v="Approved"/>
    <d v="2025-09-15T00:00:00"/>
    <x v="249"/>
    <n v="1"/>
    <x v="0"/>
    <x v="0"/>
    <n v="399998.51"/>
    <x v="0"/>
  </r>
  <r>
    <n v="707"/>
    <s v="Nisha Sharma"/>
    <x v="1"/>
    <n v="23"/>
    <x v="0"/>
    <n v="89575.9"/>
    <x v="1"/>
    <n v="261799.28"/>
    <n v="735"/>
    <x v="3"/>
    <s v="Discover"/>
    <n v="-64154.3"/>
    <n v="29477.99"/>
    <s v="Pending"/>
    <d v="2025-01-24T00:00:00"/>
    <x v="183"/>
    <n v="4"/>
    <x v="2"/>
    <x v="2"/>
    <n v="351375.18"/>
    <x v="0"/>
  </r>
  <r>
    <n v="708"/>
    <s v="Karan Joshi"/>
    <x v="0"/>
    <n v="19"/>
    <x v="5"/>
    <n v="417664.95"/>
    <x v="0"/>
    <n v="112395.42"/>
    <n v="653"/>
    <x v="1"/>
    <s v="Discover"/>
    <n v="412891.08"/>
    <n v="63720.66"/>
    <s v="Rejected"/>
    <d v="2025-02-03T00:00:00"/>
    <x v="29"/>
    <n v="4"/>
    <x v="2"/>
    <x v="2"/>
    <n v="530060.37"/>
    <x v="0"/>
  </r>
  <r>
    <n v="709"/>
    <s v="Priya Patel"/>
    <x v="1"/>
    <n v="50"/>
    <x v="3"/>
    <n v="188424.21"/>
    <x v="2"/>
    <n v="104477.16"/>
    <n v="360"/>
    <x v="0"/>
    <s v="Visa"/>
    <n v="177775.59"/>
    <n v="70575.89"/>
    <s v="Approved"/>
    <d v="2025-01-18T00:00:00"/>
    <x v="271"/>
    <n v="1"/>
    <x v="0"/>
    <x v="0"/>
    <n v="292901.37"/>
    <x v="0"/>
  </r>
  <r>
    <n v="710"/>
    <s v="Aarav Gupta"/>
    <x v="0"/>
    <n v="55"/>
    <x v="1"/>
    <n v="47732.71"/>
    <x v="1"/>
    <n v="117514.84"/>
    <n v="588"/>
    <x v="3"/>
    <s v="RuPay"/>
    <n v="-9835.82"/>
    <n v="223530.14"/>
    <s v="Rejected"/>
    <d v="2025-09-30T00:00:00"/>
    <x v="145"/>
    <n v="3"/>
    <x v="1"/>
    <x v="1"/>
    <n v="165247.54999999999"/>
    <x v="0"/>
  </r>
  <r>
    <n v="711"/>
    <s v="Sneha Desai"/>
    <x v="1"/>
    <n v="34"/>
    <x v="5"/>
    <n v="13587.2"/>
    <x v="1"/>
    <n v="272356.84000000003"/>
    <n v="811"/>
    <x v="2"/>
    <s v="Discover"/>
    <n v="-65857.740000000005"/>
    <n v="102776.4"/>
    <s v="Approved"/>
    <d v="2025-09-11T00:00:00"/>
    <x v="96"/>
    <n v="3"/>
    <x v="2"/>
    <x v="2"/>
    <n v="285944.04000000004"/>
    <x v="0"/>
  </r>
  <r>
    <n v="712"/>
    <s v="Rahul Trivedi"/>
    <x v="0"/>
    <n v="24"/>
    <x v="0"/>
    <n v="127312.53"/>
    <x v="2"/>
    <n v="194926.11"/>
    <n v="393"/>
    <x v="3"/>
    <s v="MasterCard"/>
    <n v="91647.48"/>
    <n v="210314.2"/>
    <s v="Pending"/>
    <d v="2025-04-29T00:00:00"/>
    <x v="303"/>
    <n v="2"/>
    <x v="0"/>
    <x v="0"/>
    <n v="322238.64"/>
    <x v="0"/>
  </r>
  <r>
    <n v="713"/>
    <s v="Priya Trivedi"/>
    <x v="1"/>
    <n v="26"/>
    <x v="3"/>
    <n v="405850.41"/>
    <x v="0"/>
    <n v="206303.87"/>
    <n v="519"/>
    <x v="2"/>
    <s v="Discover"/>
    <n v="333263.76"/>
    <n v="55975.35"/>
    <s v="Approved"/>
    <d v="2025-11-01T00:00:00"/>
    <x v="163"/>
    <n v="2"/>
    <x v="1"/>
    <x v="1"/>
    <n v="612154.28"/>
    <x v="0"/>
  </r>
  <r>
    <n v="714"/>
    <s v="Pooja Shah"/>
    <x v="1"/>
    <n v="29"/>
    <x v="4"/>
    <n v="426336.81"/>
    <x v="0"/>
    <n v="29479.3"/>
    <n v="546"/>
    <x v="1"/>
    <s v="Discover"/>
    <n v="449795.84000000003"/>
    <n v="93584.7"/>
    <s v="Approved"/>
    <d v="2025-02-10T00:00:00"/>
    <x v="185"/>
    <n v="5"/>
    <x v="1"/>
    <x v="1"/>
    <n v="455816.11"/>
    <x v="0"/>
  </r>
  <r>
    <n v="715"/>
    <s v="Rohit Sharma"/>
    <x v="0"/>
    <n v="22"/>
    <x v="1"/>
    <n v="322280.45"/>
    <x v="0"/>
    <n v="173499.12"/>
    <n v="669"/>
    <x v="0"/>
    <s v="RuPay"/>
    <n v="281130.19"/>
    <n v="141410.96"/>
    <s v="Pending"/>
    <d v="2025-05-06T00:00:00"/>
    <x v="92"/>
    <n v="2"/>
    <x v="2"/>
    <x v="2"/>
    <n v="495779.57"/>
    <x v="0"/>
  </r>
  <r>
    <n v="716"/>
    <s v="Jay Patel"/>
    <x v="0"/>
    <n v="44"/>
    <x v="5"/>
    <n v="278447.02"/>
    <x v="0"/>
    <n v="163345.56"/>
    <n v="832"/>
    <x v="1"/>
    <s v="RuPay"/>
    <n v="157716.17000000001"/>
    <n v="148329.35999999999"/>
    <s v="Approved"/>
    <d v="2025-03-01T00:00:00"/>
    <x v="1"/>
    <n v="3"/>
    <x v="2"/>
    <x v="2"/>
    <n v="441792.58"/>
    <x v="0"/>
  </r>
  <r>
    <n v="717"/>
    <s v="Arjun Trivedi"/>
    <x v="0"/>
    <n v="60"/>
    <x v="3"/>
    <n v="354968.07"/>
    <x v="0"/>
    <n v="43349.23"/>
    <n v="481"/>
    <x v="0"/>
    <s v="American Express"/>
    <n v="388173.18"/>
    <n v="139103.17000000001"/>
    <s v="Approved"/>
    <d v="2025-10-01T00:00:00"/>
    <x v="264"/>
    <n v="4"/>
    <x v="1"/>
    <x v="1"/>
    <n v="398317.3"/>
    <x v="0"/>
  </r>
  <r>
    <n v="718"/>
    <s v="Isha Trivedi"/>
    <x v="1"/>
    <n v="53"/>
    <x v="1"/>
    <n v="8296.44"/>
    <x v="1"/>
    <n v="93490.94"/>
    <n v="830"/>
    <x v="3"/>
    <s v="Visa"/>
    <n v="-526.89"/>
    <n v="131957.24"/>
    <s v="Approved"/>
    <d v="2025-08-14T00:00:00"/>
    <x v="167"/>
    <n v="5"/>
    <x v="2"/>
    <x v="2"/>
    <n v="101787.38"/>
    <x v="0"/>
  </r>
  <r>
    <n v="719"/>
    <s v="Karan Sharma"/>
    <x v="0"/>
    <n v="38"/>
    <x v="0"/>
    <n v="245896.75"/>
    <x v="0"/>
    <n v="253123.65"/>
    <n v="745"/>
    <x v="3"/>
    <s v="Discover"/>
    <n v="182204.53"/>
    <n v="175670.42"/>
    <s v="Approved"/>
    <d v="2025-11-19T00:00:00"/>
    <x v="129"/>
    <n v="3"/>
    <x v="2"/>
    <x v="2"/>
    <n v="499020.4"/>
    <x v="0"/>
  </r>
  <r>
    <n v="720"/>
    <s v="Aditya Mehta"/>
    <x v="0"/>
    <n v="44"/>
    <x v="4"/>
    <n v="278112.81"/>
    <x v="0"/>
    <n v="228386"/>
    <n v="778"/>
    <x v="3"/>
    <s v="RuPay"/>
    <n v="79189.320000000007"/>
    <n v="31365.02"/>
    <s v="Rejected"/>
    <d v="2025-12-23T00:00:00"/>
    <x v="29"/>
    <n v="3"/>
    <x v="2"/>
    <x v="2"/>
    <n v="506498.81"/>
    <x v="0"/>
  </r>
  <r>
    <n v="721"/>
    <s v="Jay Verma"/>
    <x v="0"/>
    <n v="20"/>
    <x v="5"/>
    <n v="182477.07"/>
    <x v="2"/>
    <n v="74231.69"/>
    <n v="865"/>
    <x v="1"/>
    <s v="Visa"/>
    <n v="225880.8"/>
    <n v="114473.32"/>
    <s v="Approved"/>
    <d v="2025-12-04T00:00:00"/>
    <x v="8"/>
    <n v="4"/>
    <x v="2"/>
    <x v="2"/>
    <n v="256708.76"/>
    <x v="0"/>
  </r>
  <r>
    <n v="722"/>
    <s v="Isha Trivedi"/>
    <x v="1"/>
    <n v="28"/>
    <x v="4"/>
    <n v="469938.24"/>
    <x v="0"/>
    <n v="191756.79999999999"/>
    <n v="798"/>
    <x v="0"/>
    <s v="MasterCard"/>
    <n v="471334.24"/>
    <n v="213866.47"/>
    <s v="Pending"/>
    <d v="2025-06-05T00:00:00"/>
    <x v="304"/>
    <n v="4"/>
    <x v="2"/>
    <x v="2"/>
    <n v="661695.04"/>
    <x v="0"/>
  </r>
  <r>
    <n v="723"/>
    <s v="Vihaan Verma"/>
    <x v="0"/>
    <n v="26"/>
    <x v="3"/>
    <n v="466003.1"/>
    <x v="0"/>
    <n v="137813.45000000001"/>
    <n v="633"/>
    <x v="4"/>
    <s v="Visa"/>
    <n v="419131.88"/>
    <n v="247337.05"/>
    <s v="Pending"/>
    <d v="2025-02-23T00:00:00"/>
    <x v="305"/>
    <n v="1"/>
    <x v="2"/>
    <x v="2"/>
    <n v="603816.55000000005"/>
    <x v="0"/>
  </r>
  <r>
    <n v="724"/>
    <s v="Rahul Singh"/>
    <x v="0"/>
    <n v="36"/>
    <x v="3"/>
    <n v="308886.37"/>
    <x v="0"/>
    <n v="121035.14"/>
    <n v="821"/>
    <x v="0"/>
    <s v="Visa"/>
    <n v="276806.45"/>
    <n v="81630.55"/>
    <s v="Rejected"/>
    <d v="2025-07-26T00:00:00"/>
    <x v="66"/>
    <n v="1"/>
    <x v="2"/>
    <x v="2"/>
    <n v="429921.51"/>
    <x v="0"/>
  </r>
  <r>
    <n v="725"/>
    <s v="Manav Gupta"/>
    <x v="0"/>
    <n v="30"/>
    <x v="5"/>
    <n v="96917.99"/>
    <x v="1"/>
    <n v="290689.31"/>
    <n v="552"/>
    <x v="2"/>
    <s v="MasterCard"/>
    <n v="-161551.49"/>
    <n v="197112.72"/>
    <s v="Approved"/>
    <d v="2025-11-01T00:00:00"/>
    <x v="82"/>
    <n v="3"/>
    <x v="1"/>
    <x v="1"/>
    <n v="387607.3"/>
    <x v="0"/>
  </r>
  <r>
    <n v="726"/>
    <s v="Jay Verma"/>
    <x v="0"/>
    <n v="69"/>
    <x v="1"/>
    <n v="308242.82"/>
    <x v="0"/>
    <n v="166995.57"/>
    <n v="540"/>
    <x v="3"/>
    <s v="Discover"/>
    <n v="267471.48"/>
    <n v="86105.02"/>
    <s v="Rejected"/>
    <d v="2025-10-04T00:00:00"/>
    <x v="121"/>
    <n v="2"/>
    <x v="1"/>
    <x v="1"/>
    <n v="475238.39"/>
    <x v="0"/>
  </r>
  <r>
    <n v="727"/>
    <s v="Diya Shah"/>
    <x v="1"/>
    <n v="57"/>
    <x v="4"/>
    <n v="87750.01"/>
    <x v="1"/>
    <n v="82433.33"/>
    <n v="651"/>
    <x v="1"/>
    <s v="MasterCard"/>
    <n v="56162.71"/>
    <n v="16977.830000000002"/>
    <s v="Pending"/>
    <d v="2025-04-29T00:00:00"/>
    <x v="127"/>
    <n v="3"/>
    <x v="2"/>
    <x v="2"/>
    <n v="170183.34"/>
    <x v="0"/>
  </r>
  <r>
    <n v="728"/>
    <s v="Meera Gupta"/>
    <x v="1"/>
    <n v="35"/>
    <x v="5"/>
    <n v="186250.56"/>
    <x v="2"/>
    <n v="100180.98"/>
    <n v="400"/>
    <x v="4"/>
    <s v="American Express"/>
    <n v="262839.21999999997"/>
    <n v="170392.71"/>
    <s v="Rejected"/>
    <d v="2025-01-02T00:00:00"/>
    <x v="146"/>
    <n v="1"/>
    <x v="0"/>
    <x v="0"/>
    <n v="286431.53999999998"/>
    <x v="0"/>
  </r>
  <r>
    <n v="729"/>
    <s v="Manav Desai"/>
    <x v="0"/>
    <n v="24"/>
    <x v="0"/>
    <n v="2248.17"/>
    <x v="1"/>
    <n v="204837.76000000001"/>
    <n v="380"/>
    <x v="1"/>
    <s v="MasterCard"/>
    <n v="-137907.95000000001"/>
    <n v="139757.23000000001"/>
    <s v="Pending"/>
    <d v="2025-06-13T00:00:00"/>
    <x v="9"/>
    <n v="2"/>
    <x v="0"/>
    <x v="0"/>
    <n v="207085.93000000002"/>
    <x v="0"/>
  </r>
  <r>
    <n v="730"/>
    <s v="Pooja Singh"/>
    <x v="1"/>
    <n v="44"/>
    <x v="5"/>
    <n v="404289.44"/>
    <x v="0"/>
    <n v="53541.97"/>
    <n v="416"/>
    <x v="1"/>
    <s v="MasterCard"/>
    <n v="409138.63"/>
    <n v="66402.7"/>
    <s v="Approved"/>
    <d v="2025-12-03T00:00:00"/>
    <x v="306"/>
    <n v="3"/>
    <x v="1"/>
    <x v="1"/>
    <n v="457831.41000000003"/>
    <x v="0"/>
  </r>
  <r>
    <n v="731"/>
    <s v="Anaya Verma"/>
    <x v="1"/>
    <n v="19"/>
    <x v="3"/>
    <n v="206296.73"/>
    <x v="0"/>
    <n v="261086.75"/>
    <n v="456"/>
    <x v="2"/>
    <s v="Discover"/>
    <n v="-4038.47"/>
    <n v="152767.93"/>
    <s v="Pending"/>
    <d v="2025-08-12T00:00:00"/>
    <x v="60"/>
    <n v="1"/>
    <x v="1"/>
    <x v="1"/>
    <n v="467383.48"/>
    <x v="0"/>
  </r>
  <r>
    <n v="732"/>
    <s v="Jay Desai"/>
    <x v="0"/>
    <n v="67"/>
    <x v="4"/>
    <n v="11078.63"/>
    <x v="1"/>
    <n v="6985.31"/>
    <n v="806"/>
    <x v="0"/>
    <s v="Visa"/>
    <n v="40063.980000000003"/>
    <n v="206815.91"/>
    <s v="Approved"/>
    <d v="2025-04-28T00:00:00"/>
    <x v="240"/>
    <n v="3"/>
    <x v="2"/>
    <x v="2"/>
    <n v="18063.939999999999"/>
    <x v="0"/>
  </r>
  <r>
    <n v="733"/>
    <s v="Arjun Shah"/>
    <x v="0"/>
    <n v="62"/>
    <x v="2"/>
    <n v="20599.509999999998"/>
    <x v="1"/>
    <n v="173020.5"/>
    <n v="421"/>
    <x v="4"/>
    <s v="Discover"/>
    <n v="33431.370000000003"/>
    <n v="192923.53"/>
    <s v="Rejected"/>
    <d v="2025-03-14T00:00:00"/>
    <x v="299"/>
    <n v="2"/>
    <x v="1"/>
    <x v="1"/>
    <n v="193620.01"/>
    <x v="0"/>
  </r>
  <r>
    <n v="734"/>
    <s v="Karan Patel"/>
    <x v="0"/>
    <n v="20"/>
    <x v="4"/>
    <n v="145382.21"/>
    <x v="2"/>
    <n v="50821.24"/>
    <n v="649"/>
    <x v="0"/>
    <s v="RuPay"/>
    <n v="226948.45"/>
    <n v="154669.96"/>
    <s v="Pending"/>
    <d v="2025-03-13T00:00:00"/>
    <x v="116"/>
    <n v="1"/>
    <x v="2"/>
    <x v="2"/>
    <n v="196203.44999999998"/>
    <x v="0"/>
  </r>
  <r>
    <n v="735"/>
    <s v="Yash Trivedi"/>
    <x v="0"/>
    <n v="21"/>
    <x v="3"/>
    <n v="40585.54"/>
    <x v="1"/>
    <n v="77621.33"/>
    <n v="784"/>
    <x v="1"/>
    <s v="Visa"/>
    <n v="112069.62"/>
    <n v="220095.72"/>
    <s v="Rejected"/>
    <d v="2025-11-04T00:00:00"/>
    <x v="257"/>
    <n v="3"/>
    <x v="2"/>
    <x v="2"/>
    <n v="118206.87"/>
    <x v="0"/>
  </r>
  <r>
    <n v="736"/>
    <s v="Anaya Mehta"/>
    <x v="1"/>
    <n v="51"/>
    <x v="4"/>
    <n v="177501.63"/>
    <x v="2"/>
    <n v="27371.09"/>
    <n v="852"/>
    <x v="1"/>
    <s v="Discover"/>
    <n v="307337.84000000003"/>
    <n v="106087.02"/>
    <s v="Approved"/>
    <d v="2025-02-28T00:00:00"/>
    <x v="166"/>
    <n v="2"/>
    <x v="2"/>
    <x v="2"/>
    <n v="204872.72"/>
    <x v="0"/>
  </r>
  <r>
    <n v="737"/>
    <s v="Karan Singh"/>
    <x v="0"/>
    <n v="23"/>
    <x v="3"/>
    <n v="371751.36"/>
    <x v="0"/>
    <n v="281614.55"/>
    <n v="870"/>
    <x v="1"/>
    <s v="American Express"/>
    <n v="139200.84"/>
    <n v="38475.9"/>
    <s v="Approved"/>
    <d v="2025-04-26T00:00:00"/>
    <x v="44"/>
    <n v="3"/>
    <x v="2"/>
    <x v="2"/>
    <n v="653365.90999999992"/>
    <x v="0"/>
  </r>
  <r>
    <n v="738"/>
    <s v="Sneha Mehta"/>
    <x v="1"/>
    <n v="62"/>
    <x v="4"/>
    <n v="389165.79"/>
    <x v="0"/>
    <n v="267308.71000000002"/>
    <n v="550"/>
    <x v="3"/>
    <s v="RuPay"/>
    <n v="194823.51"/>
    <n v="124030.39"/>
    <s v="Rejected"/>
    <d v="2025-05-18T00:00:00"/>
    <x v="187"/>
    <n v="5"/>
    <x v="1"/>
    <x v="1"/>
    <n v="656474.5"/>
    <x v="0"/>
  </r>
  <r>
    <n v="739"/>
    <s v="Pooja Desai"/>
    <x v="1"/>
    <n v="33"/>
    <x v="2"/>
    <n v="50392.58"/>
    <x v="1"/>
    <n v="45994.239999999998"/>
    <n v="431"/>
    <x v="1"/>
    <s v="Discover"/>
    <n v="153932.07"/>
    <n v="20764.98"/>
    <s v="Pending"/>
    <d v="2025-08-22T00:00:00"/>
    <x v="307"/>
    <n v="1"/>
    <x v="1"/>
    <x v="1"/>
    <n v="96386.82"/>
    <x v="0"/>
  </r>
  <r>
    <n v="740"/>
    <s v="Rohit Trivedi"/>
    <x v="0"/>
    <n v="29"/>
    <x v="3"/>
    <n v="296637.87"/>
    <x v="0"/>
    <n v="6578.23"/>
    <n v="788"/>
    <x v="3"/>
    <s v="American Express"/>
    <n v="464240.98"/>
    <n v="64485.19"/>
    <s v="Approved"/>
    <d v="2025-07-03T00:00:00"/>
    <x v="167"/>
    <n v="4"/>
    <x v="2"/>
    <x v="2"/>
    <n v="303216.09999999998"/>
    <x v="0"/>
  </r>
  <r>
    <n v="741"/>
    <s v="Pooja Joshi"/>
    <x v="1"/>
    <n v="55"/>
    <x v="0"/>
    <n v="173443"/>
    <x v="2"/>
    <n v="254007.99"/>
    <n v="515"/>
    <x v="4"/>
    <s v="RuPay"/>
    <n v="68756.11"/>
    <n v="105895.23"/>
    <s v="Approved"/>
    <d v="2025-06-15T00:00:00"/>
    <x v="12"/>
    <n v="1"/>
    <x v="1"/>
    <x v="1"/>
    <n v="427450.99"/>
    <x v="0"/>
  </r>
  <r>
    <n v="742"/>
    <s v="Kavya Shah"/>
    <x v="1"/>
    <n v="29"/>
    <x v="0"/>
    <n v="106217.65"/>
    <x v="2"/>
    <n v="168119.92"/>
    <n v="331"/>
    <x v="1"/>
    <s v="American Express"/>
    <n v="96739.57"/>
    <n v="223482.52"/>
    <s v="Approved"/>
    <d v="2025-05-07T00:00:00"/>
    <x v="308"/>
    <n v="2"/>
    <x v="0"/>
    <x v="0"/>
    <n v="274337.57"/>
    <x v="0"/>
  </r>
  <r>
    <n v="743"/>
    <s v="Aarav Shah"/>
    <x v="0"/>
    <n v="25"/>
    <x v="2"/>
    <n v="421494.63"/>
    <x v="0"/>
    <n v="24547.02"/>
    <n v="697"/>
    <x v="3"/>
    <s v="RuPay"/>
    <n v="554032.48"/>
    <n v="241955.12"/>
    <s v="Pending"/>
    <d v="2025-10-19T00:00:00"/>
    <x v="174"/>
    <n v="3"/>
    <x v="2"/>
    <x v="2"/>
    <n v="446041.65"/>
    <x v="0"/>
  </r>
  <r>
    <n v="744"/>
    <s v="Rahul Verma"/>
    <x v="0"/>
    <n v="38"/>
    <x v="1"/>
    <n v="490602.85"/>
    <x v="0"/>
    <n v="236318.44"/>
    <n v="355"/>
    <x v="0"/>
    <s v="RuPay"/>
    <n v="334667.57"/>
    <n v="188640.16"/>
    <s v="Rejected"/>
    <d v="2025-06-15T00:00:00"/>
    <x v="141"/>
    <n v="3"/>
    <x v="0"/>
    <x v="0"/>
    <n v="726921.29"/>
    <x v="0"/>
  </r>
  <r>
    <n v="745"/>
    <s v="Vihaan Trivedi"/>
    <x v="0"/>
    <n v="25"/>
    <x v="5"/>
    <n v="295670.55"/>
    <x v="0"/>
    <n v="63948.03"/>
    <n v="596"/>
    <x v="3"/>
    <s v="American Express"/>
    <n v="386244.15"/>
    <n v="186901.39"/>
    <s v="Approved"/>
    <d v="2025-08-06T00:00:00"/>
    <x v="188"/>
    <n v="3"/>
    <x v="1"/>
    <x v="1"/>
    <n v="359618.57999999996"/>
    <x v="0"/>
  </r>
  <r>
    <n v="746"/>
    <s v="Isha Gupta"/>
    <x v="1"/>
    <n v="47"/>
    <x v="4"/>
    <n v="262873.39"/>
    <x v="0"/>
    <n v="53373.29"/>
    <n v="790"/>
    <x v="0"/>
    <s v="MasterCard"/>
    <n v="228926.88"/>
    <n v="23279.18"/>
    <s v="Approved"/>
    <d v="2025-05-03T00:00:00"/>
    <x v="309"/>
    <n v="2"/>
    <x v="2"/>
    <x v="2"/>
    <n v="316246.68"/>
    <x v="0"/>
  </r>
  <r>
    <n v="747"/>
    <s v="Karan Sharma"/>
    <x v="0"/>
    <n v="58"/>
    <x v="1"/>
    <n v="128616.42"/>
    <x v="2"/>
    <n v="184837.79"/>
    <n v="710"/>
    <x v="0"/>
    <s v="Discover"/>
    <n v="139336.01"/>
    <n v="42233.65"/>
    <s v="Rejected"/>
    <d v="2025-10-19T00:00:00"/>
    <x v="97"/>
    <n v="4"/>
    <x v="2"/>
    <x v="2"/>
    <n v="313454.21000000002"/>
    <x v="0"/>
  </r>
  <r>
    <n v="748"/>
    <s v="Arjun Joshi"/>
    <x v="0"/>
    <n v="54"/>
    <x v="4"/>
    <n v="89793.79"/>
    <x v="1"/>
    <n v="191798.15"/>
    <n v="644"/>
    <x v="3"/>
    <s v="Discover"/>
    <n v="-79383.600000000006"/>
    <n v="78311.55"/>
    <s v="Rejected"/>
    <d v="2025-07-01T00:00:00"/>
    <x v="12"/>
    <n v="5"/>
    <x v="2"/>
    <x v="2"/>
    <n v="281591.94"/>
    <x v="0"/>
  </r>
  <r>
    <n v="749"/>
    <s v="Nisha Sharma"/>
    <x v="1"/>
    <n v="54"/>
    <x v="2"/>
    <n v="454479.23"/>
    <x v="0"/>
    <n v="45573.09"/>
    <n v="657"/>
    <x v="2"/>
    <s v="RuPay"/>
    <n v="422210.67"/>
    <n v="99150.42"/>
    <s v="Rejected"/>
    <d v="2025-11-21T00:00:00"/>
    <x v="42"/>
    <n v="1"/>
    <x v="2"/>
    <x v="2"/>
    <n v="500052.31999999995"/>
    <x v="0"/>
  </r>
  <r>
    <n v="750"/>
    <s v="Rahul Mehta"/>
    <x v="0"/>
    <n v="67"/>
    <x v="2"/>
    <n v="33832.46"/>
    <x v="1"/>
    <n v="142245.76999999999"/>
    <n v="600"/>
    <x v="1"/>
    <s v="American Express"/>
    <n v="40842.79"/>
    <n v="198101.05"/>
    <s v="Pending"/>
    <d v="2025-09-01T00:00:00"/>
    <x v="10"/>
    <n v="4"/>
    <x v="1"/>
    <x v="1"/>
    <n v="176078.22999999998"/>
    <x v="0"/>
  </r>
  <r>
    <n v="751"/>
    <s v="Sneha Mehta"/>
    <x v="1"/>
    <n v="43"/>
    <x v="1"/>
    <n v="391150.21"/>
    <x v="0"/>
    <n v="114291.52"/>
    <n v="767"/>
    <x v="0"/>
    <s v="Discover"/>
    <n v="372606.3"/>
    <n v="68446.740000000005"/>
    <s v="Pending"/>
    <d v="2025-12-22T00:00:00"/>
    <x v="174"/>
    <n v="3"/>
    <x v="2"/>
    <x v="2"/>
    <n v="505441.73000000004"/>
    <x v="0"/>
  </r>
  <r>
    <n v="752"/>
    <s v="Arjun Joshi"/>
    <x v="0"/>
    <n v="66"/>
    <x v="1"/>
    <n v="323038.68"/>
    <x v="0"/>
    <n v="194135.22"/>
    <n v="803"/>
    <x v="1"/>
    <s v="RuPay"/>
    <n v="195499.59"/>
    <n v="26120.95"/>
    <s v="Pending"/>
    <d v="2025-06-04T00:00:00"/>
    <x v="310"/>
    <n v="3"/>
    <x v="2"/>
    <x v="2"/>
    <n v="517173.9"/>
    <x v="0"/>
  </r>
  <r>
    <n v="753"/>
    <s v="Aditya Gupta"/>
    <x v="0"/>
    <n v="25"/>
    <x v="5"/>
    <n v="109680.24"/>
    <x v="2"/>
    <n v="214417.46"/>
    <n v="516"/>
    <x v="3"/>
    <s v="Discover"/>
    <n v="-78555.320000000007"/>
    <n v="70196.100000000006"/>
    <s v="Rejected"/>
    <d v="2025-05-11T00:00:00"/>
    <x v="311"/>
    <n v="2"/>
    <x v="1"/>
    <x v="1"/>
    <n v="324097.7"/>
    <x v="0"/>
  </r>
  <r>
    <n v="754"/>
    <s v="Diya Singh"/>
    <x v="1"/>
    <n v="61"/>
    <x v="4"/>
    <n v="395303.8"/>
    <x v="0"/>
    <n v="14537.03"/>
    <n v="813"/>
    <x v="1"/>
    <s v="RuPay"/>
    <n v="520541.66"/>
    <n v="166099.16"/>
    <s v="Pending"/>
    <d v="2025-03-12T00:00:00"/>
    <x v="183"/>
    <n v="2"/>
    <x v="2"/>
    <x v="2"/>
    <n v="409840.83"/>
    <x v="0"/>
  </r>
  <r>
    <n v="755"/>
    <s v="Diya Patel"/>
    <x v="1"/>
    <n v="60"/>
    <x v="5"/>
    <n v="296151.64"/>
    <x v="0"/>
    <n v="193961.79"/>
    <n v="369"/>
    <x v="2"/>
    <s v="RuPay"/>
    <n v="190532.42"/>
    <n v="210903.03"/>
    <s v="Approved"/>
    <d v="2025-09-24T00:00:00"/>
    <x v="290"/>
    <n v="2"/>
    <x v="0"/>
    <x v="0"/>
    <n v="490113.43000000005"/>
    <x v="0"/>
  </r>
  <r>
    <n v="756"/>
    <s v="Arjun Shah"/>
    <x v="0"/>
    <n v="25"/>
    <x v="3"/>
    <n v="225633.76"/>
    <x v="0"/>
    <n v="115821.17"/>
    <n v="707"/>
    <x v="3"/>
    <s v="RuPay"/>
    <n v="192281.65"/>
    <n v="17027.64"/>
    <s v="Rejected"/>
    <d v="2025-04-20T00:00:00"/>
    <x v="161"/>
    <n v="3"/>
    <x v="2"/>
    <x v="2"/>
    <n v="341454.93"/>
    <x v="0"/>
  </r>
  <r>
    <n v="757"/>
    <s v="Sneha Mehta"/>
    <x v="1"/>
    <n v="68"/>
    <x v="4"/>
    <n v="214399.45"/>
    <x v="0"/>
    <n v="267704.13"/>
    <n v="584"/>
    <x v="4"/>
    <s v="Discover"/>
    <n v="16431.740000000002"/>
    <n v="114516.22"/>
    <s v="Pending"/>
    <d v="2025-01-06T00:00:00"/>
    <x v="312"/>
    <n v="1"/>
    <x v="1"/>
    <x v="1"/>
    <n v="482103.58"/>
    <x v="0"/>
  </r>
  <r>
    <n v="758"/>
    <s v="Vihaan Desai"/>
    <x v="0"/>
    <n v="50"/>
    <x v="3"/>
    <n v="425790.52"/>
    <x v="0"/>
    <n v="220223.83"/>
    <n v="876"/>
    <x v="1"/>
    <s v="RuPay"/>
    <n v="264863.8"/>
    <n v="124484.89"/>
    <s v="Rejected"/>
    <d v="2025-12-05T00:00:00"/>
    <x v="313"/>
    <n v="5"/>
    <x v="2"/>
    <x v="2"/>
    <n v="646014.35"/>
    <x v="0"/>
  </r>
  <r>
    <n v="759"/>
    <s v="Isha Joshi"/>
    <x v="1"/>
    <n v="37"/>
    <x v="5"/>
    <n v="301772.62"/>
    <x v="0"/>
    <n v="1998.13"/>
    <n v="572"/>
    <x v="3"/>
    <s v="RuPay"/>
    <n v="423102.97"/>
    <n v="37853.83"/>
    <s v="Rejected"/>
    <d v="2025-11-10T00:00:00"/>
    <x v="155"/>
    <n v="4"/>
    <x v="1"/>
    <x v="1"/>
    <n v="303770.75"/>
    <x v="0"/>
  </r>
  <r>
    <n v="760"/>
    <s v="Sneha Sharma"/>
    <x v="1"/>
    <n v="64"/>
    <x v="4"/>
    <n v="165225.17000000001"/>
    <x v="2"/>
    <n v="200091.09"/>
    <n v="687"/>
    <x v="0"/>
    <s v="Visa"/>
    <n v="136597.48000000001"/>
    <n v="238422.54"/>
    <s v="Approved"/>
    <d v="2025-08-09T00:00:00"/>
    <x v="217"/>
    <n v="1"/>
    <x v="2"/>
    <x v="2"/>
    <n v="365316.26"/>
    <x v="0"/>
  </r>
  <r>
    <n v="761"/>
    <s v="Diya Sharma"/>
    <x v="1"/>
    <n v="46"/>
    <x v="2"/>
    <n v="178084.56"/>
    <x v="2"/>
    <n v="137431.42000000001"/>
    <n v="330"/>
    <x v="2"/>
    <s v="MasterCard"/>
    <n v="169867.83"/>
    <n v="72173.490000000005"/>
    <s v="Pending"/>
    <d v="2025-07-01T00:00:00"/>
    <x v="6"/>
    <n v="4"/>
    <x v="0"/>
    <x v="0"/>
    <n v="315515.98"/>
    <x v="0"/>
  </r>
  <r>
    <n v="762"/>
    <s v="Kavya Sharma"/>
    <x v="1"/>
    <n v="69"/>
    <x v="0"/>
    <n v="390212.55"/>
    <x v="0"/>
    <n v="93108.14"/>
    <n v="335"/>
    <x v="1"/>
    <s v="Visa"/>
    <n v="388783.84"/>
    <n v="173561.42"/>
    <s v="Rejected"/>
    <d v="2025-09-19T00:00:00"/>
    <x v="136"/>
    <n v="4"/>
    <x v="0"/>
    <x v="0"/>
    <n v="483320.69"/>
    <x v="0"/>
  </r>
  <r>
    <n v="763"/>
    <s v="Diya Sharma"/>
    <x v="1"/>
    <n v="25"/>
    <x v="0"/>
    <n v="45698.78"/>
    <x v="1"/>
    <n v="108984.11"/>
    <n v="538"/>
    <x v="0"/>
    <s v="American Express"/>
    <n v="131000.48"/>
    <n v="126713.63"/>
    <s v="Rejected"/>
    <d v="2025-05-16T00:00:00"/>
    <x v="299"/>
    <n v="5"/>
    <x v="1"/>
    <x v="1"/>
    <n v="154682.89000000001"/>
    <x v="0"/>
  </r>
  <r>
    <n v="764"/>
    <s v="Nisha Trivedi"/>
    <x v="1"/>
    <n v="39"/>
    <x v="2"/>
    <n v="83809.179999999993"/>
    <x v="1"/>
    <n v="290981.15000000002"/>
    <n v="822"/>
    <x v="4"/>
    <s v="RuPay"/>
    <n v="-12008.19"/>
    <n v="34267.81"/>
    <s v="Rejected"/>
    <d v="2025-07-21T00:00:00"/>
    <x v="6"/>
    <n v="4"/>
    <x v="2"/>
    <x v="2"/>
    <n v="374790.33"/>
    <x v="0"/>
  </r>
  <r>
    <n v="765"/>
    <s v="Meera Gupta"/>
    <x v="1"/>
    <n v="42"/>
    <x v="5"/>
    <n v="360912.4"/>
    <x v="0"/>
    <n v="252604.25"/>
    <n v="660"/>
    <x v="1"/>
    <s v="Visa"/>
    <n v="306145.14"/>
    <n v="208628.03"/>
    <s v="Rejected"/>
    <d v="2025-07-17T00:00:00"/>
    <x v="314"/>
    <n v="5"/>
    <x v="2"/>
    <x v="2"/>
    <n v="613516.65"/>
    <x v="0"/>
  </r>
  <r>
    <n v="766"/>
    <s v="Meera Trivedi"/>
    <x v="1"/>
    <n v="25"/>
    <x v="4"/>
    <n v="358252.77"/>
    <x v="0"/>
    <n v="189965.16"/>
    <n v="634"/>
    <x v="1"/>
    <s v="American Express"/>
    <n v="326805.96999999997"/>
    <n v="148169.97"/>
    <s v="Rejected"/>
    <d v="2025-02-03T00:00:00"/>
    <x v="56"/>
    <n v="1"/>
    <x v="2"/>
    <x v="2"/>
    <n v="548217.93000000005"/>
    <x v="0"/>
  </r>
  <r>
    <n v="767"/>
    <s v="Priya Singh"/>
    <x v="1"/>
    <n v="40"/>
    <x v="0"/>
    <n v="83028.33"/>
    <x v="1"/>
    <n v="70967.520000000004"/>
    <n v="826"/>
    <x v="1"/>
    <s v="American Express"/>
    <n v="95821"/>
    <n v="109543.5"/>
    <s v="Rejected"/>
    <d v="2025-12-06T00:00:00"/>
    <x v="108"/>
    <n v="5"/>
    <x v="2"/>
    <x v="2"/>
    <n v="153995.85"/>
    <x v="0"/>
  </r>
  <r>
    <n v="768"/>
    <s v="Isha Desai"/>
    <x v="1"/>
    <n v="68"/>
    <x v="5"/>
    <n v="28187.11"/>
    <x v="1"/>
    <n v="272452.24"/>
    <n v="564"/>
    <x v="3"/>
    <s v="Discover"/>
    <n v="-61421.38"/>
    <n v="196091.13"/>
    <s v="Approved"/>
    <d v="2025-10-27T00:00:00"/>
    <x v="209"/>
    <n v="4"/>
    <x v="1"/>
    <x v="1"/>
    <n v="300639.34999999998"/>
    <x v="0"/>
  </r>
  <r>
    <n v="769"/>
    <s v="Pooja Sharma"/>
    <x v="1"/>
    <n v="48"/>
    <x v="3"/>
    <n v="194410.71"/>
    <x v="2"/>
    <n v="281685.77"/>
    <n v="784"/>
    <x v="3"/>
    <s v="Discover"/>
    <n v="1165.3800000000001"/>
    <n v="72039.94"/>
    <s v="Pending"/>
    <d v="2025-01-21T00:00:00"/>
    <x v="126"/>
    <n v="1"/>
    <x v="2"/>
    <x v="2"/>
    <n v="476096.48"/>
    <x v="0"/>
  </r>
  <r>
    <n v="770"/>
    <s v="Nisha Patel"/>
    <x v="1"/>
    <n v="23"/>
    <x v="1"/>
    <n v="49015.17"/>
    <x v="1"/>
    <n v="67425.58"/>
    <n v="462"/>
    <x v="2"/>
    <s v="Discover"/>
    <n v="42667.09"/>
    <n v="66341.399999999994"/>
    <s v="Pending"/>
    <d v="2025-12-24T00:00:00"/>
    <x v="286"/>
    <n v="2"/>
    <x v="1"/>
    <x v="1"/>
    <n v="116440.75"/>
    <x v="0"/>
  </r>
  <r>
    <n v="771"/>
    <s v="Sneha Sharma"/>
    <x v="1"/>
    <n v="67"/>
    <x v="1"/>
    <n v="437377.54"/>
    <x v="0"/>
    <n v="285178.09000000003"/>
    <n v="458"/>
    <x v="3"/>
    <s v="RuPay"/>
    <n v="202408.65"/>
    <n v="152635.84"/>
    <s v="Pending"/>
    <d v="2025-01-01T00:00:00"/>
    <x v="258"/>
    <n v="5"/>
    <x v="1"/>
    <x v="1"/>
    <n v="722555.63"/>
    <x v="0"/>
  </r>
  <r>
    <n v="772"/>
    <s v="Vihaan Desai"/>
    <x v="0"/>
    <n v="31"/>
    <x v="1"/>
    <n v="241288.49"/>
    <x v="0"/>
    <n v="100629.68"/>
    <n v="433"/>
    <x v="2"/>
    <s v="Visa"/>
    <n v="169209.34"/>
    <n v="89131.5"/>
    <s v="Approved"/>
    <d v="2025-01-08T00:00:00"/>
    <x v="315"/>
    <n v="1"/>
    <x v="1"/>
    <x v="1"/>
    <n v="341918.17"/>
    <x v="0"/>
  </r>
  <r>
    <n v="773"/>
    <s v="Kavya Joshi"/>
    <x v="1"/>
    <n v="60"/>
    <x v="0"/>
    <n v="438328.47"/>
    <x v="0"/>
    <n v="169011.77"/>
    <n v="771"/>
    <x v="4"/>
    <s v="RuPay"/>
    <n v="361831.75"/>
    <n v="177851.46"/>
    <s v="Rejected"/>
    <d v="2025-03-19T00:00:00"/>
    <x v="3"/>
    <n v="5"/>
    <x v="2"/>
    <x v="2"/>
    <n v="607340.24"/>
    <x v="0"/>
  </r>
  <r>
    <n v="774"/>
    <s v="Rohit Mehta"/>
    <x v="0"/>
    <n v="26"/>
    <x v="3"/>
    <n v="367170.28"/>
    <x v="0"/>
    <n v="207127.92"/>
    <n v="332"/>
    <x v="1"/>
    <s v="MasterCard"/>
    <n v="353885.83"/>
    <n v="21823.61"/>
    <s v="Approved"/>
    <d v="2025-04-01T00:00:00"/>
    <x v="164"/>
    <n v="3"/>
    <x v="0"/>
    <x v="0"/>
    <n v="574298.20000000007"/>
    <x v="0"/>
  </r>
  <r>
    <n v="775"/>
    <s v="Vihaan Sharma"/>
    <x v="0"/>
    <n v="35"/>
    <x v="3"/>
    <n v="134247.24"/>
    <x v="2"/>
    <n v="87105.8"/>
    <n v="488"/>
    <x v="1"/>
    <s v="RuPay"/>
    <n v="220792.86"/>
    <n v="159286.51999999999"/>
    <s v="Pending"/>
    <d v="2025-06-26T00:00:00"/>
    <x v="134"/>
    <n v="5"/>
    <x v="1"/>
    <x v="1"/>
    <n v="221353.03999999998"/>
    <x v="0"/>
  </r>
  <r>
    <n v="776"/>
    <s v="Manav Sharma"/>
    <x v="0"/>
    <n v="52"/>
    <x v="4"/>
    <n v="78083.91"/>
    <x v="1"/>
    <n v="54740.68"/>
    <n v="782"/>
    <x v="0"/>
    <s v="Visa"/>
    <n v="37467.56"/>
    <n v="187871.43"/>
    <s v="Approved"/>
    <d v="2025-07-10T00:00:00"/>
    <x v="232"/>
    <n v="5"/>
    <x v="2"/>
    <x v="2"/>
    <n v="132824.59"/>
    <x v="0"/>
  </r>
  <r>
    <n v="777"/>
    <s v="Pooja Gupta"/>
    <x v="1"/>
    <n v="55"/>
    <x v="5"/>
    <n v="398265.7"/>
    <x v="0"/>
    <n v="89480.43"/>
    <n v="706"/>
    <x v="0"/>
    <s v="American Express"/>
    <n v="431946.04"/>
    <n v="182037.37"/>
    <s v="Rejected"/>
    <d v="2025-07-20T00:00:00"/>
    <x v="182"/>
    <n v="5"/>
    <x v="2"/>
    <x v="2"/>
    <n v="487746.13"/>
    <x v="0"/>
  </r>
  <r>
    <n v="778"/>
    <s v="Rohit Sharma"/>
    <x v="0"/>
    <n v="30"/>
    <x v="5"/>
    <n v="272136.78000000003"/>
    <x v="0"/>
    <n v="123033.81"/>
    <n v="783"/>
    <x v="3"/>
    <s v="Visa"/>
    <n v="187132.85"/>
    <n v="215595.48"/>
    <s v="Pending"/>
    <d v="2025-03-01T00:00:00"/>
    <x v="38"/>
    <n v="4"/>
    <x v="2"/>
    <x v="2"/>
    <n v="395170.59"/>
    <x v="0"/>
  </r>
  <r>
    <n v="779"/>
    <s v="Karan Patel"/>
    <x v="0"/>
    <n v="45"/>
    <x v="5"/>
    <n v="226032.89"/>
    <x v="0"/>
    <n v="157844.74"/>
    <n v="603"/>
    <x v="3"/>
    <s v="American Express"/>
    <n v="158307.28"/>
    <n v="146394.34"/>
    <s v="Approved"/>
    <d v="2025-09-27T00:00:00"/>
    <x v="43"/>
    <n v="2"/>
    <x v="2"/>
    <x v="2"/>
    <n v="383877.63"/>
    <x v="0"/>
  </r>
  <r>
    <n v="780"/>
    <s v="Aarav Desai"/>
    <x v="0"/>
    <n v="33"/>
    <x v="3"/>
    <n v="12763.64"/>
    <x v="1"/>
    <n v="25934.2"/>
    <n v="318"/>
    <x v="2"/>
    <s v="Discover"/>
    <n v="82005.34"/>
    <n v="17605.03"/>
    <s v="Pending"/>
    <d v="2025-02-22T00:00:00"/>
    <x v="183"/>
    <n v="1"/>
    <x v="0"/>
    <x v="0"/>
    <n v="38697.839999999997"/>
    <x v="0"/>
  </r>
  <r>
    <n v="781"/>
    <s v="Riya Verma"/>
    <x v="1"/>
    <n v="48"/>
    <x v="0"/>
    <n v="376286.53"/>
    <x v="0"/>
    <n v="268072.11"/>
    <n v="374"/>
    <x v="1"/>
    <s v="MasterCard"/>
    <n v="287073.14"/>
    <n v="155382.46"/>
    <s v="Pending"/>
    <d v="2025-07-06T00:00:00"/>
    <x v="29"/>
    <n v="5"/>
    <x v="0"/>
    <x v="0"/>
    <n v="644358.64"/>
    <x v="0"/>
  </r>
  <r>
    <n v="782"/>
    <s v="Diya Singh"/>
    <x v="1"/>
    <n v="35"/>
    <x v="4"/>
    <n v="337820.6"/>
    <x v="0"/>
    <n v="193960.88"/>
    <n v="604"/>
    <x v="3"/>
    <s v="Discover"/>
    <n v="295002.19"/>
    <n v="202553.92"/>
    <s v="Rejected"/>
    <d v="2025-04-29T00:00:00"/>
    <x v="109"/>
    <n v="1"/>
    <x v="2"/>
    <x v="2"/>
    <n v="531781.48"/>
    <x v="0"/>
  </r>
  <r>
    <n v="783"/>
    <s v="Priya Verma"/>
    <x v="1"/>
    <n v="31"/>
    <x v="0"/>
    <n v="432104.49"/>
    <x v="0"/>
    <n v="110452.76"/>
    <n v="758"/>
    <x v="1"/>
    <s v="RuPay"/>
    <n v="357515.89"/>
    <n v="236053.97"/>
    <s v="Approved"/>
    <d v="2025-05-08T00:00:00"/>
    <x v="142"/>
    <n v="5"/>
    <x v="2"/>
    <x v="2"/>
    <n v="542557.25"/>
    <x v="0"/>
  </r>
  <r>
    <n v="784"/>
    <s v="Diya Shah"/>
    <x v="1"/>
    <n v="59"/>
    <x v="1"/>
    <n v="104771.74"/>
    <x v="2"/>
    <n v="5224.63"/>
    <n v="722"/>
    <x v="0"/>
    <s v="MasterCard"/>
    <n v="148457.38"/>
    <n v="151790.99"/>
    <s v="Pending"/>
    <d v="2025-03-06T00:00:00"/>
    <x v="28"/>
    <n v="4"/>
    <x v="2"/>
    <x v="2"/>
    <n v="109996.37000000001"/>
    <x v="0"/>
  </r>
  <r>
    <n v="785"/>
    <s v="Vihaan Desai"/>
    <x v="0"/>
    <n v="67"/>
    <x v="5"/>
    <n v="34216.44"/>
    <x v="1"/>
    <n v="232194.18"/>
    <n v="839"/>
    <x v="4"/>
    <s v="Visa"/>
    <n v="-57544.32"/>
    <n v="61023.71"/>
    <s v="Rejected"/>
    <d v="2025-02-19T00:00:00"/>
    <x v="301"/>
    <n v="1"/>
    <x v="2"/>
    <x v="2"/>
    <n v="266410.62"/>
    <x v="0"/>
  </r>
  <r>
    <n v="786"/>
    <s v="Jay Shah"/>
    <x v="0"/>
    <n v="40"/>
    <x v="4"/>
    <n v="250408.52"/>
    <x v="0"/>
    <n v="209285.87"/>
    <n v="313"/>
    <x v="3"/>
    <s v="American Express"/>
    <n v="65891.070000000007"/>
    <n v="136636.72"/>
    <s v="Pending"/>
    <d v="2025-10-13T00:00:00"/>
    <x v="210"/>
    <n v="2"/>
    <x v="0"/>
    <x v="0"/>
    <n v="459694.39"/>
    <x v="0"/>
  </r>
  <r>
    <n v="787"/>
    <s v="Vihaan Patel"/>
    <x v="0"/>
    <n v="56"/>
    <x v="2"/>
    <n v="122082.21"/>
    <x v="2"/>
    <n v="99591.53"/>
    <n v="716"/>
    <x v="4"/>
    <s v="American Express"/>
    <n v="152914.06"/>
    <n v="99355.11"/>
    <s v="Approved"/>
    <d v="2025-04-26T00:00:00"/>
    <x v="316"/>
    <n v="4"/>
    <x v="2"/>
    <x v="2"/>
    <n v="221673.74"/>
    <x v="0"/>
  </r>
  <r>
    <n v="788"/>
    <s v="Aarav Singh"/>
    <x v="0"/>
    <n v="36"/>
    <x v="4"/>
    <n v="53680.82"/>
    <x v="1"/>
    <n v="110076.59"/>
    <n v="543"/>
    <x v="4"/>
    <s v="MasterCard"/>
    <n v="-39882.97"/>
    <n v="110608.75"/>
    <s v="Rejected"/>
    <d v="2025-07-20T00:00:00"/>
    <x v="98"/>
    <n v="1"/>
    <x v="1"/>
    <x v="1"/>
    <n v="163757.41"/>
    <x v="0"/>
  </r>
  <r>
    <n v="789"/>
    <s v="Nisha Singh"/>
    <x v="1"/>
    <n v="21"/>
    <x v="1"/>
    <n v="180627.65"/>
    <x v="2"/>
    <n v="163607.76"/>
    <n v="354"/>
    <x v="2"/>
    <s v="RuPay"/>
    <n v="142223.45000000001"/>
    <n v="150606.97"/>
    <s v="Pending"/>
    <d v="2025-04-21T00:00:00"/>
    <x v="28"/>
    <n v="2"/>
    <x v="0"/>
    <x v="0"/>
    <n v="344235.41000000003"/>
    <x v="0"/>
  </r>
  <r>
    <n v="790"/>
    <s v="Nisha Sharma"/>
    <x v="1"/>
    <n v="27"/>
    <x v="2"/>
    <n v="10363.43"/>
    <x v="1"/>
    <n v="270565.02"/>
    <n v="692"/>
    <x v="4"/>
    <s v="RuPay"/>
    <n v="-80770.61"/>
    <n v="200431.76"/>
    <s v="Approved"/>
    <d v="2025-04-16T00:00:00"/>
    <x v="121"/>
    <n v="4"/>
    <x v="2"/>
    <x v="2"/>
    <n v="280928.45"/>
    <x v="0"/>
  </r>
  <r>
    <n v="791"/>
    <s v="Rohit Verma"/>
    <x v="0"/>
    <n v="56"/>
    <x v="5"/>
    <n v="306309.03000000003"/>
    <x v="0"/>
    <n v="162424.87"/>
    <n v="897"/>
    <x v="2"/>
    <s v="RuPay"/>
    <n v="247597.21"/>
    <n v="140113.20000000001"/>
    <s v="Pending"/>
    <d v="2025-08-16T00:00:00"/>
    <x v="169"/>
    <n v="2"/>
    <x v="2"/>
    <x v="2"/>
    <n v="468733.9"/>
    <x v="0"/>
  </r>
  <r>
    <n v="792"/>
    <s v="Anaya Desai"/>
    <x v="1"/>
    <n v="50"/>
    <x v="3"/>
    <n v="222496.27"/>
    <x v="0"/>
    <n v="263759.14"/>
    <n v="622"/>
    <x v="4"/>
    <s v="Visa"/>
    <n v="38036.449999999997"/>
    <n v="224848.41"/>
    <s v="Pending"/>
    <d v="2025-12-07T00:00:00"/>
    <x v="33"/>
    <n v="1"/>
    <x v="2"/>
    <x v="2"/>
    <n v="486255.41000000003"/>
    <x v="0"/>
  </r>
  <r>
    <n v="793"/>
    <s v="Riya Mehta"/>
    <x v="1"/>
    <n v="46"/>
    <x v="0"/>
    <n v="123965.97"/>
    <x v="2"/>
    <n v="290357.95"/>
    <n v="644"/>
    <x v="0"/>
    <s v="Discover"/>
    <n v="-34419.9"/>
    <n v="119315.85"/>
    <s v="Pending"/>
    <d v="2025-06-23T00:00:00"/>
    <x v="260"/>
    <n v="1"/>
    <x v="2"/>
    <x v="2"/>
    <n v="414323.92000000004"/>
    <x v="0"/>
  </r>
  <r>
    <n v="794"/>
    <s v="Diya Patel"/>
    <x v="1"/>
    <n v="52"/>
    <x v="0"/>
    <n v="245225.67"/>
    <x v="0"/>
    <n v="132501.59"/>
    <n v="483"/>
    <x v="0"/>
    <s v="MasterCard"/>
    <n v="203780.3"/>
    <n v="198188.16"/>
    <s v="Rejected"/>
    <d v="2025-03-12T00:00:00"/>
    <x v="317"/>
    <n v="2"/>
    <x v="1"/>
    <x v="1"/>
    <n v="377727.26"/>
    <x v="0"/>
  </r>
  <r>
    <n v="795"/>
    <s v="Jay Sharma"/>
    <x v="0"/>
    <n v="29"/>
    <x v="1"/>
    <n v="4141.46"/>
    <x v="1"/>
    <n v="20835.509999999998"/>
    <n v="470"/>
    <x v="3"/>
    <s v="American Express"/>
    <n v="94142.71"/>
    <n v="166293.71"/>
    <s v="Approved"/>
    <d v="2025-04-11T00:00:00"/>
    <x v="63"/>
    <n v="1"/>
    <x v="1"/>
    <x v="1"/>
    <n v="24976.969999999998"/>
    <x v="0"/>
  </r>
  <r>
    <n v="796"/>
    <s v="Anaya Shah"/>
    <x v="1"/>
    <n v="22"/>
    <x v="4"/>
    <n v="264102.03999999998"/>
    <x v="0"/>
    <n v="280797.25"/>
    <n v="657"/>
    <x v="3"/>
    <s v="MasterCard"/>
    <n v="10203.35"/>
    <n v="43795.65"/>
    <s v="Rejected"/>
    <d v="2025-08-09T00:00:00"/>
    <x v="157"/>
    <n v="5"/>
    <x v="2"/>
    <x v="2"/>
    <n v="544899.29"/>
    <x v="0"/>
  </r>
  <r>
    <n v="797"/>
    <s v="Aarav Trivedi"/>
    <x v="0"/>
    <n v="52"/>
    <x v="0"/>
    <n v="217144"/>
    <x v="0"/>
    <n v="141601.97"/>
    <n v="491"/>
    <x v="3"/>
    <s v="Discover"/>
    <n v="138414.28"/>
    <n v="90155.4"/>
    <s v="Pending"/>
    <d v="2025-01-05T00:00:00"/>
    <x v="318"/>
    <n v="1"/>
    <x v="1"/>
    <x v="1"/>
    <n v="358745.97"/>
    <x v="0"/>
  </r>
  <r>
    <n v="798"/>
    <s v="Diya Joshi"/>
    <x v="1"/>
    <n v="40"/>
    <x v="5"/>
    <n v="298555.90000000002"/>
    <x v="0"/>
    <n v="178357.51"/>
    <n v="638"/>
    <x v="1"/>
    <s v="Visa"/>
    <n v="230374.47"/>
    <n v="212106.84"/>
    <s v="Rejected"/>
    <d v="2025-03-04T00:00:00"/>
    <x v="247"/>
    <n v="5"/>
    <x v="2"/>
    <x v="2"/>
    <n v="476913.41000000003"/>
    <x v="0"/>
  </r>
  <r>
    <n v="799"/>
    <s v="Anaya Singh"/>
    <x v="1"/>
    <n v="45"/>
    <x v="3"/>
    <n v="376889.43"/>
    <x v="0"/>
    <n v="231616.36"/>
    <n v="805"/>
    <x v="4"/>
    <s v="Visa"/>
    <n v="337290.14"/>
    <n v="157890.91"/>
    <s v="Pending"/>
    <d v="2025-04-25T00:00:00"/>
    <x v="40"/>
    <n v="1"/>
    <x v="2"/>
    <x v="2"/>
    <n v="608505.79"/>
    <x v="0"/>
  </r>
  <r>
    <n v="800"/>
    <s v="Rahul Verma"/>
    <x v="0"/>
    <n v="33"/>
    <x v="2"/>
    <n v="238694.54"/>
    <x v="0"/>
    <n v="248331.12"/>
    <n v="548"/>
    <x v="4"/>
    <s v="Discover"/>
    <n v="24808.61"/>
    <n v="214876.7"/>
    <s v="Pending"/>
    <d v="2025-06-24T00:00:00"/>
    <x v="319"/>
    <n v="4"/>
    <x v="1"/>
    <x v="1"/>
    <n v="487025.66000000003"/>
    <x v="0"/>
  </r>
  <r>
    <n v="801"/>
    <s v="Jay Joshi"/>
    <x v="0"/>
    <n v="61"/>
    <x v="0"/>
    <n v="216560.37"/>
    <x v="0"/>
    <n v="139974.37"/>
    <n v="341"/>
    <x v="1"/>
    <s v="Discover"/>
    <n v="223750.53"/>
    <n v="189704.86"/>
    <s v="Pending"/>
    <d v="2025-05-21T00:00:00"/>
    <x v="190"/>
    <n v="3"/>
    <x v="0"/>
    <x v="0"/>
    <n v="356534.74"/>
    <x v="0"/>
  </r>
  <r>
    <n v="802"/>
    <s v="Rahul Verma"/>
    <x v="0"/>
    <n v="27"/>
    <x v="0"/>
    <n v="219735.65"/>
    <x v="0"/>
    <n v="157025.21"/>
    <n v="870"/>
    <x v="2"/>
    <s v="RuPay"/>
    <n v="181887.97"/>
    <n v="30110.22"/>
    <s v="Rejected"/>
    <d v="2025-04-02T00:00:00"/>
    <x v="188"/>
    <n v="1"/>
    <x v="2"/>
    <x v="2"/>
    <n v="376760.86"/>
    <x v="0"/>
  </r>
  <r>
    <n v="803"/>
    <s v="Sneha Shah"/>
    <x v="1"/>
    <n v="59"/>
    <x v="4"/>
    <n v="143661.01999999999"/>
    <x v="2"/>
    <n v="41537.18"/>
    <n v="393"/>
    <x v="1"/>
    <s v="RuPay"/>
    <n v="234630.59"/>
    <n v="134356.06"/>
    <s v="Rejected"/>
    <d v="2025-10-15T00:00:00"/>
    <x v="320"/>
    <n v="3"/>
    <x v="0"/>
    <x v="0"/>
    <n v="185198.19999999998"/>
    <x v="0"/>
  </r>
  <r>
    <n v="804"/>
    <s v="Yash Verma"/>
    <x v="0"/>
    <n v="53"/>
    <x v="3"/>
    <n v="149211.59"/>
    <x v="2"/>
    <n v="296302.77"/>
    <n v="873"/>
    <x v="4"/>
    <s v="American Express"/>
    <n v="-21076.880000000001"/>
    <n v="161624.97"/>
    <s v="Rejected"/>
    <d v="2025-06-20T00:00:00"/>
    <x v="21"/>
    <n v="1"/>
    <x v="2"/>
    <x v="2"/>
    <n v="445514.36"/>
    <x v="0"/>
  </r>
  <r>
    <n v="805"/>
    <s v="Rohit Verma"/>
    <x v="0"/>
    <n v="45"/>
    <x v="1"/>
    <n v="134158.35999999999"/>
    <x v="2"/>
    <n v="35178.129999999997"/>
    <n v="454"/>
    <x v="2"/>
    <s v="MasterCard"/>
    <n v="223241.83"/>
    <n v="133912.20000000001"/>
    <s v="Pending"/>
    <d v="2025-12-20T00:00:00"/>
    <x v="317"/>
    <n v="2"/>
    <x v="1"/>
    <x v="1"/>
    <n v="169336.49"/>
    <x v="0"/>
  </r>
  <r>
    <n v="806"/>
    <s v="Yash Singh"/>
    <x v="0"/>
    <n v="28"/>
    <x v="0"/>
    <n v="435416.38"/>
    <x v="0"/>
    <n v="203464.7"/>
    <n v="415"/>
    <x v="4"/>
    <s v="RuPay"/>
    <n v="257382.52"/>
    <n v="185032.61"/>
    <s v="Rejected"/>
    <d v="2025-06-21T00:00:00"/>
    <x v="48"/>
    <n v="5"/>
    <x v="1"/>
    <x v="1"/>
    <n v="638881.08000000007"/>
    <x v="0"/>
  </r>
  <r>
    <n v="807"/>
    <s v="Karan Sharma"/>
    <x v="0"/>
    <n v="68"/>
    <x v="0"/>
    <n v="467576.26"/>
    <x v="0"/>
    <n v="197121.01"/>
    <n v="694"/>
    <x v="4"/>
    <s v="MasterCard"/>
    <n v="410609.7"/>
    <n v="218435.08"/>
    <s v="Pending"/>
    <d v="2025-07-10T00:00:00"/>
    <x v="221"/>
    <n v="1"/>
    <x v="2"/>
    <x v="2"/>
    <n v="664697.27"/>
    <x v="0"/>
  </r>
  <r>
    <n v="808"/>
    <s v="Yash Singh"/>
    <x v="0"/>
    <n v="58"/>
    <x v="0"/>
    <n v="259592.25"/>
    <x v="0"/>
    <n v="23796.73"/>
    <n v="387"/>
    <x v="3"/>
    <s v="American Express"/>
    <n v="245707.43"/>
    <n v="184434.05"/>
    <s v="Pending"/>
    <d v="2025-06-01T00:00:00"/>
    <x v="33"/>
    <n v="4"/>
    <x v="0"/>
    <x v="0"/>
    <n v="283388.98"/>
    <x v="0"/>
  </r>
  <r>
    <n v="809"/>
    <s v="Kavya Singh"/>
    <x v="1"/>
    <n v="60"/>
    <x v="3"/>
    <n v="363693.05"/>
    <x v="0"/>
    <n v="147892.53"/>
    <n v="551"/>
    <x v="1"/>
    <s v="American Express"/>
    <n v="286312.59999999998"/>
    <n v="63319.22"/>
    <s v="Rejected"/>
    <d v="2025-11-29T00:00:00"/>
    <x v="27"/>
    <n v="1"/>
    <x v="1"/>
    <x v="1"/>
    <n v="511585.57999999996"/>
    <x v="0"/>
  </r>
  <r>
    <n v="810"/>
    <s v="Anaya Patel"/>
    <x v="1"/>
    <n v="57"/>
    <x v="3"/>
    <n v="231085.18"/>
    <x v="0"/>
    <n v="94577.02"/>
    <n v="605"/>
    <x v="2"/>
    <s v="Discover"/>
    <n v="277398.64"/>
    <n v="149233.54999999999"/>
    <s v="Approved"/>
    <d v="2025-09-19T00:00:00"/>
    <x v="33"/>
    <n v="4"/>
    <x v="2"/>
    <x v="2"/>
    <n v="325662.2"/>
    <x v="0"/>
  </r>
  <r>
    <n v="811"/>
    <s v="Anaya Trivedi"/>
    <x v="1"/>
    <n v="66"/>
    <x v="5"/>
    <n v="465198.95"/>
    <x v="0"/>
    <n v="254657.26"/>
    <n v="338"/>
    <x v="4"/>
    <s v="Visa"/>
    <n v="246002.27"/>
    <n v="47579.02"/>
    <s v="Approved"/>
    <d v="2025-02-27T00:00:00"/>
    <x v="321"/>
    <n v="5"/>
    <x v="0"/>
    <x v="0"/>
    <n v="719856.21"/>
    <x v="0"/>
  </r>
  <r>
    <n v="812"/>
    <s v="Pooja Singh"/>
    <x v="1"/>
    <n v="55"/>
    <x v="1"/>
    <n v="382170.72"/>
    <x v="0"/>
    <n v="28890.400000000001"/>
    <n v="856"/>
    <x v="2"/>
    <s v="Discover"/>
    <n v="380474.34"/>
    <n v="206025.31"/>
    <s v="Approved"/>
    <d v="2025-07-27T00:00:00"/>
    <x v="12"/>
    <n v="1"/>
    <x v="2"/>
    <x v="2"/>
    <n v="411061.12"/>
    <x v="0"/>
  </r>
  <r>
    <n v="813"/>
    <s v="Pooja Singh"/>
    <x v="1"/>
    <n v="69"/>
    <x v="3"/>
    <n v="408938.83"/>
    <x v="0"/>
    <n v="264654.01"/>
    <n v="739"/>
    <x v="4"/>
    <s v="Discover"/>
    <n v="324671.71999999997"/>
    <n v="152121.20000000001"/>
    <s v="Rejected"/>
    <d v="2025-11-16T00:00:00"/>
    <x v="245"/>
    <n v="4"/>
    <x v="2"/>
    <x v="2"/>
    <n v="673592.84000000008"/>
    <x v="0"/>
  </r>
  <r>
    <n v="814"/>
    <s v="Vihaan Sharma"/>
    <x v="0"/>
    <n v="51"/>
    <x v="0"/>
    <n v="194946.11"/>
    <x v="2"/>
    <n v="83988.37"/>
    <n v="330"/>
    <x v="2"/>
    <s v="RuPay"/>
    <n v="304069.59000000003"/>
    <n v="179828.76"/>
    <s v="Rejected"/>
    <d v="2025-01-17T00:00:00"/>
    <x v="322"/>
    <n v="3"/>
    <x v="0"/>
    <x v="0"/>
    <n v="278934.48"/>
    <x v="0"/>
  </r>
  <r>
    <n v="815"/>
    <s v="Rahul Desai"/>
    <x v="0"/>
    <n v="30"/>
    <x v="3"/>
    <n v="149125.78"/>
    <x v="2"/>
    <n v="170125.36"/>
    <n v="537"/>
    <x v="1"/>
    <s v="RuPay"/>
    <n v="-2122.81"/>
    <n v="108676.17"/>
    <s v="Pending"/>
    <d v="2025-06-08T00:00:00"/>
    <x v="245"/>
    <n v="5"/>
    <x v="1"/>
    <x v="1"/>
    <n v="319251.14"/>
    <x v="0"/>
  </r>
  <r>
    <n v="816"/>
    <s v="Yash Trivedi"/>
    <x v="0"/>
    <n v="31"/>
    <x v="4"/>
    <n v="195040.98"/>
    <x v="2"/>
    <n v="81131.929999999993"/>
    <n v="823"/>
    <x v="4"/>
    <s v="Discover"/>
    <n v="277129.40000000002"/>
    <n v="33963.08"/>
    <s v="Pending"/>
    <d v="2025-06-12T00:00:00"/>
    <x v="285"/>
    <n v="4"/>
    <x v="2"/>
    <x v="2"/>
    <n v="276172.91000000003"/>
    <x v="0"/>
  </r>
  <r>
    <n v="817"/>
    <s v="Nisha Sharma"/>
    <x v="1"/>
    <n v="18"/>
    <x v="1"/>
    <n v="430578.86"/>
    <x v="0"/>
    <n v="144927.60999999999"/>
    <n v="842"/>
    <x v="1"/>
    <s v="MasterCard"/>
    <n v="306741.43"/>
    <n v="136875.98000000001"/>
    <s v="Approved"/>
    <d v="2025-02-07T00:00:00"/>
    <x v="245"/>
    <n v="1"/>
    <x v="2"/>
    <x v="2"/>
    <n v="575506.47"/>
    <x v="0"/>
  </r>
  <r>
    <n v="818"/>
    <s v="Riya Patel"/>
    <x v="1"/>
    <n v="18"/>
    <x v="0"/>
    <n v="55452.88"/>
    <x v="1"/>
    <n v="99547.81"/>
    <n v="860"/>
    <x v="1"/>
    <s v="Visa"/>
    <n v="122367.26"/>
    <n v="231071.04"/>
    <s v="Rejected"/>
    <d v="2025-05-18T00:00:00"/>
    <x v="298"/>
    <n v="1"/>
    <x v="2"/>
    <x v="2"/>
    <n v="155000.69"/>
    <x v="0"/>
  </r>
  <r>
    <n v="819"/>
    <s v="Rahul Joshi"/>
    <x v="0"/>
    <n v="68"/>
    <x v="5"/>
    <n v="191058.82"/>
    <x v="2"/>
    <n v="135846.98000000001"/>
    <n v="605"/>
    <x v="0"/>
    <s v="American Express"/>
    <n v="129350.99"/>
    <n v="204756.32"/>
    <s v="Rejected"/>
    <d v="2025-03-16T00:00:00"/>
    <x v="323"/>
    <n v="5"/>
    <x v="2"/>
    <x v="2"/>
    <n v="326905.80000000005"/>
    <x v="0"/>
  </r>
  <r>
    <n v="820"/>
    <s v="Nisha Sharma"/>
    <x v="1"/>
    <n v="69"/>
    <x v="0"/>
    <n v="332429.11"/>
    <x v="0"/>
    <n v="233950.43"/>
    <n v="771"/>
    <x v="3"/>
    <s v="American Express"/>
    <n v="174234.66"/>
    <n v="178644.82"/>
    <s v="Rejected"/>
    <d v="2025-02-23T00:00:00"/>
    <x v="216"/>
    <n v="1"/>
    <x v="2"/>
    <x v="2"/>
    <n v="566379.54"/>
    <x v="0"/>
  </r>
  <r>
    <n v="821"/>
    <s v="Kavya Verma"/>
    <x v="1"/>
    <n v="30"/>
    <x v="2"/>
    <n v="200084.72"/>
    <x v="0"/>
    <n v="232355.94"/>
    <n v="447"/>
    <x v="2"/>
    <s v="American Express"/>
    <n v="94919.29"/>
    <n v="236888.7"/>
    <s v="Approved"/>
    <d v="2025-07-09T00:00:00"/>
    <x v="87"/>
    <n v="4"/>
    <x v="1"/>
    <x v="1"/>
    <n v="432440.66000000003"/>
    <x v="0"/>
  </r>
  <r>
    <n v="822"/>
    <s v="Aarav Desai"/>
    <x v="0"/>
    <n v="65"/>
    <x v="3"/>
    <n v="453264.56"/>
    <x v="0"/>
    <n v="146837.44"/>
    <n v="717"/>
    <x v="2"/>
    <s v="RuPay"/>
    <n v="336641.67"/>
    <n v="92272.28"/>
    <s v="Approved"/>
    <d v="2025-04-05T00:00:00"/>
    <x v="248"/>
    <n v="1"/>
    <x v="2"/>
    <x v="2"/>
    <n v="600102"/>
    <x v="0"/>
  </r>
  <r>
    <n v="823"/>
    <s v="Nisha Patel"/>
    <x v="1"/>
    <n v="32"/>
    <x v="5"/>
    <n v="339681.24"/>
    <x v="0"/>
    <n v="2772.55"/>
    <n v="446"/>
    <x v="4"/>
    <s v="Discover"/>
    <n v="357038.21"/>
    <n v="86599.03"/>
    <s v="Pending"/>
    <d v="2025-08-02T00:00:00"/>
    <x v="190"/>
    <n v="5"/>
    <x v="1"/>
    <x v="1"/>
    <n v="342453.79"/>
    <x v="0"/>
  </r>
  <r>
    <n v="824"/>
    <s v="Pooja Verma"/>
    <x v="1"/>
    <n v="47"/>
    <x v="5"/>
    <n v="160512.25"/>
    <x v="2"/>
    <n v="218988.19"/>
    <n v="302"/>
    <x v="2"/>
    <s v="RuPay"/>
    <n v="25317.75"/>
    <n v="158220.99"/>
    <s v="Approved"/>
    <d v="2025-08-09T00:00:00"/>
    <x v="98"/>
    <n v="2"/>
    <x v="0"/>
    <x v="0"/>
    <n v="379500.44"/>
    <x v="0"/>
  </r>
  <r>
    <n v="825"/>
    <s v="Pooja Verma"/>
    <x v="1"/>
    <n v="40"/>
    <x v="2"/>
    <n v="467374.16"/>
    <x v="0"/>
    <n v="175183.96"/>
    <n v="405"/>
    <x v="0"/>
    <s v="Visa"/>
    <n v="458427.15"/>
    <n v="185673.76"/>
    <s v="Pending"/>
    <d v="2025-10-06T00:00:00"/>
    <x v="69"/>
    <n v="2"/>
    <x v="1"/>
    <x v="1"/>
    <n v="642558.12"/>
    <x v="0"/>
  </r>
  <r>
    <n v="826"/>
    <s v="Vihaan Mehta"/>
    <x v="0"/>
    <n v="30"/>
    <x v="3"/>
    <n v="94353.27"/>
    <x v="1"/>
    <n v="153886.74"/>
    <n v="595"/>
    <x v="2"/>
    <s v="American Express"/>
    <n v="-33355.800000000003"/>
    <n v="134583.78"/>
    <s v="Pending"/>
    <d v="2025-05-26T00:00:00"/>
    <x v="247"/>
    <n v="4"/>
    <x v="1"/>
    <x v="1"/>
    <n v="248240.01"/>
    <x v="0"/>
  </r>
  <r>
    <n v="827"/>
    <s v="Rahul Sharma"/>
    <x v="0"/>
    <n v="46"/>
    <x v="5"/>
    <n v="393268.99"/>
    <x v="0"/>
    <n v="177622.63"/>
    <n v="521"/>
    <x v="1"/>
    <s v="MasterCard"/>
    <n v="376316.99"/>
    <n v="59846.15"/>
    <s v="Rejected"/>
    <d v="2025-05-25T00:00:00"/>
    <x v="17"/>
    <n v="5"/>
    <x v="1"/>
    <x v="1"/>
    <n v="570891.62"/>
    <x v="0"/>
  </r>
  <r>
    <n v="828"/>
    <s v="Manav Shah"/>
    <x v="0"/>
    <n v="47"/>
    <x v="4"/>
    <n v="378345.83"/>
    <x v="0"/>
    <n v="276642.81"/>
    <n v="780"/>
    <x v="2"/>
    <s v="Discover"/>
    <n v="246964.23"/>
    <n v="47059.81"/>
    <s v="Rejected"/>
    <d v="2025-02-21T00:00:00"/>
    <x v="314"/>
    <n v="3"/>
    <x v="2"/>
    <x v="2"/>
    <n v="654988.64"/>
    <x v="0"/>
  </r>
  <r>
    <n v="829"/>
    <s v="Riya Patel"/>
    <x v="1"/>
    <n v="19"/>
    <x v="3"/>
    <n v="106636.62"/>
    <x v="2"/>
    <n v="299192.55"/>
    <n v="737"/>
    <x v="1"/>
    <s v="RuPay"/>
    <n v="-111472.48"/>
    <n v="77151.42"/>
    <s v="Pending"/>
    <d v="2025-06-15T00:00:00"/>
    <x v="287"/>
    <n v="5"/>
    <x v="2"/>
    <x v="2"/>
    <n v="405829.17"/>
    <x v="0"/>
  </r>
  <r>
    <n v="830"/>
    <s v="Pooja Trivedi"/>
    <x v="1"/>
    <n v="40"/>
    <x v="1"/>
    <n v="407039.16"/>
    <x v="0"/>
    <n v="151165.82999999999"/>
    <n v="678"/>
    <x v="0"/>
    <s v="RuPay"/>
    <n v="269094.46000000002"/>
    <n v="40071.81"/>
    <s v="Approved"/>
    <d v="2025-01-18T00:00:00"/>
    <x v="102"/>
    <n v="2"/>
    <x v="2"/>
    <x v="2"/>
    <n v="558204.99"/>
    <x v="0"/>
  </r>
  <r>
    <n v="831"/>
    <s v="Manav Singh"/>
    <x v="0"/>
    <n v="67"/>
    <x v="5"/>
    <n v="67435.350000000006"/>
    <x v="1"/>
    <n v="151740.35"/>
    <n v="367"/>
    <x v="1"/>
    <s v="RuPay"/>
    <n v="71462.259999999995"/>
    <n v="150544.37"/>
    <s v="Rejected"/>
    <d v="2025-09-26T00:00:00"/>
    <x v="291"/>
    <n v="4"/>
    <x v="0"/>
    <x v="0"/>
    <n v="219175.7"/>
    <x v="0"/>
  </r>
  <r>
    <n v="832"/>
    <s v="Diya Shah"/>
    <x v="1"/>
    <n v="44"/>
    <x v="3"/>
    <n v="464932.32"/>
    <x v="0"/>
    <n v="243128.13"/>
    <n v="412"/>
    <x v="4"/>
    <s v="MasterCard"/>
    <n v="361091.12"/>
    <n v="248442"/>
    <s v="Rejected"/>
    <d v="2025-01-05T00:00:00"/>
    <x v="8"/>
    <n v="3"/>
    <x v="1"/>
    <x v="1"/>
    <n v="708060.45"/>
    <x v="0"/>
  </r>
  <r>
    <n v="833"/>
    <s v="Aditya Mehta"/>
    <x v="0"/>
    <n v="51"/>
    <x v="4"/>
    <n v="101660.07"/>
    <x v="2"/>
    <n v="182093.73"/>
    <n v="685"/>
    <x v="4"/>
    <s v="MasterCard"/>
    <n v="-38639.46"/>
    <n v="249445.38"/>
    <s v="Approved"/>
    <d v="2025-12-17T00:00:00"/>
    <x v="14"/>
    <n v="4"/>
    <x v="2"/>
    <x v="2"/>
    <n v="283753.80000000005"/>
    <x v="0"/>
  </r>
  <r>
    <n v="834"/>
    <s v="Manav Trivedi"/>
    <x v="0"/>
    <n v="33"/>
    <x v="2"/>
    <n v="64224.37"/>
    <x v="1"/>
    <n v="92324.45"/>
    <n v="727"/>
    <x v="3"/>
    <s v="American Express"/>
    <n v="10849.07"/>
    <n v="15591.36"/>
    <s v="Approved"/>
    <d v="2025-12-03T00:00:00"/>
    <x v="274"/>
    <n v="2"/>
    <x v="2"/>
    <x v="2"/>
    <n v="156548.82"/>
    <x v="0"/>
  </r>
  <r>
    <n v="835"/>
    <s v="Priya Patel"/>
    <x v="1"/>
    <n v="54"/>
    <x v="4"/>
    <n v="198715.36"/>
    <x v="2"/>
    <n v="148700.35"/>
    <n v="406"/>
    <x v="0"/>
    <s v="Discover"/>
    <n v="182742.49"/>
    <n v="247510.48"/>
    <s v="Rejected"/>
    <d v="2025-07-20T00:00:00"/>
    <x v="323"/>
    <n v="2"/>
    <x v="1"/>
    <x v="1"/>
    <n v="347415.70999999996"/>
    <x v="0"/>
  </r>
  <r>
    <n v="836"/>
    <s v="Karan Singh"/>
    <x v="0"/>
    <n v="66"/>
    <x v="2"/>
    <n v="88774"/>
    <x v="1"/>
    <n v="270477.53000000003"/>
    <n v="614"/>
    <x v="1"/>
    <s v="Discover"/>
    <n v="-95713.38"/>
    <n v="37369"/>
    <s v="Pending"/>
    <d v="2025-09-27T00:00:00"/>
    <x v="150"/>
    <n v="1"/>
    <x v="2"/>
    <x v="2"/>
    <n v="359251.53"/>
    <x v="0"/>
  </r>
  <r>
    <n v="837"/>
    <s v="Kavya Verma"/>
    <x v="1"/>
    <n v="21"/>
    <x v="5"/>
    <n v="160985.73000000001"/>
    <x v="2"/>
    <n v="11072.72"/>
    <n v="470"/>
    <x v="0"/>
    <s v="American Express"/>
    <n v="297688.88"/>
    <n v="177233.18"/>
    <s v="Pending"/>
    <d v="2025-02-05T00:00:00"/>
    <x v="129"/>
    <n v="3"/>
    <x v="1"/>
    <x v="1"/>
    <n v="172058.45"/>
    <x v="0"/>
  </r>
  <r>
    <n v="838"/>
    <s v="Aarav Sharma"/>
    <x v="0"/>
    <n v="35"/>
    <x v="4"/>
    <n v="174545.93"/>
    <x v="2"/>
    <n v="292938.36"/>
    <n v="329"/>
    <x v="3"/>
    <s v="Visa"/>
    <n v="-50364.639999999999"/>
    <n v="192659.68"/>
    <s v="Rejected"/>
    <d v="2025-05-04T00:00:00"/>
    <x v="153"/>
    <n v="4"/>
    <x v="0"/>
    <x v="0"/>
    <n v="467484.29"/>
    <x v="0"/>
  </r>
  <r>
    <n v="839"/>
    <s v="Nisha Mehta"/>
    <x v="1"/>
    <n v="51"/>
    <x v="1"/>
    <n v="422663.17"/>
    <x v="0"/>
    <n v="147797.64000000001"/>
    <n v="495"/>
    <x v="0"/>
    <s v="MasterCard"/>
    <n v="325782.46999999997"/>
    <n v="215510.64"/>
    <s v="Rejected"/>
    <d v="2025-08-20T00:00:00"/>
    <x v="3"/>
    <n v="1"/>
    <x v="1"/>
    <x v="1"/>
    <n v="570460.81000000006"/>
    <x v="0"/>
  </r>
  <r>
    <n v="840"/>
    <s v="Manav Mehta"/>
    <x v="0"/>
    <n v="50"/>
    <x v="0"/>
    <n v="120099.85"/>
    <x v="2"/>
    <n v="120216.04"/>
    <n v="869"/>
    <x v="4"/>
    <s v="RuPay"/>
    <n v="117328.62"/>
    <n v="89354.29"/>
    <s v="Rejected"/>
    <d v="2025-10-26T00:00:00"/>
    <x v="196"/>
    <n v="5"/>
    <x v="2"/>
    <x v="2"/>
    <n v="240315.89"/>
    <x v="0"/>
  </r>
  <r>
    <n v="841"/>
    <s v="Jay Gupta"/>
    <x v="0"/>
    <n v="38"/>
    <x v="3"/>
    <n v="224877.54"/>
    <x v="0"/>
    <n v="285816.46999999997"/>
    <n v="653"/>
    <x v="1"/>
    <s v="RuPay"/>
    <n v="43306.94"/>
    <n v="228550.96"/>
    <s v="Approved"/>
    <d v="2025-09-19T00:00:00"/>
    <x v="187"/>
    <n v="5"/>
    <x v="2"/>
    <x v="2"/>
    <n v="510694.01"/>
    <x v="0"/>
  </r>
  <r>
    <n v="842"/>
    <s v="Jay Mehta"/>
    <x v="0"/>
    <n v="39"/>
    <x v="0"/>
    <n v="149779.57999999999"/>
    <x v="2"/>
    <n v="173344.01"/>
    <n v="485"/>
    <x v="1"/>
    <s v="Visa"/>
    <n v="132350.60999999999"/>
    <n v="228102.95"/>
    <s v="Approved"/>
    <d v="2025-12-07T00:00:00"/>
    <x v="324"/>
    <n v="2"/>
    <x v="1"/>
    <x v="1"/>
    <n v="323123.58999999997"/>
    <x v="0"/>
  </r>
  <r>
    <n v="843"/>
    <s v="Aarav Trivedi"/>
    <x v="0"/>
    <n v="31"/>
    <x v="2"/>
    <n v="187390.62"/>
    <x v="2"/>
    <n v="296040.84000000003"/>
    <n v="548"/>
    <x v="2"/>
    <s v="Discover"/>
    <n v="21053.38"/>
    <n v="161051.15"/>
    <s v="Approved"/>
    <d v="2025-11-24T00:00:00"/>
    <x v="137"/>
    <n v="5"/>
    <x v="1"/>
    <x v="1"/>
    <n v="483431.46"/>
    <x v="0"/>
  </r>
  <r>
    <n v="844"/>
    <s v="Isha Mehta"/>
    <x v="1"/>
    <n v="26"/>
    <x v="0"/>
    <n v="364991.32"/>
    <x v="0"/>
    <n v="145673.53"/>
    <n v="578"/>
    <x v="3"/>
    <s v="American Express"/>
    <n v="413487.82"/>
    <n v="92508.33"/>
    <s v="Approved"/>
    <d v="2025-10-07T00:00:00"/>
    <x v="275"/>
    <n v="5"/>
    <x v="1"/>
    <x v="1"/>
    <n v="510664.85"/>
    <x v="0"/>
  </r>
  <r>
    <n v="845"/>
    <s v="Yash Singh"/>
    <x v="0"/>
    <n v="29"/>
    <x v="4"/>
    <n v="300042.39"/>
    <x v="0"/>
    <n v="267679.93"/>
    <n v="635"/>
    <x v="2"/>
    <s v="RuPay"/>
    <n v="43298.36"/>
    <n v="173707.34"/>
    <s v="Pending"/>
    <d v="2025-04-29T00:00:00"/>
    <x v="325"/>
    <n v="5"/>
    <x v="2"/>
    <x v="2"/>
    <n v="567722.32000000007"/>
    <x v="0"/>
  </r>
  <r>
    <n v="846"/>
    <s v="Rahul Joshi"/>
    <x v="0"/>
    <n v="70"/>
    <x v="4"/>
    <n v="41882.720000000001"/>
    <x v="1"/>
    <n v="177805.87"/>
    <n v="462"/>
    <x v="4"/>
    <s v="Discover"/>
    <n v="44838.65"/>
    <n v="182018.03"/>
    <s v="Pending"/>
    <d v="2025-06-02T00:00:00"/>
    <x v="312"/>
    <n v="3"/>
    <x v="1"/>
    <x v="1"/>
    <n v="219688.59"/>
    <x v="0"/>
  </r>
  <r>
    <n v="847"/>
    <s v="Kavya Patel"/>
    <x v="1"/>
    <n v="50"/>
    <x v="2"/>
    <n v="391030.06"/>
    <x v="0"/>
    <n v="189375.29"/>
    <n v="815"/>
    <x v="2"/>
    <s v="Discover"/>
    <n v="257557.62"/>
    <n v="205833.22"/>
    <s v="Pending"/>
    <d v="2025-12-22T00:00:00"/>
    <x v="140"/>
    <n v="4"/>
    <x v="2"/>
    <x v="2"/>
    <n v="580405.35"/>
    <x v="0"/>
  </r>
  <r>
    <n v="848"/>
    <s v="Yash Gupta"/>
    <x v="0"/>
    <n v="60"/>
    <x v="5"/>
    <n v="107536.07"/>
    <x v="2"/>
    <n v="247702.95"/>
    <n v="310"/>
    <x v="4"/>
    <s v="Discover"/>
    <n v="36868.589999999997"/>
    <n v="22522.37"/>
    <s v="Approved"/>
    <d v="2025-09-28T00:00:00"/>
    <x v="5"/>
    <n v="4"/>
    <x v="0"/>
    <x v="0"/>
    <n v="355239.02"/>
    <x v="0"/>
  </r>
  <r>
    <n v="849"/>
    <s v="Riya Singh"/>
    <x v="1"/>
    <n v="65"/>
    <x v="3"/>
    <n v="29567.68"/>
    <x v="1"/>
    <n v="129625.22"/>
    <n v="374"/>
    <x v="2"/>
    <s v="American Express"/>
    <n v="-64445.79"/>
    <n v="35975.29"/>
    <s v="Pending"/>
    <d v="2025-05-24T00:00:00"/>
    <x v="324"/>
    <n v="1"/>
    <x v="0"/>
    <x v="0"/>
    <n v="159192.9"/>
    <x v="0"/>
  </r>
  <r>
    <n v="850"/>
    <s v="Isha Patel"/>
    <x v="1"/>
    <n v="40"/>
    <x v="2"/>
    <n v="358050.53"/>
    <x v="0"/>
    <n v="192869.53"/>
    <n v="562"/>
    <x v="1"/>
    <s v="MasterCard"/>
    <n v="251222.15"/>
    <n v="207576.56"/>
    <s v="Pending"/>
    <d v="2025-06-26T00:00:00"/>
    <x v="83"/>
    <n v="1"/>
    <x v="1"/>
    <x v="1"/>
    <n v="550920.06000000006"/>
    <x v="0"/>
  </r>
  <r>
    <n v="851"/>
    <s v="Riya Shah"/>
    <x v="1"/>
    <n v="20"/>
    <x v="4"/>
    <n v="344883.3"/>
    <x v="0"/>
    <n v="296561.42"/>
    <n v="351"/>
    <x v="4"/>
    <s v="American Express"/>
    <n v="66133.91"/>
    <n v="204200.33"/>
    <s v="Rejected"/>
    <d v="2025-10-12T00:00:00"/>
    <x v="254"/>
    <n v="4"/>
    <x v="0"/>
    <x v="0"/>
    <n v="641444.72"/>
    <x v="0"/>
  </r>
  <r>
    <n v="852"/>
    <s v="Manav Singh"/>
    <x v="0"/>
    <n v="43"/>
    <x v="2"/>
    <n v="378037.59"/>
    <x v="0"/>
    <n v="11789.31"/>
    <n v="844"/>
    <x v="0"/>
    <s v="Discover"/>
    <n v="521528.29"/>
    <n v="22443.26"/>
    <s v="Rejected"/>
    <d v="2025-12-11T00:00:00"/>
    <x v="38"/>
    <n v="4"/>
    <x v="2"/>
    <x v="2"/>
    <n v="389826.9"/>
    <x v="0"/>
  </r>
  <r>
    <n v="853"/>
    <s v="Priya Trivedi"/>
    <x v="1"/>
    <n v="43"/>
    <x v="5"/>
    <n v="156438.87"/>
    <x v="2"/>
    <n v="262864.62"/>
    <n v="578"/>
    <x v="4"/>
    <s v="American Express"/>
    <n v="-36229.440000000002"/>
    <n v="107653.35"/>
    <s v="Rejected"/>
    <d v="2025-08-13T00:00:00"/>
    <x v="163"/>
    <n v="3"/>
    <x v="1"/>
    <x v="1"/>
    <n v="419303.49"/>
    <x v="0"/>
  </r>
  <r>
    <n v="854"/>
    <s v="Pooja Verma"/>
    <x v="1"/>
    <n v="19"/>
    <x v="2"/>
    <n v="426733.49"/>
    <x v="0"/>
    <n v="239510.19"/>
    <n v="826"/>
    <x v="0"/>
    <s v="Visa"/>
    <n v="315756.95"/>
    <n v="29664.48"/>
    <s v="Approved"/>
    <d v="2025-12-25T00:00:00"/>
    <x v="66"/>
    <n v="4"/>
    <x v="2"/>
    <x v="2"/>
    <n v="666243.67999999993"/>
    <x v="0"/>
  </r>
  <r>
    <n v="855"/>
    <s v="Jay Mehta"/>
    <x v="0"/>
    <n v="40"/>
    <x v="4"/>
    <n v="27291.68"/>
    <x v="1"/>
    <n v="298007.56"/>
    <n v="591"/>
    <x v="4"/>
    <s v="RuPay"/>
    <n v="-95189.96"/>
    <n v="88890.89"/>
    <s v="Rejected"/>
    <d v="2025-04-08T00:00:00"/>
    <x v="255"/>
    <n v="5"/>
    <x v="1"/>
    <x v="1"/>
    <n v="325299.24"/>
    <x v="0"/>
  </r>
  <r>
    <n v="856"/>
    <s v="Riya Sharma"/>
    <x v="1"/>
    <n v="22"/>
    <x v="4"/>
    <n v="414625.53"/>
    <x v="0"/>
    <n v="288931.64"/>
    <n v="465"/>
    <x v="1"/>
    <s v="RuPay"/>
    <n v="187805.59"/>
    <n v="152213.06"/>
    <s v="Approved"/>
    <d v="2025-07-09T00:00:00"/>
    <x v="146"/>
    <n v="5"/>
    <x v="1"/>
    <x v="1"/>
    <n v="703557.17"/>
    <x v="0"/>
  </r>
  <r>
    <n v="857"/>
    <s v="Yash Desai"/>
    <x v="0"/>
    <n v="29"/>
    <x v="2"/>
    <n v="337185.29"/>
    <x v="0"/>
    <n v="121521.68"/>
    <n v="538"/>
    <x v="1"/>
    <s v="MasterCard"/>
    <n v="232693.92"/>
    <n v="131597.01"/>
    <s v="Pending"/>
    <d v="2025-08-15T00:00:00"/>
    <x v="131"/>
    <n v="2"/>
    <x v="1"/>
    <x v="1"/>
    <n v="458706.97"/>
    <x v="0"/>
  </r>
  <r>
    <n v="858"/>
    <s v="Kavya Sharma"/>
    <x v="1"/>
    <n v="64"/>
    <x v="2"/>
    <n v="158746.29999999999"/>
    <x v="2"/>
    <n v="232279.25"/>
    <n v="357"/>
    <x v="2"/>
    <s v="MasterCard"/>
    <n v="35330.32"/>
    <n v="98603.32"/>
    <s v="Rejected"/>
    <d v="2025-07-25T00:00:00"/>
    <x v="54"/>
    <n v="2"/>
    <x v="0"/>
    <x v="0"/>
    <n v="391025.55"/>
    <x v="0"/>
  </r>
  <r>
    <n v="859"/>
    <s v="Vihaan Desai"/>
    <x v="0"/>
    <n v="58"/>
    <x v="4"/>
    <n v="70119.5"/>
    <x v="1"/>
    <n v="255042.35"/>
    <n v="461"/>
    <x v="0"/>
    <s v="Discover"/>
    <n v="-7244.23"/>
    <n v="17495.560000000001"/>
    <s v="Approved"/>
    <d v="2025-05-30T00:00:00"/>
    <x v="175"/>
    <n v="1"/>
    <x v="1"/>
    <x v="1"/>
    <n v="325161.84999999998"/>
    <x v="0"/>
  </r>
  <r>
    <n v="860"/>
    <s v="Arjun Singh"/>
    <x v="0"/>
    <n v="20"/>
    <x v="5"/>
    <n v="410328.74"/>
    <x v="0"/>
    <n v="91848"/>
    <n v="655"/>
    <x v="1"/>
    <s v="MasterCard"/>
    <n v="460398.74"/>
    <n v="97247.57"/>
    <s v="Approved"/>
    <d v="2025-04-21T00:00:00"/>
    <x v="208"/>
    <n v="4"/>
    <x v="2"/>
    <x v="2"/>
    <n v="502176.74"/>
    <x v="0"/>
  </r>
  <r>
    <n v="861"/>
    <s v="Sneha Patel"/>
    <x v="1"/>
    <n v="57"/>
    <x v="1"/>
    <n v="407707.72"/>
    <x v="0"/>
    <n v="157393.98000000001"/>
    <n v="865"/>
    <x v="4"/>
    <s v="MasterCard"/>
    <n v="353646.02"/>
    <n v="124683.76"/>
    <s v="Approved"/>
    <d v="2025-09-04T00:00:00"/>
    <x v="96"/>
    <n v="5"/>
    <x v="2"/>
    <x v="2"/>
    <n v="565101.69999999995"/>
    <x v="0"/>
  </r>
  <r>
    <n v="862"/>
    <s v="Kavya Patel"/>
    <x v="1"/>
    <n v="34"/>
    <x v="1"/>
    <n v="79083"/>
    <x v="1"/>
    <n v="139766.68"/>
    <n v="752"/>
    <x v="4"/>
    <s v="American Express"/>
    <n v="-35152.22"/>
    <n v="31132.19"/>
    <s v="Rejected"/>
    <d v="2025-08-24T00:00:00"/>
    <x v="255"/>
    <n v="4"/>
    <x v="2"/>
    <x v="2"/>
    <n v="218849.68"/>
    <x v="0"/>
  </r>
  <r>
    <n v="863"/>
    <s v="Isha Patel"/>
    <x v="1"/>
    <n v="30"/>
    <x v="4"/>
    <n v="114775.74"/>
    <x v="2"/>
    <n v="219423.2"/>
    <n v="739"/>
    <x v="3"/>
    <s v="American Express"/>
    <n v="-94937.85"/>
    <n v="109039.31"/>
    <s v="Approved"/>
    <d v="2025-09-25T00:00:00"/>
    <x v="2"/>
    <n v="2"/>
    <x v="2"/>
    <x v="2"/>
    <n v="334198.94"/>
    <x v="0"/>
  </r>
  <r>
    <n v="864"/>
    <s v="Karan Verma"/>
    <x v="0"/>
    <n v="27"/>
    <x v="3"/>
    <n v="290526.62"/>
    <x v="0"/>
    <n v="248721.64"/>
    <n v="391"/>
    <x v="3"/>
    <s v="RuPay"/>
    <n v="225484.12"/>
    <n v="123423.78"/>
    <s v="Approved"/>
    <d v="2025-08-06T00:00:00"/>
    <x v="93"/>
    <n v="2"/>
    <x v="0"/>
    <x v="0"/>
    <n v="539248.26"/>
    <x v="0"/>
  </r>
  <r>
    <n v="865"/>
    <s v="Anaya Desai"/>
    <x v="1"/>
    <n v="67"/>
    <x v="3"/>
    <n v="174706.94"/>
    <x v="2"/>
    <n v="12918.27"/>
    <n v="858"/>
    <x v="2"/>
    <s v="American Express"/>
    <n v="301467.98"/>
    <n v="232450.18"/>
    <s v="Rejected"/>
    <d v="2025-11-05T00:00:00"/>
    <x v="67"/>
    <n v="2"/>
    <x v="2"/>
    <x v="2"/>
    <n v="187625.21"/>
    <x v="0"/>
  </r>
  <r>
    <n v="866"/>
    <s v="Riya Verma"/>
    <x v="1"/>
    <n v="37"/>
    <x v="0"/>
    <n v="105933.7"/>
    <x v="2"/>
    <n v="121638.32"/>
    <n v="420"/>
    <x v="3"/>
    <s v="Visa"/>
    <n v="146370.15"/>
    <n v="21403.02"/>
    <s v="Rejected"/>
    <d v="2025-06-25T00:00:00"/>
    <x v="261"/>
    <n v="1"/>
    <x v="1"/>
    <x v="1"/>
    <n v="227572.02000000002"/>
    <x v="0"/>
  </r>
  <r>
    <n v="867"/>
    <s v="Aditya Verma"/>
    <x v="0"/>
    <n v="33"/>
    <x v="1"/>
    <n v="421357.24"/>
    <x v="0"/>
    <n v="218991.57"/>
    <n v="687"/>
    <x v="4"/>
    <s v="Visa"/>
    <n v="315553.24"/>
    <n v="137145.65"/>
    <s v="Pending"/>
    <d v="2025-08-19T00:00:00"/>
    <x v="132"/>
    <n v="2"/>
    <x v="2"/>
    <x v="2"/>
    <n v="640348.81000000006"/>
    <x v="0"/>
  </r>
  <r>
    <n v="868"/>
    <s v="Yash Gupta"/>
    <x v="0"/>
    <n v="28"/>
    <x v="2"/>
    <n v="324088.75"/>
    <x v="0"/>
    <n v="29255.45"/>
    <n v="759"/>
    <x v="2"/>
    <s v="Discover"/>
    <n v="419354.23"/>
    <n v="103125.39"/>
    <s v="Approved"/>
    <d v="2025-07-10T00:00:00"/>
    <x v="50"/>
    <n v="1"/>
    <x v="2"/>
    <x v="2"/>
    <n v="353344.2"/>
    <x v="0"/>
  </r>
  <r>
    <n v="869"/>
    <s v="Aarav Sharma"/>
    <x v="0"/>
    <n v="51"/>
    <x v="3"/>
    <n v="51868.28"/>
    <x v="1"/>
    <n v="275671.43"/>
    <n v="679"/>
    <x v="1"/>
    <s v="Discover"/>
    <n v="-106934.39999999999"/>
    <n v="131002.96"/>
    <s v="Approved"/>
    <d v="2025-01-30T00:00:00"/>
    <x v="260"/>
    <n v="3"/>
    <x v="2"/>
    <x v="2"/>
    <n v="327539.70999999996"/>
    <x v="0"/>
  </r>
  <r>
    <n v="870"/>
    <s v="Pooja Patel"/>
    <x v="1"/>
    <n v="39"/>
    <x v="0"/>
    <n v="227528.91"/>
    <x v="0"/>
    <n v="47040.74"/>
    <n v="647"/>
    <x v="4"/>
    <s v="Visa"/>
    <n v="379490.82"/>
    <n v="182306.54"/>
    <s v="Approved"/>
    <d v="2025-09-26T00:00:00"/>
    <x v="326"/>
    <n v="2"/>
    <x v="2"/>
    <x v="2"/>
    <n v="274569.65000000002"/>
    <x v="0"/>
  </r>
  <r>
    <n v="871"/>
    <s v="Pooja Patel"/>
    <x v="1"/>
    <n v="46"/>
    <x v="4"/>
    <n v="201056.19"/>
    <x v="0"/>
    <n v="59285.31"/>
    <n v="491"/>
    <x v="1"/>
    <s v="MasterCard"/>
    <n v="236479.57"/>
    <n v="156136.43"/>
    <s v="Rejected"/>
    <d v="2025-11-15T00:00:00"/>
    <x v="48"/>
    <n v="3"/>
    <x v="1"/>
    <x v="1"/>
    <n v="260341.5"/>
    <x v="0"/>
  </r>
  <r>
    <n v="872"/>
    <s v="Rahul Joshi"/>
    <x v="0"/>
    <n v="18"/>
    <x v="3"/>
    <n v="189129.96"/>
    <x v="2"/>
    <n v="150318.1"/>
    <n v="603"/>
    <x v="1"/>
    <s v="Discover"/>
    <n v="224400.69"/>
    <n v="87588.84"/>
    <s v="Approved"/>
    <d v="2025-04-11T00:00:00"/>
    <x v="327"/>
    <n v="1"/>
    <x v="2"/>
    <x v="2"/>
    <n v="339448.06"/>
    <x v="0"/>
  </r>
  <r>
    <n v="873"/>
    <s v="Sneha Desai"/>
    <x v="1"/>
    <n v="58"/>
    <x v="3"/>
    <n v="235572.97"/>
    <x v="0"/>
    <n v="71426.28"/>
    <n v="361"/>
    <x v="3"/>
    <s v="RuPay"/>
    <n v="169442.66"/>
    <n v="37899.379999999997"/>
    <s v="Pending"/>
    <d v="2025-12-08T00:00:00"/>
    <x v="328"/>
    <n v="2"/>
    <x v="0"/>
    <x v="0"/>
    <n v="306999.25"/>
    <x v="0"/>
  </r>
  <r>
    <n v="874"/>
    <s v="Isha Singh"/>
    <x v="1"/>
    <n v="37"/>
    <x v="5"/>
    <n v="266592.58"/>
    <x v="0"/>
    <n v="275259.08"/>
    <n v="677"/>
    <x v="0"/>
    <s v="MasterCard"/>
    <n v="71076.38"/>
    <n v="188811.47"/>
    <s v="Pending"/>
    <d v="2025-05-20T00:00:00"/>
    <x v="271"/>
    <n v="4"/>
    <x v="2"/>
    <x v="2"/>
    <n v="541851.66"/>
    <x v="0"/>
  </r>
  <r>
    <n v="875"/>
    <s v="Riya Shah"/>
    <x v="1"/>
    <n v="54"/>
    <x v="1"/>
    <n v="116138.95"/>
    <x v="2"/>
    <n v="46010.44"/>
    <n v="534"/>
    <x v="3"/>
    <s v="MasterCard"/>
    <n v="130610.89"/>
    <n v="127412.05"/>
    <s v="Pending"/>
    <d v="2025-08-25T00:00:00"/>
    <x v="44"/>
    <n v="2"/>
    <x v="1"/>
    <x v="1"/>
    <n v="162149.39000000001"/>
    <x v="0"/>
  </r>
  <r>
    <n v="876"/>
    <s v="Karan Mehta"/>
    <x v="0"/>
    <n v="69"/>
    <x v="1"/>
    <n v="447851.43"/>
    <x v="0"/>
    <n v="27000.880000000001"/>
    <n v="455"/>
    <x v="3"/>
    <s v="Visa"/>
    <n v="536533.54"/>
    <n v="162165.15"/>
    <s v="Pending"/>
    <d v="2025-11-07T00:00:00"/>
    <x v="329"/>
    <n v="4"/>
    <x v="1"/>
    <x v="1"/>
    <n v="474852.31"/>
    <x v="0"/>
  </r>
  <r>
    <n v="877"/>
    <s v="Kavya Joshi"/>
    <x v="1"/>
    <n v="21"/>
    <x v="3"/>
    <n v="99147.53"/>
    <x v="1"/>
    <n v="210905.49"/>
    <n v="426"/>
    <x v="2"/>
    <s v="RuPay"/>
    <n v="-100988.56"/>
    <n v="198310.03"/>
    <s v="Pending"/>
    <d v="2025-07-31T00:00:00"/>
    <x v="109"/>
    <n v="3"/>
    <x v="1"/>
    <x v="1"/>
    <n v="310053.02"/>
    <x v="0"/>
  </r>
  <r>
    <n v="878"/>
    <s v="Pooja Verma"/>
    <x v="1"/>
    <n v="37"/>
    <x v="4"/>
    <n v="257749.16"/>
    <x v="0"/>
    <n v="205827.49"/>
    <n v="368"/>
    <x v="1"/>
    <s v="Visa"/>
    <n v="134465.19"/>
    <n v="179304.23"/>
    <s v="Approved"/>
    <d v="2025-12-26T00:00:00"/>
    <x v="62"/>
    <n v="5"/>
    <x v="0"/>
    <x v="0"/>
    <n v="463576.65"/>
    <x v="0"/>
  </r>
  <r>
    <n v="879"/>
    <s v="Arjun Trivedi"/>
    <x v="0"/>
    <n v="57"/>
    <x v="5"/>
    <n v="452352.11"/>
    <x v="0"/>
    <n v="219817.17"/>
    <n v="573"/>
    <x v="1"/>
    <s v="American Express"/>
    <n v="348714.65"/>
    <n v="99428.82"/>
    <s v="Approved"/>
    <d v="2025-01-28T00:00:00"/>
    <x v="95"/>
    <n v="4"/>
    <x v="1"/>
    <x v="1"/>
    <n v="672169.28"/>
    <x v="0"/>
  </r>
  <r>
    <n v="880"/>
    <s v="Priya Patel"/>
    <x v="1"/>
    <n v="67"/>
    <x v="0"/>
    <n v="3806.25"/>
    <x v="1"/>
    <n v="14897.6"/>
    <n v="728"/>
    <x v="3"/>
    <s v="Discover"/>
    <n v="26599.9"/>
    <n v="134615.59"/>
    <s v="Pending"/>
    <d v="2025-10-30T00:00:00"/>
    <x v="172"/>
    <n v="2"/>
    <x v="2"/>
    <x v="2"/>
    <n v="18703.849999999999"/>
    <x v="0"/>
  </r>
  <r>
    <n v="881"/>
    <s v="Diya Verma"/>
    <x v="1"/>
    <n v="69"/>
    <x v="1"/>
    <n v="401253.04"/>
    <x v="0"/>
    <n v="52527.46"/>
    <n v="597"/>
    <x v="0"/>
    <s v="American Express"/>
    <n v="383837.57"/>
    <n v="249730.53"/>
    <s v="Pending"/>
    <d v="2025-12-09T00:00:00"/>
    <x v="42"/>
    <n v="4"/>
    <x v="1"/>
    <x v="1"/>
    <n v="453780.5"/>
    <x v="0"/>
  </r>
  <r>
    <n v="882"/>
    <s v="Rohit Singh"/>
    <x v="0"/>
    <n v="37"/>
    <x v="2"/>
    <n v="168772.89"/>
    <x v="2"/>
    <n v="212920.31"/>
    <n v="839"/>
    <x v="2"/>
    <s v="Discover"/>
    <n v="-19401.169999999998"/>
    <n v="152295.65"/>
    <s v="Pending"/>
    <d v="2025-08-13T00:00:00"/>
    <x v="130"/>
    <n v="1"/>
    <x v="2"/>
    <x v="2"/>
    <n v="381693.2"/>
    <x v="0"/>
  </r>
  <r>
    <n v="883"/>
    <s v="Meera Mehta"/>
    <x v="1"/>
    <n v="29"/>
    <x v="2"/>
    <n v="349341.25"/>
    <x v="0"/>
    <n v="233895.62"/>
    <n v="798"/>
    <x v="0"/>
    <s v="RuPay"/>
    <n v="307025.53999999998"/>
    <n v="163102.68"/>
    <s v="Rejected"/>
    <d v="2025-08-22T00:00:00"/>
    <x v="330"/>
    <n v="2"/>
    <x v="2"/>
    <x v="2"/>
    <n v="583236.87"/>
    <x v="0"/>
  </r>
  <r>
    <n v="884"/>
    <s v="Rahul Sharma"/>
    <x v="0"/>
    <n v="33"/>
    <x v="4"/>
    <n v="145024.62"/>
    <x v="2"/>
    <n v="8711.19"/>
    <n v="677"/>
    <x v="1"/>
    <s v="RuPay"/>
    <n v="316342.12"/>
    <n v="63147.42"/>
    <s v="Rejected"/>
    <d v="2025-11-21T00:00:00"/>
    <x v="37"/>
    <n v="2"/>
    <x v="2"/>
    <x v="2"/>
    <n v="153735.81"/>
    <x v="0"/>
  </r>
  <r>
    <n v="885"/>
    <s v="Aarav Verma"/>
    <x v="0"/>
    <n v="60"/>
    <x v="2"/>
    <n v="315254.84999999998"/>
    <x v="0"/>
    <n v="205241.22"/>
    <n v="890"/>
    <x v="2"/>
    <s v="Visa"/>
    <n v="202861.07"/>
    <n v="66424.45"/>
    <s v="Pending"/>
    <d v="2025-08-17T00:00:00"/>
    <x v="164"/>
    <n v="2"/>
    <x v="2"/>
    <x v="2"/>
    <n v="520496.06999999995"/>
    <x v="0"/>
  </r>
  <r>
    <n v="886"/>
    <s v="Aditya Verma"/>
    <x v="0"/>
    <n v="32"/>
    <x v="2"/>
    <n v="149196.95000000001"/>
    <x v="2"/>
    <n v="42086.87"/>
    <n v="780"/>
    <x v="3"/>
    <s v="Discover"/>
    <n v="237101.75"/>
    <n v="233981.01"/>
    <s v="Approved"/>
    <d v="2025-02-22T00:00:00"/>
    <x v="241"/>
    <n v="5"/>
    <x v="2"/>
    <x v="2"/>
    <n v="191283.82"/>
    <x v="0"/>
  </r>
  <r>
    <n v="887"/>
    <s v="Aditya Singh"/>
    <x v="0"/>
    <n v="23"/>
    <x v="3"/>
    <n v="364950.96"/>
    <x v="0"/>
    <n v="183509.83"/>
    <n v="863"/>
    <x v="0"/>
    <s v="Visa"/>
    <n v="203608.95999999999"/>
    <n v="56007.91"/>
    <s v="Pending"/>
    <d v="2025-09-23T00:00:00"/>
    <x v="197"/>
    <n v="1"/>
    <x v="2"/>
    <x v="2"/>
    <n v="548460.79"/>
    <x v="0"/>
  </r>
  <r>
    <n v="888"/>
    <s v="Sneha Mehta"/>
    <x v="1"/>
    <n v="39"/>
    <x v="2"/>
    <n v="388248.31"/>
    <x v="0"/>
    <n v="182327.08"/>
    <n v="604"/>
    <x v="0"/>
    <s v="RuPay"/>
    <n v="346458.74"/>
    <n v="191125.03"/>
    <s v="Approved"/>
    <d v="2025-03-25T00:00:00"/>
    <x v="124"/>
    <n v="3"/>
    <x v="2"/>
    <x v="2"/>
    <n v="570575.39"/>
    <x v="0"/>
  </r>
  <r>
    <n v="889"/>
    <s v="Aarav Singh"/>
    <x v="0"/>
    <n v="45"/>
    <x v="4"/>
    <n v="87174.58"/>
    <x v="1"/>
    <n v="299172.37"/>
    <n v="408"/>
    <x v="0"/>
    <s v="American Express"/>
    <n v="-147057.56"/>
    <n v="84004.28"/>
    <s v="Pending"/>
    <d v="2025-05-24T00:00:00"/>
    <x v="200"/>
    <n v="2"/>
    <x v="1"/>
    <x v="1"/>
    <n v="386346.95"/>
    <x v="0"/>
  </r>
  <r>
    <n v="890"/>
    <s v="Arjun Gupta"/>
    <x v="0"/>
    <n v="55"/>
    <x v="3"/>
    <n v="251156.31"/>
    <x v="0"/>
    <n v="192076.69"/>
    <n v="571"/>
    <x v="0"/>
    <s v="Visa"/>
    <n v="190817.17"/>
    <n v="211278.81"/>
    <s v="Rejected"/>
    <d v="2025-11-15T00:00:00"/>
    <x v="248"/>
    <n v="3"/>
    <x v="1"/>
    <x v="1"/>
    <n v="443233"/>
    <x v="0"/>
  </r>
  <r>
    <n v="891"/>
    <s v="Rahul Verma"/>
    <x v="0"/>
    <n v="70"/>
    <x v="5"/>
    <n v="296665.63"/>
    <x v="0"/>
    <n v="238413.09"/>
    <n v="836"/>
    <x v="1"/>
    <s v="MasterCard"/>
    <n v="177231.41"/>
    <n v="194207.78"/>
    <s v="Pending"/>
    <d v="2025-09-12T00:00:00"/>
    <x v="325"/>
    <n v="5"/>
    <x v="2"/>
    <x v="2"/>
    <n v="535078.72"/>
    <x v="0"/>
  </r>
  <r>
    <n v="892"/>
    <s v="Jay Joshi"/>
    <x v="0"/>
    <n v="42"/>
    <x v="1"/>
    <n v="200328.87"/>
    <x v="0"/>
    <n v="154827.13"/>
    <n v="736"/>
    <x v="0"/>
    <s v="RuPay"/>
    <n v="55263.74"/>
    <n v="191920.98"/>
    <s v="Approved"/>
    <d v="2025-07-17T00:00:00"/>
    <x v="292"/>
    <n v="2"/>
    <x v="2"/>
    <x v="2"/>
    <n v="355156"/>
    <x v="0"/>
  </r>
  <r>
    <n v="893"/>
    <s v="Riya Mehta"/>
    <x v="1"/>
    <n v="54"/>
    <x v="5"/>
    <n v="358667.03"/>
    <x v="0"/>
    <n v="119085.61"/>
    <n v="626"/>
    <x v="3"/>
    <s v="RuPay"/>
    <n v="405893.53"/>
    <n v="35983.769999999997"/>
    <s v="Rejected"/>
    <d v="2025-03-09T00:00:00"/>
    <x v="184"/>
    <n v="5"/>
    <x v="2"/>
    <x v="2"/>
    <n v="477752.64"/>
    <x v="0"/>
  </r>
  <r>
    <n v="894"/>
    <s v="Manav Patel"/>
    <x v="0"/>
    <n v="40"/>
    <x v="3"/>
    <n v="170029.53"/>
    <x v="2"/>
    <n v="66347.39"/>
    <n v="355"/>
    <x v="3"/>
    <s v="Visa"/>
    <n v="188944.49"/>
    <n v="77736.53"/>
    <s v="Pending"/>
    <d v="2025-08-02T00:00:00"/>
    <x v="311"/>
    <n v="1"/>
    <x v="0"/>
    <x v="0"/>
    <n v="236376.91999999998"/>
    <x v="0"/>
  </r>
  <r>
    <n v="895"/>
    <s v="Isha Mehta"/>
    <x v="1"/>
    <n v="31"/>
    <x v="4"/>
    <n v="258429.21"/>
    <x v="0"/>
    <n v="172349.91"/>
    <n v="326"/>
    <x v="0"/>
    <s v="RuPay"/>
    <n v="94590.99"/>
    <n v="214654.78"/>
    <s v="Rejected"/>
    <d v="2025-02-02T00:00:00"/>
    <x v="16"/>
    <n v="5"/>
    <x v="0"/>
    <x v="0"/>
    <n v="430779.12"/>
    <x v="0"/>
  </r>
  <r>
    <n v="896"/>
    <s v="Diya Desai"/>
    <x v="1"/>
    <n v="19"/>
    <x v="1"/>
    <n v="289813.46000000002"/>
    <x v="0"/>
    <n v="17776.830000000002"/>
    <n v="510"/>
    <x v="2"/>
    <s v="MasterCard"/>
    <n v="431839.73"/>
    <n v="85326.1"/>
    <s v="Rejected"/>
    <d v="2025-03-08T00:00:00"/>
    <x v="70"/>
    <n v="1"/>
    <x v="1"/>
    <x v="1"/>
    <n v="307590.29000000004"/>
    <x v="0"/>
  </r>
  <r>
    <n v="897"/>
    <s v="Aarav Joshi"/>
    <x v="0"/>
    <n v="50"/>
    <x v="0"/>
    <n v="494475.25"/>
    <x v="0"/>
    <n v="158486.64000000001"/>
    <n v="746"/>
    <x v="1"/>
    <s v="RuPay"/>
    <n v="523478.98"/>
    <n v="46200.13"/>
    <s v="Pending"/>
    <d v="2025-08-24T00:00:00"/>
    <x v="250"/>
    <n v="1"/>
    <x v="2"/>
    <x v="2"/>
    <n v="652961.89"/>
    <x v="0"/>
  </r>
  <r>
    <n v="898"/>
    <s v="Diya Patel"/>
    <x v="1"/>
    <n v="28"/>
    <x v="5"/>
    <n v="438127.19"/>
    <x v="0"/>
    <n v="48469.61"/>
    <n v="656"/>
    <x v="0"/>
    <s v="Discover"/>
    <n v="574396.15"/>
    <n v="32756.7"/>
    <s v="Approved"/>
    <d v="2025-09-08T00:00:00"/>
    <x v="155"/>
    <n v="5"/>
    <x v="2"/>
    <x v="2"/>
    <n v="486596.8"/>
    <x v="0"/>
  </r>
  <r>
    <n v="899"/>
    <s v="Aditya Verma"/>
    <x v="0"/>
    <n v="23"/>
    <x v="0"/>
    <n v="188441.55"/>
    <x v="2"/>
    <n v="125635.81"/>
    <n v="773"/>
    <x v="2"/>
    <s v="Discover"/>
    <n v="97481.27"/>
    <n v="156843.5"/>
    <s v="Pending"/>
    <d v="2025-06-14T00:00:00"/>
    <x v="331"/>
    <n v="4"/>
    <x v="2"/>
    <x v="2"/>
    <n v="314077.36"/>
    <x v="0"/>
  </r>
  <r>
    <n v="900"/>
    <s v="Rohit Desai"/>
    <x v="0"/>
    <n v="40"/>
    <x v="4"/>
    <n v="162759.81"/>
    <x v="2"/>
    <n v="285946.33"/>
    <n v="506"/>
    <x v="3"/>
    <s v="RuPay"/>
    <n v="-96881.84"/>
    <n v="165338.75"/>
    <s v="Approved"/>
    <d v="2025-06-26T00:00:00"/>
    <x v="275"/>
    <n v="1"/>
    <x v="1"/>
    <x v="1"/>
    <n v="448706.14"/>
    <x v="0"/>
  </r>
  <r>
    <n v="901"/>
    <s v="Yash Patel"/>
    <x v="0"/>
    <n v="53"/>
    <x v="1"/>
    <n v="168363.3"/>
    <x v="2"/>
    <n v="198176.98"/>
    <n v="429"/>
    <x v="1"/>
    <s v="Discover"/>
    <n v="134639.43"/>
    <n v="153966.98000000001"/>
    <s v="Approved"/>
    <d v="2025-09-23T00:00:00"/>
    <x v="264"/>
    <n v="3"/>
    <x v="1"/>
    <x v="1"/>
    <n v="366540.28"/>
    <x v="0"/>
  </r>
  <r>
    <n v="902"/>
    <s v="Rohit Singh"/>
    <x v="0"/>
    <n v="26"/>
    <x v="1"/>
    <n v="282921.3"/>
    <x v="0"/>
    <n v="46184.42"/>
    <n v="325"/>
    <x v="4"/>
    <s v="Visa"/>
    <n v="278012.5"/>
    <n v="115219.02"/>
    <s v="Pending"/>
    <d v="2025-08-17T00:00:00"/>
    <x v="114"/>
    <n v="4"/>
    <x v="0"/>
    <x v="0"/>
    <n v="329105.71999999997"/>
    <x v="0"/>
  </r>
  <r>
    <n v="903"/>
    <s v="Jay Verma"/>
    <x v="0"/>
    <n v="38"/>
    <x v="5"/>
    <n v="175143.77"/>
    <x v="2"/>
    <n v="99069.49"/>
    <n v="468"/>
    <x v="4"/>
    <s v="Visa"/>
    <n v="238724.82"/>
    <n v="93858.91"/>
    <s v="Rejected"/>
    <d v="2025-01-28T00:00:00"/>
    <x v="55"/>
    <n v="1"/>
    <x v="1"/>
    <x v="1"/>
    <n v="274213.26"/>
    <x v="0"/>
  </r>
  <r>
    <n v="904"/>
    <s v="Arjun Shah"/>
    <x v="0"/>
    <n v="37"/>
    <x v="3"/>
    <n v="319189.12"/>
    <x v="0"/>
    <n v="211847.48"/>
    <n v="614"/>
    <x v="2"/>
    <s v="RuPay"/>
    <n v="300835.86"/>
    <n v="34583.81"/>
    <s v="Rejected"/>
    <d v="2025-08-21T00:00:00"/>
    <x v="45"/>
    <n v="5"/>
    <x v="2"/>
    <x v="2"/>
    <n v="531036.6"/>
    <x v="0"/>
  </r>
  <r>
    <n v="905"/>
    <s v="Kavya Gupta"/>
    <x v="1"/>
    <n v="18"/>
    <x v="1"/>
    <n v="80434.19"/>
    <x v="1"/>
    <n v="287661.28000000003"/>
    <n v="763"/>
    <x v="1"/>
    <s v="American Express"/>
    <n v="-117645"/>
    <n v="210193.18"/>
    <s v="Rejected"/>
    <d v="2025-05-24T00:00:00"/>
    <x v="291"/>
    <n v="1"/>
    <x v="2"/>
    <x v="2"/>
    <n v="368095.47000000003"/>
    <x v="0"/>
  </r>
  <r>
    <n v="906"/>
    <s v="Priya Trivedi"/>
    <x v="1"/>
    <n v="18"/>
    <x v="1"/>
    <n v="496680.48"/>
    <x v="0"/>
    <n v="115986.72"/>
    <n v="323"/>
    <x v="0"/>
    <s v="Visa"/>
    <n v="495204.62"/>
    <n v="34207.85"/>
    <s v="Rejected"/>
    <d v="2025-11-16T00:00:00"/>
    <x v="47"/>
    <n v="1"/>
    <x v="0"/>
    <x v="0"/>
    <n v="612667.19999999995"/>
    <x v="0"/>
  </r>
  <r>
    <n v="907"/>
    <s v="Kavya Joshi"/>
    <x v="1"/>
    <n v="40"/>
    <x v="4"/>
    <n v="24112.48"/>
    <x v="1"/>
    <n v="263034.03000000003"/>
    <n v="522"/>
    <x v="0"/>
    <s v="Discover"/>
    <n v="-70511.98"/>
    <n v="151742.16"/>
    <s v="Rejected"/>
    <d v="2025-04-28T00:00:00"/>
    <x v="231"/>
    <n v="5"/>
    <x v="1"/>
    <x v="1"/>
    <n v="287146.51"/>
    <x v="0"/>
  </r>
  <r>
    <n v="908"/>
    <s v="Yash Mehta"/>
    <x v="0"/>
    <n v="47"/>
    <x v="2"/>
    <n v="118129.91"/>
    <x v="2"/>
    <n v="61008.83"/>
    <n v="750"/>
    <x v="2"/>
    <s v="Visa"/>
    <n v="150417.57"/>
    <n v="92827.88"/>
    <s v="Rejected"/>
    <d v="2025-11-01T00:00:00"/>
    <x v="84"/>
    <n v="3"/>
    <x v="2"/>
    <x v="2"/>
    <n v="179138.74"/>
    <x v="0"/>
  </r>
  <r>
    <n v="909"/>
    <s v="Anaya Sharma"/>
    <x v="1"/>
    <n v="34"/>
    <x v="2"/>
    <n v="96279.81"/>
    <x v="1"/>
    <n v="230376.71"/>
    <n v="363"/>
    <x v="0"/>
    <s v="RuPay"/>
    <n v="6312.92"/>
    <n v="61977.65"/>
    <s v="Approved"/>
    <d v="2025-09-18T00:00:00"/>
    <x v="278"/>
    <n v="1"/>
    <x v="0"/>
    <x v="0"/>
    <n v="326656.52"/>
    <x v="0"/>
  </r>
  <r>
    <n v="910"/>
    <s v="Manav Gupta"/>
    <x v="0"/>
    <n v="65"/>
    <x v="4"/>
    <n v="161991.82999999999"/>
    <x v="2"/>
    <n v="293798.67"/>
    <n v="644"/>
    <x v="0"/>
    <s v="MasterCard"/>
    <n v="-5358.84"/>
    <n v="232645.38"/>
    <s v="Approved"/>
    <d v="2025-04-04T00:00:00"/>
    <x v="61"/>
    <n v="5"/>
    <x v="2"/>
    <x v="2"/>
    <n v="455790.5"/>
    <x v="0"/>
  </r>
  <r>
    <n v="911"/>
    <s v="Kavya Sharma"/>
    <x v="1"/>
    <n v="31"/>
    <x v="2"/>
    <n v="484508.1"/>
    <x v="0"/>
    <n v="177073.92000000001"/>
    <n v="539"/>
    <x v="4"/>
    <s v="Visa"/>
    <n v="338427.85"/>
    <n v="42264.66"/>
    <s v="Pending"/>
    <d v="2025-12-29T00:00:00"/>
    <x v="119"/>
    <n v="1"/>
    <x v="1"/>
    <x v="1"/>
    <n v="661582.02"/>
    <x v="0"/>
  </r>
  <r>
    <n v="912"/>
    <s v="Anaya Patel"/>
    <x v="1"/>
    <n v="29"/>
    <x v="0"/>
    <n v="6049.49"/>
    <x v="1"/>
    <n v="131833.70000000001"/>
    <n v="659"/>
    <x v="1"/>
    <s v="RuPay"/>
    <n v="30345.74"/>
    <n v="42413.35"/>
    <s v="Approved"/>
    <d v="2025-01-16T00:00:00"/>
    <x v="96"/>
    <n v="2"/>
    <x v="2"/>
    <x v="2"/>
    <n v="137883.19"/>
    <x v="0"/>
  </r>
  <r>
    <n v="913"/>
    <s v="Jay Gupta"/>
    <x v="0"/>
    <n v="57"/>
    <x v="3"/>
    <n v="157464.98000000001"/>
    <x v="2"/>
    <n v="229173.94"/>
    <n v="893"/>
    <x v="4"/>
    <s v="RuPay"/>
    <n v="62075.41"/>
    <n v="225017.78"/>
    <s v="Rejected"/>
    <d v="2025-05-17T00:00:00"/>
    <x v="212"/>
    <n v="5"/>
    <x v="2"/>
    <x v="2"/>
    <n v="386638.92000000004"/>
    <x v="0"/>
  </r>
  <r>
    <n v="914"/>
    <s v="Priya Shah"/>
    <x v="1"/>
    <n v="63"/>
    <x v="0"/>
    <n v="157136.71"/>
    <x v="2"/>
    <n v="148240.15"/>
    <n v="857"/>
    <x v="4"/>
    <s v="Visa"/>
    <n v="107215.67"/>
    <n v="123681.42"/>
    <s v="Approved"/>
    <d v="2025-02-15T00:00:00"/>
    <x v="81"/>
    <n v="3"/>
    <x v="2"/>
    <x v="2"/>
    <n v="305376.86"/>
    <x v="0"/>
  </r>
  <r>
    <n v="915"/>
    <s v="Rohit Singh"/>
    <x v="0"/>
    <n v="52"/>
    <x v="1"/>
    <n v="484337.84"/>
    <x v="0"/>
    <n v="40915.550000000003"/>
    <n v="866"/>
    <x v="0"/>
    <s v="American Express"/>
    <n v="611396.44999999995"/>
    <n v="151786.79"/>
    <s v="Pending"/>
    <d v="2025-05-01T00:00:00"/>
    <x v="41"/>
    <n v="5"/>
    <x v="2"/>
    <x v="2"/>
    <n v="525253.39"/>
    <x v="0"/>
  </r>
  <r>
    <n v="916"/>
    <s v="Rohit Singh"/>
    <x v="0"/>
    <n v="37"/>
    <x v="2"/>
    <n v="373997.89"/>
    <x v="0"/>
    <n v="31389.31"/>
    <n v="316"/>
    <x v="2"/>
    <s v="American Express"/>
    <n v="390696.24"/>
    <n v="72940.7"/>
    <s v="Rejected"/>
    <d v="2025-04-03T00:00:00"/>
    <x v="324"/>
    <n v="4"/>
    <x v="0"/>
    <x v="0"/>
    <n v="405387.2"/>
    <x v="0"/>
  </r>
  <r>
    <n v="917"/>
    <s v="Arjun Desai"/>
    <x v="0"/>
    <n v="40"/>
    <x v="4"/>
    <n v="32837.46"/>
    <x v="1"/>
    <n v="44852.73"/>
    <n v="833"/>
    <x v="2"/>
    <s v="Discover"/>
    <n v="138211.81"/>
    <n v="180061.78"/>
    <s v="Approved"/>
    <d v="2025-05-04T00:00:00"/>
    <x v="137"/>
    <n v="2"/>
    <x v="2"/>
    <x v="2"/>
    <n v="77690.19"/>
    <x v="0"/>
  </r>
  <r>
    <n v="918"/>
    <s v="Rahul Desai"/>
    <x v="0"/>
    <n v="70"/>
    <x v="0"/>
    <n v="453651.35"/>
    <x v="0"/>
    <n v="205392.92"/>
    <n v="449"/>
    <x v="2"/>
    <s v="American Express"/>
    <n v="312480.68"/>
    <n v="151305.54999999999"/>
    <s v="Rejected"/>
    <d v="2025-08-30T00:00:00"/>
    <x v="39"/>
    <n v="1"/>
    <x v="1"/>
    <x v="1"/>
    <n v="659044.27"/>
    <x v="0"/>
  </r>
  <r>
    <n v="919"/>
    <s v="Yash Mehta"/>
    <x v="0"/>
    <n v="24"/>
    <x v="3"/>
    <n v="302942.98"/>
    <x v="0"/>
    <n v="158307.48000000001"/>
    <n v="575"/>
    <x v="0"/>
    <s v="RuPay"/>
    <n v="179057.39"/>
    <n v="123858.07"/>
    <s v="Pending"/>
    <d v="2025-10-07T00:00:00"/>
    <x v="256"/>
    <n v="4"/>
    <x v="1"/>
    <x v="1"/>
    <n v="461250.45999999996"/>
    <x v="0"/>
  </r>
  <r>
    <n v="920"/>
    <s v="Aditya Joshi"/>
    <x v="0"/>
    <n v="46"/>
    <x v="0"/>
    <n v="196458.03"/>
    <x v="2"/>
    <n v="109417.60000000001"/>
    <n v="889"/>
    <x v="1"/>
    <s v="RuPay"/>
    <n v="106110.44"/>
    <n v="220366.27"/>
    <s v="Approved"/>
    <d v="2025-12-14T00:00:00"/>
    <x v="210"/>
    <n v="4"/>
    <x v="2"/>
    <x v="2"/>
    <n v="305875.63"/>
    <x v="0"/>
  </r>
  <r>
    <n v="921"/>
    <s v="Nisha Singh"/>
    <x v="1"/>
    <n v="52"/>
    <x v="1"/>
    <n v="226315.36"/>
    <x v="0"/>
    <n v="241827.83"/>
    <n v="538"/>
    <x v="1"/>
    <s v="MasterCard"/>
    <n v="30271.74"/>
    <n v="48598.31"/>
    <s v="Rejected"/>
    <d v="2025-06-12T00:00:00"/>
    <x v="244"/>
    <n v="5"/>
    <x v="1"/>
    <x v="1"/>
    <n v="468143.18999999994"/>
    <x v="0"/>
  </r>
  <r>
    <n v="922"/>
    <s v="Yash Shah"/>
    <x v="0"/>
    <n v="49"/>
    <x v="0"/>
    <n v="276949.62"/>
    <x v="0"/>
    <n v="99435.86"/>
    <n v="702"/>
    <x v="2"/>
    <s v="RuPay"/>
    <n v="326118.34999999998"/>
    <n v="247442.11"/>
    <s v="Rejected"/>
    <d v="2025-06-06T00:00:00"/>
    <x v="77"/>
    <n v="5"/>
    <x v="2"/>
    <x v="2"/>
    <n v="376385.48"/>
    <x v="0"/>
  </r>
  <r>
    <n v="923"/>
    <s v="Jay Shah"/>
    <x v="0"/>
    <n v="26"/>
    <x v="0"/>
    <n v="97604.160000000003"/>
    <x v="1"/>
    <n v="292719.17"/>
    <n v="442"/>
    <x v="3"/>
    <s v="Visa"/>
    <n v="-92860.59"/>
    <n v="144248.04"/>
    <s v="Approved"/>
    <d v="2025-07-25T00:00:00"/>
    <x v="109"/>
    <n v="4"/>
    <x v="1"/>
    <x v="1"/>
    <n v="390323.32999999996"/>
    <x v="0"/>
  </r>
  <r>
    <n v="924"/>
    <s v="Jay Singh"/>
    <x v="0"/>
    <n v="33"/>
    <x v="3"/>
    <n v="239368.89"/>
    <x v="0"/>
    <n v="241795.87"/>
    <n v="760"/>
    <x v="0"/>
    <s v="MasterCard"/>
    <n v="149154.32999999999"/>
    <n v="210961.99"/>
    <s v="Pending"/>
    <d v="2025-04-15T00:00:00"/>
    <x v="232"/>
    <n v="3"/>
    <x v="2"/>
    <x v="2"/>
    <n v="481164.76"/>
    <x v="0"/>
  </r>
  <r>
    <n v="925"/>
    <s v="Arjun Singh"/>
    <x v="0"/>
    <n v="64"/>
    <x v="5"/>
    <n v="226845.51"/>
    <x v="0"/>
    <n v="153467.18"/>
    <n v="801"/>
    <x v="1"/>
    <s v="RuPay"/>
    <n v="233101.46"/>
    <n v="238491.37"/>
    <s v="Approved"/>
    <d v="2025-01-09T00:00:00"/>
    <x v="280"/>
    <n v="5"/>
    <x v="2"/>
    <x v="2"/>
    <n v="380312.69"/>
    <x v="0"/>
  </r>
  <r>
    <n v="926"/>
    <s v="Meera Gupta"/>
    <x v="1"/>
    <n v="42"/>
    <x v="3"/>
    <n v="342127.27"/>
    <x v="0"/>
    <n v="135726.29999999999"/>
    <n v="397"/>
    <x v="2"/>
    <s v="American Express"/>
    <n v="355127.59"/>
    <n v="76998.13"/>
    <s v="Pending"/>
    <d v="2025-04-06T00:00:00"/>
    <x v="24"/>
    <n v="3"/>
    <x v="0"/>
    <x v="0"/>
    <n v="477853.57"/>
    <x v="0"/>
  </r>
  <r>
    <n v="927"/>
    <s v="Isha Sharma"/>
    <x v="1"/>
    <n v="48"/>
    <x v="1"/>
    <n v="114689.81"/>
    <x v="2"/>
    <n v="42644.160000000003"/>
    <n v="479"/>
    <x v="3"/>
    <s v="RuPay"/>
    <n v="244182.03"/>
    <n v="156068.73000000001"/>
    <s v="Pending"/>
    <d v="2025-11-28T00:00:00"/>
    <x v="316"/>
    <n v="3"/>
    <x v="1"/>
    <x v="1"/>
    <n v="157333.97"/>
    <x v="0"/>
  </r>
  <r>
    <n v="928"/>
    <s v="Riya Trivedi"/>
    <x v="1"/>
    <n v="59"/>
    <x v="5"/>
    <n v="350057.73"/>
    <x v="0"/>
    <n v="2469.09"/>
    <n v="812"/>
    <x v="2"/>
    <s v="RuPay"/>
    <n v="528262.16"/>
    <n v="180770.93"/>
    <s v="Rejected"/>
    <d v="2025-02-13T00:00:00"/>
    <x v="205"/>
    <n v="5"/>
    <x v="2"/>
    <x v="2"/>
    <n v="352526.82"/>
    <x v="0"/>
  </r>
  <r>
    <n v="929"/>
    <s v="Priya Sharma"/>
    <x v="1"/>
    <n v="55"/>
    <x v="3"/>
    <n v="75319.88"/>
    <x v="1"/>
    <n v="49706.9"/>
    <n v="414"/>
    <x v="3"/>
    <s v="Discover"/>
    <n v="86749.05"/>
    <n v="146210.04"/>
    <s v="Approved"/>
    <d v="2025-06-01T00:00:00"/>
    <x v="176"/>
    <n v="3"/>
    <x v="1"/>
    <x v="1"/>
    <n v="125026.78"/>
    <x v="0"/>
  </r>
  <r>
    <n v="930"/>
    <s v="Kavya Joshi"/>
    <x v="1"/>
    <n v="65"/>
    <x v="5"/>
    <n v="395078.75"/>
    <x v="0"/>
    <n v="39355.89"/>
    <n v="422"/>
    <x v="4"/>
    <s v="American Express"/>
    <n v="526371.05000000005"/>
    <n v="237201.43"/>
    <s v="Pending"/>
    <d v="2025-03-31T00:00:00"/>
    <x v="294"/>
    <n v="1"/>
    <x v="1"/>
    <x v="1"/>
    <n v="434434.64"/>
    <x v="0"/>
  </r>
  <r>
    <n v="931"/>
    <s v="Rohit Joshi"/>
    <x v="0"/>
    <n v="32"/>
    <x v="5"/>
    <n v="373738.89"/>
    <x v="0"/>
    <n v="184392.36"/>
    <n v="719"/>
    <x v="4"/>
    <s v="RuPay"/>
    <n v="330361.69"/>
    <n v="78131.649999999994"/>
    <s v="Pending"/>
    <d v="2025-12-11T00:00:00"/>
    <x v="19"/>
    <n v="5"/>
    <x v="2"/>
    <x v="2"/>
    <n v="558131.25"/>
    <x v="0"/>
  </r>
  <r>
    <n v="932"/>
    <s v="Isha Sharma"/>
    <x v="1"/>
    <n v="42"/>
    <x v="2"/>
    <n v="229535.35999999999"/>
    <x v="0"/>
    <n v="75010.8"/>
    <n v="634"/>
    <x v="1"/>
    <s v="American Express"/>
    <n v="219363.62"/>
    <n v="131542.53"/>
    <s v="Rejected"/>
    <d v="2025-08-09T00:00:00"/>
    <x v="79"/>
    <n v="1"/>
    <x v="2"/>
    <x v="2"/>
    <n v="304546.15999999997"/>
    <x v="0"/>
  </r>
  <r>
    <n v="933"/>
    <s v="Nisha Verma"/>
    <x v="1"/>
    <n v="70"/>
    <x v="5"/>
    <n v="165181.81"/>
    <x v="2"/>
    <n v="271204.78999999998"/>
    <n v="782"/>
    <x v="3"/>
    <s v="MasterCard"/>
    <n v="63955.48"/>
    <n v="187005.32"/>
    <s v="Rejected"/>
    <d v="2025-10-29T00:00:00"/>
    <x v="271"/>
    <n v="3"/>
    <x v="2"/>
    <x v="2"/>
    <n v="436386.6"/>
    <x v="0"/>
  </r>
  <r>
    <n v="934"/>
    <s v="Vihaan Trivedi"/>
    <x v="0"/>
    <n v="36"/>
    <x v="0"/>
    <n v="282200.84000000003"/>
    <x v="0"/>
    <n v="128298.45"/>
    <n v="339"/>
    <x v="2"/>
    <s v="Visa"/>
    <n v="337073.71"/>
    <n v="111275.36"/>
    <s v="Pending"/>
    <d v="2025-09-06T00:00:00"/>
    <x v="54"/>
    <n v="5"/>
    <x v="0"/>
    <x v="0"/>
    <n v="410499.29000000004"/>
    <x v="0"/>
  </r>
  <r>
    <n v="935"/>
    <s v="Arjun Joshi"/>
    <x v="0"/>
    <n v="60"/>
    <x v="2"/>
    <n v="245634.9"/>
    <x v="0"/>
    <n v="94627.85"/>
    <n v="499"/>
    <x v="1"/>
    <s v="Visa"/>
    <n v="309811.03999999998"/>
    <n v="164256.39000000001"/>
    <s v="Pending"/>
    <d v="2025-09-30T00:00:00"/>
    <x v="230"/>
    <n v="2"/>
    <x v="1"/>
    <x v="1"/>
    <n v="340262.75"/>
    <x v="0"/>
  </r>
  <r>
    <n v="936"/>
    <s v="Rohit Sharma"/>
    <x v="0"/>
    <n v="47"/>
    <x v="4"/>
    <n v="432039.38"/>
    <x v="0"/>
    <n v="87656.1"/>
    <n v="421"/>
    <x v="3"/>
    <s v="Visa"/>
    <n v="370117.45"/>
    <n v="146636.79999999999"/>
    <s v="Pending"/>
    <d v="2025-08-30T00:00:00"/>
    <x v="308"/>
    <n v="5"/>
    <x v="1"/>
    <x v="1"/>
    <n v="519695.48"/>
    <x v="0"/>
  </r>
  <r>
    <n v="937"/>
    <s v="Rohit Shah"/>
    <x v="0"/>
    <n v="30"/>
    <x v="0"/>
    <n v="333215.09000000003"/>
    <x v="0"/>
    <n v="287839.26"/>
    <n v="687"/>
    <x v="4"/>
    <s v="RuPay"/>
    <n v="217737.53"/>
    <n v="48305.1"/>
    <s v="Pending"/>
    <d v="2025-01-22T00:00:00"/>
    <x v="15"/>
    <n v="5"/>
    <x v="2"/>
    <x v="2"/>
    <n v="621054.35000000009"/>
    <x v="0"/>
  </r>
  <r>
    <n v="938"/>
    <s v="Manav Trivedi"/>
    <x v="0"/>
    <n v="36"/>
    <x v="3"/>
    <n v="463890.38"/>
    <x v="0"/>
    <n v="290948.34999999998"/>
    <n v="898"/>
    <x v="0"/>
    <s v="Visa"/>
    <n v="237296.62"/>
    <n v="135819.68"/>
    <s v="Approved"/>
    <d v="2025-05-30T00:00:00"/>
    <x v="282"/>
    <n v="5"/>
    <x v="2"/>
    <x v="2"/>
    <n v="754838.73"/>
    <x v="0"/>
  </r>
  <r>
    <n v="939"/>
    <s v="Vihaan Mehta"/>
    <x v="0"/>
    <n v="50"/>
    <x v="4"/>
    <n v="375100.66"/>
    <x v="0"/>
    <n v="292444.52"/>
    <n v="695"/>
    <x v="3"/>
    <s v="Visa"/>
    <n v="261562.41"/>
    <n v="38587.9"/>
    <s v="Rejected"/>
    <d v="2025-02-21T00:00:00"/>
    <x v="152"/>
    <n v="2"/>
    <x v="2"/>
    <x v="2"/>
    <n v="667545.17999999993"/>
    <x v="0"/>
  </r>
  <r>
    <n v="940"/>
    <s v="Rohit Trivedi"/>
    <x v="0"/>
    <n v="51"/>
    <x v="0"/>
    <n v="122304.32000000001"/>
    <x v="2"/>
    <n v="180861.2"/>
    <n v="591"/>
    <x v="4"/>
    <s v="RuPay"/>
    <n v="-11257.69"/>
    <n v="193002.66"/>
    <s v="Pending"/>
    <d v="2025-06-07T00:00:00"/>
    <x v="211"/>
    <n v="1"/>
    <x v="1"/>
    <x v="1"/>
    <n v="303165.52"/>
    <x v="0"/>
  </r>
  <r>
    <n v="941"/>
    <s v="Nisha Sharma"/>
    <x v="1"/>
    <n v="18"/>
    <x v="1"/>
    <n v="490440.73"/>
    <x v="0"/>
    <n v="43841.09"/>
    <n v="437"/>
    <x v="1"/>
    <s v="MasterCard"/>
    <n v="526221.41"/>
    <n v="211137.52"/>
    <s v="Pending"/>
    <d v="2025-06-30T00:00:00"/>
    <x v="24"/>
    <n v="3"/>
    <x v="1"/>
    <x v="1"/>
    <n v="534281.81999999995"/>
    <x v="0"/>
  </r>
  <r>
    <n v="942"/>
    <s v="Nisha Shah"/>
    <x v="1"/>
    <n v="48"/>
    <x v="3"/>
    <n v="180138.03"/>
    <x v="2"/>
    <n v="30049.54"/>
    <n v="782"/>
    <x v="1"/>
    <s v="American Express"/>
    <n v="192722.69"/>
    <n v="63882.44"/>
    <s v="Rejected"/>
    <d v="2025-09-21T00:00:00"/>
    <x v="332"/>
    <n v="2"/>
    <x v="2"/>
    <x v="2"/>
    <n v="210187.57"/>
    <x v="0"/>
  </r>
  <r>
    <n v="943"/>
    <s v="Rohit Verma"/>
    <x v="0"/>
    <n v="42"/>
    <x v="0"/>
    <n v="107888.11"/>
    <x v="2"/>
    <n v="170079.53"/>
    <n v="446"/>
    <x v="2"/>
    <s v="Discover"/>
    <n v="-10668.92"/>
    <n v="18640.810000000001"/>
    <s v="Pending"/>
    <d v="2025-01-27T00:00:00"/>
    <x v="333"/>
    <n v="2"/>
    <x v="1"/>
    <x v="1"/>
    <n v="277967.64"/>
    <x v="0"/>
  </r>
  <r>
    <n v="944"/>
    <s v="Manav Singh"/>
    <x v="0"/>
    <n v="25"/>
    <x v="0"/>
    <n v="99606.73"/>
    <x v="1"/>
    <n v="133372.37"/>
    <n v="513"/>
    <x v="0"/>
    <s v="Discover"/>
    <n v="39372.480000000003"/>
    <n v="61786.239999999998"/>
    <s v="Approved"/>
    <d v="2025-01-22T00:00:00"/>
    <x v="35"/>
    <n v="2"/>
    <x v="1"/>
    <x v="1"/>
    <n v="232979.09999999998"/>
    <x v="0"/>
  </r>
  <r>
    <n v="945"/>
    <s v="Priya Shah"/>
    <x v="1"/>
    <n v="34"/>
    <x v="5"/>
    <n v="445346.24"/>
    <x v="0"/>
    <n v="95190.49"/>
    <n v="687"/>
    <x v="4"/>
    <s v="Discover"/>
    <n v="466958.19"/>
    <n v="163796.19"/>
    <s v="Approved"/>
    <d v="2025-09-16T00:00:00"/>
    <x v="270"/>
    <n v="3"/>
    <x v="2"/>
    <x v="2"/>
    <n v="540536.73"/>
    <x v="0"/>
  </r>
  <r>
    <n v="946"/>
    <s v="Karan Verma"/>
    <x v="0"/>
    <n v="60"/>
    <x v="1"/>
    <n v="448886.16"/>
    <x v="0"/>
    <n v="283212.25"/>
    <n v="456"/>
    <x v="1"/>
    <s v="MasterCard"/>
    <n v="361757.2"/>
    <n v="57657.61"/>
    <s v="Pending"/>
    <d v="2025-08-15T00:00:00"/>
    <x v="246"/>
    <n v="2"/>
    <x v="1"/>
    <x v="1"/>
    <n v="732098.40999999992"/>
    <x v="0"/>
  </r>
  <r>
    <n v="947"/>
    <s v="Yash Joshi"/>
    <x v="0"/>
    <n v="54"/>
    <x v="1"/>
    <n v="268073.95"/>
    <x v="0"/>
    <n v="177947.05"/>
    <n v="742"/>
    <x v="3"/>
    <s v="Visa"/>
    <n v="204007.55"/>
    <n v="159695.71"/>
    <s v="Approved"/>
    <d v="2025-02-13T00:00:00"/>
    <x v="150"/>
    <n v="5"/>
    <x v="2"/>
    <x v="2"/>
    <n v="446021"/>
    <x v="0"/>
  </r>
  <r>
    <n v="948"/>
    <s v="Nisha Patel"/>
    <x v="1"/>
    <n v="41"/>
    <x v="3"/>
    <n v="466708.57"/>
    <x v="0"/>
    <n v="214237.73"/>
    <n v="494"/>
    <x v="0"/>
    <s v="RuPay"/>
    <n v="314419.14"/>
    <n v="124220.49"/>
    <s v="Approved"/>
    <d v="2025-01-27T00:00:00"/>
    <x v="247"/>
    <n v="5"/>
    <x v="1"/>
    <x v="1"/>
    <n v="680946.3"/>
    <x v="0"/>
  </r>
  <r>
    <n v="949"/>
    <s v="Rohit Patel"/>
    <x v="0"/>
    <n v="45"/>
    <x v="5"/>
    <n v="330205.13"/>
    <x v="0"/>
    <n v="188335.69"/>
    <n v="537"/>
    <x v="2"/>
    <s v="MasterCard"/>
    <n v="150305.29"/>
    <n v="196766.13"/>
    <s v="Rejected"/>
    <d v="2025-03-29T00:00:00"/>
    <x v="84"/>
    <n v="3"/>
    <x v="1"/>
    <x v="1"/>
    <n v="518540.82"/>
    <x v="0"/>
  </r>
  <r>
    <n v="950"/>
    <s v="Rohit Gupta"/>
    <x v="0"/>
    <n v="47"/>
    <x v="1"/>
    <n v="233154.86"/>
    <x v="0"/>
    <n v="181212.79999999999"/>
    <n v="447"/>
    <x v="2"/>
    <s v="American Express"/>
    <n v="227345.41"/>
    <n v="181521.55"/>
    <s v="Approved"/>
    <d v="2025-07-21T00:00:00"/>
    <x v="83"/>
    <n v="2"/>
    <x v="1"/>
    <x v="1"/>
    <n v="414367.66"/>
    <x v="0"/>
  </r>
  <r>
    <n v="951"/>
    <s v="Pooja Patel"/>
    <x v="1"/>
    <n v="56"/>
    <x v="5"/>
    <n v="344618.18"/>
    <x v="0"/>
    <n v="97879.99"/>
    <n v="881"/>
    <x v="2"/>
    <s v="Discover"/>
    <n v="255642.43"/>
    <n v="122686.79"/>
    <s v="Approved"/>
    <d v="2025-10-18T00:00:00"/>
    <x v="98"/>
    <n v="3"/>
    <x v="2"/>
    <x v="2"/>
    <n v="442498.17"/>
    <x v="0"/>
  </r>
  <r>
    <n v="952"/>
    <s v="Kavya Sharma"/>
    <x v="1"/>
    <n v="23"/>
    <x v="4"/>
    <n v="26488.38"/>
    <x v="1"/>
    <n v="120762.5"/>
    <n v="695"/>
    <x v="0"/>
    <s v="RuPay"/>
    <n v="40167.81"/>
    <n v="172268.92"/>
    <s v="Rejected"/>
    <d v="2025-01-03T00:00:00"/>
    <x v="85"/>
    <n v="3"/>
    <x v="2"/>
    <x v="2"/>
    <n v="147250.88"/>
    <x v="0"/>
  </r>
  <r>
    <n v="953"/>
    <s v="Nisha Trivedi"/>
    <x v="1"/>
    <n v="48"/>
    <x v="5"/>
    <n v="252562.72"/>
    <x v="0"/>
    <n v="223499.24"/>
    <n v="881"/>
    <x v="1"/>
    <s v="Visa"/>
    <n v="38001.879999999997"/>
    <n v="232808.73"/>
    <s v="Pending"/>
    <d v="2025-08-05T00:00:00"/>
    <x v="92"/>
    <n v="4"/>
    <x v="2"/>
    <x v="2"/>
    <n v="476061.95999999996"/>
    <x v="0"/>
  </r>
  <r>
    <n v="954"/>
    <s v="Isha Mehta"/>
    <x v="1"/>
    <n v="70"/>
    <x v="3"/>
    <n v="194975.06"/>
    <x v="2"/>
    <n v="247716.33"/>
    <n v="556"/>
    <x v="1"/>
    <s v="RuPay"/>
    <n v="-26692.89"/>
    <n v="211771.04"/>
    <s v="Pending"/>
    <d v="2025-04-24T00:00:00"/>
    <x v="310"/>
    <n v="4"/>
    <x v="1"/>
    <x v="1"/>
    <n v="442691.39"/>
    <x v="0"/>
  </r>
  <r>
    <n v="955"/>
    <s v="Kavya Shah"/>
    <x v="1"/>
    <n v="19"/>
    <x v="2"/>
    <n v="60020.98"/>
    <x v="1"/>
    <n v="205191.01"/>
    <n v="630"/>
    <x v="2"/>
    <s v="Discover"/>
    <n v="-61584.76"/>
    <n v="240278.13"/>
    <s v="Rejected"/>
    <d v="2025-02-15T00:00:00"/>
    <x v="52"/>
    <n v="1"/>
    <x v="2"/>
    <x v="2"/>
    <n v="265211.99"/>
    <x v="0"/>
  </r>
  <r>
    <n v="956"/>
    <s v="Rahul Trivedi"/>
    <x v="0"/>
    <n v="59"/>
    <x v="2"/>
    <n v="221125.91"/>
    <x v="0"/>
    <n v="291401.45"/>
    <n v="334"/>
    <x v="1"/>
    <s v="American Express"/>
    <n v="-39591.4"/>
    <n v="79184.28"/>
    <s v="Rejected"/>
    <d v="2025-07-19T00:00:00"/>
    <x v="83"/>
    <n v="2"/>
    <x v="0"/>
    <x v="0"/>
    <n v="512527.35999999999"/>
    <x v="0"/>
  </r>
  <r>
    <n v="957"/>
    <s v="Karan Mehta"/>
    <x v="0"/>
    <n v="21"/>
    <x v="0"/>
    <n v="29777.94"/>
    <x v="1"/>
    <n v="39620.160000000003"/>
    <n v="722"/>
    <x v="4"/>
    <s v="RuPay"/>
    <n v="47297.38"/>
    <n v="224948.78"/>
    <s v="Rejected"/>
    <d v="2025-11-20T00:00:00"/>
    <x v="279"/>
    <n v="2"/>
    <x v="2"/>
    <x v="2"/>
    <n v="69398.100000000006"/>
    <x v="0"/>
  </r>
  <r>
    <n v="958"/>
    <s v="Rohit Patel"/>
    <x v="0"/>
    <n v="70"/>
    <x v="5"/>
    <n v="189263.33"/>
    <x v="2"/>
    <n v="98739.07"/>
    <n v="668"/>
    <x v="3"/>
    <s v="Visa"/>
    <n v="226677.69"/>
    <n v="140485.70000000001"/>
    <s v="Rejected"/>
    <d v="2025-11-13T00:00:00"/>
    <x v="79"/>
    <n v="3"/>
    <x v="2"/>
    <x v="2"/>
    <n v="288002.40000000002"/>
    <x v="0"/>
  </r>
  <r>
    <n v="959"/>
    <s v="Rahul Sharma"/>
    <x v="0"/>
    <n v="31"/>
    <x v="0"/>
    <n v="13510.46"/>
    <x v="1"/>
    <n v="113171.2"/>
    <n v="574"/>
    <x v="2"/>
    <s v="MasterCard"/>
    <n v="-80831.48"/>
    <n v="45798.79"/>
    <s v="Rejected"/>
    <d v="2025-03-11T00:00:00"/>
    <x v="313"/>
    <n v="4"/>
    <x v="1"/>
    <x v="1"/>
    <n v="126681.66"/>
    <x v="0"/>
  </r>
  <r>
    <n v="960"/>
    <s v="Anaya Patel"/>
    <x v="1"/>
    <n v="46"/>
    <x v="2"/>
    <n v="392886.95"/>
    <x v="0"/>
    <n v="186585.26"/>
    <n v="604"/>
    <x v="0"/>
    <s v="RuPay"/>
    <n v="398966.13"/>
    <n v="207146.38"/>
    <s v="Approved"/>
    <d v="2025-01-26T00:00:00"/>
    <x v="148"/>
    <n v="4"/>
    <x v="2"/>
    <x v="2"/>
    <n v="579472.21"/>
    <x v="0"/>
  </r>
  <r>
    <n v="961"/>
    <s v="Meera Mehta"/>
    <x v="1"/>
    <n v="57"/>
    <x v="1"/>
    <n v="8448.0400000000009"/>
    <x v="1"/>
    <n v="19850.95"/>
    <n v="606"/>
    <x v="0"/>
    <s v="Discover"/>
    <n v="76544.88"/>
    <n v="153528.64000000001"/>
    <s v="Rejected"/>
    <d v="2025-09-24T00:00:00"/>
    <x v="139"/>
    <n v="3"/>
    <x v="2"/>
    <x v="2"/>
    <n v="28298.99"/>
    <x v="0"/>
  </r>
  <r>
    <n v="962"/>
    <s v="Jay Trivedi"/>
    <x v="0"/>
    <n v="48"/>
    <x v="0"/>
    <n v="122296.38"/>
    <x v="2"/>
    <n v="204976.33"/>
    <n v="867"/>
    <x v="0"/>
    <s v="Discover"/>
    <n v="64707.199999999997"/>
    <n v="119258.66"/>
    <s v="Pending"/>
    <d v="2025-07-20T00:00:00"/>
    <x v="121"/>
    <n v="4"/>
    <x v="2"/>
    <x v="2"/>
    <n v="327272.70999999996"/>
    <x v="0"/>
  </r>
  <r>
    <n v="963"/>
    <s v="Kavya Patel"/>
    <x v="1"/>
    <n v="69"/>
    <x v="1"/>
    <n v="272705.38"/>
    <x v="0"/>
    <n v="263609.15000000002"/>
    <n v="689"/>
    <x v="1"/>
    <s v="Visa"/>
    <n v="48544.34"/>
    <n v="152278.6"/>
    <s v="Approved"/>
    <d v="2025-05-02T00:00:00"/>
    <x v="296"/>
    <n v="4"/>
    <x v="2"/>
    <x v="2"/>
    <n v="536314.53"/>
    <x v="0"/>
  </r>
  <r>
    <n v="964"/>
    <s v="Jay Desai"/>
    <x v="0"/>
    <n v="70"/>
    <x v="1"/>
    <n v="291468.09000000003"/>
    <x v="0"/>
    <n v="248067.98"/>
    <n v="465"/>
    <x v="1"/>
    <s v="Visa"/>
    <n v="177624.82"/>
    <n v="113345.48"/>
    <s v="Approved"/>
    <d v="2025-02-07T00:00:00"/>
    <x v="181"/>
    <n v="2"/>
    <x v="1"/>
    <x v="1"/>
    <n v="539536.07000000007"/>
    <x v="0"/>
  </r>
  <r>
    <n v="965"/>
    <s v="Manav Desai"/>
    <x v="0"/>
    <n v="38"/>
    <x v="2"/>
    <n v="235351.09"/>
    <x v="0"/>
    <n v="236607.66"/>
    <n v="811"/>
    <x v="4"/>
    <s v="Discover"/>
    <n v="39471.449999999997"/>
    <n v="46443.19"/>
    <s v="Pending"/>
    <d v="2025-05-03T00:00:00"/>
    <x v="2"/>
    <n v="1"/>
    <x v="2"/>
    <x v="2"/>
    <n v="471958.75"/>
    <x v="0"/>
  </r>
  <r>
    <n v="966"/>
    <s v="Yash Gupta"/>
    <x v="0"/>
    <n v="63"/>
    <x v="1"/>
    <n v="56635.29"/>
    <x v="1"/>
    <n v="196016.94"/>
    <n v="439"/>
    <x v="2"/>
    <s v="RuPay"/>
    <n v="-46300.19"/>
    <n v="246606.33"/>
    <s v="Pending"/>
    <d v="2025-07-24T00:00:00"/>
    <x v="81"/>
    <n v="2"/>
    <x v="1"/>
    <x v="1"/>
    <n v="252652.23"/>
    <x v="0"/>
  </r>
  <r>
    <n v="967"/>
    <s v="Karan Trivedi"/>
    <x v="0"/>
    <n v="25"/>
    <x v="4"/>
    <n v="253719.97"/>
    <x v="0"/>
    <n v="168156.11"/>
    <n v="512"/>
    <x v="2"/>
    <s v="Discover"/>
    <n v="166099.76"/>
    <n v="65855.05"/>
    <s v="Approved"/>
    <d v="2025-11-20T00:00:00"/>
    <x v="334"/>
    <n v="4"/>
    <x v="1"/>
    <x v="1"/>
    <n v="421876.07999999996"/>
    <x v="0"/>
  </r>
  <r>
    <n v="968"/>
    <s v="Sneha Singh"/>
    <x v="1"/>
    <n v="31"/>
    <x v="4"/>
    <n v="288687.84000000003"/>
    <x v="0"/>
    <n v="76298.559999999998"/>
    <n v="846"/>
    <x v="4"/>
    <s v="American Express"/>
    <n v="235262.1"/>
    <n v="78304.820000000007"/>
    <s v="Rejected"/>
    <d v="2025-03-28T00:00:00"/>
    <x v="185"/>
    <n v="2"/>
    <x v="2"/>
    <x v="2"/>
    <n v="364986.4"/>
    <x v="0"/>
  </r>
  <r>
    <n v="969"/>
    <s v="Priya Sharma"/>
    <x v="1"/>
    <n v="52"/>
    <x v="0"/>
    <n v="386020.28"/>
    <x v="0"/>
    <n v="264076.89"/>
    <n v="664"/>
    <x v="3"/>
    <s v="Discover"/>
    <n v="164387.71"/>
    <n v="186940.29"/>
    <s v="Rejected"/>
    <d v="2025-04-04T00:00:00"/>
    <x v="140"/>
    <n v="2"/>
    <x v="2"/>
    <x v="2"/>
    <n v="650097.17000000004"/>
    <x v="0"/>
  </r>
  <r>
    <n v="970"/>
    <s v="Jay Desai"/>
    <x v="0"/>
    <n v="60"/>
    <x v="4"/>
    <n v="338613.34"/>
    <x v="0"/>
    <n v="29650.84"/>
    <n v="307"/>
    <x v="0"/>
    <s v="American Express"/>
    <n v="444202.32"/>
    <n v="222542.47"/>
    <s v="Pending"/>
    <d v="2025-01-29T00:00:00"/>
    <x v="299"/>
    <n v="4"/>
    <x v="0"/>
    <x v="0"/>
    <n v="368264.18000000005"/>
    <x v="0"/>
  </r>
  <r>
    <n v="971"/>
    <s v="Manav Trivedi"/>
    <x v="0"/>
    <n v="46"/>
    <x v="5"/>
    <n v="499218.94"/>
    <x v="0"/>
    <n v="82768.75"/>
    <n v="427"/>
    <x v="1"/>
    <s v="Visa"/>
    <n v="587408.14"/>
    <n v="141256.32999999999"/>
    <s v="Approved"/>
    <d v="2025-07-11T00:00:00"/>
    <x v="213"/>
    <n v="5"/>
    <x v="1"/>
    <x v="1"/>
    <n v="581987.68999999994"/>
    <x v="0"/>
  </r>
  <r>
    <n v="972"/>
    <s v="Sneha Joshi"/>
    <x v="1"/>
    <n v="46"/>
    <x v="0"/>
    <n v="478280.36"/>
    <x v="0"/>
    <n v="148771.93"/>
    <n v="395"/>
    <x v="2"/>
    <s v="MasterCard"/>
    <n v="382714.74"/>
    <n v="111064.02"/>
    <s v="Pending"/>
    <d v="2025-12-19T00:00:00"/>
    <x v="335"/>
    <n v="2"/>
    <x v="0"/>
    <x v="0"/>
    <n v="627052.29"/>
    <x v="0"/>
  </r>
  <r>
    <n v="973"/>
    <s v="Arjun Patel"/>
    <x v="0"/>
    <n v="24"/>
    <x v="5"/>
    <n v="188708.24"/>
    <x v="2"/>
    <n v="137054.71"/>
    <n v="721"/>
    <x v="1"/>
    <s v="RuPay"/>
    <n v="187903.99"/>
    <n v="207362.49"/>
    <s v="Rejected"/>
    <d v="2025-05-16T00:00:00"/>
    <x v="162"/>
    <n v="2"/>
    <x v="2"/>
    <x v="2"/>
    <n v="325762.94999999995"/>
    <x v="0"/>
  </r>
  <r>
    <n v="974"/>
    <s v="Vihaan Sharma"/>
    <x v="0"/>
    <n v="20"/>
    <x v="4"/>
    <n v="275668.36"/>
    <x v="0"/>
    <n v="204452.64"/>
    <n v="476"/>
    <x v="1"/>
    <s v="Discover"/>
    <n v="127226.64"/>
    <n v="17714.55"/>
    <s v="Rejected"/>
    <d v="2025-06-04T00:00:00"/>
    <x v="80"/>
    <n v="1"/>
    <x v="1"/>
    <x v="1"/>
    <n v="480121"/>
    <x v="0"/>
  </r>
  <r>
    <n v="975"/>
    <s v="Meera Trivedi"/>
    <x v="1"/>
    <n v="70"/>
    <x v="4"/>
    <n v="389240.24"/>
    <x v="0"/>
    <n v="266711.15999999997"/>
    <n v="318"/>
    <x v="0"/>
    <s v="American Express"/>
    <n v="158764.10999999999"/>
    <n v="63484.29"/>
    <s v="Rejected"/>
    <d v="2025-07-21T00:00:00"/>
    <x v="187"/>
    <n v="3"/>
    <x v="0"/>
    <x v="0"/>
    <n v="655951.39999999991"/>
    <x v="0"/>
  </r>
  <r>
    <n v="976"/>
    <s v="Yash Verma"/>
    <x v="0"/>
    <n v="38"/>
    <x v="3"/>
    <n v="224417.05"/>
    <x v="0"/>
    <n v="295783.42"/>
    <n v="736"/>
    <x v="2"/>
    <s v="Discover"/>
    <n v="112197.9"/>
    <n v="104570.54"/>
    <s v="Approved"/>
    <d v="2025-04-20T00:00:00"/>
    <x v="306"/>
    <n v="3"/>
    <x v="2"/>
    <x v="2"/>
    <n v="520200.47"/>
    <x v="0"/>
  </r>
  <r>
    <n v="977"/>
    <s v="Karan Verma"/>
    <x v="0"/>
    <n v="33"/>
    <x v="0"/>
    <n v="367156.02"/>
    <x v="0"/>
    <n v="121199.42"/>
    <n v="443"/>
    <x v="3"/>
    <s v="Visa"/>
    <n v="258529.15"/>
    <n v="74533.87"/>
    <s v="Approved"/>
    <d v="2025-08-14T00:00:00"/>
    <x v="246"/>
    <n v="3"/>
    <x v="1"/>
    <x v="1"/>
    <n v="488355.44"/>
    <x v="0"/>
  </r>
  <r>
    <n v="978"/>
    <s v="Manav Mehta"/>
    <x v="0"/>
    <n v="24"/>
    <x v="2"/>
    <n v="327179.88"/>
    <x v="0"/>
    <n v="192256.78"/>
    <n v="848"/>
    <x v="2"/>
    <s v="MasterCard"/>
    <n v="284972.62"/>
    <n v="121504"/>
    <s v="Rejected"/>
    <d v="2025-06-17T00:00:00"/>
    <x v="14"/>
    <n v="2"/>
    <x v="2"/>
    <x v="2"/>
    <n v="519436.66000000003"/>
    <x v="0"/>
  </r>
  <r>
    <n v="979"/>
    <s v="Rohit Verma"/>
    <x v="0"/>
    <n v="43"/>
    <x v="0"/>
    <n v="420847.65"/>
    <x v="0"/>
    <n v="165766.01"/>
    <n v="721"/>
    <x v="1"/>
    <s v="Discover"/>
    <n v="353098.87"/>
    <n v="197295.46"/>
    <s v="Pending"/>
    <d v="2025-04-05T00:00:00"/>
    <x v="180"/>
    <n v="5"/>
    <x v="2"/>
    <x v="2"/>
    <n v="586613.66"/>
    <x v="0"/>
  </r>
  <r>
    <n v="980"/>
    <s v="Rohit Patel"/>
    <x v="0"/>
    <n v="53"/>
    <x v="2"/>
    <n v="112741.07"/>
    <x v="2"/>
    <n v="172279.93"/>
    <n v="514"/>
    <x v="1"/>
    <s v="Visa"/>
    <n v="104109.9"/>
    <n v="170019.03"/>
    <s v="Pending"/>
    <d v="2025-07-09T00:00:00"/>
    <x v="144"/>
    <n v="4"/>
    <x v="1"/>
    <x v="1"/>
    <n v="285021"/>
    <x v="0"/>
  </r>
  <r>
    <n v="981"/>
    <s v="Rahul Trivedi"/>
    <x v="0"/>
    <n v="52"/>
    <x v="3"/>
    <n v="315722.65000000002"/>
    <x v="0"/>
    <n v="158485.25"/>
    <n v="572"/>
    <x v="0"/>
    <s v="RuPay"/>
    <n v="325847.03000000003"/>
    <n v="119687.55"/>
    <s v="Approved"/>
    <d v="2025-01-20T00:00:00"/>
    <x v="234"/>
    <n v="5"/>
    <x v="1"/>
    <x v="1"/>
    <n v="474207.9"/>
    <x v="0"/>
  </r>
  <r>
    <n v="982"/>
    <s v="Diya Gupta"/>
    <x v="1"/>
    <n v="65"/>
    <x v="2"/>
    <n v="387889.21"/>
    <x v="0"/>
    <n v="74069.210000000006"/>
    <n v="419"/>
    <x v="4"/>
    <s v="Visa"/>
    <n v="463845.56"/>
    <n v="45595.26"/>
    <s v="Rejected"/>
    <d v="2025-12-13T00:00:00"/>
    <x v="323"/>
    <n v="4"/>
    <x v="1"/>
    <x v="1"/>
    <n v="461958.42000000004"/>
    <x v="0"/>
  </r>
  <r>
    <n v="983"/>
    <s v="Vihaan Trivedi"/>
    <x v="0"/>
    <n v="57"/>
    <x v="4"/>
    <n v="133791.1"/>
    <x v="2"/>
    <n v="294895.65000000002"/>
    <n v="520"/>
    <x v="2"/>
    <s v="Visa"/>
    <n v="-14734.58"/>
    <n v="216262.27"/>
    <s v="Pending"/>
    <d v="2025-04-04T00:00:00"/>
    <x v="53"/>
    <n v="2"/>
    <x v="1"/>
    <x v="1"/>
    <n v="428686.75"/>
    <x v="0"/>
  </r>
  <r>
    <n v="984"/>
    <s v="Riya Joshi"/>
    <x v="1"/>
    <n v="66"/>
    <x v="3"/>
    <n v="272171.86"/>
    <x v="0"/>
    <n v="27321.53"/>
    <n v="815"/>
    <x v="2"/>
    <s v="Visa"/>
    <n v="299213.84999999998"/>
    <n v="151424.76"/>
    <s v="Pending"/>
    <d v="2025-07-05T00:00:00"/>
    <x v="108"/>
    <n v="2"/>
    <x v="2"/>
    <x v="2"/>
    <n v="299493.39"/>
    <x v="0"/>
  </r>
  <r>
    <n v="985"/>
    <s v="Kavya Singh"/>
    <x v="1"/>
    <n v="26"/>
    <x v="0"/>
    <n v="320325.67"/>
    <x v="0"/>
    <n v="52737.760000000002"/>
    <n v="511"/>
    <x v="1"/>
    <s v="Discover"/>
    <n v="459662.71"/>
    <n v="50504.78"/>
    <s v="Pending"/>
    <d v="2025-01-21T00:00:00"/>
    <x v="124"/>
    <n v="1"/>
    <x v="1"/>
    <x v="1"/>
    <n v="373063.43"/>
    <x v="0"/>
  </r>
  <r>
    <n v="986"/>
    <s v="Aarav Verma"/>
    <x v="0"/>
    <n v="34"/>
    <x v="1"/>
    <n v="439220.03"/>
    <x v="0"/>
    <n v="96787.27"/>
    <n v="788"/>
    <x v="1"/>
    <s v="RuPay"/>
    <n v="377324.03"/>
    <n v="88201.56"/>
    <s v="Pending"/>
    <d v="2025-04-09T00:00:00"/>
    <x v="232"/>
    <n v="5"/>
    <x v="2"/>
    <x v="2"/>
    <n v="536007.30000000005"/>
    <x v="0"/>
  </r>
  <r>
    <n v="987"/>
    <s v="Jay Trivedi"/>
    <x v="0"/>
    <n v="64"/>
    <x v="0"/>
    <n v="254485.72"/>
    <x v="0"/>
    <n v="63698.19"/>
    <n v="725"/>
    <x v="0"/>
    <s v="MasterCard"/>
    <n v="380339.67"/>
    <n v="55493.07"/>
    <s v="Pending"/>
    <d v="2025-08-15T00:00:00"/>
    <x v="21"/>
    <n v="3"/>
    <x v="2"/>
    <x v="2"/>
    <n v="318183.91000000003"/>
    <x v="0"/>
  </r>
  <r>
    <n v="988"/>
    <s v="Arjun Desai"/>
    <x v="0"/>
    <n v="39"/>
    <x v="5"/>
    <n v="211352.86"/>
    <x v="0"/>
    <n v="131667.37"/>
    <n v="801"/>
    <x v="0"/>
    <s v="American Express"/>
    <n v="267013.65000000002"/>
    <n v="235262.76"/>
    <s v="Approved"/>
    <d v="2025-06-17T00:00:00"/>
    <x v="283"/>
    <n v="5"/>
    <x v="2"/>
    <x v="2"/>
    <n v="343020.23"/>
    <x v="0"/>
  </r>
  <r>
    <n v="989"/>
    <s v="Isha Verma"/>
    <x v="1"/>
    <n v="20"/>
    <x v="1"/>
    <n v="290818.09000000003"/>
    <x v="0"/>
    <n v="215690.46"/>
    <n v="699"/>
    <x v="1"/>
    <s v="American Express"/>
    <n v="267352.21000000002"/>
    <n v="63589.02"/>
    <s v="Approved"/>
    <d v="2025-05-23T00:00:00"/>
    <x v="319"/>
    <n v="4"/>
    <x v="2"/>
    <x v="2"/>
    <n v="506508.55000000005"/>
    <x v="0"/>
  </r>
  <r>
    <n v="990"/>
    <s v="Rahul Desai"/>
    <x v="0"/>
    <n v="60"/>
    <x v="3"/>
    <n v="83090.12"/>
    <x v="1"/>
    <n v="53715.28"/>
    <n v="888"/>
    <x v="1"/>
    <s v="Discover"/>
    <n v="105580.99"/>
    <n v="221719.07"/>
    <s v="Rejected"/>
    <d v="2025-02-06T00:00:00"/>
    <x v="210"/>
    <n v="4"/>
    <x v="2"/>
    <x v="2"/>
    <n v="136805.4"/>
    <x v="0"/>
  </r>
  <r>
    <n v="991"/>
    <s v="Manav Gupta"/>
    <x v="0"/>
    <n v="32"/>
    <x v="5"/>
    <n v="308275.69"/>
    <x v="0"/>
    <n v="190354.9"/>
    <n v="553"/>
    <x v="3"/>
    <s v="American Express"/>
    <n v="305580.5"/>
    <n v="20177.490000000002"/>
    <s v="Rejected"/>
    <d v="2025-09-09T00:00:00"/>
    <x v="336"/>
    <n v="1"/>
    <x v="1"/>
    <x v="1"/>
    <n v="498630.58999999997"/>
    <x v="0"/>
  </r>
  <r>
    <n v="992"/>
    <s v="Rohit Verma"/>
    <x v="0"/>
    <n v="45"/>
    <x v="2"/>
    <n v="76414.100000000006"/>
    <x v="1"/>
    <n v="66366.509999999995"/>
    <n v="580"/>
    <x v="4"/>
    <s v="Discover"/>
    <n v="42954.18"/>
    <n v="187274.33"/>
    <s v="Rejected"/>
    <d v="2025-05-07T00:00:00"/>
    <x v="257"/>
    <n v="1"/>
    <x v="1"/>
    <x v="1"/>
    <n v="142780.60999999999"/>
    <x v="0"/>
  </r>
  <r>
    <n v="993"/>
    <s v="Sneha Joshi"/>
    <x v="1"/>
    <n v="59"/>
    <x v="0"/>
    <n v="34233.769999999997"/>
    <x v="1"/>
    <n v="37886.800000000003"/>
    <n v="493"/>
    <x v="1"/>
    <s v="Visa"/>
    <n v="38445.760000000002"/>
    <n v="90365.01"/>
    <s v="Pending"/>
    <d v="2025-02-02T00:00:00"/>
    <x v="263"/>
    <n v="3"/>
    <x v="1"/>
    <x v="1"/>
    <n v="72120.570000000007"/>
    <x v="0"/>
  </r>
  <r>
    <n v="994"/>
    <s v="Diya Joshi"/>
    <x v="1"/>
    <n v="45"/>
    <x v="4"/>
    <n v="357547.08"/>
    <x v="0"/>
    <n v="271100.79999999999"/>
    <n v="655"/>
    <x v="1"/>
    <s v="American Express"/>
    <n v="191805.75"/>
    <n v="46949.29"/>
    <s v="Approved"/>
    <d v="2025-06-24T00:00:00"/>
    <x v="87"/>
    <n v="3"/>
    <x v="2"/>
    <x v="2"/>
    <n v="628647.88"/>
    <x v="0"/>
  </r>
  <r>
    <n v="995"/>
    <s v="Rahul Trivedi"/>
    <x v="0"/>
    <n v="60"/>
    <x v="2"/>
    <n v="213725.3"/>
    <x v="0"/>
    <n v="205961.47"/>
    <n v="300"/>
    <x v="4"/>
    <s v="RuPay"/>
    <n v="133428.76"/>
    <n v="167214.15"/>
    <s v="Approved"/>
    <d v="2025-09-21T00:00:00"/>
    <x v="141"/>
    <n v="2"/>
    <x v="0"/>
    <x v="0"/>
    <n v="419686.77"/>
    <x v="0"/>
  </r>
  <r>
    <n v="996"/>
    <s v="Anaya Sharma"/>
    <x v="1"/>
    <n v="49"/>
    <x v="2"/>
    <n v="426005.6"/>
    <x v="0"/>
    <n v="13040.27"/>
    <n v="529"/>
    <x v="4"/>
    <s v="Visa"/>
    <n v="520377.56"/>
    <n v="207623.76"/>
    <s v="Pending"/>
    <d v="2025-11-16T00:00:00"/>
    <x v="221"/>
    <n v="4"/>
    <x v="1"/>
    <x v="1"/>
    <n v="439045.87"/>
    <x v="0"/>
  </r>
  <r>
    <n v="997"/>
    <s v="Riya Joshi"/>
    <x v="1"/>
    <n v="39"/>
    <x v="4"/>
    <n v="318190.12"/>
    <x v="0"/>
    <n v="135200.48000000001"/>
    <n v="870"/>
    <x v="1"/>
    <s v="MasterCard"/>
    <n v="348503.81"/>
    <n v="86962.7"/>
    <s v="Rejected"/>
    <d v="2025-08-17T00:00:00"/>
    <x v="227"/>
    <n v="2"/>
    <x v="2"/>
    <x v="2"/>
    <n v="453390.6"/>
    <x v="0"/>
  </r>
  <r>
    <n v="998"/>
    <s v="Manav Patel"/>
    <x v="0"/>
    <n v="27"/>
    <x v="0"/>
    <n v="76791.17"/>
    <x v="1"/>
    <n v="240407.59"/>
    <n v="792"/>
    <x v="4"/>
    <s v="MasterCard"/>
    <n v="-31323.5"/>
    <n v="98618.74"/>
    <s v="Pending"/>
    <d v="2025-04-23T00:00:00"/>
    <x v="229"/>
    <n v="1"/>
    <x v="2"/>
    <x v="2"/>
    <n v="317198.76"/>
    <x v="0"/>
  </r>
  <r>
    <n v="999"/>
    <s v="Isha Patel"/>
    <x v="1"/>
    <n v="41"/>
    <x v="1"/>
    <n v="486971.31"/>
    <x v="0"/>
    <n v="280685.63"/>
    <n v="805"/>
    <x v="0"/>
    <s v="MasterCard"/>
    <n v="305972.83"/>
    <n v="227137.82"/>
    <s v="Pending"/>
    <d v="2025-04-24T00:00:00"/>
    <x v="225"/>
    <n v="2"/>
    <x v="2"/>
    <x v="2"/>
    <n v="767656.94"/>
    <x v="0"/>
  </r>
  <r>
    <n v="1000"/>
    <s v="Aditya Shah"/>
    <x v="0"/>
    <n v="18"/>
    <x v="3"/>
    <n v="178281.61"/>
    <x v="2"/>
    <n v="31108.46"/>
    <n v="506"/>
    <x v="2"/>
    <s v="Discover"/>
    <n v="236685.03"/>
    <n v="230887.35"/>
    <s v="Approved"/>
    <d v="2025-08-02T00:00:00"/>
    <x v="138"/>
    <n v="2"/>
    <x v="1"/>
    <x v="1"/>
    <n v="209390.0699999999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CA0775-AC47-409C-AD20-4FE00D0D0519}" name="PivotTable23" cacheId="51" applyNumberFormats="0" applyBorderFormats="0" applyFontFormats="0" applyPatternFormats="0" applyAlignmentFormats="0" applyWidthHeightFormats="1" dataCaption="Values" updatedVersion="8" minRefreshableVersion="3" showDrill="0" itemPrintTitles="1" createdVersion="8" indent="0" outline="1" outlineData="1" multipleFieldFilters="0" chartFormat="46">
  <location ref="A231:B234" firstHeaderRow="1" firstDataRow="1" firstDataCol="1"/>
  <pivotFields count="23">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338">
        <item x="168"/>
        <item x="84"/>
        <item x="62"/>
        <item x="322"/>
        <item x="234"/>
        <item x="162"/>
        <item x="166"/>
        <item x="137"/>
        <item x="63"/>
        <item x="90"/>
        <item x="103"/>
        <item x="10"/>
        <item x="58"/>
        <item x="143"/>
        <item x="194"/>
        <item x="96"/>
        <item x="243"/>
        <item x="285"/>
        <item x="185"/>
        <item x="254"/>
        <item x="167"/>
        <item x="50"/>
        <item x="244"/>
        <item x="128"/>
        <item x="145"/>
        <item x="276"/>
        <item x="152"/>
        <item x="121"/>
        <item x="129"/>
        <item x="252"/>
        <item x="257"/>
        <item x="328"/>
        <item x="0"/>
        <item x="180"/>
        <item x="39"/>
        <item x="105"/>
        <item x="242"/>
        <item x="246"/>
        <item x="148"/>
        <item x="282"/>
        <item x="214"/>
        <item x="314"/>
        <item x="196"/>
        <item x="154"/>
        <item x="320"/>
        <item x="28"/>
        <item x="135"/>
        <item x="223"/>
        <item x="170"/>
        <item x="49"/>
        <item x="64"/>
        <item x="140"/>
        <item x="319"/>
        <item x="182"/>
        <item x="228"/>
        <item x="60"/>
        <item x="249"/>
        <item x="38"/>
        <item x="112"/>
        <item x="241"/>
        <item x="325"/>
        <item x="272"/>
        <item x="80"/>
        <item x="174"/>
        <item x="335"/>
        <item x="187"/>
        <item x="89"/>
        <item x="163"/>
        <item x="274"/>
        <item x="211"/>
        <item x="124"/>
        <item x="178"/>
        <item x="240"/>
        <item x="177"/>
        <item x="281"/>
        <item x="294"/>
        <item x="44"/>
        <item x="210"/>
        <item x="21"/>
        <item x="2"/>
        <item x="313"/>
        <item x="317"/>
        <item x="41"/>
        <item x="93"/>
        <item x="46"/>
        <item x="310"/>
        <item x="67"/>
        <item x="23"/>
        <item x="268"/>
        <item x="298"/>
        <item x="155"/>
        <item x="81"/>
        <item x="26"/>
        <item x="125"/>
        <item x="186"/>
        <item x="283"/>
        <item x="147"/>
        <item x="156"/>
        <item x="22"/>
        <item x="179"/>
        <item x="237"/>
        <item x="286"/>
        <item x="332"/>
        <item x="260"/>
        <item x="118"/>
        <item x="104"/>
        <item x="161"/>
        <item x="3"/>
        <item x="255"/>
        <item x="71"/>
        <item x="158"/>
        <item x="219"/>
        <item x="110"/>
        <item x="250"/>
        <item x="100"/>
        <item x="201"/>
        <item x="171"/>
        <item x="315"/>
        <item x="251"/>
        <item x="261"/>
        <item x="144"/>
        <item x="256"/>
        <item x="42"/>
        <item x="172"/>
        <item x="181"/>
        <item x="25"/>
        <item x="141"/>
        <item x="94"/>
        <item x="233"/>
        <item x="209"/>
        <item x="290"/>
        <item x="159"/>
        <item x="207"/>
        <item x="289"/>
        <item x="88"/>
        <item x="235"/>
        <item x="318"/>
        <item x="157"/>
        <item x="183"/>
        <item x="48"/>
        <item x="204"/>
        <item x="98"/>
        <item x="153"/>
        <item x="306"/>
        <item x="37"/>
        <item x="236"/>
        <item x="99"/>
        <item x="52"/>
        <item x="309"/>
        <item x="311"/>
        <item x="284"/>
        <item x="92"/>
        <item x="56"/>
        <item x="213"/>
        <item x="266"/>
        <item x="150"/>
        <item x="259"/>
        <item x="4"/>
        <item x="108"/>
        <item x="133"/>
        <item x="102"/>
        <item x="146"/>
        <item x="189"/>
        <item x="197"/>
        <item x="275"/>
        <item x="336"/>
        <item x="75"/>
        <item x="8"/>
        <item x="76"/>
        <item x="109"/>
        <item x="316"/>
        <item x="301"/>
        <item x="35"/>
        <item x="302"/>
        <item x="65"/>
        <item x="70"/>
        <item x="101"/>
        <item x="164"/>
        <item x="59"/>
        <item x="218"/>
        <item x="116"/>
        <item x="127"/>
        <item x="13"/>
        <item x="262"/>
        <item x="47"/>
        <item x="222"/>
        <item x="74"/>
        <item x="297"/>
        <item x="138"/>
        <item x="173"/>
        <item x="188"/>
        <item x="331"/>
        <item x="278"/>
        <item x="184"/>
        <item x="291"/>
        <item x="220"/>
        <item x="87"/>
        <item x="20"/>
        <item x="7"/>
        <item x="86"/>
        <item x="193"/>
        <item x="113"/>
        <item x="305"/>
        <item x="51"/>
        <item x="296"/>
        <item x="169"/>
        <item x="12"/>
        <item x="53"/>
        <item x="11"/>
        <item x="91"/>
        <item x="18"/>
        <item x="263"/>
        <item x="77"/>
        <item x="321"/>
        <item x="114"/>
        <item x="264"/>
        <item x="107"/>
        <item x="31"/>
        <item x="287"/>
        <item x="24"/>
        <item x="323"/>
        <item x="230"/>
        <item x="83"/>
        <item x="231"/>
        <item x="334"/>
        <item x="229"/>
        <item x="227"/>
        <item x="300"/>
        <item x="175"/>
        <item x="191"/>
        <item x="16"/>
        <item x="190"/>
        <item x="288"/>
        <item x="269"/>
        <item x="217"/>
        <item x="142"/>
        <item x="14"/>
        <item x="200"/>
        <item x="271"/>
        <item x="43"/>
        <item x="202"/>
        <item x="9"/>
        <item x="225"/>
        <item x="277"/>
        <item x="117"/>
        <item x="247"/>
        <item x="40"/>
        <item x="139"/>
        <item x="126"/>
        <item x="72"/>
        <item x="29"/>
        <item x="134"/>
        <item x="85"/>
        <item x="253"/>
        <item x="176"/>
        <item x="120"/>
        <item x="32"/>
        <item x="245"/>
        <item x="45"/>
        <item x="61"/>
        <item x="270"/>
        <item x="206"/>
        <item x="203"/>
        <item x="327"/>
        <item x="151"/>
        <item x="160"/>
        <item x="216"/>
        <item x="333"/>
        <item x="212"/>
        <item x="326"/>
        <item x="208"/>
        <item x="307"/>
        <item x="132"/>
        <item x="79"/>
        <item x="130"/>
        <item x="224"/>
        <item x="57"/>
        <item x="267"/>
        <item x="34"/>
        <item x="273"/>
        <item x="239"/>
        <item x="33"/>
        <item x="78"/>
        <item x="95"/>
        <item x="304"/>
        <item x="69"/>
        <item x="17"/>
        <item x="6"/>
        <item x="68"/>
        <item x="280"/>
        <item x="111"/>
        <item x="329"/>
        <item x="66"/>
        <item x="119"/>
        <item x="303"/>
        <item x="293"/>
        <item x="19"/>
        <item x="131"/>
        <item x="292"/>
        <item x="299"/>
        <item x="308"/>
        <item x="226"/>
        <item x="199"/>
        <item x="149"/>
        <item x="15"/>
        <item x="165"/>
        <item x="54"/>
        <item x="195"/>
        <item x="232"/>
        <item x="73"/>
        <item x="5"/>
        <item x="258"/>
        <item x="295"/>
        <item x="136"/>
        <item x="82"/>
        <item x="97"/>
        <item x="30"/>
        <item x="248"/>
        <item x="55"/>
        <item x="198"/>
        <item x="192"/>
        <item x="279"/>
        <item x="106"/>
        <item x="27"/>
        <item x="205"/>
        <item x="1"/>
        <item x="123"/>
        <item x="324"/>
        <item x="312"/>
        <item x="215"/>
        <item x="238"/>
        <item x="330"/>
        <item x="115"/>
        <item x="221"/>
        <item x="36"/>
        <item x="122"/>
        <item x="265"/>
        <item t="default"/>
      </items>
    </pivotField>
    <pivotField showAll="0"/>
    <pivotField showAll="0"/>
    <pivotField showAll="0"/>
    <pivotField dataField="1" numFmtId="164" showAll="0"/>
    <pivotField axis="axisRow"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0"/>
  </rowFields>
  <rowItems count="3">
    <i>
      <x/>
    </i>
    <i>
      <x v="1"/>
    </i>
    <i t="grand">
      <x/>
    </i>
  </rowItems>
  <colItems count="1">
    <i/>
  </colItems>
  <dataFields count="1">
    <dataField name="Sum of Trantions" fld="19" baseField="0" baseItem="0" numFmtId="164"/>
  </dataFields>
  <formats count="5">
    <format dxfId="824">
      <pivotArea type="all" dataOnly="0" outline="0" fieldPosition="0"/>
    </format>
    <format dxfId="825">
      <pivotArea field="22" type="button" dataOnly="0" labelOnly="1" outline="0"/>
    </format>
    <format dxfId="826">
      <pivotArea dataOnly="0" labelOnly="1" grandRow="1" outline="0" fieldPosition="0"/>
    </format>
    <format dxfId="827">
      <pivotArea dataOnly="0" labelOnly="1" outline="0" axis="axisValues" fieldPosition="0"/>
    </format>
    <format dxfId="8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CC5951-D3A0-4A6A-BDCA-8F8FAF6C56A4}" name="PivotTable22" cacheId="51" applyNumberFormats="0" applyBorderFormats="0" applyFontFormats="0" applyPatternFormats="0" applyAlignmentFormats="0" applyWidthHeightFormats="1" dataCaption="Values" updatedVersion="8" minRefreshableVersion="3" showDrill="0" itemPrintTitles="1" createdVersion="8" indent="0" outline="1" outlineData="1" multipleFieldFilters="0" chartFormat="46">
  <location ref="A221:B224" firstHeaderRow="1" firstDataRow="1" firstDataCol="1"/>
  <pivotFields count="23">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338">
        <item x="168"/>
        <item x="84"/>
        <item x="62"/>
        <item x="322"/>
        <item x="234"/>
        <item x="162"/>
        <item x="166"/>
        <item x="137"/>
        <item x="63"/>
        <item x="90"/>
        <item x="103"/>
        <item x="10"/>
        <item x="58"/>
        <item x="143"/>
        <item x="194"/>
        <item x="96"/>
        <item x="243"/>
        <item x="285"/>
        <item x="185"/>
        <item x="254"/>
        <item x="167"/>
        <item x="50"/>
        <item x="244"/>
        <item x="128"/>
        <item x="145"/>
        <item x="276"/>
        <item x="152"/>
        <item x="121"/>
        <item x="129"/>
        <item x="252"/>
        <item x="257"/>
        <item x="328"/>
        <item x="0"/>
        <item x="180"/>
        <item x="39"/>
        <item x="105"/>
        <item x="242"/>
        <item x="246"/>
        <item x="148"/>
        <item x="282"/>
        <item x="214"/>
        <item x="314"/>
        <item x="196"/>
        <item x="154"/>
        <item x="320"/>
        <item x="28"/>
        <item x="135"/>
        <item x="223"/>
        <item x="170"/>
        <item x="49"/>
        <item x="64"/>
        <item x="140"/>
        <item x="319"/>
        <item x="182"/>
        <item x="228"/>
        <item x="60"/>
        <item x="249"/>
        <item x="38"/>
        <item x="112"/>
        <item x="241"/>
        <item x="325"/>
        <item x="272"/>
        <item x="80"/>
        <item x="174"/>
        <item x="335"/>
        <item x="187"/>
        <item x="89"/>
        <item x="163"/>
        <item x="274"/>
        <item x="211"/>
        <item x="124"/>
        <item x="178"/>
        <item x="240"/>
        <item x="177"/>
        <item x="281"/>
        <item x="294"/>
        <item x="44"/>
        <item x="210"/>
        <item x="21"/>
        <item x="2"/>
        <item x="313"/>
        <item x="317"/>
        <item x="41"/>
        <item x="93"/>
        <item x="46"/>
        <item x="310"/>
        <item x="67"/>
        <item x="23"/>
        <item x="268"/>
        <item x="298"/>
        <item x="155"/>
        <item x="81"/>
        <item x="26"/>
        <item x="125"/>
        <item x="186"/>
        <item x="283"/>
        <item x="147"/>
        <item x="156"/>
        <item x="22"/>
        <item x="179"/>
        <item x="237"/>
        <item x="286"/>
        <item x="332"/>
        <item x="260"/>
        <item x="118"/>
        <item x="104"/>
        <item x="161"/>
        <item x="3"/>
        <item x="255"/>
        <item x="71"/>
        <item x="158"/>
        <item x="219"/>
        <item x="110"/>
        <item x="250"/>
        <item x="100"/>
        <item x="201"/>
        <item x="171"/>
        <item x="315"/>
        <item x="251"/>
        <item x="261"/>
        <item x="144"/>
        <item x="256"/>
        <item x="42"/>
        <item x="172"/>
        <item x="181"/>
        <item x="25"/>
        <item x="141"/>
        <item x="94"/>
        <item x="233"/>
        <item x="209"/>
        <item x="290"/>
        <item x="159"/>
        <item x="207"/>
        <item x="289"/>
        <item x="88"/>
        <item x="235"/>
        <item x="318"/>
        <item x="157"/>
        <item x="183"/>
        <item x="48"/>
        <item x="204"/>
        <item x="98"/>
        <item x="153"/>
        <item x="306"/>
        <item x="37"/>
        <item x="236"/>
        <item x="99"/>
        <item x="52"/>
        <item x="309"/>
        <item x="311"/>
        <item x="284"/>
        <item x="92"/>
        <item x="56"/>
        <item x="213"/>
        <item x="266"/>
        <item x="150"/>
        <item x="259"/>
        <item x="4"/>
        <item x="108"/>
        <item x="133"/>
        <item x="102"/>
        <item x="146"/>
        <item x="189"/>
        <item x="197"/>
        <item x="275"/>
        <item x="336"/>
        <item x="75"/>
        <item x="8"/>
        <item x="76"/>
        <item x="109"/>
        <item x="316"/>
        <item x="301"/>
        <item x="35"/>
        <item x="302"/>
        <item x="65"/>
        <item x="70"/>
        <item x="101"/>
        <item x="164"/>
        <item x="59"/>
        <item x="218"/>
        <item x="116"/>
        <item x="127"/>
        <item x="13"/>
        <item x="262"/>
        <item x="47"/>
        <item x="222"/>
        <item x="74"/>
        <item x="297"/>
        <item x="138"/>
        <item x="173"/>
        <item x="188"/>
        <item x="331"/>
        <item x="278"/>
        <item x="184"/>
        <item x="291"/>
        <item x="220"/>
        <item x="87"/>
        <item x="20"/>
        <item x="7"/>
        <item x="86"/>
        <item x="193"/>
        <item x="113"/>
        <item x="305"/>
        <item x="51"/>
        <item x="296"/>
        <item x="169"/>
        <item x="12"/>
        <item x="53"/>
        <item x="11"/>
        <item x="91"/>
        <item x="18"/>
        <item x="263"/>
        <item x="77"/>
        <item x="321"/>
        <item x="114"/>
        <item x="264"/>
        <item x="107"/>
        <item x="31"/>
        <item x="287"/>
        <item x="24"/>
        <item x="323"/>
        <item x="230"/>
        <item x="83"/>
        <item x="231"/>
        <item x="334"/>
        <item x="229"/>
        <item x="227"/>
        <item x="300"/>
        <item x="175"/>
        <item x="191"/>
        <item x="16"/>
        <item x="190"/>
        <item x="288"/>
        <item x="269"/>
        <item x="217"/>
        <item x="142"/>
        <item x="14"/>
        <item x="200"/>
        <item x="271"/>
        <item x="43"/>
        <item x="202"/>
        <item x="9"/>
        <item x="225"/>
        <item x="277"/>
        <item x="117"/>
        <item x="247"/>
        <item x="40"/>
        <item x="139"/>
        <item x="126"/>
        <item x="72"/>
        <item x="29"/>
        <item x="134"/>
        <item x="85"/>
        <item x="253"/>
        <item x="176"/>
        <item x="120"/>
        <item x="32"/>
        <item x="245"/>
        <item x="45"/>
        <item x="61"/>
        <item x="270"/>
        <item x="206"/>
        <item x="203"/>
        <item x="327"/>
        <item x="151"/>
        <item x="160"/>
        <item x="216"/>
        <item x="333"/>
        <item x="212"/>
        <item x="326"/>
        <item x="208"/>
        <item x="307"/>
        <item x="132"/>
        <item x="79"/>
        <item x="130"/>
        <item x="224"/>
        <item x="57"/>
        <item x="267"/>
        <item x="34"/>
        <item x="273"/>
        <item x="239"/>
        <item x="33"/>
        <item x="78"/>
        <item x="95"/>
        <item x="304"/>
        <item x="69"/>
        <item x="17"/>
        <item x="6"/>
        <item x="68"/>
        <item x="280"/>
        <item x="111"/>
        <item x="329"/>
        <item x="66"/>
        <item x="119"/>
        <item x="303"/>
        <item x="293"/>
        <item x="19"/>
        <item x="131"/>
        <item x="292"/>
        <item x="299"/>
        <item x="308"/>
        <item x="226"/>
        <item x="199"/>
        <item x="149"/>
        <item x="15"/>
        <item x="165"/>
        <item x="54"/>
        <item x="195"/>
        <item x="232"/>
        <item x="73"/>
        <item x="5"/>
        <item x="258"/>
        <item x="295"/>
        <item x="136"/>
        <item x="82"/>
        <item x="97"/>
        <item x="30"/>
        <item x="248"/>
        <item x="55"/>
        <item x="198"/>
        <item x="192"/>
        <item x="279"/>
        <item x="106"/>
        <item x="27"/>
        <item x="205"/>
        <item x="1"/>
        <item x="123"/>
        <item x="324"/>
        <item x="312"/>
        <item x="215"/>
        <item x="238"/>
        <item x="330"/>
        <item x="115"/>
        <item x="221"/>
        <item x="36"/>
        <item x="122"/>
        <item x="265"/>
        <item t="default"/>
      </items>
    </pivotField>
    <pivotField showAll="0"/>
    <pivotField showAll="0"/>
    <pivotField showAll="0"/>
    <pivotField dataField="1" numFmtId="164" showAll="0"/>
    <pivotField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3">
    <i>
      <x/>
    </i>
    <i>
      <x v="1"/>
    </i>
    <i t="grand">
      <x/>
    </i>
  </rowItems>
  <colItems count="1">
    <i/>
  </colItems>
  <dataFields count="1">
    <dataField name="Sum of Trantions" fld="19" baseField="0" baseItem="0" numFmtId="164"/>
  </dataFields>
  <formats count="5">
    <format dxfId="1573">
      <pivotArea type="all" dataOnly="0" outline="0" fieldPosition="0"/>
    </format>
    <format dxfId="1574">
      <pivotArea field="22" type="button" dataOnly="0" labelOnly="1" outline="0"/>
    </format>
    <format dxfId="1575">
      <pivotArea dataOnly="0" labelOnly="1" grandRow="1" outline="0" fieldPosition="0"/>
    </format>
    <format dxfId="1576">
      <pivotArea dataOnly="0" labelOnly="1" outline="0" axis="axisValues" fieldPosition="0"/>
    </format>
    <format dxfId="157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EBFBD8-FB98-411A-8B17-1E68F3BBCFA8}" name="PivotTable21" cacheId="51" applyNumberFormats="0" applyBorderFormats="0" applyFontFormats="0" applyPatternFormats="0" applyAlignmentFormats="0" applyWidthHeightFormats="1" dataCaption="Values" updatedVersion="8" minRefreshableVersion="3" showDrill="0" itemPrintTitles="1" createdVersion="8" indent="0" outline="1" outlineData="1" multipleFieldFilters="0" chartFormat="46">
  <location ref="A215:B218" firstHeaderRow="1" firstDataRow="1" firstDataCol="1"/>
  <pivotFields count="23">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338">
        <item x="168"/>
        <item x="84"/>
        <item x="62"/>
        <item x="322"/>
        <item x="234"/>
        <item x="162"/>
        <item x="166"/>
        <item x="137"/>
        <item x="63"/>
        <item x="90"/>
        <item x="103"/>
        <item x="10"/>
        <item x="58"/>
        <item x="143"/>
        <item x="194"/>
        <item x="96"/>
        <item x="243"/>
        <item x="285"/>
        <item x="185"/>
        <item x="254"/>
        <item x="167"/>
        <item x="50"/>
        <item x="244"/>
        <item x="128"/>
        <item x="145"/>
        <item x="276"/>
        <item x="152"/>
        <item x="121"/>
        <item x="129"/>
        <item x="252"/>
        <item x="257"/>
        <item x="328"/>
        <item x="0"/>
        <item x="180"/>
        <item x="39"/>
        <item x="105"/>
        <item x="242"/>
        <item x="246"/>
        <item x="148"/>
        <item x="282"/>
        <item x="214"/>
        <item x="314"/>
        <item x="196"/>
        <item x="154"/>
        <item x="320"/>
        <item x="28"/>
        <item x="135"/>
        <item x="223"/>
        <item x="170"/>
        <item x="49"/>
        <item x="64"/>
        <item x="140"/>
        <item x="319"/>
        <item x="182"/>
        <item x="228"/>
        <item x="60"/>
        <item x="249"/>
        <item x="38"/>
        <item x="112"/>
        <item x="241"/>
        <item x="325"/>
        <item x="272"/>
        <item x="80"/>
        <item x="174"/>
        <item x="335"/>
        <item x="187"/>
        <item x="89"/>
        <item x="163"/>
        <item x="274"/>
        <item x="211"/>
        <item x="124"/>
        <item x="178"/>
        <item x="240"/>
        <item x="177"/>
        <item x="281"/>
        <item x="294"/>
        <item x="44"/>
        <item x="210"/>
        <item x="21"/>
        <item x="2"/>
        <item x="313"/>
        <item x="317"/>
        <item x="41"/>
        <item x="93"/>
        <item x="46"/>
        <item x="310"/>
        <item x="67"/>
        <item x="23"/>
        <item x="268"/>
        <item x="298"/>
        <item x="155"/>
        <item x="81"/>
        <item x="26"/>
        <item x="125"/>
        <item x="186"/>
        <item x="283"/>
        <item x="147"/>
        <item x="156"/>
        <item x="22"/>
        <item x="179"/>
        <item x="237"/>
        <item x="286"/>
        <item x="332"/>
        <item x="260"/>
        <item x="118"/>
        <item x="104"/>
        <item x="161"/>
        <item x="3"/>
        <item x="255"/>
        <item x="71"/>
        <item x="158"/>
        <item x="219"/>
        <item x="110"/>
        <item x="250"/>
        <item x="100"/>
        <item x="201"/>
        <item x="171"/>
        <item x="315"/>
        <item x="251"/>
        <item x="261"/>
        <item x="144"/>
        <item x="256"/>
        <item x="42"/>
        <item x="172"/>
        <item x="181"/>
        <item x="25"/>
        <item x="141"/>
        <item x="94"/>
        <item x="233"/>
        <item x="209"/>
        <item x="290"/>
        <item x="159"/>
        <item x="207"/>
        <item x="289"/>
        <item x="88"/>
        <item x="235"/>
        <item x="318"/>
        <item x="157"/>
        <item x="183"/>
        <item x="48"/>
        <item x="204"/>
        <item x="98"/>
        <item x="153"/>
        <item x="306"/>
        <item x="37"/>
        <item x="236"/>
        <item x="99"/>
        <item x="52"/>
        <item x="309"/>
        <item x="311"/>
        <item x="284"/>
        <item x="92"/>
        <item x="56"/>
        <item x="213"/>
        <item x="266"/>
        <item x="150"/>
        <item x="259"/>
        <item x="4"/>
        <item x="108"/>
        <item x="133"/>
        <item x="102"/>
        <item x="146"/>
        <item x="189"/>
        <item x="197"/>
        <item x="275"/>
        <item x="336"/>
        <item x="75"/>
        <item x="8"/>
        <item x="76"/>
        <item x="109"/>
        <item x="316"/>
        <item x="301"/>
        <item x="35"/>
        <item x="302"/>
        <item x="65"/>
        <item x="70"/>
        <item x="101"/>
        <item x="164"/>
        <item x="59"/>
        <item x="218"/>
        <item x="116"/>
        <item x="127"/>
        <item x="13"/>
        <item x="262"/>
        <item x="47"/>
        <item x="222"/>
        <item x="74"/>
        <item x="297"/>
        <item x="138"/>
        <item x="173"/>
        <item x="188"/>
        <item x="331"/>
        <item x="278"/>
        <item x="184"/>
        <item x="291"/>
        <item x="220"/>
        <item x="87"/>
        <item x="20"/>
        <item x="7"/>
        <item x="86"/>
        <item x="193"/>
        <item x="113"/>
        <item x="305"/>
        <item x="51"/>
        <item x="296"/>
        <item x="169"/>
        <item x="12"/>
        <item x="53"/>
        <item x="11"/>
        <item x="91"/>
        <item x="18"/>
        <item x="263"/>
        <item x="77"/>
        <item x="321"/>
        <item x="114"/>
        <item x="264"/>
        <item x="107"/>
        <item x="31"/>
        <item x="287"/>
        <item x="24"/>
        <item x="323"/>
        <item x="230"/>
        <item x="83"/>
        <item x="231"/>
        <item x="334"/>
        <item x="229"/>
        <item x="227"/>
        <item x="300"/>
        <item x="175"/>
        <item x="191"/>
        <item x="16"/>
        <item x="190"/>
        <item x="288"/>
        <item x="269"/>
        <item x="217"/>
        <item x="142"/>
        <item x="14"/>
        <item x="200"/>
        <item x="271"/>
        <item x="43"/>
        <item x="202"/>
        <item x="9"/>
        <item x="225"/>
        <item x="277"/>
        <item x="117"/>
        <item x="247"/>
        <item x="40"/>
        <item x="139"/>
        <item x="126"/>
        <item x="72"/>
        <item x="29"/>
        <item x="134"/>
        <item x="85"/>
        <item x="253"/>
        <item x="176"/>
        <item x="120"/>
        <item x="32"/>
        <item x="245"/>
        <item x="45"/>
        <item x="61"/>
        <item x="270"/>
        <item x="206"/>
        <item x="203"/>
        <item x="327"/>
        <item x="151"/>
        <item x="160"/>
        <item x="216"/>
        <item x="333"/>
        <item x="212"/>
        <item x="326"/>
        <item x="208"/>
        <item x="307"/>
        <item x="132"/>
        <item x="79"/>
        <item x="130"/>
        <item x="224"/>
        <item x="57"/>
        <item x="267"/>
        <item x="34"/>
        <item x="273"/>
        <item x="239"/>
        <item x="33"/>
        <item x="78"/>
        <item x="95"/>
        <item x="304"/>
        <item x="69"/>
        <item x="17"/>
        <item x="6"/>
        <item x="68"/>
        <item x="280"/>
        <item x="111"/>
        <item x="329"/>
        <item x="66"/>
        <item x="119"/>
        <item x="303"/>
        <item x="293"/>
        <item x="19"/>
        <item x="131"/>
        <item x="292"/>
        <item x="299"/>
        <item x="308"/>
        <item x="226"/>
        <item x="199"/>
        <item x="149"/>
        <item x="15"/>
        <item x="165"/>
        <item x="54"/>
        <item x="195"/>
        <item x="232"/>
        <item x="73"/>
        <item x="5"/>
        <item x="258"/>
        <item x="295"/>
        <item x="136"/>
        <item x="82"/>
        <item x="97"/>
        <item x="30"/>
        <item x="248"/>
        <item x="55"/>
        <item x="198"/>
        <item x="192"/>
        <item x="279"/>
        <item x="106"/>
        <item x="27"/>
        <item x="205"/>
        <item x="1"/>
        <item x="123"/>
        <item x="324"/>
        <item x="312"/>
        <item x="215"/>
        <item x="238"/>
        <item x="330"/>
        <item x="115"/>
        <item x="221"/>
        <item x="36"/>
        <item x="122"/>
        <item x="265"/>
        <item t="default"/>
      </items>
    </pivotField>
    <pivotField showAll="0"/>
    <pivotField showAll="0"/>
    <pivotField showAll="0"/>
    <pivotField dataField="1" numFmtId="164" showAll="0"/>
    <pivotField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3">
    <i>
      <x/>
    </i>
    <i>
      <x v="1"/>
    </i>
    <i t="grand">
      <x/>
    </i>
  </rowItems>
  <colItems count="1">
    <i/>
  </colItems>
  <dataFields count="1">
    <dataField name="Count of Trantions" fld="19" subtotal="count" baseField="2" baseItem="0" numFmtId="2"/>
  </dataFields>
  <formats count="9">
    <format dxfId="1583">
      <pivotArea type="all" dataOnly="0" outline="0" fieldPosition="0"/>
    </format>
    <format dxfId="1584">
      <pivotArea field="22" type="button" dataOnly="0" labelOnly="1" outline="0"/>
    </format>
    <format dxfId="1585">
      <pivotArea dataOnly="0" labelOnly="1" grandRow="1" outline="0" fieldPosition="0"/>
    </format>
    <format dxfId="1586">
      <pivotArea outline="0" collapsedLevelsAreSubtotals="1" fieldPosition="0"/>
    </format>
    <format dxfId="1582">
      <pivotArea dataOnly="0" labelOnly="1" outline="0" axis="axisValues" fieldPosition="0"/>
    </format>
    <format dxfId="1581">
      <pivotArea outline="0" fieldPosition="0">
        <references count="1">
          <reference field="4294967294" count="1">
            <x v="0"/>
          </reference>
        </references>
      </pivotArea>
    </format>
    <format dxfId="1580">
      <pivotArea collapsedLevelsAreSubtotals="1" fieldPosition="0">
        <references count="1">
          <reference field="2" count="1">
            <x v="0"/>
          </reference>
        </references>
      </pivotArea>
    </format>
    <format dxfId="1579">
      <pivotArea grandRow="1" outline="0" collapsedLevelsAreSubtotals="1" fieldPosition="0"/>
    </format>
    <format dxfId="1578">
      <pivotArea collapsedLevelsAreSubtotals="1" fieldPosition="0">
        <references count="1">
          <reference field="2" count="1">
            <x v="1"/>
          </reference>
        </references>
      </pivotArea>
    </format>
  </formats>
  <chartFormats count="7">
    <chartFormat chart="32"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3" format="6" series="1">
      <pivotArea type="data" outline="0" fieldPosition="0">
        <references count="1">
          <reference field="4294967294" count="1" selected="0">
            <x v="0"/>
          </reference>
        </references>
      </pivotArea>
    </chartFormat>
    <chartFormat chart="4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3BB68A-EAC3-4288-96B8-E08A00E5360D}" name="PivotTable20" cacheId="51" applyNumberFormats="0" applyBorderFormats="0" applyFontFormats="0" applyPatternFormats="0" applyAlignmentFormats="0" applyWidthHeightFormats="1" dataCaption="Values" updatedVersion="8" minRefreshableVersion="3" showDrill="0" itemPrintTitles="1" createdVersion="8" indent="0" outline="1" outlineData="1" multipleFieldFilters="0" chartFormat="46">
  <location ref="A208:B211" firstHeaderRow="1" firstDataRow="1" firstDataCol="1"/>
  <pivotFields count="23">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338">
        <item x="168"/>
        <item x="84"/>
        <item x="62"/>
        <item x="322"/>
        <item x="234"/>
        <item x="162"/>
        <item x="166"/>
        <item x="137"/>
        <item x="63"/>
        <item x="90"/>
        <item x="103"/>
        <item x="10"/>
        <item x="58"/>
        <item x="143"/>
        <item x="194"/>
        <item x="96"/>
        <item x="243"/>
        <item x="285"/>
        <item x="185"/>
        <item x="254"/>
        <item x="167"/>
        <item x="50"/>
        <item x="244"/>
        <item x="128"/>
        <item x="145"/>
        <item x="276"/>
        <item x="152"/>
        <item x="121"/>
        <item x="129"/>
        <item x="252"/>
        <item x="257"/>
        <item x="328"/>
        <item x="0"/>
        <item x="180"/>
        <item x="39"/>
        <item x="105"/>
        <item x="242"/>
        <item x="246"/>
        <item x="148"/>
        <item x="282"/>
        <item x="214"/>
        <item x="314"/>
        <item x="196"/>
        <item x="154"/>
        <item x="320"/>
        <item x="28"/>
        <item x="135"/>
        <item x="223"/>
        <item x="170"/>
        <item x="49"/>
        <item x="64"/>
        <item x="140"/>
        <item x="319"/>
        <item x="182"/>
        <item x="228"/>
        <item x="60"/>
        <item x="249"/>
        <item x="38"/>
        <item x="112"/>
        <item x="241"/>
        <item x="325"/>
        <item x="272"/>
        <item x="80"/>
        <item x="174"/>
        <item x="335"/>
        <item x="187"/>
        <item x="89"/>
        <item x="163"/>
        <item x="274"/>
        <item x="211"/>
        <item x="124"/>
        <item x="178"/>
        <item x="240"/>
        <item x="177"/>
        <item x="281"/>
        <item x="294"/>
        <item x="44"/>
        <item x="210"/>
        <item x="21"/>
        <item x="2"/>
        <item x="313"/>
        <item x="317"/>
        <item x="41"/>
        <item x="93"/>
        <item x="46"/>
        <item x="310"/>
        <item x="67"/>
        <item x="23"/>
        <item x="268"/>
        <item x="298"/>
        <item x="155"/>
        <item x="81"/>
        <item x="26"/>
        <item x="125"/>
        <item x="186"/>
        <item x="283"/>
        <item x="147"/>
        <item x="156"/>
        <item x="22"/>
        <item x="179"/>
        <item x="237"/>
        <item x="286"/>
        <item x="332"/>
        <item x="260"/>
        <item x="118"/>
        <item x="104"/>
        <item x="161"/>
        <item x="3"/>
        <item x="255"/>
        <item x="71"/>
        <item x="158"/>
        <item x="219"/>
        <item x="110"/>
        <item x="250"/>
        <item x="100"/>
        <item x="201"/>
        <item x="171"/>
        <item x="315"/>
        <item x="251"/>
        <item x="261"/>
        <item x="144"/>
        <item x="256"/>
        <item x="42"/>
        <item x="172"/>
        <item x="181"/>
        <item x="25"/>
        <item x="141"/>
        <item x="94"/>
        <item x="233"/>
        <item x="209"/>
        <item x="290"/>
        <item x="159"/>
        <item x="207"/>
        <item x="289"/>
        <item x="88"/>
        <item x="235"/>
        <item x="318"/>
        <item x="157"/>
        <item x="183"/>
        <item x="48"/>
        <item x="204"/>
        <item x="98"/>
        <item x="153"/>
        <item x="306"/>
        <item x="37"/>
        <item x="236"/>
        <item x="99"/>
        <item x="52"/>
        <item x="309"/>
        <item x="311"/>
        <item x="284"/>
        <item x="92"/>
        <item x="56"/>
        <item x="213"/>
        <item x="266"/>
        <item x="150"/>
        <item x="259"/>
        <item x="4"/>
        <item x="108"/>
        <item x="133"/>
        <item x="102"/>
        <item x="146"/>
        <item x="189"/>
        <item x="197"/>
        <item x="275"/>
        <item x="336"/>
        <item x="75"/>
        <item x="8"/>
        <item x="76"/>
        <item x="109"/>
        <item x="316"/>
        <item x="301"/>
        <item x="35"/>
        <item x="302"/>
        <item x="65"/>
        <item x="70"/>
        <item x="101"/>
        <item x="164"/>
        <item x="59"/>
        <item x="218"/>
        <item x="116"/>
        <item x="127"/>
        <item x="13"/>
        <item x="262"/>
        <item x="47"/>
        <item x="222"/>
        <item x="74"/>
        <item x="297"/>
        <item x="138"/>
        <item x="173"/>
        <item x="188"/>
        <item x="331"/>
        <item x="278"/>
        <item x="184"/>
        <item x="291"/>
        <item x="220"/>
        <item x="87"/>
        <item x="20"/>
        <item x="7"/>
        <item x="86"/>
        <item x="193"/>
        <item x="113"/>
        <item x="305"/>
        <item x="51"/>
        <item x="296"/>
        <item x="169"/>
        <item x="12"/>
        <item x="53"/>
        <item x="11"/>
        <item x="91"/>
        <item x="18"/>
        <item x="263"/>
        <item x="77"/>
        <item x="321"/>
        <item x="114"/>
        <item x="264"/>
        <item x="107"/>
        <item x="31"/>
        <item x="287"/>
        <item x="24"/>
        <item x="323"/>
        <item x="230"/>
        <item x="83"/>
        <item x="231"/>
        <item x="334"/>
        <item x="229"/>
        <item x="227"/>
        <item x="300"/>
        <item x="175"/>
        <item x="191"/>
        <item x="16"/>
        <item x="190"/>
        <item x="288"/>
        <item x="269"/>
        <item x="217"/>
        <item x="142"/>
        <item x="14"/>
        <item x="200"/>
        <item x="271"/>
        <item x="43"/>
        <item x="202"/>
        <item x="9"/>
        <item x="225"/>
        <item x="277"/>
        <item x="117"/>
        <item x="247"/>
        <item x="40"/>
        <item x="139"/>
        <item x="126"/>
        <item x="72"/>
        <item x="29"/>
        <item x="134"/>
        <item x="85"/>
        <item x="253"/>
        <item x="176"/>
        <item x="120"/>
        <item x="32"/>
        <item x="245"/>
        <item x="45"/>
        <item x="61"/>
        <item x="270"/>
        <item x="206"/>
        <item x="203"/>
        <item x="327"/>
        <item x="151"/>
        <item x="160"/>
        <item x="216"/>
        <item x="333"/>
        <item x="212"/>
        <item x="326"/>
        <item x="208"/>
        <item x="307"/>
        <item x="132"/>
        <item x="79"/>
        <item x="130"/>
        <item x="224"/>
        <item x="57"/>
        <item x="267"/>
        <item x="34"/>
        <item x="273"/>
        <item x="239"/>
        <item x="33"/>
        <item x="78"/>
        <item x="95"/>
        <item x="304"/>
        <item x="69"/>
        <item x="17"/>
        <item x="6"/>
        <item x="68"/>
        <item x="280"/>
        <item x="111"/>
        <item x="329"/>
        <item x="66"/>
        <item x="119"/>
        <item x="303"/>
        <item x="293"/>
        <item x="19"/>
        <item x="131"/>
        <item x="292"/>
        <item x="299"/>
        <item x="308"/>
        <item x="226"/>
        <item x="199"/>
        <item x="149"/>
        <item x="15"/>
        <item x="165"/>
        <item x="54"/>
        <item x="195"/>
        <item x="232"/>
        <item x="73"/>
        <item x="5"/>
        <item x="258"/>
        <item x="295"/>
        <item x="136"/>
        <item x="82"/>
        <item x="97"/>
        <item x="30"/>
        <item x="248"/>
        <item x="55"/>
        <item x="198"/>
        <item x="192"/>
        <item x="279"/>
        <item x="106"/>
        <item x="27"/>
        <item x="205"/>
        <item x="1"/>
        <item x="123"/>
        <item x="324"/>
        <item x="312"/>
        <item x="215"/>
        <item x="238"/>
        <item x="330"/>
        <item x="115"/>
        <item x="221"/>
        <item x="36"/>
        <item x="122"/>
        <item x="265"/>
        <item t="default"/>
      </items>
    </pivotField>
    <pivotField showAll="0"/>
    <pivotField showAll="0"/>
    <pivotField showAll="0"/>
    <pivotField dataField="1" numFmtId="164" showAll="0"/>
    <pivotField axis="axisRow"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0"/>
  </rowFields>
  <rowItems count="3">
    <i>
      <x/>
    </i>
    <i>
      <x v="1"/>
    </i>
    <i t="grand">
      <x/>
    </i>
  </rowItems>
  <colItems count="1">
    <i/>
  </colItems>
  <dataFields count="1">
    <dataField name="Count of Trantions" fld="19" subtotal="count" baseField="20" baseItem="0" numFmtId="10">
      <extLst>
        <ext xmlns:x14="http://schemas.microsoft.com/office/spreadsheetml/2009/9/main" uri="{E15A36E0-9728-4e99-A89B-3F7291B0FE68}">
          <x14:dataField pivotShowAs="percentOfParentRow"/>
        </ext>
      </extLst>
    </dataField>
  </dataFields>
  <formats count="6">
    <format dxfId="1588">
      <pivotArea type="all" dataOnly="0" outline="0" fieldPosition="0"/>
    </format>
    <format dxfId="1589">
      <pivotArea field="22" type="button" dataOnly="0" labelOnly="1" outline="0"/>
    </format>
    <format dxfId="1590">
      <pivotArea dataOnly="0" labelOnly="1" grandRow="1" outline="0" fieldPosition="0"/>
    </format>
    <format dxfId="1591">
      <pivotArea dataOnly="0" labelOnly="1" outline="0" axis="axisValues" fieldPosition="0"/>
    </format>
    <format dxfId="1592">
      <pivotArea outline="0" collapsedLevelsAreSubtotals="1" fieldPosition="0"/>
    </format>
    <format dxfId="1587">
      <pivotArea outline="0" fieldPosition="0">
        <references count="1">
          <reference field="4294967294" count="1">
            <x v="0"/>
          </reference>
        </references>
      </pivotArea>
    </format>
  </formats>
  <chartFormats count="7">
    <chartFormat chart="32"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43" format="6" series="1">
      <pivotArea type="data" outline="0" fieldPosition="0">
        <references count="1">
          <reference field="4294967294" count="1" selected="0">
            <x v="0"/>
          </reference>
        </references>
      </pivotArea>
    </chartFormat>
    <chartFormat chart="43" format="7">
      <pivotArea type="data" outline="0" fieldPosition="0">
        <references count="2">
          <reference field="4294967294" count="1" selected="0">
            <x v="0"/>
          </reference>
          <reference field="20" count="1" selected="0">
            <x v="0"/>
          </reference>
        </references>
      </pivotArea>
    </chartFormat>
    <chartFormat chart="43" format="8">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322564-BDED-4359-87B5-F9210678DAA8}" name="PivotTable19" cacheId="51" applyNumberFormats="0" applyBorderFormats="0" applyFontFormats="0" applyPatternFormats="0" applyAlignmentFormats="0" applyWidthHeightFormats="1" dataCaption="Values" updatedVersion="8" minRefreshableVersion="3" showDrill="0" itemPrintTitles="1" createdVersion="8" indent="0" outline="1" outlineData="1" multipleFieldFilters="0" chartFormat="41">
  <location ref="A188:B201" firstHeaderRow="1" firstDataRow="1" firstDataCol="1"/>
  <pivotFields count="23">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338">
        <item x="168"/>
        <item x="84"/>
        <item x="62"/>
        <item x="322"/>
        <item x="234"/>
        <item x="162"/>
        <item x="166"/>
        <item x="137"/>
        <item x="63"/>
        <item x="90"/>
        <item x="103"/>
        <item x="10"/>
        <item x="58"/>
        <item x="143"/>
        <item x="194"/>
        <item x="96"/>
        <item x="243"/>
        <item x="285"/>
        <item x="185"/>
        <item x="254"/>
        <item x="167"/>
        <item x="50"/>
        <item x="244"/>
        <item x="128"/>
        <item x="145"/>
        <item x="276"/>
        <item x="152"/>
        <item x="121"/>
        <item x="129"/>
        <item x="252"/>
        <item x="257"/>
        <item x="328"/>
        <item x="0"/>
        <item x="180"/>
        <item x="39"/>
        <item x="105"/>
        <item x="242"/>
        <item x="246"/>
        <item x="148"/>
        <item x="282"/>
        <item x="214"/>
        <item x="314"/>
        <item x="196"/>
        <item x="154"/>
        <item x="320"/>
        <item x="28"/>
        <item x="135"/>
        <item x="223"/>
        <item x="170"/>
        <item x="49"/>
        <item x="64"/>
        <item x="140"/>
        <item x="319"/>
        <item x="182"/>
        <item x="228"/>
        <item x="60"/>
        <item x="249"/>
        <item x="38"/>
        <item x="112"/>
        <item x="241"/>
        <item x="325"/>
        <item x="272"/>
        <item x="80"/>
        <item x="174"/>
        <item x="335"/>
        <item x="187"/>
        <item x="89"/>
        <item x="163"/>
        <item x="274"/>
        <item x="211"/>
        <item x="124"/>
        <item x="178"/>
        <item x="240"/>
        <item x="177"/>
        <item x="281"/>
        <item x="294"/>
        <item x="44"/>
        <item x="210"/>
        <item x="21"/>
        <item x="2"/>
        <item x="313"/>
        <item x="317"/>
        <item x="41"/>
        <item x="93"/>
        <item x="46"/>
        <item x="310"/>
        <item x="67"/>
        <item x="23"/>
        <item x="268"/>
        <item x="298"/>
        <item x="155"/>
        <item x="81"/>
        <item x="26"/>
        <item x="125"/>
        <item x="186"/>
        <item x="283"/>
        <item x="147"/>
        <item x="156"/>
        <item x="22"/>
        <item x="179"/>
        <item x="237"/>
        <item x="286"/>
        <item x="332"/>
        <item x="260"/>
        <item x="118"/>
        <item x="104"/>
        <item x="161"/>
        <item x="3"/>
        <item x="255"/>
        <item x="71"/>
        <item x="158"/>
        <item x="219"/>
        <item x="110"/>
        <item x="250"/>
        <item x="100"/>
        <item x="201"/>
        <item x="171"/>
        <item x="315"/>
        <item x="251"/>
        <item x="261"/>
        <item x="144"/>
        <item x="256"/>
        <item x="42"/>
        <item x="172"/>
        <item x="181"/>
        <item x="25"/>
        <item x="141"/>
        <item x="94"/>
        <item x="233"/>
        <item x="209"/>
        <item x="290"/>
        <item x="159"/>
        <item x="207"/>
        <item x="289"/>
        <item x="88"/>
        <item x="235"/>
        <item x="318"/>
        <item x="157"/>
        <item x="183"/>
        <item x="48"/>
        <item x="204"/>
        <item x="98"/>
        <item x="153"/>
        <item x="306"/>
        <item x="37"/>
        <item x="236"/>
        <item x="99"/>
        <item x="52"/>
        <item x="309"/>
        <item x="311"/>
        <item x="284"/>
        <item x="92"/>
        <item x="56"/>
        <item x="213"/>
        <item x="266"/>
        <item x="150"/>
        <item x="259"/>
        <item x="4"/>
        <item x="108"/>
        <item x="133"/>
        <item x="102"/>
        <item x="146"/>
        <item x="189"/>
        <item x="197"/>
        <item x="275"/>
        <item x="336"/>
        <item x="75"/>
        <item x="8"/>
        <item x="76"/>
        <item x="109"/>
        <item x="316"/>
        <item x="301"/>
        <item x="35"/>
        <item x="302"/>
        <item x="65"/>
        <item x="70"/>
        <item x="101"/>
        <item x="164"/>
        <item x="59"/>
        <item x="218"/>
        <item x="116"/>
        <item x="127"/>
        <item x="13"/>
        <item x="262"/>
        <item x="47"/>
        <item x="222"/>
        <item x="74"/>
        <item x="297"/>
        <item x="138"/>
        <item x="173"/>
        <item x="188"/>
        <item x="331"/>
        <item x="278"/>
        <item x="184"/>
        <item x="291"/>
        <item x="220"/>
        <item x="87"/>
        <item x="20"/>
        <item x="7"/>
        <item x="86"/>
        <item x="193"/>
        <item x="113"/>
        <item x="305"/>
        <item x="51"/>
        <item x="296"/>
        <item x="169"/>
        <item x="12"/>
        <item x="53"/>
        <item x="11"/>
        <item x="91"/>
        <item x="18"/>
        <item x="263"/>
        <item x="77"/>
        <item x="321"/>
        <item x="114"/>
        <item x="264"/>
        <item x="107"/>
        <item x="31"/>
        <item x="287"/>
        <item x="24"/>
        <item x="323"/>
        <item x="230"/>
        <item x="83"/>
        <item x="231"/>
        <item x="334"/>
        <item x="229"/>
        <item x="227"/>
        <item x="300"/>
        <item x="175"/>
        <item x="191"/>
        <item x="16"/>
        <item x="190"/>
        <item x="288"/>
        <item x="269"/>
        <item x="217"/>
        <item x="142"/>
        <item x="14"/>
        <item x="200"/>
        <item x="271"/>
        <item x="43"/>
        <item x="202"/>
        <item x="9"/>
        <item x="225"/>
        <item x="277"/>
        <item x="117"/>
        <item x="247"/>
        <item x="40"/>
        <item x="139"/>
        <item x="126"/>
        <item x="72"/>
        <item x="29"/>
        <item x="134"/>
        <item x="85"/>
        <item x="253"/>
        <item x="176"/>
        <item x="120"/>
        <item x="32"/>
        <item x="245"/>
        <item x="45"/>
        <item x="61"/>
        <item x="270"/>
        <item x="206"/>
        <item x="203"/>
        <item x="327"/>
        <item x="151"/>
        <item x="160"/>
        <item x="216"/>
        <item x="333"/>
        <item x="212"/>
        <item x="326"/>
        <item x="208"/>
        <item x="307"/>
        <item x="132"/>
        <item x="79"/>
        <item x="130"/>
        <item x="224"/>
        <item x="57"/>
        <item x="267"/>
        <item x="34"/>
        <item x="273"/>
        <item x="239"/>
        <item x="33"/>
        <item x="78"/>
        <item x="95"/>
        <item x="304"/>
        <item x="69"/>
        <item x="17"/>
        <item x="6"/>
        <item x="68"/>
        <item x="280"/>
        <item x="111"/>
        <item x="329"/>
        <item x="66"/>
        <item x="119"/>
        <item x="303"/>
        <item x="293"/>
        <item x="19"/>
        <item x="131"/>
        <item x="292"/>
        <item x="299"/>
        <item x="308"/>
        <item x="226"/>
        <item x="199"/>
        <item x="149"/>
        <item x="15"/>
        <item x="165"/>
        <item x="54"/>
        <item x="195"/>
        <item x="232"/>
        <item x="73"/>
        <item x="5"/>
        <item x="258"/>
        <item x="295"/>
        <item x="136"/>
        <item x="82"/>
        <item x="97"/>
        <item x="30"/>
        <item x="248"/>
        <item x="55"/>
        <item x="198"/>
        <item x="192"/>
        <item x="279"/>
        <item x="106"/>
        <item x="27"/>
        <item x="205"/>
        <item x="1"/>
        <item x="123"/>
        <item x="324"/>
        <item x="312"/>
        <item x="215"/>
        <item x="238"/>
        <item x="330"/>
        <item x="115"/>
        <item x="221"/>
        <item x="36"/>
        <item x="122"/>
        <item x="265"/>
        <item t="default"/>
      </items>
    </pivotField>
    <pivotField showAll="0"/>
    <pivotField showAll="0"/>
    <pivotField showAll="0"/>
    <pivotField dataField="1" numFmtId="164"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2"/>
  </rowFields>
  <rowItems count="13">
    <i>
      <x v="1"/>
    </i>
    <i>
      <x v="2"/>
    </i>
    <i>
      <x v="3"/>
    </i>
    <i>
      <x v="4"/>
    </i>
    <i>
      <x v="5"/>
    </i>
    <i>
      <x v="6"/>
    </i>
    <i>
      <x v="7"/>
    </i>
    <i>
      <x v="8"/>
    </i>
    <i>
      <x v="9"/>
    </i>
    <i>
      <x v="10"/>
    </i>
    <i>
      <x v="11"/>
    </i>
    <i>
      <x v="12"/>
    </i>
    <i t="grand">
      <x/>
    </i>
  </rowItems>
  <colItems count="1">
    <i/>
  </colItems>
  <dataFields count="1">
    <dataField name="Sum of Trantions" fld="19" baseField="0" baseItem="0" numFmtId="164"/>
  </dataFields>
  <formats count="6">
    <format dxfId="1594">
      <pivotArea type="all" dataOnly="0" outline="0" fieldPosition="0"/>
    </format>
    <format dxfId="1595">
      <pivotArea field="22" type="button" dataOnly="0" labelOnly="1" outline="0" axis="axisRow" fieldPosition="0"/>
    </format>
    <format dxfId="1596">
      <pivotArea dataOnly="0" labelOnly="1" grandRow="1" outline="0" fieldPosition="0"/>
    </format>
    <format dxfId="1597">
      <pivotArea dataOnly="0" labelOnly="1" outline="0" axis="axisValues" fieldPosition="0"/>
    </format>
    <format dxfId="1598">
      <pivotArea outline="0" collapsedLevelsAreSubtotals="1" fieldPosition="0"/>
    </format>
    <format dxfId="1593">
      <pivotArea outline="0" fieldPosition="0">
        <references count="1">
          <reference field="4294967294" count="1">
            <x v="0"/>
          </reference>
        </references>
      </pivotArea>
    </format>
  </formats>
  <chartFormats count="3">
    <chartFormat chart="32"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D7EF72-8F36-48F0-B9EF-5B9036A15814}" name="PivotTable18" cacheId="51" applyNumberFormats="0" applyBorderFormats="0" applyFontFormats="0" applyPatternFormats="0" applyAlignmentFormats="0" applyWidthHeightFormats="1" dataCaption="Values" updatedVersion="8" minRefreshableVersion="3" showDrill="0" itemPrintTitles="1" createdVersion="8" indent="0" outline="1" outlineData="1" multipleFieldFilters="0" chartFormat="37">
  <location ref="A178:B184" firstHeaderRow="1" firstDataRow="1" firstDataCol="1"/>
  <pivotFields count="23">
    <pivotField showAll="0"/>
    <pivotField showAll="0"/>
    <pivotField showAll="0">
      <items count="3">
        <item x="1"/>
        <item x="0"/>
        <item t="default"/>
      </items>
    </pivotField>
    <pivotField showAll="0"/>
    <pivotField showAll="0"/>
    <pivotField showAll="0"/>
    <pivotField showAll="0"/>
    <pivotField showAll="0"/>
    <pivotField showAll="0"/>
    <pivotField axis="axisRow" showAll="0">
      <items count="6">
        <item x="2"/>
        <item x="3"/>
        <item x="0"/>
        <item x="1"/>
        <item x="4"/>
        <item t="default"/>
      </items>
    </pivotField>
    <pivotField showAll="0"/>
    <pivotField showAll="0"/>
    <pivotField showAll="0"/>
    <pivotField showAll="0"/>
    <pivotField showAll="0"/>
    <pivotField numFmtId="14" showAll="0">
      <items count="338">
        <item x="168"/>
        <item x="84"/>
        <item x="62"/>
        <item x="322"/>
        <item x="234"/>
        <item x="162"/>
        <item x="166"/>
        <item x="137"/>
        <item x="63"/>
        <item x="90"/>
        <item x="103"/>
        <item x="10"/>
        <item x="58"/>
        <item x="143"/>
        <item x="194"/>
        <item x="96"/>
        <item x="243"/>
        <item x="285"/>
        <item x="185"/>
        <item x="254"/>
        <item x="167"/>
        <item x="50"/>
        <item x="244"/>
        <item x="128"/>
        <item x="145"/>
        <item x="276"/>
        <item x="152"/>
        <item x="121"/>
        <item x="129"/>
        <item x="252"/>
        <item x="257"/>
        <item x="328"/>
        <item x="0"/>
        <item x="180"/>
        <item x="39"/>
        <item x="105"/>
        <item x="242"/>
        <item x="246"/>
        <item x="148"/>
        <item x="282"/>
        <item x="214"/>
        <item x="314"/>
        <item x="196"/>
        <item x="154"/>
        <item x="320"/>
        <item x="28"/>
        <item x="135"/>
        <item x="223"/>
        <item x="170"/>
        <item x="49"/>
        <item x="64"/>
        <item x="140"/>
        <item x="319"/>
        <item x="182"/>
        <item x="228"/>
        <item x="60"/>
        <item x="249"/>
        <item x="38"/>
        <item x="112"/>
        <item x="241"/>
        <item x="325"/>
        <item x="272"/>
        <item x="80"/>
        <item x="174"/>
        <item x="335"/>
        <item x="187"/>
        <item x="89"/>
        <item x="163"/>
        <item x="274"/>
        <item x="211"/>
        <item x="124"/>
        <item x="178"/>
        <item x="240"/>
        <item x="177"/>
        <item x="281"/>
        <item x="294"/>
        <item x="44"/>
        <item x="210"/>
        <item x="21"/>
        <item x="2"/>
        <item x="313"/>
        <item x="317"/>
        <item x="41"/>
        <item x="93"/>
        <item x="46"/>
        <item x="310"/>
        <item x="67"/>
        <item x="23"/>
        <item x="268"/>
        <item x="298"/>
        <item x="155"/>
        <item x="81"/>
        <item x="26"/>
        <item x="125"/>
        <item x="186"/>
        <item x="283"/>
        <item x="147"/>
        <item x="156"/>
        <item x="22"/>
        <item x="179"/>
        <item x="237"/>
        <item x="286"/>
        <item x="332"/>
        <item x="260"/>
        <item x="118"/>
        <item x="104"/>
        <item x="161"/>
        <item x="3"/>
        <item x="255"/>
        <item x="71"/>
        <item x="158"/>
        <item x="219"/>
        <item x="110"/>
        <item x="250"/>
        <item x="100"/>
        <item x="201"/>
        <item x="171"/>
        <item x="315"/>
        <item x="251"/>
        <item x="261"/>
        <item x="144"/>
        <item x="256"/>
        <item x="42"/>
        <item x="172"/>
        <item x="181"/>
        <item x="25"/>
        <item x="141"/>
        <item x="94"/>
        <item x="233"/>
        <item x="209"/>
        <item x="290"/>
        <item x="159"/>
        <item x="207"/>
        <item x="289"/>
        <item x="88"/>
        <item x="235"/>
        <item x="318"/>
        <item x="157"/>
        <item x="183"/>
        <item x="48"/>
        <item x="204"/>
        <item x="98"/>
        <item x="153"/>
        <item x="306"/>
        <item x="37"/>
        <item x="236"/>
        <item x="99"/>
        <item x="52"/>
        <item x="309"/>
        <item x="311"/>
        <item x="284"/>
        <item x="92"/>
        <item x="56"/>
        <item x="213"/>
        <item x="266"/>
        <item x="150"/>
        <item x="259"/>
        <item x="4"/>
        <item x="108"/>
        <item x="133"/>
        <item x="102"/>
        <item x="146"/>
        <item x="189"/>
        <item x="197"/>
        <item x="275"/>
        <item x="336"/>
        <item x="75"/>
        <item x="8"/>
        <item x="76"/>
        <item x="109"/>
        <item x="316"/>
        <item x="301"/>
        <item x="35"/>
        <item x="302"/>
        <item x="65"/>
        <item x="70"/>
        <item x="101"/>
        <item x="164"/>
        <item x="59"/>
        <item x="218"/>
        <item x="116"/>
        <item x="127"/>
        <item x="13"/>
        <item x="262"/>
        <item x="47"/>
        <item x="222"/>
        <item x="74"/>
        <item x="297"/>
        <item x="138"/>
        <item x="173"/>
        <item x="188"/>
        <item x="331"/>
        <item x="278"/>
        <item x="184"/>
        <item x="291"/>
        <item x="220"/>
        <item x="87"/>
        <item x="20"/>
        <item x="7"/>
        <item x="86"/>
        <item x="193"/>
        <item x="113"/>
        <item x="305"/>
        <item x="51"/>
        <item x="296"/>
        <item x="169"/>
        <item x="12"/>
        <item x="53"/>
        <item x="11"/>
        <item x="91"/>
        <item x="18"/>
        <item x="263"/>
        <item x="77"/>
        <item x="321"/>
        <item x="114"/>
        <item x="264"/>
        <item x="107"/>
        <item x="31"/>
        <item x="287"/>
        <item x="24"/>
        <item x="323"/>
        <item x="230"/>
        <item x="83"/>
        <item x="231"/>
        <item x="334"/>
        <item x="229"/>
        <item x="227"/>
        <item x="300"/>
        <item x="175"/>
        <item x="191"/>
        <item x="16"/>
        <item x="190"/>
        <item x="288"/>
        <item x="269"/>
        <item x="217"/>
        <item x="142"/>
        <item x="14"/>
        <item x="200"/>
        <item x="271"/>
        <item x="43"/>
        <item x="202"/>
        <item x="9"/>
        <item x="225"/>
        <item x="277"/>
        <item x="117"/>
        <item x="247"/>
        <item x="40"/>
        <item x="139"/>
        <item x="126"/>
        <item x="72"/>
        <item x="29"/>
        <item x="134"/>
        <item x="85"/>
        <item x="253"/>
        <item x="176"/>
        <item x="120"/>
        <item x="32"/>
        <item x="245"/>
        <item x="45"/>
        <item x="61"/>
        <item x="270"/>
        <item x="206"/>
        <item x="203"/>
        <item x="327"/>
        <item x="151"/>
        <item x="160"/>
        <item x="216"/>
        <item x="333"/>
        <item x="212"/>
        <item x="326"/>
        <item x="208"/>
        <item x="307"/>
        <item x="132"/>
        <item x="79"/>
        <item x="130"/>
        <item x="224"/>
        <item x="57"/>
        <item x="267"/>
        <item x="34"/>
        <item x="273"/>
        <item x="239"/>
        <item x="33"/>
        <item x="78"/>
        <item x="95"/>
        <item x="304"/>
        <item x="69"/>
        <item x="17"/>
        <item x="6"/>
        <item x="68"/>
        <item x="280"/>
        <item x="111"/>
        <item x="329"/>
        <item x="66"/>
        <item x="119"/>
        <item x="303"/>
        <item x="293"/>
        <item x="19"/>
        <item x="131"/>
        <item x="292"/>
        <item x="299"/>
        <item x="308"/>
        <item x="226"/>
        <item x="199"/>
        <item x="149"/>
        <item x="15"/>
        <item x="165"/>
        <item x="54"/>
        <item x="195"/>
        <item x="232"/>
        <item x="73"/>
        <item x="5"/>
        <item x="258"/>
        <item x="295"/>
        <item x="136"/>
        <item x="82"/>
        <item x="97"/>
        <item x="30"/>
        <item x="248"/>
        <item x="55"/>
        <item x="198"/>
        <item x="192"/>
        <item x="279"/>
        <item x="106"/>
        <item x="27"/>
        <item x="205"/>
        <item x="1"/>
        <item x="123"/>
        <item x="324"/>
        <item x="312"/>
        <item x="215"/>
        <item x="238"/>
        <item x="330"/>
        <item x="115"/>
        <item x="221"/>
        <item x="36"/>
        <item x="122"/>
        <item x="265"/>
        <item t="default"/>
      </items>
    </pivotField>
    <pivotField showAll="0"/>
    <pivotField showAll="0"/>
    <pivotField showAll="0"/>
    <pivotField dataField="1" numFmtId="164"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6">
    <i>
      <x/>
    </i>
    <i>
      <x v="1"/>
    </i>
    <i>
      <x v="2"/>
    </i>
    <i>
      <x v="3"/>
    </i>
    <i>
      <x v="4"/>
    </i>
    <i t="grand">
      <x/>
    </i>
  </rowItems>
  <colItems count="1">
    <i/>
  </colItems>
  <dataFields count="1">
    <dataField name="Sum of Trantions" fld="19" baseField="0" baseItem="0" numFmtId="10">
      <extLst>
        <ext xmlns:x14="http://schemas.microsoft.com/office/spreadsheetml/2009/9/main" uri="{E15A36E0-9728-4e99-A89B-3F7291B0FE68}">
          <x14:dataField pivotShowAs="percentOfParentRow"/>
        </ext>
      </extLst>
    </dataField>
  </dataFields>
  <formats count="6">
    <format dxfId="1600">
      <pivotArea type="all" dataOnly="0" outline="0" fieldPosition="0"/>
    </format>
    <format dxfId="1601">
      <pivotArea field="22" type="button" dataOnly="0" labelOnly="1" outline="0"/>
    </format>
    <format dxfId="1602">
      <pivotArea dataOnly="0" labelOnly="1" grandRow="1" outline="0" fieldPosition="0"/>
    </format>
    <format dxfId="1603">
      <pivotArea dataOnly="0" labelOnly="1" outline="0" axis="axisValues" fieldPosition="0"/>
    </format>
    <format dxfId="1604">
      <pivotArea outline="0" collapsedLevelsAreSubtotals="1" fieldPosition="0"/>
    </format>
    <format dxfId="1599">
      <pivotArea outline="0" fieldPosition="0">
        <references count="1">
          <reference field="4294967294" count="1">
            <x v="0"/>
          </reference>
        </references>
      </pivotArea>
    </format>
  </formats>
  <chartFormats count="1">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B4BF94-795B-4488-9523-5D182848D136}" name="PivotTable17" cacheId="51" applyNumberFormats="0" applyBorderFormats="0" applyFontFormats="0" applyPatternFormats="0" applyAlignmentFormats="0" applyWidthHeightFormats="1" dataCaption="Values" updatedVersion="8" minRefreshableVersion="3" showDrill="0" itemPrintTitles="1" createdVersion="8" indent="0" outline="1" outlineData="1" multipleFieldFilters="0" chartFormat="33">
  <location ref="A166:B173" firstHeaderRow="1" firstDataRow="1" firstDataCol="1"/>
  <pivotFields count="23">
    <pivotField showAll="0"/>
    <pivotField showAll="0"/>
    <pivotField showAll="0">
      <items count="3">
        <item x="1"/>
        <item x="0"/>
        <item t="default"/>
      </items>
    </pivotField>
    <pivotField showAll="0"/>
    <pivotField axis="axisRow" showAll="0">
      <items count="7">
        <item x="5"/>
        <item x="0"/>
        <item x="1"/>
        <item x="4"/>
        <item x="3"/>
        <item x="2"/>
        <item t="default"/>
      </items>
    </pivotField>
    <pivotField showAll="0"/>
    <pivotField showAll="0"/>
    <pivotField showAll="0"/>
    <pivotField showAll="0"/>
    <pivotField showAll="0"/>
    <pivotField showAll="0"/>
    <pivotField showAll="0"/>
    <pivotField showAll="0"/>
    <pivotField showAll="0"/>
    <pivotField showAll="0"/>
    <pivotField numFmtId="14" showAll="0">
      <items count="338">
        <item x="168"/>
        <item x="84"/>
        <item x="62"/>
        <item x="322"/>
        <item x="234"/>
        <item x="162"/>
        <item x="166"/>
        <item x="137"/>
        <item x="63"/>
        <item x="90"/>
        <item x="103"/>
        <item x="10"/>
        <item x="58"/>
        <item x="143"/>
        <item x="194"/>
        <item x="96"/>
        <item x="243"/>
        <item x="285"/>
        <item x="185"/>
        <item x="254"/>
        <item x="167"/>
        <item x="50"/>
        <item x="244"/>
        <item x="128"/>
        <item x="145"/>
        <item x="276"/>
        <item x="152"/>
        <item x="121"/>
        <item x="129"/>
        <item x="252"/>
        <item x="257"/>
        <item x="328"/>
        <item x="0"/>
        <item x="180"/>
        <item x="39"/>
        <item x="105"/>
        <item x="242"/>
        <item x="246"/>
        <item x="148"/>
        <item x="282"/>
        <item x="214"/>
        <item x="314"/>
        <item x="196"/>
        <item x="154"/>
        <item x="320"/>
        <item x="28"/>
        <item x="135"/>
        <item x="223"/>
        <item x="170"/>
        <item x="49"/>
        <item x="64"/>
        <item x="140"/>
        <item x="319"/>
        <item x="182"/>
        <item x="228"/>
        <item x="60"/>
        <item x="249"/>
        <item x="38"/>
        <item x="112"/>
        <item x="241"/>
        <item x="325"/>
        <item x="272"/>
        <item x="80"/>
        <item x="174"/>
        <item x="335"/>
        <item x="187"/>
        <item x="89"/>
        <item x="163"/>
        <item x="274"/>
        <item x="211"/>
        <item x="124"/>
        <item x="178"/>
        <item x="240"/>
        <item x="177"/>
        <item x="281"/>
        <item x="294"/>
        <item x="44"/>
        <item x="210"/>
        <item x="21"/>
        <item x="2"/>
        <item x="313"/>
        <item x="317"/>
        <item x="41"/>
        <item x="93"/>
        <item x="46"/>
        <item x="310"/>
        <item x="67"/>
        <item x="23"/>
        <item x="268"/>
        <item x="298"/>
        <item x="155"/>
        <item x="81"/>
        <item x="26"/>
        <item x="125"/>
        <item x="186"/>
        <item x="283"/>
        <item x="147"/>
        <item x="156"/>
        <item x="22"/>
        <item x="179"/>
        <item x="237"/>
        <item x="286"/>
        <item x="332"/>
        <item x="260"/>
        <item x="118"/>
        <item x="104"/>
        <item x="161"/>
        <item x="3"/>
        <item x="255"/>
        <item x="71"/>
        <item x="158"/>
        <item x="219"/>
        <item x="110"/>
        <item x="250"/>
        <item x="100"/>
        <item x="201"/>
        <item x="171"/>
        <item x="315"/>
        <item x="251"/>
        <item x="261"/>
        <item x="144"/>
        <item x="256"/>
        <item x="42"/>
        <item x="172"/>
        <item x="181"/>
        <item x="25"/>
        <item x="141"/>
        <item x="94"/>
        <item x="233"/>
        <item x="209"/>
        <item x="290"/>
        <item x="159"/>
        <item x="207"/>
        <item x="289"/>
        <item x="88"/>
        <item x="235"/>
        <item x="318"/>
        <item x="157"/>
        <item x="183"/>
        <item x="48"/>
        <item x="204"/>
        <item x="98"/>
        <item x="153"/>
        <item x="306"/>
        <item x="37"/>
        <item x="236"/>
        <item x="99"/>
        <item x="52"/>
        <item x="309"/>
        <item x="311"/>
        <item x="284"/>
        <item x="92"/>
        <item x="56"/>
        <item x="213"/>
        <item x="266"/>
        <item x="150"/>
        <item x="259"/>
        <item x="4"/>
        <item x="108"/>
        <item x="133"/>
        <item x="102"/>
        <item x="146"/>
        <item x="189"/>
        <item x="197"/>
        <item x="275"/>
        <item x="336"/>
        <item x="75"/>
        <item x="8"/>
        <item x="76"/>
        <item x="109"/>
        <item x="316"/>
        <item x="301"/>
        <item x="35"/>
        <item x="302"/>
        <item x="65"/>
        <item x="70"/>
        <item x="101"/>
        <item x="164"/>
        <item x="59"/>
        <item x="218"/>
        <item x="116"/>
        <item x="127"/>
        <item x="13"/>
        <item x="262"/>
        <item x="47"/>
        <item x="222"/>
        <item x="74"/>
        <item x="297"/>
        <item x="138"/>
        <item x="173"/>
        <item x="188"/>
        <item x="331"/>
        <item x="278"/>
        <item x="184"/>
        <item x="291"/>
        <item x="220"/>
        <item x="87"/>
        <item x="20"/>
        <item x="7"/>
        <item x="86"/>
        <item x="193"/>
        <item x="113"/>
        <item x="305"/>
        <item x="51"/>
        <item x="296"/>
        <item x="169"/>
        <item x="12"/>
        <item x="53"/>
        <item x="11"/>
        <item x="91"/>
        <item x="18"/>
        <item x="263"/>
        <item x="77"/>
        <item x="321"/>
        <item x="114"/>
        <item x="264"/>
        <item x="107"/>
        <item x="31"/>
        <item x="287"/>
        <item x="24"/>
        <item x="323"/>
        <item x="230"/>
        <item x="83"/>
        <item x="231"/>
        <item x="334"/>
        <item x="229"/>
        <item x="227"/>
        <item x="300"/>
        <item x="175"/>
        <item x="191"/>
        <item x="16"/>
        <item x="190"/>
        <item x="288"/>
        <item x="269"/>
        <item x="217"/>
        <item x="142"/>
        <item x="14"/>
        <item x="200"/>
        <item x="271"/>
        <item x="43"/>
        <item x="202"/>
        <item x="9"/>
        <item x="225"/>
        <item x="277"/>
        <item x="117"/>
        <item x="247"/>
        <item x="40"/>
        <item x="139"/>
        <item x="126"/>
        <item x="72"/>
        <item x="29"/>
        <item x="134"/>
        <item x="85"/>
        <item x="253"/>
        <item x="176"/>
        <item x="120"/>
        <item x="32"/>
        <item x="245"/>
        <item x="45"/>
        <item x="61"/>
        <item x="270"/>
        <item x="206"/>
        <item x="203"/>
        <item x="327"/>
        <item x="151"/>
        <item x="160"/>
        <item x="216"/>
        <item x="333"/>
        <item x="212"/>
        <item x="326"/>
        <item x="208"/>
        <item x="307"/>
        <item x="132"/>
        <item x="79"/>
        <item x="130"/>
        <item x="224"/>
        <item x="57"/>
        <item x="267"/>
        <item x="34"/>
        <item x="273"/>
        <item x="239"/>
        <item x="33"/>
        <item x="78"/>
        <item x="95"/>
        <item x="304"/>
        <item x="69"/>
        <item x="17"/>
        <item x="6"/>
        <item x="68"/>
        <item x="280"/>
        <item x="111"/>
        <item x="329"/>
        <item x="66"/>
        <item x="119"/>
        <item x="303"/>
        <item x="293"/>
        <item x="19"/>
        <item x="131"/>
        <item x="292"/>
        <item x="299"/>
        <item x="308"/>
        <item x="226"/>
        <item x="199"/>
        <item x="149"/>
        <item x="15"/>
        <item x="165"/>
        <item x="54"/>
        <item x="195"/>
        <item x="232"/>
        <item x="73"/>
        <item x="5"/>
        <item x="258"/>
        <item x="295"/>
        <item x="136"/>
        <item x="82"/>
        <item x="97"/>
        <item x="30"/>
        <item x="248"/>
        <item x="55"/>
        <item x="198"/>
        <item x="192"/>
        <item x="279"/>
        <item x="106"/>
        <item x="27"/>
        <item x="205"/>
        <item x="1"/>
        <item x="123"/>
        <item x="324"/>
        <item x="312"/>
        <item x="215"/>
        <item x="238"/>
        <item x="330"/>
        <item x="115"/>
        <item x="221"/>
        <item x="36"/>
        <item x="122"/>
        <item x="265"/>
        <item t="default"/>
      </items>
    </pivotField>
    <pivotField showAll="0"/>
    <pivotField showAll="0"/>
    <pivotField showAll="0"/>
    <pivotField dataField="1" numFmtId="164"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7">
    <i>
      <x/>
    </i>
    <i>
      <x v="1"/>
    </i>
    <i>
      <x v="2"/>
    </i>
    <i>
      <x v="3"/>
    </i>
    <i>
      <x v="4"/>
    </i>
    <i>
      <x v="5"/>
    </i>
    <i t="grand">
      <x/>
    </i>
  </rowItems>
  <colItems count="1">
    <i/>
  </colItems>
  <dataFields count="1">
    <dataField name="Sum of Trantions" fld="19" baseField="0" baseItem="0" numFmtId="173"/>
  </dataFields>
  <formats count="5">
    <format dxfId="1607">
      <pivotArea type="all" dataOnly="0" outline="0" fieldPosition="0"/>
    </format>
    <format dxfId="1608">
      <pivotArea field="22" type="button" dataOnly="0" labelOnly="1" outline="0"/>
    </format>
    <format dxfId="1609">
      <pivotArea dataOnly="0" labelOnly="1" grandRow="1" outline="0" fieldPosition="0"/>
    </format>
    <format dxfId="1610">
      <pivotArea dataOnly="0" labelOnly="1" outline="0" axis="axisValues" fieldPosition="0"/>
    </format>
    <format dxfId="1605">
      <pivotArea outline="0" collapsedLevelsAreSubtotals="1" fieldPosition="0"/>
    </format>
  </formats>
  <chartFormats count="3">
    <chartFormat chart="31" format="6" series="1">
      <pivotArea type="data" outline="0" fieldPosition="0">
        <references count="1">
          <reference field="4294967294" count="1" selected="0">
            <x v="0"/>
          </reference>
        </references>
      </pivotArea>
    </chartFormat>
    <chartFormat chart="31" format="7">
      <pivotArea type="data" outline="0" fieldPosition="0">
        <references count="2">
          <reference field="4294967294" count="1" selected="0">
            <x v="0"/>
          </reference>
          <reference field="4" count="1" selected="0">
            <x v="2"/>
          </reference>
        </references>
      </pivotArea>
    </chartFormat>
    <chartFormat chart="31" format="8">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951449-CFC5-4BED-BE71-ACFD42FB2BC9}" name="PivotTable16" cacheId="51" applyNumberFormats="0" applyBorderFormats="0" applyFontFormats="0" applyPatternFormats="0" applyAlignmentFormats="0" applyWidthHeightFormats="1" dataCaption="Values" updatedVersion="8" minRefreshableVersion="3" showDrill="0" itemPrintTitles="1" createdVersion="8" indent="0" outline="1" outlineData="1" multipleFieldFilters="0" chartFormat="30">
  <location ref="A157:B161" firstHeaderRow="1" firstDataRow="1" firstDataCol="1"/>
  <pivotFields count="23">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338">
        <item x="168"/>
        <item x="84"/>
        <item x="62"/>
        <item x="322"/>
        <item x="234"/>
        <item x="162"/>
        <item x="166"/>
        <item x="137"/>
        <item x="63"/>
        <item x="90"/>
        <item x="103"/>
        <item x="10"/>
        <item x="58"/>
        <item x="143"/>
        <item x="194"/>
        <item x="96"/>
        <item x="243"/>
        <item x="285"/>
        <item x="185"/>
        <item x="254"/>
        <item x="167"/>
        <item x="50"/>
        <item x="244"/>
        <item x="128"/>
        <item x="145"/>
        <item x="276"/>
        <item x="152"/>
        <item x="121"/>
        <item x="129"/>
        <item x="252"/>
        <item x="257"/>
        <item x="328"/>
        <item x="0"/>
        <item x="180"/>
        <item x="39"/>
        <item x="105"/>
        <item x="242"/>
        <item x="246"/>
        <item x="148"/>
        <item x="282"/>
        <item x="214"/>
        <item x="314"/>
        <item x="196"/>
        <item x="154"/>
        <item x="320"/>
        <item x="28"/>
        <item x="135"/>
        <item x="223"/>
        <item x="170"/>
        <item x="49"/>
        <item x="64"/>
        <item x="140"/>
        <item x="319"/>
        <item x="182"/>
        <item x="228"/>
        <item x="60"/>
        <item x="249"/>
        <item x="38"/>
        <item x="112"/>
        <item x="241"/>
        <item x="325"/>
        <item x="272"/>
        <item x="80"/>
        <item x="174"/>
        <item x="335"/>
        <item x="187"/>
        <item x="89"/>
        <item x="163"/>
        <item x="274"/>
        <item x="211"/>
        <item x="124"/>
        <item x="178"/>
        <item x="240"/>
        <item x="177"/>
        <item x="281"/>
        <item x="294"/>
        <item x="44"/>
        <item x="210"/>
        <item x="21"/>
        <item x="2"/>
        <item x="313"/>
        <item x="317"/>
        <item x="41"/>
        <item x="93"/>
        <item x="46"/>
        <item x="310"/>
        <item x="67"/>
        <item x="23"/>
        <item x="268"/>
        <item x="298"/>
        <item x="155"/>
        <item x="81"/>
        <item x="26"/>
        <item x="125"/>
        <item x="186"/>
        <item x="283"/>
        <item x="147"/>
        <item x="156"/>
        <item x="22"/>
        <item x="179"/>
        <item x="237"/>
        <item x="286"/>
        <item x="332"/>
        <item x="260"/>
        <item x="118"/>
        <item x="104"/>
        <item x="161"/>
        <item x="3"/>
        <item x="255"/>
        <item x="71"/>
        <item x="158"/>
        <item x="219"/>
        <item x="110"/>
        <item x="250"/>
        <item x="100"/>
        <item x="201"/>
        <item x="171"/>
        <item x="315"/>
        <item x="251"/>
        <item x="261"/>
        <item x="144"/>
        <item x="256"/>
        <item x="42"/>
        <item x="172"/>
        <item x="181"/>
        <item x="25"/>
        <item x="141"/>
        <item x="94"/>
        <item x="233"/>
        <item x="209"/>
        <item x="290"/>
        <item x="159"/>
        <item x="207"/>
        <item x="289"/>
        <item x="88"/>
        <item x="235"/>
        <item x="318"/>
        <item x="157"/>
        <item x="183"/>
        <item x="48"/>
        <item x="204"/>
        <item x="98"/>
        <item x="153"/>
        <item x="306"/>
        <item x="37"/>
        <item x="236"/>
        <item x="99"/>
        <item x="52"/>
        <item x="309"/>
        <item x="311"/>
        <item x="284"/>
        <item x="92"/>
        <item x="56"/>
        <item x="213"/>
        <item x="266"/>
        <item x="150"/>
        <item x="259"/>
        <item x="4"/>
        <item x="108"/>
        <item x="133"/>
        <item x="102"/>
        <item x="146"/>
        <item x="189"/>
        <item x="197"/>
        <item x="275"/>
        <item x="336"/>
        <item x="75"/>
        <item x="8"/>
        <item x="76"/>
        <item x="109"/>
        <item x="316"/>
        <item x="301"/>
        <item x="35"/>
        <item x="302"/>
        <item x="65"/>
        <item x="70"/>
        <item x="101"/>
        <item x="164"/>
        <item x="59"/>
        <item x="218"/>
        <item x="116"/>
        <item x="127"/>
        <item x="13"/>
        <item x="262"/>
        <item x="47"/>
        <item x="222"/>
        <item x="74"/>
        <item x="297"/>
        <item x="138"/>
        <item x="173"/>
        <item x="188"/>
        <item x="331"/>
        <item x="278"/>
        <item x="184"/>
        <item x="291"/>
        <item x="220"/>
        <item x="87"/>
        <item x="20"/>
        <item x="7"/>
        <item x="86"/>
        <item x="193"/>
        <item x="113"/>
        <item x="305"/>
        <item x="51"/>
        <item x="296"/>
        <item x="169"/>
        <item x="12"/>
        <item x="53"/>
        <item x="11"/>
        <item x="91"/>
        <item x="18"/>
        <item x="263"/>
        <item x="77"/>
        <item x="321"/>
        <item x="114"/>
        <item x="264"/>
        <item x="107"/>
        <item x="31"/>
        <item x="287"/>
        <item x="24"/>
        <item x="323"/>
        <item x="230"/>
        <item x="83"/>
        <item x="231"/>
        <item x="334"/>
        <item x="229"/>
        <item x="227"/>
        <item x="300"/>
        <item x="175"/>
        <item x="191"/>
        <item x="16"/>
        <item x="190"/>
        <item x="288"/>
        <item x="269"/>
        <item x="217"/>
        <item x="142"/>
        <item x="14"/>
        <item x="200"/>
        <item x="271"/>
        <item x="43"/>
        <item x="202"/>
        <item x="9"/>
        <item x="225"/>
        <item x="277"/>
        <item x="117"/>
        <item x="247"/>
        <item x="40"/>
        <item x="139"/>
        <item x="126"/>
        <item x="72"/>
        <item x="29"/>
        <item x="134"/>
        <item x="85"/>
        <item x="253"/>
        <item x="176"/>
        <item x="120"/>
        <item x="32"/>
        <item x="245"/>
        <item x="45"/>
        <item x="61"/>
        <item x="270"/>
        <item x="206"/>
        <item x="203"/>
        <item x="327"/>
        <item x="151"/>
        <item x="160"/>
        <item x="216"/>
        <item x="333"/>
        <item x="212"/>
        <item x="326"/>
        <item x="208"/>
        <item x="307"/>
        <item x="132"/>
        <item x="79"/>
        <item x="130"/>
        <item x="224"/>
        <item x="57"/>
        <item x="267"/>
        <item x="34"/>
        <item x="273"/>
        <item x="239"/>
        <item x="33"/>
        <item x="78"/>
        <item x="95"/>
        <item x="304"/>
        <item x="69"/>
        <item x="17"/>
        <item x="6"/>
        <item x="68"/>
        <item x="280"/>
        <item x="111"/>
        <item x="329"/>
        <item x="66"/>
        <item x="119"/>
        <item x="303"/>
        <item x="293"/>
        <item x="19"/>
        <item x="131"/>
        <item x="292"/>
        <item x="299"/>
        <item x="308"/>
        <item x="226"/>
        <item x="199"/>
        <item x="149"/>
        <item x="15"/>
        <item x="165"/>
        <item x="54"/>
        <item x="195"/>
        <item x="232"/>
        <item x="73"/>
        <item x="5"/>
        <item x="258"/>
        <item x="295"/>
        <item x="136"/>
        <item x="82"/>
        <item x="97"/>
        <item x="30"/>
        <item x="248"/>
        <item x="55"/>
        <item x="198"/>
        <item x="192"/>
        <item x="279"/>
        <item x="106"/>
        <item x="27"/>
        <item x="205"/>
        <item x="1"/>
        <item x="123"/>
        <item x="324"/>
        <item x="312"/>
        <item x="215"/>
        <item x="238"/>
        <item x="330"/>
        <item x="115"/>
        <item x="221"/>
        <item x="36"/>
        <item x="122"/>
        <item x="265"/>
        <item t="default"/>
      </items>
    </pivotField>
    <pivotField showAll="0"/>
    <pivotField showAll="0"/>
    <pivotField axis="axisRow" dataField="1" showAll="0">
      <items count="4">
        <item x="2"/>
        <item x="1"/>
        <item x="0"/>
        <item t="default"/>
      </items>
    </pivotField>
    <pivotField numFmtId="164"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8"/>
  </rowFields>
  <rowItems count="4">
    <i>
      <x/>
    </i>
    <i>
      <x v="1"/>
    </i>
    <i>
      <x v="2"/>
    </i>
    <i t="grand">
      <x/>
    </i>
  </rowItems>
  <colItems count="1">
    <i/>
  </colItems>
  <dataFields count="1">
    <dataField name="Count of Credit Score" fld="18" subtotal="count" baseField="0" baseItem="0" numFmtId="10">
      <extLst>
        <ext xmlns:x14="http://schemas.microsoft.com/office/spreadsheetml/2009/9/main" uri="{E15A36E0-9728-4e99-A89B-3F7291B0FE68}">
          <x14:dataField pivotShowAs="percentOfParentRow"/>
        </ext>
      </extLst>
    </dataField>
  </dataFields>
  <formats count="6">
    <format dxfId="1612">
      <pivotArea type="all" dataOnly="0" outline="0" fieldPosition="0"/>
    </format>
    <format dxfId="1613">
      <pivotArea field="22" type="button" dataOnly="0" labelOnly="1" outline="0"/>
    </format>
    <format dxfId="1614">
      <pivotArea dataOnly="0" labelOnly="1" grandRow="1" outline="0" fieldPosition="0"/>
    </format>
    <format dxfId="1615">
      <pivotArea dataOnly="0" labelOnly="1" outline="0" axis="axisValues" fieldPosition="0"/>
    </format>
    <format dxfId="1616">
      <pivotArea outline="0" collapsedLevelsAreSubtotals="1" fieldPosition="0"/>
    </format>
    <format dxfId="1611">
      <pivotArea outline="0" fieldPosition="0">
        <references count="1">
          <reference field="4294967294" count="1">
            <x v="0"/>
          </reference>
        </references>
      </pivotArea>
    </format>
  </formats>
  <chartFormats count="4">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18" count="1" selected="0">
            <x v="0"/>
          </reference>
        </references>
      </pivotArea>
    </chartFormat>
    <chartFormat chart="25" format="10">
      <pivotArea type="data" outline="0" fieldPosition="0">
        <references count="2">
          <reference field="4294967294" count="1" selected="0">
            <x v="0"/>
          </reference>
          <reference field="18" count="1" selected="0">
            <x v="1"/>
          </reference>
        </references>
      </pivotArea>
    </chartFormat>
    <chartFormat chart="25" format="1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0A50816-8175-4140-9BC2-442E1FC2562C}" name="PivotTable15" cacheId="51" applyNumberFormats="0" applyBorderFormats="0" applyFontFormats="0" applyPatternFormats="0" applyAlignmentFormats="0" applyWidthHeightFormats="1" dataCaption="Values" updatedVersion="8" minRefreshableVersion="3" showDrill="0" itemPrintTitles="1" createdVersion="8" indent="0" outline="1" outlineData="1" multipleFieldFilters="0" chartFormat="27">
  <location ref="A137:C150" firstHeaderRow="0" firstDataRow="1" firstDataCol="1"/>
  <pivotFields count="23">
    <pivotField showAll="0"/>
    <pivotField showAll="0"/>
    <pivotField showAll="0">
      <items count="3">
        <item x="1"/>
        <item x="0"/>
        <item t="default"/>
      </items>
    </pivotField>
    <pivotField showAll="0"/>
    <pivotField showAll="0"/>
    <pivotField dataField="1" showAll="0"/>
    <pivotField showAll="0"/>
    <pivotField dataField="1" showAll="0"/>
    <pivotField showAll="0"/>
    <pivotField showAll="0"/>
    <pivotField showAll="0"/>
    <pivotField showAll="0"/>
    <pivotField showAll="0"/>
    <pivotField showAll="0"/>
    <pivotField showAll="0"/>
    <pivotField numFmtId="14" showAll="0">
      <items count="338">
        <item x="168"/>
        <item x="84"/>
        <item x="62"/>
        <item x="322"/>
        <item x="234"/>
        <item x="162"/>
        <item x="166"/>
        <item x="137"/>
        <item x="63"/>
        <item x="90"/>
        <item x="103"/>
        <item x="10"/>
        <item x="58"/>
        <item x="143"/>
        <item x="194"/>
        <item x="96"/>
        <item x="243"/>
        <item x="285"/>
        <item x="185"/>
        <item x="254"/>
        <item x="167"/>
        <item x="50"/>
        <item x="244"/>
        <item x="128"/>
        <item x="145"/>
        <item x="276"/>
        <item x="152"/>
        <item x="121"/>
        <item x="129"/>
        <item x="252"/>
        <item x="257"/>
        <item x="328"/>
        <item x="0"/>
        <item x="180"/>
        <item x="39"/>
        <item x="105"/>
        <item x="242"/>
        <item x="246"/>
        <item x="148"/>
        <item x="282"/>
        <item x="214"/>
        <item x="314"/>
        <item x="196"/>
        <item x="154"/>
        <item x="320"/>
        <item x="28"/>
        <item x="135"/>
        <item x="223"/>
        <item x="170"/>
        <item x="49"/>
        <item x="64"/>
        <item x="140"/>
        <item x="319"/>
        <item x="182"/>
        <item x="228"/>
        <item x="60"/>
        <item x="249"/>
        <item x="38"/>
        <item x="112"/>
        <item x="241"/>
        <item x="325"/>
        <item x="272"/>
        <item x="80"/>
        <item x="174"/>
        <item x="335"/>
        <item x="187"/>
        <item x="89"/>
        <item x="163"/>
        <item x="274"/>
        <item x="211"/>
        <item x="124"/>
        <item x="178"/>
        <item x="240"/>
        <item x="177"/>
        <item x="281"/>
        <item x="294"/>
        <item x="44"/>
        <item x="210"/>
        <item x="21"/>
        <item x="2"/>
        <item x="313"/>
        <item x="317"/>
        <item x="41"/>
        <item x="93"/>
        <item x="46"/>
        <item x="310"/>
        <item x="67"/>
        <item x="23"/>
        <item x="268"/>
        <item x="298"/>
        <item x="155"/>
        <item x="81"/>
        <item x="26"/>
        <item x="125"/>
        <item x="186"/>
        <item x="283"/>
        <item x="147"/>
        <item x="156"/>
        <item x="22"/>
        <item x="179"/>
        <item x="237"/>
        <item x="286"/>
        <item x="332"/>
        <item x="260"/>
        <item x="118"/>
        <item x="104"/>
        <item x="161"/>
        <item x="3"/>
        <item x="255"/>
        <item x="71"/>
        <item x="158"/>
        <item x="219"/>
        <item x="110"/>
        <item x="250"/>
        <item x="100"/>
        <item x="201"/>
        <item x="171"/>
        <item x="315"/>
        <item x="251"/>
        <item x="261"/>
        <item x="144"/>
        <item x="256"/>
        <item x="42"/>
        <item x="172"/>
        <item x="181"/>
        <item x="25"/>
        <item x="141"/>
        <item x="94"/>
        <item x="233"/>
        <item x="209"/>
        <item x="290"/>
        <item x="159"/>
        <item x="207"/>
        <item x="289"/>
        <item x="88"/>
        <item x="235"/>
        <item x="318"/>
        <item x="157"/>
        <item x="183"/>
        <item x="48"/>
        <item x="204"/>
        <item x="98"/>
        <item x="153"/>
        <item x="306"/>
        <item x="37"/>
        <item x="236"/>
        <item x="99"/>
        <item x="52"/>
        <item x="309"/>
        <item x="311"/>
        <item x="284"/>
        <item x="92"/>
        <item x="56"/>
        <item x="213"/>
        <item x="266"/>
        <item x="150"/>
        <item x="259"/>
        <item x="4"/>
        <item x="108"/>
        <item x="133"/>
        <item x="102"/>
        <item x="146"/>
        <item x="189"/>
        <item x="197"/>
        <item x="275"/>
        <item x="336"/>
        <item x="75"/>
        <item x="8"/>
        <item x="76"/>
        <item x="109"/>
        <item x="316"/>
        <item x="301"/>
        <item x="35"/>
        <item x="302"/>
        <item x="65"/>
        <item x="70"/>
        <item x="101"/>
        <item x="164"/>
        <item x="59"/>
        <item x="218"/>
        <item x="116"/>
        <item x="127"/>
        <item x="13"/>
        <item x="262"/>
        <item x="47"/>
        <item x="222"/>
        <item x="74"/>
        <item x="297"/>
        <item x="138"/>
        <item x="173"/>
        <item x="188"/>
        <item x="331"/>
        <item x="278"/>
        <item x="184"/>
        <item x="291"/>
        <item x="220"/>
        <item x="87"/>
        <item x="20"/>
        <item x="7"/>
        <item x="86"/>
        <item x="193"/>
        <item x="113"/>
        <item x="305"/>
        <item x="51"/>
        <item x="296"/>
        <item x="169"/>
        <item x="12"/>
        <item x="53"/>
        <item x="11"/>
        <item x="91"/>
        <item x="18"/>
        <item x="263"/>
        <item x="77"/>
        <item x="321"/>
        <item x="114"/>
        <item x="264"/>
        <item x="107"/>
        <item x="31"/>
        <item x="287"/>
        <item x="24"/>
        <item x="323"/>
        <item x="230"/>
        <item x="83"/>
        <item x="231"/>
        <item x="334"/>
        <item x="229"/>
        <item x="227"/>
        <item x="300"/>
        <item x="175"/>
        <item x="191"/>
        <item x="16"/>
        <item x="190"/>
        <item x="288"/>
        <item x="269"/>
        <item x="217"/>
        <item x="142"/>
        <item x="14"/>
        <item x="200"/>
        <item x="271"/>
        <item x="43"/>
        <item x="202"/>
        <item x="9"/>
        <item x="225"/>
        <item x="277"/>
        <item x="117"/>
        <item x="247"/>
        <item x="40"/>
        <item x="139"/>
        <item x="126"/>
        <item x="72"/>
        <item x="29"/>
        <item x="134"/>
        <item x="85"/>
        <item x="253"/>
        <item x="176"/>
        <item x="120"/>
        <item x="32"/>
        <item x="245"/>
        <item x="45"/>
        <item x="61"/>
        <item x="270"/>
        <item x="206"/>
        <item x="203"/>
        <item x="327"/>
        <item x="151"/>
        <item x="160"/>
        <item x="216"/>
        <item x="333"/>
        <item x="212"/>
        <item x="326"/>
        <item x="208"/>
        <item x="307"/>
        <item x="132"/>
        <item x="79"/>
        <item x="130"/>
        <item x="224"/>
        <item x="57"/>
        <item x="267"/>
        <item x="34"/>
        <item x="273"/>
        <item x="239"/>
        <item x="33"/>
        <item x="78"/>
        <item x="95"/>
        <item x="304"/>
        <item x="69"/>
        <item x="17"/>
        <item x="6"/>
        <item x="68"/>
        <item x="280"/>
        <item x="111"/>
        <item x="329"/>
        <item x="66"/>
        <item x="119"/>
        <item x="303"/>
        <item x="293"/>
        <item x="19"/>
        <item x="131"/>
        <item x="292"/>
        <item x="299"/>
        <item x="308"/>
        <item x="226"/>
        <item x="199"/>
        <item x="149"/>
        <item x="15"/>
        <item x="165"/>
        <item x="54"/>
        <item x="195"/>
        <item x="232"/>
        <item x="73"/>
        <item x="5"/>
        <item x="258"/>
        <item x="295"/>
        <item x="136"/>
        <item x="82"/>
        <item x="97"/>
        <item x="30"/>
        <item x="248"/>
        <item x="55"/>
        <item x="198"/>
        <item x="192"/>
        <item x="279"/>
        <item x="106"/>
        <item x="27"/>
        <item x="205"/>
        <item x="1"/>
        <item x="123"/>
        <item x="324"/>
        <item x="312"/>
        <item x="215"/>
        <item x="238"/>
        <item x="330"/>
        <item x="115"/>
        <item x="221"/>
        <item x="36"/>
        <item x="122"/>
        <item x="265"/>
        <item t="default"/>
      </items>
    </pivotField>
    <pivotField showAll="0"/>
    <pivotField showAll="0"/>
    <pivotField showAll="0"/>
    <pivotField numFmtId="164"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Deposit_Amount" fld="5" baseField="0" baseItem="0" numFmtId="173"/>
    <dataField name="Sum of Withdrawal_Amount" fld="7" baseField="0" baseItem="0"/>
  </dataFields>
  <formats count="6">
    <format dxfId="1619">
      <pivotArea type="all" dataOnly="0" outline="0" fieldPosition="0"/>
    </format>
    <format dxfId="1620">
      <pivotArea field="22" type="button" dataOnly="0" labelOnly="1" outline="0" axis="axisRow" fieldPosition="0"/>
    </format>
    <format dxfId="1621">
      <pivotArea dataOnly="0" labelOnly="1" grandRow="1" outline="0" fieldPosition="0"/>
    </format>
    <format dxfId="1622">
      <pivotArea dataOnly="0" labelOnly="1" outline="0" axis="axisValues" fieldPosition="0"/>
    </format>
    <format dxfId="1623">
      <pivotArea outline="0" collapsedLevelsAreSubtotals="1" fieldPosition="0"/>
    </format>
    <format dxfId="1618">
      <pivotArea outline="0" collapsedLevelsAreSubtotals="1" fieldPosition="0">
        <references count="1">
          <reference field="4294967294" count="1" selected="0">
            <x v="0"/>
          </reference>
        </references>
      </pivotArea>
    </format>
  </formats>
  <chartFormats count="4">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2D2D363-0A08-4CC4-8511-F04986D822B0}" name="PivotTable14" cacheId="51" applyNumberFormats="0" applyBorderFormats="0" applyFontFormats="0" applyPatternFormats="0" applyAlignmentFormats="0" applyWidthHeightFormats="1" dataCaption="Values" updatedVersion="8" minRefreshableVersion="3" showDrill="0" itemPrintTitles="1" createdVersion="8" indent="0" outline="1" outlineData="1" multipleFieldFilters="0" chartFormat="19">
  <location ref="A118:B131" firstHeaderRow="1" firstDataRow="1" firstDataCol="1"/>
  <pivotFields count="23">
    <pivotField showAll="0"/>
    <pivotField showAll="0"/>
    <pivotField showAll="0">
      <items count="3">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numFmtId="14" showAll="0">
      <items count="338">
        <item x="168"/>
        <item x="84"/>
        <item x="62"/>
        <item x="322"/>
        <item x="234"/>
        <item x="162"/>
        <item x="166"/>
        <item x="137"/>
        <item x="63"/>
        <item x="90"/>
        <item x="103"/>
        <item x="10"/>
        <item x="58"/>
        <item x="143"/>
        <item x="194"/>
        <item x="96"/>
        <item x="243"/>
        <item x="285"/>
        <item x="185"/>
        <item x="254"/>
        <item x="167"/>
        <item x="50"/>
        <item x="244"/>
        <item x="128"/>
        <item x="145"/>
        <item x="276"/>
        <item x="152"/>
        <item x="121"/>
        <item x="129"/>
        <item x="252"/>
        <item x="257"/>
        <item x="328"/>
        <item x="0"/>
        <item x="180"/>
        <item x="39"/>
        <item x="105"/>
        <item x="242"/>
        <item x="246"/>
        <item x="148"/>
        <item x="282"/>
        <item x="214"/>
        <item x="314"/>
        <item x="196"/>
        <item x="154"/>
        <item x="320"/>
        <item x="28"/>
        <item x="135"/>
        <item x="223"/>
        <item x="170"/>
        <item x="49"/>
        <item x="64"/>
        <item x="140"/>
        <item x="319"/>
        <item x="182"/>
        <item x="228"/>
        <item x="60"/>
        <item x="249"/>
        <item x="38"/>
        <item x="112"/>
        <item x="241"/>
        <item x="325"/>
        <item x="272"/>
        <item x="80"/>
        <item x="174"/>
        <item x="335"/>
        <item x="187"/>
        <item x="89"/>
        <item x="163"/>
        <item x="274"/>
        <item x="211"/>
        <item x="124"/>
        <item x="178"/>
        <item x="240"/>
        <item x="177"/>
        <item x="281"/>
        <item x="294"/>
        <item x="44"/>
        <item x="210"/>
        <item x="21"/>
        <item x="2"/>
        <item x="313"/>
        <item x="317"/>
        <item x="41"/>
        <item x="93"/>
        <item x="46"/>
        <item x="310"/>
        <item x="67"/>
        <item x="23"/>
        <item x="268"/>
        <item x="298"/>
        <item x="155"/>
        <item x="81"/>
        <item x="26"/>
        <item x="125"/>
        <item x="186"/>
        <item x="283"/>
        <item x="147"/>
        <item x="156"/>
        <item x="22"/>
        <item x="179"/>
        <item x="237"/>
        <item x="286"/>
        <item x="332"/>
        <item x="260"/>
        <item x="118"/>
        <item x="104"/>
        <item x="161"/>
        <item x="3"/>
        <item x="255"/>
        <item x="71"/>
        <item x="158"/>
        <item x="219"/>
        <item x="110"/>
        <item x="250"/>
        <item x="100"/>
        <item x="201"/>
        <item x="171"/>
        <item x="315"/>
        <item x="251"/>
        <item x="261"/>
        <item x="144"/>
        <item x="256"/>
        <item x="42"/>
        <item x="172"/>
        <item x="181"/>
        <item x="25"/>
        <item x="141"/>
        <item x="94"/>
        <item x="233"/>
        <item x="209"/>
        <item x="290"/>
        <item x="159"/>
        <item x="207"/>
        <item x="289"/>
        <item x="88"/>
        <item x="235"/>
        <item x="318"/>
        <item x="157"/>
        <item x="183"/>
        <item x="48"/>
        <item x="204"/>
        <item x="98"/>
        <item x="153"/>
        <item x="306"/>
        <item x="37"/>
        <item x="236"/>
        <item x="99"/>
        <item x="52"/>
        <item x="309"/>
        <item x="311"/>
        <item x="284"/>
        <item x="92"/>
        <item x="56"/>
        <item x="213"/>
        <item x="266"/>
        <item x="150"/>
        <item x="259"/>
        <item x="4"/>
        <item x="108"/>
        <item x="133"/>
        <item x="102"/>
        <item x="146"/>
        <item x="189"/>
        <item x="197"/>
        <item x="275"/>
        <item x="336"/>
        <item x="75"/>
        <item x="8"/>
        <item x="76"/>
        <item x="109"/>
        <item x="316"/>
        <item x="301"/>
        <item x="35"/>
        <item x="302"/>
        <item x="65"/>
        <item x="70"/>
        <item x="101"/>
        <item x="164"/>
        <item x="59"/>
        <item x="218"/>
        <item x="116"/>
        <item x="127"/>
        <item x="13"/>
        <item x="262"/>
        <item x="47"/>
        <item x="222"/>
        <item x="74"/>
        <item x="297"/>
        <item x="138"/>
        <item x="173"/>
        <item x="188"/>
        <item x="331"/>
        <item x="278"/>
        <item x="184"/>
        <item x="291"/>
        <item x="220"/>
        <item x="87"/>
        <item x="20"/>
        <item x="7"/>
        <item x="86"/>
        <item x="193"/>
        <item x="113"/>
        <item x="305"/>
        <item x="51"/>
        <item x="296"/>
        <item x="169"/>
        <item x="12"/>
        <item x="53"/>
        <item x="11"/>
        <item x="91"/>
        <item x="18"/>
        <item x="263"/>
        <item x="77"/>
        <item x="321"/>
        <item x="114"/>
        <item x="264"/>
        <item x="107"/>
        <item x="31"/>
        <item x="287"/>
        <item x="24"/>
        <item x="323"/>
        <item x="230"/>
        <item x="83"/>
        <item x="231"/>
        <item x="334"/>
        <item x="229"/>
        <item x="227"/>
        <item x="300"/>
        <item x="175"/>
        <item x="191"/>
        <item x="16"/>
        <item x="190"/>
        <item x="288"/>
        <item x="269"/>
        <item x="217"/>
        <item x="142"/>
        <item x="14"/>
        <item x="200"/>
        <item x="271"/>
        <item x="43"/>
        <item x="202"/>
        <item x="9"/>
        <item x="225"/>
        <item x="277"/>
        <item x="117"/>
        <item x="247"/>
        <item x="40"/>
        <item x="139"/>
        <item x="126"/>
        <item x="72"/>
        <item x="29"/>
        <item x="134"/>
        <item x="85"/>
        <item x="253"/>
        <item x="176"/>
        <item x="120"/>
        <item x="32"/>
        <item x="245"/>
        <item x="45"/>
        <item x="61"/>
        <item x="270"/>
        <item x="206"/>
        <item x="203"/>
        <item x="327"/>
        <item x="151"/>
        <item x="160"/>
        <item x="216"/>
        <item x="333"/>
        <item x="212"/>
        <item x="326"/>
        <item x="208"/>
        <item x="307"/>
        <item x="132"/>
        <item x="79"/>
        <item x="130"/>
        <item x="224"/>
        <item x="57"/>
        <item x="267"/>
        <item x="34"/>
        <item x="273"/>
        <item x="239"/>
        <item x="33"/>
        <item x="78"/>
        <item x="95"/>
        <item x="304"/>
        <item x="69"/>
        <item x="17"/>
        <item x="6"/>
        <item x="68"/>
        <item x="280"/>
        <item x="111"/>
        <item x="329"/>
        <item x="66"/>
        <item x="119"/>
        <item x="303"/>
        <item x="293"/>
        <item x="19"/>
        <item x="131"/>
        <item x="292"/>
        <item x="299"/>
        <item x="308"/>
        <item x="226"/>
        <item x="199"/>
        <item x="149"/>
        <item x="15"/>
        <item x="165"/>
        <item x="54"/>
        <item x="195"/>
        <item x="232"/>
        <item x="73"/>
        <item x="5"/>
        <item x="258"/>
        <item x="295"/>
        <item x="136"/>
        <item x="82"/>
        <item x="97"/>
        <item x="30"/>
        <item x="248"/>
        <item x="55"/>
        <item x="198"/>
        <item x="192"/>
        <item x="279"/>
        <item x="106"/>
        <item x="27"/>
        <item x="205"/>
        <item x="1"/>
        <item x="123"/>
        <item x="324"/>
        <item x="312"/>
        <item x="215"/>
        <item x="238"/>
        <item x="330"/>
        <item x="115"/>
        <item x="221"/>
        <item x="36"/>
        <item x="122"/>
        <item x="265"/>
        <item t="default"/>
      </items>
    </pivotField>
    <pivotField showAll="0"/>
    <pivotField showAll="0"/>
    <pivotField showAll="0"/>
    <pivotField numFmtId="164"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2"/>
  </rowFields>
  <rowItems count="13">
    <i>
      <x v="1"/>
    </i>
    <i>
      <x v="2"/>
    </i>
    <i>
      <x v="3"/>
    </i>
    <i>
      <x v="4"/>
    </i>
    <i>
      <x v="5"/>
    </i>
    <i>
      <x v="6"/>
    </i>
    <i>
      <x v="7"/>
    </i>
    <i>
      <x v="8"/>
    </i>
    <i>
      <x v="9"/>
    </i>
    <i>
      <x v="10"/>
    </i>
    <i>
      <x v="11"/>
    </i>
    <i>
      <x v="12"/>
    </i>
    <i t="grand">
      <x/>
    </i>
  </rowItems>
  <colItems count="1">
    <i/>
  </colItems>
  <dataFields count="1">
    <dataField name="Sum of Withdrawal_Amount" fld="7" baseField="0" baseItem="0" numFmtId="173"/>
  </dataFields>
  <formats count="7">
    <format dxfId="1626">
      <pivotArea type="all" dataOnly="0" outline="0" fieldPosition="0"/>
    </format>
    <format dxfId="1627">
      <pivotArea field="22" type="button" dataOnly="0" labelOnly="1" outline="0" axis="axisRow" fieldPosition="0"/>
    </format>
    <format dxfId="1628">
      <pivotArea dataOnly="0" labelOnly="1" fieldPosition="0">
        <references count="1">
          <reference field="22" count="12">
            <x v="1"/>
            <x v="2"/>
            <x v="3"/>
            <x v="4"/>
            <x v="5"/>
            <x v="6"/>
            <x v="7"/>
            <x v="8"/>
            <x v="9"/>
            <x v="10"/>
            <x v="11"/>
            <x v="12"/>
          </reference>
        </references>
      </pivotArea>
    </format>
    <format dxfId="1629">
      <pivotArea dataOnly="0" labelOnly="1" grandRow="1" outline="0" fieldPosition="0"/>
    </format>
    <format dxfId="1630">
      <pivotArea dataOnly="0" labelOnly="1" outline="0" axis="axisValues" fieldPosition="0"/>
    </format>
    <format dxfId="1625">
      <pivotArea collapsedLevelsAreSubtotals="1" fieldPosition="0">
        <references count="1">
          <reference field="22" count="1">
            <x v="3"/>
          </reference>
        </references>
      </pivotArea>
    </format>
    <format dxfId="1624">
      <pivotArea outline="0" collapsedLevelsAreSubtotals="1" fieldPosition="0"/>
    </format>
  </format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A40B299-8D7F-4FBA-9B44-FCAFBBC06A1B}" name="PivotTable13" cacheId="51" applyNumberFormats="0" applyBorderFormats="0" applyFontFormats="0" applyPatternFormats="0" applyAlignmentFormats="0" applyWidthHeightFormats="1" dataCaption="Values" updatedVersion="8" minRefreshableVersion="3" showDrill="0" itemPrintTitles="1" createdVersion="8" indent="0" outline="1" outlineData="1" multipleFieldFilters="0" chartFormat="16">
  <location ref="A101:B114" firstHeaderRow="1" firstDataRow="1" firstDataCol="1"/>
  <pivotFields count="23">
    <pivotField showAll="0"/>
    <pivotField showAll="0"/>
    <pivotField showAll="0">
      <items count="3">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numFmtId="14" showAll="0">
      <items count="338">
        <item x="168"/>
        <item x="84"/>
        <item x="62"/>
        <item x="322"/>
        <item x="234"/>
        <item x="162"/>
        <item x="166"/>
        <item x="137"/>
        <item x="63"/>
        <item x="90"/>
        <item x="103"/>
        <item x="10"/>
        <item x="58"/>
        <item x="143"/>
        <item x="194"/>
        <item x="96"/>
        <item x="243"/>
        <item x="285"/>
        <item x="185"/>
        <item x="254"/>
        <item x="167"/>
        <item x="50"/>
        <item x="244"/>
        <item x="128"/>
        <item x="145"/>
        <item x="276"/>
        <item x="152"/>
        <item x="121"/>
        <item x="129"/>
        <item x="252"/>
        <item x="257"/>
        <item x="328"/>
        <item x="0"/>
        <item x="180"/>
        <item x="39"/>
        <item x="105"/>
        <item x="242"/>
        <item x="246"/>
        <item x="148"/>
        <item x="282"/>
        <item x="214"/>
        <item x="314"/>
        <item x="196"/>
        <item x="154"/>
        <item x="320"/>
        <item x="28"/>
        <item x="135"/>
        <item x="223"/>
        <item x="170"/>
        <item x="49"/>
        <item x="64"/>
        <item x="140"/>
        <item x="319"/>
        <item x="182"/>
        <item x="228"/>
        <item x="60"/>
        <item x="249"/>
        <item x="38"/>
        <item x="112"/>
        <item x="241"/>
        <item x="325"/>
        <item x="272"/>
        <item x="80"/>
        <item x="174"/>
        <item x="335"/>
        <item x="187"/>
        <item x="89"/>
        <item x="163"/>
        <item x="274"/>
        <item x="211"/>
        <item x="124"/>
        <item x="178"/>
        <item x="240"/>
        <item x="177"/>
        <item x="281"/>
        <item x="294"/>
        <item x="44"/>
        <item x="210"/>
        <item x="21"/>
        <item x="2"/>
        <item x="313"/>
        <item x="317"/>
        <item x="41"/>
        <item x="93"/>
        <item x="46"/>
        <item x="310"/>
        <item x="67"/>
        <item x="23"/>
        <item x="268"/>
        <item x="298"/>
        <item x="155"/>
        <item x="81"/>
        <item x="26"/>
        <item x="125"/>
        <item x="186"/>
        <item x="283"/>
        <item x="147"/>
        <item x="156"/>
        <item x="22"/>
        <item x="179"/>
        <item x="237"/>
        <item x="286"/>
        <item x="332"/>
        <item x="260"/>
        <item x="118"/>
        <item x="104"/>
        <item x="161"/>
        <item x="3"/>
        <item x="255"/>
        <item x="71"/>
        <item x="158"/>
        <item x="219"/>
        <item x="110"/>
        <item x="250"/>
        <item x="100"/>
        <item x="201"/>
        <item x="171"/>
        <item x="315"/>
        <item x="251"/>
        <item x="261"/>
        <item x="144"/>
        <item x="256"/>
        <item x="42"/>
        <item x="172"/>
        <item x="181"/>
        <item x="25"/>
        <item x="141"/>
        <item x="94"/>
        <item x="233"/>
        <item x="209"/>
        <item x="290"/>
        <item x="159"/>
        <item x="207"/>
        <item x="289"/>
        <item x="88"/>
        <item x="235"/>
        <item x="318"/>
        <item x="157"/>
        <item x="183"/>
        <item x="48"/>
        <item x="204"/>
        <item x="98"/>
        <item x="153"/>
        <item x="306"/>
        <item x="37"/>
        <item x="236"/>
        <item x="99"/>
        <item x="52"/>
        <item x="309"/>
        <item x="311"/>
        <item x="284"/>
        <item x="92"/>
        <item x="56"/>
        <item x="213"/>
        <item x="266"/>
        <item x="150"/>
        <item x="259"/>
        <item x="4"/>
        <item x="108"/>
        <item x="133"/>
        <item x="102"/>
        <item x="146"/>
        <item x="189"/>
        <item x="197"/>
        <item x="275"/>
        <item x="336"/>
        <item x="75"/>
        <item x="8"/>
        <item x="76"/>
        <item x="109"/>
        <item x="316"/>
        <item x="301"/>
        <item x="35"/>
        <item x="302"/>
        <item x="65"/>
        <item x="70"/>
        <item x="101"/>
        <item x="164"/>
        <item x="59"/>
        <item x="218"/>
        <item x="116"/>
        <item x="127"/>
        <item x="13"/>
        <item x="262"/>
        <item x="47"/>
        <item x="222"/>
        <item x="74"/>
        <item x="297"/>
        <item x="138"/>
        <item x="173"/>
        <item x="188"/>
        <item x="331"/>
        <item x="278"/>
        <item x="184"/>
        <item x="291"/>
        <item x="220"/>
        <item x="87"/>
        <item x="20"/>
        <item x="7"/>
        <item x="86"/>
        <item x="193"/>
        <item x="113"/>
        <item x="305"/>
        <item x="51"/>
        <item x="296"/>
        <item x="169"/>
        <item x="12"/>
        <item x="53"/>
        <item x="11"/>
        <item x="91"/>
        <item x="18"/>
        <item x="263"/>
        <item x="77"/>
        <item x="321"/>
        <item x="114"/>
        <item x="264"/>
        <item x="107"/>
        <item x="31"/>
        <item x="287"/>
        <item x="24"/>
        <item x="323"/>
        <item x="230"/>
        <item x="83"/>
        <item x="231"/>
        <item x="334"/>
        <item x="229"/>
        <item x="227"/>
        <item x="300"/>
        <item x="175"/>
        <item x="191"/>
        <item x="16"/>
        <item x="190"/>
        <item x="288"/>
        <item x="269"/>
        <item x="217"/>
        <item x="142"/>
        <item x="14"/>
        <item x="200"/>
        <item x="271"/>
        <item x="43"/>
        <item x="202"/>
        <item x="9"/>
        <item x="225"/>
        <item x="277"/>
        <item x="117"/>
        <item x="247"/>
        <item x="40"/>
        <item x="139"/>
        <item x="126"/>
        <item x="72"/>
        <item x="29"/>
        <item x="134"/>
        <item x="85"/>
        <item x="253"/>
        <item x="176"/>
        <item x="120"/>
        <item x="32"/>
        <item x="245"/>
        <item x="45"/>
        <item x="61"/>
        <item x="270"/>
        <item x="206"/>
        <item x="203"/>
        <item x="327"/>
        <item x="151"/>
        <item x="160"/>
        <item x="216"/>
        <item x="333"/>
        <item x="212"/>
        <item x="326"/>
        <item x="208"/>
        <item x="307"/>
        <item x="132"/>
        <item x="79"/>
        <item x="130"/>
        <item x="224"/>
        <item x="57"/>
        <item x="267"/>
        <item x="34"/>
        <item x="273"/>
        <item x="239"/>
        <item x="33"/>
        <item x="78"/>
        <item x="95"/>
        <item x="304"/>
        <item x="69"/>
        <item x="17"/>
        <item x="6"/>
        <item x="68"/>
        <item x="280"/>
        <item x="111"/>
        <item x="329"/>
        <item x="66"/>
        <item x="119"/>
        <item x="303"/>
        <item x="293"/>
        <item x="19"/>
        <item x="131"/>
        <item x="292"/>
        <item x="299"/>
        <item x="308"/>
        <item x="226"/>
        <item x="199"/>
        <item x="149"/>
        <item x="15"/>
        <item x="165"/>
        <item x="54"/>
        <item x="195"/>
        <item x="232"/>
        <item x="73"/>
        <item x="5"/>
        <item x="258"/>
        <item x="295"/>
        <item x="136"/>
        <item x="82"/>
        <item x="97"/>
        <item x="30"/>
        <item x="248"/>
        <item x="55"/>
        <item x="198"/>
        <item x="192"/>
        <item x="279"/>
        <item x="106"/>
        <item x="27"/>
        <item x="205"/>
        <item x="1"/>
        <item x="123"/>
        <item x="324"/>
        <item x="312"/>
        <item x="215"/>
        <item x="238"/>
        <item x="330"/>
        <item x="115"/>
        <item x="221"/>
        <item x="36"/>
        <item x="122"/>
        <item x="265"/>
        <item t="default"/>
      </items>
    </pivotField>
    <pivotField showAll="0"/>
    <pivotField showAll="0"/>
    <pivotField showAll="0"/>
    <pivotField numFmtId="164"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2"/>
  </rowFields>
  <rowItems count="13">
    <i>
      <x v="1"/>
    </i>
    <i>
      <x v="2"/>
    </i>
    <i>
      <x v="3"/>
    </i>
    <i>
      <x v="4"/>
    </i>
    <i>
      <x v="5"/>
    </i>
    <i>
      <x v="6"/>
    </i>
    <i>
      <x v="7"/>
    </i>
    <i>
      <x v="8"/>
    </i>
    <i>
      <x v="9"/>
    </i>
    <i>
      <x v="10"/>
    </i>
    <i>
      <x v="11"/>
    </i>
    <i>
      <x v="12"/>
    </i>
    <i t="grand">
      <x/>
    </i>
  </rowItems>
  <colItems count="1">
    <i/>
  </colItems>
  <dataFields count="1">
    <dataField name="Average of Deposit_Amount" fld="5" subtotal="average" baseField="19" baseItem="2" numFmtId="44"/>
  </dataFields>
  <formats count="6">
    <format dxfId="1631">
      <pivotArea type="all" dataOnly="0" outline="0" fieldPosition="0"/>
    </format>
    <format dxfId="1632">
      <pivotArea outline="0" collapsedLevelsAreSubtotals="1" fieldPosition="0"/>
    </format>
    <format dxfId="1633">
      <pivotArea field="22" type="button" dataOnly="0" labelOnly="1" outline="0" axis="axisRow" fieldPosition="0"/>
    </format>
    <format dxfId="1634">
      <pivotArea dataOnly="0" labelOnly="1" fieldPosition="0">
        <references count="1">
          <reference field="22" count="12">
            <x v="1"/>
            <x v="2"/>
            <x v="3"/>
            <x v="4"/>
            <x v="5"/>
            <x v="6"/>
            <x v="7"/>
            <x v="8"/>
            <x v="9"/>
            <x v="10"/>
            <x v="11"/>
            <x v="12"/>
          </reference>
        </references>
      </pivotArea>
    </format>
    <format dxfId="1635">
      <pivotArea dataOnly="0" labelOnly="1" grandRow="1" outline="0" fieldPosition="0"/>
    </format>
    <format dxfId="1636">
      <pivotArea dataOnly="0" labelOnly="1" outline="0" axis="axisValues"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6760CD2-A3A3-4618-A3AD-35FACA24DEF9}" name="PivotTable12" cacheId="51" applyNumberFormats="0" applyBorderFormats="0" applyFontFormats="0" applyPatternFormats="0" applyAlignmentFormats="0" applyWidthHeightFormats="1" dataCaption="Values" updatedVersion="8" minRefreshableVersion="3" showDrill="0" itemPrintTitles="1" createdVersion="8" indent="0" outline="1" outlineData="1" multipleFieldFilters="0" chartFormat="6">
  <location ref="A73:B76" firstHeaderRow="1" firstDataRow="1" firstDataCol="1"/>
  <pivotFields count="23">
    <pivotField showAll="0"/>
    <pivotField showAll="0"/>
    <pivotField axis="axisRow" showAll="0">
      <items count="3">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numFmtId="14" showAll="0">
      <items count="338">
        <item x="168"/>
        <item x="84"/>
        <item x="62"/>
        <item x="322"/>
        <item x="234"/>
        <item x="162"/>
        <item x="166"/>
        <item x="137"/>
        <item x="63"/>
        <item x="90"/>
        <item x="103"/>
        <item x="10"/>
        <item x="58"/>
        <item x="143"/>
        <item x="194"/>
        <item x="96"/>
        <item x="243"/>
        <item x="285"/>
        <item x="185"/>
        <item x="254"/>
        <item x="167"/>
        <item x="50"/>
        <item x="244"/>
        <item x="128"/>
        <item x="145"/>
        <item x="276"/>
        <item x="152"/>
        <item x="121"/>
        <item x="129"/>
        <item x="252"/>
        <item x="257"/>
        <item x="328"/>
        <item x="0"/>
        <item x="180"/>
        <item x="39"/>
        <item x="105"/>
        <item x="242"/>
        <item x="246"/>
        <item x="148"/>
        <item x="282"/>
        <item x="214"/>
        <item x="314"/>
        <item x="196"/>
        <item x="154"/>
        <item x="320"/>
        <item x="28"/>
        <item x="135"/>
        <item x="223"/>
        <item x="170"/>
        <item x="49"/>
        <item x="64"/>
        <item x="140"/>
        <item x="319"/>
        <item x="182"/>
        <item x="228"/>
        <item x="60"/>
        <item x="249"/>
        <item x="38"/>
        <item x="112"/>
        <item x="241"/>
        <item x="325"/>
        <item x="272"/>
        <item x="80"/>
        <item x="174"/>
        <item x="335"/>
        <item x="187"/>
        <item x="89"/>
        <item x="163"/>
        <item x="274"/>
        <item x="211"/>
        <item x="124"/>
        <item x="178"/>
        <item x="240"/>
        <item x="177"/>
        <item x="281"/>
        <item x="294"/>
        <item x="44"/>
        <item x="210"/>
        <item x="21"/>
        <item x="2"/>
        <item x="313"/>
        <item x="317"/>
        <item x="41"/>
        <item x="93"/>
        <item x="46"/>
        <item x="310"/>
        <item x="67"/>
        <item x="23"/>
        <item x="268"/>
        <item x="298"/>
        <item x="155"/>
        <item x="81"/>
        <item x="26"/>
        <item x="125"/>
        <item x="186"/>
        <item x="283"/>
        <item x="147"/>
        <item x="156"/>
        <item x="22"/>
        <item x="179"/>
        <item x="237"/>
        <item x="286"/>
        <item x="332"/>
        <item x="260"/>
        <item x="118"/>
        <item x="104"/>
        <item x="161"/>
        <item x="3"/>
        <item x="255"/>
        <item x="71"/>
        <item x="158"/>
        <item x="219"/>
        <item x="110"/>
        <item x="250"/>
        <item x="100"/>
        <item x="201"/>
        <item x="171"/>
        <item x="315"/>
        <item x="251"/>
        <item x="261"/>
        <item x="144"/>
        <item x="256"/>
        <item x="42"/>
        <item x="172"/>
        <item x="181"/>
        <item x="25"/>
        <item x="141"/>
        <item x="94"/>
        <item x="233"/>
        <item x="209"/>
        <item x="290"/>
        <item x="159"/>
        <item x="207"/>
        <item x="289"/>
        <item x="88"/>
        <item x="235"/>
        <item x="318"/>
        <item x="157"/>
        <item x="183"/>
        <item x="48"/>
        <item x="204"/>
        <item x="98"/>
        <item x="153"/>
        <item x="306"/>
        <item x="37"/>
        <item x="236"/>
        <item x="99"/>
        <item x="52"/>
        <item x="309"/>
        <item x="311"/>
        <item x="284"/>
        <item x="92"/>
        <item x="56"/>
        <item x="213"/>
        <item x="266"/>
        <item x="150"/>
        <item x="259"/>
        <item x="4"/>
        <item x="108"/>
        <item x="133"/>
        <item x="102"/>
        <item x="146"/>
        <item x="189"/>
        <item x="197"/>
        <item x="275"/>
        <item x="336"/>
        <item x="75"/>
        <item x="8"/>
        <item x="76"/>
        <item x="109"/>
        <item x="316"/>
        <item x="301"/>
        <item x="35"/>
        <item x="302"/>
        <item x="65"/>
        <item x="70"/>
        <item x="101"/>
        <item x="164"/>
        <item x="59"/>
        <item x="218"/>
        <item x="116"/>
        <item x="127"/>
        <item x="13"/>
        <item x="262"/>
        <item x="47"/>
        <item x="222"/>
        <item x="74"/>
        <item x="297"/>
        <item x="138"/>
        <item x="173"/>
        <item x="188"/>
        <item x="331"/>
        <item x="278"/>
        <item x="184"/>
        <item x="291"/>
        <item x="220"/>
        <item x="87"/>
        <item x="20"/>
        <item x="7"/>
        <item x="86"/>
        <item x="193"/>
        <item x="113"/>
        <item x="305"/>
        <item x="51"/>
        <item x="296"/>
        <item x="169"/>
        <item x="12"/>
        <item x="53"/>
        <item x="11"/>
        <item x="91"/>
        <item x="18"/>
        <item x="263"/>
        <item x="77"/>
        <item x="321"/>
        <item x="114"/>
        <item x="264"/>
        <item x="107"/>
        <item x="31"/>
        <item x="287"/>
        <item x="24"/>
        <item x="323"/>
        <item x="230"/>
        <item x="83"/>
        <item x="231"/>
        <item x="334"/>
        <item x="229"/>
        <item x="227"/>
        <item x="300"/>
        <item x="175"/>
        <item x="191"/>
        <item x="16"/>
        <item x="190"/>
        <item x="288"/>
        <item x="269"/>
        <item x="217"/>
        <item x="142"/>
        <item x="14"/>
        <item x="200"/>
        <item x="271"/>
        <item x="43"/>
        <item x="202"/>
        <item x="9"/>
        <item x="225"/>
        <item x="277"/>
        <item x="117"/>
        <item x="247"/>
        <item x="40"/>
        <item x="139"/>
        <item x="126"/>
        <item x="72"/>
        <item x="29"/>
        <item x="134"/>
        <item x="85"/>
        <item x="253"/>
        <item x="176"/>
        <item x="120"/>
        <item x="32"/>
        <item x="245"/>
        <item x="45"/>
        <item x="61"/>
        <item x="270"/>
        <item x="206"/>
        <item x="203"/>
        <item x="327"/>
        <item x="151"/>
        <item x="160"/>
        <item x="216"/>
        <item x="333"/>
        <item x="212"/>
        <item x="326"/>
        <item x="208"/>
        <item x="307"/>
        <item x="132"/>
        <item x="79"/>
        <item x="130"/>
        <item x="224"/>
        <item x="57"/>
        <item x="267"/>
        <item x="34"/>
        <item x="273"/>
        <item x="239"/>
        <item x="33"/>
        <item x="78"/>
        <item x="95"/>
        <item x="304"/>
        <item x="69"/>
        <item x="17"/>
        <item x="6"/>
        <item x="68"/>
        <item x="280"/>
        <item x="111"/>
        <item x="329"/>
        <item x="66"/>
        <item x="119"/>
        <item x="303"/>
        <item x="293"/>
        <item x="19"/>
        <item x="131"/>
        <item x="292"/>
        <item x="299"/>
        <item x="308"/>
        <item x="226"/>
        <item x="199"/>
        <item x="149"/>
        <item x="15"/>
        <item x="165"/>
        <item x="54"/>
        <item x="195"/>
        <item x="232"/>
        <item x="73"/>
        <item x="5"/>
        <item x="258"/>
        <item x="295"/>
        <item x="136"/>
        <item x="82"/>
        <item x="97"/>
        <item x="30"/>
        <item x="248"/>
        <item x="55"/>
        <item x="198"/>
        <item x="192"/>
        <item x="279"/>
        <item x="106"/>
        <item x="27"/>
        <item x="205"/>
        <item x="1"/>
        <item x="123"/>
        <item x="324"/>
        <item x="312"/>
        <item x="215"/>
        <item x="238"/>
        <item x="330"/>
        <item x="115"/>
        <item x="221"/>
        <item x="36"/>
        <item x="122"/>
        <item x="265"/>
        <item t="default"/>
      </items>
    </pivotField>
    <pivotField showAll="0"/>
    <pivotField showAll="0"/>
    <pivotField showAll="0"/>
    <pivotField numFmtId="164"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3">
    <i>
      <x/>
    </i>
    <i>
      <x v="1"/>
    </i>
    <i t="grand">
      <x/>
    </i>
  </rowItems>
  <colItems count="1">
    <i/>
  </colItems>
  <dataFields count="1">
    <dataField name="Average of Withdrawal_Amount" fld="7"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0D482F5-6B79-4C75-85BE-6EC1430169DE}" name="PivotTable9" cacheId="51" applyNumberFormats="0" applyBorderFormats="0" applyFontFormats="0" applyPatternFormats="0" applyAlignmentFormats="0" applyWidthHeightFormats="1" dataCaption="Values" updatedVersion="8" minRefreshableVersion="3" showDrill="0" itemPrintTitles="1" createdVersion="8" indent="0" outline="1" outlineData="1" multipleFieldFilters="0" chartFormat="6">
  <location ref="A65:B68" firstHeaderRow="1" firstDataRow="1" firstDataCol="1"/>
  <pivotFields count="23">
    <pivotField showAll="0"/>
    <pivotField showAll="0"/>
    <pivotField axis="axisRow" showAll="0">
      <items count="3">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numFmtId="14" showAll="0">
      <items count="338">
        <item x="168"/>
        <item x="84"/>
        <item x="62"/>
        <item x="322"/>
        <item x="234"/>
        <item x="162"/>
        <item x="166"/>
        <item x="137"/>
        <item x="63"/>
        <item x="90"/>
        <item x="103"/>
        <item x="10"/>
        <item x="58"/>
        <item x="143"/>
        <item x="194"/>
        <item x="96"/>
        <item x="243"/>
        <item x="285"/>
        <item x="185"/>
        <item x="254"/>
        <item x="167"/>
        <item x="50"/>
        <item x="244"/>
        <item x="128"/>
        <item x="145"/>
        <item x="276"/>
        <item x="152"/>
        <item x="121"/>
        <item x="129"/>
        <item x="252"/>
        <item x="257"/>
        <item x="328"/>
        <item x="0"/>
        <item x="180"/>
        <item x="39"/>
        <item x="105"/>
        <item x="242"/>
        <item x="246"/>
        <item x="148"/>
        <item x="282"/>
        <item x="214"/>
        <item x="314"/>
        <item x="196"/>
        <item x="154"/>
        <item x="320"/>
        <item x="28"/>
        <item x="135"/>
        <item x="223"/>
        <item x="170"/>
        <item x="49"/>
        <item x="64"/>
        <item x="140"/>
        <item x="319"/>
        <item x="182"/>
        <item x="228"/>
        <item x="60"/>
        <item x="249"/>
        <item x="38"/>
        <item x="112"/>
        <item x="241"/>
        <item x="325"/>
        <item x="272"/>
        <item x="80"/>
        <item x="174"/>
        <item x="335"/>
        <item x="187"/>
        <item x="89"/>
        <item x="163"/>
        <item x="274"/>
        <item x="211"/>
        <item x="124"/>
        <item x="178"/>
        <item x="240"/>
        <item x="177"/>
        <item x="281"/>
        <item x="294"/>
        <item x="44"/>
        <item x="210"/>
        <item x="21"/>
        <item x="2"/>
        <item x="313"/>
        <item x="317"/>
        <item x="41"/>
        <item x="93"/>
        <item x="46"/>
        <item x="310"/>
        <item x="67"/>
        <item x="23"/>
        <item x="268"/>
        <item x="298"/>
        <item x="155"/>
        <item x="81"/>
        <item x="26"/>
        <item x="125"/>
        <item x="186"/>
        <item x="283"/>
        <item x="147"/>
        <item x="156"/>
        <item x="22"/>
        <item x="179"/>
        <item x="237"/>
        <item x="286"/>
        <item x="332"/>
        <item x="260"/>
        <item x="118"/>
        <item x="104"/>
        <item x="161"/>
        <item x="3"/>
        <item x="255"/>
        <item x="71"/>
        <item x="158"/>
        <item x="219"/>
        <item x="110"/>
        <item x="250"/>
        <item x="100"/>
        <item x="201"/>
        <item x="171"/>
        <item x="315"/>
        <item x="251"/>
        <item x="261"/>
        <item x="144"/>
        <item x="256"/>
        <item x="42"/>
        <item x="172"/>
        <item x="181"/>
        <item x="25"/>
        <item x="141"/>
        <item x="94"/>
        <item x="233"/>
        <item x="209"/>
        <item x="290"/>
        <item x="159"/>
        <item x="207"/>
        <item x="289"/>
        <item x="88"/>
        <item x="235"/>
        <item x="318"/>
        <item x="157"/>
        <item x="183"/>
        <item x="48"/>
        <item x="204"/>
        <item x="98"/>
        <item x="153"/>
        <item x="306"/>
        <item x="37"/>
        <item x="236"/>
        <item x="99"/>
        <item x="52"/>
        <item x="309"/>
        <item x="311"/>
        <item x="284"/>
        <item x="92"/>
        <item x="56"/>
        <item x="213"/>
        <item x="266"/>
        <item x="150"/>
        <item x="259"/>
        <item x="4"/>
        <item x="108"/>
        <item x="133"/>
        <item x="102"/>
        <item x="146"/>
        <item x="189"/>
        <item x="197"/>
        <item x="275"/>
        <item x="336"/>
        <item x="75"/>
        <item x="8"/>
        <item x="76"/>
        <item x="109"/>
        <item x="316"/>
        <item x="301"/>
        <item x="35"/>
        <item x="302"/>
        <item x="65"/>
        <item x="70"/>
        <item x="101"/>
        <item x="164"/>
        <item x="59"/>
        <item x="218"/>
        <item x="116"/>
        <item x="127"/>
        <item x="13"/>
        <item x="262"/>
        <item x="47"/>
        <item x="222"/>
        <item x="74"/>
        <item x="297"/>
        <item x="138"/>
        <item x="173"/>
        <item x="188"/>
        <item x="331"/>
        <item x="278"/>
        <item x="184"/>
        <item x="291"/>
        <item x="220"/>
        <item x="87"/>
        <item x="20"/>
        <item x="7"/>
        <item x="86"/>
        <item x="193"/>
        <item x="113"/>
        <item x="305"/>
        <item x="51"/>
        <item x="296"/>
        <item x="169"/>
        <item x="12"/>
        <item x="53"/>
        <item x="11"/>
        <item x="91"/>
        <item x="18"/>
        <item x="263"/>
        <item x="77"/>
        <item x="321"/>
        <item x="114"/>
        <item x="264"/>
        <item x="107"/>
        <item x="31"/>
        <item x="287"/>
        <item x="24"/>
        <item x="323"/>
        <item x="230"/>
        <item x="83"/>
        <item x="231"/>
        <item x="334"/>
        <item x="229"/>
        <item x="227"/>
        <item x="300"/>
        <item x="175"/>
        <item x="191"/>
        <item x="16"/>
        <item x="190"/>
        <item x="288"/>
        <item x="269"/>
        <item x="217"/>
        <item x="142"/>
        <item x="14"/>
        <item x="200"/>
        <item x="271"/>
        <item x="43"/>
        <item x="202"/>
        <item x="9"/>
        <item x="225"/>
        <item x="277"/>
        <item x="117"/>
        <item x="247"/>
        <item x="40"/>
        <item x="139"/>
        <item x="126"/>
        <item x="72"/>
        <item x="29"/>
        <item x="134"/>
        <item x="85"/>
        <item x="253"/>
        <item x="176"/>
        <item x="120"/>
        <item x="32"/>
        <item x="245"/>
        <item x="45"/>
        <item x="61"/>
        <item x="270"/>
        <item x="206"/>
        <item x="203"/>
        <item x="327"/>
        <item x="151"/>
        <item x="160"/>
        <item x="216"/>
        <item x="333"/>
        <item x="212"/>
        <item x="326"/>
        <item x="208"/>
        <item x="307"/>
        <item x="132"/>
        <item x="79"/>
        <item x="130"/>
        <item x="224"/>
        <item x="57"/>
        <item x="267"/>
        <item x="34"/>
        <item x="273"/>
        <item x="239"/>
        <item x="33"/>
        <item x="78"/>
        <item x="95"/>
        <item x="304"/>
        <item x="69"/>
        <item x="17"/>
        <item x="6"/>
        <item x="68"/>
        <item x="280"/>
        <item x="111"/>
        <item x="329"/>
        <item x="66"/>
        <item x="119"/>
        <item x="303"/>
        <item x="293"/>
        <item x="19"/>
        <item x="131"/>
        <item x="292"/>
        <item x="299"/>
        <item x="308"/>
        <item x="226"/>
        <item x="199"/>
        <item x="149"/>
        <item x="15"/>
        <item x="165"/>
        <item x="54"/>
        <item x="195"/>
        <item x="232"/>
        <item x="73"/>
        <item x="5"/>
        <item x="258"/>
        <item x="295"/>
        <item x="136"/>
        <item x="82"/>
        <item x="97"/>
        <item x="30"/>
        <item x="248"/>
        <item x="55"/>
        <item x="198"/>
        <item x="192"/>
        <item x="279"/>
        <item x="106"/>
        <item x="27"/>
        <item x="205"/>
        <item x="1"/>
        <item x="123"/>
        <item x="324"/>
        <item x="312"/>
        <item x="215"/>
        <item x="238"/>
        <item x="330"/>
        <item x="115"/>
        <item x="221"/>
        <item x="36"/>
        <item x="122"/>
        <item x="265"/>
        <item t="default"/>
      </items>
    </pivotField>
    <pivotField showAll="0"/>
    <pivotField showAll="0"/>
    <pivotField showAll="0"/>
    <pivotField numFmtId="164"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3">
    <i>
      <x/>
    </i>
    <i>
      <x v="1"/>
    </i>
    <i t="grand">
      <x/>
    </i>
  </rowItems>
  <colItems count="1">
    <i/>
  </colItems>
  <dataFields count="1">
    <dataField name="Average of Credit_Score" fld="8"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BE1E785-B567-42AC-9602-DA88E1D13FC9}" name="PivotTable7" cacheId="51" applyNumberFormats="0" applyBorderFormats="0" applyFontFormats="0" applyPatternFormats="0" applyAlignmentFormats="0" applyWidthHeightFormats="1" dataCaption="Values" updatedVersion="8" minRefreshableVersion="3" showDrill="0" itemPrintTitles="1" createdVersion="8" indent="0" outline="1" outlineData="1" multipleFieldFilters="0" chartFormat="6">
  <location ref="A58:B61" firstHeaderRow="1" firstDataRow="1" firstDataCol="1"/>
  <pivotFields count="23">
    <pivotField showAll="0"/>
    <pivotField showAll="0"/>
    <pivotField axis="axisRow" showAll="0">
      <items count="3">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numFmtId="14" showAll="0">
      <items count="338">
        <item x="168"/>
        <item x="84"/>
        <item x="62"/>
        <item x="322"/>
        <item x="234"/>
        <item x="162"/>
        <item x="166"/>
        <item x="137"/>
        <item x="63"/>
        <item x="90"/>
        <item x="103"/>
        <item x="10"/>
        <item x="58"/>
        <item x="143"/>
        <item x="194"/>
        <item x="96"/>
        <item x="243"/>
        <item x="285"/>
        <item x="185"/>
        <item x="254"/>
        <item x="167"/>
        <item x="50"/>
        <item x="244"/>
        <item x="128"/>
        <item x="145"/>
        <item x="276"/>
        <item x="152"/>
        <item x="121"/>
        <item x="129"/>
        <item x="252"/>
        <item x="257"/>
        <item x="328"/>
        <item x="0"/>
        <item x="180"/>
        <item x="39"/>
        <item x="105"/>
        <item x="242"/>
        <item x="246"/>
        <item x="148"/>
        <item x="282"/>
        <item x="214"/>
        <item x="314"/>
        <item x="196"/>
        <item x="154"/>
        <item x="320"/>
        <item x="28"/>
        <item x="135"/>
        <item x="223"/>
        <item x="170"/>
        <item x="49"/>
        <item x="64"/>
        <item x="140"/>
        <item x="319"/>
        <item x="182"/>
        <item x="228"/>
        <item x="60"/>
        <item x="249"/>
        <item x="38"/>
        <item x="112"/>
        <item x="241"/>
        <item x="325"/>
        <item x="272"/>
        <item x="80"/>
        <item x="174"/>
        <item x="335"/>
        <item x="187"/>
        <item x="89"/>
        <item x="163"/>
        <item x="274"/>
        <item x="211"/>
        <item x="124"/>
        <item x="178"/>
        <item x="240"/>
        <item x="177"/>
        <item x="281"/>
        <item x="294"/>
        <item x="44"/>
        <item x="210"/>
        <item x="21"/>
        <item x="2"/>
        <item x="313"/>
        <item x="317"/>
        <item x="41"/>
        <item x="93"/>
        <item x="46"/>
        <item x="310"/>
        <item x="67"/>
        <item x="23"/>
        <item x="268"/>
        <item x="298"/>
        <item x="155"/>
        <item x="81"/>
        <item x="26"/>
        <item x="125"/>
        <item x="186"/>
        <item x="283"/>
        <item x="147"/>
        <item x="156"/>
        <item x="22"/>
        <item x="179"/>
        <item x="237"/>
        <item x="286"/>
        <item x="332"/>
        <item x="260"/>
        <item x="118"/>
        <item x="104"/>
        <item x="161"/>
        <item x="3"/>
        <item x="255"/>
        <item x="71"/>
        <item x="158"/>
        <item x="219"/>
        <item x="110"/>
        <item x="250"/>
        <item x="100"/>
        <item x="201"/>
        <item x="171"/>
        <item x="315"/>
        <item x="251"/>
        <item x="261"/>
        <item x="144"/>
        <item x="256"/>
        <item x="42"/>
        <item x="172"/>
        <item x="181"/>
        <item x="25"/>
        <item x="141"/>
        <item x="94"/>
        <item x="233"/>
        <item x="209"/>
        <item x="290"/>
        <item x="159"/>
        <item x="207"/>
        <item x="289"/>
        <item x="88"/>
        <item x="235"/>
        <item x="318"/>
        <item x="157"/>
        <item x="183"/>
        <item x="48"/>
        <item x="204"/>
        <item x="98"/>
        <item x="153"/>
        <item x="306"/>
        <item x="37"/>
        <item x="236"/>
        <item x="99"/>
        <item x="52"/>
        <item x="309"/>
        <item x="311"/>
        <item x="284"/>
        <item x="92"/>
        <item x="56"/>
        <item x="213"/>
        <item x="266"/>
        <item x="150"/>
        <item x="259"/>
        <item x="4"/>
        <item x="108"/>
        <item x="133"/>
        <item x="102"/>
        <item x="146"/>
        <item x="189"/>
        <item x="197"/>
        <item x="275"/>
        <item x="336"/>
        <item x="75"/>
        <item x="8"/>
        <item x="76"/>
        <item x="109"/>
        <item x="316"/>
        <item x="301"/>
        <item x="35"/>
        <item x="302"/>
        <item x="65"/>
        <item x="70"/>
        <item x="101"/>
        <item x="164"/>
        <item x="59"/>
        <item x="218"/>
        <item x="116"/>
        <item x="127"/>
        <item x="13"/>
        <item x="262"/>
        <item x="47"/>
        <item x="222"/>
        <item x="74"/>
        <item x="297"/>
        <item x="138"/>
        <item x="173"/>
        <item x="188"/>
        <item x="331"/>
        <item x="278"/>
        <item x="184"/>
        <item x="291"/>
        <item x="220"/>
        <item x="87"/>
        <item x="20"/>
        <item x="7"/>
        <item x="86"/>
        <item x="193"/>
        <item x="113"/>
        <item x="305"/>
        <item x="51"/>
        <item x="296"/>
        <item x="169"/>
        <item x="12"/>
        <item x="53"/>
        <item x="11"/>
        <item x="91"/>
        <item x="18"/>
        <item x="263"/>
        <item x="77"/>
        <item x="321"/>
        <item x="114"/>
        <item x="264"/>
        <item x="107"/>
        <item x="31"/>
        <item x="287"/>
        <item x="24"/>
        <item x="323"/>
        <item x="230"/>
        <item x="83"/>
        <item x="231"/>
        <item x="334"/>
        <item x="229"/>
        <item x="227"/>
        <item x="300"/>
        <item x="175"/>
        <item x="191"/>
        <item x="16"/>
        <item x="190"/>
        <item x="288"/>
        <item x="269"/>
        <item x="217"/>
        <item x="142"/>
        <item x="14"/>
        <item x="200"/>
        <item x="271"/>
        <item x="43"/>
        <item x="202"/>
        <item x="9"/>
        <item x="225"/>
        <item x="277"/>
        <item x="117"/>
        <item x="247"/>
        <item x="40"/>
        <item x="139"/>
        <item x="126"/>
        <item x="72"/>
        <item x="29"/>
        <item x="134"/>
        <item x="85"/>
        <item x="253"/>
        <item x="176"/>
        <item x="120"/>
        <item x="32"/>
        <item x="245"/>
        <item x="45"/>
        <item x="61"/>
        <item x="270"/>
        <item x="206"/>
        <item x="203"/>
        <item x="327"/>
        <item x="151"/>
        <item x="160"/>
        <item x="216"/>
        <item x="333"/>
        <item x="212"/>
        <item x="326"/>
        <item x="208"/>
        <item x="307"/>
        <item x="132"/>
        <item x="79"/>
        <item x="130"/>
        <item x="224"/>
        <item x="57"/>
        <item x="267"/>
        <item x="34"/>
        <item x="273"/>
        <item x="239"/>
        <item x="33"/>
        <item x="78"/>
        <item x="95"/>
        <item x="304"/>
        <item x="69"/>
        <item x="17"/>
        <item x="6"/>
        <item x="68"/>
        <item x="280"/>
        <item x="111"/>
        <item x="329"/>
        <item x="66"/>
        <item x="119"/>
        <item x="303"/>
        <item x="293"/>
        <item x="19"/>
        <item x="131"/>
        <item x="292"/>
        <item x="299"/>
        <item x="308"/>
        <item x="226"/>
        <item x="199"/>
        <item x="149"/>
        <item x="15"/>
        <item x="165"/>
        <item x="54"/>
        <item x="195"/>
        <item x="232"/>
        <item x="73"/>
        <item x="5"/>
        <item x="258"/>
        <item x="295"/>
        <item x="136"/>
        <item x="82"/>
        <item x="97"/>
        <item x="30"/>
        <item x="248"/>
        <item x="55"/>
        <item x="198"/>
        <item x="192"/>
        <item x="279"/>
        <item x="106"/>
        <item x="27"/>
        <item x="205"/>
        <item x="1"/>
        <item x="123"/>
        <item x="324"/>
        <item x="312"/>
        <item x="215"/>
        <item x="238"/>
        <item x="330"/>
        <item x="115"/>
        <item x="221"/>
        <item x="36"/>
        <item x="122"/>
        <item x="265"/>
        <item t="default"/>
      </items>
    </pivotField>
    <pivotField showAll="0"/>
    <pivotField showAll="0"/>
    <pivotField showAll="0"/>
    <pivotField numFmtId="164"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3">
    <i>
      <x/>
    </i>
    <i>
      <x v="1"/>
    </i>
    <i t="grand">
      <x/>
    </i>
  </rowItems>
  <colItems count="1">
    <i/>
  </colItems>
  <dataFields count="1">
    <dataField name="Sum of Withdrawal_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6B6B68C-98C4-44D5-AAFF-14E74FFD13B6}" name="PivotTable8"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97:A98" firstHeaderRow="1" firstDataRow="1" firstDataCol="0"/>
  <pivotFields count="23">
    <pivotField showAll="0"/>
    <pivotField dataField="1"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338">
        <item x="168"/>
        <item x="84"/>
        <item x="62"/>
        <item x="322"/>
        <item x="234"/>
        <item x="162"/>
        <item x="166"/>
        <item x="137"/>
        <item x="63"/>
        <item x="90"/>
        <item x="103"/>
        <item x="10"/>
        <item x="58"/>
        <item x="143"/>
        <item x="194"/>
        <item x="96"/>
        <item x="243"/>
        <item x="285"/>
        <item x="185"/>
        <item x="254"/>
        <item x="167"/>
        <item x="50"/>
        <item x="244"/>
        <item x="128"/>
        <item x="145"/>
        <item x="276"/>
        <item x="152"/>
        <item x="121"/>
        <item x="129"/>
        <item x="252"/>
        <item x="257"/>
        <item x="328"/>
        <item x="0"/>
        <item x="180"/>
        <item x="39"/>
        <item x="105"/>
        <item x="242"/>
        <item x="246"/>
        <item x="148"/>
        <item x="282"/>
        <item x="214"/>
        <item x="314"/>
        <item x="196"/>
        <item x="154"/>
        <item x="320"/>
        <item x="28"/>
        <item x="135"/>
        <item x="223"/>
        <item x="170"/>
        <item x="49"/>
        <item x="64"/>
        <item x="140"/>
        <item x="319"/>
        <item x="182"/>
        <item x="228"/>
        <item x="60"/>
        <item x="249"/>
        <item x="38"/>
        <item x="112"/>
        <item x="241"/>
        <item x="325"/>
        <item x="272"/>
        <item x="80"/>
        <item x="174"/>
        <item x="335"/>
        <item x="187"/>
        <item x="89"/>
        <item x="163"/>
        <item x="274"/>
        <item x="211"/>
        <item x="124"/>
        <item x="178"/>
        <item x="240"/>
        <item x="177"/>
        <item x="281"/>
        <item x="294"/>
        <item x="44"/>
        <item x="210"/>
        <item x="21"/>
        <item x="2"/>
        <item x="313"/>
        <item x="317"/>
        <item x="41"/>
        <item x="93"/>
        <item x="46"/>
        <item x="310"/>
        <item x="67"/>
        <item x="23"/>
        <item x="268"/>
        <item x="298"/>
        <item x="155"/>
        <item x="81"/>
        <item x="26"/>
        <item x="125"/>
        <item x="186"/>
        <item x="283"/>
        <item x="147"/>
        <item x="156"/>
        <item x="22"/>
        <item x="179"/>
        <item x="237"/>
        <item x="286"/>
        <item x="332"/>
        <item x="260"/>
        <item x="118"/>
        <item x="104"/>
        <item x="161"/>
        <item x="3"/>
        <item x="255"/>
        <item x="71"/>
        <item x="158"/>
        <item x="219"/>
        <item x="110"/>
        <item x="250"/>
        <item x="100"/>
        <item x="201"/>
        <item x="171"/>
        <item x="315"/>
        <item x="251"/>
        <item x="261"/>
        <item x="144"/>
        <item x="256"/>
        <item x="42"/>
        <item x="172"/>
        <item x="181"/>
        <item x="25"/>
        <item x="141"/>
        <item x="94"/>
        <item x="233"/>
        <item x="209"/>
        <item x="290"/>
        <item x="159"/>
        <item x="207"/>
        <item x="289"/>
        <item x="88"/>
        <item x="235"/>
        <item x="318"/>
        <item x="157"/>
        <item x="183"/>
        <item x="48"/>
        <item x="204"/>
        <item x="98"/>
        <item x="153"/>
        <item x="306"/>
        <item x="37"/>
        <item x="236"/>
        <item x="99"/>
        <item x="52"/>
        <item x="309"/>
        <item x="311"/>
        <item x="284"/>
        <item x="92"/>
        <item x="56"/>
        <item x="213"/>
        <item x="266"/>
        <item x="150"/>
        <item x="259"/>
        <item x="4"/>
        <item x="108"/>
        <item x="133"/>
        <item x="102"/>
        <item x="146"/>
        <item x="189"/>
        <item x="197"/>
        <item x="275"/>
        <item x="336"/>
        <item x="75"/>
        <item x="8"/>
        <item x="76"/>
        <item x="109"/>
        <item x="316"/>
        <item x="301"/>
        <item x="35"/>
        <item x="302"/>
        <item x="65"/>
        <item x="70"/>
        <item x="101"/>
        <item x="164"/>
        <item x="59"/>
        <item x="218"/>
        <item x="116"/>
        <item x="127"/>
        <item x="13"/>
        <item x="262"/>
        <item x="47"/>
        <item x="222"/>
        <item x="74"/>
        <item x="297"/>
        <item x="138"/>
        <item x="173"/>
        <item x="188"/>
        <item x="331"/>
        <item x="278"/>
        <item x="184"/>
        <item x="291"/>
        <item x="220"/>
        <item x="87"/>
        <item x="20"/>
        <item x="7"/>
        <item x="86"/>
        <item x="193"/>
        <item x="113"/>
        <item x="305"/>
        <item x="51"/>
        <item x="296"/>
        <item x="169"/>
        <item x="12"/>
        <item x="53"/>
        <item x="11"/>
        <item x="91"/>
        <item x="18"/>
        <item x="263"/>
        <item x="77"/>
        <item x="321"/>
        <item x="114"/>
        <item x="264"/>
        <item x="107"/>
        <item x="31"/>
        <item x="287"/>
        <item x="24"/>
        <item x="323"/>
        <item x="230"/>
        <item x="83"/>
        <item x="231"/>
        <item x="334"/>
        <item x="229"/>
        <item x="227"/>
        <item x="300"/>
        <item x="175"/>
        <item x="191"/>
        <item x="16"/>
        <item x="190"/>
        <item x="288"/>
        <item x="269"/>
        <item x="217"/>
        <item x="142"/>
        <item x="14"/>
        <item x="200"/>
        <item x="271"/>
        <item x="43"/>
        <item x="202"/>
        <item x="9"/>
        <item x="225"/>
        <item x="277"/>
        <item x="117"/>
        <item x="247"/>
        <item x="40"/>
        <item x="139"/>
        <item x="126"/>
        <item x="72"/>
        <item x="29"/>
        <item x="134"/>
        <item x="85"/>
        <item x="253"/>
        <item x="176"/>
        <item x="120"/>
        <item x="32"/>
        <item x="245"/>
        <item x="45"/>
        <item x="61"/>
        <item x="270"/>
        <item x="206"/>
        <item x="203"/>
        <item x="327"/>
        <item x="151"/>
        <item x="160"/>
        <item x="216"/>
        <item x="333"/>
        <item x="212"/>
        <item x="326"/>
        <item x="208"/>
        <item x="307"/>
        <item x="132"/>
        <item x="79"/>
        <item x="130"/>
        <item x="224"/>
        <item x="57"/>
        <item x="267"/>
        <item x="34"/>
        <item x="273"/>
        <item x="239"/>
        <item x="33"/>
        <item x="78"/>
        <item x="95"/>
        <item x="304"/>
        <item x="69"/>
        <item x="17"/>
        <item x="6"/>
        <item x="68"/>
        <item x="280"/>
        <item x="111"/>
        <item x="329"/>
        <item x="66"/>
        <item x="119"/>
        <item x="303"/>
        <item x="293"/>
        <item x="19"/>
        <item x="131"/>
        <item x="292"/>
        <item x="299"/>
        <item x="308"/>
        <item x="226"/>
        <item x="199"/>
        <item x="149"/>
        <item x="15"/>
        <item x="165"/>
        <item x="54"/>
        <item x="195"/>
        <item x="232"/>
        <item x="73"/>
        <item x="5"/>
        <item x="258"/>
        <item x="295"/>
        <item x="136"/>
        <item x="82"/>
        <item x="97"/>
        <item x="30"/>
        <item x="248"/>
        <item x="55"/>
        <item x="198"/>
        <item x="192"/>
        <item x="279"/>
        <item x="106"/>
        <item x="27"/>
        <item x="205"/>
        <item x="1"/>
        <item x="123"/>
        <item x="324"/>
        <item x="312"/>
        <item x="215"/>
        <item x="238"/>
        <item x="330"/>
        <item x="115"/>
        <item x="221"/>
        <item x="36"/>
        <item x="122"/>
        <item x="265"/>
        <item t="default"/>
      </items>
    </pivotField>
    <pivotField showAll="0"/>
    <pivotField showAll="0"/>
    <pivotField showAll="0"/>
    <pivotField numFmtId="16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Client_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BC6D369-6B5A-444A-8C3F-E9A45F849EF8}" name="PivotTable2"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3" firstHeaderRow="1" firstDataRow="1" firstDataCol="1"/>
  <pivotFields count="23">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numFmtId="14" showAll="0">
      <items count="338">
        <item x="168"/>
        <item x="84"/>
        <item x="62"/>
        <item x="322"/>
        <item x="234"/>
        <item x="162"/>
        <item x="166"/>
        <item x="137"/>
        <item x="63"/>
        <item x="90"/>
        <item x="103"/>
        <item x="10"/>
        <item x="58"/>
        <item x="143"/>
        <item x="194"/>
        <item x="96"/>
        <item x="243"/>
        <item x="285"/>
        <item x="185"/>
        <item x="254"/>
        <item x="167"/>
        <item x="50"/>
        <item x="244"/>
        <item x="128"/>
        <item x="145"/>
        <item x="276"/>
        <item x="152"/>
        <item x="121"/>
        <item x="129"/>
        <item x="252"/>
        <item x="257"/>
        <item x="328"/>
        <item x="0"/>
        <item x="180"/>
        <item x="39"/>
        <item x="105"/>
        <item x="242"/>
        <item x="246"/>
        <item x="148"/>
        <item x="282"/>
        <item x="214"/>
        <item x="314"/>
        <item x="196"/>
        <item x="154"/>
        <item x="320"/>
        <item x="28"/>
        <item x="135"/>
        <item x="223"/>
        <item x="170"/>
        <item x="49"/>
        <item x="64"/>
        <item x="140"/>
        <item x="319"/>
        <item x="182"/>
        <item x="228"/>
        <item x="60"/>
        <item x="249"/>
        <item x="38"/>
        <item x="112"/>
        <item x="241"/>
        <item x="325"/>
        <item x="272"/>
        <item x="80"/>
        <item x="174"/>
        <item x="335"/>
        <item x="187"/>
        <item x="89"/>
        <item x="163"/>
        <item x="274"/>
        <item x="211"/>
        <item x="124"/>
        <item x="178"/>
        <item x="240"/>
        <item x="177"/>
        <item x="281"/>
        <item x="294"/>
        <item x="44"/>
        <item x="210"/>
        <item x="21"/>
        <item x="2"/>
        <item x="313"/>
        <item x="317"/>
        <item x="41"/>
        <item x="93"/>
        <item x="46"/>
        <item x="310"/>
        <item x="67"/>
        <item x="23"/>
        <item x="268"/>
        <item x="298"/>
        <item x="155"/>
        <item x="81"/>
        <item x="26"/>
        <item x="125"/>
        <item x="186"/>
        <item x="283"/>
        <item x="147"/>
        <item x="156"/>
        <item x="22"/>
        <item x="179"/>
        <item x="237"/>
        <item x="286"/>
        <item x="332"/>
        <item x="260"/>
        <item x="118"/>
        <item x="104"/>
        <item x="161"/>
        <item x="3"/>
        <item x="255"/>
        <item x="71"/>
        <item x="158"/>
        <item x="219"/>
        <item x="110"/>
        <item x="250"/>
        <item x="100"/>
        <item x="201"/>
        <item x="171"/>
        <item x="315"/>
        <item x="251"/>
        <item x="261"/>
        <item x="144"/>
        <item x="256"/>
        <item x="42"/>
        <item x="172"/>
        <item x="181"/>
        <item x="25"/>
        <item x="141"/>
        <item x="94"/>
        <item x="233"/>
        <item x="209"/>
        <item x="290"/>
        <item x="159"/>
        <item x="207"/>
        <item x="289"/>
        <item x="88"/>
        <item x="235"/>
        <item x="318"/>
        <item x="157"/>
        <item x="183"/>
        <item x="48"/>
        <item x="204"/>
        <item x="98"/>
        <item x="153"/>
        <item x="306"/>
        <item x="37"/>
        <item x="236"/>
        <item x="99"/>
        <item x="52"/>
        <item x="309"/>
        <item x="311"/>
        <item x="284"/>
        <item x="92"/>
        <item x="56"/>
        <item x="213"/>
        <item x="266"/>
        <item x="150"/>
        <item x="259"/>
        <item x="4"/>
        <item x="108"/>
        <item x="133"/>
        <item x="102"/>
        <item x="146"/>
        <item x="189"/>
        <item x="197"/>
        <item x="275"/>
        <item x="336"/>
        <item x="75"/>
        <item x="8"/>
        <item x="76"/>
        <item x="109"/>
        <item x="316"/>
        <item x="301"/>
        <item x="35"/>
        <item x="302"/>
        <item x="65"/>
        <item x="70"/>
        <item x="101"/>
        <item x="164"/>
        <item x="59"/>
        <item x="218"/>
        <item x="116"/>
        <item x="127"/>
        <item x="13"/>
        <item x="262"/>
        <item x="47"/>
        <item x="222"/>
        <item x="74"/>
        <item x="297"/>
        <item x="138"/>
        <item x="173"/>
        <item x="188"/>
        <item x="331"/>
        <item x="278"/>
        <item x="184"/>
        <item x="291"/>
        <item x="220"/>
        <item x="87"/>
        <item x="20"/>
        <item x="7"/>
        <item x="86"/>
        <item x="193"/>
        <item x="113"/>
        <item x="305"/>
        <item x="51"/>
        <item x="296"/>
        <item x="169"/>
        <item x="12"/>
        <item x="53"/>
        <item x="11"/>
        <item x="91"/>
        <item x="18"/>
        <item x="263"/>
        <item x="77"/>
        <item x="321"/>
        <item x="114"/>
        <item x="264"/>
        <item x="107"/>
        <item x="31"/>
        <item x="287"/>
        <item x="24"/>
        <item x="323"/>
        <item x="230"/>
        <item x="83"/>
        <item x="231"/>
        <item x="334"/>
        <item x="229"/>
        <item x="227"/>
        <item x="300"/>
        <item x="175"/>
        <item x="191"/>
        <item x="16"/>
        <item x="190"/>
        <item x="288"/>
        <item x="269"/>
        <item x="217"/>
        <item x="142"/>
        <item x="14"/>
        <item x="200"/>
        <item x="271"/>
        <item x="43"/>
        <item x="202"/>
        <item x="9"/>
        <item x="225"/>
        <item x="277"/>
        <item x="117"/>
        <item x="247"/>
        <item x="40"/>
        <item x="139"/>
        <item x="126"/>
        <item x="72"/>
        <item x="29"/>
        <item x="134"/>
        <item x="85"/>
        <item x="253"/>
        <item x="176"/>
        <item x="120"/>
        <item x="32"/>
        <item x="245"/>
        <item x="45"/>
        <item x="61"/>
        <item x="270"/>
        <item x="206"/>
        <item x="203"/>
        <item x="327"/>
        <item x="151"/>
        <item x="160"/>
        <item x="216"/>
        <item x="333"/>
        <item x="212"/>
        <item x="326"/>
        <item x="208"/>
        <item x="307"/>
        <item x="132"/>
        <item x="79"/>
        <item x="130"/>
        <item x="224"/>
        <item x="57"/>
        <item x="267"/>
        <item x="34"/>
        <item x="273"/>
        <item x="239"/>
        <item x="33"/>
        <item x="78"/>
        <item x="95"/>
        <item x="304"/>
        <item x="69"/>
        <item x="17"/>
        <item x="6"/>
        <item x="68"/>
        <item x="280"/>
        <item x="111"/>
        <item x="329"/>
        <item x="66"/>
        <item x="119"/>
        <item x="303"/>
        <item x="293"/>
        <item x="19"/>
        <item x="131"/>
        <item x="292"/>
        <item x="299"/>
        <item x="308"/>
        <item x="226"/>
        <item x="199"/>
        <item x="149"/>
        <item x="15"/>
        <item x="165"/>
        <item x="54"/>
        <item x="195"/>
        <item x="232"/>
        <item x="73"/>
        <item x="5"/>
        <item x="258"/>
        <item x="295"/>
        <item x="136"/>
        <item x="82"/>
        <item x="97"/>
        <item x="30"/>
        <item x="248"/>
        <item x="55"/>
        <item x="198"/>
        <item x="192"/>
        <item x="279"/>
        <item x="106"/>
        <item x="27"/>
        <item x="205"/>
        <item x="1"/>
        <item x="123"/>
        <item x="324"/>
        <item x="312"/>
        <item x="215"/>
        <item x="238"/>
        <item x="330"/>
        <item x="115"/>
        <item x="221"/>
        <item x="36"/>
        <item x="122"/>
        <item x="265"/>
        <item t="default"/>
      </items>
    </pivotField>
    <pivotField showAll="0"/>
    <pivotField showAll="0"/>
    <pivotField showAll="0"/>
    <pivotField numFmtId="16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
    <i>
      <x/>
    </i>
    <i>
      <x v="1"/>
    </i>
    <i t="grand">
      <x/>
    </i>
  </rowItems>
  <colItems count="1">
    <i/>
  </colItems>
  <dataFields count="1">
    <dataField name="Average of Monthly_Income" fld="12"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222CCE1-0D09-4ED6-AD4A-7D79C1015CFD}" name="PivotTable6"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8:B92" firstHeaderRow="1" firstDataRow="1" firstDataCol="1"/>
  <pivotFields count="23">
    <pivotField showAll="0"/>
    <pivotField dataField="1"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338">
        <item x="168"/>
        <item x="84"/>
        <item x="62"/>
        <item x="322"/>
        <item x="234"/>
        <item x="162"/>
        <item x="166"/>
        <item x="137"/>
        <item x="63"/>
        <item x="90"/>
        <item x="103"/>
        <item x="10"/>
        <item x="58"/>
        <item x="143"/>
        <item x="194"/>
        <item x="96"/>
        <item x="243"/>
        <item x="285"/>
        <item x="185"/>
        <item x="254"/>
        <item x="167"/>
        <item x="50"/>
        <item x="244"/>
        <item x="128"/>
        <item x="145"/>
        <item x="276"/>
        <item x="152"/>
        <item x="121"/>
        <item x="129"/>
        <item x="252"/>
        <item x="257"/>
        <item x="328"/>
        <item x="0"/>
        <item x="180"/>
        <item x="39"/>
        <item x="105"/>
        <item x="242"/>
        <item x="246"/>
        <item x="148"/>
        <item x="282"/>
        <item x="214"/>
        <item x="314"/>
        <item x="196"/>
        <item x="154"/>
        <item x="320"/>
        <item x="28"/>
        <item x="135"/>
        <item x="223"/>
        <item x="170"/>
        <item x="49"/>
        <item x="64"/>
        <item x="140"/>
        <item x="319"/>
        <item x="182"/>
        <item x="228"/>
        <item x="60"/>
        <item x="249"/>
        <item x="38"/>
        <item x="112"/>
        <item x="241"/>
        <item x="325"/>
        <item x="272"/>
        <item x="80"/>
        <item x="174"/>
        <item x="335"/>
        <item x="187"/>
        <item x="89"/>
        <item x="163"/>
        <item x="274"/>
        <item x="211"/>
        <item x="124"/>
        <item x="178"/>
        <item x="240"/>
        <item x="177"/>
        <item x="281"/>
        <item x="294"/>
        <item x="44"/>
        <item x="210"/>
        <item x="21"/>
        <item x="2"/>
        <item x="313"/>
        <item x="317"/>
        <item x="41"/>
        <item x="93"/>
        <item x="46"/>
        <item x="310"/>
        <item x="67"/>
        <item x="23"/>
        <item x="268"/>
        <item x="298"/>
        <item x="155"/>
        <item x="81"/>
        <item x="26"/>
        <item x="125"/>
        <item x="186"/>
        <item x="283"/>
        <item x="147"/>
        <item x="156"/>
        <item x="22"/>
        <item x="179"/>
        <item x="237"/>
        <item x="286"/>
        <item x="332"/>
        <item x="260"/>
        <item x="118"/>
        <item x="104"/>
        <item x="161"/>
        <item x="3"/>
        <item x="255"/>
        <item x="71"/>
        <item x="158"/>
        <item x="219"/>
        <item x="110"/>
        <item x="250"/>
        <item x="100"/>
        <item x="201"/>
        <item x="171"/>
        <item x="315"/>
        <item x="251"/>
        <item x="261"/>
        <item x="144"/>
        <item x="256"/>
        <item x="42"/>
        <item x="172"/>
        <item x="181"/>
        <item x="25"/>
        <item x="141"/>
        <item x="94"/>
        <item x="233"/>
        <item x="209"/>
        <item x="290"/>
        <item x="159"/>
        <item x="207"/>
        <item x="289"/>
        <item x="88"/>
        <item x="235"/>
        <item x="318"/>
        <item x="157"/>
        <item x="183"/>
        <item x="48"/>
        <item x="204"/>
        <item x="98"/>
        <item x="153"/>
        <item x="306"/>
        <item x="37"/>
        <item x="236"/>
        <item x="99"/>
        <item x="52"/>
        <item x="309"/>
        <item x="311"/>
        <item x="284"/>
        <item x="92"/>
        <item x="56"/>
        <item x="213"/>
        <item x="266"/>
        <item x="150"/>
        <item x="259"/>
        <item x="4"/>
        <item x="108"/>
        <item x="133"/>
        <item x="102"/>
        <item x="146"/>
        <item x="189"/>
        <item x="197"/>
        <item x="275"/>
        <item x="336"/>
        <item x="75"/>
        <item x="8"/>
        <item x="76"/>
        <item x="109"/>
        <item x="316"/>
        <item x="301"/>
        <item x="35"/>
        <item x="302"/>
        <item x="65"/>
        <item x="70"/>
        <item x="101"/>
        <item x="164"/>
        <item x="59"/>
        <item x="218"/>
        <item x="116"/>
        <item x="127"/>
        <item x="13"/>
        <item x="262"/>
        <item x="47"/>
        <item x="222"/>
        <item x="74"/>
        <item x="297"/>
        <item x="138"/>
        <item x="173"/>
        <item x="188"/>
        <item x="331"/>
        <item x="278"/>
        <item x="184"/>
        <item x="291"/>
        <item x="220"/>
        <item x="87"/>
        <item x="20"/>
        <item x="7"/>
        <item x="86"/>
        <item x="193"/>
        <item x="113"/>
        <item x="305"/>
        <item x="51"/>
        <item x="296"/>
        <item x="169"/>
        <item x="12"/>
        <item x="53"/>
        <item x="11"/>
        <item x="91"/>
        <item x="18"/>
        <item x="263"/>
        <item x="77"/>
        <item x="321"/>
        <item x="114"/>
        <item x="264"/>
        <item x="107"/>
        <item x="31"/>
        <item x="287"/>
        <item x="24"/>
        <item x="323"/>
        <item x="230"/>
        <item x="83"/>
        <item x="231"/>
        <item x="334"/>
        <item x="229"/>
        <item x="227"/>
        <item x="300"/>
        <item x="175"/>
        <item x="191"/>
        <item x="16"/>
        <item x="190"/>
        <item x="288"/>
        <item x="269"/>
        <item x="217"/>
        <item x="142"/>
        <item x="14"/>
        <item x="200"/>
        <item x="271"/>
        <item x="43"/>
        <item x="202"/>
        <item x="9"/>
        <item x="225"/>
        <item x="277"/>
        <item x="117"/>
        <item x="247"/>
        <item x="40"/>
        <item x="139"/>
        <item x="126"/>
        <item x="72"/>
        <item x="29"/>
        <item x="134"/>
        <item x="85"/>
        <item x="253"/>
        <item x="176"/>
        <item x="120"/>
        <item x="32"/>
        <item x="245"/>
        <item x="45"/>
        <item x="61"/>
        <item x="270"/>
        <item x="206"/>
        <item x="203"/>
        <item x="327"/>
        <item x="151"/>
        <item x="160"/>
        <item x="216"/>
        <item x="333"/>
        <item x="212"/>
        <item x="326"/>
        <item x="208"/>
        <item x="307"/>
        <item x="132"/>
        <item x="79"/>
        <item x="130"/>
        <item x="224"/>
        <item x="57"/>
        <item x="267"/>
        <item x="34"/>
        <item x="273"/>
        <item x="239"/>
        <item x="33"/>
        <item x="78"/>
        <item x="95"/>
        <item x="304"/>
        <item x="69"/>
        <item x="17"/>
        <item x="6"/>
        <item x="68"/>
        <item x="280"/>
        <item x="111"/>
        <item x="329"/>
        <item x="66"/>
        <item x="119"/>
        <item x="303"/>
        <item x="293"/>
        <item x="19"/>
        <item x="131"/>
        <item x="292"/>
        <item x="299"/>
        <item x="308"/>
        <item x="226"/>
        <item x="199"/>
        <item x="149"/>
        <item x="15"/>
        <item x="165"/>
        <item x="54"/>
        <item x="195"/>
        <item x="232"/>
        <item x="73"/>
        <item x="5"/>
        <item x="258"/>
        <item x="295"/>
        <item x="136"/>
        <item x="82"/>
        <item x="97"/>
        <item x="30"/>
        <item x="248"/>
        <item x="55"/>
        <item x="198"/>
        <item x="192"/>
        <item x="279"/>
        <item x="106"/>
        <item x="27"/>
        <item x="205"/>
        <item x="1"/>
        <item x="123"/>
        <item x="324"/>
        <item x="312"/>
        <item x="215"/>
        <item x="238"/>
        <item x="330"/>
        <item x="115"/>
        <item x="221"/>
        <item x="36"/>
        <item x="122"/>
        <item x="265"/>
        <item t="default"/>
      </items>
    </pivotField>
    <pivotField showAll="0"/>
    <pivotField axis="axisRow" showAll="0">
      <items count="4">
        <item x="0"/>
        <item x="2"/>
        <item x="1"/>
        <item t="default"/>
      </items>
    </pivotField>
    <pivotField showAll="0"/>
    <pivotField numFmtId="16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7"/>
  </rowFields>
  <rowItems count="4">
    <i>
      <x/>
    </i>
    <i>
      <x v="1"/>
    </i>
    <i>
      <x v="2"/>
    </i>
    <i t="grand">
      <x/>
    </i>
  </rowItems>
  <colItems count="1">
    <i/>
  </colItems>
  <dataFields count="1">
    <dataField name="Count of Client_Name" fld="1"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0A46BDA-7DA9-4087-949B-CC0663C2C8B4}" name="PivotTable4"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B26" firstHeaderRow="1" firstDataRow="1" firstDataCol="1"/>
  <pivotFields count="23">
    <pivotField showAll="0"/>
    <pivotField showAll="0"/>
    <pivotField axis="axisRow" showAll="0">
      <items count="3">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numFmtId="14" showAll="0">
      <items count="338">
        <item x="168"/>
        <item x="84"/>
        <item x="62"/>
        <item x="322"/>
        <item x="234"/>
        <item x="162"/>
        <item x="166"/>
        <item x="137"/>
        <item x="63"/>
        <item x="90"/>
        <item x="103"/>
        <item x="10"/>
        <item x="58"/>
        <item x="143"/>
        <item x="194"/>
        <item x="96"/>
        <item x="243"/>
        <item x="285"/>
        <item x="185"/>
        <item x="254"/>
        <item x="167"/>
        <item x="50"/>
        <item x="244"/>
        <item x="128"/>
        <item x="145"/>
        <item x="276"/>
        <item x="152"/>
        <item x="121"/>
        <item x="129"/>
        <item x="252"/>
        <item x="257"/>
        <item x="328"/>
        <item x="0"/>
        <item x="180"/>
        <item x="39"/>
        <item x="105"/>
        <item x="242"/>
        <item x="246"/>
        <item x="148"/>
        <item x="282"/>
        <item x="214"/>
        <item x="314"/>
        <item x="196"/>
        <item x="154"/>
        <item x="320"/>
        <item x="28"/>
        <item x="135"/>
        <item x="223"/>
        <item x="170"/>
        <item x="49"/>
        <item x="64"/>
        <item x="140"/>
        <item x="319"/>
        <item x="182"/>
        <item x="228"/>
        <item x="60"/>
        <item x="249"/>
        <item x="38"/>
        <item x="112"/>
        <item x="241"/>
        <item x="325"/>
        <item x="272"/>
        <item x="80"/>
        <item x="174"/>
        <item x="335"/>
        <item x="187"/>
        <item x="89"/>
        <item x="163"/>
        <item x="274"/>
        <item x="211"/>
        <item x="124"/>
        <item x="178"/>
        <item x="240"/>
        <item x="177"/>
        <item x="281"/>
        <item x="294"/>
        <item x="44"/>
        <item x="210"/>
        <item x="21"/>
        <item x="2"/>
        <item x="313"/>
        <item x="317"/>
        <item x="41"/>
        <item x="93"/>
        <item x="46"/>
        <item x="310"/>
        <item x="67"/>
        <item x="23"/>
        <item x="268"/>
        <item x="298"/>
        <item x="155"/>
        <item x="81"/>
        <item x="26"/>
        <item x="125"/>
        <item x="186"/>
        <item x="283"/>
        <item x="147"/>
        <item x="156"/>
        <item x="22"/>
        <item x="179"/>
        <item x="237"/>
        <item x="286"/>
        <item x="332"/>
        <item x="260"/>
        <item x="118"/>
        <item x="104"/>
        <item x="161"/>
        <item x="3"/>
        <item x="255"/>
        <item x="71"/>
        <item x="158"/>
        <item x="219"/>
        <item x="110"/>
        <item x="250"/>
        <item x="100"/>
        <item x="201"/>
        <item x="171"/>
        <item x="315"/>
        <item x="251"/>
        <item x="261"/>
        <item x="144"/>
        <item x="256"/>
        <item x="42"/>
        <item x="172"/>
        <item x="181"/>
        <item x="25"/>
        <item x="141"/>
        <item x="94"/>
        <item x="233"/>
        <item x="209"/>
        <item x="290"/>
        <item x="159"/>
        <item x="207"/>
        <item x="289"/>
        <item x="88"/>
        <item x="235"/>
        <item x="318"/>
        <item x="157"/>
        <item x="183"/>
        <item x="48"/>
        <item x="204"/>
        <item x="98"/>
        <item x="153"/>
        <item x="306"/>
        <item x="37"/>
        <item x="236"/>
        <item x="99"/>
        <item x="52"/>
        <item x="309"/>
        <item x="311"/>
        <item x="284"/>
        <item x="92"/>
        <item x="56"/>
        <item x="213"/>
        <item x="266"/>
        <item x="150"/>
        <item x="259"/>
        <item x="4"/>
        <item x="108"/>
        <item x="133"/>
        <item x="102"/>
        <item x="146"/>
        <item x="189"/>
        <item x="197"/>
        <item x="275"/>
        <item x="336"/>
        <item x="75"/>
        <item x="8"/>
        <item x="76"/>
        <item x="109"/>
        <item x="316"/>
        <item x="301"/>
        <item x="35"/>
        <item x="302"/>
        <item x="65"/>
        <item x="70"/>
        <item x="101"/>
        <item x="164"/>
        <item x="59"/>
        <item x="218"/>
        <item x="116"/>
        <item x="127"/>
        <item x="13"/>
        <item x="262"/>
        <item x="47"/>
        <item x="222"/>
        <item x="74"/>
        <item x="297"/>
        <item x="138"/>
        <item x="173"/>
        <item x="188"/>
        <item x="331"/>
        <item x="278"/>
        <item x="184"/>
        <item x="291"/>
        <item x="220"/>
        <item x="87"/>
        <item x="20"/>
        <item x="7"/>
        <item x="86"/>
        <item x="193"/>
        <item x="113"/>
        <item x="305"/>
        <item x="51"/>
        <item x="296"/>
        <item x="169"/>
        <item x="12"/>
        <item x="53"/>
        <item x="11"/>
        <item x="91"/>
        <item x="18"/>
        <item x="263"/>
        <item x="77"/>
        <item x="321"/>
        <item x="114"/>
        <item x="264"/>
        <item x="107"/>
        <item x="31"/>
        <item x="287"/>
        <item x="24"/>
        <item x="323"/>
        <item x="230"/>
        <item x="83"/>
        <item x="231"/>
        <item x="334"/>
        <item x="229"/>
        <item x="227"/>
        <item x="300"/>
        <item x="175"/>
        <item x="191"/>
        <item x="16"/>
        <item x="190"/>
        <item x="288"/>
        <item x="269"/>
        <item x="217"/>
        <item x="142"/>
        <item x="14"/>
        <item x="200"/>
        <item x="271"/>
        <item x="43"/>
        <item x="202"/>
        <item x="9"/>
        <item x="225"/>
        <item x="277"/>
        <item x="117"/>
        <item x="247"/>
        <item x="40"/>
        <item x="139"/>
        <item x="126"/>
        <item x="72"/>
        <item x="29"/>
        <item x="134"/>
        <item x="85"/>
        <item x="253"/>
        <item x="176"/>
        <item x="120"/>
        <item x="32"/>
        <item x="245"/>
        <item x="45"/>
        <item x="61"/>
        <item x="270"/>
        <item x="206"/>
        <item x="203"/>
        <item x="327"/>
        <item x="151"/>
        <item x="160"/>
        <item x="216"/>
        <item x="333"/>
        <item x="212"/>
        <item x="326"/>
        <item x="208"/>
        <item x="307"/>
        <item x="132"/>
        <item x="79"/>
        <item x="130"/>
        <item x="224"/>
        <item x="57"/>
        <item x="267"/>
        <item x="34"/>
        <item x="273"/>
        <item x="239"/>
        <item x="33"/>
        <item x="78"/>
        <item x="95"/>
        <item x="304"/>
        <item x="69"/>
        <item x="17"/>
        <item x="6"/>
        <item x="68"/>
        <item x="280"/>
        <item x="111"/>
        <item x="329"/>
        <item x="66"/>
        <item x="119"/>
        <item x="303"/>
        <item x="293"/>
        <item x="19"/>
        <item x="131"/>
        <item x="292"/>
        <item x="299"/>
        <item x="308"/>
        <item x="226"/>
        <item x="199"/>
        <item x="149"/>
        <item x="15"/>
        <item x="165"/>
        <item x="54"/>
        <item x="195"/>
        <item x="232"/>
        <item x="73"/>
        <item x="5"/>
        <item x="258"/>
        <item x="295"/>
        <item x="136"/>
        <item x="82"/>
        <item x="97"/>
        <item x="30"/>
        <item x="248"/>
        <item x="55"/>
        <item x="198"/>
        <item x="192"/>
        <item x="279"/>
        <item x="106"/>
        <item x="27"/>
        <item x="205"/>
        <item x="1"/>
        <item x="123"/>
        <item x="324"/>
        <item x="312"/>
        <item x="215"/>
        <item x="238"/>
        <item x="330"/>
        <item x="115"/>
        <item x="221"/>
        <item x="36"/>
        <item x="122"/>
        <item x="265"/>
        <item t="default"/>
      </items>
    </pivotField>
    <pivotField showAll="0"/>
    <pivotField showAll="0"/>
    <pivotField showAll="0"/>
    <pivotField numFmtId="16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
    <i>
      <x/>
    </i>
    <i>
      <x v="1"/>
    </i>
    <i t="grand">
      <x/>
    </i>
  </rowItems>
  <colItems count="1">
    <i/>
  </colItems>
  <dataFields count="1">
    <dataField name="Average of Deposit_Amount" fld="5" subtotal="average" baseField="1" baseItem="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A280CC4-4C27-4BD0-AE60-1F53D7175E08}" name="PivotTable1"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23">
    <pivotField showAll="0"/>
    <pivotField dataField="1"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338">
        <item x="168"/>
        <item x="84"/>
        <item x="62"/>
        <item x="322"/>
        <item x="234"/>
        <item x="162"/>
        <item x="166"/>
        <item x="137"/>
        <item x="63"/>
        <item x="90"/>
        <item x="103"/>
        <item x="10"/>
        <item x="58"/>
        <item x="143"/>
        <item x="194"/>
        <item x="96"/>
        <item x="243"/>
        <item x="285"/>
        <item x="185"/>
        <item x="254"/>
        <item x="167"/>
        <item x="50"/>
        <item x="244"/>
        <item x="128"/>
        <item x="145"/>
        <item x="276"/>
        <item x="152"/>
        <item x="121"/>
        <item x="129"/>
        <item x="252"/>
        <item x="257"/>
        <item x="328"/>
        <item x="0"/>
        <item x="180"/>
        <item x="39"/>
        <item x="105"/>
        <item x="242"/>
        <item x="246"/>
        <item x="148"/>
        <item x="282"/>
        <item x="214"/>
        <item x="314"/>
        <item x="196"/>
        <item x="154"/>
        <item x="320"/>
        <item x="28"/>
        <item x="135"/>
        <item x="223"/>
        <item x="170"/>
        <item x="49"/>
        <item x="64"/>
        <item x="140"/>
        <item x="319"/>
        <item x="182"/>
        <item x="228"/>
        <item x="60"/>
        <item x="249"/>
        <item x="38"/>
        <item x="112"/>
        <item x="241"/>
        <item x="325"/>
        <item x="272"/>
        <item x="80"/>
        <item x="174"/>
        <item x="335"/>
        <item x="187"/>
        <item x="89"/>
        <item x="163"/>
        <item x="274"/>
        <item x="211"/>
        <item x="124"/>
        <item x="178"/>
        <item x="240"/>
        <item x="177"/>
        <item x="281"/>
        <item x="294"/>
        <item x="44"/>
        <item x="210"/>
        <item x="21"/>
        <item x="2"/>
        <item x="313"/>
        <item x="317"/>
        <item x="41"/>
        <item x="93"/>
        <item x="46"/>
        <item x="310"/>
        <item x="67"/>
        <item x="23"/>
        <item x="268"/>
        <item x="298"/>
        <item x="155"/>
        <item x="81"/>
        <item x="26"/>
        <item x="125"/>
        <item x="186"/>
        <item x="283"/>
        <item x="147"/>
        <item x="156"/>
        <item x="22"/>
        <item x="179"/>
        <item x="237"/>
        <item x="286"/>
        <item x="332"/>
        <item x="260"/>
        <item x="118"/>
        <item x="104"/>
        <item x="161"/>
        <item x="3"/>
        <item x="255"/>
        <item x="71"/>
        <item x="158"/>
        <item x="219"/>
        <item x="110"/>
        <item x="250"/>
        <item x="100"/>
        <item x="201"/>
        <item x="171"/>
        <item x="315"/>
        <item x="251"/>
        <item x="261"/>
        <item x="144"/>
        <item x="256"/>
        <item x="42"/>
        <item x="172"/>
        <item x="181"/>
        <item x="25"/>
        <item x="141"/>
        <item x="94"/>
        <item x="233"/>
        <item x="209"/>
        <item x="290"/>
        <item x="159"/>
        <item x="207"/>
        <item x="289"/>
        <item x="88"/>
        <item x="235"/>
        <item x="318"/>
        <item x="157"/>
        <item x="183"/>
        <item x="48"/>
        <item x="204"/>
        <item x="98"/>
        <item x="153"/>
        <item x="306"/>
        <item x="37"/>
        <item x="236"/>
        <item x="99"/>
        <item x="52"/>
        <item x="309"/>
        <item x="311"/>
        <item x="284"/>
        <item x="92"/>
        <item x="56"/>
        <item x="213"/>
        <item x="266"/>
        <item x="150"/>
        <item x="259"/>
        <item x="4"/>
        <item x="108"/>
        <item x="133"/>
        <item x="102"/>
        <item x="146"/>
        <item x="189"/>
        <item x="197"/>
        <item x="275"/>
        <item x="336"/>
        <item x="75"/>
        <item x="8"/>
        <item x="76"/>
        <item x="109"/>
        <item x="316"/>
        <item x="301"/>
        <item x="35"/>
        <item x="302"/>
        <item x="65"/>
        <item x="70"/>
        <item x="101"/>
        <item x="164"/>
        <item x="59"/>
        <item x="218"/>
        <item x="116"/>
        <item x="127"/>
        <item x="13"/>
        <item x="262"/>
        <item x="47"/>
        <item x="222"/>
        <item x="74"/>
        <item x="297"/>
        <item x="138"/>
        <item x="173"/>
        <item x="188"/>
        <item x="331"/>
        <item x="278"/>
        <item x="184"/>
        <item x="291"/>
        <item x="220"/>
        <item x="87"/>
        <item x="20"/>
        <item x="7"/>
        <item x="86"/>
        <item x="193"/>
        <item x="113"/>
        <item x="305"/>
        <item x="51"/>
        <item x="296"/>
        <item x="169"/>
        <item x="12"/>
        <item x="53"/>
        <item x="11"/>
        <item x="91"/>
        <item x="18"/>
        <item x="263"/>
        <item x="77"/>
        <item x="321"/>
        <item x="114"/>
        <item x="264"/>
        <item x="107"/>
        <item x="31"/>
        <item x="287"/>
        <item x="24"/>
        <item x="323"/>
        <item x="230"/>
        <item x="83"/>
        <item x="231"/>
        <item x="334"/>
        <item x="229"/>
        <item x="227"/>
        <item x="300"/>
        <item x="175"/>
        <item x="191"/>
        <item x="16"/>
        <item x="190"/>
        <item x="288"/>
        <item x="269"/>
        <item x="217"/>
        <item x="142"/>
        <item x="14"/>
        <item x="200"/>
        <item x="271"/>
        <item x="43"/>
        <item x="202"/>
        <item x="9"/>
        <item x="225"/>
        <item x="277"/>
        <item x="117"/>
        <item x="247"/>
        <item x="40"/>
        <item x="139"/>
        <item x="126"/>
        <item x="72"/>
        <item x="29"/>
        <item x="134"/>
        <item x="85"/>
        <item x="253"/>
        <item x="176"/>
        <item x="120"/>
        <item x="32"/>
        <item x="245"/>
        <item x="45"/>
        <item x="61"/>
        <item x="270"/>
        <item x="206"/>
        <item x="203"/>
        <item x="327"/>
        <item x="151"/>
        <item x="160"/>
        <item x="216"/>
        <item x="333"/>
        <item x="212"/>
        <item x="326"/>
        <item x="208"/>
        <item x="307"/>
        <item x="132"/>
        <item x="79"/>
        <item x="130"/>
        <item x="224"/>
        <item x="57"/>
        <item x="267"/>
        <item x="34"/>
        <item x="273"/>
        <item x="239"/>
        <item x="33"/>
        <item x="78"/>
        <item x="95"/>
        <item x="304"/>
        <item x="69"/>
        <item x="17"/>
        <item x="6"/>
        <item x="68"/>
        <item x="280"/>
        <item x="111"/>
        <item x="329"/>
        <item x="66"/>
        <item x="119"/>
        <item x="303"/>
        <item x="293"/>
        <item x="19"/>
        <item x="131"/>
        <item x="292"/>
        <item x="299"/>
        <item x="308"/>
        <item x="226"/>
        <item x="199"/>
        <item x="149"/>
        <item x="15"/>
        <item x="165"/>
        <item x="54"/>
        <item x="195"/>
        <item x="232"/>
        <item x="73"/>
        <item x="5"/>
        <item x="258"/>
        <item x="295"/>
        <item x="136"/>
        <item x="82"/>
        <item x="97"/>
        <item x="30"/>
        <item x="248"/>
        <item x="55"/>
        <item x="198"/>
        <item x="192"/>
        <item x="279"/>
        <item x="106"/>
        <item x="27"/>
        <item x="205"/>
        <item x="1"/>
        <item x="123"/>
        <item x="324"/>
        <item x="312"/>
        <item x="215"/>
        <item x="238"/>
        <item x="330"/>
        <item x="115"/>
        <item x="221"/>
        <item x="36"/>
        <item x="122"/>
        <item x="265"/>
        <item t="default"/>
      </items>
    </pivotField>
    <pivotField showAll="0"/>
    <pivotField showAll="0"/>
    <pivotField showAll="0"/>
    <pivotField numFmtId="16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
    <i>
      <x/>
    </i>
    <i>
      <x v="1"/>
    </i>
    <i t="grand">
      <x/>
    </i>
  </rowItems>
  <colItems count="1">
    <i/>
  </colItems>
  <dataFields count="1">
    <dataField name="Count of Client_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4A35EAC-1F9F-4856-9663-1E61E8967FB1}" name="PivotTable11" cacheId="51" applyNumberFormats="0" applyBorderFormats="0" applyFontFormats="0" applyPatternFormats="0" applyAlignmentFormats="0" applyWidthHeightFormats="1" dataCaption="Values" updatedVersion="8" minRefreshableVersion="3" showDrill="0" itemPrintTitles="1" createdVersion="8" indent="0" outline="1" outlineData="1" multipleFieldFilters="0" chartFormat="11">
  <location ref="A48:B52" firstHeaderRow="1" firstDataRow="1" firstDataCol="1"/>
  <pivotFields count="23">
    <pivotField showAll="0"/>
    <pivotField showAll="0"/>
    <pivotField showAll="0">
      <items count="3">
        <item x="1"/>
        <item x="0"/>
        <item t="default"/>
      </items>
    </pivotField>
    <pivotField showAll="0"/>
    <pivotField showAll="0"/>
    <pivotField showAll="0"/>
    <pivotField axis="axisRow" dataField="1" showAll="0">
      <items count="4">
        <item x="0"/>
        <item x="1"/>
        <item x="2"/>
        <item t="default"/>
      </items>
    </pivotField>
    <pivotField showAll="0"/>
    <pivotField showAll="0"/>
    <pivotField showAll="0"/>
    <pivotField showAll="0"/>
    <pivotField showAll="0"/>
    <pivotField showAll="0"/>
    <pivotField showAll="0"/>
    <pivotField showAll="0"/>
    <pivotField numFmtId="14" showAll="0">
      <items count="338">
        <item x="168"/>
        <item x="84"/>
        <item x="62"/>
        <item x="322"/>
        <item x="234"/>
        <item x="162"/>
        <item x="166"/>
        <item x="137"/>
        <item x="63"/>
        <item x="90"/>
        <item x="103"/>
        <item x="10"/>
        <item x="58"/>
        <item x="143"/>
        <item x="194"/>
        <item x="96"/>
        <item x="243"/>
        <item x="285"/>
        <item x="185"/>
        <item x="254"/>
        <item x="167"/>
        <item x="50"/>
        <item x="244"/>
        <item x="128"/>
        <item x="145"/>
        <item x="276"/>
        <item x="152"/>
        <item x="121"/>
        <item x="129"/>
        <item x="252"/>
        <item x="257"/>
        <item x="328"/>
        <item x="0"/>
        <item x="180"/>
        <item x="39"/>
        <item x="105"/>
        <item x="242"/>
        <item x="246"/>
        <item x="148"/>
        <item x="282"/>
        <item x="214"/>
        <item x="314"/>
        <item x="196"/>
        <item x="154"/>
        <item x="320"/>
        <item x="28"/>
        <item x="135"/>
        <item x="223"/>
        <item x="170"/>
        <item x="49"/>
        <item x="64"/>
        <item x="140"/>
        <item x="319"/>
        <item x="182"/>
        <item x="228"/>
        <item x="60"/>
        <item x="249"/>
        <item x="38"/>
        <item x="112"/>
        <item x="241"/>
        <item x="325"/>
        <item x="272"/>
        <item x="80"/>
        <item x="174"/>
        <item x="335"/>
        <item x="187"/>
        <item x="89"/>
        <item x="163"/>
        <item x="274"/>
        <item x="211"/>
        <item x="124"/>
        <item x="178"/>
        <item x="240"/>
        <item x="177"/>
        <item x="281"/>
        <item x="294"/>
        <item x="44"/>
        <item x="210"/>
        <item x="21"/>
        <item x="2"/>
        <item x="313"/>
        <item x="317"/>
        <item x="41"/>
        <item x="93"/>
        <item x="46"/>
        <item x="310"/>
        <item x="67"/>
        <item x="23"/>
        <item x="268"/>
        <item x="298"/>
        <item x="155"/>
        <item x="81"/>
        <item x="26"/>
        <item x="125"/>
        <item x="186"/>
        <item x="283"/>
        <item x="147"/>
        <item x="156"/>
        <item x="22"/>
        <item x="179"/>
        <item x="237"/>
        <item x="286"/>
        <item x="332"/>
        <item x="260"/>
        <item x="118"/>
        <item x="104"/>
        <item x="161"/>
        <item x="3"/>
        <item x="255"/>
        <item x="71"/>
        <item x="158"/>
        <item x="219"/>
        <item x="110"/>
        <item x="250"/>
        <item x="100"/>
        <item x="201"/>
        <item x="171"/>
        <item x="315"/>
        <item x="251"/>
        <item x="261"/>
        <item x="144"/>
        <item x="256"/>
        <item x="42"/>
        <item x="172"/>
        <item x="181"/>
        <item x="25"/>
        <item x="141"/>
        <item x="94"/>
        <item x="233"/>
        <item x="209"/>
        <item x="290"/>
        <item x="159"/>
        <item x="207"/>
        <item x="289"/>
        <item x="88"/>
        <item x="235"/>
        <item x="318"/>
        <item x="157"/>
        <item x="183"/>
        <item x="48"/>
        <item x="204"/>
        <item x="98"/>
        <item x="153"/>
        <item x="306"/>
        <item x="37"/>
        <item x="236"/>
        <item x="99"/>
        <item x="52"/>
        <item x="309"/>
        <item x="311"/>
        <item x="284"/>
        <item x="92"/>
        <item x="56"/>
        <item x="213"/>
        <item x="266"/>
        <item x="150"/>
        <item x="259"/>
        <item x="4"/>
        <item x="108"/>
        <item x="133"/>
        <item x="102"/>
        <item x="146"/>
        <item x="189"/>
        <item x="197"/>
        <item x="275"/>
        <item x="336"/>
        <item x="75"/>
        <item x="8"/>
        <item x="76"/>
        <item x="109"/>
        <item x="316"/>
        <item x="301"/>
        <item x="35"/>
        <item x="302"/>
        <item x="65"/>
        <item x="70"/>
        <item x="101"/>
        <item x="164"/>
        <item x="59"/>
        <item x="218"/>
        <item x="116"/>
        <item x="127"/>
        <item x="13"/>
        <item x="262"/>
        <item x="47"/>
        <item x="222"/>
        <item x="74"/>
        <item x="297"/>
        <item x="138"/>
        <item x="173"/>
        <item x="188"/>
        <item x="331"/>
        <item x="278"/>
        <item x="184"/>
        <item x="291"/>
        <item x="220"/>
        <item x="87"/>
        <item x="20"/>
        <item x="7"/>
        <item x="86"/>
        <item x="193"/>
        <item x="113"/>
        <item x="305"/>
        <item x="51"/>
        <item x="296"/>
        <item x="169"/>
        <item x="12"/>
        <item x="53"/>
        <item x="11"/>
        <item x="91"/>
        <item x="18"/>
        <item x="263"/>
        <item x="77"/>
        <item x="321"/>
        <item x="114"/>
        <item x="264"/>
        <item x="107"/>
        <item x="31"/>
        <item x="287"/>
        <item x="24"/>
        <item x="323"/>
        <item x="230"/>
        <item x="83"/>
        <item x="231"/>
        <item x="334"/>
        <item x="229"/>
        <item x="227"/>
        <item x="300"/>
        <item x="175"/>
        <item x="191"/>
        <item x="16"/>
        <item x="190"/>
        <item x="288"/>
        <item x="269"/>
        <item x="217"/>
        <item x="142"/>
        <item x="14"/>
        <item x="200"/>
        <item x="271"/>
        <item x="43"/>
        <item x="202"/>
        <item x="9"/>
        <item x="225"/>
        <item x="277"/>
        <item x="117"/>
        <item x="247"/>
        <item x="40"/>
        <item x="139"/>
        <item x="126"/>
        <item x="72"/>
        <item x="29"/>
        <item x="134"/>
        <item x="85"/>
        <item x="253"/>
        <item x="176"/>
        <item x="120"/>
        <item x="32"/>
        <item x="245"/>
        <item x="45"/>
        <item x="61"/>
        <item x="270"/>
        <item x="206"/>
        <item x="203"/>
        <item x="327"/>
        <item x="151"/>
        <item x="160"/>
        <item x="216"/>
        <item x="333"/>
        <item x="212"/>
        <item x="326"/>
        <item x="208"/>
        <item x="307"/>
        <item x="132"/>
        <item x="79"/>
        <item x="130"/>
        <item x="224"/>
        <item x="57"/>
        <item x="267"/>
        <item x="34"/>
        <item x="273"/>
        <item x="239"/>
        <item x="33"/>
        <item x="78"/>
        <item x="95"/>
        <item x="304"/>
        <item x="69"/>
        <item x="17"/>
        <item x="6"/>
        <item x="68"/>
        <item x="280"/>
        <item x="111"/>
        <item x="329"/>
        <item x="66"/>
        <item x="119"/>
        <item x="303"/>
        <item x="293"/>
        <item x="19"/>
        <item x="131"/>
        <item x="292"/>
        <item x="299"/>
        <item x="308"/>
        <item x="226"/>
        <item x="199"/>
        <item x="149"/>
        <item x="15"/>
        <item x="165"/>
        <item x="54"/>
        <item x="195"/>
        <item x="232"/>
        <item x="73"/>
        <item x="5"/>
        <item x="258"/>
        <item x="295"/>
        <item x="136"/>
        <item x="82"/>
        <item x="97"/>
        <item x="30"/>
        <item x="248"/>
        <item x="55"/>
        <item x="198"/>
        <item x="192"/>
        <item x="279"/>
        <item x="106"/>
        <item x="27"/>
        <item x="205"/>
        <item x="1"/>
        <item x="123"/>
        <item x="324"/>
        <item x="312"/>
        <item x="215"/>
        <item x="238"/>
        <item x="330"/>
        <item x="115"/>
        <item x="221"/>
        <item x="36"/>
        <item x="122"/>
        <item x="265"/>
        <item t="default"/>
      </items>
    </pivotField>
    <pivotField showAll="0"/>
    <pivotField showAll="0"/>
    <pivotField showAll="0"/>
    <pivotField numFmtId="164"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4">
    <i>
      <x/>
    </i>
    <i>
      <x v="1"/>
    </i>
    <i>
      <x v="2"/>
    </i>
    <i t="grand">
      <x/>
    </i>
  </rowItems>
  <colItems count="1">
    <i/>
  </colItems>
  <dataFields count="1">
    <dataField name="Count of Column1" fld="6" subtotal="count" baseField="0" baseItem="0" numFmtId="10">
      <extLst>
        <ext xmlns:x14="http://schemas.microsoft.com/office/spreadsheetml/2009/9/main" uri="{E15A36E0-9728-4e99-A89B-3F7291B0FE68}">
          <x14:dataField pivotShowAs="percentOfParentRow"/>
        </ext>
      </extLst>
    </dataField>
  </dataFields>
  <chartFormats count="6">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6"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6" count="1" selected="0">
            <x v="0"/>
          </reference>
        </references>
      </pivotArea>
    </chartFormat>
    <chartFormat chart="6" format="8">
      <pivotArea type="data" outline="0" fieldPosition="0">
        <references count="2">
          <reference field="4294967294" count="1" selected="0">
            <x v="0"/>
          </reference>
          <reference field="6" count="1" selected="0">
            <x v="1"/>
          </reference>
        </references>
      </pivotArea>
    </chartFormat>
    <chartFormat chart="6" format="9">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33F5F44-5CC7-421D-B7F9-6D567FCC94AF}" name="PivotTable10" cacheId="51" applyNumberFormats="0" applyBorderFormats="0" applyFontFormats="0" applyPatternFormats="0" applyAlignmentFormats="0" applyWidthHeightFormats="1" dataCaption="Values" updatedVersion="8" minRefreshableVersion="3" showDrill="0" itemPrintTitles="1" createdVersion="8" indent="0" outline="1" outlineData="1" multipleFieldFilters="0" chartFormat="7">
  <location ref="A30:B43" firstHeaderRow="1" firstDataRow="1" firstDataCol="1"/>
  <pivotFields count="23">
    <pivotField showAll="0"/>
    <pivotField dataField="1"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numFmtId="14" showAll="0">
      <items count="338">
        <item x="168"/>
        <item x="84"/>
        <item x="62"/>
        <item x="322"/>
        <item x="234"/>
        <item x="162"/>
        <item x="166"/>
        <item x="137"/>
        <item x="63"/>
        <item x="90"/>
        <item x="103"/>
        <item x="10"/>
        <item x="58"/>
        <item x="143"/>
        <item x="194"/>
        <item x="96"/>
        <item x="243"/>
        <item x="285"/>
        <item x="185"/>
        <item x="254"/>
        <item x="167"/>
        <item x="50"/>
        <item x="244"/>
        <item x="128"/>
        <item x="145"/>
        <item x="276"/>
        <item x="152"/>
        <item x="121"/>
        <item x="129"/>
        <item x="252"/>
        <item x="257"/>
        <item x="328"/>
        <item x="0"/>
        <item x="180"/>
        <item x="39"/>
        <item x="105"/>
        <item x="242"/>
        <item x="246"/>
        <item x="148"/>
        <item x="282"/>
        <item x="214"/>
        <item x="314"/>
        <item x="196"/>
        <item x="154"/>
        <item x="320"/>
        <item x="28"/>
        <item x="135"/>
        <item x="223"/>
        <item x="170"/>
        <item x="49"/>
        <item x="64"/>
        <item x="140"/>
        <item x="319"/>
        <item x="182"/>
        <item x="228"/>
        <item x="60"/>
        <item x="249"/>
        <item x="38"/>
        <item x="112"/>
        <item x="241"/>
        <item x="325"/>
        <item x="272"/>
        <item x="80"/>
        <item x="174"/>
        <item x="335"/>
        <item x="187"/>
        <item x="89"/>
        <item x="163"/>
        <item x="274"/>
        <item x="211"/>
        <item x="124"/>
        <item x="178"/>
        <item x="240"/>
        <item x="177"/>
        <item x="281"/>
        <item x="294"/>
        <item x="44"/>
        <item x="210"/>
        <item x="21"/>
        <item x="2"/>
        <item x="313"/>
        <item x="317"/>
        <item x="41"/>
        <item x="93"/>
        <item x="46"/>
        <item x="310"/>
        <item x="67"/>
        <item x="23"/>
        <item x="268"/>
        <item x="298"/>
        <item x="155"/>
        <item x="81"/>
        <item x="26"/>
        <item x="125"/>
        <item x="186"/>
        <item x="283"/>
        <item x="147"/>
        <item x="156"/>
        <item x="22"/>
        <item x="179"/>
        <item x="237"/>
        <item x="286"/>
        <item x="332"/>
        <item x="260"/>
        <item x="118"/>
        <item x="104"/>
        <item x="161"/>
        <item x="3"/>
        <item x="255"/>
        <item x="71"/>
        <item x="158"/>
        <item x="219"/>
        <item x="110"/>
        <item x="250"/>
        <item x="100"/>
        <item x="201"/>
        <item x="171"/>
        <item x="315"/>
        <item x="251"/>
        <item x="261"/>
        <item x="144"/>
        <item x="256"/>
        <item x="42"/>
        <item x="172"/>
        <item x="181"/>
        <item x="25"/>
        <item x="141"/>
        <item x="94"/>
        <item x="233"/>
        <item x="209"/>
        <item x="290"/>
        <item x="159"/>
        <item x="207"/>
        <item x="289"/>
        <item x="88"/>
        <item x="235"/>
        <item x="318"/>
        <item x="157"/>
        <item x="183"/>
        <item x="48"/>
        <item x="204"/>
        <item x="98"/>
        <item x="153"/>
        <item x="306"/>
        <item x="37"/>
        <item x="236"/>
        <item x="99"/>
        <item x="52"/>
        <item x="309"/>
        <item x="311"/>
        <item x="284"/>
        <item x="92"/>
        <item x="56"/>
        <item x="213"/>
        <item x="266"/>
        <item x="150"/>
        <item x="259"/>
        <item x="4"/>
        <item x="108"/>
        <item x="133"/>
        <item x="102"/>
        <item x="146"/>
        <item x="189"/>
        <item x="197"/>
        <item x="275"/>
        <item x="336"/>
        <item x="75"/>
        <item x="8"/>
        <item x="76"/>
        <item x="109"/>
        <item x="316"/>
        <item x="301"/>
        <item x="35"/>
        <item x="302"/>
        <item x="65"/>
        <item x="70"/>
        <item x="101"/>
        <item x="164"/>
        <item x="59"/>
        <item x="218"/>
        <item x="116"/>
        <item x="127"/>
        <item x="13"/>
        <item x="262"/>
        <item x="47"/>
        <item x="222"/>
        <item x="74"/>
        <item x="297"/>
        <item x="138"/>
        <item x="173"/>
        <item x="188"/>
        <item x="331"/>
        <item x="278"/>
        <item x="184"/>
        <item x="291"/>
        <item x="220"/>
        <item x="87"/>
        <item x="20"/>
        <item x="7"/>
        <item x="86"/>
        <item x="193"/>
        <item x="113"/>
        <item x="305"/>
        <item x="51"/>
        <item x="296"/>
        <item x="169"/>
        <item x="12"/>
        <item x="53"/>
        <item x="11"/>
        <item x="91"/>
        <item x="18"/>
        <item x="263"/>
        <item x="77"/>
        <item x="321"/>
        <item x="114"/>
        <item x="264"/>
        <item x="107"/>
        <item x="31"/>
        <item x="287"/>
        <item x="24"/>
        <item x="323"/>
        <item x="230"/>
        <item x="83"/>
        <item x="231"/>
        <item x="334"/>
        <item x="229"/>
        <item x="227"/>
        <item x="300"/>
        <item x="175"/>
        <item x="191"/>
        <item x="16"/>
        <item x="190"/>
        <item x="288"/>
        <item x="269"/>
        <item x="217"/>
        <item x="142"/>
        <item x="14"/>
        <item x="200"/>
        <item x="271"/>
        <item x="43"/>
        <item x="202"/>
        <item x="9"/>
        <item x="225"/>
        <item x="277"/>
        <item x="117"/>
        <item x="247"/>
        <item x="40"/>
        <item x="139"/>
        <item x="126"/>
        <item x="72"/>
        <item x="29"/>
        <item x="134"/>
        <item x="85"/>
        <item x="253"/>
        <item x="176"/>
        <item x="120"/>
        <item x="32"/>
        <item x="245"/>
        <item x="45"/>
        <item x="61"/>
        <item x="270"/>
        <item x="206"/>
        <item x="203"/>
        <item x="327"/>
        <item x="151"/>
        <item x="160"/>
        <item x="216"/>
        <item x="333"/>
        <item x="212"/>
        <item x="326"/>
        <item x="208"/>
        <item x="307"/>
        <item x="132"/>
        <item x="79"/>
        <item x="130"/>
        <item x="224"/>
        <item x="57"/>
        <item x="267"/>
        <item x="34"/>
        <item x="273"/>
        <item x="239"/>
        <item x="33"/>
        <item x="78"/>
        <item x="95"/>
        <item x="304"/>
        <item x="69"/>
        <item x="17"/>
        <item x="6"/>
        <item x="68"/>
        <item x="280"/>
        <item x="111"/>
        <item x="329"/>
        <item x="66"/>
        <item x="119"/>
        <item x="303"/>
        <item x="293"/>
        <item x="19"/>
        <item x="131"/>
        <item x="292"/>
        <item x="299"/>
        <item x="308"/>
        <item x="226"/>
        <item x="199"/>
        <item x="149"/>
        <item x="15"/>
        <item x="165"/>
        <item x="54"/>
        <item x="195"/>
        <item x="232"/>
        <item x="73"/>
        <item x="5"/>
        <item x="258"/>
        <item x="295"/>
        <item x="136"/>
        <item x="82"/>
        <item x="97"/>
        <item x="30"/>
        <item x="248"/>
        <item x="55"/>
        <item x="198"/>
        <item x="192"/>
        <item x="279"/>
        <item x="106"/>
        <item x="27"/>
        <item x="205"/>
        <item x="1"/>
        <item x="123"/>
        <item x="324"/>
        <item x="312"/>
        <item x="215"/>
        <item x="238"/>
        <item x="330"/>
        <item x="115"/>
        <item x="221"/>
        <item x="36"/>
        <item x="122"/>
        <item x="265"/>
        <item t="default"/>
      </items>
    </pivotField>
    <pivotField showAll="0"/>
    <pivotField showAll="0"/>
    <pivotField showAll="0"/>
    <pivotField numFmtId="164"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2"/>
    <field x="21"/>
    <field x="15"/>
  </rowFields>
  <rowItems count="13">
    <i>
      <x v="1"/>
    </i>
    <i>
      <x v="2"/>
    </i>
    <i>
      <x v="3"/>
    </i>
    <i>
      <x v="4"/>
    </i>
    <i>
      <x v="5"/>
    </i>
    <i>
      <x v="6"/>
    </i>
    <i>
      <x v="7"/>
    </i>
    <i>
      <x v="8"/>
    </i>
    <i>
      <x v="9"/>
    </i>
    <i>
      <x v="10"/>
    </i>
    <i>
      <x v="11"/>
    </i>
    <i>
      <x v="12"/>
    </i>
    <i t="grand">
      <x/>
    </i>
  </rowItems>
  <colItems count="1">
    <i/>
  </colItems>
  <dataFields count="1">
    <dataField name="Count of Client_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12C30B0-D923-4843-B29F-F975499245B5}" name="PivotTable3"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20" firstHeaderRow="1" firstDataRow="1" firstDataCol="1"/>
  <pivotFields count="23">
    <pivotField showAll="0"/>
    <pivotField showAll="0"/>
    <pivotField axis="axisRow" showAll="0">
      <items count="3">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numFmtId="14" showAll="0">
      <items count="338">
        <item x="168"/>
        <item x="84"/>
        <item x="62"/>
        <item x="322"/>
        <item x="234"/>
        <item x="162"/>
        <item x="166"/>
        <item x="137"/>
        <item x="63"/>
        <item x="90"/>
        <item x="103"/>
        <item x="10"/>
        <item x="58"/>
        <item x="143"/>
        <item x="194"/>
        <item x="96"/>
        <item x="243"/>
        <item x="285"/>
        <item x="185"/>
        <item x="254"/>
        <item x="167"/>
        <item x="50"/>
        <item x="244"/>
        <item x="128"/>
        <item x="145"/>
        <item x="276"/>
        <item x="152"/>
        <item x="121"/>
        <item x="129"/>
        <item x="252"/>
        <item x="257"/>
        <item x="328"/>
        <item x="0"/>
        <item x="180"/>
        <item x="39"/>
        <item x="105"/>
        <item x="242"/>
        <item x="246"/>
        <item x="148"/>
        <item x="282"/>
        <item x="214"/>
        <item x="314"/>
        <item x="196"/>
        <item x="154"/>
        <item x="320"/>
        <item x="28"/>
        <item x="135"/>
        <item x="223"/>
        <item x="170"/>
        <item x="49"/>
        <item x="64"/>
        <item x="140"/>
        <item x="319"/>
        <item x="182"/>
        <item x="228"/>
        <item x="60"/>
        <item x="249"/>
        <item x="38"/>
        <item x="112"/>
        <item x="241"/>
        <item x="325"/>
        <item x="272"/>
        <item x="80"/>
        <item x="174"/>
        <item x="335"/>
        <item x="187"/>
        <item x="89"/>
        <item x="163"/>
        <item x="274"/>
        <item x="211"/>
        <item x="124"/>
        <item x="178"/>
        <item x="240"/>
        <item x="177"/>
        <item x="281"/>
        <item x="294"/>
        <item x="44"/>
        <item x="210"/>
        <item x="21"/>
        <item x="2"/>
        <item x="313"/>
        <item x="317"/>
        <item x="41"/>
        <item x="93"/>
        <item x="46"/>
        <item x="310"/>
        <item x="67"/>
        <item x="23"/>
        <item x="268"/>
        <item x="298"/>
        <item x="155"/>
        <item x="81"/>
        <item x="26"/>
        <item x="125"/>
        <item x="186"/>
        <item x="283"/>
        <item x="147"/>
        <item x="156"/>
        <item x="22"/>
        <item x="179"/>
        <item x="237"/>
        <item x="286"/>
        <item x="332"/>
        <item x="260"/>
        <item x="118"/>
        <item x="104"/>
        <item x="161"/>
        <item x="3"/>
        <item x="255"/>
        <item x="71"/>
        <item x="158"/>
        <item x="219"/>
        <item x="110"/>
        <item x="250"/>
        <item x="100"/>
        <item x="201"/>
        <item x="171"/>
        <item x="315"/>
        <item x="251"/>
        <item x="261"/>
        <item x="144"/>
        <item x="256"/>
        <item x="42"/>
        <item x="172"/>
        <item x="181"/>
        <item x="25"/>
        <item x="141"/>
        <item x="94"/>
        <item x="233"/>
        <item x="209"/>
        <item x="290"/>
        <item x="159"/>
        <item x="207"/>
        <item x="289"/>
        <item x="88"/>
        <item x="235"/>
        <item x="318"/>
        <item x="157"/>
        <item x="183"/>
        <item x="48"/>
        <item x="204"/>
        <item x="98"/>
        <item x="153"/>
        <item x="306"/>
        <item x="37"/>
        <item x="236"/>
        <item x="99"/>
        <item x="52"/>
        <item x="309"/>
        <item x="311"/>
        <item x="284"/>
        <item x="92"/>
        <item x="56"/>
        <item x="213"/>
        <item x="266"/>
        <item x="150"/>
        <item x="259"/>
        <item x="4"/>
        <item x="108"/>
        <item x="133"/>
        <item x="102"/>
        <item x="146"/>
        <item x="189"/>
        <item x="197"/>
        <item x="275"/>
        <item x="336"/>
        <item x="75"/>
        <item x="8"/>
        <item x="76"/>
        <item x="109"/>
        <item x="316"/>
        <item x="301"/>
        <item x="35"/>
        <item x="302"/>
        <item x="65"/>
        <item x="70"/>
        <item x="101"/>
        <item x="164"/>
        <item x="59"/>
        <item x="218"/>
        <item x="116"/>
        <item x="127"/>
        <item x="13"/>
        <item x="262"/>
        <item x="47"/>
        <item x="222"/>
        <item x="74"/>
        <item x="297"/>
        <item x="138"/>
        <item x="173"/>
        <item x="188"/>
        <item x="331"/>
        <item x="278"/>
        <item x="184"/>
        <item x="291"/>
        <item x="220"/>
        <item x="87"/>
        <item x="20"/>
        <item x="7"/>
        <item x="86"/>
        <item x="193"/>
        <item x="113"/>
        <item x="305"/>
        <item x="51"/>
        <item x="296"/>
        <item x="169"/>
        <item x="12"/>
        <item x="53"/>
        <item x="11"/>
        <item x="91"/>
        <item x="18"/>
        <item x="263"/>
        <item x="77"/>
        <item x="321"/>
        <item x="114"/>
        <item x="264"/>
        <item x="107"/>
        <item x="31"/>
        <item x="287"/>
        <item x="24"/>
        <item x="323"/>
        <item x="230"/>
        <item x="83"/>
        <item x="231"/>
        <item x="334"/>
        <item x="229"/>
        <item x="227"/>
        <item x="300"/>
        <item x="175"/>
        <item x="191"/>
        <item x="16"/>
        <item x="190"/>
        <item x="288"/>
        <item x="269"/>
        <item x="217"/>
        <item x="142"/>
        <item x="14"/>
        <item x="200"/>
        <item x="271"/>
        <item x="43"/>
        <item x="202"/>
        <item x="9"/>
        <item x="225"/>
        <item x="277"/>
        <item x="117"/>
        <item x="247"/>
        <item x="40"/>
        <item x="139"/>
        <item x="126"/>
        <item x="72"/>
        <item x="29"/>
        <item x="134"/>
        <item x="85"/>
        <item x="253"/>
        <item x="176"/>
        <item x="120"/>
        <item x="32"/>
        <item x="245"/>
        <item x="45"/>
        <item x="61"/>
        <item x="270"/>
        <item x="206"/>
        <item x="203"/>
        <item x="327"/>
        <item x="151"/>
        <item x="160"/>
        <item x="216"/>
        <item x="333"/>
        <item x="212"/>
        <item x="326"/>
        <item x="208"/>
        <item x="307"/>
        <item x="132"/>
        <item x="79"/>
        <item x="130"/>
        <item x="224"/>
        <item x="57"/>
        <item x="267"/>
        <item x="34"/>
        <item x="273"/>
        <item x="239"/>
        <item x="33"/>
        <item x="78"/>
        <item x="95"/>
        <item x="304"/>
        <item x="69"/>
        <item x="17"/>
        <item x="6"/>
        <item x="68"/>
        <item x="280"/>
        <item x="111"/>
        <item x="329"/>
        <item x="66"/>
        <item x="119"/>
        <item x="303"/>
        <item x="293"/>
        <item x="19"/>
        <item x="131"/>
        <item x="292"/>
        <item x="299"/>
        <item x="308"/>
        <item x="226"/>
        <item x="199"/>
        <item x="149"/>
        <item x="15"/>
        <item x="165"/>
        <item x="54"/>
        <item x="195"/>
        <item x="232"/>
        <item x="73"/>
        <item x="5"/>
        <item x="258"/>
        <item x="295"/>
        <item x="136"/>
        <item x="82"/>
        <item x="97"/>
        <item x="30"/>
        <item x="248"/>
        <item x="55"/>
        <item x="198"/>
        <item x="192"/>
        <item x="279"/>
        <item x="106"/>
        <item x="27"/>
        <item x="205"/>
        <item x="1"/>
        <item x="123"/>
        <item x="324"/>
        <item x="312"/>
        <item x="215"/>
        <item x="238"/>
        <item x="330"/>
        <item x="115"/>
        <item x="221"/>
        <item x="36"/>
        <item x="122"/>
        <item x="265"/>
        <item t="default"/>
      </items>
    </pivotField>
    <pivotField showAll="0"/>
    <pivotField showAll="0"/>
    <pivotField showAll="0"/>
    <pivotField numFmtId="164"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3">
    <i>
      <x/>
    </i>
    <i>
      <x v="1"/>
    </i>
    <i t="grand">
      <x/>
    </i>
  </rowItems>
  <colItems count="1">
    <i/>
  </colItems>
  <dataFields count="1">
    <dataField name="Average of Age" fld="3"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CBA1F5F-2532-4BC0-A54F-765A545BADE5}" sourceName="Gender">
  <pivotTables>
    <pivotTable tabId="4" name="PivotTable1"/>
    <pivotTable tabId="4" name="PivotTable2"/>
    <pivotTable tabId="4" name="PivotTable3"/>
    <pivotTable tabId="4" name="PivotTable4"/>
    <pivotTable tabId="4" name="PivotTable6"/>
    <pivotTable tabId="4" name="PivotTable8"/>
    <pivotTable tabId="4" name="PivotTable10"/>
    <pivotTable tabId="4" name="PivotTable11"/>
    <pivotTable tabId="4" name="PivotTable7"/>
    <pivotTable tabId="4" name="PivotTable9"/>
    <pivotTable tabId="4" name="PivotTable12"/>
    <pivotTable tabId="4" name="PivotTable13"/>
    <pivotTable tabId="4" name="PivotTable14"/>
    <pivotTable tabId="4" name="PivotTable15"/>
    <pivotTable tabId="4" name="PivotTable16"/>
    <pivotTable tabId="4" name="PivotTable17"/>
    <pivotTable tabId="4" name="PivotTable18"/>
    <pivotTable tabId="4" name="PivotTable19"/>
    <pivotTable tabId="4" name="PivotTable20"/>
    <pivotTable tabId="4" name="PivotTable21"/>
    <pivotTable tabId="4" name="PivotTable22"/>
    <pivotTable tabId="4" name="PivotTable23"/>
  </pivotTables>
  <data>
    <tabular pivotCacheId="163541175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71725C0-3CC9-4487-93CC-D98C5601CB9D}" cache="Slicer_Gender" caption="Gender" columnCount="2"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FF7EA9C-944B-4837-A66A-9FE68895D6EB}" cache="Slicer_Gender" caption="Gender" columnCount="2" style="SlicerStyleDark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E07D1051-8636-491D-8424-F3F36CD68869}" cache="Slicer_Gender" caption="Gender" columnCount="2"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4D76C8-EFFA-4104-84B7-B56113A0C8EF}" name="Table1" displayName="Table1" ref="A1:U1001" totalsRowShown="0" headerRowDxfId="1642">
  <autoFilter ref="A1:U1001" xr:uid="{464D76C8-EFFA-4104-84B7-B56113A0C8EF}"/>
  <tableColumns count="21">
    <tableColumn id="1" xr3:uid="{726A8227-D465-4FA1-B736-4FC2647AC920}" name="Client_ID"/>
    <tableColumn id="2" xr3:uid="{5B823397-1A28-4A8C-A936-F5D05A307EAA}" name="Client_Name"/>
    <tableColumn id="3" xr3:uid="{0C68A19A-217F-46CE-A739-7CE981038F12}" name="Gender"/>
    <tableColumn id="4" xr3:uid="{B1E0CEF9-B33B-481D-8D45-3574E546D8E5}" name="Age"/>
    <tableColumn id="5" xr3:uid="{4A44ABD9-8C70-4A8C-9455-E6032D4920E8}" name="State"/>
    <tableColumn id="6" xr3:uid="{05679509-7E52-4659-9096-CF8FE0B3F752}" name="Deposit_Amount" dataDxfId="1641"/>
    <tableColumn id="19" xr3:uid="{D8B57400-0377-4C2F-A7D2-69824E3090A7}" name="Column1" dataDxfId="1640">
      <calculatedColumnFormula>IF(F2&lt;=100000,"Low Income",IF(F2&lt;=200000,"Midum Income","High Income"))</calculatedColumnFormula>
    </tableColumn>
    <tableColumn id="7" xr3:uid="{E61F6CEB-7EA0-45AC-B2B8-8CA6D2A00E7A}" name="Withdrawal_Amount"/>
    <tableColumn id="8" xr3:uid="{03920636-8B25-4427-939B-F968D29F568A}" name="Credit_Score"/>
    <tableColumn id="9" xr3:uid="{3A71D95C-3A6E-4846-930A-7D0B309C5E5E}" name="Transaction_Type"/>
    <tableColumn id="10" xr3:uid="{BE372CE2-2E98-4EF8-ACA7-BAAE397B3DF4}" name="Credit_Card_Type"/>
    <tableColumn id="11" xr3:uid="{0C27F1E1-7F26-444A-B00A-30C4761E901D}" name="Account_Balance"/>
    <tableColumn id="12" xr3:uid="{7CE8F9AF-CD82-4F77-9B48-776349B10E96}" name="Monthly_Income"/>
    <tableColumn id="13" xr3:uid="{90A2125F-A05E-4239-80A5-4FF325440D71}" name="Loan_Status"/>
    <tableColumn id="14" xr3:uid="{A8BD11ED-669F-47FF-851E-F4C48D31ABE7}" name="Transaction_Date" dataDxfId="1639">
      <calculatedColumnFormula>RANDBETWEEN(DATE(2025,1,1),DATE(2025,12,31))</calculatedColumnFormula>
    </tableColumn>
    <tableColumn id="18" xr3:uid="{46908D04-92CD-4F30-8EAA-A22BD8652567}" name="date" dataDxfId="1638"/>
    <tableColumn id="15" xr3:uid="{A16FFA25-64DE-4AB4-B03E-BF97F29CC8A3}" name="Customer_Rating_5"/>
    <tableColumn id="16" xr3:uid="{A0817FA2-88D5-49DE-BC44-3ABFB9CE5575}" name="Loan Risk" dataDxfId="1637">
      <calculatedColumnFormula>IF(I2&lt;=400,"High Risk",IF(I2&lt;=600,"Midum Risk","Low Risk"))</calculatedColumnFormula>
    </tableColumn>
    <tableColumn id="17" xr3:uid="{B99577A6-9DBD-42A7-8B96-32B4FE897659}" name="Credit Score" dataDxfId="1617">
      <calculatedColumnFormula>IF(I2&lt;=400,"Poor",IF(I2&lt;=600,"Midum ","Good"))</calculatedColumnFormula>
    </tableColumn>
    <tableColumn id="20" xr3:uid="{85D486F8-F9F8-423D-AEA9-69AE1F1EE1B5}" name="Trantions" dataDxfId="1606">
      <calculatedColumnFormula>Table1[[#This Row],[Deposit_Amount]]+Table1[[#This Row],[Withdrawal_Amount]]</calculatedColumnFormula>
    </tableColumn>
    <tableColumn id="21" xr3:uid="{5AC21136-0766-41B8-BC00-B7AC2B182B75}" name="Tration P/F"/>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drawing" Target="../drawings/drawing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1"/>
  <sheetViews>
    <sheetView topLeftCell="L109" workbookViewId="0">
      <selection activeCell="U130" sqref="U130"/>
    </sheetView>
  </sheetViews>
  <sheetFormatPr defaultRowHeight="14.4" x14ac:dyDescent="0.3"/>
  <cols>
    <col min="1" max="1" width="14" customWidth="1"/>
    <col min="2" max="2" width="19" customWidth="1"/>
    <col min="3" max="3" width="11" customWidth="1"/>
    <col min="4" max="4" width="8" customWidth="1"/>
    <col min="5" max="5" width="16" customWidth="1"/>
    <col min="6" max="6" width="19" style="4" customWidth="1"/>
    <col min="7" max="7" width="19" customWidth="1"/>
    <col min="8" max="8" width="22" customWidth="1"/>
    <col min="9" max="9" width="17" customWidth="1"/>
    <col min="10" max="11" width="21" customWidth="1"/>
    <col min="12" max="12" width="20" customWidth="1"/>
    <col min="13" max="13" width="19" customWidth="1"/>
    <col min="14" max="14" width="16" customWidth="1"/>
    <col min="15" max="16" width="21" customWidth="1"/>
    <col min="17" max="17" width="18.88671875" customWidth="1"/>
    <col min="20" max="20" width="9.33203125" bestFit="1" customWidth="1"/>
    <col min="21" max="21" width="12.5546875" bestFit="1" customWidth="1"/>
  </cols>
  <sheetData>
    <row r="1" spans="1:21" x14ac:dyDescent="0.3">
      <c r="A1" s="1" t="s">
        <v>0</v>
      </c>
      <c r="B1" s="1" t="s">
        <v>1</v>
      </c>
      <c r="C1" s="1" t="s">
        <v>2</v>
      </c>
      <c r="D1" s="1" t="s">
        <v>3</v>
      </c>
      <c r="E1" s="1" t="s">
        <v>4</v>
      </c>
      <c r="F1" s="8" t="s">
        <v>5</v>
      </c>
      <c r="G1" s="1" t="s">
        <v>244</v>
      </c>
      <c r="H1" s="6" t="s">
        <v>6</v>
      </c>
      <c r="I1" s="1" t="s">
        <v>7</v>
      </c>
      <c r="J1" s="1" t="s">
        <v>8</v>
      </c>
      <c r="K1" s="1" t="s">
        <v>9</v>
      </c>
      <c r="L1" s="1" t="s">
        <v>10</v>
      </c>
      <c r="M1" s="1" t="s">
        <v>11</v>
      </c>
      <c r="N1" s="1" t="s">
        <v>12</v>
      </c>
      <c r="O1" s="1" t="s">
        <v>13</v>
      </c>
      <c r="P1" s="6" t="s">
        <v>245</v>
      </c>
      <c r="Q1" t="s">
        <v>14</v>
      </c>
      <c r="R1" s="6" t="s">
        <v>240</v>
      </c>
      <c r="S1" s="6" t="s">
        <v>266</v>
      </c>
      <c r="T1" s="6" t="s">
        <v>271</v>
      </c>
      <c r="U1" s="6" t="s">
        <v>273</v>
      </c>
    </row>
    <row r="2" spans="1:21" x14ac:dyDescent="0.3">
      <c r="A2">
        <v>1</v>
      </c>
      <c r="B2" t="s">
        <v>15</v>
      </c>
      <c r="C2" t="s">
        <v>16</v>
      </c>
      <c r="D2">
        <v>53</v>
      </c>
      <c r="E2" t="s">
        <v>17</v>
      </c>
      <c r="F2" s="4">
        <v>321521.90999999997</v>
      </c>
      <c r="G2" t="str">
        <f>IF(F2&lt;=100000,"Low Income",IF(F2&lt;=200000,"Midum Income","High Income"))</f>
        <v>High Income</v>
      </c>
      <c r="H2">
        <v>252688.49</v>
      </c>
      <c r="I2">
        <v>344</v>
      </c>
      <c r="J2" t="s">
        <v>18</v>
      </c>
      <c r="K2" t="s">
        <v>19</v>
      </c>
      <c r="L2">
        <v>249517.91</v>
      </c>
      <c r="M2">
        <v>83938.34</v>
      </c>
      <c r="N2" t="s">
        <v>20</v>
      </c>
      <c r="O2" s="7">
        <f t="shared" ref="O2:O65" ca="1" si="0">RANDBETWEEN(DATE(2025,1,1),DATE(2025,12,31))</f>
        <v>45901</v>
      </c>
      <c r="P2" s="7">
        <v>45693</v>
      </c>
      <c r="Q2">
        <v>1</v>
      </c>
      <c r="R2" t="str">
        <f t="shared" ref="R2:R65" si="1">IF(I2&lt;=400,"High Risk",IF(I2&lt;=600,"Midum Risk","Low Risk"))</f>
        <v>High Risk</v>
      </c>
      <c r="S2" t="str">
        <f t="shared" ref="S2:S65" si="2">IF(I2&lt;=400,"Poor",IF(I2&lt;=600,"Midum ","Good"))</f>
        <v>Poor</v>
      </c>
      <c r="T2" s="4">
        <f>Table1[[#This Row],[Deposit_Amount]]+Table1[[#This Row],[Withdrawal_Amount]]</f>
        <v>574210.39999999991</v>
      </c>
      <c r="U2" t="s">
        <v>274</v>
      </c>
    </row>
    <row r="3" spans="1:21" x14ac:dyDescent="0.3">
      <c r="A3">
        <v>2</v>
      </c>
      <c r="B3" t="s">
        <v>21</v>
      </c>
      <c r="C3" t="s">
        <v>22</v>
      </c>
      <c r="D3">
        <v>51</v>
      </c>
      <c r="E3" t="s">
        <v>23</v>
      </c>
      <c r="F3" s="4">
        <v>85418.59</v>
      </c>
      <c r="G3" t="str">
        <f t="shared" ref="G3:G65" si="3">IF(F3&lt;=100000,"Low Income",IF(F3&lt;=200000,"Midum Income","High Income"))</f>
        <v>Low Income</v>
      </c>
      <c r="H3">
        <v>235443.41</v>
      </c>
      <c r="I3">
        <v>480</v>
      </c>
      <c r="J3" t="s">
        <v>18</v>
      </c>
      <c r="K3" t="s">
        <v>24</v>
      </c>
      <c r="L3">
        <v>-19879.310000000001</v>
      </c>
      <c r="M3">
        <v>141180.25</v>
      </c>
      <c r="N3" t="s">
        <v>25</v>
      </c>
      <c r="O3" s="7">
        <f t="shared" ca="1" si="0"/>
        <v>45840</v>
      </c>
      <c r="P3" s="7">
        <v>46011</v>
      </c>
      <c r="Q3">
        <v>1</v>
      </c>
      <c r="R3" t="str">
        <f t="shared" si="1"/>
        <v>Midum Risk</v>
      </c>
      <c r="S3" t="str">
        <f t="shared" si="2"/>
        <v xml:space="preserve">Midum </v>
      </c>
      <c r="T3" s="4">
        <f>Table1[[#This Row],[Deposit_Amount]]+Table1[[#This Row],[Withdrawal_Amount]]</f>
        <v>320862</v>
      </c>
      <c r="U3" t="s">
        <v>274</v>
      </c>
    </row>
    <row r="4" spans="1:21" x14ac:dyDescent="0.3">
      <c r="A4">
        <v>3</v>
      </c>
      <c r="B4" t="s">
        <v>26</v>
      </c>
      <c r="C4" t="s">
        <v>22</v>
      </c>
      <c r="D4">
        <v>23</v>
      </c>
      <c r="E4" t="s">
        <v>17</v>
      </c>
      <c r="F4" s="4">
        <v>491212.95</v>
      </c>
      <c r="G4" t="str">
        <f t="shared" si="3"/>
        <v>High Income</v>
      </c>
      <c r="H4">
        <v>108824.13</v>
      </c>
      <c r="I4">
        <v>531</v>
      </c>
      <c r="J4" t="s">
        <v>27</v>
      </c>
      <c r="K4" t="s">
        <v>19</v>
      </c>
      <c r="L4">
        <v>536798.73</v>
      </c>
      <c r="M4">
        <v>138227.97</v>
      </c>
      <c r="N4" t="s">
        <v>28</v>
      </c>
      <c r="O4" s="7">
        <f t="shared" ca="1" si="0"/>
        <v>45805</v>
      </c>
      <c r="P4" s="7">
        <v>45745</v>
      </c>
      <c r="Q4">
        <v>2</v>
      </c>
      <c r="R4" t="str">
        <f t="shared" si="1"/>
        <v>Midum Risk</v>
      </c>
      <c r="S4" t="str">
        <f t="shared" si="2"/>
        <v xml:space="preserve">Midum </v>
      </c>
      <c r="T4" s="4">
        <f>Table1[[#This Row],[Deposit_Amount]]+Table1[[#This Row],[Withdrawal_Amount]]</f>
        <v>600037.08000000007</v>
      </c>
      <c r="U4" t="s">
        <v>275</v>
      </c>
    </row>
    <row r="5" spans="1:21" x14ac:dyDescent="0.3">
      <c r="A5">
        <v>4</v>
      </c>
      <c r="B5" t="s">
        <v>29</v>
      </c>
      <c r="C5" t="s">
        <v>22</v>
      </c>
      <c r="D5">
        <v>49</v>
      </c>
      <c r="E5" t="s">
        <v>23</v>
      </c>
      <c r="F5" s="4">
        <v>331003.5</v>
      </c>
      <c r="G5" t="str">
        <f t="shared" si="3"/>
        <v>High Income</v>
      </c>
      <c r="H5">
        <v>183791.75</v>
      </c>
      <c r="I5">
        <v>449</v>
      </c>
      <c r="J5" t="s">
        <v>27</v>
      </c>
      <c r="K5" t="s">
        <v>24</v>
      </c>
      <c r="L5">
        <v>170516.69</v>
      </c>
      <c r="M5">
        <v>144405.79999999999</v>
      </c>
      <c r="N5" t="s">
        <v>25</v>
      </c>
      <c r="O5" s="7">
        <f t="shared" ca="1" si="0"/>
        <v>45811</v>
      </c>
      <c r="P5" s="7">
        <v>45775</v>
      </c>
      <c r="Q5">
        <v>4</v>
      </c>
      <c r="R5" t="str">
        <f t="shared" si="1"/>
        <v>Midum Risk</v>
      </c>
      <c r="S5" t="str">
        <f t="shared" si="2"/>
        <v xml:space="preserve">Midum </v>
      </c>
      <c r="T5" s="4">
        <f>Table1[[#This Row],[Deposit_Amount]]+Table1[[#This Row],[Withdrawal_Amount]]</f>
        <v>514795.25</v>
      </c>
      <c r="U5" t="s">
        <v>274</v>
      </c>
    </row>
    <row r="6" spans="1:21" x14ac:dyDescent="0.3">
      <c r="A6">
        <v>5</v>
      </c>
      <c r="B6" t="s">
        <v>30</v>
      </c>
      <c r="C6" t="s">
        <v>16</v>
      </c>
      <c r="D6">
        <v>70</v>
      </c>
      <c r="E6" t="s">
        <v>31</v>
      </c>
      <c r="F6" s="4">
        <v>357468.75</v>
      </c>
      <c r="G6" t="str">
        <f t="shared" si="3"/>
        <v>High Income</v>
      </c>
      <c r="H6">
        <v>206698.08</v>
      </c>
      <c r="I6">
        <v>599</v>
      </c>
      <c r="J6" t="s">
        <v>32</v>
      </c>
      <c r="K6" t="s">
        <v>19</v>
      </c>
      <c r="L6">
        <v>241283.22</v>
      </c>
      <c r="M6">
        <v>15576.99</v>
      </c>
      <c r="N6" t="s">
        <v>25</v>
      </c>
      <c r="O6" s="7">
        <f t="shared" ca="1" si="0"/>
        <v>45794</v>
      </c>
      <c r="P6" s="7">
        <v>45832</v>
      </c>
      <c r="Q6">
        <v>2</v>
      </c>
      <c r="R6" t="str">
        <f t="shared" si="1"/>
        <v>Midum Risk</v>
      </c>
      <c r="S6" t="str">
        <f t="shared" si="2"/>
        <v xml:space="preserve">Midum </v>
      </c>
      <c r="T6" s="4">
        <f>Table1[[#This Row],[Deposit_Amount]]+Table1[[#This Row],[Withdrawal_Amount]]</f>
        <v>564166.82999999996</v>
      </c>
      <c r="U6" t="s">
        <v>274</v>
      </c>
    </row>
    <row r="7" spans="1:21" x14ac:dyDescent="0.3">
      <c r="A7">
        <v>6</v>
      </c>
      <c r="B7" t="s">
        <v>33</v>
      </c>
      <c r="C7" t="s">
        <v>22</v>
      </c>
      <c r="D7">
        <v>31</v>
      </c>
      <c r="E7" t="s">
        <v>31</v>
      </c>
      <c r="F7" s="4">
        <v>432940.88</v>
      </c>
      <c r="G7" t="str">
        <f t="shared" si="3"/>
        <v>High Income</v>
      </c>
      <c r="H7">
        <v>73495.03</v>
      </c>
      <c r="I7">
        <v>325</v>
      </c>
      <c r="J7" t="s">
        <v>27</v>
      </c>
      <c r="K7" t="s">
        <v>19</v>
      </c>
      <c r="L7">
        <v>510890.81</v>
      </c>
      <c r="M7">
        <v>171920</v>
      </c>
      <c r="N7" t="s">
        <v>25</v>
      </c>
      <c r="O7" s="7">
        <f t="shared" ca="1" si="0"/>
        <v>45834</v>
      </c>
      <c r="P7" s="7">
        <v>45996</v>
      </c>
      <c r="Q7">
        <v>5</v>
      </c>
      <c r="R7" t="str">
        <f t="shared" si="1"/>
        <v>High Risk</v>
      </c>
      <c r="S7" t="str">
        <f t="shared" si="2"/>
        <v>Poor</v>
      </c>
      <c r="T7" s="4">
        <f>Table1[[#This Row],[Deposit_Amount]]+Table1[[#This Row],[Withdrawal_Amount]]</f>
        <v>506435.91000000003</v>
      </c>
      <c r="U7" t="s">
        <v>274</v>
      </c>
    </row>
    <row r="8" spans="1:21" x14ac:dyDescent="0.3">
      <c r="A8">
        <v>7</v>
      </c>
      <c r="B8" t="s">
        <v>34</v>
      </c>
      <c r="C8" t="s">
        <v>16</v>
      </c>
      <c r="D8">
        <v>42</v>
      </c>
      <c r="E8" t="s">
        <v>35</v>
      </c>
      <c r="F8" s="4">
        <v>257854.52</v>
      </c>
      <c r="G8" t="str">
        <f t="shared" si="3"/>
        <v>High Income</v>
      </c>
      <c r="H8">
        <v>3724.98</v>
      </c>
      <c r="I8">
        <v>505</v>
      </c>
      <c r="J8" t="s">
        <v>32</v>
      </c>
      <c r="K8" t="s">
        <v>36</v>
      </c>
      <c r="L8">
        <v>329197.55</v>
      </c>
      <c r="M8">
        <v>184642.42</v>
      </c>
      <c r="N8" t="s">
        <v>28</v>
      </c>
      <c r="O8" s="7">
        <f t="shared" ca="1" si="0"/>
        <v>45784</v>
      </c>
      <c r="P8" s="7">
        <v>45971</v>
      </c>
      <c r="Q8">
        <v>5</v>
      </c>
      <c r="R8" t="str">
        <f t="shared" si="1"/>
        <v>Midum Risk</v>
      </c>
      <c r="S8" t="str">
        <f t="shared" si="2"/>
        <v xml:space="preserve">Midum </v>
      </c>
      <c r="T8" s="4">
        <f>Table1[[#This Row],[Deposit_Amount]]+Table1[[#This Row],[Withdrawal_Amount]]</f>
        <v>261579.5</v>
      </c>
      <c r="U8" t="s">
        <v>274</v>
      </c>
    </row>
    <row r="9" spans="1:21" x14ac:dyDescent="0.3">
      <c r="A9">
        <v>8</v>
      </c>
      <c r="B9" t="s">
        <v>37</v>
      </c>
      <c r="C9" t="s">
        <v>22</v>
      </c>
      <c r="D9">
        <v>59</v>
      </c>
      <c r="E9" t="s">
        <v>23</v>
      </c>
      <c r="F9" s="4">
        <v>247889.82</v>
      </c>
      <c r="G9" t="str">
        <f t="shared" si="3"/>
        <v>High Income</v>
      </c>
      <c r="H9">
        <v>247620.84</v>
      </c>
      <c r="I9">
        <v>572</v>
      </c>
      <c r="J9" t="s">
        <v>38</v>
      </c>
      <c r="K9" t="s">
        <v>36</v>
      </c>
      <c r="L9">
        <v>25577.95</v>
      </c>
      <c r="M9">
        <v>88791.57</v>
      </c>
      <c r="N9" t="s">
        <v>28</v>
      </c>
      <c r="O9" s="7">
        <f t="shared" ca="1" si="0"/>
        <v>45806</v>
      </c>
      <c r="P9" s="7">
        <v>45877</v>
      </c>
      <c r="Q9">
        <v>3</v>
      </c>
      <c r="R9" t="str">
        <f t="shared" si="1"/>
        <v>Midum Risk</v>
      </c>
      <c r="S9" t="str">
        <f t="shared" si="2"/>
        <v xml:space="preserve">Midum </v>
      </c>
      <c r="T9" s="4">
        <f>Table1[[#This Row],[Deposit_Amount]]+Table1[[#This Row],[Withdrawal_Amount]]</f>
        <v>495510.66000000003</v>
      </c>
      <c r="U9" t="s">
        <v>274</v>
      </c>
    </row>
    <row r="10" spans="1:21" x14ac:dyDescent="0.3">
      <c r="A10">
        <v>9</v>
      </c>
      <c r="B10" t="s">
        <v>39</v>
      </c>
      <c r="C10" t="s">
        <v>16</v>
      </c>
      <c r="D10">
        <v>70</v>
      </c>
      <c r="E10" t="s">
        <v>40</v>
      </c>
      <c r="F10" s="4">
        <v>185786.35</v>
      </c>
      <c r="G10" t="str">
        <f t="shared" si="3"/>
        <v>Midum Income</v>
      </c>
      <c r="H10">
        <v>61748.61</v>
      </c>
      <c r="I10">
        <v>732</v>
      </c>
      <c r="J10" t="s">
        <v>41</v>
      </c>
      <c r="K10" t="s">
        <v>42</v>
      </c>
      <c r="L10">
        <v>230529.52</v>
      </c>
      <c r="M10">
        <v>242988.54</v>
      </c>
      <c r="N10" t="s">
        <v>25</v>
      </c>
      <c r="O10" s="7">
        <f t="shared" ca="1" si="0"/>
        <v>45716</v>
      </c>
      <c r="P10" s="7">
        <v>45842</v>
      </c>
      <c r="Q10">
        <v>3</v>
      </c>
      <c r="R10" t="str">
        <f t="shared" si="1"/>
        <v>Low Risk</v>
      </c>
      <c r="S10" t="str">
        <f t="shared" si="2"/>
        <v>Good</v>
      </c>
      <c r="T10" s="4">
        <f>Table1[[#This Row],[Deposit_Amount]]+Table1[[#This Row],[Withdrawal_Amount]]</f>
        <v>247534.96000000002</v>
      </c>
      <c r="U10" t="s">
        <v>274</v>
      </c>
    </row>
    <row r="11" spans="1:21" x14ac:dyDescent="0.3">
      <c r="A11">
        <v>10</v>
      </c>
      <c r="B11" t="s">
        <v>43</v>
      </c>
      <c r="C11" t="s">
        <v>22</v>
      </c>
      <c r="D11">
        <v>55</v>
      </c>
      <c r="E11" t="s">
        <v>44</v>
      </c>
      <c r="F11" s="4">
        <v>87831.38</v>
      </c>
      <c r="G11" t="str">
        <f t="shared" si="3"/>
        <v>Low Income</v>
      </c>
      <c r="H11">
        <v>83781.039999999994</v>
      </c>
      <c r="I11">
        <v>348</v>
      </c>
      <c r="J11" t="s">
        <v>27</v>
      </c>
      <c r="K11" t="s">
        <v>42</v>
      </c>
      <c r="L11">
        <v>36871.35</v>
      </c>
      <c r="M11">
        <v>111367.9</v>
      </c>
      <c r="N11" t="s">
        <v>25</v>
      </c>
      <c r="O11" s="7">
        <f t="shared" ca="1" si="0"/>
        <v>45950</v>
      </c>
      <c r="P11" s="7">
        <v>45922</v>
      </c>
      <c r="Q11">
        <v>1</v>
      </c>
      <c r="R11" t="str">
        <f t="shared" si="1"/>
        <v>High Risk</v>
      </c>
      <c r="S11" t="str">
        <f t="shared" si="2"/>
        <v>Poor</v>
      </c>
      <c r="T11" s="4">
        <f>Table1[[#This Row],[Deposit_Amount]]+Table1[[#This Row],[Withdrawal_Amount]]</f>
        <v>171612.41999999998</v>
      </c>
      <c r="U11" t="s">
        <v>274</v>
      </c>
    </row>
    <row r="12" spans="1:21" x14ac:dyDescent="0.3">
      <c r="A12">
        <v>11</v>
      </c>
      <c r="B12" t="s">
        <v>45</v>
      </c>
      <c r="C12" t="s">
        <v>22</v>
      </c>
      <c r="D12">
        <v>68</v>
      </c>
      <c r="E12" t="s">
        <v>23</v>
      </c>
      <c r="F12" s="4">
        <v>110998.05</v>
      </c>
      <c r="G12" t="str">
        <f t="shared" si="3"/>
        <v>Midum Income</v>
      </c>
      <c r="H12">
        <v>76979.92</v>
      </c>
      <c r="I12">
        <v>450</v>
      </c>
      <c r="J12" t="s">
        <v>18</v>
      </c>
      <c r="K12" t="s">
        <v>36</v>
      </c>
      <c r="L12">
        <v>64791.71</v>
      </c>
      <c r="M12">
        <v>144433.38</v>
      </c>
      <c r="N12" t="s">
        <v>28</v>
      </c>
      <c r="O12" s="7">
        <f t="shared" ca="1" si="0"/>
        <v>45959</v>
      </c>
      <c r="P12" s="7">
        <v>45672</v>
      </c>
      <c r="Q12">
        <v>5</v>
      </c>
      <c r="R12" t="str">
        <f t="shared" si="1"/>
        <v>Midum Risk</v>
      </c>
      <c r="S12" t="str">
        <f t="shared" si="2"/>
        <v xml:space="preserve">Midum </v>
      </c>
      <c r="T12" s="4">
        <f>Table1[[#This Row],[Deposit_Amount]]+Table1[[#This Row],[Withdrawal_Amount]]</f>
        <v>187977.97</v>
      </c>
      <c r="U12" t="s">
        <v>274</v>
      </c>
    </row>
    <row r="13" spans="1:21" x14ac:dyDescent="0.3">
      <c r="A13">
        <v>12</v>
      </c>
      <c r="B13" t="s">
        <v>46</v>
      </c>
      <c r="C13" t="s">
        <v>22</v>
      </c>
      <c r="D13">
        <v>66</v>
      </c>
      <c r="E13" t="s">
        <v>31</v>
      </c>
      <c r="F13" s="4">
        <v>442997.06</v>
      </c>
      <c r="G13" t="str">
        <f t="shared" si="3"/>
        <v>High Income</v>
      </c>
      <c r="H13">
        <v>112931.02</v>
      </c>
      <c r="I13">
        <v>590</v>
      </c>
      <c r="J13" t="s">
        <v>18</v>
      </c>
      <c r="K13" t="s">
        <v>19</v>
      </c>
      <c r="L13">
        <v>373711.63</v>
      </c>
      <c r="M13">
        <v>154690.82</v>
      </c>
      <c r="N13" t="s">
        <v>28</v>
      </c>
      <c r="O13" s="7">
        <f t="shared" ca="1" si="0"/>
        <v>45841</v>
      </c>
      <c r="P13" s="7">
        <v>45887</v>
      </c>
      <c r="Q13">
        <v>1</v>
      </c>
      <c r="R13" t="str">
        <f t="shared" si="1"/>
        <v>Midum Risk</v>
      </c>
      <c r="S13" t="str">
        <f t="shared" si="2"/>
        <v xml:space="preserve">Midum </v>
      </c>
      <c r="T13" s="4">
        <f>Table1[[#This Row],[Deposit_Amount]]+Table1[[#This Row],[Withdrawal_Amount]]</f>
        <v>555928.07999999996</v>
      </c>
      <c r="U13" t="s">
        <v>274</v>
      </c>
    </row>
    <row r="14" spans="1:21" x14ac:dyDescent="0.3">
      <c r="A14">
        <v>13</v>
      </c>
      <c r="B14" t="s">
        <v>47</v>
      </c>
      <c r="C14" t="s">
        <v>16</v>
      </c>
      <c r="D14">
        <v>44</v>
      </c>
      <c r="E14" t="s">
        <v>35</v>
      </c>
      <c r="F14" s="4">
        <v>60880.22</v>
      </c>
      <c r="G14" t="str">
        <f t="shared" si="3"/>
        <v>Low Income</v>
      </c>
      <c r="H14">
        <v>42690.09</v>
      </c>
      <c r="I14">
        <v>314</v>
      </c>
      <c r="J14" t="s">
        <v>38</v>
      </c>
      <c r="K14" t="s">
        <v>19</v>
      </c>
      <c r="L14">
        <v>104376.31</v>
      </c>
      <c r="M14">
        <v>245929.37</v>
      </c>
      <c r="N14" t="s">
        <v>28</v>
      </c>
      <c r="O14" s="7">
        <f t="shared" ca="1" si="0"/>
        <v>45911</v>
      </c>
      <c r="P14" s="7">
        <v>45885</v>
      </c>
      <c r="Q14">
        <v>1</v>
      </c>
      <c r="R14" t="str">
        <f t="shared" si="1"/>
        <v>High Risk</v>
      </c>
      <c r="S14" t="str">
        <f t="shared" si="2"/>
        <v>Poor</v>
      </c>
      <c r="T14" s="4">
        <f>Table1[[#This Row],[Deposit_Amount]]+Table1[[#This Row],[Withdrawal_Amount]]</f>
        <v>103570.31</v>
      </c>
      <c r="U14" t="s">
        <v>274</v>
      </c>
    </row>
    <row r="15" spans="1:21" x14ac:dyDescent="0.3">
      <c r="A15">
        <v>14</v>
      </c>
      <c r="B15" t="s">
        <v>48</v>
      </c>
      <c r="C15" t="s">
        <v>22</v>
      </c>
      <c r="D15">
        <v>23</v>
      </c>
      <c r="E15" t="s">
        <v>23</v>
      </c>
      <c r="F15" s="4">
        <v>387201.87</v>
      </c>
      <c r="G15" t="str">
        <f t="shared" si="3"/>
        <v>High Income</v>
      </c>
      <c r="H15">
        <v>157656.22</v>
      </c>
      <c r="I15">
        <v>310</v>
      </c>
      <c r="J15" t="s">
        <v>18</v>
      </c>
      <c r="K15" t="s">
        <v>19</v>
      </c>
      <c r="L15">
        <v>317195.75</v>
      </c>
      <c r="M15">
        <v>207762.32</v>
      </c>
      <c r="N15" t="s">
        <v>25</v>
      </c>
      <c r="O15" s="7">
        <f t="shared" ca="1" si="0"/>
        <v>45816</v>
      </c>
      <c r="P15" s="7">
        <v>45860</v>
      </c>
      <c r="Q15">
        <v>5</v>
      </c>
      <c r="R15" t="str">
        <f t="shared" si="1"/>
        <v>High Risk</v>
      </c>
      <c r="S15" t="str">
        <f t="shared" si="2"/>
        <v>Poor</v>
      </c>
      <c r="T15" s="4">
        <f>Table1[[#This Row],[Deposit_Amount]]+Table1[[#This Row],[Withdrawal_Amount]]</f>
        <v>544858.09</v>
      </c>
      <c r="U15" t="s">
        <v>274</v>
      </c>
    </row>
    <row r="16" spans="1:21" x14ac:dyDescent="0.3">
      <c r="A16">
        <v>15</v>
      </c>
      <c r="B16" t="s">
        <v>49</v>
      </c>
      <c r="C16" t="s">
        <v>22</v>
      </c>
      <c r="D16">
        <v>39</v>
      </c>
      <c r="E16" t="s">
        <v>44</v>
      </c>
      <c r="F16" s="4">
        <v>101525.98</v>
      </c>
      <c r="G16" t="str">
        <f t="shared" si="3"/>
        <v>Midum Income</v>
      </c>
      <c r="H16">
        <v>180438.75</v>
      </c>
      <c r="I16">
        <v>497</v>
      </c>
      <c r="J16" t="s">
        <v>27</v>
      </c>
      <c r="K16" t="s">
        <v>19</v>
      </c>
      <c r="L16">
        <v>-65705.149999999994</v>
      </c>
      <c r="M16">
        <v>162213.23000000001</v>
      </c>
      <c r="N16" t="s">
        <v>20</v>
      </c>
      <c r="O16" s="7">
        <f t="shared" ca="1" si="0"/>
        <v>45933</v>
      </c>
      <c r="P16" s="7">
        <v>45917</v>
      </c>
      <c r="Q16">
        <v>4</v>
      </c>
      <c r="R16" t="str">
        <f t="shared" si="1"/>
        <v>Midum Risk</v>
      </c>
      <c r="S16" t="str">
        <f t="shared" si="2"/>
        <v xml:space="preserve">Midum </v>
      </c>
      <c r="T16" s="4">
        <f>Table1[[#This Row],[Deposit_Amount]]+Table1[[#This Row],[Withdrawal_Amount]]</f>
        <v>281964.73</v>
      </c>
      <c r="U16" t="s">
        <v>275</v>
      </c>
    </row>
    <row r="17" spans="1:21" x14ac:dyDescent="0.3">
      <c r="A17">
        <v>16</v>
      </c>
      <c r="B17" t="s">
        <v>50</v>
      </c>
      <c r="C17" t="s">
        <v>16</v>
      </c>
      <c r="D17">
        <v>18</v>
      </c>
      <c r="E17" t="s">
        <v>17</v>
      </c>
      <c r="F17" s="4">
        <v>57999.59</v>
      </c>
      <c r="G17" t="str">
        <f t="shared" si="3"/>
        <v>Low Income</v>
      </c>
      <c r="H17">
        <v>266909.19</v>
      </c>
      <c r="I17">
        <v>481</v>
      </c>
      <c r="J17" t="s">
        <v>27</v>
      </c>
      <c r="K17" t="s">
        <v>42</v>
      </c>
      <c r="L17">
        <v>-73949.429999999993</v>
      </c>
      <c r="M17">
        <v>135026.21</v>
      </c>
      <c r="N17" t="s">
        <v>28</v>
      </c>
      <c r="O17" s="7">
        <f t="shared" ca="1" si="0"/>
        <v>45979</v>
      </c>
      <c r="P17" s="7">
        <v>45989</v>
      </c>
      <c r="Q17">
        <v>4</v>
      </c>
      <c r="R17" t="str">
        <f t="shared" si="1"/>
        <v>Midum Risk</v>
      </c>
      <c r="S17" t="str">
        <f t="shared" si="2"/>
        <v xml:space="preserve">Midum </v>
      </c>
      <c r="T17" s="4">
        <f>Table1[[#This Row],[Deposit_Amount]]+Table1[[#This Row],[Withdrawal_Amount]]</f>
        <v>324908.78000000003</v>
      </c>
      <c r="U17" t="s">
        <v>274</v>
      </c>
    </row>
    <row r="18" spans="1:21" x14ac:dyDescent="0.3">
      <c r="A18">
        <v>17</v>
      </c>
      <c r="B18" t="s">
        <v>51</v>
      </c>
      <c r="C18" t="s">
        <v>22</v>
      </c>
      <c r="D18">
        <v>30</v>
      </c>
      <c r="E18" t="s">
        <v>40</v>
      </c>
      <c r="F18" s="4">
        <v>272235.90999999997</v>
      </c>
      <c r="G18" t="str">
        <f t="shared" si="3"/>
        <v>High Income</v>
      </c>
      <c r="H18">
        <v>155799.19</v>
      </c>
      <c r="I18">
        <v>820</v>
      </c>
      <c r="J18" t="s">
        <v>27</v>
      </c>
      <c r="K18" t="s">
        <v>24</v>
      </c>
      <c r="L18">
        <v>210978.97</v>
      </c>
      <c r="M18">
        <v>158896.68</v>
      </c>
      <c r="N18" t="s">
        <v>28</v>
      </c>
      <c r="O18" s="7">
        <f t="shared" ca="1" si="0"/>
        <v>46015</v>
      </c>
      <c r="P18" s="7">
        <v>45910</v>
      </c>
      <c r="Q18">
        <v>1</v>
      </c>
      <c r="R18" t="str">
        <f t="shared" si="1"/>
        <v>Low Risk</v>
      </c>
      <c r="S18" t="str">
        <f t="shared" si="2"/>
        <v>Good</v>
      </c>
      <c r="T18" s="4">
        <f>Table1[[#This Row],[Deposit_Amount]]+Table1[[#This Row],[Withdrawal_Amount]]</f>
        <v>428035.1</v>
      </c>
      <c r="U18" t="s">
        <v>274</v>
      </c>
    </row>
    <row r="19" spans="1:21" x14ac:dyDescent="0.3">
      <c r="A19">
        <v>18</v>
      </c>
      <c r="B19" t="s">
        <v>52</v>
      </c>
      <c r="C19" t="s">
        <v>22</v>
      </c>
      <c r="D19">
        <v>65</v>
      </c>
      <c r="E19" t="s">
        <v>17</v>
      </c>
      <c r="F19" s="4">
        <v>239480.37</v>
      </c>
      <c r="G19" t="str">
        <f t="shared" si="3"/>
        <v>High Income</v>
      </c>
      <c r="H19">
        <v>42968.28</v>
      </c>
      <c r="I19">
        <v>404</v>
      </c>
      <c r="J19" t="s">
        <v>41</v>
      </c>
      <c r="K19" t="s">
        <v>36</v>
      </c>
      <c r="L19">
        <v>244892.95</v>
      </c>
      <c r="M19">
        <v>173469.55</v>
      </c>
      <c r="N19" t="s">
        <v>28</v>
      </c>
      <c r="O19" s="7">
        <f t="shared" ca="1" si="0"/>
        <v>45714</v>
      </c>
      <c r="P19" s="7">
        <v>45970</v>
      </c>
      <c r="Q19">
        <v>4</v>
      </c>
      <c r="R19" t="str">
        <f t="shared" si="1"/>
        <v>Midum Risk</v>
      </c>
      <c r="S19" t="str">
        <f t="shared" si="2"/>
        <v xml:space="preserve">Midum </v>
      </c>
      <c r="T19" s="4">
        <f>Table1[[#This Row],[Deposit_Amount]]+Table1[[#This Row],[Withdrawal_Amount]]</f>
        <v>282448.65000000002</v>
      </c>
      <c r="U19" t="s">
        <v>274</v>
      </c>
    </row>
    <row r="20" spans="1:21" x14ac:dyDescent="0.3">
      <c r="A20">
        <v>19</v>
      </c>
      <c r="B20" t="s">
        <v>53</v>
      </c>
      <c r="C20" t="s">
        <v>22</v>
      </c>
      <c r="D20">
        <v>19</v>
      </c>
      <c r="E20" t="s">
        <v>23</v>
      </c>
      <c r="F20" s="4">
        <v>92189.82</v>
      </c>
      <c r="G20" t="str">
        <f t="shared" si="3"/>
        <v>Low Income</v>
      </c>
      <c r="H20">
        <v>43558.19</v>
      </c>
      <c r="I20">
        <v>717</v>
      </c>
      <c r="J20" t="s">
        <v>27</v>
      </c>
      <c r="K20" t="s">
        <v>36</v>
      </c>
      <c r="L20">
        <v>139583.98000000001</v>
      </c>
      <c r="M20">
        <v>18094.07</v>
      </c>
      <c r="N20" t="s">
        <v>28</v>
      </c>
      <c r="O20" s="7">
        <f t="shared" ca="1" si="0"/>
        <v>45660</v>
      </c>
      <c r="P20" s="7">
        <v>45889</v>
      </c>
      <c r="Q20">
        <v>5</v>
      </c>
      <c r="R20" t="str">
        <f t="shared" si="1"/>
        <v>Low Risk</v>
      </c>
      <c r="S20" t="str">
        <f t="shared" si="2"/>
        <v>Good</v>
      </c>
      <c r="T20" s="4">
        <f>Table1[[#This Row],[Deposit_Amount]]+Table1[[#This Row],[Withdrawal_Amount]]</f>
        <v>135748.01</v>
      </c>
      <c r="U20" t="s">
        <v>274</v>
      </c>
    </row>
    <row r="21" spans="1:21" x14ac:dyDescent="0.3">
      <c r="A21">
        <v>20</v>
      </c>
      <c r="B21" t="s">
        <v>54</v>
      </c>
      <c r="C21" t="s">
        <v>16</v>
      </c>
      <c r="D21">
        <v>57</v>
      </c>
      <c r="E21" t="s">
        <v>31</v>
      </c>
      <c r="F21" s="4">
        <v>295640.96000000002</v>
      </c>
      <c r="G21" t="str">
        <f t="shared" si="3"/>
        <v>High Income</v>
      </c>
      <c r="H21">
        <v>95358.35</v>
      </c>
      <c r="I21">
        <v>463</v>
      </c>
      <c r="J21" t="s">
        <v>32</v>
      </c>
      <c r="K21" t="s">
        <v>24</v>
      </c>
      <c r="L21">
        <v>206625.74</v>
      </c>
      <c r="M21">
        <v>142195.4</v>
      </c>
      <c r="N21" t="s">
        <v>28</v>
      </c>
      <c r="O21" s="7">
        <f t="shared" ca="1" si="0"/>
        <v>45941</v>
      </c>
      <c r="P21" s="7">
        <v>45981</v>
      </c>
      <c r="Q21">
        <v>3</v>
      </c>
      <c r="R21" t="str">
        <f t="shared" si="1"/>
        <v>Midum Risk</v>
      </c>
      <c r="S21" t="str">
        <f t="shared" si="2"/>
        <v xml:space="preserve">Midum </v>
      </c>
      <c r="T21" s="4">
        <f>Table1[[#This Row],[Deposit_Amount]]+Table1[[#This Row],[Withdrawal_Amount]]</f>
        <v>390999.31000000006</v>
      </c>
      <c r="U21" t="s">
        <v>275</v>
      </c>
    </row>
    <row r="22" spans="1:21" x14ac:dyDescent="0.3">
      <c r="A22">
        <v>21</v>
      </c>
      <c r="B22" t="s">
        <v>55</v>
      </c>
      <c r="C22" t="s">
        <v>16</v>
      </c>
      <c r="D22">
        <v>60</v>
      </c>
      <c r="E22" t="s">
        <v>23</v>
      </c>
      <c r="F22" s="4">
        <v>214704.41</v>
      </c>
      <c r="G22" t="str">
        <f t="shared" si="3"/>
        <v>High Income</v>
      </c>
      <c r="H22">
        <v>162565.38</v>
      </c>
      <c r="I22">
        <v>632</v>
      </c>
      <c r="J22" t="s">
        <v>41</v>
      </c>
      <c r="K22" t="s">
        <v>42</v>
      </c>
      <c r="L22">
        <v>179934.35</v>
      </c>
      <c r="M22">
        <v>44342.38</v>
      </c>
      <c r="N22" t="s">
        <v>20</v>
      </c>
      <c r="O22" s="7">
        <f t="shared" ca="1" si="0"/>
        <v>45720</v>
      </c>
      <c r="P22" s="7">
        <v>45876</v>
      </c>
      <c r="Q22">
        <v>2</v>
      </c>
      <c r="R22" t="str">
        <f t="shared" si="1"/>
        <v>Low Risk</v>
      </c>
      <c r="S22" t="str">
        <f t="shared" si="2"/>
        <v>Good</v>
      </c>
      <c r="T22" s="4">
        <f>Table1[[#This Row],[Deposit_Amount]]+Table1[[#This Row],[Withdrawal_Amount]]</f>
        <v>377269.79000000004</v>
      </c>
      <c r="U22" t="s">
        <v>274</v>
      </c>
    </row>
    <row r="23" spans="1:21" x14ac:dyDescent="0.3">
      <c r="A23">
        <v>22</v>
      </c>
      <c r="B23" t="s">
        <v>56</v>
      </c>
      <c r="C23" t="s">
        <v>16</v>
      </c>
      <c r="D23">
        <v>32</v>
      </c>
      <c r="E23" t="s">
        <v>31</v>
      </c>
      <c r="F23" s="4">
        <v>348133.4</v>
      </c>
      <c r="G23" t="str">
        <f t="shared" si="3"/>
        <v>High Income</v>
      </c>
      <c r="H23">
        <v>277902.34000000003</v>
      </c>
      <c r="I23">
        <v>612</v>
      </c>
      <c r="J23" t="s">
        <v>18</v>
      </c>
      <c r="K23" t="s">
        <v>42</v>
      </c>
      <c r="L23">
        <v>250501.14</v>
      </c>
      <c r="M23">
        <v>138641.4</v>
      </c>
      <c r="N23" t="s">
        <v>25</v>
      </c>
      <c r="O23" s="7">
        <f t="shared" ca="1" si="0"/>
        <v>45847</v>
      </c>
      <c r="P23" s="7">
        <v>45744</v>
      </c>
      <c r="Q23">
        <v>1</v>
      </c>
      <c r="R23" t="str">
        <f t="shared" si="1"/>
        <v>Low Risk</v>
      </c>
      <c r="S23" t="str">
        <f t="shared" si="2"/>
        <v>Good</v>
      </c>
      <c r="T23" s="4">
        <f>Table1[[#This Row],[Deposit_Amount]]+Table1[[#This Row],[Withdrawal_Amount]]</f>
        <v>626035.74</v>
      </c>
      <c r="U23" t="s">
        <v>274</v>
      </c>
    </row>
    <row r="24" spans="1:21" x14ac:dyDescent="0.3">
      <c r="A24">
        <v>23</v>
      </c>
      <c r="B24" t="s">
        <v>57</v>
      </c>
      <c r="C24" t="s">
        <v>22</v>
      </c>
      <c r="D24">
        <v>47</v>
      </c>
      <c r="E24" t="s">
        <v>31</v>
      </c>
      <c r="F24" s="4">
        <v>385250.76</v>
      </c>
      <c r="G24" t="str">
        <f t="shared" si="3"/>
        <v>High Income</v>
      </c>
      <c r="H24">
        <v>6574.08</v>
      </c>
      <c r="I24">
        <v>310</v>
      </c>
      <c r="J24" t="s">
        <v>18</v>
      </c>
      <c r="K24" t="s">
        <v>24</v>
      </c>
      <c r="L24">
        <v>430588.02</v>
      </c>
      <c r="M24">
        <v>200220.92</v>
      </c>
      <c r="N24" t="s">
        <v>20</v>
      </c>
      <c r="O24" s="7">
        <f t="shared" ca="1" si="0"/>
        <v>45933</v>
      </c>
      <c r="P24" s="7">
        <v>45764</v>
      </c>
      <c r="Q24">
        <v>4</v>
      </c>
      <c r="R24" t="str">
        <f t="shared" si="1"/>
        <v>High Risk</v>
      </c>
      <c r="S24" t="str">
        <f t="shared" si="2"/>
        <v>Poor</v>
      </c>
      <c r="T24" s="4">
        <f>Table1[[#This Row],[Deposit_Amount]]+Table1[[#This Row],[Withdrawal_Amount]]</f>
        <v>391824.84</v>
      </c>
      <c r="U24" t="s">
        <v>274</v>
      </c>
    </row>
    <row r="25" spans="1:21" x14ac:dyDescent="0.3">
      <c r="A25">
        <v>24</v>
      </c>
      <c r="B25" t="s">
        <v>58</v>
      </c>
      <c r="C25" t="s">
        <v>16</v>
      </c>
      <c r="D25">
        <v>41</v>
      </c>
      <c r="E25" t="s">
        <v>44</v>
      </c>
      <c r="F25" s="4">
        <v>155540.26</v>
      </c>
      <c r="G25" t="str">
        <f t="shared" si="3"/>
        <v>Midum Income</v>
      </c>
      <c r="H25">
        <v>163543.94</v>
      </c>
      <c r="I25">
        <v>667</v>
      </c>
      <c r="J25" t="s">
        <v>32</v>
      </c>
      <c r="K25" t="s">
        <v>59</v>
      </c>
      <c r="L25">
        <v>64680.67</v>
      </c>
      <c r="M25">
        <v>220263.2</v>
      </c>
      <c r="N25" t="s">
        <v>20</v>
      </c>
      <c r="O25" s="7">
        <f t="shared" ca="1" si="0"/>
        <v>45854</v>
      </c>
      <c r="P25" s="7">
        <v>45753</v>
      </c>
      <c r="Q25">
        <v>1</v>
      </c>
      <c r="R25" t="str">
        <f t="shared" si="1"/>
        <v>Low Risk</v>
      </c>
      <c r="S25" t="str">
        <f t="shared" si="2"/>
        <v>Good</v>
      </c>
      <c r="T25" s="4">
        <f>Table1[[#This Row],[Deposit_Amount]]+Table1[[#This Row],[Withdrawal_Amount]]</f>
        <v>319084.2</v>
      </c>
      <c r="U25" t="s">
        <v>274</v>
      </c>
    </row>
    <row r="26" spans="1:21" x14ac:dyDescent="0.3">
      <c r="A26">
        <v>25</v>
      </c>
      <c r="B26" t="s">
        <v>60</v>
      </c>
      <c r="C26" t="s">
        <v>22</v>
      </c>
      <c r="D26">
        <v>43</v>
      </c>
      <c r="E26" t="s">
        <v>44</v>
      </c>
      <c r="F26" s="4">
        <v>143417.71</v>
      </c>
      <c r="G26" t="str">
        <f t="shared" si="3"/>
        <v>Midum Income</v>
      </c>
      <c r="H26">
        <v>207732.88</v>
      </c>
      <c r="I26">
        <v>730</v>
      </c>
      <c r="J26" t="s">
        <v>38</v>
      </c>
      <c r="K26" t="s">
        <v>24</v>
      </c>
      <c r="L26">
        <v>89701.53</v>
      </c>
      <c r="M26">
        <v>193977.81</v>
      </c>
      <c r="N26" t="s">
        <v>25</v>
      </c>
      <c r="O26" s="7">
        <f t="shared" ca="1" si="0"/>
        <v>45893</v>
      </c>
      <c r="P26" s="7">
        <v>45899</v>
      </c>
      <c r="Q26">
        <v>2</v>
      </c>
      <c r="R26" t="str">
        <f t="shared" si="1"/>
        <v>Low Risk</v>
      </c>
      <c r="S26" t="str">
        <f t="shared" si="2"/>
        <v>Good</v>
      </c>
      <c r="T26" s="4">
        <f>Table1[[#This Row],[Deposit_Amount]]+Table1[[#This Row],[Withdrawal_Amount]]</f>
        <v>351150.58999999997</v>
      </c>
      <c r="U26" t="s">
        <v>274</v>
      </c>
    </row>
    <row r="27" spans="1:21" x14ac:dyDescent="0.3">
      <c r="A27">
        <v>26</v>
      </c>
      <c r="B27" t="s">
        <v>61</v>
      </c>
      <c r="C27" t="s">
        <v>22</v>
      </c>
      <c r="D27">
        <v>55</v>
      </c>
      <c r="E27" t="s">
        <v>17</v>
      </c>
      <c r="F27" s="4">
        <v>210386.15</v>
      </c>
      <c r="G27" t="str">
        <f t="shared" si="3"/>
        <v>High Income</v>
      </c>
      <c r="H27">
        <v>161596.67000000001</v>
      </c>
      <c r="I27">
        <v>732</v>
      </c>
      <c r="J27" t="s">
        <v>27</v>
      </c>
      <c r="K27" t="s">
        <v>36</v>
      </c>
      <c r="L27">
        <v>93489.18</v>
      </c>
      <c r="M27">
        <v>32903.949999999997</v>
      </c>
      <c r="N27" t="s">
        <v>28</v>
      </c>
      <c r="O27" s="7">
        <f t="shared" ca="1" si="0"/>
        <v>45981</v>
      </c>
      <c r="P27" s="7">
        <v>45795</v>
      </c>
      <c r="Q27">
        <v>5</v>
      </c>
      <c r="R27" t="str">
        <f t="shared" si="1"/>
        <v>Low Risk</v>
      </c>
      <c r="S27" t="str">
        <f t="shared" si="2"/>
        <v>Good</v>
      </c>
      <c r="T27" s="4">
        <f>Table1[[#This Row],[Deposit_Amount]]+Table1[[#This Row],[Withdrawal_Amount]]</f>
        <v>371982.82</v>
      </c>
      <c r="U27" t="s">
        <v>274</v>
      </c>
    </row>
    <row r="28" spans="1:21" x14ac:dyDescent="0.3">
      <c r="A28">
        <v>27</v>
      </c>
      <c r="B28" t="s">
        <v>48</v>
      </c>
      <c r="C28" t="s">
        <v>22</v>
      </c>
      <c r="D28">
        <v>68</v>
      </c>
      <c r="E28" t="s">
        <v>17</v>
      </c>
      <c r="F28" s="4">
        <v>155884.51999999999</v>
      </c>
      <c r="G28" t="str">
        <f t="shared" si="3"/>
        <v>Midum Income</v>
      </c>
      <c r="H28">
        <v>99775.48</v>
      </c>
      <c r="I28">
        <v>704</v>
      </c>
      <c r="J28" t="s">
        <v>38</v>
      </c>
      <c r="K28" t="s">
        <v>19</v>
      </c>
      <c r="L28">
        <v>88173.94</v>
      </c>
      <c r="M28">
        <v>95330.03</v>
      </c>
      <c r="N28" t="s">
        <v>28</v>
      </c>
      <c r="O28" s="7">
        <f t="shared" ca="1" si="0"/>
        <v>45793</v>
      </c>
      <c r="P28" s="7">
        <v>45758</v>
      </c>
      <c r="Q28">
        <v>2</v>
      </c>
      <c r="R28" t="str">
        <f t="shared" si="1"/>
        <v>Low Risk</v>
      </c>
      <c r="S28" t="str">
        <f t="shared" si="2"/>
        <v>Good</v>
      </c>
      <c r="T28" s="4">
        <f>Table1[[#This Row],[Deposit_Amount]]+Table1[[#This Row],[Withdrawal_Amount]]</f>
        <v>255660</v>
      </c>
      <c r="U28" t="s">
        <v>274</v>
      </c>
    </row>
    <row r="29" spans="1:21" x14ac:dyDescent="0.3">
      <c r="A29">
        <v>28</v>
      </c>
      <c r="B29" t="s">
        <v>62</v>
      </c>
      <c r="C29" t="s">
        <v>22</v>
      </c>
      <c r="D29">
        <v>65</v>
      </c>
      <c r="E29" t="s">
        <v>17</v>
      </c>
      <c r="F29" s="4">
        <v>97954.54</v>
      </c>
      <c r="G29" t="str">
        <f t="shared" si="3"/>
        <v>Low Income</v>
      </c>
      <c r="H29">
        <v>93904.66</v>
      </c>
      <c r="I29">
        <v>673</v>
      </c>
      <c r="J29" t="s">
        <v>18</v>
      </c>
      <c r="K29" t="s">
        <v>59</v>
      </c>
      <c r="L29">
        <v>173515.53</v>
      </c>
      <c r="M29">
        <v>90242.81</v>
      </c>
      <c r="N29" t="s">
        <v>25</v>
      </c>
      <c r="O29" s="7">
        <f t="shared" ca="1" si="0"/>
        <v>45791</v>
      </c>
      <c r="P29" s="7">
        <v>46009</v>
      </c>
      <c r="Q29">
        <v>3</v>
      </c>
      <c r="R29" t="str">
        <f t="shared" si="1"/>
        <v>Low Risk</v>
      </c>
      <c r="S29" t="str">
        <f t="shared" si="2"/>
        <v>Good</v>
      </c>
      <c r="T29" s="4">
        <f>Table1[[#This Row],[Deposit_Amount]]+Table1[[#This Row],[Withdrawal_Amount]]</f>
        <v>191859.20000000001</v>
      </c>
      <c r="U29" t="s">
        <v>274</v>
      </c>
    </row>
    <row r="30" spans="1:21" x14ac:dyDescent="0.3">
      <c r="A30">
        <v>29</v>
      </c>
      <c r="B30" t="s">
        <v>63</v>
      </c>
      <c r="C30" t="s">
        <v>22</v>
      </c>
      <c r="D30">
        <v>41</v>
      </c>
      <c r="E30" t="s">
        <v>31</v>
      </c>
      <c r="F30" s="4">
        <v>450621.36</v>
      </c>
      <c r="G30" t="str">
        <f t="shared" si="3"/>
        <v>High Income</v>
      </c>
      <c r="H30">
        <v>174582.31</v>
      </c>
      <c r="I30">
        <v>786</v>
      </c>
      <c r="J30" t="s">
        <v>18</v>
      </c>
      <c r="K30" t="s">
        <v>19</v>
      </c>
      <c r="L30">
        <v>406689.11</v>
      </c>
      <c r="M30">
        <v>114456.27</v>
      </c>
      <c r="N30" t="s">
        <v>28</v>
      </c>
      <c r="O30" s="7">
        <f t="shared" ca="1" si="0"/>
        <v>45847</v>
      </c>
      <c r="P30" s="7">
        <v>45707</v>
      </c>
      <c r="Q30">
        <v>4</v>
      </c>
      <c r="R30" t="str">
        <f t="shared" si="1"/>
        <v>Low Risk</v>
      </c>
      <c r="S30" t="str">
        <f t="shared" si="2"/>
        <v>Good</v>
      </c>
      <c r="T30" s="4">
        <f>Table1[[#This Row],[Deposit_Amount]]+Table1[[#This Row],[Withdrawal_Amount]]</f>
        <v>625203.66999999993</v>
      </c>
      <c r="U30" t="s">
        <v>274</v>
      </c>
    </row>
    <row r="31" spans="1:21" x14ac:dyDescent="0.3">
      <c r="A31">
        <v>30</v>
      </c>
      <c r="B31" t="s">
        <v>64</v>
      </c>
      <c r="C31" t="s">
        <v>16</v>
      </c>
      <c r="D31">
        <v>30</v>
      </c>
      <c r="E31" t="s">
        <v>31</v>
      </c>
      <c r="F31" s="4">
        <v>63168.86</v>
      </c>
      <c r="G31" t="str">
        <f t="shared" si="3"/>
        <v>Low Income</v>
      </c>
      <c r="H31">
        <v>68273.39</v>
      </c>
      <c r="I31">
        <v>452</v>
      </c>
      <c r="J31" t="s">
        <v>27</v>
      </c>
      <c r="K31" t="s">
        <v>24</v>
      </c>
      <c r="L31">
        <v>164072.92000000001</v>
      </c>
      <c r="M31">
        <v>202754.7</v>
      </c>
      <c r="N31" t="s">
        <v>28</v>
      </c>
      <c r="O31" s="7">
        <f t="shared" ca="1" si="0"/>
        <v>45702</v>
      </c>
      <c r="P31" s="7">
        <v>45932</v>
      </c>
      <c r="Q31">
        <v>1</v>
      </c>
      <c r="R31" t="str">
        <f t="shared" si="1"/>
        <v>Midum Risk</v>
      </c>
      <c r="S31" t="str">
        <f t="shared" si="2"/>
        <v xml:space="preserve">Midum </v>
      </c>
      <c r="T31" s="4">
        <f>Table1[[#This Row],[Deposit_Amount]]+Table1[[#This Row],[Withdrawal_Amount]]</f>
        <v>131442.25</v>
      </c>
      <c r="U31" t="s">
        <v>274</v>
      </c>
    </row>
    <row r="32" spans="1:21" x14ac:dyDescent="0.3">
      <c r="A32">
        <v>31</v>
      </c>
      <c r="B32" t="s">
        <v>65</v>
      </c>
      <c r="C32" t="s">
        <v>22</v>
      </c>
      <c r="D32">
        <v>57</v>
      </c>
      <c r="E32" t="s">
        <v>35</v>
      </c>
      <c r="F32" s="4">
        <v>493662.28</v>
      </c>
      <c r="G32" t="str">
        <f t="shared" si="3"/>
        <v>High Income</v>
      </c>
      <c r="H32">
        <v>174688.78</v>
      </c>
      <c r="I32">
        <v>820</v>
      </c>
      <c r="J32" t="s">
        <v>18</v>
      </c>
      <c r="K32" t="s">
        <v>36</v>
      </c>
      <c r="L32">
        <v>388830</v>
      </c>
      <c r="M32">
        <v>98030.11</v>
      </c>
      <c r="N32" t="s">
        <v>28</v>
      </c>
      <c r="O32" s="7">
        <f t="shared" ca="1" si="0"/>
        <v>45879</v>
      </c>
      <c r="P32" s="7">
        <v>46002</v>
      </c>
      <c r="Q32">
        <v>2</v>
      </c>
      <c r="R32" t="str">
        <f t="shared" si="1"/>
        <v>Low Risk</v>
      </c>
      <c r="S32" t="str">
        <f t="shared" si="2"/>
        <v>Good</v>
      </c>
      <c r="T32" s="4">
        <f>Table1[[#This Row],[Deposit_Amount]]+Table1[[#This Row],[Withdrawal_Amount]]</f>
        <v>668351.06000000006</v>
      </c>
      <c r="U32" t="s">
        <v>274</v>
      </c>
    </row>
    <row r="33" spans="1:21" x14ac:dyDescent="0.3">
      <c r="A33">
        <v>32</v>
      </c>
      <c r="B33" t="s">
        <v>66</v>
      </c>
      <c r="C33" t="s">
        <v>16</v>
      </c>
      <c r="D33">
        <v>32</v>
      </c>
      <c r="E33" t="s">
        <v>35</v>
      </c>
      <c r="F33" s="4">
        <v>86052.46</v>
      </c>
      <c r="G33" t="str">
        <f t="shared" si="3"/>
        <v>Low Income</v>
      </c>
      <c r="H33">
        <v>40103.78</v>
      </c>
      <c r="I33">
        <v>539</v>
      </c>
      <c r="J33" t="s">
        <v>38</v>
      </c>
      <c r="K33" t="s">
        <v>36</v>
      </c>
      <c r="L33">
        <v>156470.94</v>
      </c>
      <c r="M33">
        <v>208164.53</v>
      </c>
      <c r="N33" t="s">
        <v>20</v>
      </c>
      <c r="O33" s="7">
        <f t="shared" ca="1" si="0"/>
        <v>45787</v>
      </c>
      <c r="P33" s="7">
        <v>45897</v>
      </c>
      <c r="Q33">
        <v>4</v>
      </c>
      <c r="R33" t="str">
        <f t="shared" si="1"/>
        <v>Midum Risk</v>
      </c>
      <c r="S33" t="str">
        <f t="shared" si="2"/>
        <v xml:space="preserve">Midum </v>
      </c>
      <c r="T33" s="4">
        <f>Table1[[#This Row],[Deposit_Amount]]+Table1[[#This Row],[Withdrawal_Amount]]</f>
        <v>126156.24</v>
      </c>
      <c r="U33" t="s">
        <v>274</v>
      </c>
    </row>
    <row r="34" spans="1:21" x14ac:dyDescent="0.3">
      <c r="A34">
        <v>33</v>
      </c>
      <c r="B34" t="s">
        <v>67</v>
      </c>
      <c r="C34" t="s">
        <v>16</v>
      </c>
      <c r="D34">
        <v>37</v>
      </c>
      <c r="E34" t="s">
        <v>35</v>
      </c>
      <c r="F34" s="4">
        <v>442353.8</v>
      </c>
      <c r="G34" t="str">
        <f t="shared" si="3"/>
        <v>High Income</v>
      </c>
      <c r="H34">
        <v>261787.34</v>
      </c>
      <c r="I34">
        <v>652</v>
      </c>
      <c r="J34" t="s">
        <v>18</v>
      </c>
      <c r="K34" t="s">
        <v>19</v>
      </c>
      <c r="L34">
        <v>284509.17</v>
      </c>
      <c r="M34">
        <v>55988.03</v>
      </c>
      <c r="N34" t="s">
        <v>28</v>
      </c>
      <c r="O34" s="7">
        <f t="shared" ca="1" si="0"/>
        <v>45712</v>
      </c>
      <c r="P34" s="7">
        <v>45938</v>
      </c>
      <c r="Q34">
        <v>4</v>
      </c>
      <c r="R34" t="str">
        <f t="shared" si="1"/>
        <v>Low Risk</v>
      </c>
      <c r="S34" t="str">
        <f t="shared" si="2"/>
        <v>Good</v>
      </c>
      <c r="T34" s="4">
        <f>Table1[[#This Row],[Deposit_Amount]]+Table1[[#This Row],[Withdrawal_Amount]]</f>
        <v>704141.14</v>
      </c>
      <c r="U34" t="s">
        <v>274</v>
      </c>
    </row>
    <row r="35" spans="1:21" x14ac:dyDescent="0.3">
      <c r="A35">
        <v>34</v>
      </c>
      <c r="B35" t="s">
        <v>68</v>
      </c>
      <c r="C35" t="s">
        <v>16</v>
      </c>
      <c r="D35">
        <v>20</v>
      </c>
      <c r="E35" t="s">
        <v>23</v>
      </c>
      <c r="F35" s="4">
        <v>295445.40000000002</v>
      </c>
      <c r="G35" t="str">
        <f t="shared" si="3"/>
        <v>High Income</v>
      </c>
      <c r="H35">
        <v>274166.88</v>
      </c>
      <c r="I35">
        <v>389</v>
      </c>
      <c r="J35" t="s">
        <v>18</v>
      </c>
      <c r="K35" t="s">
        <v>42</v>
      </c>
      <c r="L35">
        <v>159446.93</v>
      </c>
      <c r="M35">
        <v>208554.03</v>
      </c>
      <c r="N35" t="s">
        <v>20</v>
      </c>
      <c r="O35" s="7">
        <f t="shared" ca="1" si="0"/>
        <v>45802</v>
      </c>
      <c r="P35" s="7">
        <v>45965</v>
      </c>
      <c r="Q35">
        <v>3</v>
      </c>
      <c r="R35" t="str">
        <f t="shared" si="1"/>
        <v>High Risk</v>
      </c>
      <c r="S35" t="str">
        <f t="shared" si="2"/>
        <v>Poor</v>
      </c>
      <c r="T35" s="4">
        <f>Table1[[#This Row],[Deposit_Amount]]+Table1[[#This Row],[Withdrawal_Amount]]</f>
        <v>569612.28</v>
      </c>
      <c r="U35" t="s">
        <v>274</v>
      </c>
    </row>
    <row r="36" spans="1:21" x14ac:dyDescent="0.3">
      <c r="A36">
        <v>35</v>
      </c>
      <c r="B36" t="s">
        <v>69</v>
      </c>
      <c r="C36" t="s">
        <v>16</v>
      </c>
      <c r="D36">
        <v>69</v>
      </c>
      <c r="E36" t="s">
        <v>23</v>
      </c>
      <c r="F36" s="4">
        <v>222599.57</v>
      </c>
      <c r="G36" t="str">
        <f t="shared" si="3"/>
        <v>High Income</v>
      </c>
      <c r="H36">
        <v>1289.3499999999999</v>
      </c>
      <c r="I36">
        <v>868</v>
      </c>
      <c r="J36" t="s">
        <v>27</v>
      </c>
      <c r="K36" t="s">
        <v>19</v>
      </c>
      <c r="L36">
        <v>392046.59</v>
      </c>
      <c r="M36">
        <v>227236.61</v>
      </c>
      <c r="N36" t="s">
        <v>25</v>
      </c>
      <c r="O36" s="7">
        <f t="shared" ca="1" si="0"/>
        <v>46019</v>
      </c>
      <c r="P36" s="7">
        <v>45962</v>
      </c>
      <c r="Q36">
        <v>3</v>
      </c>
      <c r="R36" t="str">
        <f t="shared" si="1"/>
        <v>Low Risk</v>
      </c>
      <c r="S36" t="str">
        <f t="shared" si="2"/>
        <v>Good</v>
      </c>
      <c r="T36" s="4">
        <f>Table1[[#This Row],[Deposit_Amount]]+Table1[[#This Row],[Withdrawal_Amount]]</f>
        <v>223888.92</v>
      </c>
      <c r="U36" t="s">
        <v>274</v>
      </c>
    </row>
    <row r="37" spans="1:21" x14ac:dyDescent="0.3">
      <c r="A37">
        <v>36</v>
      </c>
      <c r="B37" t="s">
        <v>70</v>
      </c>
      <c r="C37" t="s">
        <v>22</v>
      </c>
      <c r="D37">
        <v>22</v>
      </c>
      <c r="E37" t="s">
        <v>17</v>
      </c>
      <c r="F37" s="4">
        <v>191784.07</v>
      </c>
      <c r="G37" t="str">
        <f t="shared" si="3"/>
        <v>Midum Income</v>
      </c>
      <c r="H37">
        <v>196735.17</v>
      </c>
      <c r="I37">
        <v>470</v>
      </c>
      <c r="J37" t="s">
        <v>32</v>
      </c>
      <c r="K37" t="s">
        <v>24</v>
      </c>
      <c r="L37">
        <v>83912.4</v>
      </c>
      <c r="M37">
        <v>84765.21</v>
      </c>
      <c r="N37" t="s">
        <v>28</v>
      </c>
      <c r="O37" s="7">
        <f t="shared" ca="1" si="0"/>
        <v>45924</v>
      </c>
      <c r="P37" s="7">
        <v>45848</v>
      </c>
      <c r="Q37">
        <v>1</v>
      </c>
      <c r="R37" t="str">
        <f t="shared" si="1"/>
        <v>Midum Risk</v>
      </c>
      <c r="S37" t="str">
        <f t="shared" si="2"/>
        <v xml:space="preserve">Midum </v>
      </c>
      <c r="T37" s="4">
        <f>Table1[[#This Row],[Deposit_Amount]]+Table1[[#This Row],[Withdrawal_Amount]]</f>
        <v>388519.24</v>
      </c>
      <c r="U37" t="s">
        <v>274</v>
      </c>
    </row>
    <row r="38" spans="1:21" x14ac:dyDescent="0.3">
      <c r="A38">
        <v>37</v>
      </c>
      <c r="B38" t="s">
        <v>71</v>
      </c>
      <c r="C38" t="s">
        <v>16</v>
      </c>
      <c r="D38">
        <v>58</v>
      </c>
      <c r="E38" t="s">
        <v>44</v>
      </c>
      <c r="F38" s="4">
        <v>314210.12</v>
      </c>
      <c r="G38" t="str">
        <f t="shared" si="3"/>
        <v>High Income</v>
      </c>
      <c r="H38">
        <v>186337.1</v>
      </c>
      <c r="I38">
        <v>784</v>
      </c>
      <c r="J38" t="s">
        <v>41</v>
      </c>
      <c r="K38" t="s">
        <v>42</v>
      </c>
      <c r="L38">
        <v>277928.61</v>
      </c>
      <c r="M38">
        <v>108206.75</v>
      </c>
      <c r="N38" t="s">
        <v>28</v>
      </c>
      <c r="O38" s="7">
        <f t="shared" ca="1" si="0"/>
        <v>45974</v>
      </c>
      <c r="P38" s="7">
        <v>45745</v>
      </c>
      <c r="Q38">
        <v>3</v>
      </c>
      <c r="R38" t="str">
        <f t="shared" si="1"/>
        <v>Low Risk</v>
      </c>
      <c r="S38" t="str">
        <f t="shared" si="2"/>
        <v>Good</v>
      </c>
      <c r="T38" s="4">
        <f>Table1[[#This Row],[Deposit_Amount]]+Table1[[#This Row],[Withdrawal_Amount]]</f>
        <v>500547.22</v>
      </c>
      <c r="U38" t="s">
        <v>274</v>
      </c>
    </row>
    <row r="39" spans="1:21" x14ac:dyDescent="0.3">
      <c r="A39">
        <v>38</v>
      </c>
      <c r="B39" t="s">
        <v>72</v>
      </c>
      <c r="C39" t="s">
        <v>16</v>
      </c>
      <c r="D39">
        <v>22</v>
      </c>
      <c r="E39" t="s">
        <v>40</v>
      </c>
      <c r="F39" s="4">
        <v>130728.88</v>
      </c>
      <c r="G39" t="str">
        <f t="shared" si="3"/>
        <v>Midum Income</v>
      </c>
      <c r="H39">
        <v>18150.54</v>
      </c>
      <c r="I39">
        <v>487</v>
      </c>
      <c r="J39" t="s">
        <v>38</v>
      </c>
      <c r="K39" t="s">
        <v>59</v>
      </c>
      <c r="L39">
        <v>311042.46999999997</v>
      </c>
      <c r="M39">
        <v>167829.45</v>
      </c>
      <c r="N39" t="s">
        <v>28</v>
      </c>
      <c r="O39" s="7">
        <f t="shared" ca="1" si="0"/>
        <v>45691</v>
      </c>
      <c r="P39" s="7">
        <v>46020</v>
      </c>
      <c r="Q39">
        <v>5</v>
      </c>
      <c r="R39" t="str">
        <f t="shared" si="1"/>
        <v>Midum Risk</v>
      </c>
      <c r="S39" t="str">
        <f t="shared" si="2"/>
        <v xml:space="preserve">Midum </v>
      </c>
      <c r="T39" s="4">
        <f>Table1[[#This Row],[Deposit_Amount]]+Table1[[#This Row],[Withdrawal_Amount]]</f>
        <v>148879.42000000001</v>
      </c>
      <c r="U39" t="s">
        <v>274</v>
      </c>
    </row>
    <row r="40" spans="1:21" x14ac:dyDescent="0.3">
      <c r="A40">
        <v>39</v>
      </c>
      <c r="B40" t="s">
        <v>73</v>
      </c>
      <c r="C40" t="s">
        <v>16</v>
      </c>
      <c r="D40">
        <v>33</v>
      </c>
      <c r="E40" t="s">
        <v>23</v>
      </c>
      <c r="F40" s="4">
        <v>125978.92</v>
      </c>
      <c r="G40" t="str">
        <f t="shared" si="3"/>
        <v>Midum Income</v>
      </c>
      <c r="H40">
        <v>290847.28000000003</v>
      </c>
      <c r="I40">
        <v>455</v>
      </c>
      <c r="J40" t="s">
        <v>41</v>
      </c>
      <c r="K40" t="s">
        <v>24</v>
      </c>
      <c r="L40">
        <v>14461.45</v>
      </c>
      <c r="M40">
        <v>100256.65</v>
      </c>
      <c r="N40" t="s">
        <v>20</v>
      </c>
      <c r="O40" s="7">
        <f t="shared" ca="1" si="0"/>
        <v>45903</v>
      </c>
      <c r="P40" s="7">
        <v>45818</v>
      </c>
      <c r="Q40">
        <v>2</v>
      </c>
      <c r="R40" t="str">
        <f t="shared" si="1"/>
        <v>Midum Risk</v>
      </c>
      <c r="S40" t="str">
        <f t="shared" si="2"/>
        <v xml:space="preserve">Midum </v>
      </c>
      <c r="T40" s="4">
        <f>Table1[[#This Row],[Deposit_Amount]]+Table1[[#This Row],[Withdrawal_Amount]]</f>
        <v>416826.2</v>
      </c>
      <c r="U40" t="s">
        <v>274</v>
      </c>
    </row>
    <row r="41" spans="1:21" x14ac:dyDescent="0.3">
      <c r="A41">
        <v>40</v>
      </c>
      <c r="B41" t="s">
        <v>58</v>
      </c>
      <c r="C41" t="s">
        <v>16</v>
      </c>
      <c r="D41">
        <v>19</v>
      </c>
      <c r="E41" t="s">
        <v>17</v>
      </c>
      <c r="F41" s="4">
        <v>310194.64</v>
      </c>
      <c r="G41" t="str">
        <f t="shared" si="3"/>
        <v>High Income</v>
      </c>
      <c r="H41">
        <v>163731.57999999999</v>
      </c>
      <c r="I41">
        <v>787</v>
      </c>
      <c r="J41" t="s">
        <v>32</v>
      </c>
      <c r="K41" t="s">
        <v>24</v>
      </c>
      <c r="L41">
        <v>260418.66</v>
      </c>
      <c r="M41">
        <v>235946.63</v>
      </c>
      <c r="N41" t="s">
        <v>28</v>
      </c>
      <c r="O41" s="7">
        <f t="shared" ca="1" si="0"/>
        <v>45983</v>
      </c>
      <c r="P41" s="7">
        <v>45719</v>
      </c>
      <c r="Q41">
        <v>4</v>
      </c>
      <c r="R41" t="str">
        <f t="shared" si="1"/>
        <v>Low Risk</v>
      </c>
      <c r="S41" t="str">
        <f t="shared" si="2"/>
        <v>Good</v>
      </c>
      <c r="T41" s="4">
        <f>Table1[[#This Row],[Deposit_Amount]]+Table1[[#This Row],[Withdrawal_Amount]]</f>
        <v>473926.22</v>
      </c>
      <c r="U41" t="s">
        <v>274</v>
      </c>
    </row>
    <row r="42" spans="1:21" x14ac:dyDescent="0.3">
      <c r="A42">
        <v>41</v>
      </c>
      <c r="B42" t="s">
        <v>74</v>
      </c>
      <c r="C42" t="s">
        <v>22</v>
      </c>
      <c r="D42">
        <v>24</v>
      </c>
      <c r="E42" t="s">
        <v>35</v>
      </c>
      <c r="F42" s="4">
        <v>276891.09999999998</v>
      </c>
      <c r="G42" t="str">
        <f t="shared" si="3"/>
        <v>High Income</v>
      </c>
      <c r="H42">
        <v>189308.32</v>
      </c>
      <c r="I42">
        <v>882</v>
      </c>
      <c r="J42" t="s">
        <v>32</v>
      </c>
      <c r="K42" t="s">
        <v>19</v>
      </c>
      <c r="L42">
        <v>139281.76</v>
      </c>
      <c r="M42">
        <v>104242.92</v>
      </c>
      <c r="N42" t="s">
        <v>20</v>
      </c>
      <c r="O42" s="7">
        <f t="shared" ca="1" si="0"/>
        <v>45932</v>
      </c>
      <c r="P42" s="7">
        <v>45695</v>
      </c>
      <c r="Q42">
        <v>1</v>
      </c>
      <c r="R42" t="str">
        <f t="shared" si="1"/>
        <v>Low Risk</v>
      </c>
      <c r="S42" t="str">
        <f t="shared" si="2"/>
        <v>Good</v>
      </c>
      <c r="T42" s="4">
        <f>Table1[[#This Row],[Deposit_Amount]]+Table1[[#This Row],[Withdrawal_Amount]]</f>
        <v>466199.42</v>
      </c>
      <c r="U42" t="s">
        <v>274</v>
      </c>
    </row>
    <row r="43" spans="1:21" x14ac:dyDescent="0.3">
      <c r="A43">
        <v>42</v>
      </c>
      <c r="B43" t="s">
        <v>75</v>
      </c>
      <c r="C43" t="s">
        <v>16</v>
      </c>
      <c r="D43">
        <v>69</v>
      </c>
      <c r="E43" t="s">
        <v>17</v>
      </c>
      <c r="F43" s="4">
        <v>206186.36</v>
      </c>
      <c r="G43" t="str">
        <f t="shared" si="3"/>
        <v>High Income</v>
      </c>
      <c r="H43">
        <v>208572.18</v>
      </c>
      <c r="I43">
        <v>594</v>
      </c>
      <c r="J43" t="s">
        <v>27</v>
      </c>
      <c r="K43" t="s">
        <v>24</v>
      </c>
      <c r="L43">
        <v>184699.31</v>
      </c>
      <c r="M43">
        <v>132163.98000000001</v>
      </c>
      <c r="N43" t="s">
        <v>28</v>
      </c>
      <c r="O43" s="7">
        <f t="shared" ca="1" si="0"/>
        <v>45701</v>
      </c>
      <c r="P43" s="7">
        <v>45927</v>
      </c>
      <c r="Q43">
        <v>4</v>
      </c>
      <c r="R43" t="str">
        <f t="shared" si="1"/>
        <v>Midum Risk</v>
      </c>
      <c r="S43" t="str">
        <f t="shared" si="2"/>
        <v xml:space="preserve">Midum </v>
      </c>
      <c r="T43" s="4">
        <f>Table1[[#This Row],[Deposit_Amount]]+Table1[[#This Row],[Withdrawal_Amount]]</f>
        <v>414758.54</v>
      </c>
      <c r="U43" t="s">
        <v>274</v>
      </c>
    </row>
    <row r="44" spans="1:21" x14ac:dyDescent="0.3">
      <c r="A44">
        <v>43</v>
      </c>
      <c r="B44" t="s">
        <v>76</v>
      </c>
      <c r="C44" t="s">
        <v>22</v>
      </c>
      <c r="D44">
        <v>35</v>
      </c>
      <c r="E44" t="s">
        <v>35</v>
      </c>
      <c r="F44" s="4">
        <v>237555.65</v>
      </c>
      <c r="G44" t="str">
        <f t="shared" si="3"/>
        <v>High Income</v>
      </c>
      <c r="H44">
        <v>59435.040000000001</v>
      </c>
      <c r="I44">
        <v>379</v>
      </c>
      <c r="J44" t="s">
        <v>18</v>
      </c>
      <c r="K44" t="s">
        <v>42</v>
      </c>
      <c r="L44">
        <v>262148.90999999997</v>
      </c>
      <c r="M44">
        <v>67154</v>
      </c>
      <c r="N44" t="s">
        <v>25</v>
      </c>
      <c r="O44" s="7">
        <f t="shared" ca="1" si="0"/>
        <v>45930</v>
      </c>
      <c r="P44" s="7">
        <v>45748</v>
      </c>
      <c r="Q44">
        <v>5</v>
      </c>
      <c r="R44" t="str">
        <f t="shared" si="1"/>
        <v>High Risk</v>
      </c>
      <c r="S44" t="str">
        <f t="shared" si="2"/>
        <v>Poor</v>
      </c>
      <c r="T44" s="4">
        <f>Table1[[#This Row],[Deposit_Amount]]+Table1[[#This Row],[Withdrawal_Amount]]</f>
        <v>296990.69</v>
      </c>
      <c r="U44" t="s">
        <v>274</v>
      </c>
    </row>
    <row r="45" spans="1:21" x14ac:dyDescent="0.3">
      <c r="A45">
        <v>44</v>
      </c>
      <c r="B45" t="s">
        <v>77</v>
      </c>
      <c r="C45" t="s">
        <v>22</v>
      </c>
      <c r="D45">
        <v>39</v>
      </c>
      <c r="E45" t="s">
        <v>35</v>
      </c>
      <c r="F45" s="4">
        <v>316173.89</v>
      </c>
      <c r="G45" t="str">
        <f t="shared" si="3"/>
        <v>High Income</v>
      </c>
      <c r="H45">
        <v>35958.050000000003</v>
      </c>
      <c r="I45">
        <v>550</v>
      </c>
      <c r="J45" t="s">
        <v>41</v>
      </c>
      <c r="K45" t="s">
        <v>24</v>
      </c>
      <c r="L45">
        <v>403852.56</v>
      </c>
      <c r="M45">
        <v>114261.98</v>
      </c>
      <c r="N45" t="s">
        <v>20</v>
      </c>
      <c r="O45" s="7">
        <f t="shared" ca="1" si="0"/>
        <v>45974</v>
      </c>
      <c r="P45" s="7">
        <v>45792</v>
      </c>
      <c r="Q45">
        <v>1</v>
      </c>
      <c r="R45" t="str">
        <f t="shared" si="1"/>
        <v>Midum Risk</v>
      </c>
      <c r="S45" t="str">
        <f t="shared" si="2"/>
        <v xml:space="preserve">Midum </v>
      </c>
      <c r="T45" s="4">
        <f>Table1[[#This Row],[Deposit_Amount]]+Table1[[#This Row],[Withdrawal_Amount]]</f>
        <v>352131.94</v>
      </c>
      <c r="U45" t="s">
        <v>274</v>
      </c>
    </row>
    <row r="46" spans="1:21" x14ac:dyDescent="0.3">
      <c r="A46">
        <v>45</v>
      </c>
      <c r="B46" t="s">
        <v>78</v>
      </c>
      <c r="C46" t="s">
        <v>16</v>
      </c>
      <c r="D46">
        <v>62</v>
      </c>
      <c r="E46" t="s">
        <v>23</v>
      </c>
      <c r="F46" s="4">
        <v>122931.06</v>
      </c>
      <c r="G46" t="str">
        <f t="shared" si="3"/>
        <v>Midum Income</v>
      </c>
      <c r="H46">
        <v>180311.16</v>
      </c>
      <c r="I46">
        <v>830</v>
      </c>
      <c r="J46" t="s">
        <v>41</v>
      </c>
      <c r="K46" t="s">
        <v>59</v>
      </c>
      <c r="L46">
        <v>132212.68</v>
      </c>
      <c r="M46">
        <v>143931.07</v>
      </c>
      <c r="N46" t="s">
        <v>25</v>
      </c>
      <c r="O46" s="7">
        <f t="shared" ca="1" si="0"/>
        <v>45801</v>
      </c>
      <c r="P46" s="7">
        <v>45920</v>
      </c>
      <c r="Q46">
        <v>5</v>
      </c>
      <c r="R46" t="str">
        <f t="shared" si="1"/>
        <v>Low Risk</v>
      </c>
      <c r="S46" t="str">
        <f t="shared" si="2"/>
        <v>Good</v>
      </c>
      <c r="T46" s="4">
        <f>Table1[[#This Row],[Deposit_Amount]]+Table1[[#This Row],[Withdrawal_Amount]]</f>
        <v>303242.21999999997</v>
      </c>
      <c r="U46" t="s">
        <v>274</v>
      </c>
    </row>
    <row r="47" spans="1:21" x14ac:dyDescent="0.3">
      <c r="A47">
        <v>46</v>
      </c>
      <c r="B47" t="s">
        <v>79</v>
      </c>
      <c r="C47" t="s">
        <v>16</v>
      </c>
      <c r="D47">
        <v>31</v>
      </c>
      <c r="E47" t="s">
        <v>35</v>
      </c>
      <c r="F47" s="4">
        <v>496397.17</v>
      </c>
      <c r="G47" t="str">
        <f t="shared" si="3"/>
        <v>High Income</v>
      </c>
      <c r="H47">
        <v>53059.09</v>
      </c>
      <c r="I47">
        <v>438</v>
      </c>
      <c r="J47" t="s">
        <v>27</v>
      </c>
      <c r="K47" t="s">
        <v>24</v>
      </c>
      <c r="L47">
        <v>582353.34</v>
      </c>
      <c r="M47">
        <v>174782.4</v>
      </c>
      <c r="N47" t="s">
        <v>28</v>
      </c>
      <c r="O47" s="7">
        <f t="shared" ca="1" si="0"/>
        <v>45915</v>
      </c>
      <c r="P47" s="7">
        <v>46020</v>
      </c>
      <c r="Q47">
        <v>2</v>
      </c>
      <c r="R47" t="str">
        <f t="shared" si="1"/>
        <v>Midum Risk</v>
      </c>
      <c r="S47" t="str">
        <f t="shared" si="2"/>
        <v xml:space="preserve">Midum </v>
      </c>
      <c r="T47" s="4">
        <f>Table1[[#This Row],[Deposit_Amount]]+Table1[[#This Row],[Withdrawal_Amount]]</f>
        <v>549456.26</v>
      </c>
      <c r="U47" t="s">
        <v>274</v>
      </c>
    </row>
    <row r="48" spans="1:21" x14ac:dyDescent="0.3">
      <c r="A48">
        <v>47</v>
      </c>
      <c r="B48" t="s">
        <v>66</v>
      </c>
      <c r="C48" t="s">
        <v>16</v>
      </c>
      <c r="D48">
        <v>34</v>
      </c>
      <c r="E48" t="s">
        <v>17</v>
      </c>
      <c r="F48" s="4">
        <v>264178.48</v>
      </c>
      <c r="G48" t="str">
        <f t="shared" si="3"/>
        <v>High Income</v>
      </c>
      <c r="H48">
        <v>119210.55</v>
      </c>
      <c r="I48">
        <v>643</v>
      </c>
      <c r="J48" t="s">
        <v>41</v>
      </c>
      <c r="K48" t="s">
        <v>24</v>
      </c>
      <c r="L48">
        <v>340057.53</v>
      </c>
      <c r="M48">
        <v>133574.01</v>
      </c>
      <c r="N48" t="s">
        <v>28</v>
      </c>
      <c r="O48" s="7">
        <f t="shared" ca="1" si="0"/>
        <v>45789</v>
      </c>
      <c r="P48" s="7">
        <v>45742</v>
      </c>
      <c r="Q48">
        <v>3</v>
      </c>
      <c r="R48" t="str">
        <f t="shared" si="1"/>
        <v>Low Risk</v>
      </c>
      <c r="S48" t="str">
        <f t="shared" si="2"/>
        <v>Good</v>
      </c>
      <c r="T48" s="4">
        <f>Table1[[#This Row],[Deposit_Amount]]+Table1[[#This Row],[Withdrawal_Amount]]</f>
        <v>383389.02999999997</v>
      </c>
      <c r="U48" t="s">
        <v>274</v>
      </c>
    </row>
    <row r="49" spans="1:21" x14ac:dyDescent="0.3">
      <c r="A49">
        <v>48</v>
      </c>
      <c r="B49" t="s">
        <v>21</v>
      </c>
      <c r="C49" t="s">
        <v>22</v>
      </c>
      <c r="D49">
        <v>40</v>
      </c>
      <c r="E49" t="s">
        <v>31</v>
      </c>
      <c r="F49" s="4">
        <v>66805.39</v>
      </c>
      <c r="G49" t="str">
        <f t="shared" si="3"/>
        <v>Low Income</v>
      </c>
      <c r="H49">
        <v>277279.5</v>
      </c>
      <c r="I49">
        <v>336</v>
      </c>
      <c r="J49" t="s">
        <v>18</v>
      </c>
      <c r="K49" t="s">
        <v>24</v>
      </c>
      <c r="L49">
        <v>-38180.050000000003</v>
      </c>
      <c r="M49">
        <v>58066.83</v>
      </c>
      <c r="N49" t="s">
        <v>25</v>
      </c>
      <c r="O49" s="7">
        <f t="shared" ca="1" si="0"/>
        <v>45827</v>
      </c>
      <c r="P49" s="7">
        <v>45940</v>
      </c>
      <c r="Q49">
        <v>3</v>
      </c>
      <c r="R49" t="str">
        <f t="shared" si="1"/>
        <v>High Risk</v>
      </c>
      <c r="S49" t="str">
        <f t="shared" si="2"/>
        <v>Poor</v>
      </c>
      <c r="T49" s="4">
        <f>Table1[[#This Row],[Deposit_Amount]]+Table1[[#This Row],[Withdrawal_Amount]]</f>
        <v>344084.89</v>
      </c>
      <c r="U49" t="s">
        <v>274</v>
      </c>
    </row>
    <row r="50" spans="1:21" x14ac:dyDescent="0.3">
      <c r="A50">
        <v>49</v>
      </c>
      <c r="B50" t="s">
        <v>80</v>
      </c>
      <c r="C50" t="s">
        <v>22</v>
      </c>
      <c r="D50">
        <v>50</v>
      </c>
      <c r="E50" t="s">
        <v>17</v>
      </c>
      <c r="F50" s="4">
        <v>220078.06</v>
      </c>
      <c r="G50" t="str">
        <f t="shared" si="3"/>
        <v>High Income</v>
      </c>
      <c r="H50">
        <v>152153.81</v>
      </c>
      <c r="I50">
        <v>568</v>
      </c>
      <c r="J50" t="s">
        <v>38</v>
      </c>
      <c r="K50" t="s">
        <v>42</v>
      </c>
      <c r="L50">
        <v>179905.8</v>
      </c>
      <c r="M50">
        <v>175441.26</v>
      </c>
      <c r="N50" t="s">
        <v>25</v>
      </c>
      <c r="O50" s="7">
        <f t="shared" ca="1" si="0"/>
        <v>45965</v>
      </c>
      <c r="P50" s="7">
        <v>45750</v>
      </c>
      <c r="Q50">
        <v>1</v>
      </c>
      <c r="R50" t="str">
        <f t="shared" si="1"/>
        <v>Midum Risk</v>
      </c>
      <c r="S50" t="str">
        <f t="shared" si="2"/>
        <v xml:space="preserve">Midum </v>
      </c>
      <c r="T50" s="4">
        <f>Table1[[#This Row],[Deposit_Amount]]+Table1[[#This Row],[Withdrawal_Amount]]</f>
        <v>372231.87</v>
      </c>
      <c r="U50" t="s">
        <v>274</v>
      </c>
    </row>
    <row r="51" spans="1:21" x14ac:dyDescent="0.3">
      <c r="A51">
        <v>50</v>
      </c>
      <c r="B51" t="s">
        <v>39</v>
      </c>
      <c r="C51" t="s">
        <v>16</v>
      </c>
      <c r="D51">
        <v>22</v>
      </c>
      <c r="E51" t="s">
        <v>35</v>
      </c>
      <c r="F51" s="4">
        <v>232206.71</v>
      </c>
      <c r="G51" t="str">
        <f t="shared" si="3"/>
        <v>High Income</v>
      </c>
      <c r="H51">
        <v>212331.19</v>
      </c>
      <c r="I51">
        <v>806</v>
      </c>
      <c r="J51" t="s">
        <v>32</v>
      </c>
      <c r="K51" t="s">
        <v>24</v>
      </c>
      <c r="L51">
        <v>213473.53</v>
      </c>
      <c r="M51">
        <v>52055.1</v>
      </c>
      <c r="N51" t="s">
        <v>25</v>
      </c>
      <c r="O51" s="7">
        <f t="shared" ca="1" si="0"/>
        <v>45795</v>
      </c>
      <c r="P51" s="7">
        <v>45862</v>
      </c>
      <c r="Q51">
        <v>1</v>
      </c>
      <c r="R51" t="str">
        <f t="shared" si="1"/>
        <v>Low Risk</v>
      </c>
      <c r="S51" t="str">
        <f t="shared" si="2"/>
        <v>Good</v>
      </c>
      <c r="T51" s="4">
        <f>Table1[[#This Row],[Deposit_Amount]]+Table1[[#This Row],[Withdrawal_Amount]]</f>
        <v>444537.9</v>
      </c>
      <c r="U51" t="s">
        <v>274</v>
      </c>
    </row>
    <row r="52" spans="1:21" x14ac:dyDescent="0.3">
      <c r="A52">
        <v>51</v>
      </c>
      <c r="B52" t="s">
        <v>81</v>
      </c>
      <c r="C52" t="s">
        <v>22</v>
      </c>
      <c r="D52">
        <v>54</v>
      </c>
      <c r="E52" t="s">
        <v>40</v>
      </c>
      <c r="F52" s="4">
        <v>423505.88</v>
      </c>
      <c r="G52" t="str">
        <f t="shared" si="3"/>
        <v>High Income</v>
      </c>
      <c r="H52">
        <v>216904.11</v>
      </c>
      <c r="I52">
        <v>548</v>
      </c>
      <c r="J52" t="s">
        <v>41</v>
      </c>
      <c r="K52" t="s">
        <v>19</v>
      </c>
      <c r="L52">
        <v>400023.12</v>
      </c>
      <c r="M52">
        <v>133166.45000000001</v>
      </c>
      <c r="N52" t="s">
        <v>25</v>
      </c>
      <c r="O52" s="7">
        <f t="shared" ca="1" si="0"/>
        <v>45990</v>
      </c>
      <c r="P52" s="7">
        <v>45812</v>
      </c>
      <c r="Q52">
        <v>2</v>
      </c>
      <c r="R52" t="str">
        <f t="shared" si="1"/>
        <v>Midum Risk</v>
      </c>
      <c r="S52" t="str">
        <f t="shared" si="2"/>
        <v xml:space="preserve">Midum </v>
      </c>
      <c r="T52" s="4">
        <f>Table1[[#This Row],[Deposit_Amount]]+Table1[[#This Row],[Withdrawal_Amount]]</f>
        <v>640409.99</v>
      </c>
      <c r="U52" t="s">
        <v>274</v>
      </c>
    </row>
    <row r="53" spans="1:21" x14ac:dyDescent="0.3">
      <c r="A53">
        <v>52</v>
      </c>
      <c r="B53" t="s">
        <v>43</v>
      </c>
      <c r="C53" t="s">
        <v>22</v>
      </c>
      <c r="D53">
        <v>18</v>
      </c>
      <c r="E53" t="s">
        <v>17</v>
      </c>
      <c r="F53" s="4">
        <v>303816.53999999998</v>
      </c>
      <c r="G53" t="str">
        <f t="shared" si="3"/>
        <v>High Income</v>
      </c>
      <c r="H53">
        <v>188879.08</v>
      </c>
      <c r="I53">
        <v>491</v>
      </c>
      <c r="J53" t="s">
        <v>41</v>
      </c>
      <c r="K53" t="s">
        <v>36</v>
      </c>
      <c r="L53">
        <v>177228.54</v>
      </c>
      <c r="M53">
        <v>206488.65</v>
      </c>
      <c r="N53" t="s">
        <v>28</v>
      </c>
      <c r="O53" s="7">
        <f t="shared" ca="1" si="0"/>
        <v>45780</v>
      </c>
      <c r="P53" s="7">
        <v>45711</v>
      </c>
      <c r="Q53">
        <v>4</v>
      </c>
      <c r="R53" t="str">
        <f t="shared" si="1"/>
        <v>Midum Risk</v>
      </c>
      <c r="S53" t="str">
        <f t="shared" si="2"/>
        <v xml:space="preserve">Midum </v>
      </c>
      <c r="T53" s="4">
        <f>Table1[[#This Row],[Deposit_Amount]]+Table1[[#This Row],[Withdrawal_Amount]]</f>
        <v>492695.62</v>
      </c>
      <c r="U53" t="s">
        <v>274</v>
      </c>
    </row>
    <row r="54" spans="1:21" x14ac:dyDescent="0.3">
      <c r="A54">
        <v>53</v>
      </c>
      <c r="B54" t="s">
        <v>49</v>
      </c>
      <c r="C54" t="s">
        <v>22</v>
      </c>
      <c r="D54">
        <v>19</v>
      </c>
      <c r="E54" t="s">
        <v>23</v>
      </c>
      <c r="F54" s="4">
        <v>157476.19</v>
      </c>
      <c r="G54" t="str">
        <f t="shared" si="3"/>
        <v>Midum Income</v>
      </c>
      <c r="H54">
        <v>277287.81</v>
      </c>
      <c r="I54">
        <v>653</v>
      </c>
      <c r="J54" t="s">
        <v>41</v>
      </c>
      <c r="K54" t="s">
        <v>24</v>
      </c>
      <c r="L54">
        <v>-49517.14</v>
      </c>
      <c r="M54">
        <v>225471.43</v>
      </c>
      <c r="N54" t="s">
        <v>28</v>
      </c>
      <c r="O54" s="7">
        <f t="shared" ca="1" si="0"/>
        <v>45775</v>
      </c>
      <c r="P54" s="7">
        <v>45682</v>
      </c>
      <c r="Q54">
        <v>1</v>
      </c>
      <c r="R54" t="str">
        <f t="shared" si="1"/>
        <v>Low Risk</v>
      </c>
      <c r="S54" t="str">
        <f t="shared" si="2"/>
        <v>Good</v>
      </c>
      <c r="T54" s="4">
        <f>Table1[[#This Row],[Deposit_Amount]]+Table1[[#This Row],[Withdrawal_Amount]]</f>
        <v>434764</v>
      </c>
      <c r="U54" t="s">
        <v>274</v>
      </c>
    </row>
    <row r="55" spans="1:21" x14ac:dyDescent="0.3">
      <c r="A55">
        <v>54</v>
      </c>
      <c r="B55" t="s">
        <v>82</v>
      </c>
      <c r="C55" t="s">
        <v>22</v>
      </c>
      <c r="D55">
        <v>34</v>
      </c>
      <c r="E55" t="s">
        <v>40</v>
      </c>
      <c r="F55" s="4">
        <v>44797.35</v>
      </c>
      <c r="G55" t="str">
        <f t="shared" si="3"/>
        <v>Low Income</v>
      </c>
      <c r="H55">
        <v>223579.51</v>
      </c>
      <c r="I55">
        <v>697</v>
      </c>
      <c r="J55" t="s">
        <v>18</v>
      </c>
      <c r="K55" t="s">
        <v>24</v>
      </c>
      <c r="L55">
        <v>3554.45</v>
      </c>
      <c r="M55">
        <v>244943.88</v>
      </c>
      <c r="N55" t="s">
        <v>20</v>
      </c>
      <c r="O55" s="7">
        <f t="shared" ca="1" si="0"/>
        <v>45947</v>
      </c>
      <c r="P55" s="7">
        <v>45882</v>
      </c>
      <c r="Q55">
        <v>1</v>
      </c>
      <c r="R55" t="str">
        <f t="shared" si="1"/>
        <v>Low Risk</v>
      </c>
      <c r="S55" t="str">
        <f t="shared" si="2"/>
        <v>Good</v>
      </c>
      <c r="T55" s="4">
        <f>Table1[[#This Row],[Deposit_Amount]]+Table1[[#This Row],[Withdrawal_Amount]]</f>
        <v>268376.86</v>
      </c>
      <c r="U55" t="s">
        <v>274</v>
      </c>
    </row>
    <row r="56" spans="1:21" x14ac:dyDescent="0.3">
      <c r="A56">
        <v>55</v>
      </c>
      <c r="B56" t="s">
        <v>83</v>
      </c>
      <c r="C56" t="s">
        <v>22</v>
      </c>
      <c r="D56">
        <v>36</v>
      </c>
      <c r="E56" t="s">
        <v>23</v>
      </c>
      <c r="F56" s="4">
        <v>464306.04</v>
      </c>
      <c r="G56" t="str">
        <f t="shared" si="3"/>
        <v>High Income</v>
      </c>
      <c r="H56">
        <v>246545.51</v>
      </c>
      <c r="I56">
        <v>402</v>
      </c>
      <c r="J56" t="s">
        <v>27</v>
      </c>
      <c r="K56" t="s">
        <v>59</v>
      </c>
      <c r="L56">
        <v>261156.53</v>
      </c>
      <c r="M56">
        <v>34272.550000000003</v>
      </c>
      <c r="N56" t="s">
        <v>28</v>
      </c>
      <c r="O56" s="7">
        <f t="shared" ca="1" si="0"/>
        <v>45791</v>
      </c>
      <c r="P56" s="7">
        <v>45889</v>
      </c>
      <c r="Q56">
        <v>1</v>
      </c>
      <c r="R56" t="str">
        <f t="shared" si="1"/>
        <v>Midum Risk</v>
      </c>
      <c r="S56" t="str">
        <f t="shared" si="2"/>
        <v xml:space="preserve">Midum </v>
      </c>
      <c r="T56" s="4">
        <f>Table1[[#This Row],[Deposit_Amount]]+Table1[[#This Row],[Withdrawal_Amount]]</f>
        <v>710851.55</v>
      </c>
      <c r="U56" t="s">
        <v>274</v>
      </c>
    </row>
    <row r="57" spans="1:21" x14ac:dyDescent="0.3">
      <c r="A57">
        <v>56</v>
      </c>
      <c r="B57" t="s">
        <v>84</v>
      </c>
      <c r="C57" t="s">
        <v>16</v>
      </c>
      <c r="D57">
        <v>32</v>
      </c>
      <c r="E57" t="s">
        <v>17</v>
      </c>
      <c r="F57" s="4">
        <v>219528.94</v>
      </c>
      <c r="G57" t="str">
        <f t="shared" si="3"/>
        <v>High Income</v>
      </c>
      <c r="H57">
        <v>6473.7</v>
      </c>
      <c r="I57">
        <v>554</v>
      </c>
      <c r="J57" t="s">
        <v>38</v>
      </c>
      <c r="K57" t="s">
        <v>42</v>
      </c>
      <c r="L57">
        <v>371440.7</v>
      </c>
      <c r="M57">
        <v>174409.48</v>
      </c>
      <c r="N57" t="s">
        <v>20</v>
      </c>
      <c r="O57" s="7">
        <f t="shared" ca="1" si="0"/>
        <v>46015</v>
      </c>
      <c r="P57" s="7">
        <v>45821</v>
      </c>
      <c r="Q57">
        <v>5</v>
      </c>
      <c r="R57" t="str">
        <f t="shared" si="1"/>
        <v>Midum Risk</v>
      </c>
      <c r="S57" t="str">
        <f t="shared" si="2"/>
        <v xml:space="preserve">Midum </v>
      </c>
      <c r="T57" s="4">
        <f>Table1[[#This Row],[Deposit_Amount]]+Table1[[#This Row],[Withdrawal_Amount]]</f>
        <v>226002.64</v>
      </c>
      <c r="U57" t="s">
        <v>274</v>
      </c>
    </row>
    <row r="58" spans="1:21" x14ac:dyDescent="0.3">
      <c r="A58">
        <v>57</v>
      </c>
      <c r="B58" t="s">
        <v>85</v>
      </c>
      <c r="C58" t="s">
        <v>16</v>
      </c>
      <c r="D58">
        <v>22</v>
      </c>
      <c r="E58" t="s">
        <v>44</v>
      </c>
      <c r="F58" s="4">
        <v>129374.61</v>
      </c>
      <c r="G58" t="str">
        <f t="shared" si="3"/>
        <v>Midum Income</v>
      </c>
      <c r="H58">
        <v>187652.21</v>
      </c>
      <c r="I58">
        <v>776</v>
      </c>
      <c r="J58" t="s">
        <v>27</v>
      </c>
      <c r="K58" t="s">
        <v>19</v>
      </c>
      <c r="L58">
        <v>11451.69</v>
      </c>
      <c r="M58">
        <v>227905.48</v>
      </c>
      <c r="N58" t="s">
        <v>28</v>
      </c>
      <c r="O58" s="7">
        <f t="shared" ca="1" si="0"/>
        <v>45884</v>
      </c>
      <c r="P58" s="7">
        <v>45886</v>
      </c>
      <c r="Q58">
        <v>2</v>
      </c>
      <c r="R58" t="str">
        <f t="shared" si="1"/>
        <v>Low Risk</v>
      </c>
      <c r="S58" t="str">
        <f t="shared" si="2"/>
        <v>Good</v>
      </c>
      <c r="T58" s="4">
        <f>Table1[[#This Row],[Deposit_Amount]]+Table1[[#This Row],[Withdrawal_Amount]]</f>
        <v>317026.82</v>
      </c>
      <c r="U58" t="s">
        <v>274</v>
      </c>
    </row>
    <row r="59" spans="1:21" x14ac:dyDescent="0.3">
      <c r="A59">
        <v>58</v>
      </c>
      <c r="B59" t="s">
        <v>65</v>
      </c>
      <c r="C59" t="s">
        <v>22</v>
      </c>
      <c r="D59">
        <v>30</v>
      </c>
      <c r="E59" t="s">
        <v>23</v>
      </c>
      <c r="F59" s="4">
        <v>302024.57</v>
      </c>
      <c r="G59" t="str">
        <f t="shared" si="3"/>
        <v>High Income</v>
      </c>
      <c r="H59">
        <v>234714.46</v>
      </c>
      <c r="I59">
        <v>885</v>
      </c>
      <c r="J59" t="s">
        <v>27</v>
      </c>
      <c r="K59" t="s">
        <v>19</v>
      </c>
      <c r="L59">
        <v>85367.99</v>
      </c>
      <c r="M59">
        <v>140816.06</v>
      </c>
      <c r="N59" t="s">
        <v>25</v>
      </c>
      <c r="O59" s="7">
        <f t="shared" ca="1" si="0"/>
        <v>45991</v>
      </c>
      <c r="P59" s="7">
        <v>45992</v>
      </c>
      <c r="Q59">
        <v>3</v>
      </c>
      <c r="R59" t="str">
        <f t="shared" si="1"/>
        <v>Low Risk</v>
      </c>
      <c r="S59" t="str">
        <f t="shared" si="2"/>
        <v>Good</v>
      </c>
      <c r="T59" s="4">
        <f>Table1[[#This Row],[Deposit_Amount]]+Table1[[#This Row],[Withdrawal_Amount]]</f>
        <v>536739.03</v>
      </c>
      <c r="U59" t="s">
        <v>274</v>
      </c>
    </row>
    <row r="60" spans="1:21" x14ac:dyDescent="0.3">
      <c r="A60">
        <v>59</v>
      </c>
      <c r="B60" t="s">
        <v>77</v>
      </c>
      <c r="C60" t="s">
        <v>22</v>
      </c>
      <c r="D60">
        <v>62</v>
      </c>
      <c r="E60" t="s">
        <v>44</v>
      </c>
      <c r="F60" s="4">
        <v>497877.4</v>
      </c>
      <c r="G60" t="str">
        <f t="shared" si="3"/>
        <v>High Income</v>
      </c>
      <c r="H60">
        <v>178382.38</v>
      </c>
      <c r="I60">
        <v>596</v>
      </c>
      <c r="J60" t="s">
        <v>32</v>
      </c>
      <c r="K60" t="s">
        <v>36</v>
      </c>
      <c r="L60">
        <v>517811.35</v>
      </c>
      <c r="M60">
        <v>92210.17</v>
      </c>
      <c r="N60" t="s">
        <v>20</v>
      </c>
      <c r="O60" s="7">
        <f t="shared" ca="1" si="0"/>
        <v>45708</v>
      </c>
      <c r="P60" s="7">
        <v>46004</v>
      </c>
      <c r="Q60">
        <v>1</v>
      </c>
      <c r="R60" t="str">
        <f t="shared" si="1"/>
        <v>Midum Risk</v>
      </c>
      <c r="S60" t="str">
        <f t="shared" si="2"/>
        <v xml:space="preserve">Midum </v>
      </c>
      <c r="T60" s="4">
        <f>Table1[[#This Row],[Deposit_Amount]]+Table1[[#This Row],[Withdrawal_Amount]]</f>
        <v>676259.78</v>
      </c>
      <c r="U60" t="s">
        <v>274</v>
      </c>
    </row>
    <row r="61" spans="1:21" x14ac:dyDescent="0.3">
      <c r="A61">
        <v>60</v>
      </c>
      <c r="B61" t="s">
        <v>86</v>
      </c>
      <c r="C61" t="s">
        <v>22</v>
      </c>
      <c r="D61">
        <v>38</v>
      </c>
      <c r="E61" t="s">
        <v>40</v>
      </c>
      <c r="F61" s="4">
        <v>105361.7</v>
      </c>
      <c r="G61" t="str">
        <f t="shared" si="3"/>
        <v>Midum Income</v>
      </c>
      <c r="H61">
        <v>73482.33</v>
      </c>
      <c r="I61">
        <v>607</v>
      </c>
      <c r="J61" t="s">
        <v>41</v>
      </c>
      <c r="K61" t="s">
        <v>42</v>
      </c>
      <c r="L61">
        <v>217976.68</v>
      </c>
      <c r="M61">
        <v>197162.33</v>
      </c>
      <c r="N61" t="s">
        <v>20</v>
      </c>
      <c r="O61" s="7">
        <f t="shared" ca="1" si="0"/>
        <v>45811</v>
      </c>
      <c r="P61" s="7">
        <v>45719</v>
      </c>
      <c r="Q61">
        <v>3</v>
      </c>
      <c r="R61" t="str">
        <f t="shared" si="1"/>
        <v>Low Risk</v>
      </c>
      <c r="S61" t="str">
        <f t="shared" si="2"/>
        <v>Good</v>
      </c>
      <c r="T61" s="4">
        <f>Table1[[#This Row],[Deposit_Amount]]+Table1[[#This Row],[Withdrawal_Amount]]</f>
        <v>178844.03</v>
      </c>
      <c r="U61" t="s">
        <v>274</v>
      </c>
    </row>
    <row r="62" spans="1:21" x14ac:dyDescent="0.3">
      <c r="A62">
        <v>61</v>
      </c>
      <c r="B62" t="s">
        <v>26</v>
      </c>
      <c r="C62" t="s">
        <v>22</v>
      </c>
      <c r="D62">
        <v>53</v>
      </c>
      <c r="E62" t="s">
        <v>23</v>
      </c>
      <c r="F62" s="4">
        <v>18861</v>
      </c>
      <c r="G62" t="str">
        <f t="shared" si="3"/>
        <v>Low Income</v>
      </c>
      <c r="H62">
        <v>46696.55</v>
      </c>
      <c r="I62">
        <v>867</v>
      </c>
      <c r="J62" t="s">
        <v>32</v>
      </c>
      <c r="K62" t="s">
        <v>24</v>
      </c>
      <c r="L62">
        <v>-15605.42</v>
      </c>
      <c r="M62">
        <v>111583.07</v>
      </c>
      <c r="N62" t="s">
        <v>20</v>
      </c>
      <c r="O62" s="7">
        <f t="shared" ca="1" si="0"/>
        <v>45915</v>
      </c>
      <c r="P62" s="7">
        <v>45826</v>
      </c>
      <c r="Q62">
        <v>3</v>
      </c>
      <c r="R62" t="str">
        <f t="shared" si="1"/>
        <v>Low Risk</v>
      </c>
      <c r="S62" t="str">
        <f t="shared" si="2"/>
        <v>Good</v>
      </c>
      <c r="T62" s="4">
        <f>Table1[[#This Row],[Deposit_Amount]]+Table1[[#This Row],[Withdrawal_Amount]]</f>
        <v>65557.55</v>
      </c>
      <c r="U62" t="s">
        <v>274</v>
      </c>
    </row>
    <row r="63" spans="1:21" x14ac:dyDescent="0.3">
      <c r="A63">
        <v>62</v>
      </c>
      <c r="B63" t="s">
        <v>87</v>
      </c>
      <c r="C63" t="s">
        <v>16</v>
      </c>
      <c r="D63">
        <v>39</v>
      </c>
      <c r="E63" t="s">
        <v>23</v>
      </c>
      <c r="F63" s="4">
        <v>282404.39</v>
      </c>
      <c r="G63" t="str">
        <f t="shared" si="3"/>
        <v>High Income</v>
      </c>
      <c r="H63">
        <v>258425.98</v>
      </c>
      <c r="I63">
        <v>827</v>
      </c>
      <c r="J63" t="s">
        <v>38</v>
      </c>
      <c r="K63" t="s">
        <v>19</v>
      </c>
      <c r="L63">
        <v>86012.25</v>
      </c>
      <c r="M63">
        <v>249584.32</v>
      </c>
      <c r="N63" t="s">
        <v>20</v>
      </c>
      <c r="O63" s="7">
        <f t="shared" ca="1" si="0"/>
        <v>45749</v>
      </c>
      <c r="P63" s="7">
        <v>45959</v>
      </c>
      <c r="Q63">
        <v>3</v>
      </c>
      <c r="R63" t="str">
        <f t="shared" si="1"/>
        <v>Low Risk</v>
      </c>
      <c r="S63" t="str">
        <f t="shared" si="2"/>
        <v>Good</v>
      </c>
      <c r="T63" s="4">
        <f>Table1[[#This Row],[Deposit_Amount]]+Table1[[#This Row],[Withdrawal_Amount]]</f>
        <v>540830.37</v>
      </c>
      <c r="U63" t="s">
        <v>274</v>
      </c>
    </row>
    <row r="64" spans="1:21" x14ac:dyDescent="0.3">
      <c r="A64">
        <v>63</v>
      </c>
      <c r="B64" t="s">
        <v>88</v>
      </c>
      <c r="C64" t="s">
        <v>22</v>
      </c>
      <c r="D64">
        <v>20</v>
      </c>
      <c r="E64" t="s">
        <v>31</v>
      </c>
      <c r="F64" s="4">
        <v>413181.44</v>
      </c>
      <c r="G64" t="str">
        <f t="shared" si="3"/>
        <v>High Income</v>
      </c>
      <c r="H64">
        <v>226548.75</v>
      </c>
      <c r="I64">
        <v>601</v>
      </c>
      <c r="J64" t="s">
        <v>18</v>
      </c>
      <c r="K64" t="s">
        <v>42</v>
      </c>
      <c r="L64">
        <v>207530.29</v>
      </c>
      <c r="M64">
        <v>178199.88</v>
      </c>
      <c r="N64" t="s">
        <v>20</v>
      </c>
      <c r="O64" s="7">
        <f t="shared" ca="1" si="0"/>
        <v>45763</v>
      </c>
      <c r="P64" s="7">
        <v>45673</v>
      </c>
      <c r="Q64">
        <v>1</v>
      </c>
      <c r="R64" t="str">
        <f t="shared" si="1"/>
        <v>Low Risk</v>
      </c>
      <c r="S64" t="str">
        <f t="shared" si="2"/>
        <v>Good</v>
      </c>
      <c r="T64" s="4">
        <f>Table1[[#This Row],[Deposit_Amount]]+Table1[[#This Row],[Withdrawal_Amount]]</f>
        <v>639730.18999999994</v>
      </c>
      <c r="U64" t="s">
        <v>274</v>
      </c>
    </row>
    <row r="65" spans="1:21" x14ac:dyDescent="0.3">
      <c r="A65">
        <v>64</v>
      </c>
      <c r="B65" t="s">
        <v>89</v>
      </c>
      <c r="C65" t="s">
        <v>16</v>
      </c>
      <c r="D65">
        <v>45</v>
      </c>
      <c r="E65" t="s">
        <v>17</v>
      </c>
      <c r="F65" s="4">
        <v>212618.13</v>
      </c>
      <c r="G65" t="str">
        <f t="shared" si="3"/>
        <v>High Income</v>
      </c>
      <c r="H65">
        <v>95946.22</v>
      </c>
      <c r="I65">
        <v>809</v>
      </c>
      <c r="J65" t="s">
        <v>38</v>
      </c>
      <c r="K65" t="s">
        <v>19</v>
      </c>
      <c r="L65">
        <v>250425.66</v>
      </c>
      <c r="M65">
        <v>76196.92</v>
      </c>
      <c r="N65" t="s">
        <v>20</v>
      </c>
      <c r="O65" s="7">
        <f t="shared" ca="1" si="0"/>
        <v>45778</v>
      </c>
      <c r="P65" s="7">
        <v>45996</v>
      </c>
      <c r="Q65">
        <v>4</v>
      </c>
      <c r="R65" t="str">
        <f t="shared" si="1"/>
        <v>Low Risk</v>
      </c>
      <c r="S65" t="str">
        <f t="shared" si="2"/>
        <v>Good</v>
      </c>
      <c r="T65" s="4">
        <f>Table1[[#This Row],[Deposit_Amount]]+Table1[[#This Row],[Withdrawal_Amount]]</f>
        <v>308564.34999999998</v>
      </c>
      <c r="U65" t="s">
        <v>274</v>
      </c>
    </row>
    <row r="66" spans="1:21" x14ac:dyDescent="0.3">
      <c r="A66">
        <v>65</v>
      </c>
      <c r="B66" t="s">
        <v>82</v>
      </c>
      <c r="C66" t="s">
        <v>22</v>
      </c>
      <c r="D66">
        <v>61</v>
      </c>
      <c r="E66" t="s">
        <v>31</v>
      </c>
      <c r="F66" s="4">
        <v>491319.61</v>
      </c>
      <c r="G66" t="str">
        <f t="shared" ref="G66:G129" si="4">IF(F66&lt;=100000,"Low Income",IF(F66&lt;=200000,"Midum Income","High Income"))</f>
        <v>High Income</v>
      </c>
      <c r="H66">
        <v>239655.64</v>
      </c>
      <c r="I66">
        <v>562</v>
      </c>
      <c r="J66" t="s">
        <v>38</v>
      </c>
      <c r="K66" t="s">
        <v>42</v>
      </c>
      <c r="L66">
        <v>417867.43</v>
      </c>
      <c r="M66">
        <v>203494.78</v>
      </c>
      <c r="N66" t="s">
        <v>25</v>
      </c>
      <c r="O66" s="7">
        <f t="shared" ref="O66:O129" ca="1" si="5">RANDBETWEEN(DATE(2025,1,1),DATE(2025,12,31))</f>
        <v>45856</v>
      </c>
      <c r="P66" s="7">
        <v>45855</v>
      </c>
      <c r="Q66">
        <v>1</v>
      </c>
      <c r="R66" t="str">
        <f t="shared" ref="R66:R129" si="6">IF(I66&lt;=400,"High Risk",IF(I66&lt;=600,"Midum Risk","Low Risk"))</f>
        <v>Midum Risk</v>
      </c>
      <c r="S66" t="str">
        <f t="shared" ref="S66:S129" si="7">IF(I66&lt;=400,"Poor",IF(I66&lt;=600,"Midum ","Good"))</f>
        <v xml:space="preserve">Midum </v>
      </c>
      <c r="T66" s="4">
        <f>Table1[[#This Row],[Deposit_Amount]]+Table1[[#This Row],[Withdrawal_Amount]]</f>
        <v>730975.25</v>
      </c>
      <c r="U66" t="s">
        <v>274</v>
      </c>
    </row>
    <row r="67" spans="1:21" x14ac:dyDescent="0.3">
      <c r="A67">
        <v>66</v>
      </c>
      <c r="B67" t="s">
        <v>90</v>
      </c>
      <c r="C67" t="s">
        <v>16</v>
      </c>
      <c r="D67">
        <v>69</v>
      </c>
      <c r="E67" t="s">
        <v>31</v>
      </c>
      <c r="F67" s="4">
        <v>119497.24</v>
      </c>
      <c r="G67" t="str">
        <f t="shared" si="4"/>
        <v>Midum Income</v>
      </c>
      <c r="H67">
        <v>117525.75</v>
      </c>
      <c r="I67">
        <v>390</v>
      </c>
      <c r="J67" t="s">
        <v>41</v>
      </c>
      <c r="K67" t="s">
        <v>59</v>
      </c>
      <c r="L67">
        <v>46228.08</v>
      </c>
      <c r="M67">
        <v>130872.07</v>
      </c>
      <c r="N67" t="s">
        <v>20</v>
      </c>
      <c r="O67" s="7">
        <f t="shared" ca="1" si="5"/>
        <v>45821</v>
      </c>
      <c r="P67" s="7">
        <v>45717</v>
      </c>
      <c r="Q67">
        <v>5</v>
      </c>
      <c r="R67" t="str">
        <f t="shared" si="6"/>
        <v>High Risk</v>
      </c>
      <c r="S67" t="str">
        <f t="shared" si="7"/>
        <v>Poor</v>
      </c>
      <c r="T67" s="4">
        <f>Table1[[#This Row],[Deposit_Amount]]+Table1[[#This Row],[Withdrawal_Amount]]</f>
        <v>237022.99</v>
      </c>
      <c r="U67" t="s">
        <v>275</v>
      </c>
    </row>
    <row r="68" spans="1:21" x14ac:dyDescent="0.3">
      <c r="A68">
        <v>67</v>
      </c>
      <c r="B68" t="s">
        <v>91</v>
      </c>
      <c r="C68" t="s">
        <v>16</v>
      </c>
      <c r="D68">
        <v>54</v>
      </c>
      <c r="E68" t="s">
        <v>35</v>
      </c>
      <c r="F68" s="4">
        <v>441674.74</v>
      </c>
      <c r="G68" t="str">
        <f t="shared" si="4"/>
        <v>High Income</v>
      </c>
      <c r="H68">
        <v>88821.8</v>
      </c>
      <c r="I68">
        <v>651</v>
      </c>
      <c r="J68" t="s">
        <v>38</v>
      </c>
      <c r="K68" t="s">
        <v>36</v>
      </c>
      <c r="L68">
        <v>495356.01</v>
      </c>
      <c r="M68">
        <v>217499</v>
      </c>
      <c r="N68" t="s">
        <v>28</v>
      </c>
      <c r="O68" s="7">
        <f t="shared" ca="1" si="5"/>
        <v>45906</v>
      </c>
      <c r="P68" s="7">
        <v>45941</v>
      </c>
      <c r="Q68">
        <v>2</v>
      </c>
      <c r="R68" t="str">
        <f t="shared" si="6"/>
        <v>Low Risk</v>
      </c>
      <c r="S68" t="str">
        <f t="shared" si="7"/>
        <v>Good</v>
      </c>
      <c r="T68" s="4">
        <f>Table1[[#This Row],[Deposit_Amount]]+Table1[[#This Row],[Withdrawal_Amount]]</f>
        <v>530496.54</v>
      </c>
      <c r="U68" t="s">
        <v>274</v>
      </c>
    </row>
    <row r="69" spans="1:21" x14ac:dyDescent="0.3">
      <c r="A69">
        <v>68</v>
      </c>
      <c r="B69" t="s">
        <v>92</v>
      </c>
      <c r="C69" t="s">
        <v>16</v>
      </c>
      <c r="D69">
        <v>67</v>
      </c>
      <c r="E69" t="s">
        <v>23</v>
      </c>
      <c r="F69" s="4">
        <v>162314.06</v>
      </c>
      <c r="G69" t="str">
        <f t="shared" si="4"/>
        <v>Midum Income</v>
      </c>
      <c r="H69">
        <v>67727.850000000006</v>
      </c>
      <c r="I69">
        <v>312</v>
      </c>
      <c r="J69" t="s">
        <v>38</v>
      </c>
      <c r="K69" t="s">
        <v>36</v>
      </c>
      <c r="L69">
        <v>132796.45000000001</v>
      </c>
      <c r="M69">
        <v>119691.55</v>
      </c>
      <c r="N69" t="s">
        <v>28</v>
      </c>
      <c r="O69" s="7">
        <f t="shared" ca="1" si="5"/>
        <v>45697</v>
      </c>
      <c r="P69" s="7">
        <v>45818</v>
      </c>
      <c r="Q69">
        <v>5</v>
      </c>
      <c r="R69" t="str">
        <f t="shared" si="6"/>
        <v>High Risk</v>
      </c>
      <c r="S69" t="str">
        <f t="shared" si="7"/>
        <v>Poor</v>
      </c>
      <c r="T69" s="4">
        <f>Table1[[#This Row],[Deposit_Amount]]+Table1[[#This Row],[Withdrawal_Amount]]</f>
        <v>230041.91</v>
      </c>
      <c r="U69" t="s">
        <v>274</v>
      </c>
    </row>
    <row r="70" spans="1:21" x14ac:dyDescent="0.3">
      <c r="A70">
        <v>69</v>
      </c>
      <c r="B70" t="s">
        <v>93</v>
      </c>
      <c r="C70" t="s">
        <v>22</v>
      </c>
      <c r="D70">
        <v>49</v>
      </c>
      <c r="E70" t="s">
        <v>31</v>
      </c>
      <c r="F70" s="4">
        <v>183635.75</v>
      </c>
      <c r="G70" t="str">
        <f t="shared" si="4"/>
        <v>Midum Income</v>
      </c>
      <c r="H70">
        <v>167243.54</v>
      </c>
      <c r="I70">
        <v>440</v>
      </c>
      <c r="J70" t="s">
        <v>38</v>
      </c>
      <c r="K70" t="s">
        <v>42</v>
      </c>
      <c r="L70">
        <v>202629.31</v>
      </c>
      <c r="M70">
        <v>41642.93</v>
      </c>
      <c r="N70" t="s">
        <v>25</v>
      </c>
      <c r="O70" s="7">
        <f t="shared" ca="1" si="5"/>
        <v>46009</v>
      </c>
      <c r="P70" s="7">
        <v>45661</v>
      </c>
      <c r="Q70">
        <v>1</v>
      </c>
      <c r="R70" t="str">
        <f t="shared" si="6"/>
        <v>Midum Risk</v>
      </c>
      <c r="S70" t="str">
        <f t="shared" si="7"/>
        <v xml:space="preserve">Midum </v>
      </c>
      <c r="T70" s="4">
        <f>Table1[[#This Row],[Deposit_Amount]]+Table1[[#This Row],[Withdrawal_Amount]]</f>
        <v>350879.29000000004</v>
      </c>
      <c r="U70" t="s">
        <v>274</v>
      </c>
    </row>
    <row r="71" spans="1:21" x14ac:dyDescent="0.3">
      <c r="A71">
        <v>70</v>
      </c>
      <c r="B71" t="s">
        <v>94</v>
      </c>
      <c r="C71" t="s">
        <v>16</v>
      </c>
      <c r="D71">
        <v>42</v>
      </c>
      <c r="E71" t="s">
        <v>23</v>
      </c>
      <c r="F71" s="4">
        <v>101078.65</v>
      </c>
      <c r="G71" t="str">
        <f t="shared" si="4"/>
        <v>Midum Income</v>
      </c>
      <c r="H71">
        <v>63820.959999999999</v>
      </c>
      <c r="I71">
        <v>821</v>
      </c>
      <c r="J71" t="s">
        <v>41</v>
      </c>
      <c r="K71" t="s">
        <v>24</v>
      </c>
      <c r="L71">
        <v>153523.69</v>
      </c>
      <c r="M71">
        <v>236047.35999999999</v>
      </c>
      <c r="N71" t="s">
        <v>28</v>
      </c>
      <c r="O71" s="7">
        <f t="shared" ca="1" si="5"/>
        <v>45844</v>
      </c>
      <c r="P71" s="7">
        <v>45668</v>
      </c>
      <c r="Q71">
        <v>1</v>
      </c>
      <c r="R71" t="str">
        <f t="shared" si="6"/>
        <v>Low Risk</v>
      </c>
      <c r="S71" t="str">
        <f t="shared" si="7"/>
        <v>Good</v>
      </c>
      <c r="T71" s="4">
        <f>Table1[[#This Row],[Deposit_Amount]]+Table1[[#This Row],[Withdrawal_Amount]]</f>
        <v>164899.60999999999</v>
      </c>
      <c r="U71" t="s">
        <v>274</v>
      </c>
    </row>
    <row r="72" spans="1:21" x14ac:dyDescent="0.3">
      <c r="A72">
        <v>71</v>
      </c>
      <c r="B72" t="s">
        <v>95</v>
      </c>
      <c r="C72" t="s">
        <v>16</v>
      </c>
      <c r="D72">
        <v>59</v>
      </c>
      <c r="E72" t="s">
        <v>35</v>
      </c>
      <c r="F72" s="4">
        <v>222097.97</v>
      </c>
      <c r="G72" t="str">
        <f t="shared" si="4"/>
        <v>High Income</v>
      </c>
      <c r="H72">
        <v>161669.17000000001</v>
      </c>
      <c r="I72">
        <v>884</v>
      </c>
      <c r="J72" t="s">
        <v>38</v>
      </c>
      <c r="K72" t="s">
        <v>24</v>
      </c>
      <c r="L72">
        <v>138071.09</v>
      </c>
      <c r="M72">
        <v>39301.199999999997</v>
      </c>
      <c r="N72" t="s">
        <v>25</v>
      </c>
      <c r="O72" s="7">
        <f t="shared" ca="1" si="5"/>
        <v>45757</v>
      </c>
      <c r="P72" s="7">
        <v>45712</v>
      </c>
      <c r="Q72">
        <v>2</v>
      </c>
      <c r="R72" t="str">
        <f t="shared" si="6"/>
        <v>Low Risk</v>
      </c>
      <c r="S72" t="str">
        <f t="shared" si="7"/>
        <v>Good</v>
      </c>
      <c r="T72" s="4">
        <f>Table1[[#This Row],[Deposit_Amount]]+Table1[[#This Row],[Withdrawal_Amount]]</f>
        <v>383767.14</v>
      </c>
      <c r="U72" t="s">
        <v>274</v>
      </c>
    </row>
    <row r="73" spans="1:21" x14ac:dyDescent="0.3">
      <c r="A73">
        <v>72</v>
      </c>
      <c r="B73" t="s">
        <v>96</v>
      </c>
      <c r="C73" t="s">
        <v>22</v>
      </c>
      <c r="D73">
        <v>18</v>
      </c>
      <c r="E73" t="s">
        <v>23</v>
      </c>
      <c r="F73" s="4">
        <v>366175.3</v>
      </c>
      <c r="G73" t="str">
        <f t="shared" si="4"/>
        <v>High Income</v>
      </c>
      <c r="H73">
        <v>191687.06</v>
      </c>
      <c r="I73">
        <v>355</v>
      </c>
      <c r="J73" t="s">
        <v>18</v>
      </c>
      <c r="K73" t="s">
        <v>42</v>
      </c>
      <c r="L73">
        <v>360021.29</v>
      </c>
      <c r="M73">
        <v>114482.05</v>
      </c>
      <c r="N73" t="s">
        <v>25</v>
      </c>
      <c r="O73" s="7">
        <f t="shared" ca="1" si="5"/>
        <v>45751</v>
      </c>
      <c r="P73" s="7">
        <v>45965</v>
      </c>
      <c r="Q73">
        <v>1</v>
      </c>
      <c r="R73" t="str">
        <f t="shared" si="6"/>
        <v>High Risk</v>
      </c>
      <c r="S73" t="str">
        <f t="shared" si="7"/>
        <v>Poor</v>
      </c>
      <c r="T73" s="4">
        <f>Table1[[#This Row],[Deposit_Amount]]+Table1[[#This Row],[Withdrawal_Amount]]</f>
        <v>557862.36</v>
      </c>
      <c r="U73" t="s">
        <v>274</v>
      </c>
    </row>
    <row r="74" spans="1:21" x14ac:dyDescent="0.3">
      <c r="A74">
        <v>73</v>
      </c>
      <c r="B74" t="s">
        <v>97</v>
      </c>
      <c r="C74" t="s">
        <v>22</v>
      </c>
      <c r="D74">
        <v>27</v>
      </c>
      <c r="E74" t="s">
        <v>31</v>
      </c>
      <c r="F74" s="4">
        <v>271000.13</v>
      </c>
      <c r="G74" t="str">
        <f t="shared" si="4"/>
        <v>High Income</v>
      </c>
      <c r="H74">
        <v>234449.06</v>
      </c>
      <c r="I74">
        <v>701</v>
      </c>
      <c r="J74" t="s">
        <v>27</v>
      </c>
      <c r="K74" t="s">
        <v>42</v>
      </c>
      <c r="L74">
        <v>200461.83</v>
      </c>
      <c r="M74">
        <v>61566.44</v>
      </c>
      <c r="N74" t="s">
        <v>20</v>
      </c>
      <c r="O74" s="7">
        <f t="shared" ca="1" si="5"/>
        <v>45773</v>
      </c>
      <c r="P74" s="7">
        <v>45850</v>
      </c>
      <c r="Q74">
        <v>1</v>
      </c>
      <c r="R74" t="str">
        <f t="shared" si="6"/>
        <v>Low Risk</v>
      </c>
      <c r="S74" t="str">
        <f t="shared" si="7"/>
        <v>Good</v>
      </c>
      <c r="T74" s="4">
        <f>Table1[[#This Row],[Deposit_Amount]]+Table1[[#This Row],[Withdrawal_Amount]]</f>
        <v>505449.19</v>
      </c>
      <c r="U74" t="s">
        <v>274</v>
      </c>
    </row>
    <row r="75" spans="1:21" x14ac:dyDescent="0.3">
      <c r="A75">
        <v>74</v>
      </c>
      <c r="B75" t="s">
        <v>15</v>
      </c>
      <c r="C75" t="s">
        <v>16</v>
      </c>
      <c r="D75">
        <v>34</v>
      </c>
      <c r="E75" t="s">
        <v>17</v>
      </c>
      <c r="F75" s="4">
        <v>12371.44</v>
      </c>
      <c r="G75" t="str">
        <f t="shared" si="4"/>
        <v>Low Income</v>
      </c>
      <c r="H75">
        <v>250411.27</v>
      </c>
      <c r="I75">
        <v>706</v>
      </c>
      <c r="J75" t="s">
        <v>32</v>
      </c>
      <c r="K75" t="s">
        <v>24</v>
      </c>
      <c r="L75">
        <v>-192680.28</v>
      </c>
      <c r="M75">
        <v>55547.44</v>
      </c>
      <c r="N75" t="s">
        <v>28</v>
      </c>
      <c r="O75" s="7">
        <f t="shared" ca="1" si="5"/>
        <v>45659</v>
      </c>
      <c r="P75" s="7">
        <v>45976</v>
      </c>
      <c r="Q75">
        <v>3</v>
      </c>
      <c r="R75" t="str">
        <f t="shared" si="6"/>
        <v>Low Risk</v>
      </c>
      <c r="S75" t="str">
        <f t="shared" si="7"/>
        <v>Good</v>
      </c>
      <c r="T75" s="4">
        <f>Table1[[#This Row],[Deposit_Amount]]+Table1[[#This Row],[Withdrawal_Amount]]</f>
        <v>262782.70999999996</v>
      </c>
      <c r="U75" t="s">
        <v>275</v>
      </c>
    </row>
    <row r="76" spans="1:21" x14ac:dyDescent="0.3">
      <c r="A76">
        <v>75</v>
      </c>
      <c r="B76" t="s">
        <v>98</v>
      </c>
      <c r="C76" t="s">
        <v>22</v>
      </c>
      <c r="D76">
        <v>19</v>
      </c>
      <c r="E76" t="s">
        <v>40</v>
      </c>
      <c r="F76" s="4">
        <v>454143.86</v>
      </c>
      <c r="G76" t="str">
        <f t="shared" si="4"/>
        <v>High Income</v>
      </c>
      <c r="H76">
        <v>191675.23</v>
      </c>
      <c r="I76">
        <v>722</v>
      </c>
      <c r="J76" t="s">
        <v>18</v>
      </c>
      <c r="K76" t="s">
        <v>59</v>
      </c>
      <c r="L76">
        <v>428247.19</v>
      </c>
      <c r="M76">
        <v>15547.98</v>
      </c>
      <c r="N76" t="s">
        <v>28</v>
      </c>
      <c r="O76" s="7">
        <f t="shared" ca="1" si="5"/>
        <v>45667</v>
      </c>
      <c r="P76" s="7">
        <v>45752</v>
      </c>
      <c r="Q76">
        <v>4</v>
      </c>
      <c r="R76" t="str">
        <f t="shared" si="6"/>
        <v>Low Risk</v>
      </c>
      <c r="S76" t="str">
        <f t="shared" si="7"/>
        <v>Good</v>
      </c>
      <c r="T76" s="4">
        <f>Table1[[#This Row],[Deposit_Amount]]+Table1[[#This Row],[Withdrawal_Amount]]</f>
        <v>645819.09</v>
      </c>
      <c r="U76" t="s">
        <v>274</v>
      </c>
    </row>
    <row r="77" spans="1:21" x14ac:dyDescent="0.3">
      <c r="A77">
        <v>76</v>
      </c>
      <c r="B77" t="s">
        <v>99</v>
      </c>
      <c r="C77" t="s">
        <v>16</v>
      </c>
      <c r="D77">
        <v>67</v>
      </c>
      <c r="E77" t="s">
        <v>35</v>
      </c>
      <c r="F77" s="4">
        <v>185761.33</v>
      </c>
      <c r="G77" t="str">
        <f t="shared" si="4"/>
        <v>Midum Income</v>
      </c>
      <c r="H77">
        <v>264304.48</v>
      </c>
      <c r="I77">
        <v>470</v>
      </c>
      <c r="J77" t="s">
        <v>27</v>
      </c>
      <c r="K77" t="s">
        <v>42</v>
      </c>
      <c r="L77">
        <v>-24080.22</v>
      </c>
      <c r="M77">
        <v>208166.23</v>
      </c>
      <c r="N77" t="s">
        <v>28</v>
      </c>
      <c r="O77" s="7">
        <f t="shared" ca="1" si="5"/>
        <v>45816</v>
      </c>
      <c r="P77" s="7">
        <v>45972</v>
      </c>
      <c r="Q77">
        <v>3</v>
      </c>
      <c r="R77" t="str">
        <f t="shared" si="6"/>
        <v>Midum Risk</v>
      </c>
      <c r="S77" t="str">
        <f t="shared" si="7"/>
        <v xml:space="preserve">Midum </v>
      </c>
      <c r="T77" s="4">
        <f>Table1[[#This Row],[Deposit_Amount]]+Table1[[#This Row],[Withdrawal_Amount]]</f>
        <v>450065.80999999994</v>
      </c>
      <c r="U77" t="s">
        <v>274</v>
      </c>
    </row>
    <row r="78" spans="1:21" x14ac:dyDescent="0.3">
      <c r="A78">
        <v>77</v>
      </c>
      <c r="B78" t="s">
        <v>100</v>
      </c>
      <c r="C78" t="s">
        <v>16</v>
      </c>
      <c r="D78">
        <v>26</v>
      </c>
      <c r="E78" t="s">
        <v>23</v>
      </c>
      <c r="F78" s="4">
        <v>495138.68</v>
      </c>
      <c r="G78" t="str">
        <f t="shared" si="4"/>
        <v>High Income</v>
      </c>
      <c r="H78">
        <v>66594.33</v>
      </c>
      <c r="I78">
        <v>397</v>
      </c>
      <c r="J78" t="s">
        <v>32</v>
      </c>
      <c r="K78" t="s">
        <v>19</v>
      </c>
      <c r="L78">
        <v>561508.30000000005</v>
      </c>
      <c r="M78">
        <v>148073.03</v>
      </c>
      <c r="N78" t="s">
        <v>25</v>
      </c>
      <c r="O78" s="7">
        <f t="shared" ca="1" si="5"/>
        <v>45839</v>
      </c>
      <c r="P78" s="7">
        <v>45969</v>
      </c>
      <c r="Q78">
        <v>1</v>
      </c>
      <c r="R78" t="str">
        <f t="shared" si="6"/>
        <v>High Risk</v>
      </c>
      <c r="S78" t="str">
        <f t="shared" si="7"/>
        <v>Poor</v>
      </c>
      <c r="T78" s="4">
        <f>Table1[[#This Row],[Deposit_Amount]]+Table1[[#This Row],[Withdrawal_Amount]]</f>
        <v>561733.01</v>
      </c>
      <c r="U78" t="s">
        <v>274</v>
      </c>
    </row>
    <row r="79" spans="1:21" x14ac:dyDescent="0.3">
      <c r="A79">
        <v>78</v>
      </c>
      <c r="B79" t="s">
        <v>101</v>
      </c>
      <c r="C79" t="s">
        <v>22</v>
      </c>
      <c r="D79">
        <v>29</v>
      </c>
      <c r="E79" t="s">
        <v>17</v>
      </c>
      <c r="F79" s="4">
        <v>421379.25</v>
      </c>
      <c r="G79" t="str">
        <f t="shared" si="4"/>
        <v>High Income</v>
      </c>
      <c r="H79">
        <v>201476.28</v>
      </c>
      <c r="I79">
        <v>421</v>
      </c>
      <c r="J79" t="s">
        <v>38</v>
      </c>
      <c r="K79" t="s">
        <v>19</v>
      </c>
      <c r="L79">
        <v>400908.68</v>
      </c>
      <c r="M79">
        <v>174521.64</v>
      </c>
      <c r="N79" t="s">
        <v>28</v>
      </c>
      <c r="O79" s="7">
        <f t="shared" ca="1" si="5"/>
        <v>45959</v>
      </c>
      <c r="P79" s="7">
        <v>45851</v>
      </c>
      <c r="Q79">
        <v>3</v>
      </c>
      <c r="R79" t="str">
        <f t="shared" si="6"/>
        <v>Midum Risk</v>
      </c>
      <c r="S79" t="str">
        <f t="shared" si="7"/>
        <v xml:space="preserve">Midum </v>
      </c>
      <c r="T79" s="4">
        <f>Table1[[#This Row],[Deposit_Amount]]+Table1[[#This Row],[Withdrawal_Amount]]</f>
        <v>622855.53</v>
      </c>
      <c r="U79" t="s">
        <v>274</v>
      </c>
    </row>
    <row r="80" spans="1:21" x14ac:dyDescent="0.3">
      <c r="A80">
        <v>79</v>
      </c>
      <c r="B80" t="s">
        <v>102</v>
      </c>
      <c r="C80" t="s">
        <v>22</v>
      </c>
      <c r="D80">
        <v>49</v>
      </c>
      <c r="E80" t="s">
        <v>31</v>
      </c>
      <c r="F80" s="4">
        <v>40043.11</v>
      </c>
      <c r="G80" t="str">
        <f t="shared" si="4"/>
        <v>Low Income</v>
      </c>
      <c r="H80">
        <v>107759.02</v>
      </c>
      <c r="I80">
        <v>796</v>
      </c>
      <c r="J80" t="s">
        <v>32</v>
      </c>
      <c r="K80" t="s">
        <v>59</v>
      </c>
      <c r="L80">
        <v>93332.58</v>
      </c>
      <c r="M80">
        <v>213823.01</v>
      </c>
      <c r="N80" t="s">
        <v>28</v>
      </c>
      <c r="O80" s="7">
        <f t="shared" ca="1" si="5"/>
        <v>45753</v>
      </c>
      <c r="P80" s="7">
        <v>45777</v>
      </c>
      <c r="Q80">
        <v>4</v>
      </c>
      <c r="R80" t="str">
        <f t="shared" si="6"/>
        <v>Low Risk</v>
      </c>
      <c r="S80" t="str">
        <f t="shared" si="7"/>
        <v>Good</v>
      </c>
      <c r="T80" s="4">
        <f>Table1[[#This Row],[Deposit_Amount]]+Table1[[#This Row],[Withdrawal_Amount]]</f>
        <v>147802.13</v>
      </c>
      <c r="U80" t="s">
        <v>274</v>
      </c>
    </row>
    <row r="81" spans="1:21" x14ac:dyDescent="0.3">
      <c r="A81">
        <v>80</v>
      </c>
      <c r="B81" t="s">
        <v>21</v>
      </c>
      <c r="C81" t="s">
        <v>22</v>
      </c>
      <c r="D81">
        <v>34</v>
      </c>
      <c r="E81" t="s">
        <v>23</v>
      </c>
      <c r="F81" s="4">
        <v>216150.71</v>
      </c>
      <c r="G81" t="str">
        <f t="shared" si="4"/>
        <v>High Income</v>
      </c>
      <c r="H81">
        <v>55531.33</v>
      </c>
      <c r="I81">
        <v>581</v>
      </c>
      <c r="J81" t="s">
        <v>32</v>
      </c>
      <c r="K81" t="s">
        <v>24</v>
      </c>
      <c r="L81">
        <v>348838.86</v>
      </c>
      <c r="M81">
        <v>222918.46</v>
      </c>
      <c r="N81" t="s">
        <v>28</v>
      </c>
      <c r="O81" s="7">
        <f t="shared" ca="1" si="5"/>
        <v>45733</v>
      </c>
      <c r="P81" s="7">
        <v>45931</v>
      </c>
      <c r="Q81">
        <v>3</v>
      </c>
      <c r="R81" t="str">
        <f t="shared" si="6"/>
        <v>Midum Risk</v>
      </c>
      <c r="S81" t="str">
        <f t="shared" si="7"/>
        <v xml:space="preserve">Midum </v>
      </c>
      <c r="T81" s="4">
        <f>Table1[[#This Row],[Deposit_Amount]]+Table1[[#This Row],[Withdrawal_Amount]]</f>
        <v>271682.03999999998</v>
      </c>
      <c r="U81" t="s">
        <v>275</v>
      </c>
    </row>
    <row r="82" spans="1:21" x14ac:dyDescent="0.3">
      <c r="A82">
        <v>81</v>
      </c>
      <c r="B82" t="s">
        <v>103</v>
      </c>
      <c r="C82" t="s">
        <v>22</v>
      </c>
      <c r="D82">
        <v>45</v>
      </c>
      <c r="E82" t="s">
        <v>40</v>
      </c>
      <c r="F82" s="4">
        <v>53296.45</v>
      </c>
      <c r="G82" t="str">
        <f t="shared" si="4"/>
        <v>Low Income</v>
      </c>
      <c r="H82">
        <v>163827.03</v>
      </c>
      <c r="I82">
        <v>782</v>
      </c>
      <c r="J82" t="s">
        <v>27</v>
      </c>
      <c r="K82" t="s">
        <v>24</v>
      </c>
      <c r="L82">
        <v>-102818.81</v>
      </c>
      <c r="M82">
        <v>165084.93</v>
      </c>
      <c r="N82" t="s">
        <v>20</v>
      </c>
      <c r="O82" s="7">
        <f t="shared" ca="1" si="5"/>
        <v>45702</v>
      </c>
      <c r="P82" s="7">
        <v>45882</v>
      </c>
      <c r="Q82">
        <v>5</v>
      </c>
      <c r="R82" t="str">
        <f t="shared" si="6"/>
        <v>Low Risk</v>
      </c>
      <c r="S82" t="str">
        <f t="shared" si="7"/>
        <v>Good</v>
      </c>
      <c r="T82" s="4">
        <f>Table1[[#This Row],[Deposit_Amount]]+Table1[[#This Row],[Withdrawal_Amount]]</f>
        <v>217123.47999999998</v>
      </c>
      <c r="U82" t="s">
        <v>275</v>
      </c>
    </row>
    <row r="83" spans="1:21" x14ac:dyDescent="0.3">
      <c r="A83">
        <v>82</v>
      </c>
      <c r="B83" t="s">
        <v>104</v>
      </c>
      <c r="C83" t="s">
        <v>22</v>
      </c>
      <c r="D83">
        <v>48</v>
      </c>
      <c r="E83" t="s">
        <v>23</v>
      </c>
      <c r="F83" s="4">
        <v>477023.64</v>
      </c>
      <c r="G83" t="str">
        <f t="shared" si="4"/>
        <v>High Income</v>
      </c>
      <c r="H83">
        <v>226114.43</v>
      </c>
      <c r="I83">
        <v>860</v>
      </c>
      <c r="J83" t="s">
        <v>18</v>
      </c>
      <c r="K83" t="s">
        <v>59</v>
      </c>
      <c r="L83">
        <v>318973.49</v>
      </c>
      <c r="M83">
        <v>186861.64</v>
      </c>
      <c r="N83" t="s">
        <v>20</v>
      </c>
      <c r="O83" s="7">
        <f t="shared" ca="1" si="5"/>
        <v>45794</v>
      </c>
      <c r="P83" s="7">
        <v>45795</v>
      </c>
      <c r="Q83">
        <v>4</v>
      </c>
      <c r="R83" t="str">
        <f t="shared" si="6"/>
        <v>Low Risk</v>
      </c>
      <c r="S83" t="str">
        <f t="shared" si="7"/>
        <v>Good</v>
      </c>
      <c r="T83" s="4">
        <f>Table1[[#This Row],[Deposit_Amount]]+Table1[[#This Row],[Withdrawal_Amount]]</f>
        <v>703138.07000000007</v>
      </c>
      <c r="U83" t="s">
        <v>274</v>
      </c>
    </row>
    <row r="84" spans="1:21" x14ac:dyDescent="0.3">
      <c r="A84">
        <v>83</v>
      </c>
      <c r="B84" t="s">
        <v>105</v>
      </c>
      <c r="C84" t="s">
        <v>22</v>
      </c>
      <c r="D84">
        <v>35</v>
      </c>
      <c r="E84" t="s">
        <v>23</v>
      </c>
      <c r="F84" s="4">
        <v>293134.31</v>
      </c>
      <c r="G84" t="str">
        <f t="shared" si="4"/>
        <v>High Income</v>
      </c>
      <c r="H84">
        <v>297012.73</v>
      </c>
      <c r="I84">
        <v>802</v>
      </c>
      <c r="J84" t="s">
        <v>32</v>
      </c>
      <c r="K84" t="s">
        <v>42</v>
      </c>
      <c r="L84">
        <v>123025.98</v>
      </c>
      <c r="M84">
        <v>54906.36</v>
      </c>
      <c r="N84" t="s">
        <v>28</v>
      </c>
      <c r="O84" s="7">
        <f t="shared" ca="1" si="5"/>
        <v>46007</v>
      </c>
      <c r="P84" s="7">
        <v>45995</v>
      </c>
      <c r="Q84">
        <v>4</v>
      </c>
      <c r="R84" t="str">
        <f t="shared" si="6"/>
        <v>Low Risk</v>
      </c>
      <c r="S84" t="str">
        <f t="shared" si="7"/>
        <v>Good</v>
      </c>
      <c r="T84" s="4">
        <f>Table1[[#This Row],[Deposit_Amount]]+Table1[[#This Row],[Withdrawal_Amount]]</f>
        <v>590147.04</v>
      </c>
      <c r="U84" t="s">
        <v>274</v>
      </c>
    </row>
    <row r="85" spans="1:21" x14ac:dyDescent="0.3">
      <c r="A85">
        <v>84</v>
      </c>
      <c r="B85" t="s">
        <v>106</v>
      </c>
      <c r="C85" t="s">
        <v>22</v>
      </c>
      <c r="D85">
        <v>41</v>
      </c>
      <c r="E85" t="s">
        <v>17</v>
      </c>
      <c r="F85" s="4">
        <v>147798.74</v>
      </c>
      <c r="G85" t="str">
        <f t="shared" si="4"/>
        <v>Midum Income</v>
      </c>
      <c r="H85">
        <v>90174.93</v>
      </c>
      <c r="I85">
        <v>341</v>
      </c>
      <c r="J85" t="s">
        <v>32</v>
      </c>
      <c r="K85" t="s">
        <v>24</v>
      </c>
      <c r="L85">
        <v>224423.72</v>
      </c>
      <c r="M85">
        <v>67851.509999999995</v>
      </c>
      <c r="N85" t="s">
        <v>28</v>
      </c>
      <c r="O85" s="7">
        <f t="shared" ca="1" si="5"/>
        <v>45825</v>
      </c>
      <c r="P85" s="7">
        <v>45792</v>
      </c>
      <c r="Q85">
        <v>3</v>
      </c>
      <c r="R85" t="str">
        <f t="shared" si="6"/>
        <v>High Risk</v>
      </c>
      <c r="S85" t="str">
        <f t="shared" si="7"/>
        <v>Poor</v>
      </c>
      <c r="T85" s="4">
        <f>Table1[[#This Row],[Deposit_Amount]]+Table1[[#This Row],[Withdrawal_Amount]]</f>
        <v>237973.66999999998</v>
      </c>
      <c r="U85" t="s">
        <v>274</v>
      </c>
    </row>
    <row r="86" spans="1:21" x14ac:dyDescent="0.3">
      <c r="A86">
        <v>85</v>
      </c>
      <c r="B86" t="s">
        <v>26</v>
      </c>
      <c r="C86" t="s">
        <v>22</v>
      </c>
      <c r="D86">
        <v>70</v>
      </c>
      <c r="E86" t="s">
        <v>17</v>
      </c>
      <c r="F86" s="4">
        <v>433685.09</v>
      </c>
      <c r="G86" t="str">
        <f t="shared" si="4"/>
        <v>High Income</v>
      </c>
      <c r="H86">
        <v>298858.90000000002</v>
      </c>
      <c r="I86">
        <v>370</v>
      </c>
      <c r="J86" t="s">
        <v>38</v>
      </c>
      <c r="K86" t="s">
        <v>36</v>
      </c>
      <c r="L86">
        <v>308876.81</v>
      </c>
      <c r="M86">
        <v>215597.22</v>
      </c>
      <c r="N86" t="s">
        <v>28</v>
      </c>
      <c r="O86" s="7">
        <f t="shared" ca="1" si="5"/>
        <v>45875</v>
      </c>
      <c r="P86" s="7">
        <v>45864</v>
      </c>
      <c r="Q86">
        <v>4</v>
      </c>
      <c r="R86" t="str">
        <f t="shared" si="6"/>
        <v>High Risk</v>
      </c>
      <c r="S86" t="str">
        <f t="shared" si="7"/>
        <v>Poor</v>
      </c>
      <c r="T86" s="4">
        <f>Table1[[#This Row],[Deposit_Amount]]+Table1[[#This Row],[Withdrawal_Amount]]</f>
        <v>732543.99</v>
      </c>
      <c r="U86" t="s">
        <v>274</v>
      </c>
    </row>
    <row r="87" spans="1:21" x14ac:dyDescent="0.3">
      <c r="A87">
        <v>86</v>
      </c>
      <c r="B87" t="s">
        <v>107</v>
      </c>
      <c r="C87" t="s">
        <v>16</v>
      </c>
      <c r="D87">
        <v>49</v>
      </c>
      <c r="E87" t="s">
        <v>44</v>
      </c>
      <c r="F87" s="4">
        <v>328384.40999999997</v>
      </c>
      <c r="G87" t="str">
        <f t="shared" si="4"/>
        <v>High Income</v>
      </c>
      <c r="H87">
        <v>275278.64</v>
      </c>
      <c r="I87">
        <v>502</v>
      </c>
      <c r="J87" t="s">
        <v>27</v>
      </c>
      <c r="K87" t="s">
        <v>59</v>
      </c>
      <c r="L87">
        <v>240552.6</v>
      </c>
      <c r="M87">
        <v>71112.990000000005</v>
      </c>
      <c r="N87" t="s">
        <v>25</v>
      </c>
      <c r="O87" s="7">
        <f t="shared" ca="1" si="5"/>
        <v>45972</v>
      </c>
      <c r="P87" s="7">
        <v>45841</v>
      </c>
      <c r="Q87">
        <v>2</v>
      </c>
      <c r="R87" t="str">
        <f t="shared" si="6"/>
        <v>Midum Risk</v>
      </c>
      <c r="S87" t="str">
        <f t="shared" si="7"/>
        <v xml:space="preserve">Midum </v>
      </c>
      <c r="T87" s="4">
        <f>Table1[[#This Row],[Deposit_Amount]]+Table1[[#This Row],[Withdrawal_Amount]]</f>
        <v>603663.05000000005</v>
      </c>
      <c r="U87" t="s">
        <v>275</v>
      </c>
    </row>
    <row r="88" spans="1:21" x14ac:dyDescent="0.3">
      <c r="A88">
        <v>87</v>
      </c>
      <c r="B88" t="s">
        <v>77</v>
      </c>
      <c r="C88" t="s">
        <v>22</v>
      </c>
      <c r="D88">
        <v>70</v>
      </c>
      <c r="E88" t="s">
        <v>40</v>
      </c>
      <c r="F88" s="4">
        <v>291783.77</v>
      </c>
      <c r="G88" t="str">
        <f t="shared" si="4"/>
        <v>High Income</v>
      </c>
      <c r="H88">
        <v>102319.61</v>
      </c>
      <c r="I88">
        <v>862</v>
      </c>
      <c r="J88" t="s">
        <v>41</v>
      </c>
      <c r="K88" t="s">
        <v>24</v>
      </c>
      <c r="L88">
        <v>280366.38</v>
      </c>
      <c r="M88">
        <v>47031.91</v>
      </c>
      <c r="N88" t="s">
        <v>25</v>
      </c>
      <c r="O88" s="7">
        <f t="shared" ca="1" si="5"/>
        <v>45864</v>
      </c>
      <c r="P88" s="7">
        <v>45855</v>
      </c>
      <c r="Q88">
        <v>1</v>
      </c>
      <c r="R88" t="str">
        <f t="shared" si="6"/>
        <v>Low Risk</v>
      </c>
      <c r="S88" t="str">
        <f t="shared" si="7"/>
        <v>Good</v>
      </c>
      <c r="T88" s="4">
        <f>Table1[[#This Row],[Deposit_Amount]]+Table1[[#This Row],[Withdrawal_Amount]]</f>
        <v>394103.38</v>
      </c>
      <c r="U88" t="s">
        <v>274</v>
      </c>
    </row>
    <row r="89" spans="1:21" x14ac:dyDescent="0.3">
      <c r="A89">
        <v>88</v>
      </c>
      <c r="B89" t="s">
        <v>108</v>
      </c>
      <c r="C89" t="s">
        <v>16</v>
      </c>
      <c r="D89">
        <v>42</v>
      </c>
      <c r="E89" t="s">
        <v>40</v>
      </c>
      <c r="F89" s="4">
        <v>343295.85</v>
      </c>
      <c r="G89" t="str">
        <f t="shared" si="4"/>
        <v>High Income</v>
      </c>
      <c r="H89">
        <v>122318.99</v>
      </c>
      <c r="I89">
        <v>836</v>
      </c>
      <c r="J89" t="s">
        <v>27</v>
      </c>
      <c r="K89" t="s">
        <v>59</v>
      </c>
      <c r="L89">
        <v>311147.33</v>
      </c>
      <c r="M89">
        <v>205068.28</v>
      </c>
      <c r="N89" t="s">
        <v>25</v>
      </c>
      <c r="O89" s="7">
        <f t="shared" ca="1" si="5"/>
        <v>45914</v>
      </c>
      <c r="P89" s="7">
        <v>45886</v>
      </c>
      <c r="Q89">
        <v>3</v>
      </c>
      <c r="R89" t="str">
        <f t="shared" si="6"/>
        <v>Low Risk</v>
      </c>
      <c r="S89" t="str">
        <f t="shared" si="7"/>
        <v>Good</v>
      </c>
      <c r="T89" s="4">
        <f>Table1[[#This Row],[Deposit_Amount]]+Table1[[#This Row],[Withdrawal_Amount]]</f>
        <v>465614.83999999997</v>
      </c>
      <c r="U89" t="s">
        <v>274</v>
      </c>
    </row>
    <row r="90" spans="1:21" x14ac:dyDescent="0.3">
      <c r="A90">
        <v>89</v>
      </c>
      <c r="B90" t="s">
        <v>37</v>
      </c>
      <c r="C90" t="s">
        <v>22</v>
      </c>
      <c r="D90">
        <v>51</v>
      </c>
      <c r="E90" t="s">
        <v>17</v>
      </c>
      <c r="F90" s="4">
        <v>431797.99</v>
      </c>
      <c r="G90" t="str">
        <f t="shared" si="4"/>
        <v>High Income</v>
      </c>
      <c r="H90">
        <v>286982.93</v>
      </c>
      <c r="I90">
        <v>742</v>
      </c>
      <c r="J90" t="s">
        <v>32</v>
      </c>
      <c r="K90" t="s">
        <v>24</v>
      </c>
      <c r="L90">
        <v>170822.27</v>
      </c>
      <c r="M90">
        <v>125428.97</v>
      </c>
      <c r="N90" t="s">
        <v>28</v>
      </c>
      <c r="O90" s="7">
        <f t="shared" ca="1" si="5"/>
        <v>45715</v>
      </c>
      <c r="P90" s="7">
        <v>45843</v>
      </c>
      <c r="Q90">
        <v>1</v>
      </c>
      <c r="R90" t="str">
        <f t="shared" si="6"/>
        <v>Low Risk</v>
      </c>
      <c r="S90" t="str">
        <f t="shared" si="7"/>
        <v>Good</v>
      </c>
      <c r="T90" s="4">
        <f>Table1[[#This Row],[Deposit_Amount]]+Table1[[#This Row],[Withdrawal_Amount]]</f>
        <v>718780.91999999993</v>
      </c>
      <c r="U90" t="s">
        <v>275</v>
      </c>
    </row>
    <row r="91" spans="1:21" x14ac:dyDescent="0.3">
      <c r="A91">
        <v>90</v>
      </c>
      <c r="B91" t="s">
        <v>58</v>
      </c>
      <c r="C91" t="s">
        <v>16</v>
      </c>
      <c r="D91">
        <v>58</v>
      </c>
      <c r="E91" t="s">
        <v>31</v>
      </c>
      <c r="F91" s="4">
        <v>327761.75</v>
      </c>
      <c r="G91" t="str">
        <f t="shared" si="4"/>
        <v>High Income</v>
      </c>
      <c r="H91">
        <v>151771.03</v>
      </c>
      <c r="I91">
        <v>321</v>
      </c>
      <c r="J91" t="s">
        <v>27</v>
      </c>
      <c r="K91" t="s">
        <v>24</v>
      </c>
      <c r="L91">
        <v>265807.08</v>
      </c>
      <c r="M91">
        <v>195689.15</v>
      </c>
      <c r="N91" t="s">
        <v>28</v>
      </c>
      <c r="O91" s="7">
        <f t="shared" ca="1" si="5"/>
        <v>45708</v>
      </c>
      <c r="P91" s="7">
        <v>45891</v>
      </c>
      <c r="Q91">
        <v>1</v>
      </c>
      <c r="R91" t="str">
        <f t="shared" si="6"/>
        <v>High Risk</v>
      </c>
      <c r="S91" t="str">
        <f t="shared" si="7"/>
        <v>Poor</v>
      </c>
      <c r="T91" s="4">
        <f>Table1[[#This Row],[Deposit_Amount]]+Table1[[#This Row],[Withdrawal_Amount]]</f>
        <v>479532.78</v>
      </c>
      <c r="U91" t="s">
        <v>274</v>
      </c>
    </row>
    <row r="92" spans="1:21" x14ac:dyDescent="0.3">
      <c r="A92">
        <v>91</v>
      </c>
      <c r="B92" t="s">
        <v>109</v>
      </c>
      <c r="C92" t="s">
        <v>22</v>
      </c>
      <c r="D92">
        <v>20</v>
      </c>
      <c r="E92" t="s">
        <v>35</v>
      </c>
      <c r="F92" s="4">
        <v>1570.28</v>
      </c>
      <c r="G92" t="str">
        <f t="shared" si="4"/>
        <v>Low Income</v>
      </c>
      <c r="H92">
        <v>47030.06</v>
      </c>
      <c r="I92">
        <v>363</v>
      </c>
      <c r="J92" t="s">
        <v>32</v>
      </c>
      <c r="K92" t="s">
        <v>36</v>
      </c>
      <c r="L92">
        <v>87738.75</v>
      </c>
      <c r="M92">
        <v>138635.46</v>
      </c>
      <c r="N92" t="s">
        <v>20</v>
      </c>
      <c r="O92" s="7">
        <f t="shared" ca="1" si="5"/>
        <v>45849</v>
      </c>
      <c r="P92" s="7">
        <v>45966</v>
      </c>
      <c r="Q92">
        <v>2</v>
      </c>
      <c r="R92" t="str">
        <f t="shared" si="6"/>
        <v>High Risk</v>
      </c>
      <c r="S92" t="str">
        <f t="shared" si="7"/>
        <v>Poor</v>
      </c>
      <c r="T92" s="4">
        <f>Table1[[#This Row],[Deposit_Amount]]+Table1[[#This Row],[Withdrawal_Amount]]</f>
        <v>48600.34</v>
      </c>
      <c r="U92" t="s">
        <v>274</v>
      </c>
    </row>
    <row r="93" spans="1:21" x14ac:dyDescent="0.3">
      <c r="A93">
        <v>92</v>
      </c>
      <c r="B93" t="s">
        <v>110</v>
      </c>
      <c r="C93" t="s">
        <v>22</v>
      </c>
      <c r="D93">
        <v>62</v>
      </c>
      <c r="E93" t="s">
        <v>31</v>
      </c>
      <c r="F93" s="4">
        <v>455766.4</v>
      </c>
      <c r="G93" t="str">
        <f t="shared" si="4"/>
        <v>High Income</v>
      </c>
      <c r="H93">
        <v>19891.21</v>
      </c>
      <c r="I93">
        <v>858</v>
      </c>
      <c r="J93" t="s">
        <v>27</v>
      </c>
      <c r="K93" t="s">
        <v>19</v>
      </c>
      <c r="L93">
        <v>633015.55000000005</v>
      </c>
      <c r="M93">
        <v>226891.63</v>
      </c>
      <c r="N93" t="s">
        <v>25</v>
      </c>
      <c r="O93" s="7">
        <f t="shared" ca="1" si="5"/>
        <v>45867</v>
      </c>
      <c r="P93" s="7">
        <v>45956</v>
      </c>
      <c r="Q93">
        <v>3</v>
      </c>
      <c r="R93" t="str">
        <f t="shared" si="6"/>
        <v>Low Risk</v>
      </c>
      <c r="S93" t="str">
        <f t="shared" si="7"/>
        <v>Good</v>
      </c>
      <c r="T93" s="4">
        <f>Table1[[#This Row],[Deposit_Amount]]+Table1[[#This Row],[Withdrawal_Amount]]</f>
        <v>475657.61000000004</v>
      </c>
      <c r="U93" t="s">
        <v>275</v>
      </c>
    </row>
    <row r="94" spans="1:21" x14ac:dyDescent="0.3">
      <c r="A94">
        <v>93</v>
      </c>
      <c r="B94" t="s">
        <v>111</v>
      </c>
      <c r="C94" t="s">
        <v>16</v>
      </c>
      <c r="D94">
        <v>49</v>
      </c>
      <c r="E94" t="s">
        <v>35</v>
      </c>
      <c r="F94" s="4">
        <v>1402.42</v>
      </c>
      <c r="G94" t="str">
        <f t="shared" si="4"/>
        <v>Low Income</v>
      </c>
      <c r="H94">
        <v>238441.07</v>
      </c>
      <c r="I94">
        <v>732</v>
      </c>
      <c r="J94" t="s">
        <v>27</v>
      </c>
      <c r="K94" t="s">
        <v>42</v>
      </c>
      <c r="L94">
        <v>-160650.74</v>
      </c>
      <c r="M94">
        <v>220751.15</v>
      </c>
      <c r="N94" t="s">
        <v>25</v>
      </c>
      <c r="O94" s="7">
        <f t="shared" ca="1" si="5"/>
        <v>45853</v>
      </c>
      <c r="P94" s="7">
        <v>45726</v>
      </c>
      <c r="Q94">
        <v>4</v>
      </c>
      <c r="R94" t="str">
        <f t="shared" si="6"/>
        <v>Low Risk</v>
      </c>
      <c r="S94" t="str">
        <f t="shared" si="7"/>
        <v>Good</v>
      </c>
      <c r="T94" s="4">
        <f>Table1[[#This Row],[Deposit_Amount]]+Table1[[#This Row],[Withdrawal_Amount]]</f>
        <v>239843.49000000002</v>
      </c>
      <c r="U94" t="s">
        <v>274</v>
      </c>
    </row>
    <row r="95" spans="1:21" x14ac:dyDescent="0.3">
      <c r="A95">
        <v>94</v>
      </c>
      <c r="B95" t="s">
        <v>112</v>
      </c>
      <c r="C95" t="s">
        <v>16</v>
      </c>
      <c r="D95">
        <v>69</v>
      </c>
      <c r="E95" t="s">
        <v>23</v>
      </c>
      <c r="F95" s="4">
        <v>28752.05</v>
      </c>
      <c r="G95" t="str">
        <f t="shared" si="4"/>
        <v>Low Income</v>
      </c>
      <c r="H95">
        <v>53687.06</v>
      </c>
      <c r="I95">
        <v>846</v>
      </c>
      <c r="J95" t="s">
        <v>38</v>
      </c>
      <c r="K95" t="s">
        <v>36</v>
      </c>
      <c r="L95">
        <v>104927.6</v>
      </c>
      <c r="M95">
        <v>85159.79</v>
      </c>
      <c r="N95" t="s">
        <v>25</v>
      </c>
      <c r="O95" s="7">
        <f t="shared" ca="1" si="5"/>
        <v>45772</v>
      </c>
      <c r="P95" s="7">
        <v>45757</v>
      </c>
      <c r="Q95">
        <v>4</v>
      </c>
      <c r="R95" t="str">
        <f t="shared" si="6"/>
        <v>Low Risk</v>
      </c>
      <c r="S95" t="str">
        <f t="shared" si="7"/>
        <v>Good</v>
      </c>
      <c r="T95" s="4">
        <f>Table1[[#This Row],[Deposit_Amount]]+Table1[[#This Row],[Withdrawal_Amount]]</f>
        <v>82439.11</v>
      </c>
      <c r="U95" t="s">
        <v>274</v>
      </c>
    </row>
    <row r="96" spans="1:21" x14ac:dyDescent="0.3">
      <c r="A96">
        <v>95</v>
      </c>
      <c r="B96" t="s">
        <v>113</v>
      </c>
      <c r="C96" t="s">
        <v>22</v>
      </c>
      <c r="D96">
        <v>61</v>
      </c>
      <c r="E96" t="s">
        <v>40</v>
      </c>
      <c r="F96" s="4">
        <v>459638.47</v>
      </c>
      <c r="G96" t="str">
        <f t="shared" si="4"/>
        <v>High Income</v>
      </c>
      <c r="H96">
        <v>198648.47</v>
      </c>
      <c r="I96">
        <v>463</v>
      </c>
      <c r="J96" t="s">
        <v>41</v>
      </c>
      <c r="K96" t="s">
        <v>24</v>
      </c>
      <c r="L96">
        <v>430475.18</v>
      </c>
      <c r="M96">
        <v>146945.31</v>
      </c>
      <c r="N96" t="s">
        <v>25</v>
      </c>
      <c r="O96" s="7">
        <f t="shared" ca="1" si="5"/>
        <v>45872</v>
      </c>
      <c r="P96" s="7">
        <v>45962</v>
      </c>
      <c r="Q96">
        <v>4</v>
      </c>
      <c r="R96" t="str">
        <f t="shared" si="6"/>
        <v>Midum Risk</v>
      </c>
      <c r="S96" t="str">
        <f t="shared" si="7"/>
        <v xml:space="preserve">Midum </v>
      </c>
      <c r="T96" s="4">
        <f>Table1[[#This Row],[Deposit_Amount]]+Table1[[#This Row],[Withdrawal_Amount]]</f>
        <v>658286.93999999994</v>
      </c>
      <c r="U96" t="s">
        <v>274</v>
      </c>
    </row>
    <row r="97" spans="1:21" x14ac:dyDescent="0.3">
      <c r="A97">
        <v>96</v>
      </c>
      <c r="B97" t="s">
        <v>46</v>
      </c>
      <c r="C97" t="s">
        <v>22</v>
      </c>
      <c r="D97">
        <v>50</v>
      </c>
      <c r="E97" t="s">
        <v>35</v>
      </c>
      <c r="F97" s="4">
        <v>336265.69</v>
      </c>
      <c r="G97" t="str">
        <f t="shared" si="4"/>
        <v>High Income</v>
      </c>
      <c r="H97">
        <v>297039.65999999997</v>
      </c>
      <c r="I97">
        <v>484</v>
      </c>
      <c r="J97" t="s">
        <v>27</v>
      </c>
      <c r="K97" t="s">
        <v>42</v>
      </c>
      <c r="L97">
        <v>89944.09</v>
      </c>
      <c r="M97">
        <v>212865.97</v>
      </c>
      <c r="N97" t="s">
        <v>28</v>
      </c>
      <c r="O97" s="7">
        <f t="shared" ca="1" si="5"/>
        <v>45754</v>
      </c>
      <c r="P97" s="7">
        <v>46000</v>
      </c>
      <c r="Q97">
        <v>5</v>
      </c>
      <c r="R97" t="str">
        <f t="shared" si="6"/>
        <v>Midum Risk</v>
      </c>
      <c r="S97" t="str">
        <f t="shared" si="7"/>
        <v xml:space="preserve">Midum </v>
      </c>
      <c r="T97" s="4">
        <f>Table1[[#This Row],[Deposit_Amount]]+Table1[[#This Row],[Withdrawal_Amount]]</f>
        <v>633305.35</v>
      </c>
      <c r="U97" t="s">
        <v>274</v>
      </c>
    </row>
    <row r="98" spans="1:21" x14ac:dyDescent="0.3">
      <c r="A98">
        <v>97</v>
      </c>
      <c r="B98" t="s">
        <v>114</v>
      </c>
      <c r="C98" t="s">
        <v>16</v>
      </c>
      <c r="D98">
        <v>67</v>
      </c>
      <c r="E98" t="s">
        <v>44</v>
      </c>
      <c r="F98" s="4">
        <v>390369.21</v>
      </c>
      <c r="G98" t="str">
        <f t="shared" si="4"/>
        <v>High Income</v>
      </c>
      <c r="H98">
        <v>104362.17</v>
      </c>
      <c r="I98">
        <v>433</v>
      </c>
      <c r="J98" t="s">
        <v>27</v>
      </c>
      <c r="K98" t="s">
        <v>24</v>
      </c>
      <c r="L98">
        <v>485332.16</v>
      </c>
      <c r="M98">
        <v>69331.710000000006</v>
      </c>
      <c r="N98" t="s">
        <v>28</v>
      </c>
      <c r="O98" s="7">
        <f t="shared" ca="1" si="5"/>
        <v>45755</v>
      </c>
      <c r="P98" s="7">
        <v>45902</v>
      </c>
      <c r="Q98">
        <v>1</v>
      </c>
      <c r="R98" t="str">
        <f t="shared" si="6"/>
        <v>Midum Risk</v>
      </c>
      <c r="S98" t="str">
        <f t="shared" si="7"/>
        <v xml:space="preserve">Midum </v>
      </c>
      <c r="T98" s="4">
        <f>Table1[[#This Row],[Deposit_Amount]]+Table1[[#This Row],[Withdrawal_Amount]]</f>
        <v>494731.38</v>
      </c>
      <c r="U98" t="s">
        <v>275</v>
      </c>
    </row>
    <row r="99" spans="1:21" x14ac:dyDescent="0.3">
      <c r="A99">
        <v>98</v>
      </c>
      <c r="B99" t="s">
        <v>115</v>
      </c>
      <c r="C99" t="s">
        <v>16</v>
      </c>
      <c r="D99">
        <v>59</v>
      </c>
      <c r="E99" t="s">
        <v>17</v>
      </c>
      <c r="F99" s="4">
        <v>256040.33</v>
      </c>
      <c r="G99" t="str">
        <f t="shared" si="4"/>
        <v>High Income</v>
      </c>
      <c r="H99">
        <v>243657.09</v>
      </c>
      <c r="I99">
        <v>845</v>
      </c>
      <c r="J99" t="s">
        <v>18</v>
      </c>
      <c r="K99" t="s">
        <v>19</v>
      </c>
      <c r="L99">
        <v>137793.01</v>
      </c>
      <c r="M99">
        <v>126067.21</v>
      </c>
      <c r="N99" t="s">
        <v>25</v>
      </c>
      <c r="O99" s="7">
        <f t="shared" ca="1" si="5"/>
        <v>45996</v>
      </c>
      <c r="P99" s="7">
        <v>45660</v>
      </c>
      <c r="Q99">
        <v>2</v>
      </c>
      <c r="R99" t="str">
        <f t="shared" si="6"/>
        <v>Low Risk</v>
      </c>
      <c r="S99" t="str">
        <f t="shared" si="7"/>
        <v>Good</v>
      </c>
      <c r="T99" s="4">
        <f>Table1[[#This Row],[Deposit_Amount]]+Table1[[#This Row],[Withdrawal_Amount]]</f>
        <v>499697.42</v>
      </c>
      <c r="U99" t="s">
        <v>274</v>
      </c>
    </row>
    <row r="100" spans="1:21" x14ac:dyDescent="0.3">
      <c r="A100">
        <v>99</v>
      </c>
      <c r="B100" t="s">
        <v>51</v>
      </c>
      <c r="C100" t="s">
        <v>22</v>
      </c>
      <c r="D100">
        <v>27</v>
      </c>
      <c r="E100" t="s">
        <v>40</v>
      </c>
      <c r="F100" s="4">
        <v>326315.14</v>
      </c>
      <c r="G100" t="str">
        <f t="shared" si="4"/>
        <v>High Income</v>
      </c>
      <c r="H100">
        <v>284952.87</v>
      </c>
      <c r="I100">
        <v>307</v>
      </c>
      <c r="J100" t="s">
        <v>32</v>
      </c>
      <c r="K100" t="s">
        <v>42</v>
      </c>
      <c r="L100">
        <v>233131.93</v>
      </c>
      <c r="M100">
        <v>211979.48</v>
      </c>
      <c r="N100" t="s">
        <v>28</v>
      </c>
      <c r="O100" s="7">
        <f t="shared" ca="1" si="5"/>
        <v>46003</v>
      </c>
      <c r="P100" s="7">
        <v>45748</v>
      </c>
      <c r="Q100">
        <v>4</v>
      </c>
      <c r="R100" t="str">
        <f t="shared" si="6"/>
        <v>High Risk</v>
      </c>
      <c r="S100" t="str">
        <f t="shared" si="7"/>
        <v>Poor</v>
      </c>
      <c r="T100" s="4">
        <f>Table1[[#This Row],[Deposit_Amount]]+Table1[[#This Row],[Withdrawal_Amount]]</f>
        <v>611268.01</v>
      </c>
      <c r="U100" t="s">
        <v>274</v>
      </c>
    </row>
    <row r="101" spans="1:21" x14ac:dyDescent="0.3">
      <c r="A101">
        <v>100</v>
      </c>
      <c r="B101" t="s">
        <v>92</v>
      </c>
      <c r="C101" t="s">
        <v>16</v>
      </c>
      <c r="D101">
        <v>57</v>
      </c>
      <c r="E101" t="s">
        <v>40</v>
      </c>
      <c r="F101" s="4">
        <v>377960.32</v>
      </c>
      <c r="G101" t="str">
        <f t="shared" si="4"/>
        <v>High Income</v>
      </c>
      <c r="H101">
        <v>32547.48</v>
      </c>
      <c r="I101">
        <v>648</v>
      </c>
      <c r="J101" t="s">
        <v>38</v>
      </c>
      <c r="K101" t="s">
        <v>36</v>
      </c>
      <c r="L101">
        <v>451086.4</v>
      </c>
      <c r="M101">
        <v>195532.41</v>
      </c>
      <c r="N101" t="s">
        <v>20</v>
      </c>
      <c r="O101" s="7">
        <f t="shared" ca="1" si="5"/>
        <v>46004</v>
      </c>
      <c r="P101" s="7">
        <v>45707</v>
      </c>
      <c r="Q101">
        <v>2</v>
      </c>
      <c r="R101" t="str">
        <f t="shared" si="6"/>
        <v>Low Risk</v>
      </c>
      <c r="S101" t="str">
        <f t="shared" si="7"/>
        <v>Good</v>
      </c>
      <c r="T101" s="4">
        <f>Table1[[#This Row],[Deposit_Amount]]+Table1[[#This Row],[Withdrawal_Amount]]</f>
        <v>410507.8</v>
      </c>
      <c r="U101" t="s">
        <v>274</v>
      </c>
    </row>
    <row r="102" spans="1:21" x14ac:dyDescent="0.3">
      <c r="A102">
        <v>101</v>
      </c>
      <c r="B102" t="s">
        <v>85</v>
      </c>
      <c r="C102" t="s">
        <v>16</v>
      </c>
      <c r="D102">
        <v>35</v>
      </c>
      <c r="E102" t="s">
        <v>17</v>
      </c>
      <c r="F102" s="4">
        <v>116395.9</v>
      </c>
      <c r="G102" t="str">
        <f t="shared" si="4"/>
        <v>Midum Income</v>
      </c>
      <c r="H102">
        <v>173696.96</v>
      </c>
      <c r="I102">
        <v>511</v>
      </c>
      <c r="J102" t="s">
        <v>27</v>
      </c>
      <c r="K102" t="s">
        <v>24</v>
      </c>
      <c r="L102">
        <v>38407.58</v>
      </c>
      <c r="M102">
        <v>249762.45</v>
      </c>
      <c r="N102" t="s">
        <v>25</v>
      </c>
      <c r="O102" s="7">
        <f t="shared" ca="1" si="5"/>
        <v>45844</v>
      </c>
      <c r="P102" s="7">
        <v>45934</v>
      </c>
      <c r="Q102">
        <v>3</v>
      </c>
      <c r="R102" t="str">
        <f t="shared" si="6"/>
        <v>Midum Risk</v>
      </c>
      <c r="S102" t="str">
        <f t="shared" si="7"/>
        <v xml:space="preserve">Midum </v>
      </c>
      <c r="T102" s="4">
        <f>Table1[[#This Row],[Deposit_Amount]]+Table1[[#This Row],[Withdrawal_Amount]]</f>
        <v>290092.86</v>
      </c>
      <c r="U102" t="s">
        <v>274</v>
      </c>
    </row>
    <row r="103" spans="1:21" x14ac:dyDescent="0.3">
      <c r="A103">
        <v>102</v>
      </c>
      <c r="B103" t="s">
        <v>43</v>
      </c>
      <c r="C103" t="s">
        <v>22</v>
      </c>
      <c r="D103">
        <v>37</v>
      </c>
      <c r="E103" t="s">
        <v>44</v>
      </c>
      <c r="F103" s="4">
        <v>412875.47</v>
      </c>
      <c r="G103" t="str">
        <f t="shared" si="4"/>
        <v>High Income</v>
      </c>
      <c r="H103">
        <v>223126.3</v>
      </c>
      <c r="I103">
        <v>378</v>
      </c>
      <c r="J103" t="s">
        <v>41</v>
      </c>
      <c r="K103" t="s">
        <v>19</v>
      </c>
      <c r="L103">
        <v>221710.92</v>
      </c>
      <c r="M103">
        <v>127765.8</v>
      </c>
      <c r="N103" t="s">
        <v>28</v>
      </c>
      <c r="O103" s="7">
        <f t="shared" ca="1" si="5"/>
        <v>45807</v>
      </c>
      <c r="P103" s="7">
        <v>45777</v>
      </c>
      <c r="Q103">
        <v>3</v>
      </c>
      <c r="R103" t="str">
        <f t="shared" si="6"/>
        <v>High Risk</v>
      </c>
      <c r="S103" t="str">
        <f t="shared" si="7"/>
        <v>Poor</v>
      </c>
      <c r="T103" s="4">
        <f>Table1[[#This Row],[Deposit_Amount]]+Table1[[#This Row],[Withdrawal_Amount]]</f>
        <v>636001.77</v>
      </c>
      <c r="U103" t="s">
        <v>274</v>
      </c>
    </row>
    <row r="104" spans="1:21" x14ac:dyDescent="0.3">
      <c r="A104">
        <v>103</v>
      </c>
      <c r="B104" t="s">
        <v>116</v>
      </c>
      <c r="C104" t="s">
        <v>16</v>
      </c>
      <c r="D104">
        <v>24</v>
      </c>
      <c r="E104" t="s">
        <v>17</v>
      </c>
      <c r="F104" s="4">
        <v>241608.94</v>
      </c>
      <c r="G104" t="str">
        <f t="shared" si="4"/>
        <v>High Income</v>
      </c>
      <c r="H104">
        <v>240608.55</v>
      </c>
      <c r="I104">
        <v>473</v>
      </c>
      <c r="J104" t="s">
        <v>18</v>
      </c>
      <c r="K104" t="s">
        <v>36</v>
      </c>
      <c r="L104">
        <v>115968.02</v>
      </c>
      <c r="M104">
        <v>82943.8</v>
      </c>
      <c r="N104" t="s">
        <v>25</v>
      </c>
      <c r="O104" s="7">
        <f t="shared" ca="1" si="5"/>
        <v>45658</v>
      </c>
      <c r="P104" s="7">
        <v>45821</v>
      </c>
      <c r="Q104">
        <v>3</v>
      </c>
      <c r="R104" t="str">
        <f t="shared" si="6"/>
        <v>Midum Risk</v>
      </c>
      <c r="S104" t="str">
        <f t="shared" si="7"/>
        <v xml:space="preserve">Midum </v>
      </c>
      <c r="T104" s="4">
        <f>Table1[[#This Row],[Deposit_Amount]]+Table1[[#This Row],[Withdrawal_Amount]]</f>
        <v>482217.49</v>
      </c>
      <c r="U104" t="s">
        <v>274</v>
      </c>
    </row>
    <row r="105" spans="1:21" x14ac:dyDescent="0.3">
      <c r="A105">
        <v>104</v>
      </c>
      <c r="B105" t="s">
        <v>117</v>
      </c>
      <c r="C105" t="s">
        <v>22</v>
      </c>
      <c r="D105">
        <v>34</v>
      </c>
      <c r="E105" t="s">
        <v>17</v>
      </c>
      <c r="F105" s="4">
        <v>370208.07</v>
      </c>
      <c r="G105" t="str">
        <f t="shared" si="4"/>
        <v>High Income</v>
      </c>
      <c r="H105">
        <v>68777.009999999995</v>
      </c>
      <c r="I105">
        <v>568</v>
      </c>
      <c r="J105" t="s">
        <v>41</v>
      </c>
      <c r="K105" t="s">
        <v>19</v>
      </c>
      <c r="L105">
        <v>380876.58</v>
      </c>
      <c r="M105">
        <v>123359.63</v>
      </c>
      <c r="N105" t="s">
        <v>25</v>
      </c>
      <c r="O105" s="7">
        <f t="shared" ca="1" si="5"/>
        <v>45880</v>
      </c>
      <c r="P105" s="7">
        <v>45878</v>
      </c>
      <c r="Q105">
        <v>4</v>
      </c>
      <c r="R105" t="str">
        <f t="shared" si="6"/>
        <v>Midum Risk</v>
      </c>
      <c r="S105" t="str">
        <f t="shared" si="7"/>
        <v xml:space="preserve">Midum </v>
      </c>
      <c r="T105" s="4">
        <f>Table1[[#This Row],[Deposit_Amount]]+Table1[[#This Row],[Withdrawal_Amount]]</f>
        <v>438985.08</v>
      </c>
      <c r="U105" t="s">
        <v>274</v>
      </c>
    </row>
    <row r="106" spans="1:21" x14ac:dyDescent="0.3">
      <c r="A106">
        <v>105</v>
      </c>
      <c r="B106" t="s">
        <v>118</v>
      </c>
      <c r="C106" t="s">
        <v>22</v>
      </c>
      <c r="D106">
        <v>46</v>
      </c>
      <c r="E106" t="s">
        <v>31</v>
      </c>
      <c r="F106" s="4">
        <v>376913.75</v>
      </c>
      <c r="G106" t="str">
        <f t="shared" si="4"/>
        <v>High Income</v>
      </c>
      <c r="H106">
        <v>160027.07999999999</v>
      </c>
      <c r="I106">
        <v>859</v>
      </c>
      <c r="J106" t="s">
        <v>18</v>
      </c>
      <c r="K106" t="s">
        <v>59</v>
      </c>
      <c r="L106">
        <v>251964.95</v>
      </c>
      <c r="M106">
        <v>148846.91</v>
      </c>
      <c r="N106" t="s">
        <v>25</v>
      </c>
      <c r="O106" s="7">
        <f t="shared" ca="1" si="5"/>
        <v>45979</v>
      </c>
      <c r="P106" s="7">
        <v>45875</v>
      </c>
      <c r="Q106">
        <v>1</v>
      </c>
      <c r="R106" t="str">
        <f t="shared" si="6"/>
        <v>Low Risk</v>
      </c>
      <c r="S106" t="str">
        <f t="shared" si="7"/>
        <v>Good</v>
      </c>
      <c r="T106" s="4">
        <f>Table1[[#This Row],[Deposit_Amount]]+Table1[[#This Row],[Withdrawal_Amount]]</f>
        <v>536940.82999999996</v>
      </c>
      <c r="U106" t="s">
        <v>274</v>
      </c>
    </row>
    <row r="107" spans="1:21" x14ac:dyDescent="0.3">
      <c r="A107">
        <v>106</v>
      </c>
      <c r="B107" t="s">
        <v>119</v>
      </c>
      <c r="C107" t="s">
        <v>16</v>
      </c>
      <c r="D107">
        <v>48</v>
      </c>
      <c r="E107" t="s">
        <v>17</v>
      </c>
      <c r="F107" s="4">
        <v>9721.6200000000008</v>
      </c>
      <c r="G107" t="str">
        <f t="shared" si="4"/>
        <v>Low Income</v>
      </c>
      <c r="H107">
        <v>39921.42</v>
      </c>
      <c r="I107">
        <v>812</v>
      </c>
      <c r="J107" t="s">
        <v>32</v>
      </c>
      <c r="K107" t="s">
        <v>36</v>
      </c>
      <c r="L107">
        <v>101738.87</v>
      </c>
      <c r="M107">
        <v>161267.84</v>
      </c>
      <c r="N107" t="s">
        <v>20</v>
      </c>
      <c r="O107" s="7">
        <f t="shared" ca="1" si="5"/>
        <v>45984</v>
      </c>
      <c r="P107" s="7">
        <v>45804</v>
      </c>
      <c r="Q107">
        <v>2</v>
      </c>
      <c r="R107" t="str">
        <f t="shared" si="6"/>
        <v>Low Risk</v>
      </c>
      <c r="S107" t="str">
        <f t="shared" si="7"/>
        <v>Good</v>
      </c>
      <c r="T107" s="4">
        <f>Table1[[#This Row],[Deposit_Amount]]+Table1[[#This Row],[Withdrawal_Amount]]</f>
        <v>49643.040000000001</v>
      </c>
      <c r="U107" t="s">
        <v>275</v>
      </c>
    </row>
    <row r="108" spans="1:21" x14ac:dyDescent="0.3">
      <c r="A108">
        <v>107</v>
      </c>
      <c r="B108" t="s">
        <v>120</v>
      </c>
      <c r="C108" t="s">
        <v>22</v>
      </c>
      <c r="D108">
        <v>64</v>
      </c>
      <c r="E108" t="s">
        <v>17</v>
      </c>
      <c r="F108" s="4">
        <v>299303.55</v>
      </c>
      <c r="G108" t="str">
        <f t="shared" si="4"/>
        <v>High Income</v>
      </c>
      <c r="H108">
        <v>203006.78</v>
      </c>
      <c r="I108">
        <v>486</v>
      </c>
      <c r="J108" t="s">
        <v>32</v>
      </c>
      <c r="K108" t="s">
        <v>24</v>
      </c>
      <c r="L108">
        <v>160565.42000000001</v>
      </c>
      <c r="M108">
        <v>133106.23000000001</v>
      </c>
      <c r="N108" t="s">
        <v>25</v>
      </c>
      <c r="O108" s="7">
        <f t="shared" ca="1" si="5"/>
        <v>45793</v>
      </c>
      <c r="P108" s="7">
        <v>45730</v>
      </c>
      <c r="Q108">
        <v>5</v>
      </c>
      <c r="R108" t="str">
        <f t="shared" si="6"/>
        <v>Midum Risk</v>
      </c>
      <c r="S108" t="str">
        <f t="shared" si="7"/>
        <v xml:space="preserve">Midum </v>
      </c>
      <c r="T108" s="4">
        <f>Table1[[#This Row],[Deposit_Amount]]+Table1[[#This Row],[Withdrawal_Amount]]</f>
        <v>502310.32999999996</v>
      </c>
      <c r="U108" t="s">
        <v>274</v>
      </c>
    </row>
    <row r="109" spans="1:21" x14ac:dyDescent="0.3">
      <c r="A109">
        <v>108</v>
      </c>
      <c r="B109" t="s">
        <v>121</v>
      </c>
      <c r="C109" t="s">
        <v>16</v>
      </c>
      <c r="D109">
        <v>46</v>
      </c>
      <c r="E109" t="s">
        <v>35</v>
      </c>
      <c r="F109" s="4">
        <v>440548.88</v>
      </c>
      <c r="G109" t="str">
        <f t="shared" si="4"/>
        <v>High Income</v>
      </c>
      <c r="H109">
        <v>41138.559999999998</v>
      </c>
      <c r="I109">
        <v>356</v>
      </c>
      <c r="J109" t="s">
        <v>27</v>
      </c>
      <c r="K109" t="s">
        <v>19</v>
      </c>
      <c r="L109">
        <v>585513.15</v>
      </c>
      <c r="M109">
        <v>211186.42</v>
      </c>
      <c r="N109" t="s">
        <v>20</v>
      </c>
      <c r="O109" s="7">
        <f t="shared" ca="1" si="5"/>
        <v>45881</v>
      </c>
      <c r="P109" s="7">
        <v>45670</v>
      </c>
      <c r="Q109">
        <v>3</v>
      </c>
      <c r="R109" t="str">
        <f t="shared" si="6"/>
        <v>High Risk</v>
      </c>
      <c r="S109" t="str">
        <f t="shared" si="7"/>
        <v>Poor</v>
      </c>
      <c r="T109" s="4">
        <f>Table1[[#This Row],[Deposit_Amount]]+Table1[[#This Row],[Withdrawal_Amount]]</f>
        <v>481687.44</v>
      </c>
      <c r="U109" t="s">
        <v>274</v>
      </c>
    </row>
    <row r="110" spans="1:21" x14ac:dyDescent="0.3">
      <c r="A110">
        <v>109</v>
      </c>
      <c r="B110" t="s">
        <v>122</v>
      </c>
      <c r="C110" t="s">
        <v>16</v>
      </c>
      <c r="D110">
        <v>22</v>
      </c>
      <c r="E110" t="s">
        <v>35</v>
      </c>
      <c r="F110" s="4">
        <v>235725.53</v>
      </c>
      <c r="G110" t="str">
        <f t="shared" si="4"/>
        <v>High Income</v>
      </c>
      <c r="H110">
        <v>52637.37</v>
      </c>
      <c r="I110">
        <v>494</v>
      </c>
      <c r="J110" t="s">
        <v>41</v>
      </c>
      <c r="K110" t="s">
        <v>42</v>
      </c>
      <c r="L110">
        <v>245617.13</v>
      </c>
      <c r="M110">
        <v>216059.02</v>
      </c>
      <c r="N110" t="s">
        <v>25</v>
      </c>
      <c r="O110" s="7">
        <f t="shared" ca="1" si="5"/>
        <v>45926</v>
      </c>
      <c r="P110" s="7">
        <v>45888</v>
      </c>
      <c r="Q110">
        <v>1</v>
      </c>
      <c r="R110" t="str">
        <f t="shared" si="6"/>
        <v>Midum Risk</v>
      </c>
      <c r="S110" t="str">
        <f t="shared" si="7"/>
        <v xml:space="preserve">Midum </v>
      </c>
      <c r="T110" s="4">
        <f>Table1[[#This Row],[Deposit_Amount]]+Table1[[#This Row],[Withdrawal_Amount]]</f>
        <v>288362.90000000002</v>
      </c>
      <c r="U110" t="s">
        <v>274</v>
      </c>
    </row>
    <row r="111" spans="1:21" x14ac:dyDescent="0.3">
      <c r="A111">
        <v>110</v>
      </c>
      <c r="B111" t="s">
        <v>69</v>
      </c>
      <c r="C111" t="s">
        <v>16</v>
      </c>
      <c r="D111">
        <v>26</v>
      </c>
      <c r="E111" t="s">
        <v>23</v>
      </c>
      <c r="F111" s="4">
        <v>330744.62</v>
      </c>
      <c r="G111" t="str">
        <f t="shared" si="4"/>
        <v>High Income</v>
      </c>
      <c r="H111">
        <v>33247.550000000003</v>
      </c>
      <c r="I111">
        <v>710</v>
      </c>
      <c r="J111" t="s">
        <v>32</v>
      </c>
      <c r="K111" t="s">
        <v>24</v>
      </c>
      <c r="L111">
        <v>345560.06</v>
      </c>
      <c r="M111">
        <v>90560.43</v>
      </c>
      <c r="N111" t="s">
        <v>28</v>
      </c>
      <c r="O111" s="7">
        <f t="shared" ca="1" si="5"/>
        <v>45842</v>
      </c>
      <c r="P111" s="7">
        <v>45825</v>
      </c>
      <c r="Q111">
        <v>5</v>
      </c>
      <c r="R111" t="str">
        <f t="shared" si="6"/>
        <v>Low Risk</v>
      </c>
      <c r="S111" t="str">
        <f t="shared" si="7"/>
        <v>Good</v>
      </c>
      <c r="T111" s="4">
        <f>Table1[[#This Row],[Deposit_Amount]]+Table1[[#This Row],[Withdrawal_Amount]]</f>
        <v>363992.17</v>
      </c>
      <c r="U111" t="s">
        <v>274</v>
      </c>
    </row>
    <row r="112" spans="1:21" x14ac:dyDescent="0.3">
      <c r="A112">
        <v>111</v>
      </c>
      <c r="B112" t="s">
        <v>123</v>
      </c>
      <c r="C112" t="s">
        <v>22</v>
      </c>
      <c r="D112">
        <v>40</v>
      </c>
      <c r="E112" t="s">
        <v>35</v>
      </c>
      <c r="F112" s="4">
        <v>374310.85</v>
      </c>
      <c r="G112" t="str">
        <f t="shared" si="4"/>
        <v>High Income</v>
      </c>
      <c r="H112">
        <v>65558.5</v>
      </c>
      <c r="I112">
        <v>891</v>
      </c>
      <c r="J112" t="s">
        <v>27</v>
      </c>
      <c r="K112" t="s">
        <v>59</v>
      </c>
      <c r="L112">
        <v>436810.2</v>
      </c>
      <c r="M112">
        <v>85960.02</v>
      </c>
      <c r="N112" t="s">
        <v>25</v>
      </c>
      <c r="O112" s="7">
        <f t="shared" ca="1" si="5"/>
        <v>45854</v>
      </c>
      <c r="P112" s="7">
        <v>45792</v>
      </c>
      <c r="Q112">
        <v>2</v>
      </c>
      <c r="R112" t="str">
        <f t="shared" si="6"/>
        <v>Low Risk</v>
      </c>
      <c r="S112" t="str">
        <f t="shared" si="7"/>
        <v>Good</v>
      </c>
      <c r="T112" s="4">
        <f>Table1[[#This Row],[Deposit_Amount]]+Table1[[#This Row],[Withdrawal_Amount]]</f>
        <v>439869.35</v>
      </c>
      <c r="U112" t="s">
        <v>274</v>
      </c>
    </row>
    <row r="113" spans="1:21" x14ac:dyDescent="0.3">
      <c r="A113">
        <v>112</v>
      </c>
      <c r="B113" t="s">
        <v>69</v>
      </c>
      <c r="C113" t="s">
        <v>16</v>
      </c>
      <c r="D113">
        <v>45</v>
      </c>
      <c r="E113" t="s">
        <v>44</v>
      </c>
      <c r="F113" s="4">
        <v>409893.9</v>
      </c>
      <c r="G113" t="str">
        <f t="shared" si="4"/>
        <v>High Income</v>
      </c>
      <c r="H113">
        <v>93406.05</v>
      </c>
      <c r="I113">
        <v>888</v>
      </c>
      <c r="J113" t="s">
        <v>18</v>
      </c>
      <c r="K113" t="s">
        <v>36</v>
      </c>
      <c r="L113">
        <v>499149.76</v>
      </c>
      <c r="M113">
        <v>206646.74</v>
      </c>
      <c r="N113" t="s">
        <v>20</v>
      </c>
      <c r="O113" s="7">
        <f t="shared" ca="1" si="5"/>
        <v>45831</v>
      </c>
      <c r="P113" s="7">
        <v>45749</v>
      </c>
      <c r="Q113">
        <v>5</v>
      </c>
      <c r="R113" t="str">
        <f t="shared" si="6"/>
        <v>Low Risk</v>
      </c>
      <c r="S113" t="str">
        <f t="shared" si="7"/>
        <v>Good</v>
      </c>
      <c r="T113" s="4">
        <f>Table1[[#This Row],[Deposit_Amount]]+Table1[[#This Row],[Withdrawal_Amount]]</f>
        <v>503299.95</v>
      </c>
      <c r="U113" t="s">
        <v>275</v>
      </c>
    </row>
    <row r="114" spans="1:21" x14ac:dyDescent="0.3">
      <c r="A114">
        <v>113</v>
      </c>
      <c r="B114" t="s">
        <v>124</v>
      </c>
      <c r="C114" t="s">
        <v>22</v>
      </c>
      <c r="D114">
        <v>63</v>
      </c>
      <c r="E114" t="s">
        <v>35</v>
      </c>
      <c r="F114" s="4">
        <v>76321.5</v>
      </c>
      <c r="G114" t="str">
        <f t="shared" si="4"/>
        <v>Low Income</v>
      </c>
      <c r="H114">
        <v>167223.41</v>
      </c>
      <c r="I114">
        <v>738</v>
      </c>
      <c r="J114" t="s">
        <v>18</v>
      </c>
      <c r="K114" t="s">
        <v>59</v>
      </c>
      <c r="L114">
        <v>-9538.94</v>
      </c>
      <c r="M114">
        <v>162122.51</v>
      </c>
      <c r="N114" t="s">
        <v>20</v>
      </c>
      <c r="O114" s="7">
        <f t="shared" ca="1" si="5"/>
        <v>45846</v>
      </c>
      <c r="P114" s="7">
        <v>45850</v>
      </c>
      <c r="Q114">
        <v>3</v>
      </c>
      <c r="R114" t="str">
        <f t="shared" si="6"/>
        <v>Low Risk</v>
      </c>
      <c r="S114" t="str">
        <f t="shared" si="7"/>
        <v>Good</v>
      </c>
      <c r="T114" s="4">
        <f>Table1[[#This Row],[Deposit_Amount]]+Table1[[#This Row],[Withdrawal_Amount]]</f>
        <v>243544.91</v>
      </c>
      <c r="U114" t="s">
        <v>274</v>
      </c>
    </row>
    <row r="115" spans="1:21" x14ac:dyDescent="0.3">
      <c r="A115">
        <v>114</v>
      </c>
      <c r="B115" t="s">
        <v>125</v>
      </c>
      <c r="C115" t="s">
        <v>16</v>
      </c>
      <c r="D115">
        <v>68</v>
      </c>
      <c r="E115" t="s">
        <v>35</v>
      </c>
      <c r="F115" s="4">
        <v>66519.63</v>
      </c>
      <c r="G115" t="str">
        <f t="shared" si="4"/>
        <v>Low Income</v>
      </c>
      <c r="H115">
        <v>66691.83</v>
      </c>
      <c r="I115">
        <v>303</v>
      </c>
      <c r="J115" t="s">
        <v>32</v>
      </c>
      <c r="K115" t="s">
        <v>36</v>
      </c>
      <c r="L115">
        <v>136691.82999999999</v>
      </c>
      <c r="M115">
        <v>230662.02</v>
      </c>
      <c r="N115" t="s">
        <v>20</v>
      </c>
      <c r="O115" s="7">
        <f t="shared" ca="1" si="5"/>
        <v>45852</v>
      </c>
      <c r="P115" s="7">
        <v>45797</v>
      </c>
      <c r="Q115">
        <v>5</v>
      </c>
      <c r="R115" t="str">
        <f t="shared" si="6"/>
        <v>High Risk</v>
      </c>
      <c r="S115" t="str">
        <f t="shared" si="7"/>
        <v>Poor</v>
      </c>
      <c r="T115" s="4">
        <f>Table1[[#This Row],[Deposit_Amount]]+Table1[[#This Row],[Withdrawal_Amount]]</f>
        <v>133211.46000000002</v>
      </c>
      <c r="U115" t="s">
        <v>274</v>
      </c>
    </row>
    <row r="116" spans="1:21" x14ac:dyDescent="0.3">
      <c r="A116">
        <v>115</v>
      </c>
      <c r="B116" t="s">
        <v>48</v>
      </c>
      <c r="C116" t="s">
        <v>22</v>
      </c>
      <c r="D116">
        <v>19</v>
      </c>
      <c r="E116" t="s">
        <v>17</v>
      </c>
      <c r="F116" s="4">
        <v>199925.59</v>
      </c>
      <c r="G116" t="str">
        <f t="shared" si="4"/>
        <v>Midum Income</v>
      </c>
      <c r="H116">
        <v>181069.39</v>
      </c>
      <c r="I116">
        <v>604</v>
      </c>
      <c r="J116" t="s">
        <v>32</v>
      </c>
      <c r="K116" t="s">
        <v>59</v>
      </c>
      <c r="L116">
        <v>136680.51999999999</v>
      </c>
      <c r="M116">
        <v>244747.99</v>
      </c>
      <c r="N116" t="s">
        <v>25</v>
      </c>
      <c r="O116" s="7">
        <f t="shared" ca="1" si="5"/>
        <v>45697</v>
      </c>
      <c r="P116" s="7">
        <v>45967</v>
      </c>
      <c r="Q116">
        <v>3</v>
      </c>
      <c r="R116" t="str">
        <f t="shared" si="6"/>
        <v>Low Risk</v>
      </c>
      <c r="S116" t="str">
        <f t="shared" si="7"/>
        <v>Good</v>
      </c>
      <c r="T116" s="4">
        <f>Table1[[#This Row],[Deposit_Amount]]+Table1[[#This Row],[Withdrawal_Amount]]</f>
        <v>380994.98</v>
      </c>
      <c r="U116" t="s">
        <v>274</v>
      </c>
    </row>
    <row r="117" spans="1:21" x14ac:dyDescent="0.3">
      <c r="A117">
        <v>116</v>
      </c>
      <c r="B117" t="s">
        <v>81</v>
      </c>
      <c r="C117" t="s">
        <v>22</v>
      </c>
      <c r="D117">
        <v>68</v>
      </c>
      <c r="E117" t="s">
        <v>40</v>
      </c>
      <c r="F117" s="4">
        <v>303425.25</v>
      </c>
      <c r="G117" t="str">
        <f t="shared" si="4"/>
        <v>High Income</v>
      </c>
      <c r="H117">
        <v>25521.66</v>
      </c>
      <c r="I117">
        <v>350</v>
      </c>
      <c r="J117" t="s">
        <v>18</v>
      </c>
      <c r="K117" t="s">
        <v>24</v>
      </c>
      <c r="L117">
        <v>466529.56</v>
      </c>
      <c r="M117">
        <v>38638.47</v>
      </c>
      <c r="N117" t="s">
        <v>20</v>
      </c>
      <c r="O117" s="7">
        <f t="shared" ca="1" si="5"/>
        <v>45731</v>
      </c>
      <c r="P117" s="7">
        <v>45676</v>
      </c>
      <c r="Q117">
        <v>5</v>
      </c>
      <c r="R117" t="str">
        <f t="shared" si="6"/>
        <v>High Risk</v>
      </c>
      <c r="S117" t="str">
        <f t="shared" si="7"/>
        <v>Poor</v>
      </c>
      <c r="T117" s="4">
        <f>Table1[[#This Row],[Deposit_Amount]]+Table1[[#This Row],[Withdrawal_Amount]]</f>
        <v>328946.90999999997</v>
      </c>
      <c r="U117" t="s">
        <v>274</v>
      </c>
    </row>
    <row r="118" spans="1:21" x14ac:dyDescent="0.3">
      <c r="A118">
        <v>117</v>
      </c>
      <c r="B118" t="s">
        <v>92</v>
      </c>
      <c r="C118" t="s">
        <v>16</v>
      </c>
      <c r="D118">
        <v>18</v>
      </c>
      <c r="E118" t="s">
        <v>44</v>
      </c>
      <c r="F118" s="4">
        <v>271114.90000000002</v>
      </c>
      <c r="G118" t="str">
        <f t="shared" si="4"/>
        <v>High Income</v>
      </c>
      <c r="H118">
        <v>110566.12</v>
      </c>
      <c r="I118">
        <v>494</v>
      </c>
      <c r="J118" t="s">
        <v>18</v>
      </c>
      <c r="K118" t="s">
        <v>59</v>
      </c>
      <c r="L118">
        <v>211646.34</v>
      </c>
      <c r="M118">
        <v>23446.5</v>
      </c>
      <c r="N118" t="s">
        <v>28</v>
      </c>
      <c r="O118" s="7">
        <f t="shared" ca="1" si="5"/>
        <v>45868</v>
      </c>
      <c r="P118" s="7">
        <v>45922</v>
      </c>
      <c r="Q118">
        <v>5</v>
      </c>
      <c r="R118" t="str">
        <f t="shared" si="6"/>
        <v>Midum Risk</v>
      </c>
      <c r="S118" t="str">
        <f t="shared" si="7"/>
        <v xml:space="preserve">Midum </v>
      </c>
      <c r="T118" s="4">
        <f>Table1[[#This Row],[Deposit_Amount]]+Table1[[#This Row],[Withdrawal_Amount]]</f>
        <v>381681.02</v>
      </c>
      <c r="U118" t="s">
        <v>274</v>
      </c>
    </row>
    <row r="119" spans="1:21" x14ac:dyDescent="0.3">
      <c r="A119">
        <v>118</v>
      </c>
      <c r="B119" t="s">
        <v>29</v>
      </c>
      <c r="C119" t="s">
        <v>22</v>
      </c>
      <c r="D119">
        <v>55</v>
      </c>
      <c r="E119" t="s">
        <v>35</v>
      </c>
      <c r="F119" s="4">
        <v>245823.33</v>
      </c>
      <c r="G119" t="str">
        <f t="shared" si="4"/>
        <v>High Income</v>
      </c>
      <c r="H119">
        <v>201331.53</v>
      </c>
      <c r="I119">
        <v>592</v>
      </c>
      <c r="J119" t="s">
        <v>27</v>
      </c>
      <c r="K119" t="s">
        <v>59</v>
      </c>
      <c r="L119">
        <v>152341.51</v>
      </c>
      <c r="M119">
        <v>105754.72</v>
      </c>
      <c r="N119" t="s">
        <v>28</v>
      </c>
      <c r="O119" s="7">
        <f t="shared" ca="1" si="5"/>
        <v>45956</v>
      </c>
      <c r="P119" s="7">
        <v>45886</v>
      </c>
      <c r="Q119">
        <v>1</v>
      </c>
      <c r="R119" t="str">
        <f t="shared" si="6"/>
        <v>Midum Risk</v>
      </c>
      <c r="S119" t="str">
        <f t="shared" si="7"/>
        <v xml:space="preserve">Midum </v>
      </c>
      <c r="T119" s="4">
        <f>Table1[[#This Row],[Deposit_Amount]]+Table1[[#This Row],[Withdrawal_Amount]]</f>
        <v>447154.86</v>
      </c>
      <c r="U119" t="s">
        <v>274</v>
      </c>
    </row>
    <row r="120" spans="1:21" x14ac:dyDescent="0.3">
      <c r="A120">
        <v>119</v>
      </c>
      <c r="B120" t="s">
        <v>116</v>
      </c>
      <c r="C120" t="s">
        <v>16</v>
      </c>
      <c r="D120">
        <v>61</v>
      </c>
      <c r="E120" t="s">
        <v>17</v>
      </c>
      <c r="F120" s="4">
        <v>418882.73</v>
      </c>
      <c r="G120" t="str">
        <f t="shared" si="4"/>
        <v>High Income</v>
      </c>
      <c r="H120">
        <v>85380.82</v>
      </c>
      <c r="I120">
        <v>714</v>
      </c>
      <c r="J120" t="s">
        <v>38</v>
      </c>
      <c r="K120" t="s">
        <v>19</v>
      </c>
      <c r="L120">
        <v>412822.54</v>
      </c>
      <c r="M120">
        <v>154006.39999999999</v>
      </c>
      <c r="N120" t="s">
        <v>25</v>
      </c>
      <c r="O120" s="7">
        <f t="shared" ca="1" si="5"/>
        <v>45746</v>
      </c>
      <c r="P120" s="7">
        <v>46001</v>
      </c>
      <c r="Q120">
        <v>5</v>
      </c>
      <c r="R120" t="str">
        <f t="shared" si="6"/>
        <v>Low Risk</v>
      </c>
      <c r="S120" t="str">
        <f t="shared" si="7"/>
        <v>Good</v>
      </c>
      <c r="T120" s="4">
        <f>Table1[[#This Row],[Deposit_Amount]]+Table1[[#This Row],[Withdrawal_Amount]]</f>
        <v>504263.55</v>
      </c>
      <c r="U120" t="s">
        <v>274</v>
      </c>
    </row>
    <row r="121" spans="1:21" x14ac:dyDescent="0.3">
      <c r="A121">
        <v>120</v>
      </c>
      <c r="B121" t="s">
        <v>126</v>
      </c>
      <c r="C121" t="s">
        <v>22</v>
      </c>
      <c r="D121">
        <v>42</v>
      </c>
      <c r="E121" t="s">
        <v>23</v>
      </c>
      <c r="F121" s="4">
        <v>262782.21999999997</v>
      </c>
      <c r="G121" t="str">
        <f t="shared" si="4"/>
        <v>High Income</v>
      </c>
      <c r="H121">
        <v>195851.17</v>
      </c>
      <c r="I121">
        <v>610</v>
      </c>
      <c r="J121" t="s">
        <v>27</v>
      </c>
      <c r="K121" t="s">
        <v>42</v>
      </c>
      <c r="L121">
        <v>178782.99</v>
      </c>
      <c r="M121">
        <v>92062.07</v>
      </c>
      <c r="N121" t="s">
        <v>20</v>
      </c>
      <c r="O121" s="7">
        <f t="shared" ca="1" si="5"/>
        <v>45820</v>
      </c>
      <c r="P121" s="7">
        <v>45815</v>
      </c>
      <c r="Q121">
        <v>2</v>
      </c>
      <c r="R121" t="str">
        <f t="shared" si="6"/>
        <v>Low Risk</v>
      </c>
      <c r="S121" t="str">
        <f t="shared" si="7"/>
        <v>Good</v>
      </c>
      <c r="T121" s="4">
        <f>Table1[[#This Row],[Deposit_Amount]]+Table1[[#This Row],[Withdrawal_Amount]]</f>
        <v>458633.39</v>
      </c>
      <c r="U121" t="s">
        <v>274</v>
      </c>
    </row>
    <row r="122" spans="1:21" x14ac:dyDescent="0.3">
      <c r="A122">
        <v>121</v>
      </c>
      <c r="B122" t="s">
        <v>94</v>
      </c>
      <c r="C122" t="s">
        <v>16</v>
      </c>
      <c r="D122">
        <v>22</v>
      </c>
      <c r="E122" t="s">
        <v>31</v>
      </c>
      <c r="F122" s="4">
        <v>131600.04</v>
      </c>
      <c r="G122" t="str">
        <f t="shared" si="4"/>
        <v>Midum Income</v>
      </c>
      <c r="H122">
        <v>224802.2</v>
      </c>
      <c r="I122">
        <v>605</v>
      </c>
      <c r="J122" t="s">
        <v>32</v>
      </c>
      <c r="K122" t="s">
        <v>19</v>
      </c>
      <c r="L122">
        <v>54889.29</v>
      </c>
      <c r="M122">
        <v>201159.34</v>
      </c>
      <c r="N122" t="s">
        <v>25</v>
      </c>
      <c r="O122" s="7">
        <f t="shared" ca="1" si="5"/>
        <v>45759</v>
      </c>
      <c r="P122" s="7">
        <v>45851</v>
      </c>
      <c r="Q122">
        <v>3</v>
      </c>
      <c r="R122" t="str">
        <f t="shared" si="6"/>
        <v>Low Risk</v>
      </c>
      <c r="S122" t="str">
        <f t="shared" si="7"/>
        <v>Good</v>
      </c>
      <c r="T122" s="4">
        <f>Table1[[#This Row],[Deposit_Amount]]+Table1[[#This Row],[Withdrawal_Amount]]</f>
        <v>356402.24</v>
      </c>
      <c r="U122" t="s">
        <v>274</v>
      </c>
    </row>
    <row r="123" spans="1:21" x14ac:dyDescent="0.3">
      <c r="A123">
        <v>122</v>
      </c>
      <c r="B123" t="s">
        <v>98</v>
      </c>
      <c r="C123" t="s">
        <v>22</v>
      </c>
      <c r="D123">
        <v>59</v>
      </c>
      <c r="E123" t="s">
        <v>17</v>
      </c>
      <c r="F123" s="4">
        <v>301405.34999999998</v>
      </c>
      <c r="G123" t="str">
        <f t="shared" si="4"/>
        <v>High Income</v>
      </c>
      <c r="H123">
        <v>105291.41</v>
      </c>
      <c r="I123">
        <v>327</v>
      </c>
      <c r="J123" t="s">
        <v>27</v>
      </c>
      <c r="K123" t="s">
        <v>42</v>
      </c>
      <c r="L123">
        <v>327937.15000000002</v>
      </c>
      <c r="M123">
        <v>231134.1</v>
      </c>
      <c r="N123" t="s">
        <v>25</v>
      </c>
      <c r="O123" s="7">
        <f t="shared" ca="1" si="5"/>
        <v>45743</v>
      </c>
      <c r="P123" s="7">
        <v>45820</v>
      </c>
      <c r="Q123">
        <v>2</v>
      </c>
      <c r="R123" t="str">
        <f t="shared" si="6"/>
        <v>High Risk</v>
      </c>
      <c r="S123" t="str">
        <f t="shared" si="7"/>
        <v>Poor</v>
      </c>
      <c r="T123" s="4">
        <f>Table1[[#This Row],[Deposit_Amount]]+Table1[[#This Row],[Withdrawal_Amount]]</f>
        <v>406696.76</v>
      </c>
      <c r="U123" t="s">
        <v>275</v>
      </c>
    </row>
    <row r="124" spans="1:21" x14ac:dyDescent="0.3">
      <c r="A124">
        <v>123</v>
      </c>
      <c r="B124" t="s">
        <v>127</v>
      </c>
      <c r="C124" t="s">
        <v>22</v>
      </c>
      <c r="D124">
        <v>41</v>
      </c>
      <c r="E124" t="s">
        <v>17</v>
      </c>
      <c r="F124" s="4">
        <v>60595.360000000001</v>
      </c>
      <c r="G124" t="str">
        <f t="shared" si="4"/>
        <v>Low Income</v>
      </c>
      <c r="H124">
        <v>273216.58</v>
      </c>
      <c r="I124">
        <v>811</v>
      </c>
      <c r="J124" t="s">
        <v>27</v>
      </c>
      <c r="K124" t="s">
        <v>36</v>
      </c>
      <c r="L124">
        <v>-46853.79</v>
      </c>
      <c r="M124">
        <v>88468.95</v>
      </c>
      <c r="N124" t="s">
        <v>28</v>
      </c>
      <c r="O124" s="7">
        <f t="shared" ca="1" si="5"/>
        <v>46008</v>
      </c>
      <c r="P124" s="7">
        <v>45676</v>
      </c>
      <c r="Q124">
        <v>5</v>
      </c>
      <c r="R124" t="str">
        <f t="shared" si="6"/>
        <v>Low Risk</v>
      </c>
      <c r="S124" t="str">
        <f t="shared" si="7"/>
        <v>Good</v>
      </c>
      <c r="T124" s="4">
        <f>Table1[[#This Row],[Deposit_Amount]]+Table1[[#This Row],[Withdrawal_Amount]]</f>
        <v>333811.94</v>
      </c>
      <c r="U124" t="s">
        <v>274</v>
      </c>
    </row>
    <row r="125" spans="1:21" x14ac:dyDescent="0.3">
      <c r="A125">
        <v>124</v>
      </c>
      <c r="B125" t="s">
        <v>111</v>
      </c>
      <c r="C125" t="s">
        <v>16</v>
      </c>
      <c r="D125">
        <v>51</v>
      </c>
      <c r="E125" t="s">
        <v>40</v>
      </c>
      <c r="F125" s="4">
        <v>460229.65</v>
      </c>
      <c r="G125" t="str">
        <f t="shared" si="4"/>
        <v>High Income</v>
      </c>
      <c r="H125">
        <v>55385.22</v>
      </c>
      <c r="I125">
        <v>445</v>
      </c>
      <c r="J125" t="s">
        <v>18</v>
      </c>
      <c r="K125" t="s">
        <v>59</v>
      </c>
      <c r="L125">
        <v>451476.41</v>
      </c>
      <c r="M125">
        <v>172910.3</v>
      </c>
      <c r="N125" t="s">
        <v>28</v>
      </c>
      <c r="O125" s="7">
        <f t="shared" ca="1" si="5"/>
        <v>46014</v>
      </c>
      <c r="P125" s="7">
        <v>45996</v>
      </c>
      <c r="Q125">
        <v>2</v>
      </c>
      <c r="R125" t="str">
        <f t="shared" si="6"/>
        <v>Midum Risk</v>
      </c>
      <c r="S125" t="str">
        <f t="shared" si="7"/>
        <v xml:space="preserve">Midum </v>
      </c>
      <c r="T125" s="4">
        <f>Table1[[#This Row],[Deposit_Amount]]+Table1[[#This Row],[Withdrawal_Amount]]</f>
        <v>515614.87</v>
      </c>
      <c r="U125" t="s">
        <v>274</v>
      </c>
    </row>
    <row r="126" spans="1:21" x14ac:dyDescent="0.3">
      <c r="A126">
        <v>125</v>
      </c>
      <c r="B126" t="s">
        <v>128</v>
      </c>
      <c r="C126" t="s">
        <v>16</v>
      </c>
      <c r="D126">
        <v>29</v>
      </c>
      <c r="E126" t="s">
        <v>35</v>
      </c>
      <c r="F126" s="4">
        <v>461043.66</v>
      </c>
      <c r="G126" t="str">
        <f t="shared" si="4"/>
        <v>High Income</v>
      </c>
      <c r="H126">
        <v>134672.85999999999</v>
      </c>
      <c r="I126">
        <v>868</v>
      </c>
      <c r="J126" t="s">
        <v>41</v>
      </c>
      <c r="K126" t="s">
        <v>36</v>
      </c>
      <c r="L126">
        <v>463028.57</v>
      </c>
      <c r="M126">
        <v>33941.39</v>
      </c>
      <c r="N126" t="s">
        <v>25</v>
      </c>
      <c r="O126" s="7">
        <f t="shared" ca="1" si="5"/>
        <v>45833</v>
      </c>
      <c r="P126" s="7">
        <v>45784</v>
      </c>
      <c r="Q126">
        <v>1</v>
      </c>
      <c r="R126" t="str">
        <f t="shared" si="6"/>
        <v>Low Risk</v>
      </c>
      <c r="S126" t="str">
        <f t="shared" si="7"/>
        <v>Good</v>
      </c>
      <c r="T126" s="4">
        <f>Table1[[#This Row],[Deposit_Amount]]+Table1[[#This Row],[Withdrawal_Amount]]</f>
        <v>595716.52</v>
      </c>
      <c r="U126" t="s">
        <v>274</v>
      </c>
    </row>
    <row r="127" spans="1:21" x14ac:dyDescent="0.3">
      <c r="A127">
        <v>126</v>
      </c>
      <c r="B127" t="s">
        <v>129</v>
      </c>
      <c r="C127" t="s">
        <v>16</v>
      </c>
      <c r="D127">
        <v>27</v>
      </c>
      <c r="E127" t="s">
        <v>17</v>
      </c>
      <c r="F127" s="4">
        <v>211600.99</v>
      </c>
      <c r="G127" t="str">
        <f t="shared" si="4"/>
        <v>High Income</v>
      </c>
      <c r="H127">
        <v>13171.06</v>
      </c>
      <c r="I127">
        <v>434</v>
      </c>
      <c r="J127" t="s">
        <v>32</v>
      </c>
      <c r="K127" t="s">
        <v>19</v>
      </c>
      <c r="L127">
        <v>349195.94</v>
      </c>
      <c r="M127">
        <v>116336.82</v>
      </c>
      <c r="N127" t="s">
        <v>28</v>
      </c>
      <c r="O127" s="7">
        <f t="shared" ca="1" si="5"/>
        <v>45942</v>
      </c>
      <c r="P127" s="7">
        <v>45853</v>
      </c>
      <c r="Q127">
        <v>5</v>
      </c>
      <c r="R127" t="str">
        <f t="shared" si="6"/>
        <v>Midum Risk</v>
      </c>
      <c r="S127" t="str">
        <f t="shared" si="7"/>
        <v xml:space="preserve">Midum </v>
      </c>
      <c r="T127" s="4">
        <f>Table1[[#This Row],[Deposit_Amount]]+Table1[[#This Row],[Withdrawal_Amount]]</f>
        <v>224772.05</v>
      </c>
      <c r="U127" t="s">
        <v>275</v>
      </c>
    </row>
    <row r="128" spans="1:21" x14ac:dyDescent="0.3">
      <c r="A128">
        <v>127</v>
      </c>
      <c r="B128" t="s">
        <v>130</v>
      </c>
      <c r="C128" t="s">
        <v>16</v>
      </c>
      <c r="D128">
        <v>39</v>
      </c>
      <c r="E128" t="s">
        <v>40</v>
      </c>
      <c r="F128" s="4">
        <v>162870.54999999999</v>
      </c>
      <c r="G128" t="str">
        <f t="shared" si="4"/>
        <v>Midum Income</v>
      </c>
      <c r="H128">
        <v>212587.23</v>
      </c>
      <c r="I128">
        <v>429</v>
      </c>
      <c r="J128" t="s">
        <v>18</v>
      </c>
      <c r="K128" t="s">
        <v>24</v>
      </c>
      <c r="L128">
        <v>105583.63</v>
      </c>
      <c r="M128">
        <v>56033.03</v>
      </c>
      <c r="N128" t="s">
        <v>25</v>
      </c>
      <c r="O128" s="7">
        <f t="shared" ca="1" si="5"/>
        <v>45685</v>
      </c>
      <c r="P128" s="7">
        <v>45835</v>
      </c>
      <c r="Q128">
        <v>1</v>
      </c>
      <c r="R128" t="str">
        <f t="shared" si="6"/>
        <v>Midum Risk</v>
      </c>
      <c r="S128" t="str">
        <f t="shared" si="7"/>
        <v xml:space="preserve">Midum </v>
      </c>
      <c r="T128" s="4">
        <f>Table1[[#This Row],[Deposit_Amount]]+Table1[[#This Row],[Withdrawal_Amount]]</f>
        <v>375457.78</v>
      </c>
      <c r="U128" t="s">
        <v>274</v>
      </c>
    </row>
    <row r="129" spans="1:21" x14ac:dyDescent="0.3">
      <c r="A129">
        <v>128</v>
      </c>
      <c r="B129" t="s">
        <v>45</v>
      </c>
      <c r="C129" t="s">
        <v>22</v>
      </c>
      <c r="D129">
        <v>56</v>
      </c>
      <c r="E129" t="s">
        <v>17</v>
      </c>
      <c r="F129" s="4">
        <v>166636.43</v>
      </c>
      <c r="G129" t="str">
        <f t="shared" si="4"/>
        <v>Midum Income</v>
      </c>
      <c r="H129">
        <v>103655.58</v>
      </c>
      <c r="I129">
        <v>511</v>
      </c>
      <c r="J129" t="s">
        <v>18</v>
      </c>
      <c r="K129" t="s">
        <v>36</v>
      </c>
      <c r="L129">
        <v>181053.95</v>
      </c>
      <c r="M129">
        <v>242783.77</v>
      </c>
      <c r="N129" t="s">
        <v>28</v>
      </c>
      <c r="O129" s="7">
        <f t="shared" ca="1" si="5"/>
        <v>45790</v>
      </c>
      <c r="P129" s="7">
        <v>45671</v>
      </c>
      <c r="Q129">
        <v>3</v>
      </c>
      <c r="R129" t="str">
        <f t="shared" si="6"/>
        <v>Midum Risk</v>
      </c>
      <c r="S129" t="str">
        <f t="shared" si="7"/>
        <v xml:space="preserve">Midum </v>
      </c>
      <c r="T129" s="4">
        <f>Table1[[#This Row],[Deposit_Amount]]+Table1[[#This Row],[Withdrawal_Amount]]</f>
        <v>270292.01</v>
      </c>
      <c r="U129" t="s">
        <v>274</v>
      </c>
    </row>
    <row r="130" spans="1:21" x14ac:dyDescent="0.3">
      <c r="A130">
        <v>129</v>
      </c>
      <c r="B130" t="s">
        <v>131</v>
      </c>
      <c r="C130" t="s">
        <v>16</v>
      </c>
      <c r="D130">
        <v>31</v>
      </c>
      <c r="E130" t="s">
        <v>40</v>
      </c>
      <c r="F130" s="4">
        <v>388207.95</v>
      </c>
      <c r="G130" t="str">
        <f t="shared" ref="G130:G193" si="8">IF(F130&lt;=100000,"Low Income",IF(F130&lt;=200000,"Midum Income","High Income"))</f>
        <v>High Income</v>
      </c>
      <c r="H130">
        <v>192297.94</v>
      </c>
      <c r="I130">
        <v>402</v>
      </c>
      <c r="J130" t="s">
        <v>27</v>
      </c>
      <c r="K130" t="s">
        <v>19</v>
      </c>
      <c r="L130">
        <v>251893.28</v>
      </c>
      <c r="M130">
        <v>219687.26</v>
      </c>
      <c r="N130" t="s">
        <v>20</v>
      </c>
      <c r="O130" s="7">
        <f t="shared" ref="O130:O193" ca="1" si="9">RANDBETWEEN(DATE(2025,1,1),DATE(2025,12,31))</f>
        <v>45892</v>
      </c>
      <c r="P130" s="7">
        <v>45773</v>
      </c>
      <c r="Q130">
        <v>1</v>
      </c>
      <c r="R130" t="str">
        <f t="shared" ref="R130:R193" si="10">IF(I130&lt;=400,"High Risk",IF(I130&lt;=600,"Midum Risk","Low Risk"))</f>
        <v>Midum Risk</v>
      </c>
      <c r="S130" t="str">
        <f t="shared" ref="S130:S193" si="11">IF(I130&lt;=400,"Poor",IF(I130&lt;=600,"Midum ","Good"))</f>
        <v xml:space="preserve">Midum </v>
      </c>
      <c r="T130" s="4">
        <f>Table1[[#This Row],[Deposit_Amount]]+Table1[[#This Row],[Withdrawal_Amount]]</f>
        <v>580505.89</v>
      </c>
      <c r="U130" t="s">
        <v>274</v>
      </c>
    </row>
    <row r="131" spans="1:21" x14ac:dyDescent="0.3">
      <c r="A131">
        <v>130</v>
      </c>
      <c r="B131" t="s">
        <v>132</v>
      </c>
      <c r="C131" t="s">
        <v>22</v>
      </c>
      <c r="D131">
        <v>38</v>
      </c>
      <c r="E131" t="s">
        <v>17</v>
      </c>
      <c r="F131" s="4">
        <v>266991.34999999998</v>
      </c>
      <c r="G131" t="str">
        <f t="shared" si="8"/>
        <v>High Income</v>
      </c>
      <c r="H131">
        <v>147491.67000000001</v>
      </c>
      <c r="I131">
        <v>481</v>
      </c>
      <c r="J131" t="s">
        <v>38</v>
      </c>
      <c r="K131" t="s">
        <v>59</v>
      </c>
      <c r="L131">
        <v>213899.14</v>
      </c>
      <c r="M131">
        <v>172631.34</v>
      </c>
      <c r="N131" t="s">
        <v>28</v>
      </c>
      <c r="O131" s="7">
        <f t="shared" ca="1" si="9"/>
        <v>45669</v>
      </c>
      <c r="P131" s="7">
        <v>45962</v>
      </c>
      <c r="Q131">
        <v>2</v>
      </c>
      <c r="R131" t="str">
        <f t="shared" si="10"/>
        <v>Midum Risk</v>
      </c>
      <c r="S131" t="str">
        <f t="shared" si="11"/>
        <v xml:space="preserve">Midum </v>
      </c>
      <c r="T131" s="4">
        <f>Table1[[#This Row],[Deposit_Amount]]+Table1[[#This Row],[Withdrawal_Amount]]</f>
        <v>414483.02</v>
      </c>
      <c r="U131" t="s">
        <v>274</v>
      </c>
    </row>
    <row r="132" spans="1:21" x14ac:dyDescent="0.3">
      <c r="A132">
        <v>131</v>
      </c>
      <c r="B132" t="s">
        <v>133</v>
      </c>
      <c r="C132" t="s">
        <v>16</v>
      </c>
      <c r="D132">
        <v>53</v>
      </c>
      <c r="E132" t="s">
        <v>40</v>
      </c>
      <c r="F132" s="4">
        <v>17340.34</v>
      </c>
      <c r="G132" t="str">
        <f t="shared" si="8"/>
        <v>Low Income</v>
      </c>
      <c r="H132">
        <v>292704.62</v>
      </c>
      <c r="I132">
        <v>456</v>
      </c>
      <c r="J132" t="s">
        <v>32</v>
      </c>
      <c r="K132" t="s">
        <v>42</v>
      </c>
      <c r="L132">
        <v>-184189.4</v>
      </c>
      <c r="M132">
        <v>61910.25</v>
      </c>
      <c r="N132" t="s">
        <v>20</v>
      </c>
      <c r="O132" s="7">
        <f t="shared" ca="1" si="9"/>
        <v>45758</v>
      </c>
      <c r="P132" s="7">
        <v>45696</v>
      </c>
      <c r="Q132">
        <v>3</v>
      </c>
      <c r="R132" t="str">
        <f t="shared" si="10"/>
        <v>Midum Risk</v>
      </c>
      <c r="S132" t="str">
        <f t="shared" si="11"/>
        <v xml:space="preserve">Midum </v>
      </c>
      <c r="T132" s="4">
        <f>Table1[[#This Row],[Deposit_Amount]]+Table1[[#This Row],[Withdrawal_Amount]]</f>
        <v>310044.96000000002</v>
      </c>
      <c r="U132" t="s">
        <v>274</v>
      </c>
    </row>
    <row r="133" spans="1:21" x14ac:dyDescent="0.3">
      <c r="A133">
        <v>132</v>
      </c>
      <c r="B133" t="s">
        <v>77</v>
      </c>
      <c r="C133" t="s">
        <v>22</v>
      </c>
      <c r="D133">
        <v>43</v>
      </c>
      <c r="E133" t="s">
        <v>23</v>
      </c>
      <c r="F133" s="4">
        <v>466847.38</v>
      </c>
      <c r="G133" t="str">
        <f t="shared" si="8"/>
        <v>High Income</v>
      </c>
      <c r="H133">
        <v>12606.9</v>
      </c>
      <c r="I133">
        <v>322</v>
      </c>
      <c r="J133" t="s">
        <v>38</v>
      </c>
      <c r="K133" t="s">
        <v>36</v>
      </c>
      <c r="L133">
        <v>589257.98</v>
      </c>
      <c r="M133">
        <v>237317.92</v>
      </c>
      <c r="N133" t="s">
        <v>20</v>
      </c>
      <c r="O133" s="7">
        <f t="shared" ca="1" si="9"/>
        <v>45850</v>
      </c>
      <c r="P133" s="7">
        <v>46008</v>
      </c>
      <c r="Q133">
        <v>2</v>
      </c>
      <c r="R133" t="str">
        <f t="shared" si="10"/>
        <v>High Risk</v>
      </c>
      <c r="S133" t="str">
        <f t="shared" si="11"/>
        <v>Poor</v>
      </c>
      <c r="T133" s="4">
        <f>Table1[[#This Row],[Deposit_Amount]]+Table1[[#This Row],[Withdrawal_Amount]]</f>
        <v>479454.28</v>
      </c>
      <c r="U133" t="s">
        <v>274</v>
      </c>
    </row>
    <row r="134" spans="1:21" x14ac:dyDescent="0.3">
      <c r="A134">
        <v>133</v>
      </c>
      <c r="B134" t="s">
        <v>134</v>
      </c>
      <c r="C134" t="s">
        <v>16</v>
      </c>
      <c r="D134">
        <v>23</v>
      </c>
      <c r="E134" t="s">
        <v>17</v>
      </c>
      <c r="F134" s="4">
        <v>155015.42000000001</v>
      </c>
      <c r="G134" t="str">
        <f t="shared" si="8"/>
        <v>Midum Income</v>
      </c>
      <c r="H134">
        <v>281677.71000000002</v>
      </c>
      <c r="I134">
        <v>414</v>
      </c>
      <c r="J134" t="s">
        <v>41</v>
      </c>
      <c r="K134" t="s">
        <v>36</v>
      </c>
      <c r="L134">
        <v>-116277.99</v>
      </c>
      <c r="M134">
        <v>207982.66</v>
      </c>
      <c r="N134" t="s">
        <v>20</v>
      </c>
      <c r="O134" s="7">
        <f t="shared" ca="1" si="9"/>
        <v>45914</v>
      </c>
      <c r="P134" s="7">
        <v>45896</v>
      </c>
      <c r="Q134">
        <v>1</v>
      </c>
      <c r="R134" t="str">
        <f t="shared" si="10"/>
        <v>Midum Risk</v>
      </c>
      <c r="S134" t="str">
        <f t="shared" si="11"/>
        <v xml:space="preserve">Midum </v>
      </c>
      <c r="T134" s="4">
        <f>Table1[[#This Row],[Deposit_Amount]]+Table1[[#This Row],[Withdrawal_Amount]]</f>
        <v>436693.13</v>
      </c>
      <c r="U134" t="s">
        <v>274</v>
      </c>
    </row>
    <row r="135" spans="1:21" x14ac:dyDescent="0.3">
      <c r="A135">
        <v>134</v>
      </c>
      <c r="B135" t="s">
        <v>135</v>
      </c>
      <c r="C135" t="s">
        <v>22</v>
      </c>
      <c r="D135">
        <v>57</v>
      </c>
      <c r="E135" t="s">
        <v>31</v>
      </c>
      <c r="F135" s="4">
        <v>275350.95</v>
      </c>
      <c r="G135" t="str">
        <f t="shared" si="8"/>
        <v>High Income</v>
      </c>
      <c r="H135">
        <v>286139.55</v>
      </c>
      <c r="I135">
        <v>830</v>
      </c>
      <c r="J135" t="s">
        <v>32</v>
      </c>
      <c r="K135" t="s">
        <v>19</v>
      </c>
      <c r="L135">
        <v>100484.56</v>
      </c>
      <c r="M135">
        <v>132957.57</v>
      </c>
      <c r="N135" t="s">
        <v>28</v>
      </c>
      <c r="O135" s="7">
        <f t="shared" ca="1" si="9"/>
        <v>45679</v>
      </c>
      <c r="P135" s="7">
        <v>45833</v>
      </c>
      <c r="Q135">
        <v>5</v>
      </c>
      <c r="R135" t="str">
        <f t="shared" si="10"/>
        <v>Low Risk</v>
      </c>
      <c r="S135" t="str">
        <f t="shared" si="11"/>
        <v>Good</v>
      </c>
      <c r="T135" s="4">
        <f>Table1[[#This Row],[Deposit_Amount]]+Table1[[#This Row],[Withdrawal_Amount]]</f>
        <v>561490.5</v>
      </c>
      <c r="U135" t="s">
        <v>274</v>
      </c>
    </row>
    <row r="136" spans="1:21" x14ac:dyDescent="0.3">
      <c r="A136">
        <v>135</v>
      </c>
      <c r="B136" t="s">
        <v>111</v>
      </c>
      <c r="C136" t="s">
        <v>16</v>
      </c>
      <c r="D136">
        <v>68</v>
      </c>
      <c r="E136" t="s">
        <v>44</v>
      </c>
      <c r="F136" s="4">
        <v>202740.02</v>
      </c>
      <c r="G136" t="str">
        <f t="shared" si="8"/>
        <v>High Income</v>
      </c>
      <c r="H136">
        <v>13036.97</v>
      </c>
      <c r="I136">
        <v>721</v>
      </c>
      <c r="J136" t="s">
        <v>41</v>
      </c>
      <c r="K136" t="s">
        <v>42</v>
      </c>
      <c r="L136">
        <v>240404.12</v>
      </c>
      <c r="M136">
        <v>57091.46</v>
      </c>
      <c r="N136" t="s">
        <v>28</v>
      </c>
      <c r="O136" s="7">
        <f t="shared" ca="1" si="9"/>
        <v>45971</v>
      </c>
      <c r="P136" s="7">
        <v>45845</v>
      </c>
      <c r="Q136">
        <v>2</v>
      </c>
      <c r="R136" t="str">
        <f t="shared" si="10"/>
        <v>Low Risk</v>
      </c>
      <c r="S136" t="str">
        <f t="shared" si="11"/>
        <v>Good</v>
      </c>
      <c r="T136" s="4">
        <f>Table1[[#This Row],[Deposit_Amount]]+Table1[[#This Row],[Withdrawal_Amount]]</f>
        <v>215776.99</v>
      </c>
      <c r="U136" t="s">
        <v>274</v>
      </c>
    </row>
    <row r="137" spans="1:21" x14ac:dyDescent="0.3">
      <c r="A137">
        <v>136</v>
      </c>
      <c r="B137" t="s">
        <v>132</v>
      </c>
      <c r="C137" t="s">
        <v>22</v>
      </c>
      <c r="D137">
        <v>41</v>
      </c>
      <c r="E137" t="s">
        <v>40</v>
      </c>
      <c r="F137" s="4">
        <v>147123.54999999999</v>
      </c>
      <c r="G137" t="str">
        <f t="shared" si="8"/>
        <v>Midum Income</v>
      </c>
      <c r="H137">
        <v>186059.75</v>
      </c>
      <c r="I137">
        <v>826</v>
      </c>
      <c r="J137" t="s">
        <v>18</v>
      </c>
      <c r="K137" t="s">
        <v>42</v>
      </c>
      <c r="L137">
        <v>125027.17</v>
      </c>
      <c r="M137">
        <v>27152.26</v>
      </c>
      <c r="N137" t="s">
        <v>25</v>
      </c>
      <c r="O137" s="7">
        <f t="shared" ca="1" si="9"/>
        <v>45699</v>
      </c>
      <c r="P137" s="7">
        <v>45782</v>
      </c>
      <c r="Q137">
        <v>2</v>
      </c>
      <c r="R137" t="str">
        <f t="shared" si="10"/>
        <v>Low Risk</v>
      </c>
      <c r="S137" t="str">
        <f t="shared" si="11"/>
        <v>Good</v>
      </c>
      <c r="T137" s="4">
        <f>Table1[[#This Row],[Deposit_Amount]]+Table1[[#This Row],[Withdrawal_Amount]]</f>
        <v>333183.3</v>
      </c>
      <c r="U137" t="s">
        <v>274</v>
      </c>
    </row>
    <row r="138" spans="1:21" x14ac:dyDescent="0.3">
      <c r="A138">
        <v>137</v>
      </c>
      <c r="B138" t="s">
        <v>77</v>
      </c>
      <c r="C138" t="s">
        <v>22</v>
      </c>
      <c r="D138">
        <v>48</v>
      </c>
      <c r="E138" t="s">
        <v>40</v>
      </c>
      <c r="F138" s="4">
        <v>5893.39</v>
      </c>
      <c r="G138" t="str">
        <f t="shared" si="8"/>
        <v>Low Income</v>
      </c>
      <c r="H138">
        <v>21628</v>
      </c>
      <c r="I138">
        <v>671</v>
      </c>
      <c r="J138" t="s">
        <v>32</v>
      </c>
      <c r="K138" t="s">
        <v>19</v>
      </c>
      <c r="L138">
        <v>89465.2</v>
      </c>
      <c r="M138">
        <v>90033.27</v>
      </c>
      <c r="N138" t="s">
        <v>25</v>
      </c>
      <c r="O138" s="7">
        <f t="shared" ca="1" si="9"/>
        <v>46008</v>
      </c>
      <c r="P138" s="7">
        <v>45974</v>
      </c>
      <c r="Q138">
        <v>3</v>
      </c>
      <c r="R138" t="str">
        <f t="shared" si="10"/>
        <v>Low Risk</v>
      </c>
      <c r="S138" t="str">
        <f t="shared" si="11"/>
        <v>Good</v>
      </c>
      <c r="T138" s="4">
        <f>Table1[[#This Row],[Deposit_Amount]]+Table1[[#This Row],[Withdrawal_Amount]]</f>
        <v>27521.39</v>
      </c>
      <c r="U138" t="s">
        <v>274</v>
      </c>
    </row>
    <row r="139" spans="1:21" x14ac:dyDescent="0.3">
      <c r="A139">
        <v>138</v>
      </c>
      <c r="B139" t="s">
        <v>69</v>
      </c>
      <c r="C139" t="s">
        <v>16</v>
      </c>
      <c r="D139">
        <v>69</v>
      </c>
      <c r="E139" t="s">
        <v>35</v>
      </c>
      <c r="F139" s="4">
        <v>10770.12</v>
      </c>
      <c r="G139" t="str">
        <f t="shared" si="8"/>
        <v>Low Income</v>
      </c>
      <c r="H139">
        <v>219581.46</v>
      </c>
      <c r="I139">
        <v>874</v>
      </c>
      <c r="J139" t="s">
        <v>18</v>
      </c>
      <c r="K139" t="s">
        <v>36</v>
      </c>
      <c r="L139">
        <v>-127659.5</v>
      </c>
      <c r="M139">
        <v>158386.49</v>
      </c>
      <c r="N139" t="s">
        <v>20</v>
      </c>
      <c r="O139" s="7">
        <f t="shared" ca="1" si="9"/>
        <v>45867</v>
      </c>
      <c r="P139" s="7">
        <v>45720</v>
      </c>
      <c r="Q139">
        <v>4</v>
      </c>
      <c r="R139" t="str">
        <f t="shared" si="10"/>
        <v>Low Risk</v>
      </c>
      <c r="S139" t="str">
        <f t="shared" si="11"/>
        <v>Good</v>
      </c>
      <c r="T139" s="4">
        <f>Table1[[#This Row],[Deposit_Amount]]+Table1[[#This Row],[Withdrawal_Amount]]</f>
        <v>230351.58</v>
      </c>
      <c r="U139" t="s">
        <v>274</v>
      </c>
    </row>
    <row r="140" spans="1:21" x14ac:dyDescent="0.3">
      <c r="A140">
        <v>139</v>
      </c>
      <c r="B140" t="s">
        <v>55</v>
      </c>
      <c r="C140" t="s">
        <v>16</v>
      </c>
      <c r="D140">
        <v>31</v>
      </c>
      <c r="E140" t="s">
        <v>44</v>
      </c>
      <c r="F140" s="4">
        <v>197478.57</v>
      </c>
      <c r="G140" t="str">
        <f t="shared" si="8"/>
        <v>Midum Income</v>
      </c>
      <c r="H140">
        <v>211162.64</v>
      </c>
      <c r="I140">
        <v>528</v>
      </c>
      <c r="J140" t="s">
        <v>27</v>
      </c>
      <c r="K140" t="s">
        <v>19</v>
      </c>
      <c r="L140">
        <v>89181.13</v>
      </c>
      <c r="M140">
        <v>97330.99</v>
      </c>
      <c r="N140" t="s">
        <v>25</v>
      </c>
      <c r="O140" s="7">
        <f t="shared" ca="1" si="9"/>
        <v>46000</v>
      </c>
      <c r="P140" s="7">
        <v>45888</v>
      </c>
      <c r="Q140">
        <v>5</v>
      </c>
      <c r="R140" t="str">
        <f t="shared" si="10"/>
        <v>Midum Risk</v>
      </c>
      <c r="S140" t="str">
        <f t="shared" si="11"/>
        <v xml:space="preserve">Midum </v>
      </c>
      <c r="T140" s="4">
        <f>Table1[[#This Row],[Deposit_Amount]]+Table1[[#This Row],[Withdrawal_Amount]]</f>
        <v>408641.21</v>
      </c>
      <c r="U140" t="s">
        <v>274</v>
      </c>
    </row>
    <row r="141" spans="1:21" x14ac:dyDescent="0.3">
      <c r="A141">
        <v>140</v>
      </c>
      <c r="B141" t="s">
        <v>136</v>
      </c>
      <c r="C141" t="s">
        <v>16</v>
      </c>
      <c r="D141">
        <v>33</v>
      </c>
      <c r="E141" t="s">
        <v>40</v>
      </c>
      <c r="F141" s="4">
        <v>418160.03</v>
      </c>
      <c r="G141" t="str">
        <f t="shared" si="8"/>
        <v>High Income</v>
      </c>
      <c r="H141">
        <v>62557.4</v>
      </c>
      <c r="I141">
        <v>661</v>
      </c>
      <c r="J141" t="s">
        <v>32</v>
      </c>
      <c r="K141" t="s">
        <v>24</v>
      </c>
      <c r="L141">
        <v>398721.35</v>
      </c>
      <c r="M141">
        <v>109604.23</v>
      </c>
      <c r="N141" t="s">
        <v>25</v>
      </c>
      <c r="O141" s="7">
        <f t="shared" ca="1" si="9"/>
        <v>45698</v>
      </c>
      <c r="P141" s="7">
        <v>45880</v>
      </c>
      <c r="Q141">
        <v>3</v>
      </c>
      <c r="R141" t="str">
        <f t="shared" si="10"/>
        <v>Low Risk</v>
      </c>
      <c r="S141" t="str">
        <f t="shared" si="11"/>
        <v>Good</v>
      </c>
      <c r="T141" s="4">
        <f>Table1[[#This Row],[Deposit_Amount]]+Table1[[#This Row],[Withdrawal_Amount]]</f>
        <v>480717.43000000005</v>
      </c>
      <c r="U141" t="s">
        <v>274</v>
      </c>
    </row>
    <row r="142" spans="1:21" x14ac:dyDescent="0.3">
      <c r="A142">
        <v>141</v>
      </c>
      <c r="B142" t="s">
        <v>137</v>
      </c>
      <c r="C142" t="s">
        <v>16</v>
      </c>
      <c r="D142">
        <v>20</v>
      </c>
      <c r="E142" t="s">
        <v>44</v>
      </c>
      <c r="F142" s="4">
        <v>34845.06</v>
      </c>
      <c r="G142" t="str">
        <f t="shared" si="8"/>
        <v>Low Income</v>
      </c>
      <c r="H142">
        <v>215748.7</v>
      </c>
      <c r="I142">
        <v>754</v>
      </c>
      <c r="J142" t="s">
        <v>38</v>
      </c>
      <c r="K142" t="s">
        <v>19</v>
      </c>
      <c r="L142">
        <v>-34445.83</v>
      </c>
      <c r="M142">
        <v>183627.51999999999</v>
      </c>
      <c r="N142" t="s">
        <v>25</v>
      </c>
      <c r="O142" s="7">
        <f t="shared" ca="1" si="9"/>
        <v>45689</v>
      </c>
      <c r="P142" s="7">
        <v>45893</v>
      </c>
      <c r="Q142">
        <v>4</v>
      </c>
      <c r="R142" t="str">
        <f t="shared" si="10"/>
        <v>Low Risk</v>
      </c>
      <c r="S142" t="str">
        <f t="shared" si="11"/>
        <v>Good</v>
      </c>
      <c r="T142" s="4">
        <f>Table1[[#This Row],[Deposit_Amount]]+Table1[[#This Row],[Withdrawal_Amount]]</f>
        <v>250593.76</v>
      </c>
      <c r="U142" t="s">
        <v>274</v>
      </c>
    </row>
    <row r="143" spans="1:21" x14ac:dyDescent="0.3">
      <c r="A143">
        <v>142</v>
      </c>
      <c r="B143" t="s">
        <v>99</v>
      </c>
      <c r="C143" t="s">
        <v>16</v>
      </c>
      <c r="D143">
        <v>26</v>
      </c>
      <c r="E143" t="s">
        <v>31</v>
      </c>
      <c r="F143" s="4">
        <v>149374.34</v>
      </c>
      <c r="G143" t="str">
        <f t="shared" si="8"/>
        <v>Midum Income</v>
      </c>
      <c r="H143">
        <v>91913.74</v>
      </c>
      <c r="I143">
        <v>314</v>
      </c>
      <c r="J143" t="s">
        <v>18</v>
      </c>
      <c r="K143" t="s">
        <v>42</v>
      </c>
      <c r="L143">
        <v>166004.26</v>
      </c>
      <c r="M143">
        <v>82773.740000000005</v>
      </c>
      <c r="N143" t="s">
        <v>25</v>
      </c>
      <c r="O143" s="7">
        <f t="shared" ca="1" si="9"/>
        <v>45853</v>
      </c>
      <c r="P143" s="7">
        <v>46018</v>
      </c>
      <c r="Q143">
        <v>1</v>
      </c>
      <c r="R143" t="str">
        <f t="shared" si="10"/>
        <v>High Risk</v>
      </c>
      <c r="S143" t="str">
        <f t="shared" si="11"/>
        <v>Poor</v>
      </c>
      <c r="T143" s="4">
        <f>Table1[[#This Row],[Deposit_Amount]]+Table1[[#This Row],[Withdrawal_Amount]]</f>
        <v>241288.08000000002</v>
      </c>
      <c r="U143" t="s">
        <v>274</v>
      </c>
    </row>
    <row r="144" spans="1:21" x14ac:dyDescent="0.3">
      <c r="A144">
        <v>143</v>
      </c>
      <c r="B144" t="s">
        <v>49</v>
      </c>
      <c r="C144" t="s">
        <v>22</v>
      </c>
      <c r="D144">
        <v>59</v>
      </c>
      <c r="E144" t="s">
        <v>31</v>
      </c>
      <c r="F144" s="4">
        <v>338432.5</v>
      </c>
      <c r="G144" t="str">
        <f t="shared" si="8"/>
        <v>High Income</v>
      </c>
      <c r="H144">
        <v>210361.86</v>
      </c>
      <c r="I144">
        <v>354</v>
      </c>
      <c r="J144" t="s">
        <v>18</v>
      </c>
      <c r="K144" t="s">
        <v>42</v>
      </c>
      <c r="L144">
        <v>158939.62</v>
      </c>
      <c r="M144">
        <v>100136.41</v>
      </c>
      <c r="N144" t="s">
        <v>25</v>
      </c>
      <c r="O144" s="7">
        <f t="shared" ca="1" si="9"/>
        <v>45793</v>
      </c>
      <c r="P144" s="7">
        <v>45857</v>
      </c>
      <c r="Q144">
        <v>4</v>
      </c>
      <c r="R144" t="str">
        <f t="shared" si="10"/>
        <v>High Risk</v>
      </c>
      <c r="S144" t="str">
        <f t="shared" si="11"/>
        <v>Poor</v>
      </c>
      <c r="T144" s="4">
        <f>Table1[[#This Row],[Deposit_Amount]]+Table1[[#This Row],[Withdrawal_Amount]]</f>
        <v>548794.36</v>
      </c>
      <c r="U144" t="s">
        <v>274</v>
      </c>
    </row>
    <row r="145" spans="1:21" x14ac:dyDescent="0.3">
      <c r="A145">
        <v>144</v>
      </c>
      <c r="B145" t="s">
        <v>33</v>
      </c>
      <c r="C145" t="s">
        <v>22</v>
      </c>
      <c r="D145">
        <v>46</v>
      </c>
      <c r="E145" t="s">
        <v>17</v>
      </c>
      <c r="F145" s="4">
        <v>356856.92</v>
      </c>
      <c r="G145" t="str">
        <f t="shared" si="8"/>
        <v>High Income</v>
      </c>
      <c r="H145">
        <v>56765.21</v>
      </c>
      <c r="I145">
        <v>349</v>
      </c>
      <c r="J145" t="s">
        <v>18</v>
      </c>
      <c r="K145" t="s">
        <v>59</v>
      </c>
      <c r="L145">
        <v>460011.73</v>
      </c>
      <c r="M145">
        <v>170942.47</v>
      </c>
      <c r="N145" t="s">
        <v>25</v>
      </c>
      <c r="O145" s="7">
        <f t="shared" ca="1" si="9"/>
        <v>45906</v>
      </c>
      <c r="P145" s="7">
        <v>45925</v>
      </c>
      <c r="Q145">
        <v>5</v>
      </c>
      <c r="R145" t="str">
        <f t="shared" si="10"/>
        <v>High Risk</v>
      </c>
      <c r="S145" t="str">
        <f t="shared" si="11"/>
        <v>Poor</v>
      </c>
      <c r="T145" s="4">
        <f>Table1[[#This Row],[Deposit_Amount]]+Table1[[#This Row],[Withdrawal_Amount]]</f>
        <v>413622.13</v>
      </c>
      <c r="U145" t="s">
        <v>274</v>
      </c>
    </row>
    <row r="146" spans="1:21" x14ac:dyDescent="0.3">
      <c r="A146">
        <v>145</v>
      </c>
      <c r="B146" t="s">
        <v>15</v>
      </c>
      <c r="C146" t="s">
        <v>16</v>
      </c>
      <c r="D146">
        <v>66</v>
      </c>
      <c r="E146" t="s">
        <v>35</v>
      </c>
      <c r="F146" s="4">
        <v>420035.59</v>
      </c>
      <c r="G146" t="str">
        <f t="shared" si="8"/>
        <v>High Income</v>
      </c>
      <c r="H146">
        <v>266024.62</v>
      </c>
      <c r="I146">
        <v>875</v>
      </c>
      <c r="J146" t="s">
        <v>18</v>
      </c>
      <c r="K146" t="s">
        <v>42</v>
      </c>
      <c r="L146">
        <v>338593.33</v>
      </c>
      <c r="M146">
        <v>230473.82</v>
      </c>
      <c r="N146" t="s">
        <v>28</v>
      </c>
      <c r="O146" s="7">
        <f t="shared" ca="1" si="9"/>
        <v>45768</v>
      </c>
      <c r="P146" s="7">
        <v>45772</v>
      </c>
      <c r="Q146">
        <v>3</v>
      </c>
      <c r="R146" t="str">
        <f t="shared" si="10"/>
        <v>Low Risk</v>
      </c>
      <c r="S146" t="str">
        <f t="shared" si="11"/>
        <v>Good</v>
      </c>
      <c r="T146" s="4">
        <f>Table1[[#This Row],[Deposit_Amount]]+Table1[[#This Row],[Withdrawal_Amount]]</f>
        <v>686060.21</v>
      </c>
      <c r="U146" t="s">
        <v>274</v>
      </c>
    </row>
    <row r="147" spans="1:21" x14ac:dyDescent="0.3">
      <c r="A147">
        <v>146</v>
      </c>
      <c r="B147" t="s">
        <v>86</v>
      </c>
      <c r="C147" t="s">
        <v>22</v>
      </c>
      <c r="D147">
        <v>34</v>
      </c>
      <c r="E147" t="s">
        <v>31</v>
      </c>
      <c r="F147" s="4">
        <v>199337.37</v>
      </c>
      <c r="G147" t="str">
        <f t="shared" si="8"/>
        <v>Midum Income</v>
      </c>
      <c r="H147">
        <v>254499.4</v>
      </c>
      <c r="I147">
        <v>669</v>
      </c>
      <c r="J147" t="s">
        <v>27</v>
      </c>
      <c r="K147" t="s">
        <v>36</v>
      </c>
      <c r="L147">
        <v>-18598.59</v>
      </c>
      <c r="M147">
        <v>244552.93</v>
      </c>
      <c r="N147" t="s">
        <v>28</v>
      </c>
      <c r="O147" s="7">
        <f t="shared" ca="1" si="9"/>
        <v>45784</v>
      </c>
      <c r="P147" s="7">
        <v>45977</v>
      </c>
      <c r="Q147">
        <v>4</v>
      </c>
      <c r="R147" t="str">
        <f t="shared" si="10"/>
        <v>Low Risk</v>
      </c>
      <c r="S147" t="str">
        <f t="shared" si="11"/>
        <v>Good</v>
      </c>
      <c r="T147" s="4">
        <f>Table1[[#This Row],[Deposit_Amount]]+Table1[[#This Row],[Withdrawal_Amount]]</f>
        <v>453836.77</v>
      </c>
      <c r="U147" t="s">
        <v>274</v>
      </c>
    </row>
    <row r="148" spans="1:21" x14ac:dyDescent="0.3">
      <c r="A148">
        <v>147</v>
      </c>
      <c r="B148" t="s">
        <v>93</v>
      </c>
      <c r="C148" t="s">
        <v>22</v>
      </c>
      <c r="D148">
        <v>48</v>
      </c>
      <c r="E148" t="s">
        <v>35</v>
      </c>
      <c r="F148" s="4">
        <v>358773.2</v>
      </c>
      <c r="G148" t="str">
        <f t="shared" si="8"/>
        <v>High Income</v>
      </c>
      <c r="H148">
        <v>235811.58</v>
      </c>
      <c r="I148">
        <v>744</v>
      </c>
      <c r="J148" t="s">
        <v>32</v>
      </c>
      <c r="K148" t="s">
        <v>36</v>
      </c>
      <c r="L148">
        <v>168926.29</v>
      </c>
      <c r="M148">
        <v>108894.83</v>
      </c>
      <c r="N148" t="s">
        <v>25</v>
      </c>
      <c r="O148" s="7">
        <f t="shared" ca="1" si="9"/>
        <v>45778</v>
      </c>
      <c r="P148" s="7">
        <v>45937</v>
      </c>
      <c r="Q148">
        <v>4</v>
      </c>
      <c r="R148" t="str">
        <f t="shared" si="10"/>
        <v>Low Risk</v>
      </c>
      <c r="S148" t="str">
        <f t="shared" si="11"/>
        <v>Good</v>
      </c>
      <c r="T148" s="4">
        <f>Table1[[#This Row],[Deposit_Amount]]+Table1[[#This Row],[Withdrawal_Amount]]</f>
        <v>594584.78</v>
      </c>
      <c r="U148" t="s">
        <v>274</v>
      </c>
    </row>
    <row r="149" spans="1:21" x14ac:dyDescent="0.3">
      <c r="A149">
        <v>148</v>
      </c>
      <c r="B149" t="s">
        <v>83</v>
      </c>
      <c r="C149" t="s">
        <v>22</v>
      </c>
      <c r="D149">
        <v>65</v>
      </c>
      <c r="E149" t="s">
        <v>44</v>
      </c>
      <c r="F149" s="4">
        <v>305915.65000000002</v>
      </c>
      <c r="G149" t="str">
        <f t="shared" si="8"/>
        <v>High Income</v>
      </c>
      <c r="H149">
        <v>25180.11</v>
      </c>
      <c r="I149">
        <v>885</v>
      </c>
      <c r="J149" t="s">
        <v>27</v>
      </c>
      <c r="K149" t="s">
        <v>19</v>
      </c>
      <c r="L149">
        <v>318314.52</v>
      </c>
      <c r="M149">
        <v>38928.03</v>
      </c>
      <c r="N149" t="s">
        <v>28</v>
      </c>
      <c r="O149" s="7">
        <f t="shared" ca="1" si="9"/>
        <v>46007</v>
      </c>
      <c r="P149" s="7">
        <v>45688</v>
      </c>
      <c r="Q149">
        <v>2</v>
      </c>
      <c r="R149" t="str">
        <f t="shared" si="10"/>
        <v>Low Risk</v>
      </c>
      <c r="S149" t="str">
        <f t="shared" si="11"/>
        <v>Good</v>
      </c>
      <c r="T149" s="4">
        <f>Table1[[#This Row],[Deposit_Amount]]+Table1[[#This Row],[Withdrawal_Amount]]</f>
        <v>331095.76</v>
      </c>
      <c r="U149" t="s">
        <v>274</v>
      </c>
    </row>
    <row r="150" spans="1:21" x14ac:dyDescent="0.3">
      <c r="A150">
        <v>149</v>
      </c>
      <c r="B150" t="s">
        <v>138</v>
      </c>
      <c r="C150" t="s">
        <v>22</v>
      </c>
      <c r="D150">
        <v>65</v>
      </c>
      <c r="E150" t="s">
        <v>40</v>
      </c>
      <c r="F150" s="4">
        <v>311239.25</v>
      </c>
      <c r="G150" t="str">
        <f t="shared" si="8"/>
        <v>High Income</v>
      </c>
      <c r="H150">
        <v>205194.88</v>
      </c>
      <c r="I150">
        <v>471</v>
      </c>
      <c r="J150" t="s">
        <v>27</v>
      </c>
      <c r="K150" t="s">
        <v>24</v>
      </c>
      <c r="L150">
        <v>181684.21</v>
      </c>
      <c r="M150">
        <v>234240</v>
      </c>
      <c r="N150" t="s">
        <v>25</v>
      </c>
      <c r="O150" s="7">
        <f t="shared" ca="1" si="9"/>
        <v>45944</v>
      </c>
      <c r="P150" s="7">
        <v>46018</v>
      </c>
      <c r="Q150">
        <v>1</v>
      </c>
      <c r="R150" t="str">
        <f t="shared" si="10"/>
        <v>Midum Risk</v>
      </c>
      <c r="S150" t="str">
        <f t="shared" si="11"/>
        <v xml:space="preserve">Midum </v>
      </c>
      <c r="T150" s="4">
        <f>Table1[[#This Row],[Deposit_Amount]]+Table1[[#This Row],[Withdrawal_Amount]]</f>
        <v>516434.13</v>
      </c>
      <c r="U150" t="s">
        <v>274</v>
      </c>
    </row>
    <row r="151" spans="1:21" x14ac:dyDescent="0.3">
      <c r="A151">
        <v>150</v>
      </c>
      <c r="B151" t="s">
        <v>93</v>
      </c>
      <c r="C151" t="s">
        <v>22</v>
      </c>
      <c r="D151">
        <v>39</v>
      </c>
      <c r="E151" t="s">
        <v>44</v>
      </c>
      <c r="F151" s="4">
        <v>36289.81</v>
      </c>
      <c r="G151" t="str">
        <f t="shared" si="8"/>
        <v>Low Income</v>
      </c>
      <c r="H151">
        <v>64816.639999999999</v>
      </c>
      <c r="I151">
        <v>425</v>
      </c>
      <c r="J151" t="s">
        <v>38</v>
      </c>
      <c r="K151" t="s">
        <v>19</v>
      </c>
      <c r="L151">
        <v>86350.68</v>
      </c>
      <c r="M151">
        <v>76430.16</v>
      </c>
      <c r="N151" t="s">
        <v>25</v>
      </c>
      <c r="O151" s="7">
        <f t="shared" ca="1" si="9"/>
        <v>45794</v>
      </c>
      <c r="P151" s="7">
        <v>46021</v>
      </c>
      <c r="Q151">
        <v>4</v>
      </c>
      <c r="R151" t="str">
        <f t="shared" si="10"/>
        <v>Midum Risk</v>
      </c>
      <c r="S151" t="str">
        <f t="shared" si="11"/>
        <v xml:space="preserve">Midum </v>
      </c>
      <c r="T151" s="4">
        <f>Table1[[#This Row],[Deposit_Amount]]+Table1[[#This Row],[Withdrawal_Amount]]</f>
        <v>101106.45</v>
      </c>
      <c r="U151" t="s">
        <v>274</v>
      </c>
    </row>
    <row r="152" spans="1:21" x14ac:dyDescent="0.3">
      <c r="A152">
        <v>151</v>
      </c>
      <c r="B152" t="s">
        <v>139</v>
      </c>
      <c r="C152" t="s">
        <v>22</v>
      </c>
      <c r="D152">
        <v>42</v>
      </c>
      <c r="E152" t="s">
        <v>17</v>
      </c>
      <c r="F152" s="4">
        <v>83224.25</v>
      </c>
      <c r="G152" t="str">
        <f t="shared" si="8"/>
        <v>Low Income</v>
      </c>
      <c r="H152">
        <v>176126.97</v>
      </c>
      <c r="I152">
        <v>847</v>
      </c>
      <c r="J152" t="s">
        <v>18</v>
      </c>
      <c r="K152" t="s">
        <v>19</v>
      </c>
      <c r="L152">
        <v>-76843</v>
      </c>
      <c r="M152">
        <v>171327.34</v>
      </c>
      <c r="N152" t="s">
        <v>28</v>
      </c>
      <c r="O152" s="7">
        <f t="shared" ca="1" si="9"/>
        <v>45987</v>
      </c>
      <c r="P152" s="7">
        <v>46012</v>
      </c>
      <c r="Q152">
        <v>3</v>
      </c>
      <c r="R152" t="str">
        <f t="shared" si="10"/>
        <v>Low Risk</v>
      </c>
      <c r="S152" t="str">
        <f t="shared" si="11"/>
        <v>Good</v>
      </c>
      <c r="T152" s="4">
        <f>Table1[[#This Row],[Deposit_Amount]]+Table1[[#This Row],[Withdrawal_Amount]]</f>
        <v>259351.22</v>
      </c>
      <c r="U152" t="s">
        <v>274</v>
      </c>
    </row>
    <row r="153" spans="1:21" x14ac:dyDescent="0.3">
      <c r="A153">
        <v>152</v>
      </c>
      <c r="B153" t="s">
        <v>140</v>
      </c>
      <c r="C153" t="s">
        <v>22</v>
      </c>
      <c r="D153">
        <v>40</v>
      </c>
      <c r="E153" t="s">
        <v>40</v>
      </c>
      <c r="F153" s="4">
        <v>198895.65</v>
      </c>
      <c r="G153" t="str">
        <f t="shared" si="8"/>
        <v>Midum Income</v>
      </c>
      <c r="H153">
        <v>13117.75</v>
      </c>
      <c r="I153">
        <v>754</v>
      </c>
      <c r="J153" t="s">
        <v>18</v>
      </c>
      <c r="K153" t="s">
        <v>19</v>
      </c>
      <c r="L153">
        <v>260449.81</v>
      </c>
      <c r="M153">
        <v>63172.02</v>
      </c>
      <c r="N153" t="s">
        <v>20</v>
      </c>
      <c r="O153" s="7">
        <f t="shared" ca="1" si="9"/>
        <v>45823</v>
      </c>
      <c r="P153" s="7">
        <v>45734</v>
      </c>
      <c r="Q153">
        <v>3</v>
      </c>
      <c r="R153" t="str">
        <f t="shared" si="10"/>
        <v>Low Risk</v>
      </c>
      <c r="S153" t="str">
        <f t="shared" si="11"/>
        <v>Good</v>
      </c>
      <c r="T153" s="4">
        <f>Table1[[#This Row],[Deposit_Amount]]+Table1[[#This Row],[Withdrawal_Amount]]</f>
        <v>212013.4</v>
      </c>
      <c r="U153" t="s">
        <v>274</v>
      </c>
    </row>
    <row r="154" spans="1:21" x14ac:dyDescent="0.3">
      <c r="A154">
        <v>153</v>
      </c>
      <c r="B154" t="s">
        <v>141</v>
      </c>
      <c r="C154" t="s">
        <v>22</v>
      </c>
      <c r="D154">
        <v>28</v>
      </c>
      <c r="E154" t="s">
        <v>44</v>
      </c>
      <c r="F154" s="4">
        <v>480950.93</v>
      </c>
      <c r="G154" t="str">
        <f t="shared" si="8"/>
        <v>High Income</v>
      </c>
      <c r="H154">
        <v>122022.18</v>
      </c>
      <c r="I154">
        <v>467</v>
      </c>
      <c r="J154" t="s">
        <v>27</v>
      </c>
      <c r="K154" t="s">
        <v>59</v>
      </c>
      <c r="L154">
        <v>412733.28</v>
      </c>
      <c r="M154">
        <v>232483.78</v>
      </c>
      <c r="N154" t="s">
        <v>28</v>
      </c>
      <c r="O154" s="7">
        <f t="shared" ca="1" si="9"/>
        <v>45936</v>
      </c>
      <c r="P154" s="7">
        <v>45759</v>
      </c>
      <c r="Q154">
        <v>4</v>
      </c>
      <c r="R154" t="str">
        <f t="shared" si="10"/>
        <v>Midum Risk</v>
      </c>
      <c r="S154" t="str">
        <f t="shared" si="11"/>
        <v xml:space="preserve">Midum </v>
      </c>
      <c r="T154" s="4">
        <f>Table1[[#This Row],[Deposit_Amount]]+Table1[[#This Row],[Withdrawal_Amount]]</f>
        <v>602973.11</v>
      </c>
      <c r="U154" t="s">
        <v>274</v>
      </c>
    </row>
    <row r="155" spans="1:21" x14ac:dyDescent="0.3">
      <c r="A155">
        <v>154</v>
      </c>
      <c r="B155" t="s">
        <v>70</v>
      </c>
      <c r="C155" t="s">
        <v>22</v>
      </c>
      <c r="D155">
        <v>25</v>
      </c>
      <c r="E155" t="s">
        <v>40</v>
      </c>
      <c r="F155" s="4">
        <v>122633.18</v>
      </c>
      <c r="G155" t="str">
        <f t="shared" si="8"/>
        <v>Midum Income</v>
      </c>
      <c r="H155">
        <v>268846.99</v>
      </c>
      <c r="I155">
        <v>838</v>
      </c>
      <c r="J155" t="s">
        <v>32</v>
      </c>
      <c r="K155" t="s">
        <v>36</v>
      </c>
      <c r="L155">
        <v>43257.33</v>
      </c>
      <c r="M155">
        <v>68706.53</v>
      </c>
      <c r="N155" t="s">
        <v>28</v>
      </c>
      <c r="O155" s="7">
        <f t="shared" ca="1" si="9"/>
        <v>45761</v>
      </c>
      <c r="P155" s="7">
        <v>45965</v>
      </c>
      <c r="Q155">
        <v>2</v>
      </c>
      <c r="R155" t="str">
        <f t="shared" si="10"/>
        <v>Low Risk</v>
      </c>
      <c r="S155" t="str">
        <f t="shared" si="11"/>
        <v>Good</v>
      </c>
      <c r="T155" s="4">
        <f>Table1[[#This Row],[Deposit_Amount]]+Table1[[#This Row],[Withdrawal_Amount]]</f>
        <v>391480.17</v>
      </c>
      <c r="U155" t="s">
        <v>274</v>
      </c>
    </row>
    <row r="156" spans="1:21" x14ac:dyDescent="0.3">
      <c r="A156">
        <v>155</v>
      </c>
      <c r="B156" t="s">
        <v>96</v>
      </c>
      <c r="C156" t="s">
        <v>22</v>
      </c>
      <c r="D156">
        <v>25</v>
      </c>
      <c r="E156" t="s">
        <v>35</v>
      </c>
      <c r="F156" s="4">
        <v>212230</v>
      </c>
      <c r="G156" t="str">
        <f t="shared" si="8"/>
        <v>High Income</v>
      </c>
      <c r="H156">
        <v>135108.93</v>
      </c>
      <c r="I156">
        <v>346</v>
      </c>
      <c r="J156" t="s">
        <v>32</v>
      </c>
      <c r="K156" t="s">
        <v>19</v>
      </c>
      <c r="L156">
        <v>135238.03</v>
      </c>
      <c r="M156">
        <v>194231.45</v>
      </c>
      <c r="N156" t="s">
        <v>20</v>
      </c>
      <c r="O156" s="7">
        <f t="shared" ca="1" si="9"/>
        <v>45695</v>
      </c>
      <c r="P156" s="7">
        <v>45930</v>
      </c>
      <c r="Q156">
        <v>5</v>
      </c>
      <c r="R156" t="str">
        <f t="shared" si="10"/>
        <v>High Risk</v>
      </c>
      <c r="S156" t="str">
        <f t="shared" si="11"/>
        <v>Poor</v>
      </c>
      <c r="T156" s="4">
        <f>Table1[[#This Row],[Deposit_Amount]]+Table1[[#This Row],[Withdrawal_Amount]]</f>
        <v>347338.93</v>
      </c>
      <c r="U156" t="s">
        <v>274</v>
      </c>
    </row>
    <row r="157" spans="1:21" x14ac:dyDescent="0.3">
      <c r="A157">
        <v>156</v>
      </c>
      <c r="B157" t="s">
        <v>142</v>
      </c>
      <c r="C157" t="s">
        <v>22</v>
      </c>
      <c r="D157">
        <v>66</v>
      </c>
      <c r="E157" t="s">
        <v>35</v>
      </c>
      <c r="F157" s="4">
        <v>188942.39</v>
      </c>
      <c r="G157" t="str">
        <f t="shared" si="8"/>
        <v>Midum Income</v>
      </c>
      <c r="H157">
        <v>58463.74</v>
      </c>
      <c r="I157">
        <v>619</v>
      </c>
      <c r="J157" t="s">
        <v>38</v>
      </c>
      <c r="K157" t="s">
        <v>59</v>
      </c>
      <c r="L157">
        <v>327885.26</v>
      </c>
      <c r="M157">
        <v>113936.74</v>
      </c>
      <c r="N157" t="s">
        <v>20</v>
      </c>
      <c r="O157" s="7">
        <f t="shared" ca="1" si="9"/>
        <v>45947</v>
      </c>
      <c r="P157" s="7">
        <v>45858</v>
      </c>
      <c r="Q157">
        <v>1</v>
      </c>
      <c r="R157" t="str">
        <f t="shared" si="10"/>
        <v>Low Risk</v>
      </c>
      <c r="S157" t="str">
        <f t="shared" si="11"/>
        <v>Good</v>
      </c>
      <c r="T157" s="4">
        <f>Table1[[#This Row],[Deposit_Amount]]+Table1[[#This Row],[Withdrawal_Amount]]</f>
        <v>247406.13</v>
      </c>
      <c r="U157" t="s">
        <v>274</v>
      </c>
    </row>
    <row r="158" spans="1:21" x14ac:dyDescent="0.3">
      <c r="A158">
        <v>157</v>
      </c>
      <c r="B158" t="s">
        <v>143</v>
      </c>
      <c r="C158" t="s">
        <v>16</v>
      </c>
      <c r="D158">
        <v>27</v>
      </c>
      <c r="E158" t="s">
        <v>31</v>
      </c>
      <c r="F158" s="4">
        <v>182863.16</v>
      </c>
      <c r="G158" t="str">
        <f t="shared" si="8"/>
        <v>Midum Income</v>
      </c>
      <c r="H158">
        <v>151194.96</v>
      </c>
      <c r="I158">
        <v>788</v>
      </c>
      <c r="J158" t="s">
        <v>18</v>
      </c>
      <c r="K158" t="s">
        <v>19</v>
      </c>
      <c r="L158">
        <v>111494.59</v>
      </c>
      <c r="M158">
        <v>241580.43</v>
      </c>
      <c r="N158" t="s">
        <v>28</v>
      </c>
      <c r="O158" s="7">
        <f t="shared" ca="1" si="9"/>
        <v>45722</v>
      </c>
      <c r="P158" s="7">
        <v>45684</v>
      </c>
      <c r="Q158">
        <v>1</v>
      </c>
      <c r="R158" t="str">
        <f t="shared" si="10"/>
        <v>Low Risk</v>
      </c>
      <c r="S158" t="str">
        <f t="shared" si="11"/>
        <v>Good</v>
      </c>
      <c r="T158" s="4">
        <f>Table1[[#This Row],[Deposit_Amount]]+Table1[[#This Row],[Withdrawal_Amount]]</f>
        <v>334058.12</v>
      </c>
      <c r="U158" t="s">
        <v>274</v>
      </c>
    </row>
    <row r="159" spans="1:21" x14ac:dyDescent="0.3">
      <c r="A159">
        <v>158</v>
      </c>
      <c r="B159" t="s">
        <v>100</v>
      </c>
      <c r="C159" t="s">
        <v>16</v>
      </c>
      <c r="D159">
        <v>49</v>
      </c>
      <c r="E159" t="s">
        <v>17</v>
      </c>
      <c r="F159" s="4">
        <v>153458.9</v>
      </c>
      <c r="G159" t="str">
        <f t="shared" si="8"/>
        <v>Midum Income</v>
      </c>
      <c r="H159">
        <v>78105.2</v>
      </c>
      <c r="I159">
        <v>610</v>
      </c>
      <c r="J159" t="s">
        <v>18</v>
      </c>
      <c r="K159" t="s">
        <v>19</v>
      </c>
      <c r="L159">
        <v>160210.79999999999</v>
      </c>
      <c r="M159">
        <v>184220.77</v>
      </c>
      <c r="N159" t="s">
        <v>20</v>
      </c>
      <c r="O159" s="7">
        <f t="shared" ca="1" si="9"/>
        <v>46019</v>
      </c>
      <c r="P159" s="7">
        <v>45689</v>
      </c>
      <c r="Q159">
        <v>3</v>
      </c>
      <c r="R159" t="str">
        <f t="shared" si="10"/>
        <v>Low Risk</v>
      </c>
      <c r="S159" t="str">
        <f t="shared" si="11"/>
        <v>Good</v>
      </c>
      <c r="T159" s="4">
        <f>Table1[[#This Row],[Deposit_Amount]]+Table1[[#This Row],[Withdrawal_Amount]]</f>
        <v>231564.09999999998</v>
      </c>
      <c r="U159" t="s">
        <v>274</v>
      </c>
    </row>
    <row r="160" spans="1:21" x14ac:dyDescent="0.3">
      <c r="A160">
        <v>159</v>
      </c>
      <c r="B160" t="s">
        <v>144</v>
      </c>
      <c r="C160" t="s">
        <v>16</v>
      </c>
      <c r="D160">
        <v>68</v>
      </c>
      <c r="E160" t="s">
        <v>35</v>
      </c>
      <c r="F160" s="4">
        <v>20688.39</v>
      </c>
      <c r="G160" t="str">
        <f t="shared" si="8"/>
        <v>Low Income</v>
      </c>
      <c r="H160">
        <v>182453.86</v>
      </c>
      <c r="I160">
        <v>760</v>
      </c>
      <c r="J160" t="s">
        <v>38</v>
      </c>
      <c r="K160" t="s">
        <v>24</v>
      </c>
      <c r="L160">
        <v>-143946.64000000001</v>
      </c>
      <c r="M160">
        <v>181490.14</v>
      </c>
      <c r="N160" t="s">
        <v>20</v>
      </c>
      <c r="O160" s="7">
        <f t="shared" ca="1" si="9"/>
        <v>46015</v>
      </c>
      <c r="P160" s="7">
        <v>45957</v>
      </c>
      <c r="Q160">
        <v>3</v>
      </c>
      <c r="R160" t="str">
        <f t="shared" si="10"/>
        <v>Low Risk</v>
      </c>
      <c r="S160" t="str">
        <f t="shared" si="11"/>
        <v>Good</v>
      </c>
      <c r="T160" s="4">
        <f>Table1[[#This Row],[Deposit_Amount]]+Table1[[#This Row],[Withdrawal_Amount]]</f>
        <v>203142.25</v>
      </c>
      <c r="U160" t="s">
        <v>274</v>
      </c>
    </row>
    <row r="161" spans="1:21" x14ac:dyDescent="0.3">
      <c r="A161">
        <v>160</v>
      </c>
      <c r="B161" t="s">
        <v>145</v>
      </c>
      <c r="C161" t="s">
        <v>22</v>
      </c>
      <c r="D161">
        <v>25</v>
      </c>
      <c r="E161" t="s">
        <v>17</v>
      </c>
      <c r="F161" s="4">
        <v>59934.89</v>
      </c>
      <c r="G161" t="str">
        <f t="shared" si="8"/>
        <v>Low Income</v>
      </c>
      <c r="H161">
        <v>275614.63</v>
      </c>
      <c r="I161">
        <v>629</v>
      </c>
      <c r="J161" t="s">
        <v>18</v>
      </c>
      <c r="K161" t="s">
        <v>42</v>
      </c>
      <c r="L161">
        <v>-22065.759999999998</v>
      </c>
      <c r="M161">
        <v>65386.64</v>
      </c>
      <c r="N161" t="s">
        <v>20</v>
      </c>
      <c r="O161" s="7">
        <f t="shared" ca="1" si="9"/>
        <v>45876</v>
      </c>
      <c r="P161" s="7">
        <v>45996</v>
      </c>
      <c r="Q161">
        <v>2</v>
      </c>
      <c r="R161" t="str">
        <f t="shared" si="10"/>
        <v>Low Risk</v>
      </c>
      <c r="S161" t="str">
        <f t="shared" si="11"/>
        <v>Good</v>
      </c>
      <c r="T161" s="4">
        <f>Table1[[#This Row],[Deposit_Amount]]+Table1[[#This Row],[Withdrawal_Amount]]</f>
        <v>335549.52</v>
      </c>
      <c r="U161" t="s">
        <v>274</v>
      </c>
    </row>
    <row r="162" spans="1:21" x14ac:dyDescent="0.3">
      <c r="A162">
        <v>161</v>
      </c>
      <c r="B162" t="s">
        <v>146</v>
      </c>
      <c r="C162" t="s">
        <v>22</v>
      </c>
      <c r="D162">
        <v>51</v>
      </c>
      <c r="E162" t="s">
        <v>40</v>
      </c>
      <c r="F162" s="4">
        <v>276796.28999999998</v>
      </c>
      <c r="G162" t="str">
        <f t="shared" si="8"/>
        <v>High Income</v>
      </c>
      <c r="H162">
        <v>216664.89</v>
      </c>
      <c r="I162">
        <v>542</v>
      </c>
      <c r="J162" t="s">
        <v>27</v>
      </c>
      <c r="K162" t="s">
        <v>36</v>
      </c>
      <c r="L162">
        <v>207677.44</v>
      </c>
      <c r="M162">
        <v>67881.97</v>
      </c>
      <c r="N162" t="s">
        <v>20</v>
      </c>
      <c r="O162" s="7">
        <f t="shared" ca="1" si="9"/>
        <v>45780</v>
      </c>
      <c r="P162" s="7">
        <v>45982</v>
      </c>
      <c r="Q162">
        <v>1</v>
      </c>
      <c r="R162" t="str">
        <f t="shared" si="10"/>
        <v>Midum Risk</v>
      </c>
      <c r="S162" t="str">
        <f t="shared" si="11"/>
        <v xml:space="preserve">Midum </v>
      </c>
      <c r="T162" s="4">
        <f>Table1[[#This Row],[Deposit_Amount]]+Table1[[#This Row],[Withdrawal_Amount]]</f>
        <v>493461.18</v>
      </c>
      <c r="U162" t="s">
        <v>274</v>
      </c>
    </row>
    <row r="163" spans="1:21" x14ac:dyDescent="0.3">
      <c r="A163">
        <v>162</v>
      </c>
      <c r="B163" t="s">
        <v>147</v>
      </c>
      <c r="C163" t="s">
        <v>16</v>
      </c>
      <c r="D163">
        <v>61</v>
      </c>
      <c r="E163" t="s">
        <v>44</v>
      </c>
      <c r="F163" s="4">
        <v>243743.68</v>
      </c>
      <c r="G163" t="str">
        <f t="shared" si="8"/>
        <v>High Income</v>
      </c>
      <c r="H163">
        <v>180739.85</v>
      </c>
      <c r="I163">
        <v>844</v>
      </c>
      <c r="J163" t="s">
        <v>27</v>
      </c>
      <c r="K163" t="s">
        <v>24</v>
      </c>
      <c r="L163">
        <v>150012.76999999999</v>
      </c>
      <c r="M163">
        <v>128963.3</v>
      </c>
      <c r="N163" t="s">
        <v>28</v>
      </c>
      <c r="O163" s="7">
        <f t="shared" ca="1" si="9"/>
        <v>45752</v>
      </c>
      <c r="P163" s="7">
        <v>45955</v>
      </c>
      <c r="Q163">
        <v>1</v>
      </c>
      <c r="R163" t="str">
        <f t="shared" si="10"/>
        <v>Low Risk</v>
      </c>
      <c r="S163" t="str">
        <f t="shared" si="11"/>
        <v>Good</v>
      </c>
      <c r="T163" s="4">
        <f>Table1[[#This Row],[Deposit_Amount]]+Table1[[#This Row],[Withdrawal_Amount]]</f>
        <v>424483.53</v>
      </c>
      <c r="U163" t="s">
        <v>274</v>
      </c>
    </row>
    <row r="164" spans="1:21" x14ac:dyDescent="0.3">
      <c r="A164">
        <v>163</v>
      </c>
      <c r="B164" t="s">
        <v>146</v>
      </c>
      <c r="C164" t="s">
        <v>22</v>
      </c>
      <c r="D164">
        <v>26</v>
      </c>
      <c r="E164" t="s">
        <v>40</v>
      </c>
      <c r="F164" s="4">
        <v>410016.33</v>
      </c>
      <c r="G164" t="str">
        <f t="shared" si="8"/>
        <v>High Income</v>
      </c>
      <c r="H164">
        <v>95729.08</v>
      </c>
      <c r="I164">
        <v>605</v>
      </c>
      <c r="J164" t="s">
        <v>32</v>
      </c>
      <c r="K164" t="s">
        <v>24</v>
      </c>
      <c r="L164">
        <v>356974.37</v>
      </c>
      <c r="M164">
        <v>70893.600000000006</v>
      </c>
      <c r="N164" t="s">
        <v>20</v>
      </c>
      <c r="O164" s="7">
        <f t="shared" ca="1" si="9"/>
        <v>45991</v>
      </c>
      <c r="P164" s="7">
        <v>45834</v>
      </c>
      <c r="Q164">
        <v>5</v>
      </c>
      <c r="R164" t="str">
        <f t="shared" si="10"/>
        <v>Low Risk</v>
      </c>
      <c r="S164" t="str">
        <f t="shared" si="11"/>
        <v>Good</v>
      </c>
      <c r="T164" s="4">
        <f>Table1[[#This Row],[Deposit_Amount]]+Table1[[#This Row],[Withdrawal_Amount]]</f>
        <v>505745.41000000003</v>
      </c>
      <c r="U164" t="s">
        <v>274</v>
      </c>
    </row>
    <row r="165" spans="1:21" x14ac:dyDescent="0.3">
      <c r="A165">
        <v>164</v>
      </c>
      <c r="B165" t="s">
        <v>100</v>
      </c>
      <c r="C165" t="s">
        <v>16</v>
      </c>
      <c r="D165">
        <v>53</v>
      </c>
      <c r="E165" t="s">
        <v>40</v>
      </c>
      <c r="F165" s="4">
        <v>197621.8</v>
      </c>
      <c r="G165" t="str">
        <f t="shared" si="8"/>
        <v>Midum Income</v>
      </c>
      <c r="H165">
        <v>133129.85999999999</v>
      </c>
      <c r="I165">
        <v>766</v>
      </c>
      <c r="J165" t="s">
        <v>27</v>
      </c>
      <c r="K165" t="s">
        <v>42</v>
      </c>
      <c r="L165">
        <v>250254.61</v>
      </c>
      <c r="M165">
        <v>246744.55</v>
      </c>
      <c r="N165" t="s">
        <v>25</v>
      </c>
      <c r="O165" s="7">
        <f t="shared" ca="1" si="9"/>
        <v>45923</v>
      </c>
      <c r="P165" s="7">
        <v>45933</v>
      </c>
      <c r="Q165">
        <v>5</v>
      </c>
      <c r="R165" t="str">
        <f t="shared" si="10"/>
        <v>Low Risk</v>
      </c>
      <c r="S165" t="str">
        <f t="shared" si="11"/>
        <v>Good</v>
      </c>
      <c r="T165" s="4">
        <f>Table1[[#This Row],[Deposit_Amount]]+Table1[[#This Row],[Withdrawal_Amount]]</f>
        <v>330751.65999999997</v>
      </c>
      <c r="U165" t="s">
        <v>274</v>
      </c>
    </row>
    <row r="166" spans="1:21" x14ac:dyDescent="0.3">
      <c r="A166">
        <v>165</v>
      </c>
      <c r="B166" t="s">
        <v>148</v>
      </c>
      <c r="C166" t="s">
        <v>16</v>
      </c>
      <c r="D166">
        <v>46</v>
      </c>
      <c r="E166" t="s">
        <v>31</v>
      </c>
      <c r="F166" s="4">
        <v>442784.79</v>
      </c>
      <c r="G166" t="str">
        <f t="shared" si="8"/>
        <v>High Income</v>
      </c>
      <c r="H166">
        <v>100564.76</v>
      </c>
      <c r="I166">
        <v>893</v>
      </c>
      <c r="J166" t="s">
        <v>32</v>
      </c>
      <c r="K166" t="s">
        <v>24</v>
      </c>
      <c r="L166">
        <v>428234.47</v>
      </c>
      <c r="M166">
        <v>97520.46</v>
      </c>
      <c r="N166" t="s">
        <v>20</v>
      </c>
      <c r="O166" s="7">
        <f t="shared" ca="1" si="9"/>
        <v>45979</v>
      </c>
      <c r="P166" s="7">
        <v>45708</v>
      </c>
      <c r="Q166">
        <v>2</v>
      </c>
      <c r="R166" t="str">
        <f t="shared" si="10"/>
        <v>Low Risk</v>
      </c>
      <c r="S166" t="str">
        <f t="shared" si="11"/>
        <v>Good</v>
      </c>
      <c r="T166" s="4">
        <f>Table1[[#This Row],[Deposit_Amount]]+Table1[[#This Row],[Withdrawal_Amount]]</f>
        <v>543349.54999999993</v>
      </c>
      <c r="U166" t="s">
        <v>274</v>
      </c>
    </row>
    <row r="167" spans="1:21" x14ac:dyDescent="0.3">
      <c r="A167">
        <v>166</v>
      </c>
      <c r="B167" t="s">
        <v>117</v>
      </c>
      <c r="C167" t="s">
        <v>22</v>
      </c>
      <c r="D167">
        <v>31</v>
      </c>
      <c r="E167" t="s">
        <v>31</v>
      </c>
      <c r="F167" s="4">
        <v>209933.11</v>
      </c>
      <c r="G167" t="str">
        <f t="shared" si="8"/>
        <v>High Income</v>
      </c>
      <c r="H167">
        <v>186897.75</v>
      </c>
      <c r="I167">
        <v>622</v>
      </c>
      <c r="J167" t="s">
        <v>18</v>
      </c>
      <c r="K167" t="s">
        <v>36</v>
      </c>
      <c r="L167">
        <v>96312.74</v>
      </c>
      <c r="M167">
        <v>29814.31</v>
      </c>
      <c r="N167" t="s">
        <v>28</v>
      </c>
      <c r="O167" s="7">
        <f t="shared" ca="1" si="9"/>
        <v>45895</v>
      </c>
      <c r="P167" s="7">
        <v>45999</v>
      </c>
      <c r="Q167">
        <v>5</v>
      </c>
      <c r="R167" t="str">
        <f t="shared" si="10"/>
        <v>Low Risk</v>
      </c>
      <c r="S167" t="str">
        <f t="shared" si="11"/>
        <v>Good</v>
      </c>
      <c r="T167" s="4">
        <f>Table1[[#This Row],[Deposit_Amount]]+Table1[[#This Row],[Withdrawal_Amount]]</f>
        <v>396830.86</v>
      </c>
      <c r="U167" t="s">
        <v>274</v>
      </c>
    </row>
    <row r="168" spans="1:21" x14ac:dyDescent="0.3">
      <c r="A168">
        <v>167</v>
      </c>
      <c r="B168" t="s">
        <v>149</v>
      </c>
      <c r="C168" t="s">
        <v>22</v>
      </c>
      <c r="D168">
        <v>48</v>
      </c>
      <c r="E168" t="s">
        <v>23</v>
      </c>
      <c r="F168" s="4">
        <v>116176.17</v>
      </c>
      <c r="G168" t="str">
        <f t="shared" si="8"/>
        <v>Midum Income</v>
      </c>
      <c r="H168">
        <v>249184.54</v>
      </c>
      <c r="I168">
        <v>438</v>
      </c>
      <c r="J168" t="s">
        <v>18</v>
      </c>
      <c r="K168" t="s">
        <v>24</v>
      </c>
      <c r="L168">
        <v>4281.8100000000004</v>
      </c>
      <c r="M168">
        <v>96910.01</v>
      </c>
      <c r="N168" t="s">
        <v>25</v>
      </c>
      <c r="O168" s="7">
        <f t="shared" ca="1" si="9"/>
        <v>45904</v>
      </c>
      <c r="P168" s="7">
        <v>45666</v>
      </c>
      <c r="Q168">
        <v>5</v>
      </c>
      <c r="R168" t="str">
        <f t="shared" si="10"/>
        <v>Midum Risk</v>
      </c>
      <c r="S168" t="str">
        <f t="shared" si="11"/>
        <v xml:space="preserve">Midum </v>
      </c>
      <c r="T168" s="4">
        <f>Table1[[#This Row],[Deposit_Amount]]+Table1[[#This Row],[Withdrawal_Amount]]</f>
        <v>365360.71</v>
      </c>
      <c r="U168" t="s">
        <v>274</v>
      </c>
    </row>
    <row r="169" spans="1:21" x14ac:dyDescent="0.3">
      <c r="A169">
        <v>168</v>
      </c>
      <c r="B169" t="s">
        <v>50</v>
      </c>
      <c r="C169" t="s">
        <v>16</v>
      </c>
      <c r="D169">
        <v>26</v>
      </c>
      <c r="E169" t="s">
        <v>17</v>
      </c>
      <c r="F169" s="4">
        <v>214207.79</v>
      </c>
      <c r="G169" t="str">
        <f t="shared" si="8"/>
        <v>High Income</v>
      </c>
      <c r="H169">
        <v>19022.740000000002</v>
      </c>
      <c r="I169">
        <v>622</v>
      </c>
      <c r="J169" t="s">
        <v>18</v>
      </c>
      <c r="K169" t="s">
        <v>19</v>
      </c>
      <c r="L169">
        <v>267969.42</v>
      </c>
      <c r="M169">
        <v>191671.75</v>
      </c>
      <c r="N169" t="s">
        <v>25</v>
      </c>
      <c r="O169" s="7">
        <f t="shared" ca="1" si="9"/>
        <v>45704</v>
      </c>
      <c r="P169" s="7">
        <v>45866</v>
      </c>
      <c r="Q169">
        <v>2</v>
      </c>
      <c r="R169" t="str">
        <f t="shared" si="10"/>
        <v>Low Risk</v>
      </c>
      <c r="S169" t="str">
        <f t="shared" si="11"/>
        <v>Good</v>
      </c>
      <c r="T169" s="4">
        <f>Table1[[#This Row],[Deposit_Amount]]+Table1[[#This Row],[Withdrawal_Amount]]</f>
        <v>233230.53</v>
      </c>
      <c r="U169" t="s">
        <v>274</v>
      </c>
    </row>
    <row r="170" spans="1:21" x14ac:dyDescent="0.3">
      <c r="A170">
        <v>169</v>
      </c>
      <c r="B170" t="s">
        <v>150</v>
      </c>
      <c r="C170" t="s">
        <v>16</v>
      </c>
      <c r="D170">
        <v>52</v>
      </c>
      <c r="E170" t="s">
        <v>17</v>
      </c>
      <c r="F170" s="4">
        <v>293260.09000000003</v>
      </c>
      <c r="G170" t="str">
        <f t="shared" si="8"/>
        <v>High Income</v>
      </c>
      <c r="H170">
        <v>257637.18</v>
      </c>
      <c r="I170">
        <v>417</v>
      </c>
      <c r="J170" t="s">
        <v>38</v>
      </c>
      <c r="K170" t="s">
        <v>24</v>
      </c>
      <c r="L170">
        <v>117628.32</v>
      </c>
      <c r="M170">
        <v>62147.93</v>
      </c>
      <c r="N170" t="s">
        <v>25</v>
      </c>
      <c r="O170" s="7">
        <f t="shared" ca="1" si="9"/>
        <v>45801</v>
      </c>
      <c r="P170" s="7">
        <v>45929</v>
      </c>
      <c r="Q170">
        <v>3</v>
      </c>
      <c r="R170" t="str">
        <f t="shared" si="10"/>
        <v>Midum Risk</v>
      </c>
      <c r="S170" t="str">
        <f t="shared" si="11"/>
        <v xml:space="preserve">Midum </v>
      </c>
      <c r="T170" s="4">
        <f>Table1[[#This Row],[Deposit_Amount]]+Table1[[#This Row],[Withdrawal_Amount]]</f>
        <v>550897.27</v>
      </c>
      <c r="U170" t="s">
        <v>274</v>
      </c>
    </row>
    <row r="171" spans="1:21" x14ac:dyDescent="0.3">
      <c r="A171">
        <v>170</v>
      </c>
      <c r="B171" t="s">
        <v>100</v>
      </c>
      <c r="C171" t="s">
        <v>16</v>
      </c>
      <c r="D171">
        <v>65</v>
      </c>
      <c r="E171" t="s">
        <v>23</v>
      </c>
      <c r="F171" s="4">
        <v>66883.97</v>
      </c>
      <c r="G171" t="str">
        <f t="shared" si="8"/>
        <v>Low Income</v>
      </c>
      <c r="H171">
        <v>32212.42</v>
      </c>
      <c r="I171">
        <v>522</v>
      </c>
      <c r="J171" t="s">
        <v>18</v>
      </c>
      <c r="K171" t="s">
        <v>59</v>
      </c>
      <c r="L171">
        <v>128327.01</v>
      </c>
      <c r="M171">
        <v>121306.13</v>
      </c>
      <c r="N171" t="s">
        <v>28</v>
      </c>
      <c r="O171" s="7">
        <f t="shared" ca="1" si="9"/>
        <v>45972</v>
      </c>
      <c r="P171" s="7">
        <v>45713</v>
      </c>
      <c r="Q171">
        <v>3</v>
      </c>
      <c r="R171" t="str">
        <f t="shared" si="10"/>
        <v>Midum Risk</v>
      </c>
      <c r="S171" t="str">
        <f t="shared" si="11"/>
        <v xml:space="preserve">Midum </v>
      </c>
      <c r="T171" s="4">
        <f>Table1[[#This Row],[Deposit_Amount]]+Table1[[#This Row],[Withdrawal_Amount]]</f>
        <v>99096.39</v>
      </c>
      <c r="U171" t="s">
        <v>274</v>
      </c>
    </row>
    <row r="172" spans="1:21" x14ac:dyDescent="0.3">
      <c r="A172">
        <v>171</v>
      </c>
      <c r="B172" t="s">
        <v>150</v>
      </c>
      <c r="C172" t="s">
        <v>16</v>
      </c>
      <c r="D172">
        <v>67</v>
      </c>
      <c r="E172" t="s">
        <v>23</v>
      </c>
      <c r="F172" s="4">
        <v>115794.38</v>
      </c>
      <c r="G172" t="str">
        <f t="shared" si="8"/>
        <v>Midum Income</v>
      </c>
      <c r="H172">
        <v>296370.40999999997</v>
      </c>
      <c r="I172">
        <v>893</v>
      </c>
      <c r="J172" t="s">
        <v>27</v>
      </c>
      <c r="K172" t="s">
        <v>36</v>
      </c>
      <c r="L172">
        <v>-16178.85</v>
      </c>
      <c r="M172">
        <v>16815.310000000001</v>
      </c>
      <c r="N172" t="s">
        <v>20</v>
      </c>
      <c r="O172" s="7">
        <f t="shared" ca="1" si="9"/>
        <v>45928</v>
      </c>
      <c r="P172" s="7">
        <v>45666</v>
      </c>
      <c r="Q172">
        <v>2</v>
      </c>
      <c r="R172" t="str">
        <f t="shared" si="10"/>
        <v>Low Risk</v>
      </c>
      <c r="S172" t="str">
        <f t="shared" si="11"/>
        <v>Good</v>
      </c>
      <c r="T172" s="4">
        <f>Table1[[#This Row],[Deposit_Amount]]+Table1[[#This Row],[Withdrawal_Amount]]</f>
        <v>412164.79</v>
      </c>
      <c r="U172" t="s">
        <v>274</v>
      </c>
    </row>
    <row r="173" spans="1:21" x14ac:dyDescent="0.3">
      <c r="A173">
        <v>172</v>
      </c>
      <c r="B173" t="s">
        <v>140</v>
      </c>
      <c r="C173" t="s">
        <v>22</v>
      </c>
      <c r="D173">
        <v>25</v>
      </c>
      <c r="E173" t="s">
        <v>17</v>
      </c>
      <c r="F173" s="4">
        <v>386279.49</v>
      </c>
      <c r="G173" t="str">
        <f t="shared" si="8"/>
        <v>High Income</v>
      </c>
      <c r="H173">
        <v>84028.63</v>
      </c>
      <c r="I173">
        <v>468</v>
      </c>
      <c r="J173" t="s">
        <v>18</v>
      </c>
      <c r="K173" t="s">
        <v>24</v>
      </c>
      <c r="L173">
        <v>393373.16</v>
      </c>
      <c r="M173">
        <v>71814.38</v>
      </c>
      <c r="N173" t="s">
        <v>20</v>
      </c>
      <c r="O173" s="7">
        <f t="shared" ca="1" si="9"/>
        <v>45854</v>
      </c>
      <c r="P173" s="7">
        <v>45796</v>
      </c>
      <c r="Q173">
        <v>3</v>
      </c>
      <c r="R173" t="str">
        <f t="shared" si="10"/>
        <v>Midum Risk</v>
      </c>
      <c r="S173" t="str">
        <f t="shared" si="11"/>
        <v xml:space="preserve">Midum </v>
      </c>
      <c r="T173" s="4">
        <f>Table1[[#This Row],[Deposit_Amount]]+Table1[[#This Row],[Withdrawal_Amount]]</f>
        <v>470308.12</v>
      </c>
      <c r="U173" t="s">
        <v>274</v>
      </c>
    </row>
    <row r="174" spans="1:21" x14ac:dyDescent="0.3">
      <c r="A174">
        <v>173</v>
      </c>
      <c r="B174" t="s">
        <v>138</v>
      </c>
      <c r="C174" t="s">
        <v>22</v>
      </c>
      <c r="D174">
        <v>68</v>
      </c>
      <c r="E174" t="s">
        <v>31</v>
      </c>
      <c r="F174" s="4">
        <v>51538.87</v>
      </c>
      <c r="G174" t="str">
        <f t="shared" si="8"/>
        <v>Low Income</v>
      </c>
      <c r="H174">
        <v>221266.38</v>
      </c>
      <c r="I174">
        <v>814</v>
      </c>
      <c r="J174" t="s">
        <v>32</v>
      </c>
      <c r="K174" t="s">
        <v>19</v>
      </c>
      <c r="L174">
        <v>-140421.01</v>
      </c>
      <c r="M174">
        <v>44576.800000000003</v>
      </c>
      <c r="N174" t="s">
        <v>28</v>
      </c>
      <c r="O174" s="7">
        <f t="shared" ca="1" si="9"/>
        <v>45973</v>
      </c>
      <c r="P174" s="7">
        <v>45916</v>
      </c>
      <c r="Q174">
        <v>4</v>
      </c>
      <c r="R174" t="str">
        <f t="shared" si="10"/>
        <v>Low Risk</v>
      </c>
      <c r="S174" t="str">
        <f t="shared" si="11"/>
        <v>Good</v>
      </c>
      <c r="T174" s="4">
        <f>Table1[[#This Row],[Deposit_Amount]]+Table1[[#This Row],[Withdrawal_Amount]]</f>
        <v>272805.25</v>
      </c>
      <c r="U174" t="s">
        <v>274</v>
      </c>
    </row>
    <row r="175" spans="1:21" x14ac:dyDescent="0.3">
      <c r="A175">
        <v>174</v>
      </c>
      <c r="B175" t="s">
        <v>79</v>
      </c>
      <c r="C175" t="s">
        <v>16</v>
      </c>
      <c r="D175">
        <v>49</v>
      </c>
      <c r="E175" t="s">
        <v>31</v>
      </c>
      <c r="F175" s="4">
        <v>392744.89</v>
      </c>
      <c r="G175" t="str">
        <f t="shared" si="8"/>
        <v>High Income</v>
      </c>
      <c r="H175">
        <v>90341.36</v>
      </c>
      <c r="I175">
        <v>353</v>
      </c>
      <c r="J175" t="s">
        <v>27</v>
      </c>
      <c r="K175" t="s">
        <v>19</v>
      </c>
      <c r="L175">
        <v>409639.23</v>
      </c>
      <c r="M175">
        <v>144610.29</v>
      </c>
      <c r="N175" t="s">
        <v>20</v>
      </c>
      <c r="O175" s="7">
        <f t="shared" ca="1" si="9"/>
        <v>45964</v>
      </c>
      <c r="P175" s="7">
        <v>45674</v>
      </c>
      <c r="Q175">
        <v>2</v>
      </c>
      <c r="R175" t="str">
        <f t="shared" si="10"/>
        <v>High Risk</v>
      </c>
      <c r="S175" t="str">
        <f t="shared" si="11"/>
        <v>Poor</v>
      </c>
      <c r="T175" s="4">
        <f>Table1[[#This Row],[Deposit_Amount]]+Table1[[#This Row],[Withdrawal_Amount]]</f>
        <v>483086.25</v>
      </c>
      <c r="U175" t="s">
        <v>274</v>
      </c>
    </row>
    <row r="176" spans="1:21" x14ac:dyDescent="0.3">
      <c r="A176">
        <v>175</v>
      </c>
      <c r="B176" t="s">
        <v>54</v>
      </c>
      <c r="C176" t="s">
        <v>16</v>
      </c>
      <c r="D176">
        <v>27</v>
      </c>
      <c r="E176" t="s">
        <v>44</v>
      </c>
      <c r="F176" s="4">
        <v>300127</v>
      </c>
      <c r="G176" t="str">
        <f t="shared" si="8"/>
        <v>High Income</v>
      </c>
      <c r="H176">
        <v>60649.58</v>
      </c>
      <c r="I176">
        <v>352</v>
      </c>
      <c r="J176" t="s">
        <v>41</v>
      </c>
      <c r="K176" t="s">
        <v>24</v>
      </c>
      <c r="L176">
        <v>322737.08</v>
      </c>
      <c r="M176">
        <v>152786.31</v>
      </c>
      <c r="N176" t="s">
        <v>25</v>
      </c>
      <c r="O176" s="7">
        <f t="shared" ca="1" si="9"/>
        <v>45819</v>
      </c>
      <c r="P176" s="7">
        <v>45790</v>
      </c>
      <c r="Q176">
        <v>3</v>
      </c>
      <c r="R176" t="str">
        <f t="shared" si="10"/>
        <v>High Risk</v>
      </c>
      <c r="S176" t="str">
        <f t="shared" si="11"/>
        <v>Poor</v>
      </c>
      <c r="T176" s="4">
        <f>Table1[[#This Row],[Deposit_Amount]]+Table1[[#This Row],[Withdrawal_Amount]]</f>
        <v>360776.58</v>
      </c>
      <c r="U176" t="s">
        <v>274</v>
      </c>
    </row>
    <row r="177" spans="1:21" x14ac:dyDescent="0.3">
      <c r="A177">
        <v>176</v>
      </c>
      <c r="B177" t="s">
        <v>149</v>
      </c>
      <c r="C177" t="s">
        <v>22</v>
      </c>
      <c r="D177">
        <v>22</v>
      </c>
      <c r="E177" t="s">
        <v>40</v>
      </c>
      <c r="F177" s="4">
        <v>176117.52</v>
      </c>
      <c r="G177" t="str">
        <f t="shared" si="8"/>
        <v>Midum Income</v>
      </c>
      <c r="H177">
        <v>259987.77</v>
      </c>
      <c r="I177">
        <v>453</v>
      </c>
      <c r="J177" t="s">
        <v>41</v>
      </c>
      <c r="K177" t="s">
        <v>24</v>
      </c>
      <c r="L177">
        <v>18161.12</v>
      </c>
      <c r="M177">
        <v>55005.06</v>
      </c>
      <c r="N177" t="s">
        <v>28</v>
      </c>
      <c r="O177" s="7">
        <f t="shared" ca="1" si="9"/>
        <v>45873</v>
      </c>
      <c r="P177" s="7">
        <v>45685</v>
      </c>
      <c r="Q177">
        <v>4</v>
      </c>
      <c r="R177" t="str">
        <f t="shared" si="10"/>
        <v>Midum Risk</v>
      </c>
      <c r="S177" t="str">
        <f t="shared" si="11"/>
        <v xml:space="preserve">Midum </v>
      </c>
      <c r="T177" s="4">
        <f>Table1[[#This Row],[Deposit_Amount]]+Table1[[#This Row],[Withdrawal_Amount]]</f>
        <v>436105.29</v>
      </c>
      <c r="U177" t="s">
        <v>274</v>
      </c>
    </row>
    <row r="178" spans="1:21" x14ac:dyDescent="0.3">
      <c r="A178">
        <v>177</v>
      </c>
      <c r="B178" t="s">
        <v>151</v>
      </c>
      <c r="C178" t="s">
        <v>22</v>
      </c>
      <c r="D178">
        <v>29</v>
      </c>
      <c r="E178" t="s">
        <v>40</v>
      </c>
      <c r="F178" s="4">
        <v>64747.25</v>
      </c>
      <c r="G178" t="str">
        <f t="shared" si="8"/>
        <v>Low Income</v>
      </c>
      <c r="H178">
        <v>187190.72</v>
      </c>
      <c r="I178">
        <v>874</v>
      </c>
      <c r="J178" t="s">
        <v>27</v>
      </c>
      <c r="K178" t="s">
        <v>19</v>
      </c>
      <c r="L178">
        <v>69059.66</v>
      </c>
      <c r="M178">
        <v>109918.67</v>
      </c>
      <c r="N178" t="s">
        <v>20</v>
      </c>
      <c r="O178" s="7">
        <f t="shared" ca="1" si="9"/>
        <v>46016</v>
      </c>
      <c r="P178" s="7">
        <v>45836</v>
      </c>
      <c r="Q178">
        <v>4</v>
      </c>
      <c r="R178" t="str">
        <f t="shared" si="10"/>
        <v>Low Risk</v>
      </c>
      <c r="S178" t="str">
        <f t="shared" si="11"/>
        <v>Good</v>
      </c>
      <c r="T178" s="4">
        <f>Table1[[#This Row],[Deposit_Amount]]+Table1[[#This Row],[Withdrawal_Amount]]</f>
        <v>251937.97</v>
      </c>
      <c r="U178" t="s">
        <v>274</v>
      </c>
    </row>
    <row r="179" spans="1:21" x14ac:dyDescent="0.3">
      <c r="A179">
        <v>178</v>
      </c>
      <c r="B179" t="s">
        <v>152</v>
      </c>
      <c r="C179" t="s">
        <v>22</v>
      </c>
      <c r="D179">
        <v>53</v>
      </c>
      <c r="E179" t="s">
        <v>23</v>
      </c>
      <c r="F179" s="4">
        <v>190253.76</v>
      </c>
      <c r="G179" t="str">
        <f t="shared" si="8"/>
        <v>Midum Income</v>
      </c>
      <c r="H179">
        <v>51927.99</v>
      </c>
      <c r="I179">
        <v>342</v>
      </c>
      <c r="J179" t="s">
        <v>38</v>
      </c>
      <c r="K179" t="s">
        <v>24</v>
      </c>
      <c r="L179">
        <v>269328.83</v>
      </c>
      <c r="M179">
        <v>60838.92</v>
      </c>
      <c r="N179" t="s">
        <v>20</v>
      </c>
      <c r="O179" s="7">
        <f t="shared" ca="1" si="9"/>
        <v>45696</v>
      </c>
      <c r="P179" s="7">
        <v>46020</v>
      </c>
      <c r="Q179">
        <v>4</v>
      </c>
      <c r="R179" t="str">
        <f t="shared" si="10"/>
        <v>High Risk</v>
      </c>
      <c r="S179" t="str">
        <f t="shared" si="11"/>
        <v>Poor</v>
      </c>
      <c r="T179" s="4">
        <f>Table1[[#This Row],[Deposit_Amount]]+Table1[[#This Row],[Withdrawal_Amount]]</f>
        <v>242181.75</v>
      </c>
      <c r="U179" t="s">
        <v>274</v>
      </c>
    </row>
    <row r="180" spans="1:21" x14ac:dyDescent="0.3">
      <c r="A180">
        <v>179</v>
      </c>
      <c r="B180" t="s">
        <v>153</v>
      </c>
      <c r="C180" t="s">
        <v>16</v>
      </c>
      <c r="D180">
        <v>60</v>
      </c>
      <c r="E180" t="s">
        <v>40</v>
      </c>
      <c r="F180" s="4">
        <v>246392.63</v>
      </c>
      <c r="G180" t="str">
        <f t="shared" si="8"/>
        <v>High Income</v>
      </c>
      <c r="H180">
        <v>64115.78</v>
      </c>
      <c r="I180">
        <v>658</v>
      </c>
      <c r="J180" t="s">
        <v>41</v>
      </c>
      <c r="K180" t="s">
        <v>24</v>
      </c>
      <c r="L180">
        <v>341416.01</v>
      </c>
      <c r="M180">
        <v>118705.92</v>
      </c>
      <c r="N180" t="s">
        <v>20</v>
      </c>
      <c r="O180" s="7">
        <f t="shared" ca="1" si="9"/>
        <v>45786</v>
      </c>
      <c r="P180" s="7">
        <v>45676</v>
      </c>
      <c r="Q180">
        <v>1</v>
      </c>
      <c r="R180" t="str">
        <f t="shared" si="10"/>
        <v>Low Risk</v>
      </c>
      <c r="S180" t="str">
        <f t="shared" si="11"/>
        <v>Good</v>
      </c>
      <c r="T180" s="4">
        <f>Table1[[#This Row],[Deposit_Amount]]+Table1[[#This Row],[Withdrawal_Amount]]</f>
        <v>310508.41000000003</v>
      </c>
      <c r="U180" t="s">
        <v>274</v>
      </c>
    </row>
    <row r="181" spans="1:21" x14ac:dyDescent="0.3">
      <c r="A181">
        <v>180</v>
      </c>
      <c r="B181" t="s">
        <v>154</v>
      </c>
      <c r="C181" t="s">
        <v>16</v>
      </c>
      <c r="D181">
        <v>45</v>
      </c>
      <c r="E181" t="s">
        <v>31</v>
      </c>
      <c r="F181" s="4">
        <v>484023.56</v>
      </c>
      <c r="G181" t="str">
        <f t="shared" si="8"/>
        <v>High Income</v>
      </c>
      <c r="H181">
        <v>226401.85</v>
      </c>
      <c r="I181">
        <v>373</v>
      </c>
      <c r="J181" t="s">
        <v>41</v>
      </c>
      <c r="K181" t="s">
        <v>59</v>
      </c>
      <c r="L181">
        <v>442020.73</v>
      </c>
      <c r="M181">
        <v>94495.42</v>
      </c>
      <c r="N181" t="s">
        <v>28</v>
      </c>
      <c r="O181" s="7">
        <f t="shared" ca="1" si="9"/>
        <v>45765</v>
      </c>
      <c r="P181" s="7">
        <v>45762</v>
      </c>
      <c r="Q181">
        <v>3</v>
      </c>
      <c r="R181" t="str">
        <f t="shared" si="10"/>
        <v>High Risk</v>
      </c>
      <c r="S181" t="str">
        <f t="shared" si="11"/>
        <v>Poor</v>
      </c>
      <c r="T181" s="4">
        <f>Table1[[#This Row],[Deposit_Amount]]+Table1[[#This Row],[Withdrawal_Amount]]</f>
        <v>710425.41</v>
      </c>
      <c r="U181" t="s">
        <v>274</v>
      </c>
    </row>
    <row r="182" spans="1:21" x14ac:dyDescent="0.3">
      <c r="A182">
        <v>181</v>
      </c>
      <c r="B182" t="s">
        <v>155</v>
      </c>
      <c r="C182" t="s">
        <v>16</v>
      </c>
      <c r="D182">
        <v>69</v>
      </c>
      <c r="E182" t="s">
        <v>31</v>
      </c>
      <c r="F182" s="4">
        <v>227337.1</v>
      </c>
      <c r="G182" t="str">
        <f t="shared" si="8"/>
        <v>High Income</v>
      </c>
      <c r="H182">
        <v>251068.77</v>
      </c>
      <c r="I182">
        <v>876</v>
      </c>
      <c r="J182" t="s">
        <v>32</v>
      </c>
      <c r="K182" t="s">
        <v>42</v>
      </c>
      <c r="L182">
        <v>33114.980000000003</v>
      </c>
      <c r="M182">
        <v>59109.599999999999</v>
      </c>
      <c r="N182" t="s">
        <v>28</v>
      </c>
      <c r="O182" s="7">
        <f t="shared" ca="1" si="9"/>
        <v>45911</v>
      </c>
      <c r="P182" s="7">
        <v>45910</v>
      </c>
      <c r="Q182">
        <v>2</v>
      </c>
      <c r="R182" t="str">
        <f t="shared" si="10"/>
        <v>Low Risk</v>
      </c>
      <c r="S182" t="str">
        <f t="shared" si="11"/>
        <v>Good</v>
      </c>
      <c r="T182" s="4">
        <f>Table1[[#This Row],[Deposit_Amount]]+Table1[[#This Row],[Withdrawal_Amount]]</f>
        <v>478405.87</v>
      </c>
      <c r="U182" t="s">
        <v>274</v>
      </c>
    </row>
    <row r="183" spans="1:21" x14ac:dyDescent="0.3">
      <c r="A183">
        <v>182</v>
      </c>
      <c r="B183" t="s">
        <v>45</v>
      </c>
      <c r="C183" t="s">
        <v>22</v>
      </c>
      <c r="D183">
        <v>21</v>
      </c>
      <c r="E183" t="s">
        <v>31</v>
      </c>
      <c r="F183" s="4">
        <v>56673.57</v>
      </c>
      <c r="G183" t="str">
        <f t="shared" si="8"/>
        <v>Low Income</v>
      </c>
      <c r="H183">
        <v>189800.67</v>
      </c>
      <c r="I183">
        <v>559</v>
      </c>
      <c r="J183" t="s">
        <v>27</v>
      </c>
      <c r="K183" t="s">
        <v>24</v>
      </c>
      <c r="L183">
        <v>-90885.32</v>
      </c>
      <c r="M183">
        <v>68512.240000000005</v>
      </c>
      <c r="N183" t="s">
        <v>25</v>
      </c>
      <c r="O183" s="7">
        <f t="shared" ca="1" si="9"/>
        <v>45917</v>
      </c>
      <c r="P183" s="7">
        <v>45661</v>
      </c>
      <c r="Q183">
        <v>2</v>
      </c>
      <c r="R183" t="str">
        <f t="shared" si="10"/>
        <v>Midum Risk</v>
      </c>
      <c r="S183" t="str">
        <f t="shared" si="11"/>
        <v xml:space="preserve">Midum </v>
      </c>
      <c r="T183" s="4">
        <f>Table1[[#This Row],[Deposit_Amount]]+Table1[[#This Row],[Withdrawal_Amount]]</f>
        <v>246474.24000000002</v>
      </c>
      <c r="U183" t="s">
        <v>274</v>
      </c>
    </row>
    <row r="184" spans="1:21" x14ac:dyDescent="0.3">
      <c r="A184">
        <v>183</v>
      </c>
      <c r="B184" t="s">
        <v>69</v>
      </c>
      <c r="C184" t="s">
        <v>16</v>
      </c>
      <c r="D184">
        <v>40</v>
      </c>
      <c r="E184" t="s">
        <v>40</v>
      </c>
      <c r="F184" s="4">
        <v>281671.3</v>
      </c>
      <c r="G184" t="str">
        <f t="shared" si="8"/>
        <v>High Income</v>
      </c>
      <c r="H184">
        <v>129415.98</v>
      </c>
      <c r="I184">
        <v>775</v>
      </c>
      <c r="J184" t="s">
        <v>41</v>
      </c>
      <c r="K184" t="s">
        <v>24</v>
      </c>
      <c r="L184">
        <v>253368.93</v>
      </c>
      <c r="M184">
        <v>80274.13</v>
      </c>
      <c r="N184" t="s">
        <v>20</v>
      </c>
      <c r="O184" s="7">
        <f t="shared" ca="1" si="9"/>
        <v>45744</v>
      </c>
      <c r="P184" s="7">
        <v>45995</v>
      </c>
      <c r="Q184">
        <v>1</v>
      </c>
      <c r="R184" t="str">
        <f t="shared" si="10"/>
        <v>Low Risk</v>
      </c>
      <c r="S184" t="str">
        <f t="shared" si="11"/>
        <v>Good</v>
      </c>
      <c r="T184" s="4">
        <f>Table1[[#This Row],[Deposit_Amount]]+Table1[[#This Row],[Withdrawal_Amount]]</f>
        <v>411087.27999999997</v>
      </c>
      <c r="U184" t="s">
        <v>274</v>
      </c>
    </row>
    <row r="185" spans="1:21" x14ac:dyDescent="0.3">
      <c r="A185">
        <v>184</v>
      </c>
      <c r="B185" t="s">
        <v>156</v>
      </c>
      <c r="C185" t="s">
        <v>16</v>
      </c>
      <c r="D185">
        <v>41</v>
      </c>
      <c r="E185" t="s">
        <v>23</v>
      </c>
      <c r="F185" s="4">
        <v>354740.8</v>
      </c>
      <c r="G185" t="str">
        <f t="shared" si="8"/>
        <v>High Income</v>
      </c>
      <c r="H185">
        <v>166552.1</v>
      </c>
      <c r="I185">
        <v>894</v>
      </c>
      <c r="J185" t="s">
        <v>41</v>
      </c>
      <c r="K185" t="s">
        <v>24</v>
      </c>
      <c r="L185">
        <v>375263.88</v>
      </c>
      <c r="M185">
        <v>191217.08</v>
      </c>
      <c r="N185" t="s">
        <v>28</v>
      </c>
      <c r="O185" s="7">
        <f t="shared" ca="1" si="9"/>
        <v>45743</v>
      </c>
      <c r="P185" s="7">
        <v>45930</v>
      </c>
      <c r="Q185">
        <v>3</v>
      </c>
      <c r="R185" t="str">
        <f t="shared" si="10"/>
        <v>Low Risk</v>
      </c>
      <c r="S185" t="str">
        <f t="shared" si="11"/>
        <v>Good</v>
      </c>
      <c r="T185" s="4">
        <f>Table1[[#This Row],[Deposit_Amount]]+Table1[[#This Row],[Withdrawal_Amount]]</f>
        <v>521292.9</v>
      </c>
      <c r="U185" t="s">
        <v>274</v>
      </c>
    </row>
    <row r="186" spans="1:21" x14ac:dyDescent="0.3">
      <c r="A186">
        <v>185</v>
      </c>
      <c r="B186" t="s">
        <v>66</v>
      </c>
      <c r="C186" t="s">
        <v>16</v>
      </c>
      <c r="D186">
        <v>38</v>
      </c>
      <c r="E186" t="s">
        <v>23</v>
      </c>
      <c r="F186" s="4">
        <v>256783.19</v>
      </c>
      <c r="G186" t="str">
        <f t="shared" si="8"/>
        <v>High Income</v>
      </c>
      <c r="H186">
        <v>269168.01</v>
      </c>
      <c r="I186">
        <v>716</v>
      </c>
      <c r="J186" t="s">
        <v>41</v>
      </c>
      <c r="K186" t="s">
        <v>19</v>
      </c>
      <c r="L186">
        <v>95341.95</v>
      </c>
      <c r="M186">
        <v>127567.74</v>
      </c>
      <c r="N186" t="s">
        <v>25</v>
      </c>
      <c r="O186" s="7">
        <f t="shared" ca="1" si="9"/>
        <v>45974</v>
      </c>
      <c r="P186" s="7">
        <v>45878</v>
      </c>
      <c r="Q186">
        <v>4</v>
      </c>
      <c r="R186" t="str">
        <f t="shared" si="10"/>
        <v>Low Risk</v>
      </c>
      <c r="S186" t="str">
        <f t="shared" si="11"/>
        <v>Good</v>
      </c>
      <c r="T186" s="4">
        <f>Table1[[#This Row],[Deposit_Amount]]+Table1[[#This Row],[Withdrawal_Amount]]</f>
        <v>525951.19999999995</v>
      </c>
      <c r="U186" t="s">
        <v>274</v>
      </c>
    </row>
    <row r="187" spans="1:21" x14ac:dyDescent="0.3">
      <c r="A187">
        <v>186</v>
      </c>
      <c r="B187" t="s">
        <v>157</v>
      </c>
      <c r="C187" t="s">
        <v>22</v>
      </c>
      <c r="D187">
        <v>68</v>
      </c>
      <c r="E187" t="s">
        <v>44</v>
      </c>
      <c r="F187" s="4">
        <v>141381.70000000001</v>
      </c>
      <c r="G187" t="str">
        <f t="shared" si="8"/>
        <v>Midum Income</v>
      </c>
      <c r="H187">
        <v>145416.29</v>
      </c>
      <c r="I187">
        <v>558</v>
      </c>
      <c r="J187" t="s">
        <v>41</v>
      </c>
      <c r="K187" t="s">
        <v>59</v>
      </c>
      <c r="L187">
        <v>65481.52</v>
      </c>
      <c r="M187">
        <v>227711.54</v>
      </c>
      <c r="N187" t="s">
        <v>28</v>
      </c>
      <c r="O187" s="7">
        <f t="shared" ca="1" si="9"/>
        <v>45724</v>
      </c>
      <c r="P187" s="7">
        <v>45699</v>
      </c>
      <c r="Q187">
        <v>5</v>
      </c>
      <c r="R187" t="str">
        <f t="shared" si="10"/>
        <v>Midum Risk</v>
      </c>
      <c r="S187" t="str">
        <f t="shared" si="11"/>
        <v xml:space="preserve">Midum </v>
      </c>
      <c r="T187" s="4">
        <f>Table1[[#This Row],[Deposit_Amount]]+Table1[[#This Row],[Withdrawal_Amount]]</f>
        <v>286797.99</v>
      </c>
      <c r="U187" t="s">
        <v>274</v>
      </c>
    </row>
    <row r="188" spans="1:21" x14ac:dyDescent="0.3">
      <c r="A188">
        <v>187</v>
      </c>
      <c r="B188" t="s">
        <v>158</v>
      </c>
      <c r="C188" t="s">
        <v>16</v>
      </c>
      <c r="D188">
        <v>38</v>
      </c>
      <c r="E188" t="s">
        <v>17</v>
      </c>
      <c r="F188" s="4">
        <v>170072.11</v>
      </c>
      <c r="G188" t="str">
        <f t="shared" si="8"/>
        <v>Midum Income</v>
      </c>
      <c r="H188">
        <v>22811.54</v>
      </c>
      <c r="I188">
        <v>511</v>
      </c>
      <c r="J188" t="s">
        <v>38</v>
      </c>
      <c r="K188" t="s">
        <v>36</v>
      </c>
      <c r="L188">
        <v>343405.32</v>
      </c>
      <c r="M188">
        <v>198027.2</v>
      </c>
      <c r="N188" t="s">
        <v>28</v>
      </c>
      <c r="O188" s="7">
        <f t="shared" ca="1" si="9"/>
        <v>45976</v>
      </c>
      <c r="P188" s="7">
        <v>45988</v>
      </c>
      <c r="Q188">
        <v>1</v>
      </c>
      <c r="R188" t="str">
        <f t="shared" si="10"/>
        <v>Midum Risk</v>
      </c>
      <c r="S188" t="str">
        <f t="shared" si="11"/>
        <v xml:space="preserve">Midum </v>
      </c>
      <c r="T188" s="4">
        <f>Table1[[#This Row],[Deposit_Amount]]+Table1[[#This Row],[Withdrawal_Amount]]</f>
        <v>192883.65</v>
      </c>
      <c r="U188" t="s">
        <v>274</v>
      </c>
    </row>
    <row r="189" spans="1:21" x14ac:dyDescent="0.3">
      <c r="A189">
        <v>188</v>
      </c>
      <c r="B189" t="s">
        <v>130</v>
      </c>
      <c r="C189" t="s">
        <v>16</v>
      </c>
      <c r="D189">
        <v>37</v>
      </c>
      <c r="E189" t="s">
        <v>40</v>
      </c>
      <c r="F189" s="4">
        <v>388071.99</v>
      </c>
      <c r="G189" t="str">
        <f t="shared" si="8"/>
        <v>High Income</v>
      </c>
      <c r="H189">
        <v>296916.83</v>
      </c>
      <c r="I189">
        <v>850</v>
      </c>
      <c r="J189" t="s">
        <v>18</v>
      </c>
      <c r="K189" t="s">
        <v>24</v>
      </c>
      <c r="L189">
        <v>186128.55</v>
      </c>
      <c r="M189">
        <v>104255.24</v>
      </c>
      <c r="N189" t="s">
        <v>28</v>
      </c>
      <c r="O189" s="7">
        <f t="shared" ca="1" si="9"/>
        <v>45710</v>
      </c>
      <c r="P189" s="7">
        <v>45826</v>
      </c>
      <c r="Q189">
        <v>2</v>
      </c>
      <c r="R189" t="str">
        <f t="shared" si="10"/>
        <v>Low Risk</v>
      </c>
      <c r="S189" t="str">
        <f t="shared" si="11"/>
        <v>Good</v>
      </c>
      <c r="T189" s="4">
        <f>Table1[[#This Row],[Deposit_Amount]]+Table1[[#This Row],[Withdrawal_Amount]]</f>
        <v>684988.82000000007</v>
      </c>
      <c r="U189" t="s">
        <v>274</v>
      </c>
    </row>
    <row r="190" spans="1:21" x14ac:dyDescent="0.3">
      <c r="A190">
        <v>189</v>
      </c>
      <c r="B190" t="s">
        <v>159</v>
      </c>
      <c r="C190" t="s">
        <v>22</v>
      </c>
      <c r="D190">
        <v>51</v>
      </c>
      <c r="E190" t="s">
        <v>40</v>
      </c>
      <c r="F190" s="4">
        <v>293530.65000000002</v>
      </c>
      <c r="G190" t="str">
        <f t="shared" si="8"/>
        <v>High Income</v>
      </c>
      <c r="H190">
        <v>254517.13</v>
      </c>
      <c r="I190">
        <v>307</v>
      </c>
      <c r="J190" t="s">
        <v>41</v>
      </c>
      <c r="K190" t="s">
        <v>59</v>
      </c>
      <c r="L190">
        <v>198869.17</v>
      </c>
      <c r="M190">
        <v>19247.5</v>
      </c>
      <c r="N190" t="s">
        <v>25</v>
      </c>
      <c r="O190" s="7">
        <f t="shared" ca="1" si="9"/>
        <v>45961</v>
      </c>
      <c r="P190" s="7">
        <v>46009</v>
      </c>
      <c r="Q190">
        <v>4</v>
      </c>
      <c r="R190" t="str">
        <f t="shared" si="10"/>
        <v>High Risk</v>
      </c>
      <c r="S190" t="str">
        <f t="shared" si="11"/>
        <v>Poor</v>
      </c>
      <c r="T190" s="4">
        <f>Table1[[#This Row],[Deposit_Amount]]+Table1[[#This Row],[Withdrawal_Amount]]</f>
        <v>548047.78</v>
      </c>
      <c r="U190" t="s">
        <v>274</v>
      </c>
    </row>
    <row r="191" spans="1:21" x14ac:dyDescent="0.3">
      <c r="A191">
        <v>190</v>
      </c>
      <c r="B191" t="s">
        <v>89</v>
      </c>
      <c r="C191" t="s">
        <v>16</v>
      </c>
      <c r="D191">
        <v>42</v>
      </c>
      <c r="E191" t="s">
        <v>23</v>
      </c>
      <c r="F191" s="4">
        <v>337026.35</v>
      </c>
      <c r="G191" t="str">
        <f t="shared" si="8"/>
        <v>High Income</v>
      </c>
      <c r="H191">
        <v>43653.83</v>
      </c>
      <c r="I191">
        <v>872</v>
      </c>
      <c r="J191" t="s">
        <v>38</v>
      </c>
      <c r="K191" t="s">
        <v>59</v>
      </c>
      <c r="L191">
        <v>438454.49</v>
      </c>
      <c r="M191">
        <v>248218.32</v>
      </c>
      <c r="N191" t="s">
        <v>20</v>
      </c>
      <c r="O191" s="7">
        <f t="shared" ca="1" si="9"/>
        <v>45955</v>
      </c>
      <c r="P191" s="7">
        <v>45689</v>
      </c>
      <c r="Q191">
        <v>2</v>
      </c>
      <c r="R191" t="str">
        <f t="shared" si="10"/>
        <v>Low Risk</v>
      </c>
      <c r="S191" t="str">
        <f t="shared" si="11"/>
        <v>Good</v>
      </c>
      <c r="T191" s="4">
        <f>Table1[[#This Row],[Deposit_Amount]]+Table1[[#This Row],[Withdrawal_Amount]]</f>
        <v>380680.18</v>
      </c>
      <c r="U191" t="s">
        <v>274</v>
      </c>
    </row>
    <row r="192" spans="1:21" x14ac:dyDescent="0.3">
      <c r="A192">
        <v>191</v>
      </c>
      <c r="B192" t="s">
        <v>160</v>
      </c>
      <c r="C192" t="s">
        <v>22</v>
      </c>
      <c r="D192">
        <v>35</v>
      </c>
      <c r="E192" t="s">
        <v>40</v>
      </c>
      <c r="F192" s="4">
        <v>66309.929999999993</v>
      </c>
      <c r="G192" t="str">
        <f t="shared" si="8"/>
        <v>Low Income</v>
      </c>
      <c r="H192">
        <v>150408.98000000001</v>
      </c>
      <c r="I192">
        <v>886</v>
      </c>
      <c r="J192" t="s">
        <v>38</v>
      </c>
      <c r="K192" t="s">
        <v>19</v>
      </c>
      <c r="L192">
        <v>-226.89</v>
      </c>
      <c r="M192">
        <v>198065.85</v>
      </c>
      <c r="N192" t="s">
        <v>28</v>
      </c>
      <c r="O192" s="7">
        <f t="shared" ca="1" si="9"/>
        <v>45735</v>
      </c>
      <c r="P192" s="7">
        <v>45829</v>
      </c>
      <c r="Q192">
        <v>2</v>
      </c>
      <c r="R192" t="str">
        <f t="shared" si="10"/>
        <v>Low Risk</v>
      </c>
      <c r="S192" t="str">
        <f t="shared" si="11"/>
        <v>Good</v>
      </c>
      <c r="T192" s="4">
        <f>Table1[[#This Row],[Deposit_Amount]]+Table1[[#This Row],[Withdrawal_Amount]]</f>
        <v>216718.91</v>
      </c>
      <c r="U192" t="s">
        <v>274</v>
      </c>
    </row>
    <row r="193" spans="1:21" x14ac:dyDescent="0.3">
      <c r="A193">
        <v>192</v>
      </c>
      <c r="B193" t="s">
        <v>90</v>
      </c>
      <c r="C193" t="s">
        <v>16</v>
      </c>
      <c r="D193">
        <v>24</v>
      </c>
      <c r="E193" t="s">
        <v>17</v>
      </c>
      <c r="F193" s="4">
        <v>315632.62</v>
      </c>
      <c r="G193" t="str">
        <f t="shared" si="8"/>
        <v>High Income</v>
      </c>
      <c r="H193">
        <v>135455.79999999999</v>
      </c>
      <c r="I193">
        <v>854</v>
      </c>
      <c r="J193" t="s">
        <v>32</v>
      </c>
      <c r="K193" t="s">
        <v>59</v>
      </c>
      <c r="L193">
        <v>363555.64</v>
      </c>
      <c r="M193">
        <v>46610.46</v>
      </c>
      <c r="N193" t="s">
        <v>25</v>
      </c>
      <c r="O193" s="7">
        <f t="shared" ca="1" si="9"/>
        <v>45699</v>
      </c>
      <c r="P193" s="7">
        <v>45946</v>
      </c>
      <c r="Q193">
        <v>5</v>
      </c>
      <c r="R193" t="str">
        <f t="shared" si="10"/>
        <v>Low Risk</v>
      </c>
      <c r="S193" t="str">
        <f t="shared" si="11"/>
        <v>Good</v>
      </c>
      <c r="T193" s="4">
        <f>Table1[[#This Row],[Deposit_Amount]]+Table1[[#This Row],[Withdrawal_Amount]]</f>
        <v>451088.42</v>
      </c>
      <c r="U193" t="s">
        <v>274</v>
      </c>
    </row>
    <row r="194" spans="1:21" x14ac:dyDescent="0.3">
      <c r="A194">
        <v>193</v>
      </c>
      <c r="B194" t="s">
        <v>72</v>
      </c>
      <c r="C194" t="s">
        <v>16</v>
      </c>
      <c r="D194">
        <v>34</v>
      </c>
      <c r="E194" t="s">
        <v>35</v>
      </c>
      <c r="F194" s="4">
        <v>212181.69</v>
      </c>
      <c r="G194" t="str">
        <f t="shared" ref="G194:G257" si="12">IF(F194&lt;=100000,"Low Income",IF(F194&lt;=200000,"Midum Income","High Income"))</f>
        <v>High Income</v>
      </c>
      <c r="H194">
        <v>87094.27</v>
      </c>
      <c r="I194">
        <v>662</v>
      </c>
      <c r="J194" t="s">
        <v>41</v>
      </c>
      <c r="K194" t="s">
        <v>36</v>
      </c>
      <c r="L194">
        <v>324228.08</v>
      </c>
      <c r="M194">
        <v>23470.25</v>
      </c>
      <c r="N194" t="s">
        <v>28</v>
      </c>
      <c r="O194" s="7">
        <f t="shared" ref="O194:O257" ca="1" si="13">RANDBETWEEN(DATE(2025,1,1),DATE(2025,12,31))</f>
        <v>45808</v>
      </c>
      <c r="P194" s="7">
        <v>45687</v>
      </c>
      <c r="Q194">
        <v>2</v>
      </c>
      <c r="R194" t="str">
        <f t="shared" ref="R194:R257" si="14">IF(I194&lt;=400,"High Risk",IF(I194&lt;=600,"Midum Risk","Low Risk"))</f>
        <v>Low Risk</v>
      </c>
      <c r="S194" t="str">
        <f t="shared" ref="S194:S257" si="15">IF(I194&lt;=400,"Poor",IF(I194&lt;=600,"Midum ","Good"))</f>
        <v>Good</v>
      </c>
      <c r="T194" s="4">
        <f>Table1[[#This Row],[Deposit_Amount]]+Table1[[#This Row],[Withdrawal_Amount]]</f>
        <v>299275.96000000002</v>
      </c>
      <c r="U194" t="s">
        <v>274</v>
      </c>
    </row>
    <row r="195" spans="1:21" x14ac:dyDescent="0.3">
      <c r="A195">
        <v>194</v>
      </c>
      <c r="B195" t="s">
        <v>114</v>
      </c>
      <c r="C195" t="s">
        <v>16</v>
      </c>
      <c r="D195">
        <v>41</v>
      </c>
      <c r="E195" t="s">
        <v>44</v>
      </c>
      <c r="F195" s="4">
        <v>439624.73</v>
      </c>
      <c r="G195" t="str">
        <f t="shared" si="12"/>
        <v>High Income</v>
      </c>
      <c r="H195">
        <v>4514.28</v>
      </c>
      <c r="I195">
        <v>478</v>
      </c>
      <c r="J195" t="s">
        <v>41</v>
      </c>
      <c r="K195" t="s">
        <v>59</v>
      </c>
      <c r="L195">
        <v>478228.88</v>
      </c>
      <c r="M195">
        <v>33329.550000000003</v>
      </c>
      <c r="N195" t="s">
        <v>20</v>
      </c>
      <c r="O195" s="7">
        <f t="shared" ca="1" si="13"/>
        <v>45761</v>
      </c>
      <c r="P195" s="7">
        <v>45816</v>
      </c>
      <c r="Q195">
        <v>3</v>
      </c>
      <c r="R195" t="str">
        <f t="shared" si="14"/>
        <v>Midum Risk</v>
      </c>
      <c r="S195" t="str">
        <f t="shared" si="15"/>
        <v xml:space="preserve">Midum </v>
      </c>
      <c r="T195" s="4">
        <f>Table1[[#This Row],[Deposit_Amount]]+Table1[[#This Row],[Withdrawal_Amount]]</f>
        <v>444139.01</v>
      </c>
      <c r="U195" t="s">
        <v>274</v>
      </c>
    </row>
    <row r="196" spans="1:21" x14ac:dyDescent="0.3">
      <c r="A196">
        <v>195</v>
      </c>
      <c r="B196" t="s">
        <v>140</v>
      </c>
      <c r="C196" t="s">
        <v>22</v>
      </c>
      <c r="D196">
        <v>51</v>
      </c>
      <c r="E196" t="s">
        <v>35</v>
      </c>
      <c r="F196" s="4">
        <v>11666.58</v>
      </c>
      <c r="G196" t="str">
        <f t="shared" si="12"/>
        <v>Low Income</v>
      </c>
      <c r="H196">
        <v>249880.73</v>
      </c>
      <c r="I196">
        <v>876</v>
      </c>
      <c r="J196" t="s">
        <v>38</v>
      </c>
      <c r="K196" t="s">
        <v>59</v>
      </c>
      <c r="L196">
        <v>-92356.34</v>
      </c>
      <c r="M196">
        <v>102716.94</v>
      </c>
      <c r="N196" t="s">
        <v>20</v>
      </c>
      <c r="O196" s="7">
        <f t="shared" ca="1" si="13"/>
        <v>45929</v>
      </c>
      <c r="P196" s="7">
        <v>45705</v>
      </c>
      <c r="Q196">
        <v>2</v>
      </c>
      <c r="R196" t="str">
        <f t="shared" si="14"/>
        <v>Low Risk</v>
      </c>
      <c r="S196" t="str">
        <f t="shared" si="15"/>
        <v>Good</v>
      </c>
      <c r="T196" s="4">
        <f>Table1[[#This Row],[Deposit_Amount]]+Table1[[#This Row],[Withdrawal_Amount]]</f>
        <v>261547.31</v>
      </c>
      <c r="U196" t="s">
        <v>274</v>
      </c>
    </row>
    <row r="197" spans="1:21" x14ac:dyDescent="0.3">
      <c r="A197">
        <v>196</v>
      </c>
      <c r="B197" t="s">
        <v>161</v>
      </c>
      <c r="C197" t="s">
        <v>16</v>
      </c>
      <c r="D197">
        <v>67</v>
      </c>
      <c r="E197" t="s">
        <v>35</v>
      </c>
      <c r="F197" s="4">
        <v>155052.64000000001</v>
      </c>
      <c r="G197" t="str">
        <f t="shared" si="12"/>
        <v>Midum Income</v>
      </c>
      <c r="H197">
        <v>96611.28</v>
      </c>
      <c r="I197">
        <v>711</v>
      </c>
      <c r="J197" t="s">
        <v>27</v>
      </c>
      <c r="K197" t="s">
        <v>42</v>
      </c>
      <c r="L197">
        <v>158523.35</v>
      </c>
      <c r="M197">
        <v>207942.26</v>
      </c>
      <c r="N197" t="s">
        <v>20</v>
      </c>
      <c r="O197" s="7">
        <f t="shared" ca="1" si="13"/>
        <v>45754</v>
      </c>
      <c r="P197" s="7">
        <v>45974</v>
      </c>
      <c r="Q197">
        <v>4</v>
      </c>
      <c r="R197" t="str">
        <f t="shared" si="14"/>
        <v>Low Risk</v>
      </c>
      <c r="S197" t="str">
        <f t="shared" si="15"/>
        <v>Good</v>
      </c>
      <c r="T197" s="4">
        <f>Table1[[#This Row],[Deposit_Amount]]+Table1[[#This Row],[Withdrawal_Amount]]</f>
        <v>251663.92</v>
      </c>
      <c r="U197" t="s">
        <v>274</v>
      </c>
    </row>
    <row r="198" spans="1:21" x14ac:dyDescent="0.3">
      <c r="A198">
        <v>197</v>
      </c>
      <c r="B198" t="s">
        <v>33</v>
      </c>
      <c r="C198" t="s">
        <v>22</v>
      </c>
      <c r="D198">
        <v>36</v>
      </c>
      <c r="E198" t="s">
        <v>35</v>
      </c>
      <c r="F198" s="4">
        <v>109109.18</v>
      </c>
      <c r="G198" t="str">
        <f t="shared" si="12"/>
        <v>Midum Income</v>
      </c>
      <c r="H198">
        <v>175771.92</v>
      </c>
      <c r="I198">
        <v>808</v>
      </c>
      <c r="J198" t="s">
        <v>32</v>
      </c>
      <c r="K198" t="s">
        <v>24</v>
      </c>
      <c r="L198">
        <v>-61128.57</v>
      </c>
      <c r="M198">
        <v>123403.76</v>
      </c>
      <c r="N198" t="s">
        <v>20</v>
      </c>
      <c r="O198" s="7">
        <f t="shared" ca="1" si="13"/>
        <v>45918</v>
      </c>
      <c r="P198" s="7">
        <v>46009</v>
      </c>
      <c r="Q198">
        <v>4</v>
      </c>
      <c r="R198" t="str">
        <f t="shared" si="14"/>
        <v>Low Risk</v>
      </c>
      <c r="S198" t="str">
        <f t="shared" si="15"/>
        <v>Good</v>
      </c>
      <c r="T198" s="4">
        <f>Table1[[#This Row],[Deposit_Amount]]+Table1[[#This Row],[Withdrawal_Amount]]</f>
        <v>284881.09999999998</v>
      </c>
      <c r="U198" t="s">
        <v>274</v>
      </c>
    </row>
    <row r="199" spans="1:21" x14ac:dyDescent="0.3">
      <c r="A199">
        <v>198</v>
      </c>
      <c r="B199" t="s">
        <v>116</v>
      </c>
      <c r="C199" t="s">
        <v>16</v>
      </c>
      <c r="D199">
        <v>56</v>
      </c>
      <c r="E199" t="s">
        <v>44</v>
      </c>
      <c r="F199" s="4">
        <v>187078.66</v>
      </c>
      <c r="G199" t="str">
        <f t="shared" si="12"/>
        <v>Midum Income</v>
      </c>
      <c r="H199">
        <v>161976.57</v>
      </c>
      <c r="I199">
        <v>316</v>
      </c>
      <c r="J199" t="s">
        <v>27</v>
      </c>
      <c r="K199" t="s">
        <v>36</v>
      </c>
      <c r="L199">
        <v>155802.82</v>
      </c>
      <c r="M199">
        <v>18349.150000000001</v>
      </c>
      <c r="N199" t="s">
        <v>20</v>
      </c>
      <c r="O199" s="7">
        <f t="shared" ca="1" si="13"/>
        <v>45705</v>
      </c>
      <c r="P199" s="7">
        <v>45756</v>
      </c>
      <c r="Q199">
        <v>4</v>
      </c>
      <c r="R199" t="str">
        <f t="shared" si="14"/>
        <v>High Risk</v>
      </c>
      <c r="S199" t="str">
        <f t="shared" si="15"/>
        <v>Poor</v>
      </c>
      <c r="T199" s="4">
        <f>Table1[[#This Row],[Deposit_Amount]]+Table1[[#This Row],[Withdrawal_Amount]]</f>
        <v>349055.23</v>
      </c>
      <c r="U199" t="s">
        <v>274</v>
      </c>
    </row>
    <row r="200" spans="1:21" x14ac:dyDescent="0.3">
      <c r="A200">
        <v>199</v>
      </c>
      <c r="B200" t="s">
        <v>162</v>
      </c>
      <c r="C200" t="s">
        <v>16</v>
      </c>
      <c r="D200">
        <v>58</v>
      </c>
      <c r="E200" t="s">
        <v>17</v>
      </c>
      <c r="F200" s="4">
        <v>354772.9</v>
      </c>
      <c r="G200" t="str">
        <f t="shared" si="12"/>
        <v>High Income</v>
      </c>
      <c r="H200">
        <v>92034.44</v>
      </c>
      <c r="I200">
        <v>755</v>
      </c>
      <c r="J200" t="s">
        <v>32</v>
      </c>
      <c r="K200" t="s">
        <v>42</v>
      </c>
      <c r="L200">
        <v>395011.78</v>
      </c>
      <c r="M200">
        <v>155410.54999999999</v>
      </c>
      <c r="N200" t="s">
        <v>20</v>
      </c>
      <c r="O200" s="7">
        <f t="shared" ca="1" si="13"/>
        <v>45669</v>
      </c>
      <c r="P200" s="7">
        <v>45996</v>
      </c>
      <c r="Q200">
        <v>5</v>
      </c>
      <c r="R200" t="str">
        <f t="shared" si="14"/>
        <v>Low Risk</v>
      </c>
      <c r="S200" t="str">
        <f t="shared" si="15"/>
        <v>Good</v>
      </c>
      <c r="T200" s="4">
        <f>Table1[[#This Row],[Deposit_Amount]]+Table1[[#This Row],[Withdrawal_Amount]]</f>
        <v>446807.34</v>
      </c>
      <c r="U200" t="s">
        <v>274</v>
      </c>
    </row>
    <row r="201" spans="1:21" x14ac:dyDescent="0.3">
      <c r="A201">
        <v>200</v>
      </c>
      <c r="B201" t="s">
        <v>88</v>
      </c>
      <c r="C201" t="s">
        <v>22</v>
      </c>
      <c r="D201">
        <v>65</v>
      </c>
      <c r="E201" t="s">
        <v>40</v>
      </c>
      <c r="F201" s="4">
        <v>416305.54</v>
      </c>
      <c r="G201" t="str">
        <f t="shared" si="12"/>
        <v>High Income</v>
      </c>
      <c r="H201">
        <v>115107.87</v>
      </c>
      <c r="I201">
        <v>828</v>
      </c>
      <c r="J201" t="s">
        <v>27</v>
      </c>
      <c r="K201" t="s">
        <v>59</v>
      </c>
      <c r="L201">
        <v>478016</v>
      </c>
      <c r="M201">
        <v>156427.07999999999</v>
      </c>
      <c r="N201" t="s">
        <v>25</v>
      </c>
      <c r="O201" s="7">
        <f t="shared" ca="1" si="13"/>
        <v>45681</v>
      </c>
      <c r="P201" s="7">
        <v>45816</v>
      </c>
      <c r="Q201">
        <v>4</v>
      </c>
      <c r="R201" t="str">
        <f t="shared" si="14"/>
        <v>Low Risk</v>
      </c>
      <c r="S201" t="str">
        <f t="shared" si="15"/>
        <v>Good</v>
      </c>
      <c r="T201" s="4">
        <f>Table1[[#This Row],[Deposit_Amount]]+Table1[[#This Row],[Withdrawal_Amount]]</f>
        <v>531413.40999999992</v>
      </c>
      <c r="U201" t="s">
        <v>274</v>
      </c>
    </row>
    <row r="202" spans="1:21" x14ac:dyDescent="0.3">
      <c r="A202">
        <v>201</v>
      </c>
      <c r="B202" t="s">
        <v>140</v>
      </c>
      <c r="C202" t="s">
        <v>22</v>
      </c>
      <c r="D202">
        <v>21</v>
      </c>
      <c r="E202" t="s">
        <v>35</v>
      </c>
      <c r="F202" s="4">
        <v>300236.53999999998</v>
      </c>
      <c r="G202" t="str">
        <f t="shared" si="12"/>
        <v>High Income</v>
      </c>
      <c r="H202">
        <v>165311</v>
      </c>
      <c r="I202">
        <v>807</v>
      </c>
      <c r="J202" t="s">
        <v>41</v>
      </c>
      <c r="K202" t="s">
        <v>42</v>
      </c>
      <c r="L202">
        <v>245224.33</v>
      </c>
      <c r="M202">
        <v>176057.83</v>
      </c>
      <c r="N202" t="s">
        <v>28</v>
      </c>
      <c r="O202" s="7">
        <f t="shared" ca="1" si="13"/>
        <v>45889</v>
      </c>
      <c r="P202" s="7">
        <v>46000</v>
      </c>
      <c r="Q202">
        <v>3</v>
      </c>
      <c r="R202" t="str">
        <f t="shared" si="14"/>
        <v>Low Risk</v>
      </c>
      <c r="S202" t="str">
        <f t="shared" si="15"/>
        <v>Good</v>
      </c>
      <c r="T202" s="4">
        <f>Table1[[#This Row],[Deposit_Amount]]+Table1[[#This Row],[Withdrawal_Amount]]</f>
        <v>465547.54</v>
      </c>
      <c r="U202" t="s">
        <v>274</v>
      </c>
    </row>
    <row r="203" spans="1:21" x14ac:dyDescent="0.3">
      <c r="A203">
        <v>202</v>
      </c>
      <c r="B203" t="s">
        <v>109</v>
      </c>
      <c r="C203" t="s">
        <v>22</v>
      </c>
      <c r="D203">
        <v>21</v>
      </c>
      <c r="E203" t="s">
        <v>35</v>
      </c>
      <c r="F203" s="4">
        <v>469319.21</v>
      </c>
      <c r="G203" t="str">
        <f t="shared" si="12"/>
        <v>High Income</v>
      </c>
      <c r="H203">
        <v>157841.89000000001</v>
      </c>
      <c r="I203">
        <v>525</v>
      </c>
      <c r="J203" t="s">
        <v>18</v>
      </c>
      <c r="K203" t="s">
        <v>24</v>
      </c>
      <c r="L203">
        <v>410393.74</v>
      </c>
      <c r="M203">
        <v>130533.94</v>
      </c>
      <c r="N203" t="s">
        <v>28</v>
      </c>
      <c r="O203" s="7">
        <f t="shared" ca="1" si="13"/>
        <v>45862</v>
      </c>
      <c r="P203" s="7">
        <v>45976</v>
      </c>
      <c r="Q203">
        <v>3</v>
      </c>
      <c r="R203" t="str">
        <f t="shared" si="14"/>
        <v>Midum Risk</v>
      </c>
      <c r="S203" t="str">
        <f t="shared" si="15"/>
        <v xml:space="preserve">Midum </v>
      </c>
      <c r="T203" s="4">
        <f>Table1[[#This Row],[Deposit_Amount]]+Table1[[#This Row],[Withdrawal_Amount]]</f>
        <v>627161.10000000009</v>
      </c>
      <c r="U203" t="s">
        <v>274</v>
      </c>
    </row>
    <row r="204" spans="1:21" x14ac:dyDescent="0.3">
      <c r="A204">
        <v>203</v>
      </c>
      <c r="B204" t="s">
        <v>47</v>
      </c>
      <c r="C204" t="s">
        <v>16</v>
      </c>
      <c r="D204">
        <v>58</v>
      </c>
      <c r="E204" t="s">
        <v>40</v>
      </c>
      <c r="F204" s="4">
        <v>463331.47</v>
      </c>
      <c r="G204" t="str">
        <f t="shared" si="12"/>
        <v>High Income</v>
      </c>
      <c r="H204">
        <v>138046.25</v>
      </c>
      <c r="I204">
        <v>470</v>
      </c>
      <c r="J204" t="s">
        <v>41</v>
      </c>
      <c r="K204" t="s">
        <v>42</v>
      </c>
      <c r="L204">
        <v>367443.62</v>
      </c>
      <c r="M204">
        <v>202538.37</v>
      </c>
      <c r="N204" t="s">
        <v>20</v>
      </c>
      <c r="O204" s="7">
        <f t="shared" ca="1" si="13"/>
        <v>45969</v>
      </c>
      <c r="P204" s="7">
        <v>45763</v>
      </c>
      <c r="Q204">
        <v>5</v>
      </c>
      <c r="R204" t="str">
        <f t="shared" si="14"/>
        <v>Midum Risk</v>
      </c>
      <c r="S204" t="str">
        <f t="shared" si="15"/>
        <v xml:space="preserve">Midum </v>
      </c>
      <c r="T204" s="4">
        <f>Table1[[#This Row],[Deposit_Amount]]+Table1[[#This Row],[Withdrawal_Amount]]</f>
        <v>601377.72</v>
      </c>
      <c r="U204" t="s">
        <v>274</v>
      </c>
    </row>
    <row r="205" spans="1:21" x14ac:dyDescent="0.3">
      <c r="A205">
        <v>204</v>
      </c>
      <c r="B205" t="s">
        <v>65</v>
      </c>
      <c r="C205" t="s">
        <v>22</v>
      </c>
      <c r="D205">
        <v>47</v>
      </c>
      <c r="E205" t="s">
        <v>31</v>
      </c>
      <c r="F205" s="4">
        <v>370887.38</v>
      </c>
      <c r="G205" t="str">
        <f t="shared" si="12"/>
        <v>High Income</v>
      </c>
      <c r="H205">
        <v>245304.66</v>
      </c>
      <c r="I205">
        <v>869</v>
      </c>
      <c r="J205" t="s">
        <v>38</v>
      </c>
      <c r="K205" t="s">
        <v>59</v>
      </c>
      <c r="L205">
        <v>269335.34000000003</v>
      </c>
      <c r="M205">
        <v>71792.479999999996</v>
      </c>
      <c r="N205" t="s">
        <v>28</v>
      </c>
      <c r="O205" s="7">
        <f t="shared" ca="1" si="13"/>
        <v>45935</v>
      </c>
      <c r="P205" s="7">
        <v>45810</v>
      </c>
      <c r="Q205">
        <v>2</v>
      </c>
      <c r="R205" t="str">
        <f t="shared" si="14"/>
        <v>Low Risk</v>
      </c>
      <c r="S205" t="str">
        <f t="shared" si="15"/>
        <v>Good</v>
      </c>
      <c r="T205" s="4">
        <f>Table1[[#This Row],[Deposit_Amount]]+Table1[[#This Row],[Withdrawal_Amount]]</f>
        <v>616192.04</v>
      </c>
      <c r="U205" t="s">
        <v>274</v>
      </c>
    </row>
    <row r="206" spans="1:21" x14ac:dyDescent="0.3">
      <c r="A206">
        <v>205</v>
      </c>
      <c r="B206" t="s">
        <v>136</v>
      </c>
      <c r="C206" t="s">
        <v>16</v>
      </c>
      <c r="D206">
        <v>69</v>
      </c>
      <c r="E206" t="s">
        <v>35</v>
      </c>
      <c r="F206" s="4">
        <v>438639.39</v>
      </c>
      <c r="G206" t="str">
        <f t="shared" si="12"/>
        <v>High Income</v>
      </c>
      <c r="H206">
        <v>76065.09</v>
      </c>
      <c r="I206">
        <v>474</v>
      </c>
      <c r="J206" t="s">
        <v>38</v>
      </c>
      <c r="K206" t="s">
        <v>19</v>
      </c>
      <c r="L206">
        <v>544848.64000000001</v>
      </c>
      <c r="M206">
        <v>96904.88</v>
      </c>
      <c r="N206" t="s">
        <v>25</v>
      </c>
      <c r="O206" s="7">
        <f t="shared" ca="1" si="13"/>
        <v>45869</v>
      </c>
      <c r="P206" s="7">
        <v>45893</v>
      </c>
      <c r="Q206">
        <v>3</v>
      </c>
      <c r="R206" t="str">
        <f t="shared" si="14"/>
        <v>Midum Risk</v>
      </c>
      <c r="S206" t="str">
        <f t="shared" si="15"/>
        <v xml:space="preserve">Midum </v>
      </c>
      <c r="T206" s="4">
        <f>Table1[[#This Row],[Deposit_Amount]]+Table1[[#This Row],[Withdrawal_Amount]]</f>
        <v>514704.48</v>
      </c>
      <c r="U206" t="s">
        <v>274</v>
      </c>
    </row>
    <row r="207" spans="1:21" x14ac:dyDescent="0.3">
      <c r="A207">
        <v>206</v>
      </c>
      <c r="B207" t="s">
        <v>69</v>
      </c>
      <c r="C207" t="s">
        <v>16</v>
      </c>
      <c r="D207">
        <v>68</v>
      </c>
      <c r="E207" t="s">
        <v>44</v>
      </c>
      <c r="F207" s="4">
        <v>15785.01</v>
      </c>
      <c r="G207" t="str">
        <f t="shared" si="12"/>
        <v>Low Income</v>
      </c>
      <c r="H207">
        <v>84147.55</v>
      </c>
      <c r="I207">
        <v>509</v>
      </c>
      <c r="J207" t="s">
        <v>32</v>
      </c>
      <c r="K207" t="s">
        <v>36</v>
      </c>
      <c r="L207">
        <v>98733.3</v>
      </c>
      <c r="M207">
        <v>241131.11</v>
      </c>
      <c r="N207" t="s">
        <v>28</v>
      </c>
      <c r="O207" s="7">
        <f t="shared" ca="1" si="13"/>
        <v>45825</v>
      </c>
      <c r="P207" s="7">
        <v>45779</v>
      </c>
      <c r="Q207">
        <v>2</v>
      </c>
      <c r="R207" t="str">
        <f t="shared" si="14"/>
        <v>Midum Risk</v>
      </c>
      <c r="S207" t="str">
        <f t="shared" si="15"/>
        <v xml:space="preserve">Midum </v>
      </c>
      <c r="T207" s="4">
        <f>Table1[[#This Row],[Deposit_Amount]]+Table1[[#This Row],[Withdrawal_Amount]]</f>
        <v>99932.56</v>
      </c>
      <c r="U207" t="s">
        <v>274</v>
      </c>
    </row>
    <row r="208" spans="1:21" x14ac:dyDescent="0.3">
      <c r="A208">
        <v>207</v>
      </c>
      <c r="B208" t="s">
        <v>70</v>
      </c>
      <c r="C208" t="s">
        <v>22</v>
      </c>
      <c r="D208">
        <v>61</v>
      </c>
      <c r="E208" t="s">
        <v>40</v>
      </c>
      <c r="F208" s="4">
        <v>123604.59</v>
      </c>
      <c r="G208" t="str">
        <f t="shared" si="12"/>
        <v>Midum Income</v>
      </c>
      <c r="H208">
        <v>229166</v>
      </c>
      <c r="I208">
        <v>582</v>
      </c>
      <c r="J208" t="s">
        <v>32</v>
      </c>
      <c r="K208" t="s">
        <v>19</v>
      </c>
      <c r="L208">
        <v>-76047.03</v>
      </c>
      <c r="M208">
        <v>227928.41</v>
      </c>
      <c r="N208" t="s">
        <v>25</v>
      </c>
      <c r="O208" s="7">
        <f t="shared" ca="1" si="13"/>
        <v>45710</v>
      </c>
      <c r="P208" s="7">
        <v>45962</v>
      </c>
      <c r="Q208">
        <v>2</v>
      </c>
      <c r="R208" t="str">
        <f t="shared" si="14"/>
        <v>Midum Risk</v>
      </c>
      <c r="S208" t="str">
        <f t="shared" si="15"/>
        <v xml:space="preserve">Midum </v>
      </c>
      <c r="T208" s="4">
        <f>Table1[[#This Row],[Deposit_Amount]]+Table1[[#This Row],[Withdrawal_Amount]]</f>
        <v>352770.58999999997</v>
      </c>
      <c r="U208" t="s">
        <v>274</v>
      </c>
    </row>
    <row r="209" spans="1:21" x14ac:dyDescent="0.3">
      <c r="A209">
        <v>208</v>
      </c>
      <c r="B209" t="s">
        <v>139</v>
      </c>
      <c r="C209" t="s">
        <v>22</v>
      </c>
      <c r="D209">
        <v>22</v>
      </c>
      <c r="E209" t="s">
        <v>17</v>
      </c>
      <c r="F209" s="4">
        <v>4026.67</v>
      </c>
      <c r="G209" t="str">
        <f t="shared" si="12"/>
        <v>Low Income</v>
      </c>
      <c r="H209">
        <v>117637.9</v>
      </c>
      <c r="I209">
        <v>301</v>
      </c>
      <c r="J209" t="s">
        <v>32</v>
      </c>
      <c r="K209" t="s">
        <v>24</v>
      </c>
      <c r="L209">
        <v>79160.66</v>
      </c>
      <c r="M209">
        <v>214424.95</v>
      </c>
      <c r="N209" t="s">
        <v>20</v>
      </c>
      <c r="O209" s="7">
        <f t="shared" ca="1" si="13"/>
        <v>45934</v>
      </c>
      <c r="P209" s="7">
        <v>45745</v>
      </c>
      <c r="Q209">
        <v>3</v>
      </c>
      <c r="R209" t="str">
        <f t="shared" si="14"/>
        <v>High Risk</v>
      </c>
      <c r="S209" t="str">
        <f t="shared" si="15"/>
        <v>Poor</v>
      </c>
      <c r="T209" s="4">
        <f>Table1[[#This Row],[Deposit_Amount]]+Table1[[#This Row],[Withdrawal_Amount]]</f>
        <v>121664.56999999999</v>
      </c>
      <c r="U209" t="s">
        <v>274</v>
      </c>
    </row>
    <row r="210" spans="1:21" x14ac:dyDescent="0.3">
      <c r="A210">
        <v>209</v>
      </c>
      <c r="B210" t="s">
        <v>157</v>
      </c>
      <c r="C210" t="s">
        <v>22</v>
      </c>
      <c r="D210">
        <v>36</v>
      </c>
      <c r="E210" t="s">
        <v>31</v>
      </c>
      <c r="F210" s="4">
        <v>477149.44</v>
      </c>
      <c r="G210" t="str">
        <f t="shared" si="12"/>
        <v>High Income</v>
      </c>
      <c r="H210">
        <v>30719.13</v>
      </c>
      <c r="I210">
        <v>677</v>
      </c>
      <c r="J210" t="s">
        <v>27</v>
      </c>
      <c r="K210" t="s">
        <v>59</v>
      </c>
      <c r="L210">
        <v>546754.49</v>
      </c>
      <c r="M210">
        <v>87611.95</v>
      </c>
      <c r="N210" t="s">
        <v>25</v>
      </c>
      <c r="O210" s="7">
        <f t="shared" ca="1" si="13"/>
        <v>46001</v>
      </c>
      <c r="P210" s="7">
        <v>45801</v>
      </c>
      <c r="Q210">
        <v>2</v>
      </c>
      <c r="R210" t="str">
        <f t="shared" si="14"/>
        <v>Low Risk</v>
      </c>
      <c r="S210" t="str">
        <f t="shared" si="15"/>
        <v>Good</v>
      </c>
      <c r="T210" s="4">
        <f>Table1[[#This Row],[Deposit_Amount]]+Table1[[#This Row],[Withdrawal_Amount]]</f>
        <v>507868.57</v>
      </c>
      <c r="U210" t="s">
        <v>274</v>
      </c>
    </row>
    <row r="211" spans="1:21" x14ac:dyDescent="0.3">
      <c r="A211">
        <v>210</v>
      </c>
      <c r="B211" t="s">
        <v>102</v>
      </c>
      <c r="C211" t="s">
        <v>22</v>
      </c>
      <c r="D211">
        <v>31</v>
      </c>
      <c r="E211" t="s">
        <v>44</v>
      </c>
      <c r="F211" s="4">
        <v>42051.02</v>
      </c>
      <c r="G211" t="str">
        <f t="shared" si="12"/>
        <v>Low Income</v>
      </c>
      <c r="H211">
        <v>237613.25</v>
      </c>
      <c r="I211">
        <v>339</v>
      </c>
      <c r="J211" t="s">
        <v>18</v>
      </c>
      <c r="K211" t="s">
        <v>59</v>
      </c>
      <c r="L211">
        <v>-120105.32</v>
      </c>
      <c r="M211">
        <v>243942.74</v>
      </c>
      <c r="N211" t="s">
        <v>28</v>
      </c>
      <c r="O211" s="7">
        <f t="shared" ca="1" si="13"/>
        <v>45888</v>
      </c>
      <c r="P211" s="7">
        <v>45947</v>
      </c>
      <c r="Q211">
        <v>3</v>
      </c>
      <c r="R211" t="str">
        <f t="shared" si="14"/>
        <v>High Risk</v>
      </c>
      <c r="S211" t="str">
        <f t="shared" si="15"/>
        <v>Poor</v>
      </c>
      <c r="T211" s="4">
        <f>Table1[[#This Row],[Deposit_Amount]]+Table1[[#This Row],[Withdrawal_Amount]]</f>
        <v>279664.27</v>
      </c>
      <c r="U211" t="s">
        <v>274</v>
      </c>
    </row>
    <row r="212" spans="1:21" x14ac:dyDescent="0.3">
      <c r="A212">
        <v>211</v>
      </c>
      <c r="B212" t="s">
        <v>119</v>
      </c>
      <c r="C212" t="s">
        <v>16</v>
      </c>
      <c r="D212">
        <v>62</v>
      </c>
      <c r="E212" t="s">
        <v>44</v>
      </c>
      <c r="F212" s="4">
        <v>123883.82</v>
      </c>
      <c r="G212" t="str">
        <f t="shared" si="12"/>
        <v>Midum Income</v>
      </c>
      <c r="H212">
        <v>205381.52</v>
      </c>
      <c r="I212">
        <v>684</v>
      </c>
      <c r="J212" t="s">
        <v>38</v>
      </c>
      <c r="K212" t="s">
        <v>59</v>
      </c>
      <c r="L212">
        <v>-6225.31</v>
      </c>
      <c r="M212">
        <v>178478.68</v>
      </c>
      <c r="N212" t="s">
        <v>28</v>
      </c>
      <c r="O212" s="7">
        <f t="shared" ca="1" si="13"/>
        <v>45913</v>
      </c>
      <c r="P212" s="7">
        <v>45836</v>
      </c>
      <c r="Q212">
        <v>1</v>
      </c>
      <c r="R212" t="str">
        <f t="shared" si="14"/>
        <v>Low Risk</v>
      </c>
      <c r="S212" t="str">
        <f t="shared" si="15"/>
        <v>Good</v>
      </c>
      <c r="T212" s="4">
        <f>Table1[[#This Row],[Deposit_Amount]]+Table1[[#This Row],[Withdrawal_Amount]]</f>
        <v>329265.33999999997</v>
      </c>
      <c r="U212" t="s">
        <v>274</v>
      </c>
    </row>
    <row r="213" spans="1:21" x14ac:dyDescent="0.3">
      <c r="A213">
        <v>212</v>
      </c>
      <c r="B213" t="s">
        <v>84</v>
      </c>
      <c r="C213" t="s">
        <v>16</v>
      </c>
      <c r="D213">
        <v>46</v>
      </c>
      <c r="E213" t="s">
        <v>17</v>
      </c>
      <c r="F213" s="4">
        <v>6876.42</v>
      </c>
      <c r="G213" t="str">
        <f t="shared" si="12"/>
        <v>Low Income</v>
      </c>
      <c r="H213">
        <v>220165.27</v>
      </c>
      <c r="I213">
        <v>301</v>
      </c>
      <c r="J213" t="s">
        <v>27</v>
      </c>
      <c r="K213" t="s">
        <v>42</v>
      </c>
      <c r="L213">
        <v>-42617.41</v>
      </c>
      <c r="M213">
        <v>91001.67</v>
      </c>
      <c r="N213" t="s">
        <v>25</v>
      </c>
      <c r="O213" s="7">
        <f t="shared" ca="1" si="13"/>
        <v>45816</v>
      </c>
      <c r="P213" s="7">
        <v>45774</v>
      </c>
      <c r="Q213">
        <v>1</v>
      </c>
      <c r="R213" t="str">
        <f t="shared" si="14"/>
        <v>High Risk</v>
      </c>
      <c r="S213" t="str">
        <f t="shared" si="15"/>
        <v>Poor</v>
      </c>
      <c r="T213" s="4">
        <f>Table1[[#This Row],[Deposit_Amount]]+Table1[[#This Row],[Withdrawal_Amount]]</f>
        <v>227041.69</v>
      </c>
      <c r="U213" t="s">
        <v>274</v>
      </c>
    </row>
    <row r="214" spans="1:21" x14ac:dyDescent="0.3">
      <c r="A214">
        <v>213</v>
      </c>
      <c r="B214" t="s">
        <v>163</v>
      </c>
      <c r="C214" t="s">
        <v>22</v>
      </c>
      <c r="D214">
        <v>40</v>
      </c>
      <c r="E214" t="s">
        <v>35</v>
      </c>
      <c r="F214" s="4">
        <v>445107.74</v>
      </c>
      <c r="G214" t="str">
        <f t="shared" si="12"/>
        <v>High Income</v>
      </c>
      <c r="H214">
        <v>11720.47</v>
      </c>
      <c r="I214">
        <v>360</v>
      </c>
      <c r="J214" t="s">
        <v>41</v>
      </c>
      <c r="K214" t="s">
        <v>19</v>
      </c>
      <c r="L214">
        <v>501771.71</v>
      </c>
      <c r="M214">
        <v>25333.33</v>
      </c>
      <c r="N214" t="s">
        <v>28</v>
      </c>
      <c r="O214" s="7">
        <f t="shared" ca="1" si="13"/>
        <v>45898</v>
      </c>
      <c r="P214" s="7">
        <v>45664</v>
      </c>
      <c r="Q214">
        <v>4</v>
      </c>
      <c r="R214" t="str">
        <f t="shared" si="14"/>
        <v>High Risk</v>
      </c>
      <c r="S214" t="str">
        <f t="shared" si="15"/>
        <v>Poor</v>
      </c>
      <c r="T214" s="4">
        <f>Table1[[#This Row],[Deposit_Amount]]+Table1[[#This Row],[Withdrawal_Amount]]</f>
        <v>456828.20999999996</v>
      </c>
      <c r="U214" t="s">
        <v>274</v>
      </c>
    </row>
    <row r="215" spans="1:21" x14ac:dyDescent="0.3">
      <c r="A215">
        <v>214</v>
      </c>
      <c r="B215" t="s">
        <v>61</v>
      </c>
      <c r="C215" t="s">
        <v>22</v>
      </c>
      <c r="D215">
        <v>39</v>
      </c>
      <c r="E215" t="s">
        <v>40</v>
      </c>
      <c r="F215" s="4">
        <v>40819.82</v>
      </c>
      <c r="G215" t="str">
        <f t="shared" si="12"/>
        <v>Low Income</v>
      </c>
      <c r="H215">
        <v>28309.21</v>
      </c>
      <c r="I215">
        <v>516</v>
      </c>
      <c r="J215" t="s">
        <v>18</v>
      </c>
      <c r="K215" t="s">
        <v>59</v>
      </c>
      <c r="L215">
        <v>49849.35</v>
      </c>
      <c r="M215">
        <v>34716.99</v>
      </c>
      <c r="N215" t="s">
        <v>20</v>
      </c>
      <c r="O215" s="7">
        <f t="shared" ca="1" si="13"/>
        <v>45659</v>
      </c>
      <c r="P215" s="7">
        <v>45731</v>
      </c>
      <c r="Q215">
        <v>5</v>
      </c>
      <c r="R215" t="str">
        <f t="shared" si="14"/>
        <v>Midum Risk</v>
      </c>
      <c r="S215" t="str">
        <f t="shared" si="15"/>
        <v xml:space="preserve">Midum </v>
      </c>
      <c r="T215" s="4">
        <f>Table1[[#This Row],[Deposit_Amount]]+Table1[[#This Row],[Withdrawal_Amount]]</f>
        <v>69129.03</v>
      </c>
      <c r="U215" t="s">
        <v>274</v>
      </c>
    </row>
    <row r="216" spans="1:21" x14ac:dyDescent="0.3">
      <c r="A216">
        <v>215</v>
      </c>
      <c r="B216" t="s">
        <v>114</v>
      </c>
      <c r="C216" t="s">
        <v>16</v>
      </c>
      <c r="D216">
        <v>63</v>
      </c>
      <c r="E216" t="s">
        <v>17</v>
      </c>
      <c r="F216" s="4">
        <v>203875.68</v>
      </c>
      <c r="G216" t="str">
        <f t="shared" si="12"/>
        <v>High Income</v>
      </c>
      <c r="H216">
        <v>119933.5</v>
      </c>
      <c r="I216">
        <v>380</v>
      </c>
      <c r="J216" t="s">
        <v>32</v>
      </c>
      <c r="K216" t="s">
        <v>24</v>
      </c>
      <c r="L216">
        <v>123551.62</v>
      </c>
      <c r="M216">
        <v>99791.87</v>
      </c>
      <c r="N216" t="s">
        <v>20</v>
      </c>
      <c r="O216" s="7">
        <f t="shared" ca="1" si="13"/>
        <v>45759</v>
      </c>
      <c r="P216" s="7">
        <v>45854</v>
      </c>
      <c r="Q216">
        <v>1</v>
      </c>
      <c r="R216" t="str">
        <f t="shared" si="14"/>
        <v>High Risk</v>
      </c>
      <c r="S216" t="str">
        <f t="shared" si="15"/>
        <v>Poor</v>
      </c>
      <c r="T216" s="4">
        <f>Table1[[#This Row],[Deposit_Amount]]+Table1[[#This Row],[Withdrawal_Amount]]</f>
        <v>323809.18</v>
      </c>
      <c r="U216" t="s">
        <v>274</v>
      </c>
    </row>
    <row r="217" spans="1:21" x14ac:dyDescent="0.3">
      <c r="A217">
        <v>216</v>
      </c>
      <c r="B217" t="s">
        <v>154</v>
      </c>
      <c r="C217" t="s">
        <v>16</v>
      </c>
      <c r="D217">
        <v>23</v>
      </c>
      <c r="E217" t="s">
        <v>31</v>
      </c>
      <c r="F217" s="4">
        <v>41615.21</v>
      </c>
      <c r="G217" t="str">
        <f t="shared" si="12"/>
        <v>Low Income</v>
      </c>
      <c r="H217">
        <v>83983.28</v>
      </c>
      <c r="I217">
        <v>836</v>
      </c>
      <c r="J217" t="s">
        <v>32</v>
      </c>
      <c r="K217" t="s">
        <v>42</v>
      </c>
      <c r="L217">
        <v>16337.94</v>
      </c>
      <c r="M217">
        <v>181698.33</v>
      </c>
      <c r="N217" t="s">
        <v>28</v>
      </c>
      <c r="O217" s="7">
        <f t="shared" ca="1" si="13"/>
        <v>45709</v>
      </c>
      <c r="P217" s="7">
        <v>45991</v>
      </c>
      <c r="Q217">
        <v>3</v>
      </c>
      <c r="R217" t="str">
        <f t="shared" si="14"/>
        <v>Low Risk</v>
      </c>
      <c r="S217" t="str">
        <f t="shared" si="15"/>
        <v>Good</v>
      </c>
      <c r="T217" s="4">
        <f>Table1[[#This Row],[Deposit_Amount]]+Table1[[#This Row],[Withdrawal_Amount]]</f>
        <v>125598.48999999999</v>
      </c>
      <c r="U217" t="s">
        <v>274</v>
      </c>
    </row>
    <row r="218" spans="1:21" x14ac:dyDescent="0.3">
      <c r="A218">
        <v>217</v>
      </c>
      <c r="B218" t="s">
        <v>164</v>
      </c>
      <c r="C218" t="s">
        <v>16</v>
      </c>
      <c r="D218">
        <v>47</v>
      </c>
      <c r="E218" t="s">
        <v>40</v>
      </c>
      <c r="F218" s="4">
        <v>491022.74</v>
      </c>
      <c r="G218" t="str">
        <f t="shared" si="12"/>
        <v>High Income</v>
      </c>
      <c r="H218">
        <v>290052.32</v>
      </c>
      <c r="I218">
        <v>766</v>
      </c>
      <c r="J218" t="s">
        <v>38</v>
      </c>
      <c r="K218" t="s">
        <v>42</v>
      </c>
      <c r="L218">
        <v>313142.03000000003</v>
      </c>
      <c r="M218">
        <v>243628.11</v>
      </c>
      <c r="N218" t="s">
        <v>25</v>
      </c>
      <c r="O218" s="7">
        <f t="shared" ca="1" si="13"/>
        <v>45739</v>
      </c>
      <c r="P218" s="7">
        <v>45972</v>
      </c>
      <c r="Q218">
        <v>3</v>
      </c>
      <c r="R218" t="str">
        <f t="shared" si="14"/>
        <v>Low Risk</v>
      </c>
      <c r="S218" t="str">
        <f t="shared" si="15"/>
        <v>Good</v>
      </c>
      <c r="T218" s="4">
        <f>Table1[[#This Row],[Deposit_Amount]]+Table1[[#This Row],[Withdrawal_Amount]]</f>
        <v>781075.06</v>
      </c>
      <c r="U218" t="s">
        <v>274</v>
      </c>
    </row>
    <row r="219" spans="1:21" x14ac:dyDescent="0.3">
      <c r="A219">
        <v>218</v>
      </c>
      <c r="B219" t="s">
        <v>156</v>
      </c>
      <c r="C219" t="s">
        <v>16</v>
      </c>
      <c r="D219">
        <v>60</v>
      </c>
      <c r="E219" t="s">
        <v>31</v>
      </c>
      <c r="F219" s="4">
        <v>48496.47</v>
      </c>
      <c r="G219" t="str">
        <f t="shared" si="12"/>
        <v>Low Income</v>
      </c>
      <c r="H219">
        <v>279707.87</v>
      </c>
      <c r="I219">
        <v>386</v>
      </c>
      <c r="J219" t="s">
        <v>27</v>
      </c>
      <c r="K219" t="s">
        <v>42</v>
      </c>
      <c r="L219">
        <v>-187827.12</v>
      </c>
      <c r="M219">
        <v>179488.89</v>
      </c>
      <c r="N219" t="s">
        <v>20</v>
      </c>
      <c r="O219" s="7">
        <f t="shared" ca="1" si="13"/>
        <v>45690</v>
      </c>
      <c r="P219" s="7">
        <v>46011</v>
      </c>
      <c r="Q219">
        <v>1</v>
      </c>
      <c r="R219" t="str">
        <f t="shared" si="14"/>
        <v>High Risk</v>
      </c>
      <c r="S219" t="str">
        <f t="shared" si="15"/>
        <v>Poor</v>
      </c>
      <c r="T219" s="4">
        <f>Table1[[#This Row],[Deposit_Amount]]+Table1[[#This Row],[Withdrawal_Amount]]</f>
        <v>328204.33999999997</v>
      </c>
      <c r="U219" t="s">
        <v>274</v>
      </c>
    </row>
    <row r="220" spans="1:21" x14ac:dyDescent="0.3">
      <c r="A220">
        <v>219</v>
      </c>
      <c r="B220" t="s">
        <v>60</v>
      </c>
      <c r="C220" t="s">
        <v>22</v>
      </c>
      <c r="D220">
        <v>68</v>
      </c>
      <c r="E220" t="s">
        <v>17</v>
      </c>
      <c r="F220" s="4">
        <v>463992.54</v>
      </c>
      <c r="G220" t="str">
        <f t="shared" si="12"/>
        <v>High Income</v>
      </c>
      <c r="H220">
        <v>270690.94</v>
      </c>
      <c r="I220">
        <v>347</v>
      </c>
      <c r="J220" t="s">
        <v>38</v>
      </c>
      <c r="K220" t="s">
        <v>19</v>
      </c>
      <c r="L220">
        <v>356947.83</v>
      </c>
      <c r="M220">
        <v>129392.54</v>
      </c>
      <c r="N220" t="s">
        <v>25</v>
      </c>
      <c r="O220" s="7">
        <f t="shared" ca="1" si="13"/>
        <v>45722</v>
      </c>
      <c r="P220" s="7">
        <v>45959</v>
      </c>
      <c r="Q220">
        <v>4</v>
      </c>
      <c r="R220" t="str">
        <f t="shared" si="14"/>
        <v>High Risk</v>
      </c>
      <c r="S220" t="str">
        <f t="shared" si="15"/>
        <v>Poor</v>
      </c>
      <c r="T220" s="4">
        <f>Table1[[#This Row],[Deposit_Amount]]+Table1[[#This Row],[Withdrawal_Amount]]</f>
        <v>734683.48</v>
      </c>
      <c r="U220" t="s">
        <v>274</v>
      </c>
    </row>
    <row r="221" spans="1:21" x14ac:dyDescent="0.3">
      <c r="A221">
        <v>220</v>
      </c>
      <c r="B221" t="s">
        <v>119</v>
      </c>
      <c r="C221" t="s">
        <v>16</v>
      </c>
      <c r="D221">
        <v>29</v>
      </c>
      <c r="E221" t="s">
        <v>31</v>
      </c>
      <c r="F221" s="4">
        <v>100989.48</v>
      </c>
      <c r="G221" t="str">
        <f t="shared" si="12"/>
        <v>Midum Income</v>
      </c>
      <c r="H221">
        <v>112141.22</v>
      </c>
      <c r="I221">
        <v>639</v>
      </c>
      <c r="J221" t="s">
        <v>38</v>
      </c>
      <c r="K221" t="s">
        <v>36</v>
      </c>
      <c r="L221">
        <v>17319.07</v>
      </c>
      <c r="M221">
        <v>208013.98</v>
      </c>
      <c r="N221" t="s">
        <v>20</v>
      </c>
      <c r="O221" s="7">
        <f t="shared" ca="1" si="13"/>
        <v>45676</v>
      </c>
      <c r="P221" s="7">
        <v>45835</v>
      </c>
      <c r="Q221">
        <v>3</v>
      </c>
      <c r="R221" t="str">
        <f t="shared" si="14"/>
        <v>Low Risk</v>
      </c>
      <c r="S221" t="str">
        <f t="shared" si="15"/>
        <v>Good</v>
      </c>
      <c r="T221" s="4">
        <f>Table1[[#This Row],[Deposit_Amount]]+Table1[[#This Row],[Withdrawal_Amount]]</f>
        <v>213130.7</v>
      </c>
      <c r="U221" t="s">
        <v>274</v>
      </c>
    </row>
    <row r="222" spans="1:21" x14ac:dyDescent="0.3">
      <c r="A222">
        <v>221</v>
      </c>
      <c r="B222" t="s">
        <v>165</v>
      </c>
      <c r="C222" t="s">
        <v>16</v>
      </c>
      <c r="D222">
        <v>23</v>
      </c>
      <c r="E222" t="s">
        <v>17</v>
      </c>
      <c r="F222" s="4">
        <v>406480.09</v>
      </c>
      <c r="G222" t="str">
        <f t="shared" si="12"/>
        <v>High Income</v>
      </c>
      <c r="H222">
        <v>185374.65</v>
      </c>
      <c r="I222">
        <v>605</v>
      </c>
      <c r="J222" t="s">
        <v>27</v>
      </c>
      <c r="K222" t="s">
        <v>42</v>
      </c>
      <c r="L222">
        <v>383162.55</v>
      </c>
      <c r="M222">
        <v>18373.5</v>
      </c>
      <c r="N222" t="s">
        <v>25</v>
      </c>
      <c r="O222" s="7">
        <f t="shared" ca="1" si="13"/>
        <v>45765</v>
      </c>
      <c r="P222" s="7">
        <v>45665</v>
      </c>
      <c r="Q222">
        <v>1</v>
      </c>
      <c r="R222" t="str">
        <f t="shared" si="14"/>
        <v>Low Risk</v>
      </c>
      <c r="S222" t="str">
        <f t="shared" si="15"/>
        <v>Good</v>
      </c>
      <c r="T222" s="4">
        <f>Table1[[#This Row],[Deposit_Amount]]+Table1[[#This Row],[Withdrawal_Amount]]</f>
        <v>591854.74</v>
      </c>
      <c r="U222" t="s">
        <v>274</v>
      </c>
    </row>
    <row r="223" spans="1:21" x14ac:dyDescent="0.3">
      <c r="A223">
        <v>222</v>
      </c>
      <c r="B223" t="s">
        <v>15</v>
      </c>
      <c r="C223" t="s">
        <v>16</v>
      </c>
      <c r="D223">
        <v>23</v>
      </c>
      <c r="E223" t="s">
        <v>44</v>
      </c>
      <c r="F223" s="4">
        <v>44418.71</v>
      </c>
      <c r="G223" t="str">
        <f t="shared" si="12"/>
        <v>Low Income</v>
      </c>
      <c r="H223">
        <v>80721.45</v>
      </c>
      <c r="I223">
        <v>547</v>
      </c>
      <c r="J223" t="s">
        <v>41</v>
      </c>
      <c r="K223" t="s">
        <v>36</v>
      </c>
      <c r="L223">
        <v>12613.38</v>
      </c>
      <c r="M223">
        <v>237713.33</v>
      </c>
      <c r="N223" t="s">
        <v>20</v>
      </c>
      <c r="O223" s="7">
        <f t="shared" ca="1" si="13"/>
        <v>45846</v>
      </c>
      <c r="P223" s="7">
        <v>45681</v>
      </c>
      <c r="Q223">
        <v>4</v>
      </c>
      <c r="R223" t="str">
        <f t="shared" si="14"/>
        <v>Midum Risk</v>
      </c>
      <c r="S223" t="str">
        <f t="shared" si="15"/>
        <v xml:space="preserve">Midum </v>
      </c>
      <c r="T223" s="4">
        <f>Table1[[#This Row],[Deposit_Amount]]+Table1[[#This Row],[Withdrawal_Amount]]</f>
        <v>125140.16</v>
      </c>
      <c r="U223" t="s">
        <v>274</v>
      </c>
    </row>
    <row r="224" spans="1:21" x14ac:dyDescent="0.3">
      <c r="A224">
        <v>223</v>
      </c>
      <c r="B224" t="s">
        <v>46</v>
      </c>
      <c r="C224" t="s">
        <v>22</v>
      </c>
      <c r="D224">
        <v>34</v>
      </c>
      <c r="E224" t="s">
        <v>17</v>
      </c>
      <c r="F224" s="4">
        <v>467303.43</v>
      </c>
      <c r="G224" t="str">
        <f t="shared" si="12"/>
        <v>High Income</v>
      </c>
      <c r="H224">
        <v>272215.63</v>
      </c>
      <c r="I224">
        <v>435</v>
      </c>
      <c r="J224" t="s">
        <v>27</v>
      </c>
      <c r="K224" t="s">
        <v>19</v>
      </c>
      <c r="L224">
        <v>345023.11</v>
      </c>
      <c r="M224">
        <v>42533.41</v>
      </c>
      <c r="N224" t="s">
        <v>20</v>
      </c>
      <c r="O224" s="7">
        <f t="shared" ca="1" si="13"/>
        <v>45895</v>
      </c>
      <c r="P224" s="7">
        <v>45891</v>
      </c>
      <c r="Q224">
        <v>2</v>
      </c>
      <c r="R224" t="str">
        <f t="shared" si="14"/>
        <v>Midum Risk</v>
      </c>
      <c r="S224" t="str">
        <f t="shared" si="15"/>
        <v xml:space="preserve">Midum </v>
      </c>
      <c r="T224" s="4">
        <f>Table1[[#This Row],[Deposit_Amount]]+Table1[[#This Row],[Withdrawal_Amount]]</f>
        <v>739519.06</v>
      </c>
      <c r="U224" t="s">
        <v>274</v>
      </c>
    </row>
    <row r="225" spans="1:21" x14ac:dyDescent="0.3">
      <c r="A225">
        <v>224</v>
      </c>
      <c r="B225" t="s">
        <v>110</v>
      </c>
      <c r="C225" t="s">
        <v>22</v>
      </c>
      <c r="D225">
        <v>28</v>
      </c>
      <c r="E225" t="s">
        <v>17</v>
      </c>
      <c r="F225" s="4">
        <v>383984.91</v>
      </c>
      <c r="G225" t="str">
        <f t="shared" si="12"/>
        <v>High Income</v>
      </c>
      <c r="H225">
        <v>173785.22</v>
      </c>
      <c r="I225">
        <v>842</v>
      </c>
      <c r="J225" t="s">
        <v>38</v>
      </c>
      <c r="K225" t="s">
        <v>24</v>
      </c>
      <c r="L225">
        <v>335410.84000000003</v>
      </c>
      <c r="M225">
        <v>158271.14000000001</v>
      </c>
      <c r="N225" t="s">
        <v>28</v>
      </c>
      <c r="O225" s="7">
        <f t="shared" ca="1" si="13"/>
        <v>45678</v>
      </c>
      <c r="P225" s="7">
        <v>45658</v>
      </c>
      <c r="Q225">
        <v>3</v>
      </c>
      <c r="R225" t="str">
        <f t="shared" si="14"/>
        <v>Low Risk</v>
      </c>
      <c r="S225" t="str">
        <f t="shared" si="15"/>
        <v>Good</v>
      </c>
      <c r="T225" s="4">
        <f>Table1[[#This Row],[Deposit_Amount]]+Table1[[#This Row],[Withdrawal_Amount]]</f>
        <v>557770.13</v>
      </c>
      <c r="U225" t="s">
        <v>274</v>
      </c>
    </row>
    <row r="226" spans="1:21" x14ac:dyDescent="0.3">
      <c r="A226">
        <v>225</v>
      </c>
      <c r="B226" t="s">
        <v>57</v>
      </c>
      <c r="C226" t="s">
        <v>22</v>
      </c>
      <c r="D226">
        <v>35</v>
      </c>
      <c r="E226" t="s">
        <v>17</v>
      </c>
      <c r="F226" s="4">
        <v>116003.18</v>
      </c>
      <c r="G226" t="str">
        <f t="shared" si="12"/>
        <v>Midum Income</v>
      </c>
      <c r="H226">
        <v>240220.26</v>
      </c>
      <c r="I226">
        <v>453</v>
      </c>
      <c r="J226" t="s">
        <v>18</v>
      </c>
      <c r="K226" t="s">
        <v>42</v>
      </c>
      <c r="L226">
        <v>-48582.31</v>
      </c>
      <c r="M226">
        <v>145415.96</v>
      </c>
      <c r="N226" t="s">
        <v>25</v>
      </c>
      <c r="O226" s="7">
        <f t="shared" ca="1" si="13"/>
        <v>45715</v>
      </c>
      <c r="P226" s="7">
        <v>45884</v>
      </c>
      <c r="Q226">
        <v>3</v>
      </c>
      <c r="R226" t="str">
        <f t="shared" si="14"/>
        <v>Midum Risk</v>
      </c>
      <c r="S226" t="str">
        <f t="shared" si="15"/>
        <v xml:space="preserve">Midum </v>
      </c>
      <c r="T226" s="4">
        <f>Table1[[#This Row],[Deposit_Amount]]+Table1[[#This Row],[Withdrawal_Amount]]</f>
        <v>356223.44</v>
      </c>
      <c r="U226" t="s">
        <v>274</v>
      </c>
    </row>
    <row r="227" spans="1:21" x14ac:dyDescent="0.3">
      <c r="A227">
        <v>226</v>
      </c>
      <c r="B227" t="s">
        <v>166</v>
      </c>
      <c r="C227" t="s">
        <v>22</v>
      </c>
      <c r="D227">
        <v>24</v>
      </c>
      <c r="E227" t="s">
        <v>23</v>
      </c>
      <c r="F227" s="4">
        <v>332741.56</v>
      </c>
      <c r="G227" t="str">
        <f t="shared" si="12"/>
        <v>High Income</v>
      </c>
      <c r="H227">
        <v>220024.41</v>
      </c>
      <c r="I227">
        <v>552</v>
      </c>
      <c r="J227" t="s">
        <v>32</v>
      </c>
      <c r="K227" t="s">
        <v>24</v>
      </c>
      <c r="L227">
        <v>157719.32</v>
      </c>
      <c r="M227">
        <v>135628.4</v>
      </c>
      <c r="N227" t="s">
        <v>25</v>
      </c>
      <c r="O227" s="7">
        <f t="shared" ca="1" si="13"/>
        <v>45845</v>
      </c>
      <c r="P227" s="7">
        <v>45710</v>
      </c>
      <c r="Q227">
        <v>2</v>
      </c>
      <c r="R227" t="str">
        <f t="shared" si="14"/>
        <v>Midum Risk</v>
      </c>
      <c r="S227" t="str">
        <f t="shared" si="15"/>
        <v xml:space="preserve">Midum </v>
      </c>
      <c r="T227" s="4">
        <f>Table1[[#This Row],[Deposit_Amount]]+Table1[[#This Row],[Withdrawal_Amount]]</f>
        <v>552765.97</v>
      </c>
      <c r="U227" t="s">
        <v>274</v>
      </c>
    </row>
    <row r="228" spans="1:21" x14ac:dyDescent="0.3">
      <c r="A228">
        <v>227</v>
      </c>
      <c r="B228" t="s">
        <v>98</v>
      </c>
      <c r="C228" t="s">
        <v>22</v>
      </c>
      <c r="D228">
        <v>55</v>
      </c>
      <c r="E228" t="s">
        <v>31</v>
      </c>
      <c r="F228" s="4">
        <v>469258.85</v>
      </c>
      <c r="G228" t="str">
        <f t="shared" si="12"/>
        <v>High Income</v>
      </c>
      <c r="H228">
        <v>85332.54</v>
      </c>
      <c r="I228">
        <v>846</v>
      </c>
      <c r="J228" t="s">
        <v>18</v>
      </c>
      <c r="K228" t="s">
        <v>36</v>
      </c>
      <c r="L228">
        <v>546490.17000000004</v>
      </c>
      <c r="M228">
        <v>83222.94</v>
      </c>
      <c r="N228" t="s">
        <v>25</v>
      </c>
      <c r="O228" s="7">
        <f t="shared" ca="1" si="13"/>
        <v>45913</v>
      </c>
      <c r="P228" s="7">
        <v>45665</v>
      </c>
      <c r="Q228">
        <v>1</v>
      </c>
      <c r="R228" t="str">
        <f t="shared" si="14"/>
        <v>Low Risk</v>
      </c>
      <c r="S228" t="str">
        <f t="shared" si="15"/>
        <v>Good</v>
      </c>
      <c r="T228" s="4">
        <f>Table1[[#This Row],[Deposit_Amount]]+Table1[[#This Row],[Withdrawal_Amount]]</f>
        <v>554591.39</v>
      </c>
      <c r="U228" t="s">
        <v>274</v>
      </c>
    </row>
    <row r="229" spans="1:21" x14ac:dyDescent="0.3">
      <c r="A229">
        <v>228</v>
      </c>
      <c r="B229" t="s">
        <v>83</v>
      </c>
      <c r="C229" t="s">
        <v>22</v>
      </c>
      <c r="D229">
        <v>47</v>
      </c>
      <c r="E229" t="s">
        <v>35</v>
      </c>
      <c r="F229" s="4">
        <v>47287.89</v>
      </c>
      <c r="G229" t="str">
        <f t="shared" si="12"/>
        <v>Low Income</v>
      </c>
      <c r="H229">
        <v>174636.29</v>
      </c>
      <c r="I229">
        <v>594</v>
      </c>
      <c r="J229" t="s">
        <v>38</v>
      </c>
      <c r="K229" t="s">
        <v>24</v>
      </c>
      <c r="L229">
        <v>45684.77</v>
      </c>
      <c r="M229">
        <v>115003.49</v>
      </c>
      <c r="N229" t="s">
        <v>28</v>
      </c>
      <c r="O229" s="7">
        <f t="shared" ca="1" si="13"/>
        <v>45838</v>
      </c>
      <c r="P229" s="7">
        <v>45977</v>
      </c>
      <c r="Q229">
        <v>3</v>
      </c>
      <c r="R229" t="str">
        <f t="shared" si="14"/>
        <v>Midum Risk</v>
      </c>
      <c r="S229" t="str">
        <f t="shared" si="15"/>
        <v xml:space="preserve">Midum </v>
      </c>
      <c r="T229" s="4">
        <f>Table1[[#This Row],[Deposit_Amount]]+Table1[[#This Row],[Withdrawal_Amount]]</f>
        <v>221924.18</v>
      </c>
      <c r="U229" t="s">
        <v>274</v>
      </c>
    </row>
    <row r="230" spans="1:21" x14ac:dyDescent="0.3">
      <c r="A230">
        <v>229</v>
      </c>
      <c r="B230" t="s">
        <v>163</v>
      </c>
      <c r="C230" t="s">
        <v>22</v>
      </c>
      <c r="D230">
        <v>35</v>
      </c>
      <c r="E230" t="s">
        <v>35</v>
      </c>
      <c r="F230" s="4">
        <v>370550.36</v>
      </c>
      <c r="G230" t="str">
        <f t="shared" si="12"/>
        <v>High Income</v>
      </c>
      <c r="H230">
        <v>208220.09</v>
      </c>
      <c r="I230">
        <v>504</v>
      </c>
      <c r="J230" t="s">
        <v>41</v>
      </c>
      <c r="K230" t="s">
        <v>19</v>
      </c>
      <c r="L230">
        <v>202194.76</v>
      </c>
      <c r="M230">
        <v>91300.07</v>
      </c>
      <c r="N230" t="s">
        <v>25</v>
      </c>
      <c r="O230" s="7">
        <f t="shared" ca="1" si="13"/>
        <v>45757</v>
      </c>
      <c r="P230" s="7">
        <v>45786</v>
      </c>
      <c r="Q230">
        <v>2</v>
      </c>
      <c r="R230" t="str">
        <f t="shared" si="14"/>
        <v>Midum Risk</v>
      </c>
      <c r="S230" t="str">
        <f t="shared" si="15"/>
        <v xml:space="preserve">Midum </v>
      </c>
      <c r="T230" s="4">
        <f>Table1[[#This Row],[Deposit_Amount]]+Table1[[#This Row],[Withdrawal_Amount]]</f>
        <v>578770.44999999995</v>
      </c>
      <c r="U230" t="s">
        <v>274</v>
      </c>
    </row>
    <row r="231" spans="1:21" x14ac:dyDescent="0.3">
      <c r="A231">
        <v>230</v>
      </c>
      <c r="B231" t="s">
        <v>112</v>
      </c>
      <c r="C231" t="s">
        <v>16</v>
      </c>
      <c r="D231">
        <v>43</v>
      </c>
      <c r="E231" t="s">
        <v>31</v>
      </c>
      <c r="F231" s="4">
        <v>236917.77</v>
      </c>
      <c r="G231" t="str">
        <f t="shared" si="12"/>
        <v>High Income</v>
      </c>
      <c r="H231">
        <v>109214.81</v>
      </c>
      <c r="I231">
        <v>647</v>
      </c>
      <c r="J231" t="s">
        <v>32</v>
      </c>
      <c r="K231" t="s">
        <v>24</v>
      </c>
      <c r="L231">
        <v>197050.14</v>
      </c>
      <c r="M231">
        <v>129527.13</v>
      </c>
      <c r="N231" t="s">
        <v>28</v>
      </c>
      <c r="O231" s="7">
        <f t="shared" ca="1" si="13"/>
        <v>45690</v>
      </c>
      <c r="P231" s="7">
        <v>45927</v>
      </c>
      <c r="Q231">
        <v>1</v>
      </c>
      <c r="R231" t="str">
        <f t="shared" si="14"/>
        <v>Low Risk</v>
      </c>
      <c r="S231" t="str">
        <f t="shared" si="15"/>
        <v>Good</v>
      </c>
      <c r="T231" s="4">
        <f>Table1[[#This Row],[Deposit_Amount]]+Table1[[#This Row],[Withdrawal_Amount]]</f>
        <v>346132.57999999996</v>
      </c>
      <c r="U231" t="s">
        <v>274</v>
      </c>
    </row>
    <row r="232" spans="1:21" x14ac:dyDescent="0.3">
      <c r="A232">
        <v>231</v>
      </c>
      <c r="B232" t="s">
        <v>131</v>
      </c>
      <c r="C232" t="s">
        <v>16</v>
      </c>
      <c r="D232">
        <v>49</v>
      </c>
      <c r="E232" t="s">
        <v>23</v>
      </c>
      <c r="F232" s="4">
        <v>54664.52</v>
      </c>
      <c r="G232" t="str">
        <f t="shared" si="12"/>
        <v>Low Income</v>
      </c>
      <c r="H232">
        <v>248006.64</v>
      </c>
      <c r="I232">
        <v>867</v>
      </c>
      <c r="J232" t="s">
        <v>27</v>
      </c>
      <c r="K232" t="s">
        <v>24</v>
      </c>
      <c r="L232">
        <v>-56429.43</v>
      </c>
      <c r="M232">
        <v>200823.32</v>
      </c>
      <c r="N232" t="s">
        <v>25</v>
      </c>
      <c r="O232" s="7">
        <f t="shared" ca="1" si="13"/>
        <v>45995</v>
      </c>
      <c r="P232" s="7">
        <v>45793</v>
      </c>
      <c r="Q232">
        <v>3</v>
      </c>
      <c r="R232" t="str">
        <f t="shared" si="14"/>
        <v>Low Risk</v>
      </c>
      <c r="S232" t="str">
        <f t="shared" si="15"/>
        <v>Good</v>
      </c>
      <c r="T232" s="4">
        <f>Table1[[#This Row],[Deposit_Amount]]+Table1[[#This Row],[Withdrawal_Amount]]</f>
        <v>302671.16000000003</v>
      </c>
      <c r="U232" t="s">
        <v>274</v>
      </c>
    </row>
    <row r="233" spans="1:21" x14ac:dyDescent="0.3">
      <c r="A233">
        <v>232</v>
      </c>
      <c r="B233" t="s">
        <v>137</v>
      </c>
      <c r="C233" t="s">
        <v>16</v>
      </c>
      <c r="D233">
        <v>22</v>
      </c>
      <c r="E233" t="s">
        <v>17</v>
      </c>
      <c r="F233" s="4">
        <v>489826.19</v>
      </c>
      <c r="G233" t="str">
        <f t="shared" si="12"/>
        <v>High Income</v>
      </c>
      <c r="H233">
        <v>77760.77</v>
      </c>
      <c r="I233">
        <v>543</v>
      </c>
      <c r="J233" t="s">
        <v>18</v>
      </c>
      <c r="K233" t="s">
        <v>59</v>
      </c>
      <c r="L233">
        <v>513570.01</v>
      </c>
      <c r="M233">
        <v>78404.56</v>
      </c>
      <c r="N233" t="s">
        <v>20</v>
      </c>
      <c r="O233" s="7">
        <f t="shared" ca="1" si="13"/>
        <v>45683</v>
      </c>
      <c r="P233" s="7">
        <v>45695</v>
      </c>
      <c r="Q233">
        <v>1</v>
      </c>
      <c r="R233" t="str">
        <f t="shared" si="14"/>
        <v>Midum Risk</v>
      </c>
      <c r="S233" t="str">
        <f t="shared" si="15"/>
        <v xml:space="preserve">Midum </v>
      </c>
      <c r="T233" s="4">
        <f>Table1[[#This Row],[Deposit_Amount]]+Table1[[#This Row],[Withdrawal_Amount]]</f>
        <v>567586.96</v>
      </c>
      <c r="U233" t="s">
        <v>274</v>
      </c>
    </row>
    <row r="234" spans="1:21" x14ac:dyDescent="0.3">
      <c r="A234">
        <v>233</v>
      </c>
      <c r="B234" t="s">
        <v>45</v>
      </c>
      <c r="C234" t="s">
        <v>22</v>
      </c>
      <c r="D234">
        <v>58</v>
      </c>
      <c r="E234" t="s">
        <v>35</v>
      </c>
      <c r="F234" s="4">
        <v>265476.84999999998</v>
      </c>
      <c r="G234" t="str">
        <f t="shared" si="12"/>
        <v>High Income</v>
      </c>
      <c r="H234">
        <v>146967.59</v>
      </c>
      <c r="I234">
        <v>549</v>
      </c>
      <c r="J234" t="s">
        <v>32</v>
      </c>
      <c r="K234" t="s">
        <v>36</v>
      </c>
      <c r="L234">
        <v>301973.17</v>
      </c>
      <c r="M234">
        <v>242509.76</v>
      </c>
      <c r="N234" t="s">
        <v>20</v>
      </c>
      <c r="O234" s="7">
        <f t="shared" ca="1" si="13"/>
        <v>45884</v>
      </c>
      <c r="P234" s="7">
        <v>45867</v>
      </c>
      <c r="Q234">
        <v>3</v>
      </c>
      <c r="R234" t="str">
        <f t="shared" si="14"/>
        <v>Midum Risk</v>
      </c>
      <c r="S234" t="str">
        <f t="shared" si="15"/>
        <v xml:space="preserve">Midum </v>
      </c>
      <c r="T234" s="4">
        <f>Table1[[#This Row],[Deposit_Amount]]+Table1[[#This Row],[Withdrawal_Amount]]</f>
        <v>412444.43999999994</v>
      </c>
      <c r="U234" t="s">
        <v>274</v>
      </c>
    </row>
    <row r="235" spans="1:21" x14ac:dyDescent="0.3">
      <c r="A235">
        <v>234</v>
      </c>
      <c r="B235" t="s">
        <v>61</v>
      </c>
      <c r="C235" t="s">
        <v>22</v>
      </c>
      <c r="D235">
        <v>70</v>
      </c>
      <c r="E235" t="s">
        <v>44</v>
      </c>
      <c r="F235" s="4">
        <v>28089.15</v>
      </c>
      <c r="G235" t="str">
        <f t="shared" si="12"/>
        <v>Low Income</v>
      </c>
      <c r="H235">
        <v>229936.1</v>
      </c>
      <c r="I235">
        <v>591</v>
      </c>
      <c r="J235" t="s">
        <v>27</v>
      </c>
      <c r="K235" t="s">
        <v>36</v>
      </c>
      <c r="L235">
        <v>-195031.24</v>
      </c>
      <c r="M235">
        <v>21789.35</v>
      </c>
      <c r="N235" t="s">
        <v>25</v>
      </c>
      <c r="O235" s="7">
        <f t="shared" ca="1" si="13"/>
        <v>45777</v>
      </c>
      <c r="P235" s="7">
        <v>46002</v>
      </c>
      <c r="Q235">
        <v>5</v>
      </c>
      <c r="R235" t="str">
        <f t="shared" si="14"/>
        <v>Midum Risk</v>
      </c>
      <c r="S235" t="str">
        <f t="shared" si="15"/>
        <v xml:space="preserve">Midum </v>
      </c>
      <c r="T235" s="4">
        <f>Table1[[#This Row],[Deposit_Amount]]+Table1[[#This Row],[Withdrawal_Amount]]</f>
        <v>258025.25</v>
      </c>
      <c r="U235" t="s">
        <v>274</v>
      </c>
    </row>
    <row r="236" spans="1:21" x14ac:dyDescent="0.3">
      <c r="A236">
        <v>235</v>
      </c>
      <c r="B236" t="s">
        <v>140</v>
      </c>
      <c r="C236" t="s">
        <v>22</v>
      </c>
      <c r="D236">
        <v>34</v>
      </c>
      <c r="E236" t="s">
        <v>40</v>
      </c>
      <c r="F236" s="4">
        <v>355569.91</v>
      </c>
      <c r="G236" t="str">
        <f t="shared" si="12"/>
        <v>High Income</v>
      </c>
      <c r="H236">
        <v>227184.8</v>
      </c>
      <c r="I236">
        <v>547</v>
      </c>
      <c r="J236" t="s">
        <v>27</v>
      </c>
      <c r="K236" t="s">
        <v>59</v>
      </c>
      <c r="L236">
        <v>183928.3</v>
      </c>
      <c r="M236">
        <v>167059.42000000001</v>
      </c>
      <c r="N236" t="s">
        <v>20</v>
      </c>
      <c r="O236" s="7">
        <f t="shared" ca="1" si="13"/>
        <v>45963</v>
      </c>
      <c r="P236" s="7">
        <v>45991</v>
      </c>
      <c r="Q236">
        <v>1</v>
      </c>
      <c r="R236" t="str">
        <f t="shared" si="14"/>
        <v>Midum Risk</v>
      </c>
      <c r="S236" t="str">
        <f t="shared" si="15"/>
        <v xml:space="preserve">Midum </v>
      </c>
      <c r="T236" s="4">
        <f>Table1[[#This Row],[Deposit_Amount]]+Table1[[#This Row],[Withdrawal_Amount]]</f>
        <v>582754.71</v>
      </c>
      <c r="U236" t="s">
        <v>274</v>
      </c>
    </row>
    <row r="237" spans="1:21" x14ac:dyDescent="0.3">
      <c r="A237">
        <v>236</v>
      </c>
      <c r="B237" t="s">
        <v>135</v>
      </c>
      <c r="C237" t="s">
        <v>22</v>
      </c>
      <c r="D237">
        <v>19</v>
      </c>
      <c r="E237" t="s">
        <v>44</v>
      </c>
      <c r="F237" s="4">
        <v>82106.240000000005</v>
      </c>
      <c r="G237" t="str">
        <f t="shared" si="12"/>
        <v>Low Income</v>
      </c>
      <c r="H237">
        <v>138145.53</v>
      </c>
      <c r="I237">
        <v>736</v>
      </c>
      <c r="J237" t="s">
        <v>38</v>
      </c>
      <c r="K237" t="s">
        <v>19</v>
      </c>
      <c r="L237">
        <v>-38760.559999999998</v>
      </c>
      <c r="M237">
        <v>45399.199999999997</v>
      </c>
      <c r="N237" t="s">
        <v>20</v>
      </c>
      <c r="O237" s="7">
        <f t="shared" ca="1" si="13"/>
        <v>45971</v>
      </c>
      <c r="P237" s="7">
        <v>45727</v>
      </c>
      <c r="Q237">
        <v>3</v>
      </c>
      <c r="R237" t="str">
        <f t="shared" si="14"/>
        <v>Low Risk</v>
      </c>
      <c r="S237" t="str">
        <f t="shared" si="15"/>
        <v>Good</v>
      </c>
      <c r="T237" s="4">
        <f>Table1[[#This Row],[Deposit_Amount]]+Table1[[#This Row],[Withdrawal_Amount]]</f>
        <v>220251.77000000002</v>
      </c>
      <c r="U237" t="s">
        <v>274</v>
      </c>
    </row>
    <row r="238" spans="1:21" x14ac:dyDescent="0.3">
      <c r="A238">
        <v>237</v>
      </c>
      <c r="B238" t="s">
        <v>167</v>
      </c>
      <c r="C238" t="s">
        <v>22</v>
      </c>
      <c r="D238">
        <v>31</v>
      </c>
      <c r="E238" t="s">
        <v>40</v>
      </c>
      <c r="F238" s="4">
        <v>444940.56</v>
      </c>
      <c r="G238" t="str">
        <f t="shared" si="12"/>
        <v>High Income</v>
      </c>
      <c r="H238">
        <v>117552.69</v>
      </c>
      <c r="I238">
        <v>591</v>
      </c>
      <c r="J238" t="s">
        <v>41</v>
      </c>
      <c r="K238" t="s">
        <v>36</v>
      </c>
      <c r="L238">
        <v>336234.91</v>
      </c>
      <c r="M238">
        <v>210574.89</v>
      </c>
      <c r="N238" t="s">
        <v>28</v>
      </c>
      <c r="O238" s="7">
        <f t="shared" ca="1" si="13"/>
        <v>45802</v>
      </c>
      <c r="P238" s="7">
        <v>45876</v>
      </c>
      <c r="Q238">
        <v>4</v>
      </c>
      <c r="R238" t="str">
        <f t="shared" si="14"/>
        <v>Midum Risk</v>
      </c>
      <c r="S238" t="str">
        <f t="shared" si="15"/>
        <v xml:space="preserve">Midum </v>
      </c>
      <c r="T238" s="4">
        <f>Table1[[#This Row],[Deposit_Amount]]+Table1[[#This Row],[Withdrawal_Amount]]</f>
        <v>562493.25</v>
      </c>
      <c r="U238" t="s">
        <v>274</v>
      </c>
    </row>
    <row r="239" spans="1:21" x14ac:dyDescent="0.3">
      <c r="A239">
        <v>238</v>
      </c>
      <c r="B239" t="s">
        <v>106</v>
      </c>
      <c r="C239" t="s">
        <v>22</v>
      </c>
      <c r="D239">
        <v>28</v>
      </c>
      <c r="E239" t="s">
        <v>23</v>
      </c>
      <c r="F239" s="4">
        <v>166389.10999999999</v>
      </c>
      <c r="G239" t="str">
        <f t="shared" si="12"/>
        <v>Midum Income</v>
      </c>
      <c r="H239">
        <v>216989.27</v>
      </c>
      <c r="I239">
        <v>425</v>
      </c>
      <c r="J239" t="s">
        <v>38</v>
      </c>
      <c r="K239" t="s">
        <v>59</v>
      </c>
      <c r="L239">
        <v>-44690.45</v>
      </c>
      <c r="M239">
        <v>229227.65</v>
      </c>
      <c r="N239" t="s">
        <v>25</v>
      </c>
      <c r="O239" s="7">
        <f t="shared" ca="1" si="13"/>
        <v>45680</v>
      </c>
      <c r="P239" s="7">
        <v>45695</v>
      </c>
      <c r="Q239">
        <v>4</v>
      </c>
      <c r="R239" t="str">
        <f t="shared" si="14"/>
        <v>Midum Risk</v>
      </c>
      <c r="S239" t="str">
        <f t="shared" si="15"/>
        <v xml:space="preserve">Midum </v>
      </c>
      <c r="T239" s="4">
        <f>Table1[[#This Row],[Deposit_Amount]]+Table1[[#This Row],[Withdrawal_Amount]]</f>
        <v>383378.38</v>
      </c>
      <c r="U239" t="s">
        <v>274</v>
      </c>
    </row>
    <row r="240" spans="1:21" x14ac:dyDescent="0.3">
      <c r="A240">
        <v>239</v>
      </c>
      <c r="B240" t="s">
        <v>147</v>
      </c>
      <c r="C240" t="s">
        <v>16</v>
      </c>
      <c r="D240">
        <v>65</v>
      </c>
      <c r="E240" t="s">
        <v>23</v>
      </c>
      <c r="F240" s="4">
        <v>336300.45</v>
      </c>
      <c r="G240" t="str">
        <f t="shared" si="12"/>
        <v>High Income</v>
      </c>
      <c r="H240">
        <v>144275.24</v>
      </c>
      <c r="I240">
        <v>674</v>
      </c>
      <c r="J240" t="s">
        <v>18</v>
      </c>
      <c r="K240" t="s">
        <v>59</v>
      </c>
      <c r="L240">
        <v>275407.44</v>
      </c>
      <c r="M240">
        <v>241397.89</v>
      </c>
      <c r="N240" t="s">
        <v>20</v>
      </c>
      <c r="O240" s="7">
        <f t="shared" ca="1" si="13"/>
        <v>45859</v>
      </c>
      <c r="P240" s="7">
        <v>46011</v>
      </c>
      <c r="Q240">
        <v>2</v>
      </c>
      <c r="R240" t="str">
        <f t="shared" si="14"/>
        <v>Low Risk</v>
      </c>
      <c r="S240" t="str">
        <f t="shared" si="15"/>
        <v>Good</v>
      </c>
      <c r="T240" s="4">
        <f>Table1[[#This Row],[Deposit_Amount]]+Table1[[#This Row],[Withdrawal_Amount]]</f>
        <v>480575.69</v>
      </c>
      <c r="U240" t="s">
        <v>274</v>
      </c>
    </row>
    <row r="241" spans="1:21" x14ac:dyDescent="0.3">
      <c r="A241">
        <v>240</v>
      </c>
      <c r="B241" t="s">
        <v>76</v>
      </c>
      <c r="C241" t="s">
        <v>22</v>
      </c>
      <c r="D241">
        <v>35</v>
      </c>
      <c r="E241" t="s">
        <v>23</v>
      </c>
      <c r="F241" s="4">
        <v>290390.89</v>
      </c>
      <c r="G241" t="str">
        <f t="shared" si="12"/>
        <v>High Income</v>
      </c>
      <c r="H241">
        <v>27578.82</v>
      </c>
      <c r="I241">
        <v>555</v>
      </c>
      <c r="J241" t="s">
        <v>18</v>
      </c>
      <c r="K241" t="s">
        <v>24</v>
      </c>
      <c r="L241">
        <v>308029.43</v>
      </c>
      <c r="M241">
        <v>141540.07999999999</v>
      </c>
      <c r="N241" t="s">
        <v>20</v>
      </c>
      <c r="O241" s="7">
        <f t="shared" ca="1" si="13"/>
        <v>45933</v>
      </c>
      <c r="P241" s="7">
        <v>45908</v>
      </c>
      <c r="Q241">
        <v>1</v>
      </c>
      <c r="R241" t="str">
        <f t="shared" si="14"/>
        <v>Midum Risk</v>
      </c>
      <c r="S241" t="str">
        <f t="shared" si="15"/>
        <v xml:space="preserve">Midum </v>
      </c>
      <c r="T241" s="4">
        <f>Table1[[#This Row],[Deposit_Amount]]+Table1[[#This Row],[Withdrawal_Amount]]</f>
        <v>317969.71000000002</v>
      </c>
      <c r="U241" t="s">
        <v>274</v>
      </c>
    </row>
    <row r="242" spans="1:21" x14ac:dyDescent="0.3">
      <c r="A242">
        <v>241</v>
      </c>
      <c r="B242" t="s">
        <v>168</v>
      </c>
      <c r="C242" t="s">
        <v>16</v>
      </c>
      <c r="D242">
        <v>66</v>
      </c>
      <c r="E242" t="s">
        <v>17</v>
      </c>
      <c r="F242" s="4">
        <v>283942.52</v>
      </c>
      <c r="G242" t="str">
        <f t="shared" si="12"/>
        <v>High Income</v>
      </c>
      <c r="H242">
        <v>210328.18</v>
      </c>
      <c r="I242">
        <v>684</v>
      </c>
      <c r="J242" t="s">
        <v>32</v>
      </c>
      <c r="K242" t="s">
        <v>24</v>
      </c>
      <c r="L242">
        <v>168336.33</v>
      </c>
      <c r="M242">
        <v>80428.160000000003</v>
      </c>
      <c r="N242" t="s">
        <v>20</v>
      </c>
      <c r="O242" s="7">
        <f t="shared" ca="1" si="13"/>
        <v>45788</v>
      </c>
      <c r="P242" s="7">
        <v>45749</v>
      </c>
      <c r="Q242">
        <v>3</v>
      </c>
      <c r="R242" t="str">
        <f t="shared" si="14"/>
        <v>Low Risk</v>
      </c>
      <c r="S242" t="str">
        <f t="shared" si="15"/>
        <v>Good</v>
      </c>
      <c r="T242" s="4">
        <f>Table1[[#This Row],[Deposit_Amount]]+Table1[[#This Row],[Withdrawal_Amount]]</f>
        <v>494270.7</v>
      </c>
      <c r="U242" t="s">
        <v>274</v>
      </c>
    </row>
    <row r="243" spans="1:21" x14ac:dyDescent="0.3">
      <c r="A243">
        <v>242</v>
      </c>
      <c r="B243" t="s">
        <v>169</v>
      </c>
      <c r="C243" t="s">
        <v>22</v>
      </c>
      <c r="D243">
        <v>64</v>
      </c>
      <c r="E243" t="s">
        <v>23</v>
      </c>
      <c r="F243" s="4">
        <v>14104.96</v>
      </c>
      <c r="G243" t="str">
        <f t="shared" si="12"/>
        <v>Low Income</v>
      </c>
      <c r="H243">
        <v>11776.35</v>
      </c>
      <c r="I243">
        <v>449</v>
      </c>
      <c r="J243" t="s">
        <v>32</v>
      </c>
      <c r="K243" t="s">
        <v>42</v>
      </c>
      <c r="L243">
        <v>74038.97</v>
      </c>
      <c r="M243">
        <v>235032.59</v>
      </c>
      <c r="N243" t="s">
        <v>20</v>
      </c>
      <c r="O243" s="7">
        <f t="shared" ca="1" si="13"/>
        <v>45904</v>
      </c>
      <c r="P243" s="7">
        <v>45936</v>
      </c>
      <c r="Q243">
        <v>3</v>
      </c>
      <c r="R243" t="str">
        <f t="shared" si="14"/>
        <v>Midum Risk</v>
      </c>
      <c r="S243" t="str">
        <f t="shared" si="15"/>
        <v xml:space="preserve">Midum </v>
      </c>
      <c r="T243" s="4">
        <f>Table1[[#This Row],[Deposit_Amount]]+Table1[[#This Row],[Withdrawal_Amount]]</f>
        <v>25881.309999999998</v>
      </c>
      <c r="U243" t="s">
        <v>274</v>
      </c>
    </row>
    <row r="244" spans="1:21" x14ac:dyDescent="0.3">
      <c r="A244">
        <v>243</v>
      </c>
      <c r="B244" t="s">
        <v>170</v>
      </c>
      <c r="C244" t="s">
        <v>22</v>
      </c>
      <c r="D244">
        <v>27</v>
      </c>
      <c r="E244" t="s">
        <v>17</v>
      </c>
      <c r="F244" s="4">
        <v>391606.64</v>
      </c>
      <c r="G244" t="str">
        <f t="shared" si="12"/>
        <v>High Income</v>
      </c>
      <c r="H244">
        <v>85858.37</v>
      </c>
      <c r="I244">
        <v>321</v>
      </c>
      <c r="J244" t="s">
        <v>41</v>
      </c>
      <c r="K244" t="s">
        <v>59</v>
      </c>
      <c r="L244">
        <v>433590.73</v>
      </c>
      <c r="M244">
        <v>185697.24</v>
      </c>
      <c r="N244" t="s">
        <v>20</v>
      </c>
      <c r="O244" s="7">
        <f t="shared" ca="1" si="13"/>
        <v>45785</v>
      </c>
      <c r="P244" s="7">
        <v>45738</v>
      </c>
      <c r="Q244">
        <v>2</v>
      </c>
      <c r="R244" t="str">
        <f t="shared" si="14"/>
        <v>High Risk</v>
      </c>
      <c r="S244" t="str">
        <f t="shared" si="15"/>
        <v>Poor</v>
      </c>
      <c r="T244" s="4">
        <f>Table1[[#This Row],[Deposit_Amount]]+Table1[[#This Row],[Withdrawal_Amount]]</f>
        <v>477465.01</v>
      </c>
      <c r="U244" t="s">
        <v>274</v>
      </c>
    </row>
    <row r="245" spans="1:21" x14ac:dyDescent="0.3">
      <c r="A245">
        <v>244</v>
      </c>
      <c r="B245" t="s">
        <v>107</v>
      </c>
      <c r="C245" t="s">
        <v>16</v>
      </c>
      <c r="D245">
        <v>22</v>
      </c>
      <c r="E245" t="s">
        <v>31</v>
      </c>
      <c r="F245" s="4">
        <v>453078.21</v>
      </c>
      <c r="G245" t="str">
        <f t="shared" si="12"/>
        <v>High Income</v>
      </c>
      <c r="H245">
        <v>50213.43</v>
      </c>
      <c r="I245">
        <v>687</v>
      </c>
      <c r="J245" t="s">
        <v>32</v>
      </c>
      <c r="K245" t="s">
        <v>19</v>
      </c>
      <c r="L245">
        <v>483026.38</v>
      </c>
      <c r="M245">
        <v>244867.95</v>
      </c>
      <c r="N245" t="s">
        <v>28</v>
      </c>
      <c r="O245" s="7">
        <f t="shared" ca="1" si="13"/>
        <v>45882</v>
      </c>
      <c r="P245" s="7">
        <v>45673</v>
      </c>
      <c r="Q245">
        <v>1</v>
      </c>
      <c r="R245" t="str">
        <f t="shared" si="14"/>
        <v>Low Risk</v>
      </c>
      <c r="S245" t="str">
        <f t="shared" si="15"/>
        <v>Good</v>
      </c>
      <c r="T245" s="4">
        <f>Table1[[#This Row],[Deposit_Amount]]+Table1[[#This Row],[Withdrawal_Amount]]</f>
        <v>503291.64</v>
      </c>
      <c r="U245" t="s">
        <v>274</v>
      </c>
    </row>
    <row r="246" spans="1:21" x14ac:dyDescent="0.3">
      <c r="A246">
        <v>245</v>
      </c>
      <c r="B246" t="s">
        <v>171</v>
      </c>
      <c r="C246" t="s">
        <v>22</v>
      </c>
      <c r="D246">
        <v>62</v>
      </c>
      <c r="E246" t="s">
        <v>23</v>
      </c>
      <c r="F246" s="4">
        <v>102369.27</v>
      </c>
      <c r="G246" t="str">
        <f t="shared" si="12"/>
        <v>Midum Income</v>
      </c>
      <c r="H246">
        <v>260254.72</v>
      </c>
      <c r="I246">
        <v>315</v>
      </c>
      <c r="J246" t="s">
        <v>41</v>
      </c>
      <c r="K246" t="s">
        <v>42</v>
      </c>
      <c r="L246">
        <v>34274.74</v>
      </c>
      <c r="M246">
        <v>67979.649999999994</v>
      </c>
      <c r="N246" t="s">
        <v>20</v>
      </c>
      <c r="O246" s="7">
        <f t="shared" ca="1" si="13"/>
        <v>45904</v>
      </c>
      <c r="P246" s="7">
        <v>45736</v>
      </c>
      <c r="Q246">
        <v>4</v>
      </c>
      <c r="R246" t="str">
        <f t="shared" si="14"/>
        <v>High Risk</v>
      </c>
      <c r="S246" t="str">
        <f t="shared" si="15"/>
        <v>Poor</v>
      </c>
      <c r="T246" s="4">
        <f>Table1[[#This Row],[Deposit_Amount]]+Table1[[#This Row],[Withdrawal_Amount]]</f>
        <v>362623.99</v>
      </c>
      <c r="U246" t="s">
        <v>274</v>
      </c>
    </row>
    <row r="247" spans="1:21" x14ac:dyDescent="0.3">
      <c r="A247">
        <v>246</v>
      </c>
      <c r="B247" t="s">
        <v>172</v>
      </c>
      <c r="C247" t="s">
        <v>16</v>
      </c>
      <c r="D247">
        <v>60</v>
      </c>
      <c r="E247" t="s">
        <v>35</v>
      </c>
      <c r="F247" s="4">
        <v>267958.3</v>
      </c>
      <c r="G247" t="str">
        <f t="shared" si="12"/>
        <v>High Income</v>
      </c>
      <c r="H247">
        <v>50215.44</v>
      </c>
      <c r="I247">
        <v>722</v>
      </c>
      <c r="J247" t="s">
        <v>32</v>
      </c>
      <c r="K247" t="s">
        <v>24</v>
      </c>
      <c r="L247">
        <v>250581.31</v>
      </c>
      <c r="M247">
        <v>64246.559999999998</v>
      </c>
      <c r="N247" t="s">
        <v>28</v>
      </c>
      <c r="O247" s="7">
        <f t="shared" ca="1" si="13"/>
        <v>45839</v>
      </c>
      <c r="P247" s="7">
        <v>45765</v>
      </c>
      <c r="Q247">
        <v>4</v>
      </c>
      <c r="R247" t="str">
        <f t="shared" si="14"/>
        <v>Low Risk</v>
      </c>
      <c r="S247" t="str">
        <f t="shared" si="15"/>
        <v>Good</v>
      </c>
      <c r="T247" s="4">
        <f>Table1[[#This Row],[Deposit_Amount]]+Table1[[#This Row],[Withdrawal_Amount]]</f>
        <v>318173.74</v>
      </c>
      <c r="U247" t="s">
        <v>274</v>
      </c>
    </row>
    <row r="248" spans="1:21" x14ac:dyDescent="0.3">
      <c r="A248">
        <v>247</v>
      </c>
      <c r="B248" t="s">
        <v>173</v>
      </c>
      <c r="C248" t="s">
        <v>16</v>
      </c>
      <c r="D248">
        <v>46</v>
      </c>
      <c r="E248" t="s">
        <v>44</v>
      </c>
      <c r="F248" s="4">
        <v>224387.55</v>
      </c>
      <c r="G248" t="str">
        <f t="shared" si="12"/>
        <v>High Income</v>
      </c>
      <c r="H248">
        <v>43741.63</v>
      </c>
      <c r="I248">
        <v>636</v>
      </c>
      <c r="J248" t="s">
        <v>32</v>
      </c>
      <c r="K248" t="s">
        <v>59</v>
      </c>
      <c r="L248">
        <v>231701.34</v>
      </c>
      <c r="M248">
        <v>30760.82</v>
      </c>
      <c r="N248" t="s">
        <v>25</v>
      </c>
      <c r="O248" s="7">
        <f t="shared" ca="1" si="13"/>
        <v>45975</v>
      </c>
      <c r="P248" s="7">
        <v>45694</v>
      </c>
      <c r="Q248">
        <v>2</v>
      </c>
      <c r="R248" t="str">
        <f t="shared" si="14"/>
        <v>Low Risk</v>
      </c>
      <c r="S248" t="str">
        <f t="shared" si="15"/>
        <v>Good</v>
      </c>
      <c r="T248" s="4">
        <f>Table1[[#This Row],[Deposit_Amount]]+Table1[[#This Row],[Withdrawal_Amount]]</f>
        <v>268129.18</v>
      </c>
      <c r="U248" t="s">
        <v>274</v>
      </c>
    </row>
    <row r="249" spans="1:21" x14ac:dyDescent="0.3">
      <c r="A249">
        <v>248</v>
      </c>
      <c r="B249" t="s">
        <v>57</v>
      </c>
      <c r="C249" t="s">
        <v>22</v>
      </c>
      <c r="D249">
        <v>28</v>
      </c>
      <c r="E249" t="s">
        <v>35</v>
      </c>
      <c r="F249" s="4">
        <v>244816.3</v>
      </c>
      <c r="G249" t="str">
        <f t="shared" si="12"/>
        <v>High Income</v>
      </c>
      <c r="H249">
        <v>218338.89</v>
      </c>
      <c r="I249">
        <v>885</v>
      </c>
      <c r="J249" t="s">
        <v>32</v>
      </c>
      <c r="K249" t="s">
        <v>24</v>
      </c>
      <c r="L249">
        <v>210517</v>
      </c>
      <c r="M249">
        <v>129881.66</v>
      </c>
      <c r="N249" t="s">
        <v>25</v>
      </c>
      <c r="O249" s="7">
        <f t="shared" ca="1" si="13"/>
        <v>45912</v>
      </c>
      <c r="P249" s="7">
        <v>45866</v>
      </c>
      <c r="Q249">
        <v>4</v>
      </c>
      <c r="R249" t="str">
        <f t="shared" si="14"/>
        <v>Low Risk</v>
      </c>
      <c r="S249" t="str">
        <f t="shared" si="15"/>
        <v>Good</v>
      </c>
      <c r="T249" s="4">
        <f>Table1[[#This Row],[Deposit_Amount]]+Table1[[#This Row],[Withdrawal_Amount]]</f>
        <v>463155.19</v>
      </c>
      <c r="U249" t="s">
        <v>274</v>
      </c>
    </row>
    <row r="250" spans="1:21" x14ac:dyDescent="0.3">
      <c r="A250">
        <v>249</v>
      </c>
      <c r="B250" t="s">
        <v>110</v>
      </c>
      <c r="C250" t="s">
        <v>22</v>
      </c>
      <c r="D250">
        <v>42</v>
      </c>
      <c r="E250" t="s">
        <v>31</v>
      </c>
      <c r="F250" s="4">
        <v>432069.31</v>
      </c>
      <c r="G250" t="str">
        <f t="shared" si="12"/>
        <v>High Income</v>
      </c>
      <c r="H250">
        <v>257130.94</v>
      </c>
      <c r="I250">
        <v>540</v>
      </c>
      <c r="J250" t="s">
        <v>41</v>
      </c>
      <c r="K250" t="s">
        <v>19</v>
      </c>
      <c r="L250">
        <v>274387.53000000003</v>
      </c>
      <c r="M250">
        <v>120100.56</v>
      </c>
      <c r="N250" t="s">
        <v>28</v>
      </c>
      <c r="O250" s="7">
        <f t="shared" ca="1" si="13"/>
        <v>45938</v>
      </c>
      <c r="P250" s="7">
        <v>45891</v>
      </c>
      <c r="Q250">
        <v>1</v>
      </c>
      <c r="R250" t="str">
        <f t="shared" si="14"/>
        <v>Midum Risk</v>
      </c>
      <c r="S250" t="str">
        <f t="shared" si="15"/>
        <v xml:space="preserve">Midum </v>
      </c>
      <c r="T250" s="4">
        <f>Table1[[#This Row],[Deposit_Amount]]+Table1[[#This Row],[Withdrawal_Amount]]</f>
        <v>689200.25</v>
      </c>
      <c r="U250" t="s">
        <v>274</v>
      </c>
    </row>
    <row r="251" spans="1:21" x14ac:dyDescent="0.3">
      <c r="A251">
        <v>250</v>
      </c>
      <c r="B251" t="s">
        <v>72</v>
      </c>
      <c r="C251" t="s">
        <v>16</v>
      </c>
      <c r="D251">
        <v>45</v>
      </c>
      <c r="E251" t="s">
        <v>35</v>
      </c>
      <c r="F251" s="4">
        <v>62441.51</v>
      </c>
      <c r="G251" t="str">
        <f t="shared" si="12"/>
        <v>Low Income</v>
      </c>
      <c r="H251">
        <v>177850.77</v>
      </c>
      <c r="I251">
        <v>642</v>
      </c>
      <c r="J251" t="s">
        <v>18</v>
      </c>
      <c r="K251" t="s">
        <v>36</v>
      </c>
      <c r="L251">
        <v>-94437.47</v>
      </c>
      <c r="M251">
        <v>54039.62</v>
      </c>
      <c r="N251" t="s">
        <v>20</v>
      </c>
      <c r="O251" s="7">
        <f t="shared" ca="1" si="13"/>
        <v>45782</v>
      </c>
      <c r="P251" s="7">
        <v>45794</v>
      </c>
      <c r="Q251">
        <v>4</v>
      </c>
      <c r="R251" t="str">
        <f t="shared" si="14"/>
        <v>Low Risk</v>
      </c>
      <c r="S251" t="str">
        <f t="shared" si="15"/>
        <v>Good</v>
      </c>
      <c r="T251" s="4">
        <f>Table1[[#This Row],[Deposit_Amount]]+Table1[[#This Row],[Withdrawal_Amount]]</f>
        <v>240292.28</v>
      </c>
      <c r="U251" t="s">
        <v>274</v>
      </c>
    </row>
    <row r="252" spans="1:21" x14ac:dyDescent="0.3">
      <c r="A252">
        <v>251</v>
      </c>
      <c r="B252" t="s">
        <v>103</v>
      </c>
      <c r="C252" t="s">
        <v>22</v>
      </c>
      <c r="D252">
        <v>60</v>
      </c>
      <c r="E252" t="s">
        <v>35</v>
      </c>
      <c r="F252" s="4">
        <v>286483.53000000003</v>
      </c>
      <c r="G252" t="str">
        <f t="shared" si="12"/>
        <v>High Income</v>
      </c>
      <c r="H252">
        <v>217206.88</v>
      </c>
      <c r="I252">
        <v>545</v>
      </c>
      <c r="J252" t="s">
        <v>38</v>
      </c>
      <c r="K252" t="s">
        <v>36</v>
      </c>
      <c r="L252">
        <v>267029.59999999998</v>
      </c>
      <c r="M252">
        <v>115521.57</v>
      </c>
      <c r="N252" t="s">
        <v>28</v>
      </c>
      <c r="O252" s="7">
        <f t="shared" ca="1" si="13"/>
        <v>45761</v>
      </c>
      <c r="P252" s="7">
        <v>45715</v>
      </c>
      <c r="Q252">
        <v>4</v>
      </c>
      <c r="R252" t="str">
        <f t="shared" si="14"/>
        <v>Midum Risk</v>
      </c>
      <c r="S252" t="str">
        <f t="shared" si="15"/>
        <v xml:space="preserve">Midum </v>
      </c>
      <c r="T252" s="4">
        <f>Table1[[#This Row],[Deposit_Amount]]+Table1[[#This Row],[Withdrawal_Amount]]</f>
        <v>503690.41000000003</v>
      </c>
      <c r="U252" t="s">
        <v>274</v>
      </c>
    </row>
    <row r="253" spans="1:21" x14ac:dyDescent="0.3">
      <c r="A253">
        <v>252</v>
      </c>
      <c r="B253" t="s">
        <v>170</v>
      </c>
      <c r="C253" t="s">
        <v>22</v>
      </c>
      <c r="D253">
        <v>49</v>
      </c>
      <c r="E253" t="s">
        <v>23</v>
      </c>
      <c r="F253" s="4">
        <v>188387.07</v>
      </c>
      <c r="G253" t="str">
        <f t="shared" si="12"/>
        <v>Midum Income</v>
      </c>
      <c r="H253">
        <v>200435.66</v>
      </c>
      <c r="I253">
        <v>593</v>
      </c>
      <c r="J253" t="s">
        <v>18</v>
      </c>
      <c r="K253" t="s">
        <v>59</v>
      </c>
      <c r="L253">
        <v>85829.47</v>
      </c>
      <c r="M253">
        <v>235546.34</v>
      </c>
      <c r="N253" t="s">
        <v>25</v>
      </c>
      <c r="O253" s="7">
        <f t="shared" ca="1" si="13"/>
        <v>45790</v>
      </c>
      <c r="P253" s="7">
        <v>45775</v>
      </c>
      <c r="Q253">
        <v>1</v>
      </c>
      <c r="R253" t="str">
        <f t="shared" si="14"/>
        <v>Midum Risk</v>
      </c>
      <c r="S253" t="str">
        <f t="shared" si="15"/>
        <v xml:space="preserve">Midum </v>
      </c>
      <c r="T253" s="4">
        <f>Table1[[#This Row],[Deposit_Amount]]+Table1[[#This Row],[Withdrawal_Amount]]</f>
        <v>388822.73</v>
      </c>
      <c r="U253" t="s">
        <v>274</v>
      </c>
    </row>
    <row r="254" spans="1:21" x14ac:dyDescent="0.3">
      <c r="A254">
        <v>253</v>
      </c>
      <c r="B254" t="s">
        <v>112</v>
      </c>
      <c r="C254" t="s">
        <v>16</v>
      </c>
      <c r="D254">
        <v>26</v>
      </c>
      <c r="E254" t="s">
        <v>40</v>
      </c>
      <c r="F254" s="4">
        <v>425933.1</v>
      </c>
      <c r="G254" t="str">
        <f t="shared" si="12"/>
        <v>High Income</v>
      </c>
      <c r="H254">
        <v>155637.87</v>
      </c>
      <c r="I254">
        <v>570</v>
      </c>
      <c r="J254" t="s">
        <v>38</v>
      </c>
      <c r="K254" t="s">
        <v>42</v>
      </c>
      <c r="L254">
        <v>301828.59999999998</v>
      </c>
      <c r="M254">
        <v>248207.6</v>
      </c>
      <c r="N254" t="s">
        <v>28</v>
      </c>
      <c r="O254" s="7">
        <f t="shared" ca="1" si="13"/>
        <v>45879</v>
      </c>
      <c r="P254" s="7">
        <v>45835</v>
      </c>
      <c r="Q254">
        <v>1</v>
      </c>
      <c r="R254" t="str">
        <f t="shared" si="14"/>
        <v>Midum Risk</v>
      </c>
      <c r="S254" t="str">
        <f t="shared" si="15"/>
        <v xml:space="preserve">Midum </v>
      </c>
      <c r="T254" s="4">
        <f>Table1[[#This Row],[Deposit_Amount]]+Table1[[#This Row],[Withdrawal_Amount]]</f>
        <v>581570.97</v>
      </c>
      <c r="U254" t="s">
        <v>274</v>
      </c>
    </row>
    <row r="255" spans="1:21" x14ac:dyDescent="0.3">
      <c r="A255">
        <v>254</v>
      </c>
      <c r="B255" t="s">
        <v>174</v>
      </c>
      <c r="C255" t="s">
        <v>16</v>
      </c>
      <c r="D255">
        <v>26</v>
      </c>
      <c r="E255" t="s">
        <v>35</v>
      </c>
      <c r="F255" s="4">
        <v>332752.40000000002</v>
      </c>
      <c r="G255" t="str">
        <f t="shared" si="12"/>
        <v>High Income</v>
      </c>
      <c r="H255">
        <v>14592.61</v>
      </c>
      <c r="I255">
        <v>402</v>
      </c>
      <c r="J255" t="s">
        <v>38</v>
      </c>
      <c r="K255" t="s">
        <v>59</v>
      </c>
      <c r="L255">
        <v>508494.97</v>
      </c>
      <c r="M255">
        <v>175375.14</v>
      </c>
      <c r="N255" t="s">
        <v>20</v>
      </c>
      <c r="O255" s="7">
        <f t="shared" ca="1" si="13"/>
        <v>45976</v>
      </c>
      <c r="P255" s="7">
        <v>45811</v>
      </c>
      <c r="Q255">
        <v>3</v>
      </c>
      <c r="R255" t="str">
        <f t="shared" si="14"/>
        <v>Midum Risk</v>
      </c>
      <c r="S255" t="str">
        <f t="shared" si="15"/>
        <v xml:space="preserve">Midum </v>
      </c>
      <c r="T255" s="4">
        <f>Table1[[#This Row],[Deposit_Amount]]+Table1[[#This Row],[Withdrawal_Amount]]</f>
        <v>347345.01</v>
      </c>
      <c r="U255" t="s">
        <v>274</v>
      </c>
    </row>
    <row r="256" spans="1:21" x14ac:dyDescent="0.3">
      <c r="A256">
        <v>255</v>
      </c>
      <c r="B256" t="s">
        <v>129</v>
      </c>
      <c r="C256" t="s">
        <v>16</v>
      </c>
      <c r="D256">
        <v>56</v>
      </c>
      <c r="E256" t="s">
        <v>35</v>
      </c>
      <c r="F256" s="4">
        <v>90237.34</v>
      </c>
      <c r="G256" t="str">
        <f t="shared" si="12"/>
        <v>Low Income</v>
      </c>
      <c r="H256">
        <v>31795.06</v>
      </c>
      <c r="I256">
        <v>381</v>
      </c>
      <c r="J256" t="s">
        <v>38</v>
      </c>
      <c r="K256" t="s">
        <v>59</v>
      </c>
      <c r="L256">
        <v>176930.21</v>
      </c>
      <c r="M256">
        <v>19915.080000000002</v>
      </c>
      <c r="N256" t="s">
        <v>28</v>
      </c>
      <c r="O256" s="7">
        <f t="shared" ca="1" si="13"/>
        <v>45702</v>
      </c>
      <c r="P256" s="7">
        <v>45673</v>
      </c>
      <c r="Q256">
        <v>4</v>
      </c>
      <c r="R256" t="str">
        <f t="shared" si="14"/>
        <v>High Risk</v>
      </c>
      <c r="S256" t="str">
        <f t="shared" si="15"/>
        <v>Poor</v>
      </c>
      <c r="T256" s="4">
        <f>Table1[[#This Row],[Deposit_Amount]]+Table1[[#This Row],[Withdrawal_Amount]]</f>
        <v>122032.4</v>
      </c>
      <c r="U256" t="s">
        <v>274</v>
      </c>
    </row>
    <row r="257" spans="1:21" x14ac:dyDescent="0.3">
      <c r="A257">
        <v>256</v>
      </c>
      <c r="B257" t="s">
        <v>175</v>
      </c>
      <c r="C257" t="s">
        <v>22</v>
      </c>
      <c r="D257">
        <v>32</v>
      </c>
      <c r="E257" t="s">
        <v>35</v>
      </c>
      <c r="F257" s="4">
        <v>213655.92</v>
      </c>
      <c r="G257" t="str">
        <f t="shared" si="12"/>
        <v>High Income</v>
      </c>
      <c r="H257">
        <v>288268.79999999999</v>
      </c>
      <c r="I257">
        <v>571</v>
      </c>
      <c r="J257" t="s">
        <v>18</v>
      </c>
      <c r="K257" t="s">
        <v>24</v>
      </c>
      <c r="L257">
        <v>-61813.65</v>
      </c>
      <c r="M257">
        <v>75717.41</v>
      </c>
      <c r="N257" t="s">
        <v>25</v>
      </c>
      <c r="O257" s="7">
        <f t="shared" ca="1" si="13"/>
        <v>45866</v>
      </c>
      <c r="P257" s="7">
        <v>45748</v>
      </c>
      <c r="Q257">
        <v>3</v>
      </c>
      <c r="R257" t="str">
        <f t="shared" si="14"/>
        <v>Midum Risk</v>
      </c>
      <c r="S257" t="str">
        <f t="shared" si="15"/>
        <v xml:space="preserve">Midum </v>
      </c>
      <c r="T257" s="4">
        <f>Table1[[#This Row],[Deposit_Amount]]+Table1[[#This Row],[Withdrawal_Amount]]</f>
        <v>501924.72</v>
      </c>
      <c r="U257" t="s">
        <v>274</v>
      </c>
    </row>
    <row r="258" spans="1:21" x14ac:dyDescent="0.3">
      <c r="A258">
        <v>257</v>
      </c>
      <c r="B258" t="s">
        <v>174</v>
      </c>
      <c r="C258" t="s">
        <v>16</v>
      </c>
      <c r="D258">
        <v>67</v>
      </c>
      <c r="E258" t="s">
        <v>35</v>
      </c>
      <c r="F258" s="4">
        <v>185734.11</v>
      </c>
      <c r="G258" t="str">
        <f t="shared" ref="G258:G321" si="16">IF(F258&lt;=100000,"Low Income",IF(F258&lt;=200000,"Midum Income","High Income"))</f>
        <v>Midum Income</v>
      </c>
      <c r="H258">
        <v>289401.37</v>
      </c>
      <c r="I258">
        <v>843</v>
      </c>
      <c r="J258" t="s">
        <v>41</v>
      </c>
      <c r="K258" t="s">
        <v>24</v>
      </c>
      <c r="L258">
        <v>-95414.87</v>
      </c>
      <c r="M258">
        <v>75821.64</v>
      </c>
      <c r="N258" t="s">
        <v>28</v>
      </c>
      <c r="O258" s="7">
        <f t="shared" ref="O258:O321" ca="1" si="17">RANDBETWEEN(DATE(2025,1,1),DATE(2025,12,31))</f>
        <v>45706</v>
      </c>
      <c r="P258" s="7">
        <v>45887</v>
      </c>
      <c r="Q258">
        <v>5</v>
      </c>
      <c r="R258" t="str">
        <f t="shared" ref="R258:R321" si="18">IF(I258&lt;=400,"High Risk",IF(I258&lt;=600,"Midum Risk","Low Risk"))</f>
        <v>Low Risk</v>
      </c>
      <c r="S258" t="str">
        <f t="shared" ref="S258:S321" si="19">IF(I258&lt;=400,"Poor",IF(I258&lt;=600,"Midum ","Good"))</f>
        <v>Good</v>
      </c>
      <c r="T258" s="4">
        <f>Table1[[#This Row],[Deposit_Amount]]+Table1[[#This Row],[Withdrawal_Amount]]</f>
        <v>475135.48</v>
      </c>
      <c r="U258" t="s">
        <v>274</v>
      </c>
    </row>
    <row r="259" spans="1:21" x14ac:dyDescent="0.3">
      <c r="A259">
        <v>258</v>
      </c>
      <c r="B259" t="s">
        <v>163</v>
      </c>
      <c r="C259" t="s">
        <v>22</v>
      </c>
      <c r="D259">
        <v>31</v>
      </c>
      <c r="E259" t="s">
        <v>17</v>
      </c>
      <c r="F259" s="4">
        <v>57646.05</v>
      </c>
      <c r="G259" t="str">
        <f t="shared" si="16"/>
        <v>Low Income</v>
      </c>
      <c r="H259">
        <v>207167.04</v>
      </c>
      <c r="I259">
        <v>367</v>
      </c>
      <c r="J259" t="s">
        <v>32</v>
      </c>
      <c r="K259" t="s">
        <v>24</v>
      </c>
      <c r="L259">
        <v>4170.79</v>
      </c>
      <c r="M259">
        <v>50248.84</v>
      </c>
      <c r="N259" t="s">
        <v>25</v>
      </c>
      <c r="O259" s="7">
        <f t="shared" ca="1" si="17"/>
        <v>45986</v>
      </c>
      <c r="P259" s="7">
        <v>45777</v>
      </c>
      <c r="Q259">
        <v>3</v>
      </c>
      <c r="R259" t="str">
        <f t="shared" si="18"/>
        <v>High Risk</v>
      </c>
      <c r="S259" t="str">
        <f t="shared" si="19"/>
        <v>Poor</v>
      </c>
      <c r="T259" s="4">
        <f>Table1[[#This Row],[Deposit_Amount]]+Table1[[#This Row],[Withdrawal_Amount]]</f>
        <v>264813.09000000003</v>
      </c>
      <c r="U259" t="s">
        <v>274</v>
      </c>
    </row>
    <row r="260" spans="1:21" x14ac:dyDescent="0.3">
      <c r="A260">
        <v>259</v>
      </c>
      <c r="B260" t="s">
        <v>39</v>
      </c>
      <c r="C260" t="s">
        <v>16</v>
      </c>
      <c r="D260">
        <v>61</v>
      </c>
      <c r="E260" t="s">
        <v>23</v>
      </c>
      <c r="F260" s="4">
        <v>36229.360000000001</v>
      </c>
      <c r="G260" t="str">
        <f t="shared" si="16"/>
        <v>Low Income</v>
      </c>
      <c r="H260">
        <v>78526.990000000005</v>
      </c>
      <c r="I260">
        <v>414</v>
      </c>
      <c r="J260" t="s">
        <v>27</v>
      </c>
      <c r="K260" t="s">
        <v>24</v>
      </c>
      <c r="L260">
        <v>5520.33</v>
      </c>
      <c r="M260">
        <v>206749.07</v>
      </c>
      <c r="N260" t="s">
        <v>28</v>
      </c>
      <c r="O260" s="7">
        <f t="shared" ca="1" si="17"/>
        <v>45830</v>
      </c>
      <c r="P260" s="7">
        <v>45955</v>
      </c>
      <c r="Q260">
        <v>1</v>
      </c>
      <c r="R260" t="str">
        <f t="shared" si="18"/>
        <v>Midum Risk</v>
      </c>
      <c r="S260" t="str">
        <f t="shared" si="19"/>
        <v xml:space="preserve">Midum </v>
      </c>
      <c r="T260" s="4">
        <f>Table1[[#This Row],[Deposit_Amount]]+Table1[[#This Row],[Withdrawal_Amount]]</f>
        <v>114756.35</v>
      </c>
      <c r="U260" t="s">
        <v>274</v>
      </c>
    </row>
    <row r="261" spans="1:21" x14ac:dyDescent="0.3">
      <c r="A261">
        <v>260</v>
      </c>
      <c r="B261" t="s">
        <v>176</v>
      </c>
      <c r="C261" t="s">
        <v>16</v>
      </c>
      <c r="D261">
        <v>31</v>
      </c>
      <c r="E261" t="s">
        <v>31</v>
      </c>
      <c r="F261" s="4">
        <v>392036.15</v>
      </c>
      <c r="G261" t="str">
        <f t="shared" si="16"/>
        <v>High Income</v>
      </c>
      <c r="H261">
        <v>101167.24</v>
      </c>
      <c r="I261">
        <v>801</v>
      </c>
      <c r="J261" t="s">
        <v>18</v>
      </c>
      <c r="K261" t="s">
        <v>19</v>
      </c>
      <c r="L261">
        <v>334254.3</v>
      </c>
      <c r="M261">
        <v>157662.35</v>
      </c>
      <c r="N261" t="s">
        <v>20</v>
      </c>
      <c r="O261" s="7">
        <f t="shared" ca="1" si="17"/>
        <v>45675</v>
      </c>
      <c r="P261" s="7">
        <v>45682</v>
      </c>
      <c r="Q261">
        <v>2</v>
      </c>
      <c r="R261" t="str">
        <f t="shared" si="18"/>
        <v>Low Risk</v>
      </c>
      <c r="S261" t="str">
        <f t="shared" si="19"/>
        <v>Good</v>
      </c>
      <c r="T261" s="4">
        <f>Table1[[#This Row],[Deposit_Amount]]+Table1[[#This Row],[Withdrawal_Amount]]</f>
        <v>493203.39</v>
      </c>
      <c r="U261" t="s">
        <v>274</v>
      </c>
    </row>
    <row r="262" spans="1:21" x14ac:dyDescent="0.3">
      <c r="A262">
        <v>261</v>
      </c>
      <c r="B262" t="s">
        <v>97</v>
      </c>
      <c r="C262" t="s">
        <v>22</v>
      </c>
      <c r="D262">
        <v>58</v>
      </c>
      <c r="E262" t="s">
        <v>31</v>
      </c>
      <c r="F262" s="4">
        <v>206282.97</v>
      </c>
      <c r="G262" t="str">
        <f t="shared" si="16"/>
        <v>High Income</v>
      </c>
      <c r="H262">
        <v>186950.32</v>
      </c>
      <c r="I262">
        <v>804</v>
      </c>
      <c r="J262" t="s">
        <v>38</v>
      </c>
      <c r="K262" t="s">
        <v>59</v>
      </c>
      <c r="L262">
        <v>94455.46</v>
      </c>
      <c r="M262">
        <v>146650.63</v>
      </c>
      <c r="N262" t="s">
        <v>25</v>
      </c>
      <c r="O262" s="7">
        <f t="shared" ca="1" si="17"/>
        <v>45707</v>
      </c>
      <c r="P262" s="7">
        <v>45955</v>
      </c>
      <c r="Q262">
        <v>2</v>
      </c>
      <c r="R262" t="str">
        <f t="shared" si="18"/>
        <v>Low Risk</v>
      </c>
      <c r="S262" t="str">
        <f t="shared" si="19"/>
        <v>Good</v>
      </c>
      <c r="T262" s="4">
        <f>Table1[[#This Row],[Deposit_Amount]]+Table1[[#This Row],[Withdrawal_Amount]]</f>
        <v>393233.29000000004</v>
      </c>
      <c r="U262" t="s">
        <v>274</v>
      </c>
    </row>
    <row r="263" spans="1:21" x14ac:dyDescent="0.3">
      <c r="A263">
        <v>262</v>
      </c>
      <c r="B263" t="s">
        <v>177</v>
      </c>
      <c r="C263" t="s">
        <v>16</v>
      </c>
      <c r="D263">
        <v>49</v>
      </c>
      <c r="E263" t="s">
        <v>40</v>
      </c>
      <c r="F263" s="4">
        <v>393991.69</v>
      </c>
      <c r="G263" t="str">
        <f t="shared" si="16"/>
        <v>High Income</v>
      </c>
      <c r="H263">
        <v>116293.99</v>
      </c>
      <c r="I263">
        <v>595</v>
      </c>
      <c r="J263" t="s">
        <v>41</v>
      </c>
      <c r="K263" t="s">
        <v>24</v>
      </c>
      <c r="L263">
        <v>460793.35</v>
      </c>
      <c r="M263">
        <v>46326.33</v>
      </c>
      <c r="N263" t="s">
        <v>20</v>
      </c>
      <c r="O263" s="7">
        <f t="shared" ca="1" si="17"/>
        <v>45756</v>
      </c>
      <c r="P263" s="7">
        <v>45872</v>
      </c>
      <c r="Q263">
        <v>4</v>
      </c>
      <c r="R263" t="str">
        <f t="shared" si="18"/>
        <v>Midum Risk</v>
      </c>
      <c r="S263" t="str">
        <f t="shared" si="19"/>
        <v xml:space="preserve">Midum </v>
      </c>
      <c r="T263" s="4">
        <f>Table1[[#This Row],[Deposit_Amount]]+Table1[[#This Row],[Withdrawal_Amount]]</f>
        <v>510285.68</v>
      </c>
      <c r="U263" t="s">
        <v>274</v>
      </c>
    </row>
    <row r="264" spans="1:21" x14ac:dyDescent="0.3">
      <c r="A264">
        <v>263</v>
      </c>
      <c r="B264" t="s">
        <v>106</v>
      </c>
      <c r="C264" t="s">
        <v>22</v>
      </c>
      <c r="D264">
        <v>47</v>
      </c>
      <c r="E264" t="s">
        <v>31</v>
      </c>
      <c r="F264" s="4">
        <v>467049.91</v>
      </c>
      <c r="G264" t="str">
        <f t="shared" si="16"/>
        <v>High Income</v>
      </c>
      <c r="H264">
        <v>70282.5</v>
      </c>
      <c r="I264">
        <v>427</v>
      </c>
      <c r="J264" t="s">
        <v>27</v>
      </c>
      <c r="K264" t="s">
        <v>19</v>
      </c>
      <c r="L264">
        <v>499541.74</v>
      </c>
      <c r="M264">
        <v>68760.72</v>
      </c>
      <c r="N264" t="s">
        <v>28</v>
      </c>
      <c r="O264" s="7">
        <f t="shared" ca="1" si="17"/>
        <v>45728</v>
      </c>
      <c r="P264" s="7">
        <v>45679</v>
      </c>
      <c r="Q264">
        <v>2</v>
      </c>
      <c r="R264" t="str">
        <f t="shared" si="18"/>
        <v>Midum Risk</v>
      </c>
      <c r="S264" t="str">
        <f t="shared" si="19"/>
        <v xml:space="preserve">Midum </v>
      </c>
      <c r="T264" s="4">
        <f>Table1[[#This Row],[Deposit_Amount]]+Table1[[#This Row],[Withdrawal_Amount]]</f>
        <v>537332.40999999992</v>
      </c>
      <c r="U264" t="s">
        <v>274</v>
      </c>
    </row>
    <row r="265" spans="1:21" x14ac:dyDescent="0.3">
      <c r="A265">
        <v>264</v>
      </c>
      <c r="B265" t="s">
        <v>145</v>
      </c>
      <c r="C265" t="s">
        <v>22</v>
      </c>
      <c r="D265">
        <v>58</v>
      </c>
      <c r="E265" t="s">
        <v>31</v>
      </c>
      <c r="F265" s="4">
        <v>406886.41</v>
      </c>
      <c r="G265" t="str">
        <f t="shared" si="16"/>
        <v>High Income</v>
      </c>
      <c r="H265">
        <v>270659.26</v>
      </c>
      <c r="I265">
        <v>369</v>
      </c>
      <c r="J265" t="s">
        <v>38</v>
      </c>
      <c r="K265" t="s">
        <v>42</v>
      </c>
      <c r="L265">
        <v>251014.24</v>
      </c>
      <c r="M265">
        <v>71083.75</v>
      </c>
      <c r="N265" t="s">
        <v>28</v>
      </c>
      <c r="O265" s="7">
        <f t="shared" ca="1" si="17"/>
        <v>45913</v>
      </c>
      <c r="P265" s="7">
        <v>45676</v>
      </c>
      <c r="Q265">
        <v>5</v>
      </c>
      <c r="R265" t="str">
        <f t="shared" si="18"/>
        <v>High Risk</v>
      </c>
      <c r="S265" t="str">
        <f t="shared" si="19"/>
        <v>Poor</v>
      </c>
      <c r="T265" s="4">
        <f>Table1[[#This Row],[Deposit_Amount]]+Table1[[#This Row],[Withdrawal_Amount]]</f>
        <v>677545.66999999993</v>
      </c>
      <c r="U265" t="s">
        <v>274</v>
      </c>
    </row>
    <row r="266" spans="1:21" x14ac:dyDescent="0.3">
      <c r="A266">
        <v>265</v>
      </c>
      <c r="B266" t="s">
        <v>51</v>
      </c>
      <c r="C266" t="s">
        <v>22</v>
      </c>
      <c r="D266">
        <v>21</v>
      </c>
      <c r="E266" t="s">
        <v>23</v>
      </c>
      <c r="F266" s="4">
        <v>244522.05</v>
      </c>
      <c r="G266" t="str">
        <f t="shared" si="16"/>
        <v>High Income</v>
      </c>
      <c r="H266">
        <v>276479.73</v>
      </c>
      <c r="I266">
        <v>360</v>
      </c>
      <c r="J266" t="s">
        <v>41</v>
      </c>
      <c r="K266" t="s">
        <v>59</v>
      </c>
      <c r="L266">
        <v>70877.490000000005</v>
      </c>
      <c r="M266">
        <v>44653.39</v>
      </c>
      <c r="N266" t="s">
        <v>20</v>
      </c>
      <c r="O266" s="7">
        <f t="shared" ca="1" si="17"/>
        <v>45913</v>
      </c>
      <c r="P266" s="7">
        <v>45891</v>
      </c>
      <c r="Q266">
        <v>4</v>
      </c>
      <c r="R266" t="str">
        <f t="shared" si="18"/>
        <v>High Risk</v>
      </c>
      <c r="S266" t="str">
        <f t="shared" si="19"/>
        <v>Poor</v>
      </c>
      <c r="T266" s="4">
        <f>Table1[[#This Row],[Deposit_Amount]]+Table1[[#This Row],[Withdrawal_Amount]]</f>
        <v>521001.77999999997</v>
      </c>
      <c r="U266" t="s">
        <v>274</v>
      </c>
    </row>
    <row r="267" spans="1:21" x14ac:dyDescent="0.3">
      <c r="A267">
        <v>266</v>
      </c>
      <c r="B267" t="s">
        <v>167</v>
      </c>
      <c r="C267" t="s">
        <v>22</v>
      </c>
      <c r="D267">
        <v>63</v>
      </c>
      <c r="E267" t="s">
        <v>23</v>
      </c>
      <c r="F267" s="4">
        <v>442618.33</v>
      </c>
      <c r="G267" t="str">
        <f t="shared" si="16"/>
        <v>High Income</v>
      </c>
      <c r="H267">
        <v>31124.61</v>
      </c>
      <c r="I267">
        <v>323</v>
      </c>
      <c r="J267" t="s">
        <v>18</v>
      </c>
      <c r="K267" t="s">
        <v>24</v>
      </c>
      <c r="L267">
        <v>522062.37</v>
      </c>
      <c r="M267">
        <v>245439.58</v>
      </c>
      <c r="N267" t="s">
        <v>28</v>
      </c>
      <c r="O267" s="7">
        <f t="shared" ca="1" si="17"/>
        <v>45945</v>
      </c>
      <c r="P267" s="7">
        <v>45857</v>
      </c>
      <c r="Q267">
        <v>3</v>
      </c>
      <c r="R267" t="str">
        <f t="shared" si="18"/>
        <v>High Risk</v>
      </c>
      <c r="S267" t="str">
        <f t="shared" si="19"/>
        <v>Poor</v>
      </c>
      <c r="T267" s="4">
        <f>Table1[[#This Row],[Deposit_Amount]]+Table1[[#This Row],[Withdrawal_Amount]]</f>
        <v>473742.94</v>
      </c>
      <c r="U267" t="s">
        <v>274</v>
      </c>
    </row>
    <row r="268" spans="1:21" x14ac:dyDescent="0.3">
      <c r="A268">
        <v>267</v>
      </c>
      <c r="B268" t="s">
        <v>66</v>
      </c>
      <c r="C268" t="s">
        <v>16</v>
      </c>
      <c r="D268">
        <v>54</v>
      </c>
      <c r="E268" t="s">
        <v>35</v>
      </c>
      <c r="F268" s="4">
        <v>388185.56</v>
      </c>
      <c r="G268" t="str">
        <f t="shared" si="16"/>
        <v>High Income</v>
      </c>
      <c r="H268">
        <v>105247.11</v>
      </c>
      <c r="I268">
        <v>676</v>
      </c>
      <c r="J268" t="s">
        <v>18</v>
      </c>
      <c r="K268" t="s">
        <v>59</v>
      </c>
      <c r="L268">
        <v>361496.58</v>
      </c>
      <c r="M268">
        <v>169668.3</v>
      </c>
      <c r="N268" t="s">
        <v>28</v>
      </c>
      <c r="O268" s="7">
        <f t="shared" ca="1" si="17"/>
        <v>45789</v>
      </c>
      <c r="P268" s="7">
        <v>45877</v>
      </c>
      <c r="Q268">
        <v>1</v>
      </c>
      <c r="R268" t="str">
        <f t="shared" si="18"/>
        <v>Low Risk</v>
      </c>
      <c r="S268" t="str">
        <f t="shared" si="19"/>
        <v>Good</v>
      </c>
      <c r="T268" s="4">
        <f>Table1[[#This Row],[Deposit_Amount]]+Table1[[#This Row],[Withdrawal_Amount]]</f>
        <v>493432.67</v>
      </c>
      <c r="U268" t="s">
        <v>274</v>
      </c>
    </row>
    <row r="269" spans="1:21" x14ac:dyDescent="0.3">
      <c r="A269">
        <v>268</v>
      </c>
      <c r="B269" t="s">
        <v>178</v>
      </c>
      <c r="C269" t="s">
        <v>22</v>
      </c>
      <c r="D269">
        <v>47</v>
      </c>
      <c r="E269" t="s">
        <v>44</v>
      </c>
      <c r="F269" s="4">
        <v>8046.31</v>
      </c>
      <c r="G269" t="str">
        <f t="shared" si="16"/>
        <v>Low Income</v>
      </c>
      <c r="H269">
        <v>217271.18</v>
      </c>
      <c r="I269">
        <v>765</v>
      </c>
      <c r="J269" t="s">
        <v>32</v>
      </c>
      <c r="K269" t="s">
        <v>42</v>
      </c>
      <c r="L269">
        <v>-12587.25</v>
      </c>
      <c r="M269">
        <v>190765.38</v>
      </c>
      <c r="N269" t="s">
        <v>20</v>
      </c>
      <c r="O269" s="7">
        <f t="shared" ca="1" si="17"/>
        <v>45818</v>
      </c>
      <c r="P269" s="7">
        <v>45717</v>
      </c>
      <c r="Q269">
        <v>2</v>
      </c>
      <c r="R269" t="str">
        <f t="shared" si="18"/>
        <v>Low Risk</v>
      </c>
      <c r="S269" t="str">
        <f t="shared" si="19"/>
        <v>Good</v>
      </c>
      <c r="T269" s="4">
        <f>Table1[[#This Row],[Deposit_Amount]]+Table1[[#This Row],[Withdrawal_Amount]]</f>
        <v>225317.49</v>
      </c>
      <c r="U269" t="s">
        <v>274</v>
      </c>
    </row>
    <row r="270" spans="1:21" x14ac:dyDescent="0.3">
      <c r="A270">
        <v>269</v>
      </c>
      <c r="B270" t="s">
        <v>138</v>
      </c>
      <c r="C270" t="s">
        <v>22</v>
      </c>
      <c r="D270">
        <v>67</v>
      </c>
      <c r="E270" t="s">
        <v>17</v>
      </c>
      <c r="F270" s="4">
        <v>315645.14</v>
      </c>
      <c r="G270" t="str">
        <f t="shared" si="16"/>
        <v>High Income</v>
      </c>
      <c r="H270">
        <v>271663.84000000003</v>
      </c>
      <c r="I270">
        <v>892</v>
      </c>
      <c r="J270" t="s">
        <v>27</v>
      </c>
      <c r="K270" t="s">
        <v>19</v>
      </c>
      <c r="L270">
        <v>239945.24</v>
      </c>
      <c r="M270">
        <v>205154.77</v>
      </c>
      <c r="N270" t="s">
        <v>28</v>
      </c>
      <c r="O270" s="7">
        <f t="shared" ca="1" si="17"/>
        <v>45847</v>
      </c>
      <c r="P270" s="7">
        <v>45760</v>
      </c>
      <c r="Q270">
        <v>1</v>
      </c>
      <c r="R270" t="str">
        <f t="shared" si="18"/>
        <v>Low Risk</v>
      </c>
      <c r="S270" t="str">
        <f t="shared" si="19"/>
        <v>Good</v>
      </c>
      <c r="T270" s="4">
        <f>Table1[[#This Row],[Deposit_Amount]]+Table1[[#This Row],[Withdrawal_Amount]]</f>
        <v>587308.98</v>
      </c>
      <c r="U270" t="s">
        <v>274</v>
      </c>
    </row>
    <row r="271" spans="1:21" x14ac:dyDescent="0.3">
      <c r="A271">
        <v>270</v>
      </c>
      <c r="B271" t="s">
        <v>179</v>
      </c>
      <c r="C271" t="s">
        <v>16</v>
      </c>
      <c r="D271">
        <v>40</v>
      </c>
      <c r="E271" t="s">
        <v>31</v>
      </c>
      <c r="F271" s="4">
        <v>427849.94</v>
      </c>
      <c r="G271" t="str">
        <f t="shared" si="16"/>
        <v>High Income</v>
      </c>
      <c r="H271">
        <v>168436.84</v>
      </c>
      <c r="I271">
        <v>514</v>
      </c>
      <c r="J271" t="s">
        <v>18</v>
      </c>
      <c r="K271" t="s">
        <v>24</v>
      </c>
      <c r="L271">
        <v>417562.8</v>
      </c>
      <c r="M271">
        <v>118001.24</v>
      </c>
      <c r="N271" t="s">
        <v>28</v>
      </c>
      <c r="O271" s="7">
        <f t="shared" ca="1" si="17"/>
        <v>45964</v>
      </c>
      <c r="P271" s="7">
        <v>45729</v>
      </c>
      <c r="Q271">
        <v>2</v>
      </c>
      <c r="R271" t="str">
        <f t="shared" si="18"/>
        <v>Midum Risk</v>
      </c>
      <c r="S271" t="str">
        <f t="shared" si="19"/>
        <v xml:space="preserve">Midum </v>
      </c>
      <c r="T271" s="4">
        <f>Table1[[#This Row],[Deposit_Amount]]+Table1[[#This Row],[Withdrawal_Amount]]</f>
        <v>596286.78</v>
      </c>
      <c r="U271" t="s">
        <v>274</v>
      </c>
    </row>
    <row r="272" spans="1:21" x14ac:dyDescent="0.3">
      <c r="A272">
        <v>271</v>
      </c>
      <c r="B272" t="s">
        <v>125</v>
      </c>
      <c r="C272" t="s">
        <v>16</v>
      </c>
      <c r="D272">
        <v>32</v>
      </c>
      <c r="E272" t="s">
        <v>40</v>
      </c>
      <c r="F272" s="4">
        <v>157127.76</v>
      </c>
      <c r="G272" t="str">
        <f t="shared" si="16"/>
        <v>Midum Income</v>
      </c>
      <c r="H272">
        <v>43701.279999999999</v>
      </c>
      <c r="I272">
        <v>677</v>
      </c>
      <c r="J272" t="s">
        <v>32</v>
      </c>
      <c r="K272" t="s">
        <v>42</v>
      </c>
      <c r="L272">
        <v>299201.01</v>
      </c>
      <c r="M272">
        <v>94921.37</v>
      </c>
      <c r="N272" t="s">
        <v>20</v>
      </c>
      <c r="O272" s="7">
        <f t="shared" ca="1" si="17"/>
        <v>45870</v>
      </c>
      <c r="P272" s="7">
        <v>45868</v>
      </c>
      <c r="Q272">
        <v>3</v>
      </c>
      <c r="R272" t="str">
        <f t="shared" si="18"/>
        <v>Low Risk</v>
      </c>
      <c r="S272" t="str">
        <f t="shared" si="19"/>
        <v>Good</v>
      </c>
      <c r="T272" s="4">
        <f>Table1[[#This Row],[Deposit_Amount]]+Table1[[#This Row],[Withdrawal_Amount]]</f>
        <v>200829.04</v>
      </c>
      <c r="U272" t="s">
        <v>274</v>
      </c>
    </row>
    <row r="273" spans="1:21" x14ac:dyDescent="0.3">
      <c r="A273">
        <v>272</v>
      </c>
      <c r="B273" t="s">
        <v>180</v>
      </c>
      <c r="C273" t="s">
        <v>16</v>
      </c>
      <c r="D273">
        <v>27</v>
      </c>
      <c r="E273" t="s">
        <v>40</v>
      </c>
      <c r="F273" s="4">
        <v>68324.009999999995</v>
      </c>
      <c r="G273" t="str">
        <f t="shared" si="16"/>
        <v>Low Income</v>
      </c>
      <c r="H273">
        <v>48817.23</v>
      </c>
      <c r="I273">
        <v>364</v>
      </c>
      <c r="J273" t="s">
        <v>38</v>
      </c>
      <c r="K273" t="s">
        <v>59</v>
      </c>
      <c r="L273">
        <v>165215.84</v>
      </c>
      <c r="M273">
        <v>124171.26</v>
      </c>
      <c r="N273" t="s">
        <v>25</v>
      </c>
      <c r="O273" s="7">
        <f t="shared" ca="1" si="17"/>
        <v>45948</v>
      </c>
      <c r="P273" s="7">
        <v>45837</v>
      </c>
      <c r="Q273">
        <v>1</v>
      </c>
      <c r="R273" t="str">
        <f t="shared" si="18"/>
        <v>High Risk</v>
      </c>
      <c r="S273" t="str">
        <f t="shared" si="19"/>
        <v>Poor</v>
      </c>
      <c r="T273" s="4">
        <f>Table1[[#This Row],[Deposit_Amount]]+Table1[[#This Row],[Withdrawal_Amount]]</f>
        <v>117141.23999999999</v>
      </c>
      <c r="U273" t="s">
        <v>274</v>
      </c>
    </row>
    <row r="274" spans="1:21" x14ac:dyDescent="0.3">
      <c r="A274">
        <v>273</v>
      </c>
      <c r="B274" t="s">
        <v>68</v>
      </c>
      <c r="C274" t="s">
        <v>16</v>
      </c>
      <c r="D274">
        <v>23</v>
      </c>
      <c r="E274" t="s">
        <v>17</v>
      </c>
      <c r="F274" s="4">
        <v>136245.26999999999</v>
      </c>
      <c r="G274" t="str">
        <f t="shared" si="16"/>
        <v>Midum Income</v>
      </c>
      <c r="H274">
        <v>217004.01</v>
      </c>
      <c r="I274">
        <v>406</v>
      </c>
      <c r="J274" t="s">
        <v>41</v>
      </c>
      <c r="K274" t="s">
        <v>19</v>
      </c>
      <c r="L274">
        <v>-2027.96</v>
      </c>
      <c r="M274">
        <v>85157.08</v>
      </c>
      <c r="N274" t="s">
        <v>28</v>
      </c>
      <c r="O274" s="7">
        <f t="shared" ca="1" si="17"/>
        <v>45976</v>
      </c>
      <c r="P274" s="7">
        <v>45911</v>
      </c>
      <c r="Q274">
        <v>5</v>
      </c>
      <c r="R274" t="str">
        <f t="shared" si="18"/>
        <v>Midum Risk</v>
      </c>
      <c r="S274" t="str">
        <f t="shared" si="19"/>
        <v xml:space="preserve">Midum </v>
      </c>
      <c r="T274" s="4">
        <f>Table1[[#This Row],[Deposit_Amount]]+Table1[[#This Row],[Withdrawal_Amount]]</f>
        <v>353249.28000000003</v>
      </c>
      <c r="U274" t="s">
        <v>274</v>
      </c>
    </row>
    <row r="275" spans="1:21" x14ac:dyDescent="0.3">
      <c r="A275">
        <v>274</v>
      </c>
      <c r="B275" t="s">
        <v>94</v>
      </c>
      <c r="C275" t="s">
        <v>16</v>
      </c>
      <c r="D275">
        <v>63</v>
      </c>
      <c r="E275" t="s">
        <v>44</v>
      </c>
      <c r="F275" s="4">
        <v>128886.1</v>
      </c>
      <c r="G275" t="str">
        <f t="shared" si="16"/>
        <v>Midum Income</v>
      </c>
      <c r="H275">
        <v>86334.71</v>
      </c>
      <c r="I275">
        <v>693</v>
      </c>
      <c r="J275" t="s">
        <v>18</v>
      </c>
      <c r="K275" t="s">
        <v>42</v>
      </c>
      <c r="L275">
        <v>229547.51</v>
      </c>
      <c r="M275">
        <v>177875.94</v>
      </c>
      <c r="N275" t="s">
        <v>25</v>
      </c>
      <c r="O275" s="7">
        <f t="shared" ca="1" si="17"/>
        <v>45740</v>
      </c>
      <c r="P275" s="7">
        <v>45712</v>
      </c>
      <c r="Q275">
        <v>2</v>
      </c>
      <c r="R275" t="str">
        <f t="shared" si="18"/>
        <v>Low Risk</v>
      </c>
      <c r="S275" t="str">
        <f t="shared" si="19"/>
        <v>Good</v>
      </c>
      <c r="T275" s="4">
        <f>Table1[[#This Row],[Deposit_Amount]]+Table1[[#This Row],[Withdrawal_Amount]]</f>
        <v>215220.81</v>
      </c>
      <c r="U275" t="s">
        <v>274</v>
      </c>
    </row>
    <row r="276" spans="1:21" x14ac:dyDescent="0.3">
      <c r="A276">
        <v>275</v>
      </c>
      <c r="B276" t="s">
        <v>167</v>
      </c>
      <c r="C276" t="s">
        <v>22</v>
      </c>
      <c r="D276">
        <v>38</v>
      </c>
      <c r="E276" t="s">
        <v>23</v>
      </c>
      <c r="F276" s="4">
        <v>174100.57</v>
      </c>
      <c r="G276" t="str">
        <f t="shared" si="16"/>
        <v>Midum Income</v>
      </c>
      <c r="H276">
        <v>132904.56</v>
      </c>
      <c r="I276">
        <v>747</v>
      </c>
      <c r="J276" t="s">
        <v>18</v>
      </c>
      <c r="K276" t="s">
        <v>42</v>
      </c>
      <c r="L276">
        <v>197425.71</v>
      </c>
      <c r="M276">
        <v>183802.85</v>
      </c>
      <c r="N276" t="s">
        <v>20</v>
      </c>
      <c r="O276" s="7">
        <f t="shared" ca="1" si="17"/>
        <v>45974</v>
      </c>
      <c r="P276" s="7">
        <v>45676</v>
      </c>
      <c r="Q276">
        <v>2</v>
      </c>
      <c r="R276" t="str">
        <f t="shared" si="18"/>
        <v>Low Risk</v>
      </c>
      <c r="S276" t="str">
        <f t="shared" si="19"/>
        <v>Good</v>
      </c>
      <c r="T276" s="4">
        <f>Table1[[#This Row],[Deposit_Amount]]+Table1[[#This Row],[Withdrawal_Amount]]</f>
        <v>307005.13</v>
      </c>
      <c r="U276" t="s">
        <v>274</v>
      </c>
    </row>
    <row r="277" spans="1:21" x14ac:dyDescent="0.3">
      <c r="A277">
        <v>276</v>
      </c>
      <c r="B277" t="s">
        <v>26</v>
      </c>
      <c r="C277" t="s">
        <v>22</v>
      </c>
      <c r="D277">
        <v>62</v>
      </c>
      <c r="E277" t="s">
        <v>40</v>
      </c>
      <c r="F277" s="4">
        <v>193256.18</v>
      </c>
      <c r="G277" t="str">
        <f t="shared" si="16"/>
        <v>Midum Income</v>
      </c>
      <c r="H277">
        <v>37159.46</v>
      </c>
      <c r="I277">
        <v>567</v>
      </c>
      <c r="J277" t="s">
        <v>38</v>
      </c>
      <c r="K277" t="s">
        <v>24</v>
      </c>
      <c r="L277">
        <v>193807.71</v>
      </c>
      <c r="M277">
        <v>72475.240000000005</v>
      </c>
      <c r="N277" t="s">
        <v>25</v>
      </c>
      <c r="O277" s="7">
        <f t="shared" ca="1" si="17"/>
        <v>45872</v>
      </c>
      <c r="P277" s="7">
        <v>45992</v>
      </c>
      <c r="Q277">
        <v>3</v>
      </c>
      <c r="R277" t="str">
        <f t="shared" si="18"/>
        <v>Midum Risk</v>
      </c>
      <c r="S277" t="str">
        <f t="shared" si="19"/>
        <v xml:space="preserve">Midum </v>
      </c>
      <c r="T277" s="4">
        <f>Table1[[#This Row],[Deposit_Amount]]+Table1[[#This Row],[Withdrawal_Amount]]</f>
        <v>230415.63999999998</v>
      </c>
      <c r="U277" t="s">
        <v>274</v>
      </c>
    </row>
    <row r="278" spans="1:21" x14ac:dyDescent="0.3">
      <c r="A278">
        <v>277</v>
      </c>
      <c r="B278" t="s">
        <v>139</v>
      </c>
      <c r="C278" t="s">
        <v>22</v>
      </c>
      <c r="D278">
        <v>48</v>
      </c>
      <c r="E278" t="s">
        <v>40</v>
      </c>
      <c r="F278" s="4">
        <v>445705.34</v>
      </c>
      <c r="G278" t="str">
        <f t="shared" si="16"/>
        <v>High Income</v>
      </c>
      <c r="H278">
        <v>117258.88</v>
      </c>
      <c r="I278">
        <v>819</v>
      </c>
      <c r="J278" t="s">
        <v>38</v>
      </c>
      <c r="K278" t="s">
        <v>24</v>
      </c>
      <c r="L278">
        <v>410982.49</v>
      </c>
      <c r="M278">
        <v>207018.31</v>
      </c>
      <c r="N278" t="s">
        <v>20</v>
      </c>
      <c r="O278" s="7">
        <f t="shared" ca="1" si="17"/>
        <v>45870</v>
      </c>
      <c r="P278" s="7">
        <v>45664</v>
      </c>
      <c r="Q278">
        <v>4</v>
      </c>
      <c r="R278" t="str">
        <f t="shared" si="18"/>
        <v>Low Risk</v>
      </c>
      <c r="S278" t="str">
        <f t="shared" si="19"/>
        <v>Good</v>
      </c>
      <c r="T278" s="4">
        <f>Table1[[#This Row],[Deposit_Amount]]+Table1[[#This Row],[Withdrawal_Amount]]</f>
        <v>562964.22</v>
      </c>
      <c r="U278" t="s">
        <v>274</v>
      </c>
    </row>
    <row r="279" spans="1:21" x14ac:dyDescent="0.3">
      <c r="A279">
        <v>278</v>
      </c>
      <c r="B279" t="s">
        <v>55</v>
      </c>
      <c r="C279" t="s">
        <v>16</v>
      </c>
      <c r="D279">
        <v>65</v>
      </c>
      <c r="E279" t="s">
        <v>44</v>
      </c>
      <c r="F279" s="4">
        <v>39710.550000000003</v>
      </c>
      <c r="G279" t="str">
        <f t="shared" si="16"/>
        <v>Low Income</v>
      </c>
      <c r="H279">
        <v>243202.62</v>
      </c>
      <c r="I279">
        <v>387</v>
      </c>
      <c r="J279" t="s">
        <v>18</v>
      </c>
      <c r="K279" t="s">
        <v>36</v>
      </c>
      <c r="L279">
        <v>-78520.06</v>
      </c>
      <c r="M279">
        <v>222160.88</v>
      </c>
      <c r="N279" t="s">
        <v>25</v>
      </c>
      <c r="O279" s="7">
        <f t="shared" ca="1" si="17"/>
        <v>45973</v>
      </c>
      <c r="P279" s="7">
        <v>45893</v>
      </c>
      <c r="Q279">
        <v>4</v>
      </c>
      <c r="R279" t="str">
        <f t="shared" si="18"/>
        <v>High Risk</v>
      </c>
      <c r="S279" t="str">
        <f t="shared" si="19"/>
        <v>Poor</v>
      </c>
      <c r="T279" s="4">
        <f>Table1[[#This Row],[Deposit_Amount]]+Table1[[#This Row],[Withdrawal_Amount]]</f>
        <v>282913.17</v>
      </c>
      <c r="U279" t="s">
        <v>274</v>
      </c>
    </row>
    <row r="280" spans="1:21" x14ac:dyDescent="0.3">
      <c r="A280">
        <v>279</v>
      </c>
      <c r="B280" t="s">
        <v>178</v>
      </c>
      <c r="C280" t="s">
        <v>22</v>
      </c>
      <c r="D280">
        <v>24</v>
      </c>
      <c r="E280" t="s">
        <v>17</v>
      </c>
      <c r="F280" s="4">
        <v>499839.2</v>
      </c>
      <c r="G280" t="str">
        <f t="shared" si="16"/>
        <v>High Income</v>
      </c>
      <c r="H280">
        <v>82354.45</v>
      </c>
      <c r="I280">
        <v>718</v>
      </c>
      <c r="J280" t="s">
        <v>27</v>
      </c>
      <c r="K280" t="s">
        <v>24</v>
      </c>
      <c r="L280">
        <v>481841.91</v>
      </c>
      <c r="M280">
        <v>128577.63</v>
      </c>
      <c r="N280" t="s">
        <v>20</v>
      </c>
      <c r="O280" s="7">
        <f t="shared" ca="1" si="17"/>
        <v>45980</v>
      </c>
      <c r="P280" s="7">
        <v>45734</v>
      </c>
      <c r="Q280">
        <v>1</v>
      </c>
      <c r="R280" t="str">
        <f t="shared" si="18"/>
        <v>Low Risk</v>
      </c>
      <c r="S280" t="str">
        <f t="shared" si="19"/>
        <v>Good</v>
      </c>
      <c r="T280" s="4">
        <f>Table1[[#This Row],[Deposit_Amount]]+Table1[[#This Row],[Withdrawal_Amount]]</f>
        <v>582193.65</v>
      </c>
      <c r="U280" t="s">
        <v>274</v>
      </c>
    </row>
    <row r="281" spans="1:21" x14ac:dyDescent="0.3">
      <c r="A281">
        <v>280</v>
      </c>
      <c r="B281" t="s">
        <v>109</v>
      </c>
      <c r="C281" t="s">
        <v>22</v>
      </c>
      <c r="D281">
        <v>59</v>
      </c>
      <c r="E281" t="s">
        <v>23</v>
      </c>
      <c r="F281" s="4">
        <v>299993.89</v>
      </c>
      <c r="G281" t="str">
        <f t="shared" si="16"/>
        <v>High Income</v>
      </c>
      <c r="H281">
        <v>52029.99</v>
      </c>
      <c r="I281">
        <v>305</v>
      </c>
      <c r="J281" t="s">
        <v>18</v>
      </c>
      <c r="K281" t="s">
        <v>19</v>
      </c>
      <c r="L281">
        <v>321344.37</v>
      </c>
      <c r="M281">
        <v>100356.33</v>
      </c>
      <c r="N281" t="s">
        <v>28</v>
      </c>
      <c r="O281" s="7">
        <f t="shared" ca="1" si="17"/>
        <v>45792</v>
      </c>
      <c r="P281" s="7">
        <v>45909</v>
      </c>
      <c r="Q281">
        <v>2</v>
      </c>
      <c r="R281" t="str">
        <f t="shared" si="18"/>
        <v>High Risk</v>
      </c>
      <c r="S281" t="str">
        <f t="shared" si="19"/>
        <v>Poor</v>
      </c>
      <c r="T281" s="4">
        <f>Table1[[#This Row],[Deposit_Amount]]+Table1[[#This Row],[Withdrawal_Amount]]</f>
        <v>352023.88</v>
      </c>
      <c r="U281" t="s">
        <v>274</v>
      </c>
    </row>
    <row r="282" spans="1:21" x14ac:dyDescent="0.3">
      <c r="A282">
        <v>281</v>
      </c>
      <c r="B282" t="s">
        <v>46</v>
      </c>
      <c r="C282" t="s">
        <v>22</v>
      </c>
      <c r="D282">
        <v>67</v>
      </c>
      <c r="E282" t="s">
        <v>31</v>
      </c>
      <c r="F282" s="4">
        <v>111346.51</v>
      </c>
      <c r="G282" t="str">
        <f t="shared" si="16"/>
        <v>Midum Income</v>
      </c>
      <c r="H282">
        <v>123226.82</v>
      </c>
      <c r="I282">
        <v>638</v>
      </c>
      <c r="J282" t="s">
        <v>38</v>
      </c>
      <c r="K282" t="s">
        <v>19</v>
      </c>
      <c r="L282">
        <v>178987.38</v>
      </c>
      <c r="M282">
        <v>238608.4</v>
      </c>
      <c r="N282" t="s">
        <v>25</v>
      </c>
      <c r="O282" s="7">
        <f t="shared" ca="1" si="17"/>
        <v>45726</v>
      </c>
      <c r="P282" s="7">
        <v>46006</v>
      </c>
      <c r="Q282">
        <v>1</v>
      </c>
      <c r="R282" t="str">
        <f t="shared" si="18"/>
        <v>Low Risk</v>
      </c>
      <c r="S282" t="str">
        <f t="shared" si="19"/>
        <v>Good</v>
      </c>
      <c r="T282" s="4">
        <f>Table1[[#This Row],[Deposit_Amount]]+Table1[[#This Row],[Withdrawal_Amount]]</f>
        <v>234573.33000000002</v>
      </c>
      <c r="U282" t="s">
        <v>274</v>
      </c>
    </row>
    <row r="283" spans="1:21" x14ac:dyDescent="0.3">
      <c r="A283">
        <v>282</v>
      </c>
      <c r="B283" t="s">
        <v>131</v>
      </c>
      <c r="C283" t="s">
        <v>16</v>
      </c>
      <c r="D283">
        <v>20</v>
      </c>
      <c r="E283" t="s">
        <v>23</v>
      </c>
      <c r="F283" s="4">
        <v>163932.44</v>
      </c>
      <c r="G283" t="str">
        <f t="shared" si="16"/>
        <v>Midum Income</v>
      </c>
      <c r="H283">
        <v>190861.78</v>
      </c>
      <c r="I283">
        <v>595</v>
      </c>
      <c r="J283" t="s">
        <v>18</v>
      </c>
      <c r="K283" t="s">
        <v>42</v>
      </c>
      <c r="L283">
        <v>57078.3</v>
      </c>
      <c r="M283">
        <v>74064.289999999994</v>
      </c>
      <c r="N283" t="s">
        <v>28</v>
      </c>
      <c r="O283" s="7">
        <f t="shared" ca="1" si="17"/>
        <v>45703</v>
      </c>
      <c r="P283" s="7">
        <v>45879</v>
      </c>
      <c r="Q283">
        <v>3</v>
      </c>
      <c r="R283" t="str">
        <f t="shared" si="18"/>
        <v>Midum Risk</v>
      </c>
      <c r="S283" t="str">
        <f t="shared" si="19"/>
        <v xml:space="preserve">Midum </v>
      </c>
      <c r="T283" s="4">
        <f>Table1[[#This Row],[Deposit_Amount]]+Table1[[#This Row],[Withdrawal_Amount]]</f>
        <v>354794.22</v>
      </c>
      <c r="U283" t="s">
        <v>274</v>
      </c>
    </row>
    <row r="284" spans="1:21" x14ac:dyDescent="0.3">
      <c r="A284">
        <v>283</v>
      </c>
      <c r="B284" t="s">
        <v>181</v>
      </c>
      <c r="C284" t="s">
        <v>16</v>
      </c>
      <c r="D284">
        <v>24</v>
      </c>
      <c r="E284" t="s">
        <v>17</v>
      </c>
      <c r="F284" s="4">
        <v>361141.47</v>
      </c>
      <c r="G284" t="str">
        <f t="shared" si="16"/>
        <v>High Income</v>
      </c>
      <c r="H284">
        <v>110430.38</v>
      </c>
      <c r="I284">
        <v>407</v>
      </c>
      <c r="J284" t="s">
        <v>38</v>
      </c>
      <c r="K284" t="s">
        <v>59</v>
      </c>
      <c r="L284">
        <v>372793.57</v>
      </c>
      <c r="M284">
        <v>134398.17000000001</v>
      </c>
      <c r="N284" t="s">
        <v>28</v>
      </c>
      <c r="O284" s="7">
        <f t="shared" ca="1" si="17"/>
        <v>45814</v>
      </c>
      <c r="P284" s="7">
        <v>45777</v>
      </c>
      <c r="Q284">
        <v>2</v>
      </c>
      <c r="R284" t="str">
        <f t="shared" si="18"/>
        <v>Midum Risk</v>
      </c>
      <c r="S284" t="str">
        <f t="shared" si="19"/>
        <v xml:space="preserve">Midum </v>
      </c>
      <c r="T284" s="4">
        <f>Table1[[#This Row],[Deposit_Amount]]+Table1[[#This Row],[Withdrawal_Amount]]</f>
        <v>471571.85</v>
      </c>
      <c r="U284" t="s">
        <v>274</v>
      </c>
    </row>
    <row r="285" spans="1:21" x14ac:dyDescent="0.3">
      <c r="A285">
        <v>284</v>
      </c>
      <c r="B285" t="s">
        <v>182</v>
      </c>
      <c r="C285" t="s">
        <v>16</v>
      </c>
      <c r="D285">
        <v>33</v>
      </c>
      <c r="E285" t="s">
        <v>17</v>
      </c>
      <c r="F285" s="4">
        <v>212875.07</v>
      </c>
      <c r="G285" t="str">
        <f t="shared" si="16"/>
        <v>High Income</v>
      </c>
      <c r="H285">
        <v>170516.44</v>
      </c>
      <c r="I285">
        <v>429</v>
      </c>
      <c r="J285" t="s">
        <v>18</v>
      </c>
      <c r="K285" t="s">
        <v>42</v>
      </c>
      <c r="L285">
        <v>59971.83</v>
      </c>
      <c r="M285">
        <v>162828.32</v>
      </c>
      <c r="N285" t="s">
        <v>28</v>
      </c>
      <c r="O285" s="7">
        <f t="shared" ca="1" si="17"/>
        <v>45800</v>
      </c>
      <c r="P285" s="7">
        <v>45675</v>
      </c>
      <c r="Q285">
        <v>3</v>
      </c>
      <c r="R285" t="str">
        <f t="shared" si="18"/>
        <v>Midum Risk</v>
      </c>
      <c r="S285" t="str">
        <f t="shared" si="19"/>
        <v xml:space="preserve">Midum </v>
      </c>
      <c r="T285" s="4">
        <f>Table1[[#This Row],[Deposit_Amount]]+Table1[[#This Row],[Withdrawal_Amount]]</f>
        <v>383391.51</v>
      </c>
      <c r="U285" t="s">
        <v>274</v>
      </c>
    </row>
    <row r="286" spans="1:21" x14ac:dyDescent="0.3">
      <c r="A286">
        <v>285</v>
      </c>
      <c r="B286" t="s">
        <v>183</v>
      </c>
      <c r="C286" t="s">
        <v>22</v>
      </c>
      <c r="D286">
        <v>45</v>
      </c>
      <c r="E286" t="s">
        <v>31</v>
      </c>
      <c r="F286" s="4">
        <v>453785.96</v>
      </c>
      <c r="G286" t="str">
        <f t="shared" si="16"/>
        <v>High Income</v>
      </c>
      <c r="H286">
        <v>117727.7</v>
      </c>
      <c r="I286">
        <v>347</v>
      </c>
      <c r="J286" t="s">
        <v>41</v>
      </c>
      <c r="K286" t="s">
        <v>19</v>
      </c>
      <c r="L286">
        <v>376961.25</v>
      </c>
      <c r="M286">
        <v>145720.1</v>
      </c>
      <c r="N286" t="s">
        <v>20</v>
      </c>
      <c r="O286" s="7">
        <f t="shared" ca="1" si="17"/>
        <v>45953</v>
      </c>
      <c r="P286" s="7">
        <v>45673</v>
      </c>
      <c r="Q286">
        <v>1</v>
      </c>
      <c r="R286" t="str">
        <f t="shared" si="18"/>
        <v>High Risk</v>
      </c>
      <c r="S286" t="str">
        <f t="shared" si="19"/>
        <v>Poor</v>
      </c>
      <c r="T286" s="4">
        <f>Table1[[#This Row],[Deposit_Amount]]+Table1[[#This Row],[Withdrawal_Amount]]</f>
        <v>571513.66</v>
      </c>
      <c r="U286" t="s">
        <v>274</v>
      </c>
    </row>
    <row r="287" spans="1:21" x14ac:dyDescent="0.3">
      <c r="A287">
        <v>286</v>
      </c>
      <c r="B287" t="s">
        <v>184</v>
      </c>
      <c r="C287" t="s">
        <v>16</v>
      </c>
      <c r="D287">
        <v>23</v>
      </c>
      <c r="E287" t="s">
        <v>23</v>
      </c>
      <c r="F287" s="4">
        <v>121935.58</v>
      </c>
      <c r="G287" t="str">
        <f t="shared" si="16"/>
        <v>Midum Income</v>
      </c>
      <c r="H287">
        <v>224055.29</v>
      </c>
      <c r="I287">
        <v>578</v>
      </c>
      <c r="J287" t="s">
        <v>41</v>
      </c>
      <c r="K287" t="s">
        <v>36</v>
      </c>
      <c r="L287">
        <v>73708.14</v>
      </c>
      <c r="M287">
        <v>189702.46</v>
      </c>
      <c r="N287" t="s">
        <v>20</v>
      </c>
      <c r="O287" s="7">
        <f t="shared" ca="1" si="17"/>
        <v>45867</v>
      </c>
      <c r="P287" s="7">
        <v>45993</v>
      </c>
      <c r="Q287">
        <v>5</v>
      </c>
      <c r="R287" t="str">
        <f t="shared" si="18"/>
        <v>Midum Risk</v>
      </c>
      <c r="S287" t="str">
        <f t="shared" si="19"/>
        <v xml:space="preserve">Midum </v>
      </c>
      <c r="T287" s="4">
        <f>Table1[[#This Row],[Deposit_Amount]]+Table1[[#This Row],[Withdrawal_Amount]]</f>
        <v>345990.87</v>
      </c>
      <c r="U287" t="s">
        <v>274</v>
      </c>
    </row>
    <row r="288" spans="1:21" x14ac:dyDescent="0.3">
      <c r="A288">
        <v>287</v>
      </c>
      <c r="B288" t="s">
        <v>49</v>
      </c>
      <c r="C288" t="s">
        <v>22</v>
      </c>
      <c r="D288">
        <v>47</v>
      </c>
      <c r="E288" t="s">
        <v>17</v>
      </c>
      <c r="F288" s="4">
        <v>79504.479999999996</v>
      </c>
      <c r="G288" t="str">
        <f t="shared" si="16"/>
        <v>Low Income</v>
      </c>
      <c r="H288">
        <v>202597.87</v>
      </c>
      <c r="I288">
        <v>341</v>
      </c>
      <c r="J288" t="s">
        <v>27</v>
      </c>
      <c r="K288" t="s">
        <v>36</v>
      </c>
      <c r="L288">
        <v>3040.29</v>
      </c>
      <c r="M288">
        <v>113107.8</v>
      </c>
      <c r="N288" t="s">
        <v>25</v>
      </c>
      <c r="O288" s="7">
        <f t="shared" ca="1" si="17"/>
        <v>45790</v>
      </c>
      <c r="P288" s="7">
        <v>45704</v>
      </c>
      <c r="Q288">
        <v>2</v>
      </c>
      <c r="R288" t="str">
        <f t="shared" si="18"/>
        <v>High Risk</v>
      </c>
      <c r="S288" t="str">
        <f t="shared" si="19"/>
        <v>Poor</v>
      </c>
      <c r="T288" s="4">
        <f>Table1[[#This Row],[Deposit_Amount]]+Table1[[#This Row],[Withdrawal_Amount]]</f>
        <v>282102.34999999998</v>
      </c>
      <c r="U288" t="s">
        <v>274</v>
      </c>
    </row>
    <row r="289" spans="1:21" x14ac:dyDescent="0.3">
      <c r="A289">
        <v>288</v>
      </c>
      <c r="B289" t="s">
        <v>185</v>
      </c>
      <c r="C289" t="s">
        <v>22</v>
      </c>
      <c r="D289">
        <v>23</v>
      </c>
      <c r="E289" t="s">
        <v>31</v>
      </c>
      <c r="F289" s="4">
        <v>375804.35</v>
      </c>
      <c r="G289" t="str">
        <f t="shared" si="16"/>
        <v>High Income</v>
      </c>
      <c r="H289">
        <v>147605.47</v>
      </c>
      <c r="I289">
        <v>316</v>
      </c>
      <c r="J289" t="s">
        <v>41</v>
      </c>
      <c r="K289" t="s">
        <v>59</v>
      </c>
      <c r="L289">
        <v>292068.40000000002</v>
      </c>
      <c r="M289">
        <v>66988.740000000005</v>
      </c>
      <c r="N289" t="s">
        <v>25</v>
      </c>
      <c r="O289" s="7">
        <f t="shared" ca="1" si="17"/>
        <v>45838</v>
      </c>
      <c r="P289" s="7">
        <v>45877</v>
      </c>
      <c r="Q289">
        <v>4</v>
      </c>
      <c r="R289" t="str">
        <f t="shared" si="18"/>
        <v>High Risk</v>
      </c>
      <c r="S289" t="str">
        <f t="shared" si="19"/>
        <v>Poor</v>
      </c>
      <c r="T289" s="4">
        <f>Table1[[#This Row],[Deposit_Amount]]+Table1[[#This Row],[Withdrawal_Amount]]</f>
        <v>523409.81999999995</v>
      </c>
      <c r="U289" t="s">
        <v>274</v>
      </c>
    </row>
    <row r="290" spans="1:21" x14ac:dyDescent="0.3">
      <c r="A290">
        <v>289</v>
      </c>
      <c r="B290" t="s">
        <v>114</v>
      </c>
      <c r="C290" t="s">
        <v>16</v>
      </c>
      <c r="D290">
        <v>49</v>
      </c>
      <c r="E290" t="s">
        <v>40</v>
      </c>
      <c r="F290" s="4">
        <v>187542.94</v>
      </c>
      <c r="G290" t="str">
        <f t="shared" si="16"/>
        <v>Midum Income</v>
      </c>
      <c r="H290">
        <v>255556.54</v>
      </c>
      <c r="I290">
        <v>478</v>
      </c>
      <c r="J290" t="s">
        <v>32</v>
      </c>
      <c r="K290" t="s">
        <v>19</v>
      </c>
      <c r="L290">
        <v>25030.79</v>
      </c>
      <c r="M290">
        <v>132644.82</v>
      </c>
      <c r="N290" t="s">
        <v>28</v>
      </c>
      <c r="O290" s="7">
        <f t="shared" ca="1" si="17"/>
        <v>46016</v>
      </c>
      <c r="P290" s="7">
        <v>45775</v>
      </c>
      <c r="Q290">
        <v>2</v>
      </c>
      <c r="R290" t="str">
        <f t="shared" si="18"/>
        <v>Midum Risk</v>
      </c>
      <c r="S290" t="str">
        <f t="shared" si="19"/>
        <v xml:space="preserve">Midum </v>
      </c>
      <c r="T290" s="4">
        <f>Table1[[#This Row],[Deposit_Amount]]+Table1[[#This Row],[Withdrawal_Amount]]</f>
        <v>443099.48</v>
      </c>
      <c r="U290" t="s">
        <v>274</v>
      </c>
    </row>
    <row r="291" spans="1:21" x14ac:dyDescent="0.3">
      <c r="A291">
        <v>290</v>
      </c>
      <c r="B291" t="s">
        <v>115</v>
      </c>
      <c r="C291" t="s">
        <v>16</v>
      </c>
      <c r="D291">
        <v>58</v>
      </c>
      <c r="E291" t="s">
        <v>31</v>
      </c>
      <c r="F291" s="4">
        <v>34727.35</v>
      </c>
      <c r="G291" t="str">
        <f t="shared" si="16"/>
        <v>Low Income</v>
      </c>
      <c r="H291">
        <v>71954.89</v>
      </c>
      <c r="I291">
        <v>824</v>
      </c>
      <c r="J291" t="s">
        <v>38</v>
      </c>
      <c r="K291" t="s">
        <v>19</v>
      </c>
      <c r="L291">
        <v>109972.89</v>
      </c>
      <c r="M291">
        <v>128777.01</v>
      </c>
      <c r="N291" t="s">
        <v>20</v>
      </c>
      <c r="O291" s="7">
        <f t="shared" ca="1" si="17"/>
        <v>46010</v>
      </c>
      <c r="P291" s="7">
        <v>45838</v>
      </c>
      <c r="Q291">
        <v>2</v>
      </c>
      <c r="R291" t="str">
        <f t="shared" si="18"/>
        <v>Low Risk</v>
      </c>
      <c r="S291" t="str">
        <f t="shared" si="19"/>
        <v>Good</v>
      </c>
      <c r="T291" s="4">
        <f>Table1[[#This Row],[Deposit_Amount]]+Table1[[#This Row],[Withdrawal_Amount]]</f>
        <v>106682.23999999999</v>
      </c>
      <c r="U291" t="s">
        <v>274</v>
      </c>
    </row>
    <row r="292" spans="1:21" x14ac:dyDescent="0.3">
      <c r="A292">
        <v>291</v>
      </c>
      <c r="B292" t="s">
        <v>45</v>
      </c>
      <c r="C292" t="s">
        <v>22</v>
      </c>
      <c r="D292">
        <v>48</v>
      </c>
      <c r="E292" t="s">
        <v>23</v>
      </c>
      <c r="F292" s="4">
        <v>275275.40000000002</v>
      </c>
      <c r="G292" t="str">
        <f t="shared" si="16"/>
        <v>High Income</v>
      </c>
      <c r="H292">
        <v>286625.26</v>
      </c>
      <c r="I292">
        <v>808</v>
      </c>
      <c r="J292" t="s">
        <v>27</v>
      </c>
      <c r="K292" t="s">
        <v>19</v>
      </c>
      <c r="L292">
        <v>72753.89</v>
      </c>
      <c r="M292">
        <v>104717.85</v>
      </c>
      <c r="N292" t="s">
        <v>20</v>
      </c>
      <c r="O292" s="7">
        <f t="shared" ca="1" si="17"/>
        <v>45801</v>
      </c>
      <c r="P292" s="7">
        <v>46005</v>
      </c>
      <c r="Q292">
        <v>5</v>
      </c>
      <c r="R292" t="str">
        <f t="shared" si="18"/>
        <v>Low Risk</v>
      </c>
      <c r="S292" t="str">
        <f t="shared" si="19"/>
        <v>Good</v>
      </c>
      <c r="T292" s="4">
        <f>Table1[[#This Row],[Deposit_Amount]]+Table1[[#This Row],[Withdrawal_Amount]]</f>
        <v>561900.66</v>
      </c>
      <c r="U292" t="s">
        <v>274</v>
      </c>
    </row>
    <row r="293" spans="1:21" x14ac:dyDescent="0.3">
      <c r="A293">
        <v>292</v>
      </c>
      <c r="B293" t="s">
        <v>149</v>
      </c>
      <c r="C293" t="s">
        <v>22</v>
      </c>
      <c r="D293">
        <v>33</v>
      </c>
      <c r="E293" t="s">
        <v>35</v>
      </c>
      <c r="F293" s="4">
        <v>377451.77</v>
      </c>
      <c r="G293" t="str">
        <f t="shared" si="16"/>
        <v>High Income</v>
      </c>
      <c r="H293">
        <v>216087.32</v>
      </c>
      <c r="I293">
        <v>306</v>
      </c>
      <c r="J293" t="s">
        <v>27</v>
      </c>
      <c r="K293" t="s">
        <v>59</v>
      </c>
      <c r="L293">
        <v>173011.38</v>
      </c>
      <c r="M293">
        <v>42609.61</v>
      </c>
      <c r="N293" t="s">
        <v>25</v>
      </c>
      <c r="O293" s="7">
        <f t="shared" ca="1" si="17"/>
        <v>45666</v>
      </c>
      <c r="P293" s="7">
        <v>45956</v>
      </c>
      <c r="Q293">
        <v>4</v>
      </c>
      <c r="R293" t="str">
        <f t="shared" si="18"/>
        <v>High Risk</v>
      </c>
      <c r="S293" t="str">
        <f t="shared" si="19"/>
        <v>Poor</v>
      </c>
      <c r="T293" s="4">
        <f>Table1[[#This Row],[Deposit_Amount]]+Table1[[#This Row],[Withdrawal_Amount]]</f>
        <v>593539.09000000008</v>
      </c>
      <c r="U293" t="s">
        <v>274</v>
      </c>
    </row>
    <row r="294" spans="1:21" x14ac:dyDescent="0.3">
      <c r="A294">
        <v>293</v>
      </c>
      <c r="B294" t="s">
        <v>73</v>
      </c>
      <c r="C294" t="s">
        <v>16</v>
      </c>
      <c r="D294">
        <v>70</v>
      </c>
      <c r="E294" t="s">
        <v>23</v>
      </c>
      <c r="F294" s="4">
        <v>342875.04</v>
      </c>
      <c r="G294" t="str">
        <f t="shared" si="16"/>
        <v>High Income</v>
      </c>
      <c r="H294">
        <v>279237.53000000003</v>
      </c>
      <c r="I294">
        <v>753</v>
      </c>
      <c r="J294" t="s">
        <v>18</v>
      </c>
      <c r="K294" t="s">
        <v>59</v>
      </c>
      <c r="L294">
        <v>72654.77</v>
      </c>
      <c r="M294">
        <v>168533.63</v>
      </c>
      <c r="N294" t="s">
        <v>25</v>
      </c>
      <c r="O294" s="7">
        <f t="shared" ca="1" si="17"/>
        <v>45804</v>
      </c>
      <c r="P294" s="7">
        <v>45880</v>
      </c>
      <c r="Q294">
        <v>4</v>
      </c>
      <c r="R294" t="str">
        <f t="shared" si="18"/>
        <v>Low Risk</v>
      </c>
      <c r="S294" t="str">
        <f t="shared" si="19"/>
        <v>Good</v>
      </c>
      <c r="T294" s="4">
        <f>Table1[[#This Row],[Deposit_Amount]]+Table1[[#This Row],[Withdrawal_Amount]]</f>
        <v>622112.57000000007</v>
      </c>
      <c r="U294" t="s">
        <v>274</v>
      </c>
    </row>
    <row r="295" spans="1:21" x14ac:dyDescent="0.3">
      <c r="A295">
        <v>294</v>
      </c>
      <c r="B295" t="s">
        <v>99</v>
      </c>
      <c r="C295" t="s">
        <v>16</v>
      </c>
      <c r="D295">
        <v>33</v>
      </c>
      <c r="E295" t="s">
        <v>35</v>
      </c>
      <c r="F295" s="4">
        <v>359137.59</v>
      </c>
      <c r="G295" t="str">
        <f t="shared" si="16"/>
        <v>High Income</v>
      </c>
      <c r="H295">
        <v>286948.59000000003</v>
      </c>
      <c r="I295">
        <v>777</v>
      </c>
      <c r="J295" t="s">
        <v>32</v>
      </c>
      <c r="K295" t="s">
        <v>36</v>
      </c>
      <c r="L295">
        <v>90326.76</v>
      </c>
      <c r="M295">
        <v>139491.48000000001</v>
      </c>
      <c r="N295" t="s">
        <v>28</v>
      </c>
      <c r="O295" s="7">
        <f t="shared" ca="1" si="17"/>
        <v>45718</v>
      </c>
      <c r="P295" s="7">
        <v>45976</v>
      </c>
      <c r="Q295">
        <v>1</v>
      </c>
      <c r="R295" t="str">
        <f t="shared" si="18"/>
        <v>Low Risk</v>
      </c>
      <c r="S295" t="str">
        <f t="shared" si="19"/>
        <v>Good</v>
      </c>
      <c r="T295" s="4">
        <f>Table1[[#This Row],[Deposit_Amount]]+Table1[[#This Row],[Withdrawal_Amount]]</f>
        <v>646086.18000000005</v>
      </c>
      <c r="U295" t="s">
        <v>274</v>
      </c>
    </row>
    <row r="296" spans="1:21" x14ac:dyDescent="0.3">
      <c r="A296">
        <v>295</v>
      </c>
      <c r="B296" t="s">
        <v>68</v>
      </c>
      <c r="C296" t="s">
        <v>16</v>
      </c>
      <c r="D296">
        <v>62</v>
      </c>
      <c r="E296" t="s">
        <v>23</v>
      </c>
      <c r="F296" s="4">
        <v>53846.65</v>
      </c>
      <c r="G296" t="str">
        <f t="shared" si="16"/>
        <v>Low Income</v>
      </c>
      <c r="H296">
        <v>123674.5</v>
      </c>
      <c r="I296">
        <v>799</v>
      </c>
      <c r="J296" t="s">
        <v>32</v>
      </c>
      <c r="K296" t="s">
        <v>42</v>
      </c>
      <c r="L296">
        <v>-45107.67</v>
      </c>
      <c r="M296">
        <v>108125.9</v>
      </c>
      <c r="N296" t="s">
        <v>25</v>
      </c>
      <c r="O296" s="7">
        <f t="shared" ca="1" si="17"/>
        <v>45807</v>
      </c>
      <c r="P296" s="7">
        <v>45987</v>
      </c>
      <c r="Q296">
        <v>5</v>
      </c>
      <c r="R296" t="str">
        <f t="shared" si="18"/>
        <v>Low Risk</v>
      </c>
      <c r="S296" t="str">
        <f t="shared" si="19"/>
        <v>Good</v>
      </c>
      <c r="T296" s="4">
        <f>Table1[[#This Row],[Deposit_Amount]]+Table1[[#This Row],[Withdrawal_Amount]]</f>
        <v>177521.15</v>
      </c>
      <c r="U296" t="s">
        <v>274</v>
      </c>
    </row>
    <row r="297" spans="1:21" x14ac:dyDescent="0.3">
      <c r="A297">
        <v>296</v>
      </c>
      <c r="B297" t="s">
        <v>47</v>
      </c>
      <c r="C297" t="s">
        <v>16</v>
      </c>
      <c r="D297">
        <v>48</v>
      </c>
      <c r="E297" t="s">
        <v>17</v>
      </c>
      <c r="F297" s="4">
        <v>289387.74</v>
      </c>
      <c r="G297" t="str">
        <f t="shared" si="16"/>
        <v>High Income</v>
      </c>
      <c r="H297">
        <v>172197.77</v>
      </c>
      <c r="I297">
        <v>319</v>
      </c>
      <c r="J297" t="s">
        <v>38</v>
      </c>
      <c r="K297" t="s">
        <v>24</v>
      </c>
      <c r="L297">
        <v>218781.73</v>
      </c>
      <c r="M297">
        <v>188889.34</v>
      </c>
      <c r="N297" t="s">
        <v>25</v>
      </c>
      <c r="O297" s="7">
        <f t="shared" ca="1" si="17"/>
        <v>45784</v>
      </c>
      <c r="P297" s="7">
        <v>45918</v>
      </c>
      <c r="Q297">
        <v>4</v>
      </c>
      <c r="R297" t="str">
        <f t="shared" si="18"/>
        <v>High Risk</v>
      </c>
      <c r="S297" t="str">
        <f t="shared" si="19"/>
        <v>Poor</v>
      </c>
      <c r="T297" s="4">
        <f>Table1[[#This Row],[Deposit_Amount]]+Table1[[#This Row],[Withdrawal_Amount]]</f>
        <v>461585.51</v>
      </c>
      <c r="U297" t="s">
        <v>274</v>
      </c>
    </row>
    <row r="298" spans="1:21" x14ac:dyDescent="0.3">
      <c r="A298">
        <v>297</v>
      </c>
      <c r="B298" t="s">
        <v>183</v>
      </c>
      <c r="C298" t="s">
        <v>22</v>
      </c>
      <c r="D298">
        <v>63</v>
      </c>
      <c r="E298" t="s">
        <v>40</v>
      </c>
      <c r="F298" s="4">
        <v>400026.48</v>
      </c>
      <c r="G298" t="str">
        <f t="shared" si="16"/>
        <v>High Income</v>
      </c>
      <c r="H298">
        <v>3018.19</v>
      </c>
      <c r="I298">
        <v>413</v>
      </c>
      <c r="J298" t="s">
        <v>38</v>
      </c>
      <c r="K298" t="s">
        <v>24</v>
      </c>
      <c r="L298">
        <v>478685.55</v>
      </c>
      <c r="M298">
        <v>173709.59</v>
      </c>
      <c r="N298" t="s">
        <v>25</v>
      </c>
      <c r="O298" s="7">
        <f t="shared" ca="1" si="17"/>
        <v>45966</v>
      </c>
      <c r="P298" s="7">
        <v>45866</v>
      </c>
      <c r="Q298">
        <v>5</v>
      </c>
      <c r="R298" t="str">
        <f t="shared" si="18"/>
        <v>Midum Risk</v>
      </c>
      <c r="S298" t="str">
        <f t="shared" si="19"/>
        <v xml:space="preserve">Midum </v>
      </c>
      <c r="T298" s="4">
        <f>Table1[[#This Row],[Deposit_Amount]]+Table1[[#This Row],[Withdrawal_Amount]]</f>
        <v>403044.67</v>
      </c>
      <c r="U298" t="s">
        <v>274</v>
      </c>
    </row>
    <row r="299" spans="1:21" x14ac:dyDescent="0.3">
      <c r="A299">
        <v>298</v>
      </c>
      <c r="B299" t="s">
        <v>159</v>
      </c>
      <c r="C299" t="s">
        <v>22</v>
      </c>
      <c r="D299">
        <v>22</v>
      </c>
      <c r="E299" t="s">
        <v>17</v>
      </c>
      <c r="F299" s="4">
        <v>321316.68</v>
      </c>
      <c r="G299" t="str">
        <f t="shared" si="16"/>
        <v>High Income</v>
      </c>
      <c r="H299">
        <v>23266.21</v>
      </c>
      <c r="I299">
        <v>533</v>
      </c>
      <c r="J299" t="s">
        <v>18</v>
      </c>
      <c r="K299" t="s">
        <v>42</v>
      </c>
      <c r="L299">
        <v>489856.32</v>
      </c>
      <c r="M299">
        <v>37850.730000000003</v>
      </c>
      <c r="N299" t="s">
        <v>25</v>
      </c>
      <c r="O299" s="7">
        <f t="shared" ca="1" si="17"/>
        <v>45770</v>
      </c>
      <c r="P299" s="7">
        <v>45684</v>
      </c>
      <c r="Q299">
        <v>2</v>
      </c>
      <c r="R299" t="str">
        <f t="shared" si="18"/>
        <v>Midum Risk</v>
      </c>
      <c r="S299" t="str">
        <f t="shared" si="19"/>
        <v xml:space="preserve">Midum </v>
      </c>
      <c r="T299" s="4">
        <f>Table1[[#This Row],[Deposit_Amount]]+Table1[[#This Row],[Withdrawal_Amount]]</f>
        <v>344582.89</v>
      </c>
      <c r="U299" t="s">
        <v>274</v>
      </c>
    </row>
    <row r="300" spans="1:21" x14ac:dyDescent="0.3">
      <c r="A300">
        <v>299</v>
      </c>
      <c r="B300" t="s">
        <v>186</v>
      </c>
      <c r="C300" t="s">
        <v>22</v>
      </c>
      <c r="D300">
        <v>43</v>
      </c>
      <c r="E300" t="s">
        <v>40</v>
      </c>
      <c r="F300" s="4">
        <v>386642.54</v>
      </c>
      <c r="G300" t="str">
        <f t="shared" si="16"/>
        <v>High Income</v>
      </c>
      <c r="H300">
        <v>195452.87</v>
      </c>
      <c r="I300">
        <v>659</v>
      </c>
      <c r="J300" t="s">
        <v>38</v>
      </c>
      <c r="K300" t="s">
        <v>36</v>
      </c>
      <c r="L300">
        <v>282824.23</v>
      </c>
      <c r="M300">
        <v>124208.96000000001</v>
      </c>
      <c r="N300" t="s">
        <v>28</v>
      </c>
      <c r="O300" s="7">
        <f t="shared" ca="1" si="17"/>
        <v>46013</v>
      </c>
      <c r="P300" s="7">
        <v>45825</v>
      </c>
      <c r="Q300">
        <v>1</v>
      </c>
      <c r="R300" t="str">
        <f t="shared" si="18"/>
        <v>Low Risk</v>
      </c>
      <c r="S300" t="str">
        <f t="shared" si="19"/>
        <v>Good</v>
      </c>
      <c r="T300" s="4">
        <f>Table1[[#This Row],[Deposit_Amount]]+Table1[[#This Row],[Withdrawal_Amount]]</f>
        <v>582095.40999999992</v>
      </c>
      <c r="U300" t="s">
        <v>274</v>
      </c>
    </row>
    <row r="301" spans="1:21" x14ac:dyDescent="0.3">
      <c r="A301">
        <v>300</v>
      </c>
      <c r="B301" t="s">
        <v>120</v>
      </c>
      <c r="C301" t="s">
        <v>22</v>
      </c>
      <c r="D301">
        <v>51</v>
      </c>
      <c r="E301" t="s">
        <v>44</v>
      </c>
      <c r="F301" s="4">
        <v>243335.63</v>
      </c>
      <c r="G301" t="str">
        <f t="shared" si="16"/>
        <v>High Income</v>
      </c>
      <c r="H301">
        <v>17586.47</v>
      </c>
      <c r="I301">
        <v>323</v>
      </c>
      <c r="J301" t="s">
        <v>41</v>
      </c>
      <c r="K301" t="s">
        <v>59</v>
      </c>
      <c r="L301">
        <v>336062.49</v>
      </c>
      <c r="M301">
        <v>187971.99</v>
      </c>
      <c r="N301" t="s">
        <v>25</v>
      </c>
      <c r="O301" s="7">
        <f t="shared" ca="1" si="17"/>
        <v>45725</v>
      </c>
      <c r="P301" s="7">
        <v>45785</v>
      </c>
      <c r="Q301">
        <v>4</v>
      </c>
      <c r="R301" t="str">
        <f t="shared" si="18"/>
        <v>High Risk</v>
      </c>
      <c r="S301" t="str">
        <f t="shared" si="19"/>
        <v>Poor</v>
      </c>
      <c r="T301" s="4">
        <f>Table1[[#This Row],[Deposit_Amount]]+Table1[[#This Row],[Withdrawal_Amount]]</f>
        <v>260922.1</v>
      </c>
      <c r="U301" t="s">
        <v>274</v>
      </c>
    </row>
    <row r="302" spans="1:21" x14ac:dyDescent="0.3">
      <c r="A302">
        <v>301</v>
      </c>
      <c r="B302" t="s">
        <v>187</v>
      </c>
      <c r="C302" t="s">
        <v>16</v>
      </c>
      <c r="D302">
        <v>53</v>
      </c>
      <c r="E302" t="s">
        <v>31</v>
      </c>
      <c r="F302" s="4">
        <v>317161.01</v>
      </c>
      <c r="G302" t="str">
        <f t="shared" si="16"/>
        <v>High Income</v>
      </c>
      <c r="H302">
        <v>22324.81</v>
      </c>
      <c r="I302">
        <v>578</v>
      </c>
      <c r="J302" t="s">
        <v>18</v>
      </c>
      <c r="K302" t="s">
        <v>36</v>
      </c>
      <c r="L302">
        <v>382932.69</v>
      </c>
      <c r="M302">
        <v>68588.320000000007</v>
      </c>
      <c r="N302" t="s">
        <v>28</v>
      </c>
      <c r="O302" s="7">
        <f t="shared" ca="1" si="17"/>
        <v>45837</v>
      </c>
      <c r="P302" s="7">
        <v>45921</v>
      </c>
      <c r="Q302">
        <v>3</v>
      </c>
      <c r="R302" t="str">
        <f t="shared" si="18"/>
        <v>Midum Risk</v>
      </c>
      <c r="S302" t="str">
        <f t="shared" si="19"/>
        <v xml:space="preserve">Midum </v>
      </c>
      <c r="T302" s="4">
        <f>Table1[[#This Row],[Deposit_Amount]]+Table1[[#This Row],[Withdrawal_Amount]]</f>
        <v>339485.82</v>
      </c>
      <c r="U302" t="s">
        <v>274</v>
      </c>
    </row>
    <row r="303" spans="1:21" x14ac:dyDescent="0.3">
      <c r="A303">
        <v>302</v>
      </c>
      <c r="B303" t="s">
        <v>50</v>
      </c>
      <c r="C303" t="s">
        <v>16</v>
      </c>
      <c r="D303">
        <v>34</v>
      </c>
      <c r="E303" t="s">
        <v>35</v>
      </c>
      <c r="F303" s="4">
        <v>416402.49</v>
      </c>
      <c r="G303" t="str">
        <f t="shared" si="16"/>
        <v>High Income</v>
      </c>
      <c r="H303">
        <v>49674.84</v>
      </c>
      <c r="I303">
        <v>361</v>
      </c>
      <c r="J303" t="s">
        <v>27</v>
      </c>
      <c r="K303" t="s">
        <v>42</v>
      </c>
      <c r="L303">
        <v>528290.55000000005</v>
      </c>
      <c r="M303">
        <v>88015.17</v>
      </c>
      <c r="N303" t="s">
        <v>28</v>
      </c>
      <c r="O303" s="7">
        <f t="shared" ca="1" si="17"/>
        <v>45689</v>
      </c>
      <c r="P303" s="7">
        <v>45944</v>
      </c>
      <c r="Q303">
        <v>3</v>
      </c>
      <c r="R303" t="str">
        <f t="shared" si="18"/>
        <v>High Risk</v>
      </c>
      <c r="S303" t="str">
        <f t="shared" si="19"/>
        <v>Poor</v>
      </c>
      <c r="T303" s="4">
        <f>Table1[[#This Row],[Deposit_Amount]]+Table1[[#This Row],[Withdrawal_Amount]]</f>
        <v>466077.32999999996</v>
      </c>
      <c r="U303" t="s">
        <v>274</v>
      </c>
    </row>
    <row r="304" spans="1:21" x14ac:dyDescent="0.3">
      <c r="A304">
        <v>303</v>
      </c>
      <c r="B304" t="s">
        <v>72</v>
      </c>
      <c r="C304" t="s">
        <v>16</v>
      </c>
      <c r="D304">
        <v>53</v>
      </c>
      <c r="E304" t="s">
        <v>40</v>
      </c>
      <c r="F304" s="4">
        <v>46441.01</v>
      </c>
      <c r="G304" t="str">
        <f t="shared" si="16"/>
        <v>Low Income</v>
      </c>
      <c r="H304">
        <v>185668.27</v>
      </c>
      <c r="I304">
        <v>682</v>
      </c>
      <c r="J304" t="s">
        <v>38</v>
      </c>
      <c r="K304" t="s">
        <v>24</v>
      </c>
      <c r="L304">
        <v>-20266.169999999998</v>
      </c>
      <c r="M304">
        <v>222906.08</v>
      </c>
      <c r="N304" t="s">
        <v>25</v>
      </c>
      <c r="O304" s="7">
        <f t="shared" ca="1" si="17"/>
        <v>45728</v>
      </c>
      <c r="P304" s="7">
        <v>45814</v>
      </c>
      <c r="Q304">
        <v>2</v>
      </c>
      <c r="R304" t="str">
        <f t="shared" si="18"/>
        <v>Low Risk</v>
      </c>
      <c r="S304" t="str">
        <f t="shared" si="19"/>
        <v>Good</v>
      </c>
      <c r="T304" s="4">
        <f>Table1[[#This Row],[Deposit_Amount]]+Table1[[#This Row],[Withdrawal_Amount]]</f>
        <v>232109.28</v>
      </c>
      <c r="U304" t="s">
        <v>274</v>
      </c>
    </row>
    <row r="305" spans="1:21" x14ac:dyDescent="0.3">
      <c r="A305">
        <v>304</v>
      </c>
      <c r="B305" t="s">
        <v>188</v>
      </c>
      <c r="C305" t="s">
        <v>16</v>
      </c>
      <c r="D305">
        <v>56</v>
      </c>
      <c r="E305" t="s">
        <v>31</v>
      </c>
      <c r="F305" s="4">
        <v>23711.599999999999</v>
      </c>
      <c r="G305" t="str">
        <f t="shared" si="16"/>
        <v>Low Income</v>
      </c>
      <c r="H305">
        <v>133649.26</v>
      </c>
      <c r="I305">
        <v>530</v>
      </c>
      <c r="J305" t="s">
        <v>27</v>
      </c>
      <c r="K305" t="s">
        <v>59</v>
      </c>
      <c r="L305">
        <v>-10866.05</v>
      </c>
      <c r="M305">
        <v>84767.82</v>
      </c>
      <c r="N305" t="s">
        <v>28</v>
      </c>
      <c r="O305" s="7">
        <f t="shared" ca="1" si="17"/>
        <v>45792</v>
      </c>
      <c r="P305" s="7">
        <v>46010</v>
      </c>
      <c r="Q305">
        <v>5</v>
      </c>
      <c r="R305" t="str">
        <f t="shared" si="18"/>
        <v>Midum Risk</v>
      </c>
      <c r="S305" t="str">
        <f t="shared" si="19"/>
        <v xml:space="preserve">Midum </v>
      </c>
      <c r="T305" s="4">
        <f>Table1[[#This Row],[Deposit_Amount]]+Table1[[#This Row],[Withdrawal_Amount]]</f>
        <v>157360.86000000002</v>
      </c>
      <c r="U305" t="s">
        <v>274</v>
      </c>
    </row>
    <row r="306" spans="1:21" x14ac:dyDescent="0.3">
      <c r="A306">
        <v>305</v>
      </c>
      <c r="B306" t="s">
        <v>103</v>
      </c>
      <c r="C306" t="s">
        <v>22</v>
      </c>
      <c r="D306">
        <v>26</v>
      </c>
      <c r="E306" t="s">
        <v>44</v>
      </c>
      <c r="F306" s="4">
        <v>264686.61</v>
      </c>
      <c r="G306" t="str">
        <f t="shared" si="16"/>
        <v>High Income</v>
      </c>
      <c r="H306">
        <v>206116.29</v>
      </c>
      <c r="I306">
        <v>301</v>
      </c>
      <c r="J306" t="s">
        <v>27</v>
      </c>
      <c r="K306" t="s">
        <v>59</v>
      </c>
      <c r="L306">
        <v>233594.56</v>
      </c>
      <c r="M306">
        <v>82755.34</v>
      </c>
      <c r="N306" t="s">
        <v>25</v>
      </c>
      <c r="O306" s="7">
        <f t="shared" ca="1" si="17"/>
        <v>46020</v>
      </c>
      <c r="P306" s="7">
        <v>45943</v>
      </c>
      <c r="Q306">
        <v>2</v>
      </c>
      <c r="R306" t="str">
        <f t="shared" si="18"/>
        <v>High Risk</v>
      </c>
      <c r="S306" t="str">
        <f t="shared" si="19"/>
        <v>Poor</v>
      </c>
      <c r="T306" s="4">
        <f>Table1[[#This Row],[Deposit_Amount]]+Table1[[#This Row],[Withdrawal_Amount]]</f>
        <v>470802.9</v>
      </c>
      <c r="U306" t="s">
        <v>274</v>
      </c>
    </row>
    <row r="307" spans="1:21" x14ac:dyDescent="0.3">
      <c r="A307">
        <v>306</v>
      </c>
      <c r="B307" t="s">
        <v>78</v>
      </c>
      <c r="C307" t="s">
        <v>16</v>
      </c>
      <c r="D307">
        <v>52</v>
      </c>
      <c r="E307" t="s">
        <v>40</v>
      </c>
      <c r="F307" s="4">
        <v>406941.11</v>
      </c>
      <c r="G307" t="str">
        <f t="shared" si="16"/>
        <v>High Income</v>
      </c>
      <c r="H307">
        <v>145773.87</v>
      </c>
      <c r="I307">
        <v>844</v>
      </c>
      <c r="J307" t="s">
        <v>32</v>
      </c>
      <c r="K307" t="s">
        <v>42</v>
      </c>
      <c r="L307">
        <v>272741.15999999997</v>
      </c>
      <c r="M307">
        <v>50880.43</v>
      </c>
      <c r="N307" t="s">
        <v>25</v>
      </c>
      <c r="O307" s="7">
        <f t="shared" ca="1" si="17"/>
        <v>45743</v>
      </c>
      <c r="P307" s="7">
        <v>45882</v>
      </c>
      <c r="Q307">
        <v>1</v>
      </c>
      <c r="R307" t="str">
        <f t="shared" si="18"/>
        <v>Low Risk</v>
      </c>
      <c r="S307" t="str">
        <f t="shared" si="19"/>
        <v>Good</v>
      </c>
      <c r="T307" s="4">
        <f>Table1[[#This Row],[Deposit_Amount]]+Table1[[#This Row],[Withdrawal_Amount]]</f>
        <v>552714.98</v>
      </c>
      <c r="U307" t="s">
        <v>274</v>
      </c>
    </row>
    <row r="308" spans="1:21" x14ac:dyDescent="0.3">
      <c r="A308">
        <v>307</v>
      </c>
      <c r="B308" t="s">
        <v>87</v>
      </c>
      <c r="C308" t="s">
        <v>16</v>
      </c>
      <c r="D308">
        <v>65</v>
      </c>
      <c r="E308" t="s">
        <v>31</v>
      </c>
      <c r="F308" s="4">
        <v>206753.91</v>
      </c>
      <c r="G308" t="str">
        <f t="shared" si="16"/>
        <v>High Income</v>
      </c>
      <c r="H308">
        <v>113558.36</v>
      </c>
      <c r="I308">
        <v>661</v>
      </c>
      <c r="J308" t="s">
        <v>27</v>
      </c>
      <c r="K308" t="s">
        <v>19</v>
      </c>
      <c r="L308">
        <v>260149.38</v>
      </c>
      <c r="M308">
        <v>132840.29999999999</v>
      </c>
      <c r="N308" t="s">
        <v>25</v>
      </c>
      <c r="O308" s="7">
        <f t="shared" ca="1" si="17"/>
        <v>45743</v>
      </c>
      <c r="P308" s="7">
        <v>45816</v>
      </c>
      <c r="Q308">
        <v>2</v>
      </c>
      <c r="R308" t="str">
        <f t="shared" si="18"/>
        <v>Low Risk</v>
      </c>
      <c r="S308" t="str">
        <f t="shared" si="19"/>
        <v>Good</v>
      </c>
      <c r="T308" s="4">
        <f>Table1[[#This Row],[Deposit_Amount]]+Table1[[#This Row],[Withdrawal_Amount]]</f>
        <v>320312.27</v>
      </c>
      <c r="U308" t="s">
        <v>274</v>
      </c>
    </row>
    <row r="309" spans="1:21" x14ac:dyDescent="0.3">
      <c r="A309">
        <v>308</v>
      </c>
      <c r="B309" t="s">
        <v>154</v>
      </c>
      <c r="C309" t="s">
        <v>16</v>
      </c>
      <c r="D309">
        <v>59</v>
      </c>
      <c r="E309" t="s">
        <v>23</v>
      </c>
      <c r="F309" s="4">
        <v>63107.040000000001</v>
      </c>
      <c r="G309" t="str">
        <f t="shared" si="16"/>
        <v>Low Income</v>
      </c>
      <c r="H309">
        <v>64705.66</v>
      </c>
      <c r="I309">
        <v>737</v>
      </c>
      <c r="J309" t="s">
        <v>27</v>
      </c>
      <c r="K309" t="s">
        <v>24</v>
      </c>
      <c r="L309">
        <v>81465.37</v>
      </c>
      <c r="M309">
        <v>222309.01</v>
      </c>
      <c r="N309" t="s">
        <v>28</v>
      </c>
      <c r="O309" s="7">
        <f t="shared" ca="1" si="17"/>
        <v>45757</v>
      </c>
      <c r="P309" s="7">
        <v>45802</v>
      </c>
      <c r="Q309">
        <v>2</v>
      </c>
      <c r="R309" t="str">
        <f t="shared" si="18"/>
        <v>Low Risk</v>
      </c>
      <c r="S309" t="str">
        <f t="shared" si="19"/>
        <v>Good</v>
      </c>
      <c r="T309" s="4">
        <f>Table1[[#This Row],[Deposit_Amount]]+Table1[[#This Row],[Withdrawal_Amount]]</f>
        <v>127812.70000000001</v>
      </c>
      <c r="U309" t="s">
        <v>274</v>
      </c>
    </row>
    <row r="310" spans="1:21" x14ac:dyDescent="0.3">
      <c r="A310">
        <v>309</v>
      </c>
      <c r="B310" t="s">
        <v>79</v>
      </c>
      <c r="C310" t="s">
        <v>16</v>
      </c>
      <c r="D310">
        <v>58</v>
      </c>
      <c r="E310" t="s">
        <v>40</v>
      </c>
      <c r="F310" s="4">
        <v>116566.14</v>
      </c>
      <c r="G310" t="str">
        <f t="shared" si="16"/>
        <v>Midum Income</v>
      </c>
      <c r="H310">
        <v>76293.88</v>
      </c>
      <c r="I310">
        <v>825</v>
      </c>
      <c r="J310" t="s">
        <v>32</v>
      </c>
      <c r="K310" t="s">
        <v>42</v>
      </c>
      <c r="L310">
        <v>191742.99</v>
      </c>
      <c r="M310">
        <v>50580.28</v>
      </c>
      <c r="N310" t="s">
        <v>20</v>
      </c>
      <c r="O310" s="7">
        <f t="shared" ca="1" si="17"/>
        <v>45882</v>
      </c>
      <c r="P310" s="7">
        <v>45953</v>
      </c>
      <c r="Q310">
        <v>4</v>
      </c>
      <c r="R310" t="str">
        <f t="shared" si="18"/>
        <v>Low Risk</v>
      </c>
      <c r="S310" t="str">
        <f t="shared" si="19"/>
        <v>Good</v>
      </c>
      <c r="T310" s="4">
        <f>Table1[[#This Row],[Deposit_Amount]]+Table1[[#This Row],[Withdrawal_Amount]]</f>
        <v>192860.02000000002</v>
      </c>
      <c r="U310" t="s">
        <v>274</v>
      </c>
    </row>
    <row r="311" spans="1:21" x14ac:dyDescent="0.3">
      <c r="A311">
        <v>310</v>
      </c>
      <c r="B311" t="s">
        <v>33</v>
      </c>
      <c r="C311" t="s">
        <v>22</v>
      </c>
      <c r="D311">
        <v>55</v>
      </c>
      <c r="E311" t="s">
        <v>44</v>
      </c>
      <c r="F311" s="4">
        <v>397978.5</v>
      </c>
      <c r="G311" t="str">
        <f t="shared" si="16"/>
        <v>High Income</v>
      </c>
      <c r="H311">
        <v>5147.87</v>
      </c>
      <c r="I311">
        <v>516</v>
      </c>
      <c r="J311" t="s">
        <v>41</v>
      </c>
      <c r="K311" t="s">
        <v>36</v>
      </c>
      <c r="L311">
        <v>455906.63</v>
      </c>
      <c r="M311">
        <v>162177.63</v>
      </c>
      <c r="N311" t="s">
        <v>25</v>
      </c>
      <c r="O311" s="7">
        <f t="shared" ca="1" si="17"/>
        <v>45785</v>
      </c>
      <c r="P311" s="7">
        <v>45684</v>
      </c>
      <c r="Q311">
        <v>3</v>
      </c>
      <c r="R311" t="str">
        <f t="shared" si="18"/>
        <v>Midum Risk</v>
      </c>
      <c r="S311" t="str">
        <f t="shared" si="19"/>
        <v xml:space="preserve">Midum </v>
      </c>
      <c r="T311" s="4">
        <f>Table1[[#This Row],[Deposit_Amount]]+Table1[[#This Row],[Withdrawal_Amount]]</f>
        <v>403126.37</v>
      </c>
      <c r="U311" t="s">
        <v>274</v>
      </c>
    </row>
    <row r="312" spans="1:21" x14ac:dyDescent="0.3">
      <c r="A312">
        <v>311</v>
      </c>
      <c r="B312" t="s">
        <v>63</v>
      </c>
      <c r="C312" t="s">
        <v>22</v>
      </c>
      <c r="D312">
        <v>65</v>
      </c>
      <c r="E312" t="s">
        <v>31</v>
      </c>
      <c r="F312" s="4">
        <v>433881.19</v>
      </c>
      <c r="G312" t="str">
        <f t="shared" si="16"/>
        <v>High Income</v>
      </c>
      <c r="H312">
        <v>114115.65</v>
      </c>
      <c r="I312">
        <v>776</v>
      </c>
      <c r="J312" t="s">
        <v>41</v>
      </c>
      <c r="K312" t="s">
        <v>42</v>
      </c>
      <c r="L312">
        <v>434036.93</v>
      </c>
      <c r="M312">
        <v>155035.43</v>
      </c>
      <c r="N312" t="s">
        <v>28</v>
      </c>
      <c r="O312" s="7">
        <f t="shared" ca="1" si="17"/>
        <v>45791</v>
      </c>
      <c r="P312" s="7">
        <v>45836</v>
      </c>
      <c r="Q312">
        <v>3</v>
      </c>
      <c r="R312" t="str">
        <f t="shared" si="18"/>
        <v>Low Risk</v>
      </c>
      <c r="S312" t="str">
        <f t="shared" si="19"/>
        <v>Good</v>
      </c>
      <c r="T312" s="4">
        <f>Table1[[#This Row],[Deposit_Amount]]+Table1[[#This Row],[Withdrawal_Amount]]</f>
        <v>547996.84</v>
      </c>
      <c r="U312" t="s">
        <v>274</v>
      </c>
    </row>
    <row r="313" spans="1:21" x14ac:dyDescent="0.3">
      <c r="A313">
        <v>312</v>
      </c>
      <c r="B313" t="s">
        <v>73</v>
      </c>
      <c r="C313" t="s">
        <v>16</v>
      </c>
      <c r="D313">
        <v>42</v>
      </c>
      <c r="E313" t="s">
        <v>44</v>
      </c>
      <c r="F313" s="4">
        <v>321141.94</v>
      </c>
      <c r="G313" t="str">
        <f t="shared" si="16"/>
        <v>High Income</v>
      </c>
      <c r="H313">
        <v>271456.42</v>
      </c>
      <c r="I313">
        <v>467</v>
      </c>
      <c r="J313" t="s">
        <v>32</v>
      </c>
      <c r="K313" t="s">
        <v>24</v>
      </c>
      <c r="L313">
        <v>231947.67</v>
      </c>
      <c r="M313">
        <v>188926.34</v>
      </c>
      <c r="N313" t="s">
        <v>25</v>
      </c>
      <c r="O313" s="7">
        <f t="shared" ca="1" si="17"/>
        <v>45685</v>
      </c>
      <c r="P313" s="7">
        <v>45799</v>
      </c>
      <c r="Q313">
        <v>3</v>
      </c>
      <c r="R313" t="str">
        <f t="shared" si="18"/>
        <v>Midum Risk</v>
      </c>
      <c r="S313" t="str">
        <f t="shared" si="19"/>
        <v xml:space="preserve">Midum </v>
      </c>
      <c r="T313" s="4">
        <f>Table1[[#This Row],[Deposit_Amount]]+Table1[[#This Row],[Withdrawal_Amount]]</f>
        <v>592598.36</v>
      </c>
      <c r="U313" t="s">
        <v>274</v>
      </c>
    </row>
    <row r="314" spans="1:21" x14ac:dyDescent="0.3">
      <c r="A314">
        <v>313</v>
      </c>
      <c r="B314" t="s">
        <v>54</v>
      </c>
      <c r="C314" t="s">
        <v>16</v>
      </c>
      <c r="D314">
        <v>51</v>
      </c>
      <c r="E314" t="s">
        <v>17</v>
      </c>
      <c r="F314" s="4">
        <v>483089.3</v>
      </c>
      <c r="G314" t="str">
        <f t="shared" si="16"/>
        <v>High Income</v>
      </c>
      <c r="H314">
        <v>275823.45</v>
      </c>
      <c r="I314">
        <v>885</v>
      </c>
      <c r="J314" t="s">
        <v>18</v>
      </c>
      <c r="K314" t="s">
        <v>42</v>
      </c>
      <c r="L314">
        <v>283777.25</v>
      </c>
      <c r="M314">
        <v>67943.37</v>
      </c>
      <c r="N314" t="s">
        <v>25</v>
      </c>
      <c r="O314" s="7">
        <f t="shared" ca="1" si="17"/>
        <v>45720</v>
      </c>
      <c r="P314" s="7">
        <v>45878</v>
      </c>
      <c r="Q314">
        <v>3</v>
      </c>
      <c r="R314" t="str">
        <f t="shared" si="18"/>
        <v>Low Risk</v>
      </c>
      <c r="S314" t="str">
        <f t="shared" si="19"/>
        <v>Good</v>
      </c>
      <c r="T314" s="4">
        <f>Table1[[#This Row],[Deposit_Amount]]+Table1[[#This Row],[Withdrawal_Amount]]</f>
        <v>758912.75</v>
      </c>
      <c r="U314" t="s">
        <v>274</v>
      </c>
    </row>
    <row r="315" spans="1:21" x14ac:dyDescent="0.3">
      <c r="A315">
        <v>314</v>
      </c>
      <c r="B315" t="s">
        <v>134</v>
      </c>
      <c r="C315" t="s">
        <v>16</v>
      </c>
      <c r="D315">
        <v>62</v>
      </c>
      <c r="E315" t="s">
        <v>17</v>
      </c>
      <c r="F315" s="4">
        <v>103043.36</v>
      </c>
      <c r="G315" t="str">
        <f t="shared" si="16"/>
        <v>Midum Income</v>
      </c>
      <c r="H315">
        <v>146270.54999999999</v>
      </c>
      <c r="I315">
        <v>524</v>
      </c>
      <c r="J315" t="s">
        <v>18</v>
      </c>
      <c r="K315" t="s">
        <v>59</v>
      </c>
      <c r="L315">
        <v>-18519.04</v>
      </c>
      <c r="M315">
        <v>134421.35999999999</v>
      </c>
      <c r="N315" t="s">
        <v>25</v>
      </c>
      <c r="O315" s="7">
        <f t="shared" ca="1" si="17"/>
        <v>45851</v>
      </c>
      <c r="P315" s="7">
        <v>45743</v>
      </c>
      <c r="Q315">
        <v>1</v>
      </c>
      <c r="R315" t="str">
        <f t="shared" si="18"/>
        <v>Midum Risk</v>
      </c>
      <c r="S315" t="str">
        <f t="shared" si="19"/>
        <v xml:space="preserve">Midum </v>
      </c>
      <c r="T315" s="4">
        <f>Table1[[#This Row],[Deposit_Amount]]+Table1[[#This Row],[Withdrawal_Amount]]</f>
        <v>249313.90999999997</v>
      </c>
      <c r="U315" t="s">
        <v>274</v>
      </c>
    </row>
    <row r="316" spans="1:21" x14ac:dyDescent="0.3">
      <c r="A316">
        <v>315</v>
      </c>
      <c r="B316" t="s">
        <v>178</v>
      </c>
      <c r="C316" t="s">
        <v>22</v>
      </c>
      <c r="D316">
        <v>67</v>
      </c>
      <c r="E316" t="s">
        <v>35</v>
      </c>
      <c r="F316" s="4">
        <v>116200.38</v>
      </c>
      <c r="G316" t="str">
        <f t="shared" si="16"/>
        <v>Midum Income</v>
      </c>
      <c r="H316">
        <v>237881.86</v>
      </c>
      <c r="I316">
        <v>386</v>
      </c>
      <c r="J316" t="s">
        <v>41</v>
      </c>
      <c r="K316" t="s">
        <v>59</v>
      </c>
      <c r="L316">
        <v>37255.07</v>
      </c>
      <c r="M316">
        <v>198556.78</v>
      </c>
      <c r="N316" t="s">
        <v>28</v>
      </c>
      <c r="O316" s="7">
        <f t="shared" ca="1" si="17"/>
        <v>45821</v>
      </c>
      <c r="P316" s="7">
        <v>45880</v>
      </c>
      <c r="Q316">
        <v>4</v>
      </c>
      <c r="R316" t="str">
        <f t="shared" si="18"/>
        <v>High Risk</v>
      </c>
      <c r="S316" t="str">
        <f t="shared" si="19"/>
        <v>Poor</v>
      </c>
      <c r="T316" s="4">
        <f>Table1[[#This Row],[Deposit_Amount]]+Table1[[#This Row],[Withdrawal_Amount]]</f>
        <v>354082.24</v>
      </c>
      <c r="U316" t="s">
        <v>274</v>
      </c>
    </row>
    <row r="317" spans="1:21" x14ac:dyDescent="0.3">
      <c r="A317">
        <v>316</v>
      </c>
      <c r="B317" t="s">
        <v>147</v>
      </c>
      <c r="C317" t="s">
        <v>16</v>
      </c>
      <c r="D317">
        <v>29</v>
      </c>
      <c r="E317" t="s">
        <v>40</v>
      </c>
      <c r="F317" s="4">
        <v>212062.36</v>
      </c>
      <c r="G317" t="str">
        <f t="shared" si="16"/>
        <v>High Income</v>
      </c>
      <c r="H317">
        <v>17627.61</v>
      </c>
      <c r="I317">
        <v>384</v>
      </c>
      <c r="J317" t="s">
        <v>27</v>
      </c>
      <c r="K317" t="s">
        <v>59</v>
      </c>
      <c r="L317">
        <v>240010.14</v>
      </c>
      <c r="M317">
        <v>175375.4</v>
      </c>
      <c r="N317" t="s">
        <v>28</v>
      </c>
      <c r="O317" s="7">
        <f t="shared" ca="1" si="17"/>
        <v>45758</v>
      </c>
      <c r="P317" s="7">
        <v>45981</v>
      </c>
      <c r="Q317">
        <v>2</v>
      </c>
      <c r="R317" t="str">
        <f t="shared" si="18"/>
        <v>High Risk</v>
      </c>
      <c r="S317" t="str">
        <f t="shared" si="19"/>
        <v>Poor</v>
      </c>
      <c r="T317" s="4">
        <f>Table1[[#This Row],[Deposit_Amount]]+Table1[[#This Row],[Withdrawal_Amount]]</f>
        <v>229689.96999999997</v>
      </c>
      <c r="U317" t="s">
        <v>274</v>
      </c>
    </row>
    <row r="318" spans="1:21" x14ac:dyDescent="0.3">
      <c r="A318">
        <v>317</v>
      </c>
      <c r="B318" t="s">
        <v>34</v>
      </c>
      <c r="C318" t="s">
        <v>16</v>
      </c>
      <c r="D318">
        <v>66</v>
      </c>
      <c r="E318" t="s">
        <v>31</v>
      </c>
      <c r="F318" s="4">
        <v>45616.83</v>
      </c>
      <c r="G318" t="str">
        <f t="shared" si="16"/>
        <v>Low Income</v>
      </c>
      <c r="H318">
        <v>54655.31</v>
      </c>
      <c r="I318">
        <v>432</v>
      </c>
      <c r="J318" t="s">
        <v>41</v>
      </c>
      <c r="K318" t="s">
        <v>24</v>
      </c>
      <c r="L318">
        <v>28453.46</v>
      </c>
      <c r="M318">
        <v>92717.75</v>
      </c>
      <c r="N318" t="s">
        <v>28</v>
      </c>
      <c r="O318" s="7">
        <f t="shared" ca="1" si="17"/>
        <v>45940</v>
      </c>
      <c r="P318" s="7">
        <v>45797</v>
      </c>
      <c r="Q318">
        <v>4</v>
      </c>
      <c r="R318" t="str">
        <f t="shared" si="18"/>
        <v>Midum Risk</v>
      </c>
      <c r="S318" t="str">
        <f t="shared" si="19"/>
        <v xml:space="preserve">Midum </v>
      </c>
      <c r="T318" s="4">
        <f>Table1[[#This Row],[Deposit_Amount]]+Table1[[#This Row],[Withdrawal_Amount]]</f>
        <v>100272.14</v>
      </c>
      <c r="U318" t="s">
        <v>274</v>
      </c>
    </row>
    <row r="319" spans="1:21" x14ac:dyDescent="0.3">
      <c r="A319">
        <v>318</v>
      </c>
      <c r="B319" t="s">
        <v>179</v>
      </c>
      <c r="C319" t="s">
        <v>16</v>
      </c>
      <c r="D319">
        <v>50</v>
      </c>
      <c r="E319" t="s">
        <v>44</v>
      </c>
      <c r="F319" s="4">
        <v>117796.29</v>
      </c>
      <c r="G319" t="str">
        <f t="shared" si="16"/>
        <v>Midum Income</v>
      </c>
      <c r="H319">
        <v>273424.46999999997</v>
      </c>
      <c r="I319">
        <v>827</v>
      </c>
      <c r="J319" t="s">
        <v>32</v>
      </c>
      <c r="K319" t="s">
        <v>42</v>
      </c>
      <c r="L319">
        <v>-106419.28</v>
      </c>
      <c r="M319">
        <v>230597.89</v>
      </c>
      <c r="N319" t="s">
        <v>28</v>
      </c>
      <c r="O319" s="7">
        <f t="shared" ca="1" si="17"/>
        <v>46009</v>
      </c>
      <c r="P319" s="7">
        <v>45989</v>
      </c>
      <c r="Q319">
        <v>1</v>
      </c>
      <c r="R319" t="str">
        <f t="shared" si="18"/>
        <v>Low Risk</v>
      </c>
      <c r="S319" t="str">
        <f t="shared" si="19"/>
        <v>Good</v>
      </c>
      <c r="T319" s="4">
        <f>Table1[[#This Row],[Deposit_Amount]]+Table1[[#This Row],[Withdrawal_Amount]]</f>
        <v>391220.75999999995</v>
      </c>
      <c r="U319" t="s">
        <v>274</v>
      </c>
    </row>
    <row r="320" spans="1:21" x14ac:dyDescent="0.3">
      <c r="A320">
        <v>319</v>
      </c>
      <c r="B320" t="s">
        <v>62</v>
      </c>
      <c r="C320" t="s">
        <v>22</v>
      </c>
      <c r="D320">
        <v>54</v>
      </c>
      <c r="E320" t="s">
        <v>31</v>
      </c>
      <c r="F320" s="4">
        <v>386092.98</v>
      </c>
      <c r="G320" t="str">
        <f t="shared" si="16"/>
        <v>High Income</v>
      </c>
      <c r="H320">
        <v>125004.8</v>
      </c>
      <c r="I320">
        <v>310</v>
      </c>
      <c r="J320" t="s">
        <v>38</v>
      </c>
      <c r="K320" t="s">
        <v>36</v>
      </c>
      <c r="L320">
        <v>421758.37</v>
      </c>
      <c r="M320">
        <v>150039.99</v>
      </c>
      <c r="N320" t="s">
        <v>28</v>
      </c>
      <c r="O320" s="7">
        <f t="shared" ca="1" si="17"/>
        <v>45910</v>
      </c>
      <c r="P320" s="7">
        <v>45719</v>
      </c>
      <c r="Q320">
        <v>3</v>
      </c>
      <c r="R320" t="str">
        <f t="shared" si="18"/>
        <v>High Risk</v>
      </c>
      <c r="S320" t="str">
        <f t="shared" si="19"/>
        <v>Poor</v>
      </c>
      <c r="T320" s="4">
        <f>Table1[[#This Row],[Deposit_Amount]]+Table1[[#This Row],[Withdrawal_Amount]]</f>
        <v>511097.77999999997</v>
      </c>
      <c r="U320" t="s">
        <v>274</v>
      </c>
    </row>
    <row r="321" spans="1:21" x14ac:dyDescent="0.3">
      <c r="A321">
        <v>320</v>
      </c>
      <c r="B321" t="s">
        <v>48</v>
      </c>
      <c r="C321" t="s">
        <v>22</v>
      </c>
      <c r="D321">
        <v>57</v>
      </c>
      <c r="E321" t="s">
        <v>35</v>
      </c>
      <c r="F321" s="4">
        <v>437515.21</v>
      </c>
      <c r="G321" t="str">
        <f t="shared" si="16"/>
        <v>High Income</v>
      </c>
      <c r="H321">
        <v>17408.73</v>
      </c>
      <c r="I321">
        <v>505</v>
      </c>
      <c r="J321" t="s">
        <v>38</v>
      </c>
      <c r="K321" t="s">
        <v>42</v>
      </c>
      <c r="L321">
        <v>449193.78</v>
      </c>
      <c r="M321">
        <v>111168.04</v>
      </c>
      <c r="N321" t="s">
        <v>25</v>
      </c>
      <c r="O321" s="7">
        <f t="shared" ca="1" si="17"/>
        <v>45706</v>
      </c>
      <c r="P321" s="7">
        <v>45982</v>
      </c>
      <c r="Q321">
        <v>3</v>
      </c>
      <c r="R321" t="str">
        <f t="shared" si="18"/>
        <v>Midum Risk</v>
      </c>
      <c r="S321" t="str">
        <f t="shared" si="19"/>
        <v xml:space="preserve">Midum </v>
      </c>
      <c r="T321" s="4">
        <f>Table1[[#This Row],[Deposit_Amount]]+Table1[[#This Row],[Withdrawal_Amount]]</f>
        <v>454923.94</v>
      </c>
      <c r="U321" t="s">
        <v>274</v>
      </c>
    </row>
    <row r="322" spans="1:21" x14ac:dyDescent="0.3">
      <c r="A322">
        <v>321</v>
      </c>
      <c r="B322" t="s">
        <v>172</v>
      </c>
      <c r="C322" t="s">
        <v>16</v>
      </c>
      <c r="D322">
        <v>45</v>
      </c>
      <c r="E322" t="s">
        <v>35</v>
      </c>
      <c r="F322" s="4">
        <v>149511.82999999999</v>
      </c>
      <c r="G322" t="str">
        <f t="shared" ref="G322:G385" si="20">IF(F322&lt;=100000,"Low Income",IF(F322&lt;=200000,"Midum Income","High Income"))</f>
        <v>Midum Income</v>
      </c>
      <c r="H322">
        <v>207331.95</v>
      </c>
      <c r="I322">
        <v>765</v>
      </c>
      <c r="J322" t="s">
        <v>27</v>
      </c>
      <c r="K322" t="s">
        <v>42</v>
      </c>
      <c r="L322">
        <v>13715.99</v>
      </c>
      <c r="M322">
        <v>83138.86</v>
      </c>
      <c r="N322" t="s">
        <v>25</v>
      </c>
      <c r="O322" s="7">
        <f t="shared" ref="O322:O385" ca="1" si="21">RANDBETWEEN(DATE(2025,1,1),DATE(2025,12,31))</f>
        <v>45817</v>
      </c>
      <c r="P322" s="7">
        <v>45733</v>
      </c>
      <c r="Q322">
        <v>3</v>
      </c>
      <c r="R322" t="str">
        <f t="shared" ref="R322:R385" si="22">IF(I322&lt;=400,"High Risk",IF(I322&lt;=600,"Midum Risk","Low Risk"))</f>
        <v>Low Risk</v>
      </c>
      <c r="S322" t="str">
        <f t="shared" ref="S322:S385" si="23">IF(I322&lt;=400,"Poor",IF(I322&lt;=600,"Midum ","Good"))</f>
        <v>Good</v>
      </c>
      <c r="T322" s="4">
        <f>Table1[[#This Row],[Deposit_Amount]]+Table1[[#This Row],[Withdrawal_Amount]]</f>
        <v>356843.78</v>
      </c>
      <c r="U322" t="s">
        <v>274</v>
      </c>
    </row>
    <row r="323" spans="1:21" x14ac:dyDescent="0.3">
      <c r="A323">
        <v>322</v>
      </c>
      <c r="B323" t="s">
        <v>166</v>
      </c>
      <c r="C323" t="s">
        <v>22</v>
      </c>
      <c r="D323">
        <v>55</v>
      </c>
      <c r="E323" t="s">
        <v>44</v>
      </c>
      <c r="F323" s="4">
        <v>491918.3</v>
      </c>
      <c r="G323" t="str">
        <f t="shared" si="20"/>
        <v>High Income</v>
      </c>
      <c r="H323">
        <v>41585.660000000003</v>
      </c>
      <c r="I323">
        <v>798</v>
      </c>
      <c r="J323" t="s">
        <v>41</v>
      </c>
      <c r="K323" t="s">
        <v>36</v>
      </c>
      <c r="L323">
        <v>499199.26</v>
      </c>
      <c r="M323">
        <v>65862.5</v>
      </c>
      <c r="N323" t="s">
        <v>25</v>
      </c>
      <c r="O323" s="7">
        <f t="shared" ca="1" si="21"/>
        <v>45987</v>
      </c>
      <c r="P323" s="7">
        <v>45785</v>
      </c>
      <c r="Q323">
        <v>1</v>
      </c>
      <c r="R323" t="str">
        <f t="shared" si="22"/>
        <v>Low Risk</v>
      </c>
      <c r="S323" t="str">
        <f t="shared" si="23"/>
        <v>Good</v>
      </c>
      <c r="T323" s="4">
        <f>Table1[[#This Row],[Deposit_Amount]]+Table1[[#This Row],[Withdrawal_Amount]]</f>
        <v>533503.96</v>
      </c>
      <c r="U323" t="s">
        <v>274</v>
      </c>
    </row>
    <row r="324" spans="1:21" x14ac:dyDescent="0.3">
      <c r="A324">
        <v>323</v>
      </c>
      <c r="B324" t="s">
        <v>125</v>
      </c>
      <c r="C324" t="s">
        <v>16</v>
      </c>
      <c r="D324">
        <v>20</v>
      </c>
      <c r="E324" t="s">
        <v>35</v>
      </c>
      <c r="F324" s="4">
        <v>450142.28</v>
      </c>
      <c r="G324" t="str">
        <f t="shared" si="20"/>
        <v>High Income</v>
      </c>
      <c r="H324">
        <v>25940.99</v>
      </c>
      <c r="I324">
        <v>483</v>
      </c>
      <c r="J324" t="s">
        <v>41</v>
      </c>
      <c r="K324" t="s">
        <v>42</v>
      </c>
      <c r="L324">
        <v>470316.47</v>
      </c>
      <c r="M324">
        <v>32463.73</v>
      </c>
      <c r="N324" t="s">
        <v>20</v>
      </c>
      <c r="O324" s="7">
        <f t="shared" ca="1" si="21"/>
        <v>45754</v>
      </c>
      <c r="P324" s="7">
        <v>45951</v>
      </c>
      <c r="Q324">
        <v>2</v>
      </c>
      <c r="R324" t="str">
        <f t="shared" si="22"/>
        <v>Midum Risk</v>
      </c>
      <c r="S324" t="str">
        <f t="shared" si="23"/>
        <v xml:space="preserve">Midum </v>
      </c>
      <c r="T324" s="4">
        <f>Table1[[#This Row],[Deposit_Amount]]+Table1[[#This Row],[Withdrawal_Amount]]</f>
        <v>476083.27</v>
      </c>
      <c r="U324" t="s">
        <v>274</v>
      </c>
    </row>
    <row r="325" spans="1:21" x14ac:dyDescent="0.3">
      <c r="A325">
        <v>324</v>
      </c>
      <c r="B325" t="s">
        <v>85</v>
      </c>
      <c r="C325" t="s">
        <v>16</v>
      </c>
      <c r="D325">
        <v>36</v>
      </c>
      <c r="E325" t="s">
        <v>31</v>
      </c>
      <c r="F325" s="4">
        <v>295264.88</v>
      </c>
      <c r="G325" t="str">
        <f t="shared" si="20"/>
        <v>High Income</v>
      </c>
      <c r="H325">
        <v>191811.71</v>
      </c>
      <c r="I325">
        <v>542</v>
      </c>
      <c r="J325" t="s">
        <v>32</v>
      </c>
      <c r="K325" t="s">
        <v>36</v>
      </c>
      <c r="L325">
        <v>303283.46000000002</v>
      </c>
      <c r="M325">
        <v>214073.49</v>
      </c>
      <c r="N325" t="s">
        <v>20</v>
      </c>
      <c r="O325" s="7">
        <f t="shared" ca="1" si="21"/>
        <v>45714</v>
      </c>
      <c r="P325" s="7">
        <v>45665</v>
      </c>
      <c r="Q325">
        <v>2</v>
      </c>
      <c r="R325" t="str">
        <f t="shared" si="22"/>
        <v>Midum Risk</v>
      </c>
      <c r="S325" t="str">
        <f t="shared" si="23"/>
        <v xml:space="preserve">Midum </v>
      </c>
      <c r="T325" s="4">
        <f>Table1[[#This Row],[Deposit_Amount]]+Table1[[#This Row],[Withdrawal_Amount]]</f>
        <v>487076.58999999997</v>
      </c>
      <c r="U325" t="s">
        <v>274</v>
      </c>
    </row>
    <row r="326" spans="1:21" x14ac:dyDescent="0.3">
      <c r="A326">
        <v>325</v>
      </c>
      <c r="B326" t="s">
        <v>91</v>
      </c>
      <c r="C326" t="s">
        <v>16</v>
      </c>
      <c r="D326">
        <v>51</v>
      </c>
      <c r="E326" t="s">
        <v>17</v>
      </c>
      <c r="F326" s="4">
        <v>420879.02</v>
      </c>
      <c r="G326" t="str">
        <f t="shared" si="20"/>
        <v>High Income</v>
      </c>
      <c r="H326">
        <v>187407.28</v>
      </c>
      <c r="I326">
        <v>803</v>
      </c>
      <c r="J326" t="s">
        <v>41</v>
      </c>
      <c r="K326" t="s">
        <v>59</v>
      </c>
      <c r="L326">
        <v>339237.97</v>
      </c>
      <c r="M326">
        <v>32817.71</v>
      </c>
      <c r="N326" t="s">
        <v>25</v>
      </c>
      <c r="O326" s="7">
        <f t="shared" ca="1" si="21"/>
        <v>45874</v>
      </c>
      <c r="P326" s="7">
        <v>45827</v>
      </c>
      <c r="Q326">
        <v>3</v>
      </c>
      <c r="R326" t="str">
        <f t="shared" si="22"/>
        <v>Low Risk</v>
      </c>
      <c r="S326" t="str">
        <f t="shared" si="23"/>
        <v>Good</v>
      </c>
      <c r="T326" s="4">
        <f>Table1[[#This Row],[Deposit_Amount]]+Table1[[#This Row],[Withdrawal_Amount]]</f>
        <v>608286.30000000005</v>
      </c>
      <c r="U326" t="s">
        <v>274</v>
      </c>
    </row>
    <row r="327" spans="1:21" x14ac:dyDescent="0.3">
      <c r="A327">
        <v>326</v>
      </c>
      <c r="B327" t="s">
        <v>63</v>
      </c>
      <c r="C327" t="s">
        <v>22</v>
      </c>
      <c r="D327">
        <v>35</v>
      </c>
      <c r="E327" t="s">
        <v>23</v>
      </c>
      <c r="F327" s="4">
        <v>340322.18</v>
      </c>
      <c r="G327" t="str">
        <f t="shared" si="20"/>
        <v>High Income</v>
      </c>
      <c r="H327">
        <v>252194.33</v>
      </c>
      <c r="I327">
        <v>793</v>
      </c>
      <c r="J327" t="s">
        <v>27</v>
      </c>
      <c r="K327" t="s">
        <v>36</v>
      </c>
      <c r="L327">
        <v>105588.62</v>
      </c>
      <c r="M327">
        <v>245131.75</v>
      </c>
      <c r="N327" t="s">
        <v>25</v>
      </c>
      <c r="O327" s="7">
        <f t="shared" ca="1" si="21"/>
        <v>45955</v>
      </c>
      <c r="P327" s="7">
        <v>45702</v>
      </c>
      <c r="Q327">
        <v>3</v>
      </c>
      <c r="R327" t="str">
        <f t="shared" si="22"/>
        <v>Low Risk</v>
      </c>
      <c r="S327" t="str">
        <f t="shared" si="23"/>
        <v>Good</v>
      </c>
      <c r="T327" s="4">
        <f>Table1[[#This Row],[Deposit_Amount]]+Table1[[#This Row],[Withdrawal_Amount]]</f>
        <v>592516.51</v>
      </c>
      <c r="U327" t="s">
        <v>274</v>
      </c>
    </row>
    <row r="328" spans="1:21" x14ac:dyDescent="0.3">
      <c r="A328">
        <v>327</v>
      </c>
      <c r="B328" t="s">
        <v>56</v>
      </c>
      <c r="C328" t="s">
        <v>16</v>
      </c>
      <c r="D328">
        <v>38</v>
      </c>
      <c r="E328" t="s">
        <v>31</v>
      </c>
      <c r="F328" s="4">
        <v>212369.69</v>
      </c>
      <c r="G328" t="str">
        <f t="shared" si="20"/>
        <v>High Income</v>
      </c>
      <c r="H328">
        <v>32583.56</v>
      </c>
      <c r="I328">
        <v>526</v>
      </c>
      <c r="J328" t="s">
        <v>27</v>
      </c>
      <c r="K328" t="s">
        <v>19</v>
      </c>
      <c r="L328">
        <v>300737.77</v>
      </c>
      <c r="M328">
        <v>76896.97</v>
      </c>
      <c r="N328" t="s">
        <v>28</v>
      </c>
      <c r="O328" s="7">
        <f t="shared" ca="1" si="21"/>
        <v>46004</v>
      </c>
      <c r="P328" s="7">
        <v>45772</v>
      </c>
      <c r="Q328">
        <v>5</v>
      </c>
      <c r="R328" t="str">
        <f t="shared" si="22"/>
        <v>Midum Risk</v>
      </c>
      <c r="S328" t="str">
        <f t="shared" si="23"/>
        <v xml:space="preserve">Midum </v>
      </c>
      <c r="T328" s="4">
        <f>Table1[[#This Row],[Deposit_Amount]]+Table1[[#This Row],[Withdrawal_Amount]]</f>
        <v>244953.25</v>
      </c>
      <c r="U328" t="s">
        <v>274</v>
      </c>
    </row>
    <row r="329" spans="1:21" x14ac:dyDescent="0.3">
      <c r="A329">
        <v>328</v>
      </c>
      <c r="B329" t="s">
        <v>164</v>
      </c>
      <c r="C329" t="s">
        <v>16</v>
      </c>
      <c r="D329">
        <v>55</v>
      </c>
      <c r="E329" t="s">
        <v>40</v>
      </c>
      <c r="F329" s="4">
        <v>154495.25</v>
      </c>
      <c r="G329" t="str">
        <f t="shared" si="20"/>
        <v>Midum Income</v>
      </c>
      <c r="H329">
        <v>225348.1</v>
      </c>
      <c r="I329">
        <v>721</v>
      </c>
      <c r="J329" t="s">
        <v>32</v>
      </c>
      <c r="K329" t="s">
        <v>19</v>
      </c>
      <c r="L329">
        <v>22592.6</v>
      </c>
      <c r="M329">
        <v>102389.05</v>
      </c>
      <c r="N329" t="s">
        <v>25</v>
      </c>
      <c r="O329" s="7">
        <f t="shared" ca="1" si="21"/>
        <v>45923</v>
      </c>
      <c r="P329" s="7">
        <v>45804</v>
      </c>
      <c r="Q329">
        <v>1</v>
      </c>
      <c r="R329" t="str">
        <f t="shared" si="22"/>
        <v>Low Risk</v>
      </c>
      <c r="S329" t="str">
        <f t="shared" si="23"/>
        <v>Good</v>
      </c>
      <c r="T329" s="4">
        <f>Table1[[#This Row],[Deposit_Amount]]+Table1[[#This Row],[Withdrawal_Amount]]</f>
        <v>379843.35</v>
      </c>
      <c r="U329" t="s">
        <v>274</v>
      </c>
    </row>
    <row r="330" spans="1:21" x14ac:dyDescent="0.3">
      <c r="A330">
        <v>329</v>
      </c>
      <c r="B330" t="s">
        <v>48</v>
      </c>
      <c r="C330" t="s">
        <v>22</v>
      </c>
      <c r="D330">
        <v>21</v>
      </c>
      <c r="E330" t="s">
        <v>23</v>
      </c>
      <c r="F330" s="4">
        <v>337415.57</v>
      </c>
      <c r="G330" t="str">
        <f t="shared" si="20"/>
        <v>High Income</v>
      </c>
      <c r="H330">
        <v>216928.99</v>
      </c>
      <c r="I330">
        <v>339</v>
      </c>
      <c r="J330" t="s">
        <v>32</v>
      </c>
      <c r="K330" t="s">
        <v>59</v>
      </c>
      <c r="L330">
        <v>198357.56</v>
      </c>
      <c r="M330">
        <v>73297.210000000006</v>
      </c>
      <c r="N330" t="s">
        <v>20</v>
      </c>
      <c r="O330" s="7">
        <f t="shared" ca="1" si="21"/>
        <v>45890</v>
      </c>
      <c r="P330" s="7">
        <v>45867</v>
      </c>
      <c r="Q330">
        <v>5</v>
      </c>
      <c r="R330" t="str">
        <f t="shared" si="22"/>
        <v>High Risk</v>
      </c>
      <c r="S330" t="str">
        <f t="shared" si="23"/>
        <v>Poor</v>
      </c>
      <c r="T330" s="4">
        <f>Table1[[#This Row],[Deposit_Amount]]+Table1[[#This Row],[Withdrawal_Amount]]</f>
        <v>554344.56000000006</v>
      </c>
      <c r="U330" t="s">
        <v>274</v>
      </c>
    </row>
    <row r="331" spans="1:21" x14ac:dyDescent="0.3">
      <c r="A331">
        <v>330</v>
      </c>
      <c r="B331" t="s">
        <v>160</v>
      </c>
      <c r="C331" t="s">
        <v>22</v>
      </c>
      <c r="D331">
        <v>44</v>
      </c>
      <c r="E331" t="s">
        <v>40</v>
      </c>
      <c r="F331" s="4">
        <v>384190.15</v>
      </c>
      <c r="G331" t="str">
        <f t="shared" si="20"/>
        <v>High Income</v>
      </c>
      <c r="H331">
        <v>223127.4</v>
      </c>
      <c r="I331">
        <v>841</v>
      </c>
      <c r="J331" t="s">
        <v>41</v>
      </c>
      <c r="K331" t="s">
        <v>36</v>
      </c>
      <c r="L331">
        <v>257104.31</v>
      </c>
      <c r="M331">
        <v>50208.7</v>
      </c>
      <c r="N331" t="s">
        <v>25</v>
      </c>
      <c r="O331" s="7">
        <f t="shared" ca="1" si="21"/>
        <v>45724</v>
      </c>
      <c r="P331" s="7">
        <v>46015</v>
      </c>
      <c r="Q331">
        <v>5</v>
      </c>
      <c r="R331" t="str">
        <f t="shared" si="22"/>
        <v>Low Risk</v>
      </c>
      <c r="S331" t="str">
        <f t="shared" si="23"/>
        <v>Good</v>
      </c>
      <c r="T331" s="4">
        <f>Table1[[#This Row],[Deposit_Amount]]+Table1[[#This Row],[Withdrawal_Amount]]</f>
        <v>607317.55000000005</v>
      </c>
      <c r="U331" t="s">
        <v>274</v>
      </c>
    </row>
    <row r="332" spans="1:21" x14ac:dyDescent="0.3">
      <c r="A332">
        <v>331</v>
      </c>
      <c r="B332" t="s">
        <v>114</v>
      </c>
      <c r="C332" t="s">
        <v>16</v>
      </c>
      <c r="D332">
        <v>62</v>
      </c>
      <c r="E332" t="s">
        <v>17</v>
      </c>
      <c r="F332" s="4">
        <v>272968.48</v>
      </c>
      <c r="G332" t="str">
        <f t="shared" si="20"/>
        <v>High Income</v>
      </c>
      <c r="H332">
        <v>127380.97</v>
      </c>
      <c r="I332">
        <v>806</v>
      </c>
      <c r="J332" t="s">
        <v>32</v>
      </c>
      <c r="K332" t="s">
        <v>36</v>
      </c>
      <c r="L332">
        <v>250485.55</v>
      </c>
      <c r="M332">
        <v>197252.4</v>
      </c>
      <c r="N332" t="s">
        <v>20</v>
      </c>
      <c r="O332" s="7">
        <f t="shared" ca="1" si="21"/>
        <v>45708</v>
      </c>
      <c r="P332" s="7">
        <v>45758</v>
      </c>
      <c r="Q332">
        <v>4</v>
      </c>
      <c r="R332" t="str">
        <f t="shared" si="22"/>
        <v>Low Risk</v>
      </c>
      <c r="S332" t="str">
        <f t="shared" si="23"/>
        <v>Good</v>
      </c>
      <c r="T332" s="4">
        <f>Table1[[#This Row],[Deposit_Amount]]+Table1[[#This Row],[Withdrawal_Amount]]</f>
        <v>400349.44999999995</v>
      </c>
      <c r="U332" t="s">
        <v>274</v>
      </c>
    </row>
    <row r="333" spans="1:21" x14ac:dyDescent="0.3">
      <c r="A333">
        <v>332</v>
      </c>
      <c r="B333" t="s">
        <v>151</v>
      </c>
      <c r="C333" t="s">
        <v>22</v>
      </c>
      <c r="D333">
        <v>23</v>
      </c>
      <c r="E333" t="s">
        <v>17</v>
      </c>
      <c r="F333" s="4">
        <v>64222.81</v>
      </c>
      <c r="G333" t="str">
        <f t="shared" si="20"/>
        <v>Low Income</v>
      </c>
      <c r="H333">
        <v>131366.01</v>
      </c>
      <c r="I333">
        <v>432</v>
      </c>
      <c r="J333" t="s">
        <v>27</v>
      </c>
      <c r="K333" t="s">
        <v>42</v>
      </c>
      <c r="L333">
        <v>-20385.98</v>
      </c>
      <c r="M333">
        <v>235910.84</v>
      </c>
      <c r="N333" t="s">
        <v>20</v>
      </c>
      <c r="O333" s="7">
        <f t="shared" ca="1" si="21"/>
        <v>45870</v>
      </c>
      <c r="P333" s="7">
        <v>45949</v>
      </c>
      <c r="Q333">
        <v>3</v>
      </c>
      <c r="R333" t="str">
        <f t="shared" si="22"/>
        <v>Midum Risk</v>
      </c>
      <c r="S333" t="str">
        <f t="shared" si="23"/>
        <v xml:space="preserve">Midum </v>
      </c>
      <c r="T333" s="4">
        <f>Table1[[#This Row],[Deposit_Amount]]+Table1[[#This Row],[Withdrawal_Amount]]</f>
        <v>195588.82</v>
      </c>
      <c r="U333" t="s">
        <v>274</v>
      </c>
    </row>
    <row r="334" spans="1:21" x14ac:dyDescent="0.3">
      <c r="A334">
        <v>333</v>
      </c>
      <c r="B334" t="s">
        <v>48</v>
      </c>
      <c r="C334" t="s">
        <v>22</v>
      </c>
      <c r="D334">
        <v>47</v>
      </c>
      <c r="E334" t="s">
        <v>17</v>
      </c>
      <c r="F334" s="4">
        <v>218311.5</v>
      </c>
      <c r="G334" t="str">
        <f t="shared" si="20"/>
        <v>High Income</v>
      </c>
      <c r="H334">
        <v>73110.66</v>
      </c>
      <c r="I334">
        <v>478</v>
      </c>
      <c r="J334" t="s">
        <v>32</v>
      </c>
      <c r="K334" t="s">
        <v>59</v>
      </c>
      <c r="L334">
        <v>230674.91</v>
      </c>
      <c r="M334">
        <v>104780.68</v>
      </c>
      <c r="N334" t="s">
        <v>28</v>
      </c>
      <c r="O334" s="7">
        <f t="shared" ca="1" si="21"/>
        <v>45856</v>
      </c>
      <c r="P334" s="7">
        <v>45977</v>
      </c>
      <c r="Q334">
        <v>4</v>
      </c>
      <c r="R334" t="str">
        <f t="shared" si="22"/>
        <v>Midum Risk</v>
      </c>
      <c r="S334" t="str">
        <f t="shared" si="23"/>
        <v xml:space="preserve">Midum </v>
      </c>
      <c r="T334" s="4">
        <f>Table1[[#This Row],[Deposit_Amount]]+Table1[[#This Row],[Withdrawal_Amount]]</f>
        <v>291422.16000000003</v>
      </c>
      <c r="U334" t="s">
        <v>274</v>
      </c>
    </row>
    <row r="335" spans="1:21" x14ac:dyDescent="0.3">
      <c r="A335">
        <v>334</v>
      </c>
      <c r="B335" t="s">
        <v>182</v>
      </c>
      <c r="C335" t="s">
        <v>16</v>
      </c>
      <c r="D335">
        <v>19</v>
      </c>
      <c r="E335" t="s">
        <v>17</v>
      </c>
      <c r="F335" s="4">
        <v>197446.73</v>
      </c>
      <c r="G335" t="str">
        <f t="shared" si="20"/>
        <v>Midum Income</v>
      </c>
      <c r="H335">
        <v>19124.03</v>
      </c>
      <c r="I335">
        <v>386</v>
      </c>
      <c r="J335" t="s">
        <v>32</v>
      </c>
      <c r="K335" t="s">
        <v>36</v>
      </c>
      <c r="L335">
        <v>282920.3</v>
      </c>
      <c r="M335">
        <v>245483.63</v>
      </c>
      <c r="N335" t="s">
        <v>25</v>
      </c>
      <c r="O335" s="7">
        <f t="shared" ca="1" si="21"/>
        <v>45899</v>
      </c>
      <c r="P335" s="7">
        <v>45736</v>
      </c>
      <c r="Q335">
        <v>4</v>
      </c>
      <c r="R335" t="str">
        <f t="shared" si="22"/>
        <v>High Risk</v>
      </c>
      <c r="S335" t="str">
        <f t="shared" si="23"/>
        <v>Poor</v>
      </c>
      <c r="T335" s="4">
        <f>Table1[[#This Row],[Deposit_Amount]]+Table1[[#This Row],[Withdrawal_Amount]]</f>
        <v>216570.76</v>
      </c>
      <c r="U335" t="s">
        <v>274</v>
      </c>
    </row>
    <row r="336" spans="1:21" x14ac:dyDescent="0.3">
      <c r="A336">
        <v>335</v>
      </c>
      <c r="B336" t="s">
        <v>174</v>
      </c>
      <c r="C336" t="s">
        <v>16</v>
      </c>
      <c r="D336">
        <v>40</v>
      </c>
      <c r="E336" t="s">
        <v>44</v>
      </c>
      <c r="F336" s="4">
        <v>405947.59</v>
      </c>
      <c r="G336" t="str">
        <f t="shared" si="20"/>
        <v>High Income</v>
      </c>
      <c r="H336">
        <v>284332.03000000003</v>
      </c>
      <c r="I336">
        <v>767</v>
      </c>
      <c r="J336" t="s">
        <v>27</v>
      </c>
      <c r="K336" t="s">
        <v>24</v>
      </c>
      <c r="L336">
        <v>315363.26</v>
      </c>
      <c r="M336">
        <v>46329.99</v>
      </c>
      <c r="N336" t="s">
        <v>20</v>
      </c>
      <c r="O336" s="7">
        <f t="shared" ca="1" si="21"/>
        <v>45732</v>
      </c>
      <c r="P336" s="7">
        <v>45915</v>
      </c>
      <c r="Q336">
        <v>4</v>
      </c>
      <c r="R336" t="str">
        <f t="shared" si="22"/>
        <v>Low Risk</v>
      </c>
      <c r="S336" t="str">
        <f t="shared" si="23"/>
        <v>Good</v>
      </c>
      <c r="T336" s="4">
        <f>Table1[[#This Row],[Deposit_Amount]]+Table1[[#This Row],[Withdrawal_Amount]]</f>
        <v>690279.62000000011</v>
      </c>
      <c r="U336" t="s">
        <v>274</v>
      </c>
    </row>
    <row r="337" spans="1:21" x14ac:dyDescent="0.3">
      <c r="A337">
        <v>336</v>
      </c>
      <c r="B337" t="s">
        <v>189</v>
      </c>
      <c r="C337" t="s">
        <v>22</v>
      </c>
      <c r="D337">
        <v>63</v>
      </c>
      <c r="E337" t="s">
        <v>17</v>
      </c>
      <c r="F337" s="4">
        <v>321009</v>
      </c>
      <c r="G337" t="str">
        <f t="shared" si="20"/>
        <v>High Income</v>
      </c>
      <c r="H337">
        <v>44832.9</v>
      </c>
      <c r="I337">
        <v>325</v>
      </c>
      <c r="J337" t="s">
        <v>41</v>
      </c>
      <c r="K337" t="s">
        <v>59</v>
      </c>
      <c r="L337">
        <v>287937.43</v>
      </c>
      <c r="M337">
        <v>27365.67</v>
      </c>
      <c r="N337" t="s">
        <v>28</v>
      </c>
      <c r="O337" s="7">
        <f t="shared" ca="1" si="21"/>
        <v>45839</v>
      </c>
      <c r="P337" s="7">
        <v>45856</v>
      </c>
      <c r="Q337">
        <v>1</v>
      </c>
      <c r="R337" t="str">
        <f t="shared" si="22"/>
        <v>High Risk</v>
      </c>
      <c r="S337" t="str">
        <f t="shared" si="23"/>
        <v>Poor</v>
      </c>
      <c r="T337" s="4">
        <f>Table1[[#This Row],[Deposit_Amount]]+Table1[[#This Row],[Withdrawal_Amount]]</f>
        <v>365841.9</v>
      </c>
      <c r="U337" t="s">
        <v>274</v>
      </c>
    </row>
    <row r="338" spans="1:21" x14ac:dyDescent="0.3">
      <c r="A338">
        <v>337</v>
      </c>
      <c r="B338" t="s">
        <v>123</v>
      </c>
      <c r="C338" t="s">
        <v>22</v>
      </c>
      <c r="D338">
        <v>62</v>
      </c>
      <c r="E338" t="s">
        <v>23</v>
      </c>
      <c r="F338" s="4">
        <v>497274.19</v>
      </c>
      <c r="G338" t="str">
        <f t="shared" si="20"/>
        <v>High Income</v>
      </c>
      <c r="H338">
        <v>251484.74</v>
      </c>
      <c r="I338">
        <v>839</v>
      </c>
      <c r="J338" t="s">
        <v>27</v>
      </c>
      <c r="K338" t="s">
        <v>59</v>
      </c>
      <c r="L338">
        <v>302069.59000000003</v>
      </c>
      <c r="M338">
        <v>124903.84</v>
      </c>
      <c r="N338" t="s">
        <v>20</v>
      </c>
      <c r="O338" s="7">
        <f t="shared" ca="1" si="21"/>
        <v>45853</v>
      </c>
      <c r="P338" s="7">
        <v>45781</v>
      </c>
      <c r="Q338">
        <v>2</v>
      </c>
      <c r="R338" t="str">
        <f t="shared" si="22"/>
        <v>Low Risk</v>
      </c>
      <c r="S338" t="str">
        <f t="shared" si="23"/>
        <v>Good</v>
      </c>
      <c r="T338" s="4">
        <f>Table1[[#This Row],[Deposit_Amount]]+Table1[[#This Row],[Withdrawal_Amount]]</f>
        <v>748758.92999999993</v>
      </c>
      <c r="U338" t="s">
        <v>274</v>
      </c>
    </row>
    <row r="339" spans="1:21" x14ac:dyDescent="0.3">
      <c r="A339">
        <v>338</v>
      </c>
      <c r="B339" t="s">
        <v>190</v>
      </c>
      <c r="C339" t="s">
        <v>22</v>
      </c>
      <c r="D339">
        <v>54</v>
      </c>
      <c r="E339" t="s">
        <v>17</v>
      </c>
      <c r="F339" s="4">
        <v>386146.16</v>
      </c>
      <c r="G339" t="str">
        <f t="shared" si="20"/>
        <v>High Income</v>
      </c>
      <c r="H339">
        <v>291226.95</v>
      </c>
      <c r="I339">
        <v>788</v>
      </c>
      <c r="J339" t="s">
        <v>32</v>
      </c>
      <c r="K339" t="s">
        <v>59</v>
      </c>
      <c r="L339">
        <v>199916.26</v>
      </c>
      <c r="M339">
        <v>136607.82</v>
      </c>
      <c r="N339" t="s">
        <v>25</v>
      </c>
      <c r="O339" s="7">
        <f t="shared" ca="1" si="21"/>
        <v>45727</v>
      </c>
      <c r="P339" s="7">
        <v>45874</v>
      </c>
      <c r="Q339">
        <v>1</v>
      </c>
      <c r="R339" t="str">
        <f t="shared" si="22"/>
        <v>Low Risk</v>
      </c>
      <c r="S339" t="str">
        <f t="shared" si="23"/>
        <v>Good</v>
      </c>
      <c r="T339" s="4">
        <f>Table1[[#This Row],[Deposit_Amount]]+Table1[[#This Row],[Withdrawal_Amount]]</f>
        <v>677373.11</v>
      </c>
      <c r="U339" t="s">
        <v>274</v>
      </c>
    </row>
    <row r="340" spans="1:21" x14ac:dyDescent="0.3">
      <c r="A340">
        <v>339</v>
      </c>
      <c r="B340" t="s">
        <v>21</v>
      </c>
      <c r="C340" t="s">
        <v>22</v>
      </c>
      <c r="D340">
        <v>30</v>
      </c>
      <c r="E340" t="s">
        <v>23</v>
      </c>
      <c r="F340" s="4">
        <v>54671.02</v>
      </c>
      <c r="G340" t="str">
        <f t="shared" si="20"/>
        <v>Low Income</v>
      </c>
      <c r="H340">
        <v>127142</v>
      </c>
      <c r="I340">
        <v>794</v>
      </c>
      <c r="J340" t="s">
        <v>38</v>
      </c>
      <c r="K340" t="s">
        <v>42</v>
      </c>
      <c r="L340">
        <v>57618.81</v>
      </c>
      <c r="M340">
        <v>224183.09</v>
      </c>
      <c r="N340" t="s">
        <v>20</v>
      </c>
      <c r="O340" s="7">
        <f t="shared" ca="1" si="21"/>
        <v>45700</v>
      </c>
      <c r="P340" s="7">
        <v>46019</v>
      </c>
      <c r="Q340">
        <v>1</v>
      </c>
      <c r="R340" t="str">
        <f t="shared" si="22"/>
        <v>Low Risk</v>
      </c>
      <c r="S340" t="str">
        <f t="shared" si="23"/>
        <v>Good</v>
      </c>
      <c r="T340" s="4">
        <f>Table1[[#This Row],[Deposit_Amount]]+Table1[[#This Row],[Withdrawal_Amount]]</f>
        <v>181813.02</v>
      </c>
      <c r="U340" t="s">
        <v>274</v>
      </c>
    </row>
    <row r="341" spans="1:21" x14ac:dyDescent="0.3">
      <c r="A341">
        <v>340</v>
      </c>
      <c r="B341" t="s">
        <v>191</v>
      </c>
      <c r="C341" t="s">
        <v>22</v>
      </c>
      <c r="D341">
        <v>31</v>
      </c>
      <c r="E341" t="s">
        <v>44</v>
      </c>
      <c r="F341" s="4">
        <v>30109.05</v>
      </c>
      <c r="G341" t="str">
        <f t="shared" si="20"/>
        <v>Low Income</v>
      </c>
      <c r="H341">
        <v>290891.92</v>
      </c>
      <c r="I341">
        <v>573</v>
      </c>
      <c r="J341" t="s">
        <v>41</v>
      </c>
      <c r="K341" t="s">
        <v>24</v>
      </c>
      <c r="L341">
        <v>-189654.07</v>
      </c>
      <c r="M341">
        <v>86996.44</v>
      </c>
      <c r="N341" t="s">
        <v>25</v>
      </c>
      <c r="O341" s="7">
        <f t="shared" ca="1" si="21"/>
        <v>45739</v>
      </c>
      <c r="P341" s="7">
        <v>45969</v>
      </c>
      <c r="Q341">
        <v>3</v>
      </c>
      <c r="R341" t="str">
        <f t="shared" si="22"/>
        <v>Midum Risk</v>
      </c>
      <c r="S341" t="str">
        <f t="shared" si="23"/>
        <v xml:space="preserve">Midum </v>
      </c>
      <c r="T341" s="4">
        <f>Table1[[#This Row],[Deposit_Amount]]+Table1[[#This Row],[Withdrawal_Amount]]</f>
        <v>321000.96999999997</v>
      </c>
      <c r="U341" t="s">
        <v>274</v>
      </c>
    </row>
    <row r="342" spans="1:21" x14ac:dyDescent="0.3">
      <c r="A342">
        <v>341</v>
      </c>
      <c r="B342" t="s">
        <v>192</v>
      </c>
      <c r="C342" t="s">
        <v>22</v>
      </c>
      <c r="D342">
        <v>42</v>
      </c>
      <c r="E342" t="s">
        <v>23</v>
      </c>
      <c r="F342" s="4">
        <v>228521.56</v>
      </c>
      <c r="G342" t="str">
        <f t="shared" si="20"/>
        <v>High Income</v>
      </c>
      <c r="H342">
        <v>241884.18</v>
      </c>
      <c r="I342">
        <v>771</v>
      </c>
      <c r="J342" t="s">
        <v>41</v>
      </c>
      <c r="K342" t="s">
        <v>19</v>
      </c>
      <c r="L342">
        <v>28452.240000000002</v>
      </c>
      <c r="M342">
        <v>210322.59</v>
      </c>
      <c r="N342" t="s">
        <v>20</v>
      </c>
      <c r="O342" s="7">
        <f t="shared" ca="1" si="21"/>
        <v>45916</v>
      </c>
      <c r="P342" s="7">
        <v>45911</v>
      </c>
      <c r="Q342">
        <v>3</v>
      </c>
      <c r="R342" t="str">
        <f t="shared" si="22"/>
        <v>Low Risk</v>
      </c>
      <c r="S342" t="str">
        <f t="shared" si="23"/>
        <v>Good</v>
      </c>
      <c r="T342" s="4">
        <f>Table1[[#This Row],[Deposit_Amount]]+Table1[[#This Row],[Withdrawal_Amount]]</f>
        <v>470405.74</v>
      </c>
      <c r="U342" t="s">
        <v>274</v>
      </c>
    </row>
    <row r="343" spans="1:21" x14ac:dyDescent="0.3">
      <c r="A343">
        <v>342</v>
      </c>
      <c r="B343" t="s">
        <v>33</v>
      </c>
      <c r="C343" t="s">
        <v>22</v>
      </c>
      <c r="D343">
        <v>41</v>
      </c>
      <c r="E343" t="s">
        <v>23</v>
      </c>
      <c r="F343" s="4">
        <v>141202.38</v>
      </c>
      <c r="G343" t="str">
        <f t="shared" si="20"/>
        <v>Midum Income</v>
      </c>
      <c r="H343">
        <v>241276.37</v>
      </c>
      <c r="I343">
        <v>460</v>
      </c>
      <c r="J343" t="s">
        <v>41</v>
      </c>
      <c r="K343" t="s">
        <v>59</v>
      </c>
      <c r="L343">
        <v>7327</v>
      </c>
      <c r="M343">
        <v>37498.730000000003</v>
      </c>
      <c r="N343" t="s">
        <v>28</v>
      </c>
      <c r="O343" s="7">
        <f t="shared" ca="1" si="21"/>
        <v>45847</v>
      </c>
      <c r="P343" s="7">
        <v>45796</v>
      </c>
      <c r="Q343">
        <v>2</v>
      </c>
      <c r="R343" t="str">
        <f t="shared" si="22"/>
        <v>Midum Risk</v>
      </c>
      <c r="S343" t="str">
        <f t="shared" si="23"/>
        <v xml:space="preserve">Midum </v>
      </c>
      <c r="T343" s="4">
        <f>Table1[[#This Row],[Deposit_Amount]]+Table1[[#This Row],[Withdrawal_Amount]]</f>
        <v>382478.75</v>
      </c>
      <c r="U343" t="s">
        <v>274</v>
      </c>
    </row>
    <row r="344" spans="1:21" x14ac:dyDescent="0.3">
      <c r="A344">
        <v>343</v>
      </c>
      <c r="B344" t="s">
        <v>33</v>
      </c>
      <c r="C344" t="s">
        <v>22</v>
      </c>
      <c r="D344">
        <v>36</v>
      </c>
      <c r="E344" t="s">
        <v>40</v>
      </c>
      <c r="F344" s="4">
        <v>390967.09</v>
      </c>
      <c r="G344" t="str">
        <f t="shared" si="20"/>
        <v>High Income</v>
      </c>
      <c r="H344">
        <v>124325.43</v>
      </c>
      <c r="I344">
        <v>579</v>
      </c>
      <c r="J344" t="s">
        <v>32</v>
      </c>
      <c r="K344" t="s">
        <v>36</v>
      </c>
      <c r="L344">
        <v>280699.15999999997</v>
      </c>
      <c r="M344">
        <v>108065.18</v>
      </c>
      <c r="N344" t="s">
        <v>28</v>
      </c>
      <c r="O344" s="7">
        <f t="shared" ca="1" si="21"/>
        <v>45804</v>
      </c>
      <c r="P344" s="7">
        <v>45834</v>
      </c>
      <c r="Q344">
        <v>2</v>
      </c>
      <c r="R344" t="str">
        <f t="shared" si="22"/>
        <v>Midum Risk</v>
      </c>
      <c r="S344" t="str">
        <f t="shared" si="23"/>
        <v xml:space="preserve">Midum </v>
      </c>
      <c r="T344" s="4">
        <f>Table1[[#This Row],[Deposit_Amount]]+Table1[[#This Row],[Withdrawal_Amount]]</f>
        <v>515292.52</v>
      </c>
      <c r="U344" t="s">
        <v>274</v>
      </c>
    </row>
    <row r="345" spans="1:21" x14ac:dyDescent="0.3">
      <c r="A345">
        <v>344</v>
      </c>
      <c r="B345" t="s">
        <v>66</v>
      </c>
      <c r="C345" t="s">
        <v>16</v>
      </c>
      <c r="D345">
        <v>64</v>
      </c>
      <c r="E345" t="s">
        <v>44</v>
      </c>
      <c r="F345" s="4">
        <v>125636.09</v>
      </c>
      <c r="G345" t="str">
        <f t="shared" si="20"/>
        <v>Midum Income</v>
      </c>
      <c r="H345">
        <v>133239.1</v>
      </c>
      <c r="I345">
        <v>463</v>
      </c>
      <c r="J345" t="s">
        <v>32</v>
      </c>
      <c r="K345" t="s">
        <v>42</v>
      </c>
      <c r="L345">
        <v>7754.41</v>
      </c>
      <c r="M345">
        <v>94788</v>
      </c>
      <c r="N345" t="s">
        <v>28</v>
      </c>
      <c r="O345" s="7">
        <f t="shared" ca="1" si="21"/>
        <v>45721</v>
      </c>
      <c r="P345" s="7">
        <v>45688</v>
      </c>
      <c r="Q345">
        <v>2</v>
      </c>
      <c r="R345" t="str">
        <f t="shared" si="22"/>
        <v>Midum Risk</v>
      </c>
      <c r="S345" t="str">
        <f t="shared" si="23"/>
        <v xml:space="preserve">Midum </v>
      </c>
      <c r="T345" s="4">
        <f>Table1[[#This Row],[Deposit_Amount]]+Table1[[#This Row],[Withdrawal_Amount]]</f>
        <v>258875.19</v>
      </c>
      <c r="U345" t="s">
        <v>274</v>
      </c>
    </row>
    <row r="346" spans="1:21" x14ac:dyDescent="0.3">
      <c r="A346">
        <v>345</v>
      </c>
      <c r="B346" t="s">
        <v>179</v>
      </c>
      <c r="C346" t="s">
        <v>16</v>
      </c>
      <c r="D346">
        <v>35</v>
      </c>
      <c r="E346" t="s">
        <v>31</v>
      </c>
      <c r="F346" s="4">
        <v>483129.03</v>
      </c>
      <c r="G346" t="str">
        <f t="shared" si="20"/>
        <v>High Income</v>
      </c>
      <c r="H346">
        <v>64703.14</v>
      </c>
      <c r="I346">
        <v>875</v>
      </c>
      <c r="J346" t="s">
        <v>41</v>
      </c>
      <c r="K346" t="s">
        <v>59</v>
      </c>
      <c r="L346">
        <v>533674.18000000005</v>
      </c>
      <c r="M346">
        <v>143318.39999999999</v>
      </c>
      <c r="N346" t="s">
        <v>25</v>
      </c>
      <c r="O346" s="7">
        <f t="shared" ca="1" si="21"/>
        <v>45866</v>
      </c>
      <c r="P346" s="7">
        <v>45863</v>
      </c>
      <c r="Q346">
        <v>2</v>
      </c>
      <c r="R346" t="str">
        <f t="shared" si="22"/>
        <v>Low Risk</v>
      </c>
      <c r="S346" t="str">
        <f t="shared" si="23"/>
        <v>Good</v>
      </c>
      <c r="T346" s="4">
        <f>Table1[[#This Row],[Deposit_Amount]]+Table1[[#This Row],[Withdrawal_Amount]]</f>
        <v>547832.17000000004</v>
      </c>
      <c r="U346" t="s">
        <v>274</v>
      </c>
    </row>
    <row r="347" spans="1:21" x14ac:dyDescent="0.3">
      <c r="A347">
        <v>346</v>
      </c>
      <c r="B347" t="s">
        <v>64</v>
      </c>
      <c r="C347" t="s">
        <v>16</v>
      </c>
      <c r="D347">
        <v>49</v>
      </c>
      <c r="E347" t="s">
        <v>44</v>
      </c>
      <c r="F347" s="4">
        <v>357370.07</v>
      </c>
      <c r="G347" t="str">
        <f t="shared" si="20"/>
        <v>High Income</v>
      </c>
      <c r="H347">
        <v>290522.90000000002</v>
      </c>
      <c r="I347">
        <v>591</v>
      </c>
      <c r="J347" t="s">
        <v>38</v>
      </c>
      <c r="K347" t="s">
        <v>36</v>
      </c>
      <c r="L347">
        <v>116505.2</v>
      </c>
      <c r="M347">
        <v>48962.96</v>
      </c>
      <c r="N347" t="s">
        <v>20</v>
      </c>
      <c r="O347" s="7">
        <f t="shared" ca="1" si="21"/>
        <v>45852</v>
      </c>
      <c r="P347" s="7">
        <v>45709</v>
      </c>
      <c r="Q347">
        <v>5</v>
      </c>
      <c r="R347" t="str">
        <f t="shared" si="22"/>
        <v>Midum Risk</v>
      </c>
      <c r="S347" t="str">
        <f t="shared" si="23"/>
        <v xml:space="preserve">Midum </v>
      </c>
      <c r="T347" s="4">
        <f>Table1[[#This Row],[Deposit_Amount]]+Table1[[#This Row],[Withdrawal_Amount]]</f>
        <v>647892.97</v>
      </c>
      <c r="U347" t="s">
        <v>274</v>
      </c>
    </row>
    <row r="348" spans="1:21" x14ac:dyDescent="0.3">
      <c r="A348">
        <v>347</v>
      </c>
      <c r="B348" t="s">
        <v>193</v>
      </c>
      <c r="C348" t="s">
        <v>16</v>
      </c>
      <c r="D348">
        <v>42</v>
      </c>
      <c r="E348" t="s">
        <v>44</v>
      </c>
      <c r="F348" s="4">
        <v>19123.11</v>
      </c>
      <c r="G348" t="str">
        <f t="shared" si="20"/>
        <v>Low Income</v>
      </c>
      <c r="H348">
        <v>106032.92</v>
      </c>
      <c r="I348">
        <v>339</v>
      </c>
      <c r="J348" t="s">
        <v>41</v>
      </c>
      <c r="K348" t="s">
        <v>19</v>
      </c>
      <c r="L348">
        <v>40608.32</v>
      </c>
      <c r="M348">
        <v>206809.5</v>
      </c>
      <c r="N348" t="s">
        <v>25</v>
      </c>
      <c r="O348" s="7">
        <f t="shared" ca="1" si="21"/>
        <v>45756</v>
      </c>
      <c r="P348" s="7">
        <v>45705</v>
      </c>
      <c r="Q348">
        <v>1</v>
      </c>
      <c r="R348" t="str">
        <f t="shared" si="22"/>
        <v>High Risk</v>
      </c>
      <c r="S348" t="str">
        <f t="shared" si="23"/>
        <v>Poor</v>
      </c>
      <c r="T348" s="4">
        <f>Table1[[#This Row],[Deposit_Amount]]+Table1[[#This Row],[Withdrawal_Amount]]</f>
        <v>125156.03</v>
      </c>
      <c r="U348" t="s">
        <v>274</v>
      </c>
    </row>
    <row r="349" spans="1:21" x14ac:dyDescent="0.3">
      <c r="A349">
        <v>348</v>
      </c>
      <c r="B349" t="s">
        <v>118</v>
      </c>
      <c r="C349" t="s">
        <v>22</v>
      </c>
      <c r="D349">
        <v>50</v>
      </c>
      <c r="E349" t="s">
        <v>23</v>
      </c>
      <c r="F349" s="4">
        <v>454733.6</v>
      </c>
      <c r="G349" t="str">
        <f t="shared" si="20"/>
        <v>High Income</v>
      </c>
      <c r="H349">
        <v>299395.27</v>
      </c>
      <c r="I349">
        <v>644</v>
      </c>
      <c r="J349" t="s">
        <v>32</v>
      </c>
      <c r="K349" t="s">
        <v>36</v>
      </c>
      <c r="L349">
        <v>355216.79</v>
      </c>
      <c r="M349">
        <v>99986.1</v>
      </c>
      <c r="N349" t="s">
        <v>28</v>
      </c>
      <c r="O349" s="7">
        <f t="shared" ca="1" si="21"/>
        <v>45892</v>
      </c>
      <c r="P349" s="7">
        <v>45705</v>
      </c>
      <c r="Q349">
        <v>2</v>
      </c>
      <c r="R349" t="str">
        <f t="shared" si="22"/>
        <v>Low Risk</v>
      </c>
      <c r="S349" t="str">
        <f t="shared" si="23"/>
        <v>Good</v>
      </c>
      <c r="T349" s="4">
        <f>Table1[[#This Row],[Deposit_Amount]]+Table1[[#This Row],[Withdrawal_Amount]]</f>
        <v>754128.87</v>
      </c>
      <c r="U349" t="s">
        <v>274</v>
      </c>
    </row>
    <row r="350" spans="1:21" x14ac:dyDescent="0.3">
      <c r="A350">
        <v>349</v>
      </c>
      <c r="B350" t="s">
        <v>57</v>
      </c>
      <c r="C350" t="s">
        <v>22</v>
      </c>
      <c r="D350">
        <v>68</v>
      </c>
      <c r="E350" t="s">
        <v>31</v>
      </c>
      <c r="F350" s="4">
        <v>99512.58</v>
      </c>
      <c r="G350" t="str">
        <f t="shared" si="20"/>
        <v>Low Income</v>
      </c>
      <c r="H350">
        <v>234859.17</v>
      </c>
      <c r="I350">
        <v>499</v>
      </c>
      <c r="J350" t="s">
        <v>18</v>
      </c>
      <c r="K350" t="s">
        <v>42</v>
      </c>
      <c r="L350">
        <v>-54849.11</v>
      </c>
      <c r="M350">
        <v>209999.1</v>
      </c>
      <c r="N350" t="s">
        <v>20</v>
      </c>
      <c r="O350" s="7">
        <f t="shared" ca="1" si="21"/>
        <v>45824</v>
      </c>
      <c r="P350" s="7">
        <v>45958</v>
      </c>
      <c r="Q350">
        <v>2</v>
      </c>
      <c r="R350" t="str">
        <f t="shared" si="22"/>
        <v>Midum Risk</v>
      </c>
      <c r="S350" t="str">
        <f t="shared" si="23"/>
        <v xml:space="preserve">Midum </v>
      </c>
      <c r="T350" s="4">
        <f>Table1[[#This Row],[Deposit_Amount]]+Table1[[#This Row],[Withdrawal_Amount]]</f>
        <v>334371.75</v>
      </c>
      <c r="U350" t="s">
        <v>274</v>
      </c>
    </row>
    <row r="351" spans="1:21" x14ac:dyDescent="0.3">
      <c r="A351">
        <v>350</v>
      </c>
      <c r="B351" t="s">
        <v>180</v>
      </c>
      <c r="C351" t="s">
        <v>16</v>
      </c>
      <c r="D351">
        <v>35</v>
      </c>
      <c r="E351" t="s">
        <v>35</v>
      </c>
      <c r="F351" s="4">
        <v>50834.080000000002</v>
      </c>
      <c r="G351" t="str">
        <f t="shared" si="20"/>
        <v>Low Income</v>
      </c>
      <c r="H351">
        <v>68004.55</v>
      </c>
      <c r="I351">
        <v>660</v>
      </c>
      <c r="J351" t="s">
        <v>38</v>
      </c>
      <c r="K351" t="s">
        <v>36</v>
      </c>
      <c r="L351">
        <v>72462.83</v>
      </c>
      <c r="M351">
        <v>96662.54</v>
      </c>
      <c r="N351" t="s">
        <v>20</v>
      </c>
      <c r="O351" s="7">
        <f t="shared" ca="1" si="21"/>
        <v>45710</v>
      </c>
      <c r="P351" s="7">
        <v>45923</v>
      </c>
      <c r="Q351">
        <v>2</v>
      </c>
      <c r="R351" t="str">
        <f t="shared" si="22"/>
        <v>Low Risk</v>
      </c>
      <c r="S351" t="str">
        <f t="shared" si="23"/>
        <v>Good</v>
      </c>
      <c r="T351" s="4">
        <f>Table1[[#This Row],[Deposit_Amount]]+Table1[[#This Row],[Withdrawal_Amount]]</f>
        <v>118838.63</v>
      </c>
      <c r="U351" t="s">
        <v>274</v>
      </c>
    </row>
    <row r="352" spans="1:21" x14ac:dyDescent="0.3">
      <c r="A352">
        <v>351</v>
      </c>
      <c r="B352" t="s">
        <v>70</v>
      </c>
      <c r="C352" t="s">
        <v>22</v>
      </c>
      <c r="D352">
        <v>62</v>
      </c>
      <c r="E352" t="s">
        <v>23</v>
      </c>
      <c r="F352" s="4">
        <v>426622</v>
      </c>
      <c r="G352" t="str">
        <f t="shared" si="20"/>
        <v>High Income</v>
      </c>
      <c r="H352">
        <v>216950.63</v>
      </c>
      <c r="I352">
        <v>361</v>
      </c>
      <c r="J352" t="s">
        <v>18</v>
      </c>
      <c r="K352" t="s">
        <v>59</v>
      </c>
      <c r="L352">
        <v>280557.86</v>
      </c>
      <c r="M352">
        <v>211130.93</v>
      </c>
      <c r="N352" t="s">
        <v>25</v>
      </c>
      <c r="O352" s="7">
        <f t="shared" ca="1" si="21"/>
        <v>45692</v>
      </c>
      <c r="P352" s="7">
        <v>45710</v>
      </c>
      <c r="Q352">
        <v>2</v>
      </c>
      <c r="R352" t="str">
        <f t="shared" si="22"/>
        <v>High Risk</v>
      </c>
      <c r="S352" t="str">
        <f t="shared" si="23"/>
        <v>Poor</v>
      </c>
      <c r="T352" s="4">
        <f>Table1[[#This Row],[Deposit_Amount]]+Table1[[#This Row],[Withdrawal_Amount]]</f>
        <v>643572.63</v>
      </c>
      <c r="U352" t="s">
        <v>274</v>
      </c>
    </row>
    <row r="353" spans="1:21" x14ac:dyDescent="0.3">
      <c r="A353">
        <v>352</v>
      </c>
      <c r="B353" t="s">
        <v>90</v>
      </c>
      <c r="C353" t="s">
        <v>16</v>
      </c>
      <c r="D353">
        <v>19</v>
      </c>
      <c r="E353" t="s">
        <v>17</v>
      </c>
      <c r="F353" s="4">
        <v>116191.07</v>
      </c>
      <c r="G353" t="str">
        <f t="shared" si="20"/>
        <v>Midum Income</v>
      </c>
      <c r="H353">
        <v>38427.75</v>
      </c>
      <c r="I353">
        <v>819</v>
      </c>
      <c r="J353" t="s">
        <v>32</v>
      </c>
      <c r="K353" t="s">
        <v>42</v>
      </c>
      <c r="L353">
        <v>237381.75</v>
      </c>
      <c r="M353">
        <v>193783.85</v>
      </c>
      <c r="N353" t="s">
        <v>28</v>
      </c>
      <c r="O353" s="7">
        <f t="shared" ca="1" si="21"/>
        <v>45722</v>
      </c>
      <c r="P353" s="7">
        <v>45826</v>
      </c>
      <c r="Q353">
        <v>1</v>
      </c>
      <c r="R353" t="str">
        <f t="shared" si="22"/>
        <v>Low Risk</v>
      </c>
      <c r="S353" t="str">
        <f t="shared" si="23"/>
        <v>Good</v>
      </c>
      <c r="T353" s="4">
        <f>Table1[[#This Row],[Deposit_Amount]]+Table1[[#This Row],[Withdrawal_Amount]]</f>
        <v>154618.82</v>
      </c>
      <c r="U353" t="s">
        <v>274</v>
      </c>
    </row>
    <row r="354" spans="1:21" x14ac:dyDescent="0.3">
      <c r="A354">
        <v>353</v>
      </c>
      <c r="B354" t="s">
        <v>194</v>
      </c>
      <c r="C354" t="s">
        <v>22</v>
      </c>
      <c r="D354">
        <v>39</v>
      </c>
      <c r="E354" t="s">
        <v>23</v>
      </c>
      <c r="F354" s="4">
        <v>151759.73000000001</v>
      </c>
      <c r="G354" t="str">
        <f t="shared" si="20"/>
        <v>Midum Income</v>
      </c>
      <c r="H354">
        <v>170255.52</v>
      </c>
      <c r="I354">
        <v>600</v>
      </c>
      <c r="J354" t="s">
        <v>38</v>
      </c>
      <c r="K354" t="s">
        <v>59</v>
      </c>
      <c r="L354">
        <v>117837.11</v>
      </c>
      <c r="M354">
        <v>181174.6</v>
      </c>
      <c r="N354" t="s">
        <v>25</v>
      </c>
      <c r="O354" s="7">
        <f t="shared" ca="1" si="21"/>
        <v>45807</v>
      </c>
      <c r="P354" s="7">
        <v>45986</v>
      </c>
      <c r="Q354">
        <v>4</v>
      </c>
      <c r="R354" t="str">
        <f t="shared" si="22"/>
        <v>Midum Risk</v>
      </c>
      <c r="S354" t="str">
        <f t="shared" si="23"/>
        <v xml:space="preserve">Midum </v>
      </c>
      <c r="T354" s="4">
        <f>Table1[[#This Row],[Deposit_Amount]]+Table1[[#This Row],[Withdrawal_Amount]]</f>
        <v>322015.25</v>
      </c>
      <c r="U354" t="s">
        <v>274</v>
      </c>
    </row>
    <row r="355" spans="1:21" x14ac:dyDescent="0.3">
      <c r="A355">
        <v>354</v>
      </c>
      <c r="B355" t="s">
        <v>122</v>
      </c>
      <c r="C355" t="s">
        <v>16</v>
      </c>
      <c r="D355">
        <v>66</v>
      </c>
      <c r="E355" t="s">
        <v>40</v>
      </c>
      <c r="F355" s="4">
        <v>169185.51</v>
      </c>
      <c r="G355" t="str">
        <f t="shared" si="20"/>
        <v>Midum Income</v>
      </c>
      <c r="H355">
        <v>251907.12</v>
      </c>
      <c r="I355">
        <v>741</v>
      </c>
      <c r="J355" t="s">
        <v>27</v>
      </c>
      <c r="K355" t="s">
        <v>24</v>
      </c>
      <c r="L355">
        <v>19063.560000000001</v>
      </c>
      <c r="M355">
        <v>217896.87</v>
      </c>
      <c r="N355" t="s">
        <v>25</v>
      </c>
      <c r="O355" s="7">
        <f t="shared" ca="1" si="21"/>
        <v>45922</v>
      </c>
      <c r="P355" s="7">
        <v>45906</v>
      </c>
      <c r="Q355">
        <v>3</v>
      </c>
      <c r="R355" t="str">
        <f t="shared" si="22"/>
        <v>Low Risk</v>
      </c>
      <c r="S355" t="str">
        <f t="shared" si="23"/>
        <v>Good</v>
      </c>
      <c r="T355" s="4">
        <f>Table1[[#This Row],[Deposit_Amount]]+Table1[[#This Row],[Withdrawal_Amount]]</f>
        <v>421092.63</v>
      </c>
      <c r="U355" t="s">
        <v>274</v>
      </c>
    </row>
    <row r="356" spans="1:21" x14ac:dyDescent="0.3">
      <c r="A356">
        <v>355</v>
      </c>
      <c r="B356" t="s">
        <v>195</v>
      </c>
      <c r="C356" t="s">
        <v>22</v>
      </c>
      <c r="D356">
        <v>36</v>
      </c>
      <c r="E356" t="s">
        <v>23</v>
      </c>
      <c r="F356" s="4">
        <v>406499.72</v>
      </c>
      <c r="G356" t="str">
        <f t="shared" si="20"/>
        <v>High Income</v>
      </c>
      <c r="H356">
        <v>11391.1</v>
      </c>
      <c r="I356">
        <v>412</v>
      </c>
      <c r="J356" t="s">
        <v>32</v>
      </c>
      <c r="K356" t="s">
        <v>59</v>
      </c>
      <c r="L356">
        <v>568843.29</v>
      </c>
      <c r="M356">
        <v>129318.64</v>
      </c>
      <c r="N356" t="s">
        <v>28</v>
      </c>
      <c r="O356" s="7">
        <f t="shared" ca="1" si="21"/>
        <v>45764</v>
      </c>
      <c r="P356" s="7">
        <v>45765</v>
      </c>
      <c r="Q356">
        <v>5</v>
      </c>
      <c r="R356" t="str">
        <f t="shared" si="22"/>
        <v>Midum Risk</v>
      </c>
      <c r="S356" t="str">
        <f t="shared" si="23"/>
        <v xml:space="preserve">Midum </v>
      </c>
      <c r="T356" s="4">
        <f>Table1[[#This Row],[Deposit_Amount]]+Table1[[#This Row],[Withdrawal_Amount]]</f>
        <v>417890.81999999995</v>
      </c>
      <c r="U356" t="s">
        <v>274</v>
      </c>
    </row>
    <row r="357" spans="1:21" x14ac:dyDescent="0.3">
      <c r="A357">
        <v>356</v>
      </c>
      <c r="B357" t="s">
        <v>171</v>
      </c>
      <c r="C357" t="s">
        <v>22</v>
      </c>
      <c r="D357">
        <v>46</v>
      </c>
      <c r="E357" t="s">
        <v>44</v>
      </c>
      <c r="F357" s="4">
        <v>435963.38</v>
      </c>
      <c r="G357" t="str">
        <f t="shared" si="20"/>
        <v>High Income</v>
      </c>
      <c r="H357">
        <v>196542.58</v>
      </c>
      <c r="I357">
        <v>521</v>
      </c>
      <c r="J357" t="s">
        <v>32</v>
      </c>
      <c r="K357" t="s">
        <v>59</v>
      </c>
      <c r="L357">
        <v>307722.40999999997</v>
      </c>
      <c r="M357">
        <v>124657.3</v>
      </c>
      <c r="N357" t="s">
        <v>20</v>
      </c>
      <c r="O357" s="7">
        <f t="shared" ca="1" si="21"/>
        <v>46013</v>
      </c>
      <c r="P357" s="7">
        <v>45779</v>
      </c>
      <c r="Q357">
        <v>3</v>
      </c>
      <c r="R357" t="str">
        <f t="shared" si="22"/>
        <v>Midum Risk</v>
      </c>
      <c r="S357" t="str">
        <f t="shared" si="23"/>
        <v xml:space="preserve">Midum </v>
      </c>
      <c r="T357" s="4">
        <f>Table1[[#This Row],[Deposit_Amount]]+Table1[[#This Row],[Withdrawal_Amount]]</f>
        <v>632505.96</v>
      </c>
      <c r="U357" t="s">
        <v>274</v>
      </c>
    </row>
    <row r="358" spans="1:21" x14ac:dyDescent="0.3">
      <c r="A358">
        <v>357</v>
      </c>
      <c r="B358" t="s">
        <v>196</v>
      </c>
      <c r="C358" t="s">
        <v>22</v>
      </c>
      <c r="D358">
        <v>51</v>
      </c>
      <c r="E358" t="s">
        <v>31</v>
      </c>
      <c r="F358" s="4">
        <v>116196.11</v>
      </c>
      <c r="G358" t="str">
        <f t="shared" si="20"/>
        <v>Midum Income</v>
      </c>
      <c r="H358">
        <v>203346.17</v>
      </c>
      <c r="I358">
        <v>454</v>
      </c>
      <c r="J358" t="s">
        <v>38</v>
      </c>
      <c r="K358" t="s">
        <v>24</v>
      </c>
      <c r="L358">
        <v>65318.239999999998</v>
      </c>
      <c r="M358">
        <v>193000.24</v>
      </c>
      <c r="N358" t="s">
        <v>25</v>
      </c>
      <c r="O358" s="7">
        <f t="shared" ca="1" si="21"/>
        <v>45907</v>
      </c>
      <c r="P358" s="7">
        <v>45801</v>
      </c>
      <c r="Q358">
        <v>1</v>
      </c>
      <c r="R358" t="str">
        <f t="shared" si="22"/>
        <v>Midum Risk</v>
      </c>
      <c r="S358" t="str">
        <f t="shared" si="23"/>
        <v xml:space="preserve">Midum </v>
      </c>
      <c r="T358" s="4">
        <f>Table1[[#This Row],[Deposit_Amount]]+Table1[[#This Row],[Withdrawal_Amount]]</f>
        <v>319542.28000000003</v>
      </c>
      <c r="U358" t="s">
        <v>274</v>
      </c>
    </row>
    <row r="359" spans="1:21" x14ac:dyDescent="0.3">
      <c r="A359">
        <v>358</v>
      </c>
      <c r="B359" t="s">
        <v>129</v>
      </c>
      <c r="C359" t="s">
        <v>16</v>
      </c>
      <c r="D359">
        <v>34</v>
      </c>
      <c r="E359" t="s">
        <v>35</v>
      </c>
      <c r="F359" s="4">
        <v>402958.93</v>
      </c>
      <c r="G359" t="str">
        <f t="shared" si="20"/>
        <v>High Income</v>
      </c>
      <c r="H359">
        <v>203822.35</v>
      </c>
      <c r="I359">
        <v>546</v>
      </c>
      <c r="J359" t="s">
        <v>27</v>
      </c>
      <c r="K359" t="s">
        <v>36</v>
      </c>
      <c r="L359">
        <v>342984.06</v>
      </c>
      <c r="M359">
        <v>193158.86</v>
      </c>
      <c r="N359" t="s">
        <v>28</v>
      </c>
      <c r="O359" s="7">
        <f t="shared" ca="1" si="21"/>
        <v>45831</v>
      </c>
      <c r="P359" s="7">
        <v>45719</v>
      </c>
      <c r="Q359">
        <v>1</v>
      </c>
      <c r="R359" t="str">
        <f t="shared" si="22"/>
        <v>Midum Risk</v>
      </c>
      <c r="S359" t="str">
        <f t="shared" si="23"/>
        <v xml:space="preserve">Midum </v>
      </c>
      <c r="T359" s="4">
        <f>Table1[[#This Row],[Deposit_Amount]]+Table1[[#This Row],[Withdrawal_Amount]]</f>
        <v>606781.28</v>
      </c>
      <c r="U359" t="s">
        <v>274</v>
      </c>
    </row>
    <row r="360" spans="1:21" x14ac:dyDescent="0.3">
      <c r="A360">
        <v>359</v>
      </c>
      <c r="B360" t="s">
        <v>111</v>
      </c>
      <c r="C360" t="s">
        <v>16</v>
      </c>
      <c r="D360">
        <v>33</v>
      </c>
      <c r="E360" t="s">
        <v>35</v>
      </c>
      <c r="F360" s="4">
        <v>295237.37</v>
      </c>
      <c r="G360" t="str">
        <f t="shared" si="20"/>
        <v>High Income</v>
      </c>
      <c r="H360">
        <v>148630.35</v>
      </c>
      <c r="I360">
        <v>332</v>
      </c>
      <c r="J360" t="s">
        <v>41</v>
      </c>
      <c r="K360" t="s">
        <v>24</v>
      </c>
      <c r="L360">
        <v>252602.19</v>
      </c>
      <c r="M360">
        <v>18785.93</v>
      </c>
      <c r="N360" t="s">
        <v>20</v>
      </c>
      <c r="O360" s="7">
        <f t="shared" ca="1" si="21"/>
        <v>45862</v>
      </c>
      <c r="P360" s="7">
        <v>45938</v>
      </c>
      <c r="Q360">
        <v>2</v>
      </c>
      <c r="R360" t="str">
        <f t="shared" si="22"/>
        <v>High Risk</v>
      </c>
      <c r="S360" t="str">
        <f t="shared" si="23"/>
        <v>Poor</v>
      </c>
      <c r="T360" s="4">
        <f>Table1[[#This Row],[Deposit_Amount]]+Table1[[#This Row],[Withdrawal_Amount]]</f>
        <v>443867.72</v>
      </c>
      <c r="U360" t="s">
        <v>274</v>
      </c>
    </row>
    <row r="361" spans="1:21" x14ac:dyDescent="0.3">
      <c r="A361">
        <v>360</v>
      </c>
      <c r="B361" t="s">
        <v>65</v>
      </c>
      <c r="C361" t="s">
        <v>22</v>
      </c>
      <c r="D361">
        <v>43</v>
      </c>
      <c r="E361" t="s">
        <v>31</v>
      </c>
      <c r="F361" s="4">
        <v>37484.46</v>
      </c>
      <c r="G361" t="str">
        <f t="shared" si="20"/>
        <v>Low Income</v>
      </c>
      <c r="H361">
        <v>79575.17</v>
      </c>
      <c r="I361">
        <v>335</v>
      </c>
      <c r="J361" t="s">
        <v>41</v>
      </c>
      <c r="K361" t="s">
        <v>36</v>
      </c>
      <c r="L361">
        <v>13582.32</v>
      </c>
      <c r="M361">
        <v>141542.59</v>
      </c>
      <c r="N361" t="s">
        <v>28</v>
      </c>
      <c r="O361" s="7">
        <f t="shared" ca="1" si="21"/>
        <v>45827</v>
      </c>
      <c r="P361" s="7">
        <v>45956</v>
      </c>
      <c r="Q361">
        <v>4</v>
      </c>
      <c r="R361" t="str">
        <f t="shared" si="22"/>
        <v>High Risk</v>
      </c>
      <c r="S361" t="str">
        <f t="shared" si="23"/>
        <v>Poor</v>
      </c>
      <c r="T361" s="4">
        <f>Table1[[#This Row],[Deposit_Amount]]+Table1[[#This Row],[Withdrawal_Amount]]</f>
        <v>117059.63</v>
      </c>
      <c r="U361" t="s">
        <v>274</v>
      </c>
    </row>
    <row r="362" spans="1:21" x14ac:dyDescent="0.3">
      <c r="A362">
        <v>361</v>
      </c>
      <c r="B362" t="s">
        <v>29</v>
      </c>
      <c r="C362" t="s">
        <v>22</v>
      </c>
      <c r="D362">
        <v>65</v>
      </c>
      <c r="E362" t="s">
        <v>35</v>
      </c>
      <c r="F362" s="4">
        <v>215387.28</v>
      </c>
      <c r="G362" t="str">
        <f t="shared" si="20"/>
        <v>High Income</v>
      </c>
      <c r="H362">
        <v>13805.11</v>
      </c>
      <c r="I362">
        <v>803</v>
      </c>
      <c r="J362" t="s">
        <v>38</v>
      </c>
      <c r="K362" t="s">
        <v>42</v>
      </c>
      <c r="L362">
        <v>232737.24</v>
      </c>
      <c r="M362">
        <v>46375.39</v>
      </c>
      <c r="N362" t="s">
        <v>20</v>
      </c>
      <c r="O362" s="7">
        <f t="shared" ca="1" si="21"/>
        <v>45964</v>
      </c>
      <c r="P362" s="7">
        <v>45716</v>
      </c>
      <c r="Q362">
        <v>3</v>
      </c>
      <c r="R362" t="str">
        <f t="shared" si="22"/>
        <v>Low Risk</v>
      </c>
      <c r="S362" t="str">
        <f t="shared" si="23"/>
        <v>Good</v>
      </c>
      <c r="T362" s="4">
        <f>Table1[[#This Row],[Deposit_Amount]]+Table1[[#This Row],[Withdrawal_Amount]]</f>
        <v>229192.39</v>
      </c>
      <c r="U362" t="s">
        <v>274</v>
      </c>
    </row>
    <row r="363" spans="1:21" x14ac:dyDescent="0.3">
      <c r="A363">
        <v>362</v>
      </c>
      <c r="B363" t="s">
        <v>197</v>
      </c>
      <c r="C363" t="s">
        <v>16</v>
      </c>
      <c r="D363">
        <v>56</v>
      </c>
      <c r="E363" t="s">
        <v>35</v>
      </c>
      <c r="F363" s="4">
        <v>56083.68</v>
      </c>
      <c r="G363" t="str">
        <f t="shared" si="20"/>
        <v>Low Income</v>
      </c>
      <c r="H363">
        <v>223769.48</v>
      </c>
      <c r="I363">
        <v>635</v>
      </c>
      <c r="J363" t="s">
        <v>41</v>
      </c>
      <c r="K363" t="s">
        <v>24</v>
      </c>
      <c r="L363">
        <v>-52597.14</v>
      </c>
      <c r="M363">
        <v>50931.63</v>
      </c>
      <c r="N363" t="s">
        <v>28</v>
      </c>
      <c r="O363" s="7">
        <f t="shared" ca="1" si="21"/>
        <v>45715</v>
      </c>
      <c r="P363" s="7">
        <v>45826</v>
      </c>
      <c r="Q363">
        <v>1</v>
      </c>
      <c r="R363" t="str">
        <f t="shared" si="22"/>
        <v>Low Risk</v>
      </c>
      <c r="S363" t="str">
        <f t="shared" si="23"/>
        <v>Good</v>
      </c>
      <c r="T363" s="4">
        <f>Table1[[#This Row],[Deposit_Amount]]+Table1[[#This Row],[Withdrawal_Amount]]</f>
        <v>279853.16000000003</v>
      </c>
      <c r="U363" t="s">
        <v>274</v>
      </c>
    </row>
    <row r="364" spans="1:21" x14ac:dyDescent="0.3">
      <c r="A364">
        <v>363</v>
      </c>
      <c r="B364" t="s">
        <v>198</v>
      </c>
      <c r="C364" t="s">
        <v>16</v>
      </c>
      <c r="D364">
        <v>61</v>
      </c>
      <c r="E364" t="s">
        <v>17</v>
      </c>
      <c r="F364" s="4">
        <v>440771.28</v>
      </c>
      <c r="G364" t="str">
        <f t="shared" si="20"/>
        <v>High Income</v>
      </c>
      <c r="H364">
        <v>157760.87</v>
      </c>
      <c r="I364">
        <v>430</v>
      </c>
      <c r="J364" t="s">
        <v>18</v>
      </c>
      <c r="K364" t="s">
        <v>19</v>
      </c>
      <c r="L364">
        <v>453773.22</v>
      </c>
      <c r="M364">
        <v>178371.95</v>
      </c>
      <c r="N364" t="s">
        <v>28</v>
      </c>
      <c r="O364" s="7">
        <f t="shared" ca="1" si="21"/>
        <v>45789</v>
      </c>
      <c r="P364" s="7">
        <v>45684</v>
      </c>
      <c r="Q364">
        <v>1</v>
      </c>
      <c r="R364" t="str">
        <f t="shared" si="22"/>
        <v>Midum Risk</v>
      </c>
      <c r="S364" t="str">
        <f t="shared" si="23"/>
        <v xml:space="preserve">Midum </v>
      </c>
      <c r="T364" s="4">
        <f>Table1[[#This Row],[Deposit_Amount]]+Table1[[#This Row],[Withdrawal_Amount]]</f>
        <v>598532.15</v>
      </c>
      <c r="U364" t="s">
        <v>274</v>
      </c>
    </row>
    <row r="365" spans="1:21" x14ac:dyDescent="0.3">
      <c r="A365">
        <v>364</v>
      </c>
      <c r="B365" t="s">
        <v>78</v>
      </c>
      <c r="C365" t="s">
        <v>16</v>
      </c>
      <c r="D365">
        <v>70</v>
      </c>
      <c r="E365" t="s">
        <v>35</v>
      </c>
      <c r="F365" s="4">
        <v>190608.66</v>
      </c>
      <c r="G365" t="str">
        <f t="shared" si="20"/>
        <v>Midum Income</v>
      </c>
      <c r="H365">
        <v>149050.53</v>
      </c>
      <c r="I365">
        <v>501</v>
      </c>
      <c r="J365" t="s">
        <v>38</v>
      </c>
      <c r="K365" t="s">
        <v>24</v>
      </c>
      <c r="L365">
        <v>82863.31</v>
      </c>
      <c r="M365">
        <v>181020.19</v>
      </c>
      <c r="N365" t="s">
        <v>25</v>
      </c>
      <c r="O365" s="7">
        <f t="shared" ca="1" si="21"/>
        <v>45701</v>
      </c>
      <c r="P365" s="7">
        <v>45905</v>
      </c>
      <c r="Q365">
        <v>3</v>
      </c>
      <c r="R365" t="str">
        <f t="shared" si="22"/>
        <v>Midum Risk</v>
      </c>
      <c r="S365" t="str">
        <f t="shared" si="23"/>
        <v xml:space="preserve">Midum </v>
      </c>
      <c r="T365" s="4">
        <f>Table1[[#This Row],[Deposit_Amount]]+Table1[[#This Row],[Withdrawal_Amount]]</f>
        <v>339659.19</v>
      </c>
      <c r="U365" t="s">
        <v>274</v>
      </c>
    </row>
    <row r="366" spans="1:21" x14ac:dyDescent="0.3">
      <c r="A366">
        <v>365</v>
      </c>
      <c r="B366" t="s">
        <v>54</v>
      </c>
      <c r="C366" t="s">
        <v>16</v>
      </c>
      <c r="D366">
        <v>69</v>
      </c>
      <c r="E366" t="s">
        <v>17</v>
      </c>
      <c r="F366" s="4">
        <v>157861.03</v>
      </c>
      <c r="G366" t="str">
        <f t="shared" si="20"/>
        <v>Midum Income</v>
      </c>
      <c r="H366">
        <v>197337.57</v>
      </c>
      <c r="I366">
        <v>532</v>
      </c>
      <c r="J366" t="s">
        <v>27</v>
      </c>
      <c r="K366" t="s">
        <v>19</v>
      </c>
      <c r="L366">
        <v>121201.97</v>
      </c>
      <c r="M366">
        <v>87372.36</v>
      </c>
      <c r="N366" t="s">
        <v>28</v>
      </c>
      <c r="O366" s="7">
        <f t="shared" ca="1" si="21"/>
        <v>45731</v>
      </c>
      <c r="P366" s="7">
        <v>45901</v>
      </c>
      <c r="Q366">
        <v>2</v>
      </c>
      <c r="R366" t="str">
        <f t="shared" si="22"/>
        <v>Midum Risk</v>
      </c>
      <c r="S366" t="str">
        <f t="shared" si="23"/>
        <v xml:space="preserve">Midum </v>
      </c>
      <c r="T366" s="4">
        <f>Table1[[#This Row],[Deposit_Amount]]+Table1[[#This Row],[Withdrawal_Amount]]</f>
        <v>355198.6</v>
      </c>
      <c r="U366" t="s">
        <v>274</v>
      </c>
    </row>
    <row r="367" spans="1:21" x14ac:dyDescent="0.3">
      <c r="A367">
        <v>366</v>
      </c>
      <c r="B367" t="s">
        <v>164</v>
      </c>
      <c r="C367" t="s">
        <v>16</v>
      </c>
      <c r="D367">
        <v>48</v>
      </c>
      <c r="E367" t="s">
        <v>44</v>
      </c>
      <c r="F367" s="4">
        <v>43119.14</v>
      </c>
      <c r="G367" t="str">
        <f t="shared" si="20"/>
        <v>Low Income</v>
      </c>
      <c r="H367">
        <v>110102.01</v>
      </c>
      <c r="I367">
        <v>551</v>
      </c>
      <c r="J367" t="s">
        <v>27</v>
      </c>
      <c r="K367" t="s">
        <v>24</v>
      </c>
      <c r="L367">
        <v>-52729.67</v>
      </c>
      <c r="M367">
        <v>57814.42</v>
      </c>
      <c r="N367" t="s">
        <v>25</v>
      </c>
      <c r="O367" s="7">
        <f t="shared" ca="1" si="21"/>
        <v>46013</v>
      </c>
      <c r="P367" s="7">
        <v>45811</v>
      </c>
      <c r="Q367">
        <v>2</v>
      </c>
      <c r="R367" t="str">
        <f t="shared" si="22"/>
        <v>Midum Risk</v>
      </c>
      <c r="S367" t="str">
        <f t="shared" si="23"/>
        <v xml:space="preserve">Midum </v>
      </c>
      <c r="T367" s="4">
        <f>Table1[[#This Row],[Deposit_Amount]]+Table1[[#This Row],[Withdrawal_Amount]]</f>
        <v>153221.15</v>
      </c>
      <c r="U367" t="s">
        <v>274</v>
      </c>
    </row>
    <row r="368" spans="1:21" x14ac:dyDescent="0.3">
      <c r="A368">
        <v>367</v>
      </c>
      <c r="B368" t="s">
        <v>186</v>
      </c>
      <c r="C368" t="s">
        <v>22</v>
      </c>
      <c r="D368">
        <v>59</v>
      </c>
      <c r="E368" t="s">
        <v>23</v>
      </c>
      <c r="F368" s="4">
        <v>63987.21</v>
      </c>
      <c r="G368" t="str">
        <f t="shared" si="20"/>
        <v>Low Income</v>
      </c>
      <c r="H368">
        <v>297318.75</v>
      </c>
      <c r="I368">
        <v>649</v>
      </c>
      <c r="J368" t="s">
        <v>18</v>
      </c>
      <c r="K368" t="s">
        <v>42</v>
      </c>
      <c r="L368">
        <v>-61492.07</v>
      </c>
      <c r="M368">
        <v>190880.23</v>
      </c>
      <c r="N368" t="s">
        <v>25</v>
      </c>
      <c r="O368" s="7">
        <f t="shared" ca="1" si="21"/>
        <v>45667</v>
      </c>
      <c r="P368" s="7">
        <v>45712</v>
      </c>
      <c r="Q368">
        <v>1</v>
      </c>
      <c r="R368" t="str">
        <f t="shared" si="22"/>
        <v>Low Risk</v>
      </c>
      <c r="S368" t="str">
        <f t="shared" si="23"/>
        <v>Good</v>
      </c>
      <c r="T368" s="4">
        <f>Table1[[#This Row],[Deposit_Amount]]+Table1[[#This Row],[Withdrawal_Amount]]</f>
        <v>361305.96</v>
      </c>
      <c r="U368" t="s">
        <v>274</v>
      </c>
    </row>
    <row r="369" spans="1:21" x14ac:dyDescent="0.3">
      <c r="A369">
        <v>368</v>
      </c>
      <c r="B369" t="s">
        <v>166</v>
      </c>
      <c r="C369" t="s">
        <v>22</v>
      </c>
      <c r="D369">
        <v>49</v>
      </c>
      <c r="E369" t="s">
        <v>44</v>
      </c>
      <c r="F369" s="4">
        <v>65221.75</v>
      </c>
      <c r="G369" t="str">
        <f t="shared" si="20"/>
        <v>Low Income</v>
      </c>
      <c r="H369">
        <v>140077.37</v>
      </c>
      <c r="I369">
        <v>720</v>
      </c>
      <c r="J369" t="s">
        <v>27</v>
      </c>
      <c r="K369" t="s">
        <v>19</v>
      </c>
      <c r="L369">
        <v>-18444.77</v>
      </c>
      <c r="M369">
        <v>107950.38</v>
      </c>
      <c r="N369" t="s">
        <v>28</v>
      </c>
      <c r="O369" s="7">
        <f t="shared" ca="1" si="21"/>
        <v>45702</v>
      </c>
      <c r="P369" s="7">
        <v>45903</v>
      </c>
      <c r="Q369">
        <v>3</v>
      </c>
      <c r="R369" t="str">
        <f t="shared" si="22"/>
        <v>Low Risk</v>
      </c>
      <c r="S369" t="str">
        <f t="shared" si="23"/>
        <v>Good</v>
      </c>
      <c r="T369" s="4">
        <f>Table1[[#This Row],[Deposit_Amount]]+Table1[[#This Row],[Withdrawal_Amount]]</f>
        <v>205299.12</v>
      </c>
      <c r="U369" t="s">
        <v>274</v>
      </c>
    </row>
    <row r="370" spans="1:21" x14ac:dyDescent="0.3">
      <c r="A370">
        <v>369</v>
      </c>
      <c r="B370" t="s">
        <v>195</v>
      </c>
      <c r="C370" t="s">
        <v>22</v>
      </c>
      <c r="D370">
        <v>37</v>
      </c>
      <c r="E370" t="s">
        <v>44</v>
      </c>
      <c r="F370" s="4">
        <v>90866.23</v>
      </c>
      <c r="G370" t="str">
        <f t="shared" si="20"/>
        <v>Low Income</v>
      </c>
      <c r="H370">
        <v>162300.31</v>
      </c>
      <c r="I370">
        <v>405</v>
      </c>
      <c r="J370" t="s">
        <v>18</v>
      </c>
      <c r="K370" t="s">
        <v>59</v>
      </c>
      <c r="L370">
        <v>62001.99</v>
      </c>
      <c r="M370">
        <v>242019.1</v>
      </c>
      <c r="N370" t="s">
        <v>28</v>
      </c>
      <c r="O370" s="7">
        <f t="shared" ca="1" si="21"/>
        <v>45913</v>
      </c>
      <c r="P370" s="7">
        <v>46008</v>
      </c>
      <c r="Q370">
        <v>4</v>
      </c>
      <c r="R370" t="str">
        <f t="shared" si="22"/>
        <v>Midum Risk</v>
      </c>
      <c r="S370" t="str">
        <f t="shared" si="23"/>
        <v xml:space="preserve">Midum </v>
      </c>
      <c r="T370" s="4">
        <f>Table1[[#This Row],[Deposit_Amount]]+Table1[[#This Row],[Withdrawal_Amount]]</f>
        <v>253166.53999999998</v>
      </c>
      <c r="U370" t="s">
        <v>274</v>
      </c>
    </row>
    <row r="371" spans="1:21" x14ac:dyDescent="0.3">
      <c r="A371">
        <v>370</v>
      </c>
      <c r="B371" t="s">
        <v>30</v>
      </c>
      <c r="C371" t="s">
        <v>16</v>
      </c>
      <c r="D371">
        <v>43</v>
      </c>
      <c r="E371" t="s">
        <v>17</v>
      </c>
      <c r="F371" s="4">
        <v>470656.13</v>
      </c>
      <c r="G371" t="str">
        <f t="shared" si="20"/>
        <v>High Income</v>
      </c>
      <c r="H371">
        <v>192576.07</v>
      </c>
      <c r="I371">
        <v>360</v>
      </c>
      <c r="J371" t="s">
        <v>38</v>
      </c>
      <c r="K371" t="s">
        <v>24</v>
      </c>
      <c r="L371">
        <v>406044.61</v>
      </c>
      <c r="M371">
        <v>32167.52</v>
      </c>
      <c r="N371" t="s">
        <v>28</v>
      </c>
      <c r="O371" s="7">
        <f t="shared" ca="1" si="21"/>
        <v>45813</v>
      </c>
      <c r="P371" s="7">
        <v>45994</v>
      </c>
      <c r="Q371">
        <v>3</v>
      </c>
      <c r="R371" t="str">
        <f t="shared" si="22"/>
        <v>High Risk</v>
      </c>
      <c r="S371" t="str">
        <f t="shared" si="23"/>
        <v>Poor</v>
      </c>
      <c r="T371" s="4">
        <f>Table1[[#This Row],[Deposit_Amount]]+Table1[[#This Row],[Withdrawal_Amount]]</f>
        <v>663232.19999999995</v>
      </c>
      <c r="U371" t="s">
        <v>274</v>
      </c>
    </row>
    <row r="372" spans="1:21" x14ac:dyDescent="0.3">
      <c r="A372">
        <v>371</v>
      </c>
      <c r="B372" t="s">
        <v>175</v>
      </c>
      <c r="C372" t="s">
        <v>22</v>
      </c>
      <c r="D372">
        <v>24</v>
      </c>
      <c r="E372" t="s">
        <v>40</v>
      </c>
      <c r="F372" s="4">
        <v>27958.18</v>
      </c>
      <c r="G372" t="str">
        <f t="shared" si="20"/>
        <v>Low Income</v>
      </c>
      <c r="H372">
        <v>112230.55</v>
      </c>
      <c r="I372">
        <v>602</v>
      </c>
      <c r="J372" t="s">
        <v>27</v>
      </c>
      <c r="K372" t="s">
        <v>36</v>
      </c>
      <c r="L372">
        <v>-70860.460000000006</v>
      </c>
      <c r="M372">
        <v>209549.04</v>
      </c>
      <c r="N372" t="s">
        <v>28</v>
      </c>
      <c r="O372" s="7">
        <f t="shared" ca="1" si="21"/>
        <v>45805</v>
      </c>
      <c r="P372" s="7">
        <v>45798</v>
      </c>
      <c r="Q372">
        <v>4</v>
      </c>
      <c r="R372" t="str">
        <f t="shared" si="22"/>
        <v>Low Risk</v>
      </c>
      <c r="S372" t="str">
        <f t="shared" si="23"/>
        <v>Good</v>
      </c>
      <c r="T372" s="4">
        <f>Table1[[#This Row],[Deposit_Amount]]+Table1[[#This Row],[Withdrawal_Amount]]</f>
        <v>140188.73000000001</v>
      </c>
      <c r="U372" t="s">
        <v>274</v>
      </c>
    </row>
    <row r="373" spans="1:21" x14ac:dyDescent="0.3">
      <c r="A373">
        <v>372</v>
      </c>
      <c r="B373" t="s">
        <v>144</v>
      </c>
      <c r="C373" t="s">
        <v>16</v>
      </c>
      <c r="D373">
        <v>27</v>
      </c>
      <c r="E373" t="s">
        <v>17</v>
      </c>
      <c r="F373" s="4">
        <v>132843.79</v>
      </c>
      <c r="G373" t="str">
        <f t="shared" si="20"/>
        <v>Midum Income</v>
      </c>
      <c r="H373">
        <v>34382.97</v>
      </c>
      <c r="I373">
        <v>713</v>
      </c>
      <c r="J373" t="s">
        <v>32</v>
      </c>
      <c r="K373" t="s">
        <v>59</v>
      </c>
      <c r="L373">
        <v>137900.38</v>
      </c>
      <c r="M373">
        <v>174075.29</v>
      </c>
      <c r="N373" t="s">
        <v>20</v>
      </c>
      <c r="O373" s="7">
        <f t="shared" ca="1" si="21"/>
        <v>45751</v>
      </c>
      <c r="P373" s="7">
        <v>45793</v>
      </c>
      <c r="Q373">
        <v>5</v>
      </c>
      <c r="R373" t="str">
        <f t="shared" si="22"/>
        <v>Low Risk</v>
      </c>
      <c r="S373" t="str">
        <f t="shared" si="23"/>
        <v>Good</v>
      </c>
      <c r="T373" s="4">
        <f>Table1[[#This Row],[Deposit_Amount]]+Table1[[#This Row],[Withdrawal_Amount]]</f>
        <v>167226.76</v>
      </c>
      <c r="U373" t="s">
        <v>274</v>
      </c>
    </row>
    <row r="374" spans="1:21" x14ac:dyDescent="0.3">
      <c r="A374">
        <v>373</v>
      </c>
      <c r="B374" t="s">
        <v>199</v>
      </c>
      <c r="C374" t="s">
        <v>22</v>
      </c>
      <c r="D374">
        <v>23</v>
      </c>
      <c r="E374" t="s">
        <v>35</v>
      </c>
      <c r="F374" s="4">
        <v>473400.95</v>
      </c>
      <c r="G374" t="str">
        <f t="shared" si="20"/>
        <v>High Income</v>
      </c>
      <c r="H374">
        <v>292005.2</v>
      </c>
      <c r="I374">
        <v>369</v>
      </c>
      <c r="J374" t="s">
        <v>27</v>
      </c>
      <c r="K374" t="s">
        <v>42</v>
      </c>
      <c r="L374">
        <v>369678.94</v>
      </c>
      <c r="M374">
        <v>98754.89</v>
      </c>
      <c r="N374" t="s">
        <v>20</v>
      </c>
      <c r="O374" s="7">
        <f t="shared" ca="1" si="21"/>
        <v>45784</v>
      </c>
      <c r="P374" s="7">
        <v>45663</v>
      </c>
      <c r="Q374">
        <v>1</v>
      </c>
      <c r="R374" t="str">
        <f t="shared" si="22"/>
        <v>High Risk</v>
      </c>
      <c r="S374" t="str">
        <f t="shared" si="23"/>
        <v>Poor</v>
      </c>
      <c r="T374" s="4">
        <f>Table1[[#This Row],[Deposit_Amount]]+Table1[[#This Row],[Withdrawal_Amount]]</f>
        <v>765406.15</v>
      </c>
      <c r="U374" t="s">
        <v>274</v>
      </c>
    </row>
    <row r="375" spans="1:21" x14ac:dyDescent="0.3">
      <c r="A375">
        <v>374</v>
      </c>
      <c r="B375" t="s">
        <v>180</v>
      </c>
      <c r="C375" t="s">
        <v>16</v>
      </c>
      <c r="D375">
        <v>26</v>
      </c>
      <c r="E375" t="s">
        <v>17</v>
      </c>
      <c r="F375" s="4">
        <v>186257.06</v>
      </c>
      <c r="G375" t="str">
        <f t="shared" si="20"/>
        <v>Midum Income</v>
      </c>
      <c r="H375">
        <v>188503.49</v>
      </c>
      <c r="I375">
        <v>345</v>
      </c>
      <c r="J375" t="s">
        <v>18</v>
      </c>
      <c r="K375" t="s">
        <v>59</v>
      </c>
      <c r="L375">
        <v>111897.49</v>
      </c>
      <c r="M375">
        <v>19566.32</v>
      </c>
      <c r="N375" t="s">
        <v>25</v>
      </c>
      <c r="O375" s="7">
        <f t="shared" ca="1" si="21"/>
        <v>45693</v>
      </c>
      <c r="P375" s="7">
        <v>45808</v>
      </c>
      <c r="Q375">
        <v>2</v>
      </c>
      <c r="R375" t="str">
        <f t="shared" si="22"/>
        <v>High Risk</v>
      </c>
      <c r="S375" t="str">
        <f t="shared" si="23"/>
        <v>Poor</v>
      </c>
      <c r="T375" s="4">
        <f>Table1[[#This Row],[Deposit_Amount]]+Table1[[#This Row],[Withdrawal_Amount]]</f>
        <v>374760.55</v>
      </c>
      <c r="U375" t="s">
        <v>274</v>
      </c>
    </row>
    <row r="376" spans="1:21" x14ac:dyDescent="0.3">
      <c r="A376">
        <v>375</v>
      </c>
      <c r="B376" t="s">
        <v>153</v>
      </c>
      <c r="C376" t="s">
        <v>16</v>
      </c>
      <c r="D376">
        <v>53</v>
      </c>
      <c r="E376" t="s">
        <v>23</v>
      </c>
      <c r="F376" s="4">
        <v>99501.65</v>
      </c>
      <c r="G376" t="str">
        <f t="shared" si="20"/>
        <v>Low Income</v>
      </c>
      <c r="H376">
        <v>30627.63</v>
      </c>
      <c r="I376">
        <v>854</v>
      </c>
      <c r="J376" t="s">
        <v>32</v>
      </c>
      <c r="K376" t="s">
        <v>19</v>
      </c>
      <c r="L376">
        <v>150203.76999999999</v>
      </c>
      <c r="M376">
        <v>171469.57</v>
      </c>
      <c r="N376" t="s">
        <v>28</v>
      </c>
      <c r="O376" s="7">
        <f t="shared" ca="1" si="21"/>
        <v>45882</v>
      </c>
      <c r="P376" s="7">
        <v>45949</v>
      </c>
      <c r="Q376">
        <v>3</v>
      </c>
      <c r="R376" t="str">
        <f t="shared" si="22"/>
        <v>Low Risk</v>
      </c>
      <c r="S376" t="str">
        <f t="shared" si="23"/>
        <v>Good</v>
      </c>
      <c r="T376" s="4">
        <f>Table1[[#This Row],[Deposit_Amount]]+Table1[[#This Row],[Withdrawal_Amount]]</f>
        <v>130129.28</v>
      </c>
      <c r="U376" t="s">
        <v>274</v>
      </c>
    </row>
    <row r="377" spans="1:21" x14ac:dyDescent="0.3">
      <c r="A377">
        <v>376</v>
      </c>
      <c r="B377" t="s">
        <v>160</v>
      </c>
      <c r="C377" t="s">
        <v>22</v>
      </c>
      <c r="D377">
        <v>35</v>
      </c>
      <c r="E377" t="s">
        <v>23</v>
      </c>
      <c r="F377" s="4">
        <v>392147.34</v>
      </c>
      <c r="G377" t="str">
        <f t="shared" si="20"/>
        <v>High Income</v>
      </c>
      <c r="H377">
        <v>15558.78</v>
      </c>
      <c r="I377">
        <v>823</v>
      </c>
      <c r="J377" t="s">
        <v>18</v>
      </c>
      <c r="K377" t="s">
        <v>24</v>
      </c>
      <c r="L377">
        <v>501529.72</v>
      </c>
      <c r="M377">
        <v>130263.88</v>
      </c>
      <c r="N377" t="s">
        <v>28</v>
      </c>
      <c r="O377" s="7">
        <f t="shared" ca="1" si="21"/>
        <v>45911</v>
      </c>
      <c r="P377" s="7">
        <v>45899</v>
      </c>
      <c r="Q377">
        <v>3</v>
      </c>
      <c r="R377" t="str">
        <f t="shared" si="22"/>
        <v>Low Risk</v>
      </c>
      <c r="S377" t="str">
        <f t="shared" si="23"/>
        <v>Good</v>
      </c>
      <c r="T377" s="4">
        <f>Table1[[#This Row],[Deposit_Amount]]+Table1[[#This Row],[Withdrawal_Amount]]</f>
        <v>407706.12000000005</v>
      </c>
      <c r="U377" t="s">
        <v>274</v>
      </c>
    </row>
    <row r="378" spans="1:21" x14ac:dyDescent="0.3">
      <c r="A378">
        <v>377</v>
      </c>
      <c r="B378" t="s">
        <v>200</v>
      </c>
      <c r="C378" t="s">
        <v>22</v>
      </c>
      <c r="D378">
        <v>50</v>
      </c>
      <c r="E378" t="s">
        <v>44</v>
      </c>
      <c r="F378" s="4">
        <v>14371.42</v>
      </c>
      <c r="G378" t="str">
        <f t="shared" si="20"/>
        <v>Low Income</v>
      </c>
      <c r="H378">
        <v>143081.10999999999</v>
      </c>
      <c r="I378">
        <v>487</v>
      </c>
      <c r="J378" t="s">
        <v>38</v>
      </c>
      <c r="K378" t="s">
        <v>36</v>
      </c>
      <c r="L378">
        <v>-21936.78</v>
      </c>
      <c r="M378">
        <v>47892.69</v>
      </c>
      <c r="N378" t="s">
        <v>20</v>
      </c>
      <c r="O378" s="7">
        <f t="shared" ca="1" si="21"/>
        <v>45797</v>
      </c>
      <c r="P378" s="7">
        <v>45712</v>
      </c>
      <c r="Q378">
        <v>3</v>
      </c>
      <c r="R378" t="str">
        <f t="shared" si="22"/>
        <v>Midum Risk</v>
      </c>
      <c r="S378" t="str">
        <f t="shared" si="23"/>
        <v xml:space="preserve">Midum </v>
      </c>
      <c r="T378" s="4">
        <f>Table1[[#This Row],[Deposit_Amount]]+Table1[[#This Row],[Withdrawal_Amount]]</f>
        <v>157452.53</v>
      </c>
      <c r="U378" t="s">
        <v>274</v>
      </c>
    </row>
    <row r="379" spans="1:21" x14ac:dyDescent="0.3">
      <c r="A379">
        <v>378</v>
      </c>
      <c r="B379" t="s">
        <v>51</v>
      </c>
      <c r="C379" t="s">
        <v>22</v>
      </c>
      <c r="D379">
        <v>45</v>
      </c>
      <c r="E379" t="s">
        <v>44</v>
      </c>
      <c r="F379" s="4">
        <v>486416.64000000001</v>
      </c>
      <c r="G379" t="str">
        <f t="shared" si="20"/>
        <v>High Income</v>
      </c>
      <c r="H379">
        <v>113689.22</v>
      </c>
      <c r="I379">
        <v>394</v>
      </c>
      <c r="J379" t="s">
        <v>27</v>
      </c>
      <c r="K379" t="s">
        <v>24</v>
      </c>
      <c r="L379">
        <v>427638.14</v>
      </c>
      <c r="M379">
        <v>53914.43</v>
      </c>
      <c r="N379" t="s">
        <v>28</v>
      </c>
      <c r="O379" s="7">
        <f t="shared" ca="1" si="21"/>
        <v>45853</v>
      </c>
      <c r="P379" s="7">
        <v>45801</v>
      </c>
      <c r="Q379">
        <v>2</v>
      </c>
      <c r="R379" t="str">
        <f t="shared" si="22"/>
        <v>High Risk</v>
      </c>
      <c r="S379" t="str">
        <f t="shared" si="23"/>
        <v>Poor</v>
      </c>
      <c r="T379" s="4">
        <f>Table1[[#This Row],[Deposit_Amount]]+Table1[[#This Row],[Withdrawal_Amount]]</f>
        <v>600105.86</v>
      </c>
      <c r="U379" t="s">
        <v>274</v>
      </c>
    </row>
    <row r="380" spans="1:21" x14ac:dyDescent="0.3">
      <c r="A380">
        <v>379</v>
      </c>
      <c r="B380" t="s">
        <v>99</v>
      </c>
      <c r="C380" t="s">
        <v>16</v>
      </c>
      <c r="D380">
        <v>32</v>
      </c>
      <c r="E380" t="s">
        <v>31</v>
      </c>
      <c r="F380" s="4">
        <v>90125.38</v>
      </c>
      <c r="G380" t="str">
        <f t="shared" si="20"/>
        <v>Low Income</v>
      </c>
      <c r="H380">
        <v>120673.56</v>
      </c>
      <c r="I380">
        <v>865</v>
      </c>
      <c r="J380" t="s">
        <v>27</v>
      </c>
      <c r="K380" t="s">
        <v>36</v>
      </c>
      <c r="L380">
        <v>37776.28</v>
      </c>
      <c r="M380">
        <v>109296.28</v>
      </c>
      <c r="N380" t="s">
        <v>25</v>
      </c>
      <c r="O380" s="7">
        <f t="shared" ca="1" si="21"/>
        <v>45722</v>
      </c>
      <c r="P380" s="7">
        <v>45959</v>
      </c>
      <c r="Q380">
        <v>5</v>
      </c>
      <c r="R380" t="str">
        <f t="shared" si="22"/>
        <v>Low Risk</v>
      </c>
      <c r="S380" t="str">
        <f t="shared" si="23"/>
        <v>Good</v>
      </c>
      <c r="T380" s="4">
        <f>Table1[[#This Row],[Deposit_Amount]]+Table1[[#This Row],[Withdrawal_Amount]]</f>
        <v>210798.94</v>
      </c>
      <c r="U380" t="s">
        <v>274</v>
      </c>
    </row>
    <row r="381" spans="1:21" x14ac:dyDescent="0.3">
      <c r="A381">
        <v>380</v>
      </c>
      <c r="B381" t="s">
        <v>43</v>
      </c>
      <c r="C381" t="s">
        <v>22</v>
      </c>
      <c r="D381">
        <v>61</v>
      </c>
      <c r="E381" t="s">
        <v>40</v>
      </c>
      <c r="F381" s="4">
        <v>238788.67</v>
      </c>
      <c r="G381" t="str">
        <f t="shared" si="20"/>
        <v>High Income</v>
      </c>
      <c r="H381">
        <v>71494.86</v>
      </c>
      <c r="I381">
        <v>430</v>
      </c>
      <c r="J381" t="s">
        <v>27</v>
      </c>
      <c r="K381" t="s">
        <v>24</v>
      </c>
      <c r="L381">
        <v>305584.23</v>
      </c>
      <c r="M381">
        <v>239906.5</v>
      </c>
      <c r="N381" t="s">
        <v>28</v>
      </c>
      <c r="O381" s="7">
        <f t="shared" ca="1" si="21"/>
        <v>45716</v>
      </c>
      <c r="P381" s="7">
        <v>45777</v>
      </c>
      <c r="Q381">
        <v>3</v>
      </c>
      <c r="R381" t="str">
        <f t="shared" si="22"/>
        <v>Midum Risk</v>
      </c>
      <c r="S381" t="str">
        <f t="shared" si="23"/>
        <v xml:space="preserve">Midum </v>
      </c>
      <c r="T381" s="4">
        <f>Table1[[#This Row],[Deposit_Amount]]+Table1[[#This Row],[Withdrawal_Amount]]</f>
        <v>310283.53000000003</v>
      </c>
      <c r="U381" t="s">
        <v>274</v>
      </c>
    </row>
    <row r="382" spans="1:21" x14ac:dyDescent="0.3">
      <c r="A382">
        <v>381</v>
      </c>
      <c r="B382" t="s">
        <v>94</v>
      </c>
      <c r="C382" t="s">
        <v>16</v>
      </c>
      <c r="D382">
        <v>44</v>
      </c>
      <c r="E382" t="s">
        <v>31</v>
      </c>
      <c r="F382" s="4">
        <v>495451.08</v>
      </c>
      <c r="G382" t="str">
        <f t="shared" si="20"/>
        <v>High Income</v>
      </c>
      <c r="H382">
        <v>53712.75</v>
      </c>
      <c r="I382">
        <v>688</v>
      </c>
      <c r="J382" t="s">
        <v>38</v>
      </c>
      <c r="K382" t="s">
        <v>59</v>
      </c>
      <c r="L382">
        <v>547110.41</v>
      </c>
      <c r="M382">
        <v>105722.08</v>
      </c>
      <c r="N382" t="s">
        <v>28</v>
      </c>
      <c r="O382" s="7">
        <f t="shared" ca="1" si="21"/>
        <v>45737</v>
      </c>
      <c r="P382" s="7">
        <v>45705</v>
      </c>
      <c r="Q382">
        <v>1</v>
      </c>
      <c r="R382" t="str">
        <f t="shared" si="22"/>
        <v>Low Risk</v>
      </c>
      <c r="S382" t="str">
        <f t="shared" si="23"/>
        <v>Good</v>
      </c>
      <c r="T382" s="4">
        <f>Table1[[#This Row],[Deposit_Amount]]+Table1[[#This Row],[Withdrawal_Amount]]</f>
        <v>549163.83000000007</v>
      </c>
      <c r="U382" t="s">
        <v>274</v>
      </c>
    </row>
    <row r="383" spans="1:21" x14ac:dyDescent="0.3">
      <c r="A383">
        <v>382</v>
      </c>
      <c r="B383" t="s">
        <v>155</v>
      </c>
      <c r="C383" t="s">
        <v>16</v>
      </c>
      <c r="D383">
        <v>30</v>
      </c>
      <c r="E383" t="s">
        <v>35</v>
      </c>
      <c r="F383" s="4">
        <v>397221.19</v>
      </c>
      <c r="G383" t="str">
        <f t="shared" si="20"/>
        <v>High Income</v>
      </c>
      <c r="H383">
        <v>3337.02</v>
      </c>
      <c r="I383">
        <v>811</v>
      </c>
      <c r="J383" t="s">
        <v>41</v>
      </c>
      <c r="K383" t="s">
        <v>59</v>
      </c>
      <c r="L383">
        <v>549649.93000000005</v>
      </c>
      <c r="M383">
        <v>132354.85999999999</v>
      </c>
      <c r="N383" t="s">
        <v>28</v>
      </c>
      <c r="O383" s="7">
        <f t="shared" ca="1" si="21"/>
        <v>46005</v>
      </c>
      <c r="P383" s="7">
        <v>45812</v>
      </c>
      <c r="Q383">
        <v>2</v>
      </c>
      <c r="R383" t="str">
        <f t="shared" si="22"/>
        <v>Low Risk</v>
      </c>
      <c r="S383" t="str">
        <f t="shared" si="23"/>
        <v>Good</v>
      </c>
      <c r="T383" s="4">
        <f>Table1[[#This Row],[Deposit_Amount]]+Table1[[#This Row],[Withdrawal_Amount]]</f>
        <v>400558.21</v>
      </c>
      <c r="U383" t="s">
        <v>274</v>
      </c>
    </row>
    <row r="384" spans="1:21" x14ac:dyDescent="0.3">
      <c r="A384">
        <v>383</v>
      </c>
      <c r="B384" t="s">
        <v>21</v>
      </c>
      <c r="C384" t="s">
        <v>22</v>
      </c>
      <c r="D384">
        <v>62</v>
      </c>
      <c r="E384" t="s">
        <v>44</v>
      </c>
      <c r="F384" s="4">
        <v>434447.15</v>
      </c>
      <c r="G384" t="str">
        <f t="shared" si="20"/>
        <v>High Income</v>
      </c>
      <c r="H384">
        <v>220818.11</v>
      </c>
      <c r="I384">
        <v>370</v>
      </c>
      <c r="J384" t="s">
        <v>27</v>
      </c>
      <c r="K384" t="s">
        <v>42</v>
      </c>
      <c r="L384">
        <v>388384.49</v>
      </c>
      <c r="M384">
        <v>154810.10999999999</v>
      </c>
      <c r="N384" t="s">
        <v>25</v>
      </c>
      <c r="O384" s="7">
        <f t="shared" ca="1" si="21"/>
        <v>45927</v>
      </c>
      <c r="P384" s="7">
        <v>45699</v>
      </c>
      <c r="Q384">
        <v>1</v>
      </c>
      <c r="R384" t="str">
        <f t="shared" si="22"/>
        <v>High Risk</v>
      </c>
      <c r="S384" t="str">
        <f t="shared" si="23"/>
        <v>Poor</v>
      </c>
      <c r="T384" s="4">
        <f>Table1[[#This Row],[Deposit_Amount]]+Table1[[#This Row],[Withdrawal_Amount]]</f>
        <v>655265.26</v>
      </c>
      <c r="U384" t="s">
        <v>274</v>
      </c>
    </row>
    <row r="385" spans="1:21" x14ac:dyDescent="0.3">
      <c r="A385">
        <v>384</v>
      </c>
      <c r="B385" t="s">
        <v>176</v>
      </c>
      <c r="C385" t="s">
        <v>16</v>
      </c>
      <c r="D385">
        <v>31</v>
      </c>
      <c r="E385" t="s">
        <v>44</v>
      </c>
      <c r="F385" s="4">
        <v>67473.33</v>
      </c>
      <c r="G385" t="str">
        <f t="shared" si="20"/>
        <v>Low Income</v>
      </c>
      <c r="H385">
        <v>157719.39000000001</v>
      </c>
      <c r="I385">
        <v>587</v>
      </c>
      <c r="J385" t="s">
        <v>38</v>
      </c>
      <c r="K385" t="s">
        <v>59</v>
      </c>
      <c r="L385">
        <v>-78532.41</v>
      </c>
      <c r="M385">
        <v>64676.89</v>
      </c>
      <c r="N385" t="s">
        <v>28</v>
      </c>
      <c r="O385" s="7">
        <f t="shared" ca="1" si="21"/>
        <v>45926</v>
      </c>
      <c r="P385" s="7">
        <v>45819</v>
      </c>
      <c r="Q385">
        <v>2</v>
      </c>
      <c r="R385" t="str">
        <f t="shared" si="22"/>
        <v>Midum Risk</v>
      </c>
      <c r="S385" t="str">
        <f t="shared" si="23"/>
        <v xml:space="preserve">Midum </v>
      </c>
      <c r="T385" s="4">
        <f>Table1[[#This Row],[Deposit_Amount]]+Table1[[#This Row],[Withdrawal_Amount]]</f>
        <v>225192.72000000003</v>
      </c>
      <c r="U385" t="s">
        <v>274</v>
      </c>
    </row>
    <row r="386" spans="1:21" x14ac:dyDescent="0.3">
      <c r="A386">
        <v>385</v>
      </c>
      <c r="B386" t="s">
        <v>77</v>
      </c>
      <c r="C386" t="s">
        <v>22</v>
      </c>
      <c r="D386">
        <v>59</v>
      </c>
      <c r="E386" t="s">
        <v>35</v>
      </c>
      <c r="F386" s="4">
        <v>406748.35</v>
      </c>
      <c r="G386" t="str">
        <f t="shared" ref="G386:G449" si="24">IF(F386&lt;=100000,"Low Income",IF(F386&lt;=200000,"Midum Income","High Income"))</f>
        <v>High Income</v>
      </c>
      <c r="H386">
        <v>40087.370000000003</v>
      </c>
      <c r="I386">
        <v>593</v>
      </c>
      <c r="J386" t="s">
        <v>41</v>
      </c>
      <c r="K386" t="s">
        <v>24</v>
      </c>
      <c r="L386">
        <v>407853.42</v>
      </c>
      <c r="M386">
        <v>119019.78</v>
      </c>
      <c r="N386" t="s">
        <v>20</v>
      </c>
      <c r="O386" s="7">
        <f t="shared" ref="O386:O449" ca="1" si="25">RANDBETWEEN(DATE(2025,1,1),DATE(2025,12,31))</f>
        <v>45854</v>
      </c>
      <c r="P386" s="7">
        <v>45815</v>
      </c>
      <c r="Q386">
        <v>2</v>
      </c>
      <c r="R386" t="str">
        <f t="shared" ref="R386:R449" si="26">IF(I386&lt;=400,"High Risk",IF(I386&lt;=600,"Midum Risk","Low Risk"))</f>
        <v>Midum Risk</v>
      </c>
      <c r="S386" t="str">
        <f t="shared" ref="S386:S449" si="27">IF(I386&lt;=400,"Poor",IF(I386&lt;=600,"Midum ","Good"))</f>
        <v xml:space="preserve">Midum </v>
      </c>
      <c r="T386" s="4">
        <f>Table1[[#This Row],[Deposit_Amount]]+Table1[[#This Row],[Withdrawal_Amount]]</f>
        <v>446835.72</v>
      </c>
      <c r="U386" t="s">
        <v>274</v>
      </c>
    </row>
    <row r="387" spans="1:21" x14ac:dyDescent="0.3">
      <c r="A387">
        <v>386</v>
      </c>
      <c r="B387" t="s">
        <v>151</v>
      </c>
      <c r="C387" t="s">
        <v>22</v>
      </c>
      <c r="D387">
        <v>64</v>
      </c>
      <c r="E387" t="s">
        <v>23</v>
      </c>
      <c r="F387" s="4">
        <v>30827.27</v>
      </c>
      <c r="G387" t="str">
        <f t="shared" si="24"/>
        <v>Low Income</v>
      </c>
      <c r="H387">
        <v>99284.51</v>
      </c>
      <c r="I387">
        <v>896</v>
      </c>
      <c r="J387" t="s">
        <v>18</v>
      </c>
      <c r="K387" t="s">
        <v>59</v>
      </c>
      <c r="L387">
        <v>493.43</v>
      </c>
      <c r="M387">
        <v>202625.71</v>
      </c>
      <c r="N387" t="s">
        <v>25</v>
      </c>
      <c r="O387" s="7">
        <f t="shared" ca="1" si="25"/>
        <v>45973</v>
      </c>
      <c r="P387" s="7">
        <v>45676</v>
      </c>
      <c r="Q387">
        <v>4</v>
      </c>
      <c r="R387" t="str">
        <f t="shared" si="26"/>
        <v>Low Risk</v>
      </c>
      <c r="S387" t="str">
        <f t="shared" si="27"/>
        <v>Good</v>
      </c>
      <c r="T387" s="4">
        <f>Table1[[#This Row],[Deposit_Amount]]+Table1[[#This Row],[Withdrawal_Amount]]</f>
        <v>130111.78</v>
      </c>
      <c r="U387" t="s">
        <v>274</v>
      </c>
    </row>
    <row r="388" spans="1:21" x14ac:dyDescent="0.3">
      <c r="A388">
        <v>387</v>
      </c>
      <c r="B388" t="s">
        <v>58</v>
      </c>
      <c r="C388" t="s">
        <v>16</v>
      </c>
      <c r="D388">
        <v>18</v>
      </c>
      <c r="E388" t="s">
        <v>35</v>
      </c>
      <c r="F388" s="4">
        <v>316567.24</v>
      </c>
      <c r="G388" t="str">
        <f t="shared" si="24"/>
        <v>High Income</v>
      </c>
      <c r="H388">
        <v>255287.53</v>
      </c>
      <c r="I388">
        <v>402</v>
      </c>
      <c r="J388" t="s">
        <v>27</v>
      </c>
      <c r="K388" t="s">
        <v>36</v>
      </c>
      <c r="L388">
        <v>141619.34</v>
      </c>
      <c r="M388">
        <v>50476.09</v>
      </c>
      <c r="N388" t="s">
        <v>20</v>
      </c>
      <c r="O388" s="7">
        <f t="shared" ca="1" si="25"/>
        <v>45701</v>
      </c>
      <c r="P388" s="7">
        <v>45938</v>
      </c>
      <c r="Q388">
        <v>1</v>
      </c>
      <c r="R388" t="str">
        <f t="shared" si="26"/>
        <v>Midum Risk</v>
      </c>
      <c r="S388" t="str">
        <f t="shared" si="27"/>
        <v xml:space="preserve">Midum </v>
      </c>
      <c r="T388" s="4">
        <f>Table1[[#This Row],[Deposit_Amount]]+Table1[[#This Row],[Withdrawal_Amount]]</f>
        <v>571854.77</v>
      </c>
      <c r="U388" t="s">
        <v>274</v>
      </c>
    </row>
    <row r="389" spans="1:21" x14ac:dyDescent="0.3">
      <c r="A389">
        <v>388</v>
      </c>
      <c r="B389" t="s">
        <v>201</v>
      </c>
      <c r="C389" t="s">
        <v>22</v>
      </c>
      <c r="D389">
        <v>41</v>
      </c>
      <c r="E389" t="s">
        <v>40</v>
      </c>
      <c r="F389" s="4">
        <v>305317.58</v>
      </c>
      <c r="G389" t="str">
        <f t="shared" si="24"/>
        <v>High Income</v>
      </c>
      <c r="H389">
        <v>5159</v>
      </c>
      <c r="I389">
        <v>736</v>
      </c>
      <c r="J389" t="s">
        <v>32</v>
      </c>
      <c r="K389" t="s">
        <v>19</v>
      </c>
      <c r="L389">
        <v>308412.21000000002</v>
      </c>
      <c r="M389">
        <v>43480.31</v>
      </c>
      <c r="N389" t="s">
        <v>20</v>
      </c>
      <c r="O389" s="7">
        <f t="shared" ca="1" si="25"/>
        <v>45940</v>
      </c>
      <c r="P389" s="7">
        <v>46011</v>
      </c>
      <c r="Q389">
        <v>3</v>
      </c>
      <c r="R389" t="str">
        <f t="shared" si="26"/>
        <v>Low Risk</v>
      </c>
      <c r="S389" t="str">
        <f t="shared" si="27"/>
        <v>Good</v>
      </c>
      <c r="T389" s="4">
        <f>Table1[[#This Row],[Deposit_Amount]]+Table1[[#This Row],[Withdrawal_Amount]]</f>
        <v>310476.58</v>
      </c>
      <c r="U389" t="s">
        <v>274</v>
      </c>
    </row>
    <row r="390" spans="1:21" x14ac:dyDescent="0.3">
      <c r="A390">
        <v>389</v>
      </c>
      <c r="B390" t="s">
        <v>55</v>
      </c>
      <c r="C390" t="s">
        <v>16</v>
      </c>
      <c r="D390">
        <v>40</v>
      </c>
      <c r="E390" t="s">
        <v>31</v>
      </c>
      <c r="F390" s="4">
        <v>21858.36</v>
      </c>
      <c r="G390" t="str">
        <f t="shared" si="24"/>
        <v>Low Income</v>
      </c>
      <c r="H390">
        <v>143266.07999999999</v>
      </c>
      <c r="I390">
        <v>354</v>
      </c>
      <c r="J390" t="s">
        <v>32</v>
      </c>
      <c r="K390" t="s">
        <v>59</v>
      </c>
      <c r="L390">
        <v>-17614.46</v>
      </c>
      <c r="M390">
        <v>100453.03</v>
      </c>
      <c r="N390" t="s">
        <v>25</v>
      </c>
      <c r="O390" s="7">
        <f t="shared" ca="1" si="25"/>
        <v>45940</v>
      </c>
      <c r="P390" s="7">
        <v>45766</v>
      </c>
      <c r="Q390">
        <v>1</v>
      </c>
      <c r="R390" t="str">
        <f t="shared" si="26"/>
        <v>High Risk</v>
      </c>
      <c r="S390" t="str">
        <f t="shared" si="27"/>
        <v>Poor</v>
      </c>
      <c r="T390" s="4">
        <f>Table1[[#This Row],[Deposit_Amount]]+Table1[[#This Row],[Withdrawal_Amount]]</f>
        <v>165124.44</v>
      </c>
      <c r="U390" t="s">
        <v>274</v>
      </c>
    </row>
    <row r="391" spans="1:21" x14ac:dyDescent="0.3">
      <c r="A391">
        <v>390</v>
      </c>
      <c r="B391" t="s">
        <v>202</v>
      </c>
      <c r="C391" t="s">
        <v>16</v>
      </c>
      <c r="D391">
        <v>29</v>
      </c>
      <c r="E391" t="s">
        <v>23</v>
      </c>
      <c r="F391" s="4">
        <v>123898.81</v>
      </c>
      <c r="G391" t="str">
        <f t="shared" si="24"/>
        <v>Midum Income</v>
      </c>
      <c r="H391">
        <v>255232.67</v>
      </c>
      <c r="I391">
        <v>341</v>
      </c>
      <c r="J391" t="s">
        <v>18</v>
      </c>
      <c r="K391" t="s">
        <v>24</v>
      </c>
      <c r="L391">
        <v>-108491.74</v>
      </c>
      <c r="M391">
        <v>18545.23</v>
      </c>
      <c r="N391" t="s">
        <v>28</v>
      </c>
      <c r="O391" s="7">
        <f t="shared" ca="1" si="25"/>
        <v>45904</v>
      </c>
      <c r="P391" s="7">
        <v>45878</v>
      </c>
      <c r="Q391">
        <v>5</v>
      </c>
      <c r="R391" t="str">
        <f t="shared" si="26"/>
        <v>High Risk</v>
      </c>
      <c r="S391" t="str">
        <f t="shared" si="27"/>
        <v>Poor</v>
      </c>
      <c r="T391" s="4">
        <f>Table1[[#This Row],[Deposit_Amount]]+Table1[[#This Row],[Withdrawal_Amount]]</f>
        <v>379131.48</v>
      </c>
      <c r="U391" t="s">
        <v>274</v>
      </c>
    </row>
    <row r="392" spans="1:21" x14ac:dyDescent="0.3">
      <c r="A392">
        <v>391</v>
      </c>
      <c r="B392" t="s">
        <v>177</v>
      </c>
      <c r="C392" t="s">
        <v>16</v>
      </c>
      <c r="D392">
        <v>35</v>
      </c>
      <c r="E392" t="s">
        <v>23</v>
      </c>
      <c r="F392" s="4">
        <v>46769.25</v>
      </c>
      <c r="G392" t="str">
        <f t="shared" si="24"/>
        <v>Low Income</v>
      </c>
      <c r="H392">
        <v>110831.62</v>
      </c>
      <c r="I392">
        <v>575</v>
      </c>
      <c r="J392" t="s">
        <v>38</v>
      </c>
      <c r="K392" t="s">
        <v>36</v>
      </c>
      <c r="L392">
        <v>-2241.48</v>
      </c>
      <c r="M392">
        <v>103627.54</v>
      </c>
      <c r="N392" t="s">
        <v>25</v>
      </c>
      <c r="O392" s="7">
        <f t="shared" ca="1" si="25"/>
        <v>45926</v>
      </c>
      <c r="P392" s="7">
        <v>46016</v>
      </c>
      <c r="Q392">
        <v>5</v>
      </c>
      <c r="R392" t="str">
        <f t="shared" si="26"/>
        <v>Midum Risk</v>
      </c>
      <c r="S392" t="str">
        <f t="shared" si="27"/>
        <v xml:space="preserve">Midum </v>
      </c>
      <c r="T392" s="4">
        <f>Table1[[#This Row],[Deposit_Amount]]+Table1[[#This Row],[Withdrawal_Amount]]</f>
        <v>157600.87</v>
      </c>
      <c r="U392" t="s">
        <v>274</v>
      </c>
    </row>
    <row r="393" spans="1:21" x14ac:dyDescent="0.3">
      <c r="A393">
        <v>392</v>
      </c>
      <c r="B393" t="s">
        <v>62</v>
      </c>
      <c r="C393" t="s">
        <v>22</v>
      </c>
      <c r="D393">
        <v>33</v>
      </c>
      <c r="E393" t="s">
        <v>35</v>
      </c>
      <c r="F393" s="4">
        <v>199388.48</v>
      </c>
      <c r="G393" t="str">
        <f t="shared" si="24"/>
        <v>Midum Income</v>
      </c>
      <c r="H393">
        <v>29110.42</v>
      </c>
      <c r="I393">
        <v>372</v>
      </c>
      <c r="J393" t="s">
        <v>41</v>
      </c>
      <c r="K393" t="s">
        <v>36</v>
      </c>
      <c r="L393">
        <v>288818.65000000002</v>
      </c>
      <c r="M393">
        <v>91098.8</v>
      </c>
      <c r="N393" t="s">
        <v>20</v>
      </c>
      <c r="O393" s="7">
        <f t="shared" ca="1" si="25"/>
        <v>45727</v>
      </c>
      <c r="P393" s="7">
        <v>45695</v>
      </c>
      <c r="Q393">
        <v>3</v>
      </c>
      <c r="R393" t="str">
        <f t="shared" si="26"/>
        <v>High Risk</v>
      </c>
      <c r="S393" t="str">
        <f t="shared" si="27"/>
        <v>Poor</v>
      </c>
      <c r="T393" s="4">
        <f>Table1[[#This Row],[Deposit_Amount]]+Table1[[#This Row],[Withdrawal_Amount]]</f>
        <v>228498.90000000002</v>
      </c>
      <c r="U393" t="s">
        <v>274</v>
      </c>
    </row>
    <row r="394" spans="1:21" x14ac:dyDescent="0.3">
      <c r="A394">
        <v>393</v>
      </c>
      <c r="B394" t="s">
        <v>174</v>
      </c>
      <c r="C394" t="s">
        <v>16</v>
      </c>
      <c r="D394">
        <v>33</v>
      </c>
      <c r="E394" t="s">
        <v>23</v>
      </c>
      <c r="F394" s="4">
        <v>80191.22</v>
      </c>
      <c r="G394" t="str">
        <f t="shared" si="24"/>
        <v>Low Income</v>
      </c>
      <c r="H394">
        <v>216251.13</v>
      </c>
      <c r="I394">
        <v>640</v>
      </c>
      <c r="J394" t="s">
        <v>27</v>
      </c>
      <c r="K394" t="s">
        <v>19</v>
      </c>
      <c r="L394">
        <v>40392.58</v>
      </c>
      <c r="M394">
        <v>89984.57</v>
      </c>
      <c r="N394" t="s">
        <v>25</v>
      </c>
      <c r="O394" s="7">
        <f t="shared" ca="1" si="25"/>
        <v>45702</v>
      </c>
      <c r="P394" s="7">
        <v>45679</v>
      </c>
      <c r="Q394">
        <v>4</v>
      </c>
      <c r="R394" t="str">
        <f t="shared" si="26"/>
        <v>Low Risk</v>
      </c>
      <c r="S394" t="str">
        <f t="shared" si="27"/>
        <v>Good</v>
      </c>
      <c r="T394" s="4">
        <f>Table1[[#This Row],[Deposit_Amount]]+Table1[[#This Row],[Withdrawal_Amount]]</f>
        <v>296442.34999999998</v>
      </c>
      <c r="U394" t="s">
        <v>274</v>
      </c>
    </row>
    <row r="395" spans="1:21" x14ac:dyDescent="0.3">
      <c r="A395">
        <v>394</v>
      </c>
      <c r="B395" t="s">
        <v>162</v>
      </c>
      <c r="C395" t="s">
        <v>16</v>
      </c>
      <c r="D395">
        <v>34</v>
      </c>
      <c r="E395" t="s">
        <v>35</v>
      </c>
      <c r="F395" s="4">
        <v>214836.33</v>
      </c>
      <c r="G395" t="str">
        <f t="shared" si="24"/>
        <v>High Income</v>
      </c>
      <c r="H395">
        <v>24012.97</v>
      </c>
      <c r="I395">
        <v>477</v>
      </c>
      <c r="J395" t="s">
        <v>18</v>
      </c>
      <c r="K395" t="s">
        <v>42</v>
      </c>
      <c r="L395">
        <v>288925.77</v>
      </c>
      <c r="M395">
        <v>82547.929999999993</v>
      </c>
      <c r="N395" t="s">
        <v>25</v>
      </c>
      <c r="O395" s="7">
        <f t="shared" ca="1" si="25"/>
        <v>45743</v>
      </c>
      <c r="P395" s="7">
        <v>45717</v>
      </c>
      <c r="Q395">
        <v>4</v>
      </c>
      <c r="R395" t="str">
        <f t="shared" si="26"/>
        <v>Midum Risk</v>
      </c>
      <c r="S395" t="str">
        <f t="shared" si="27"/>
        <v xml:space="preserve">Midum </v>
      </c>
      <c r="T395" s="4">
        <f>Table1[[#This Row],[Deposit_Amount]]+Table1[[#This Row],[Withdrawal_Amount]]</f>
        <v>238849.3</v>
      </c>
      <c r="U395" t="s">
        <v>274</v>
      </c>
    </row>
    <row r="396" spans="1:21" x14ac:dyDescent="0.3">
      <c r="A396">
        <v>395</v>
      </c>
      <c r="B396" t="s">
        <v>91</v>
      </c>
      <c r="C396" t="s">
        <v>16</v>
      </c>
      <c r="D396">
        <v>33</v>
      </c>
      <c r="E396" t="s">
        <v>35</v>
      </c>
      <c r="F396" s="4">
        <v>163781.26</v>
      </c>
      <c r="G396" t="str">
        <f t="shared" si="24"/>
        <v>Midum Income</v>
      </c>
      <c r="H396">
        <v>203289</v>
      </c>
      <c r="I396">
        <v>878</v>
      </c>
      <c r="J396" t="s">
        <v>41</v>
      </c>
      <c r="K396" t="s">
        <v>36</v>
      </c>
      <c r="L396">
        <v>58112.79</v>
      </c>
      <c r="M396">
        <v>202569.7</v>
      </c>
      <c r="N396" t="s">
        <v>25</v>
      </c>
      <c r="O396" s="7">
        <f t="shared" ca="1" si="25"/>
        <v>46011</v>
      </c>
      <c r="P396" s="7">
        <v>45964</v>
      </c>
      <c r="Q396">
        <v>5</v>
      </c>
      <c r="R396" t="str">
        <f t="shared" si="26"/>
        <v>Low Risk</v>
      </c>
      <c r="S396" t="str">
        <f t="shared" si="27"/>
        <v>Good</v>
      </c>
      <c r="T396" s="4">
        <f>Table1[[#This Row],[Deposit_Amount]]+Table1[[#This Row],[Withdrawal_Amount]]</f>
        <v>367070.26</v>
      </c>
      <c r="U396" t="s">
        <v>274</v>
      </c>
    </row>
    <row r="397" spans="1:21" x14ac:dyDescent="0.3">
      <c r="A397">
        <v>396</v>
      </c>
      <c r="B397" t="s">
        <v>171</v>
      </c>
      <c r="C397" t="s">
        <v>22</v>
      </c>
      <c r="D397">
        <v>67</v>
      </c>
      <c r="E397" t="s">
        <v>17</v>
      </c>
      <c r="F397" s="4">
        <v>412296.07</v>
      </c>
      <c r="G397" t="str">
        <f t="shared" si="24"/>
        <v>High Income</v>
      </c>
      <c r="H397">
        <v>47185.95</v>
      </c>
      <c r="I397">
        <v>750</v>
      </c>
      <c r="J397" t="s">
        <v>32</v>
      </c>
      <c r="K397" t="s">
        <v>24</v>
      </c>
      <c r="L397">
        <v>441072</v>
      </c>
      <c r="M397">
        <v>162083.84</v>
      </c>
      <c r="N397" t="s">
        <v>25</v>
      </c>
      <c r="O397" s="7">
        <f t="shared" ca="1" si="25"/>
        <v>45938</v>
      </c>
      <c r="P397" s="7">
        <v>45737</v>
      </c>
      <c r="Q397">
        <v>1</v>
      </c>
      <c r="R397" t="str">
        <f t="shared" si="26"/>
        <v>Low Risk</v>
      </c>
      <c r="S397" t="str">
        <f t="shared" si="27"/>
        <v>Good</v>
      </c>
      <c r="T397" s="4">
        <f>Table1[[#This Row],[Deposit_Amount]]+Table1[[#This Row],[Withdrawal_Amount]]</f>
        <v>459482.02</v>
      </c>
      <c r="U397" t="s">
        <v>274</v>
      </c>
    </row>
    <row r="398" spans="1:21" x14ac:dyDescent="0.3">
      <c r="A398">
        <v>397</v>
      </c>
      <c r="B398" t="s">
        <v>118</v>
      </c>
      <c r="C398" t="s">
        <v>22</v>
      </c>
      <c r="D398">
        <v>43</v>
      </c>
      <c r="E398" t="s">
        <v>31</v>
      </c>
      <c r="F398" s="4">
        <v>199852.92</v>
      </c>
      <c r="G398" t="str">
        <f t="shared" si="24"/>
        <v>Midum Income</v>
      </c>
      <c r="H398">
        <v>245749.71</v>
      </c>
      <c r="I398">
        <v>604</v>
      </c>
      <c r="J398" t="s">
        <v>38</v>
      </c>
      <c r="K398" t="s">
        <v>24</v>
      </c>
      <c r="L398">
        <v>112277.38</v>
      </c>
      <c r="M398">
        <v>127340.51</v>
      </c>
      <c r="N398" t="s">
        <v>25</v>
      </c>
      <c r="O398" s="7">
        <f t="shared" ca="1" si="25"/>
        <v>45953</v>
      </c>
      <c r="P398" s="7">
        <v>45664</v>
      </c>
      <c r="Q398">
        <v>2</v>
      </c>
      <c r="R398" t="str">
        <f t="shared" si="26"/>
        <v>Low Risk</v>
      </c>
      <c r="S398" t="str">
        <f t="shared" si="27"/>
        <v>Good</v>
      </c>
      <c r="T398" s="4">
        <f>Table1[[#This Row],[Deposit_Amount]]+Table1[[#This Row],[Withdrawal_Amount]]</f>
        <v>445602.63</v>
      </c>
      <c r="U398" t="s">
        <v>274</v>
      </c>
    </row>
    <row r="399" spans="1:21" x14ac:dyDescent="0.3">
      <c r="A399">
        <v>398</v>
      </c>
      <c r="B399" t="s">
        <v>71</v>
      </c>
      <c r="C399" t="s">
        <v>16</v>
      </c>
      <c r="D399">
        <v>45</v>
      </c>
      <c r="E399" t="s">
        <v>17</v>
      </c>
      <c r="F399" s="4">
        <v>123601.92</v>
      </c>
      <c r="G399" t="str">
        <f t="shared" si="24"/>
        <v>Midum Income</v>
      </c>
      <c r="H399">
        <v>224975.64</v>
      </c>
      <c r="I399">
        <v>503</v>
      </c>
      <c r="J399" t="s">
        <v>38</v>
      </c>
      <c r="K399" t="s">
        <v>42</v>
      </c>
      <c r="L399">
        <v>32182.18</v>
      </c>
      <c r="M399">
        <v>135716.57999999999</v>
      </c>
      <c r="N399" t="s">
        <v>28</v>
      </c>
      <c r="O399" s="7">
        <f t="shared" ca="1" si="25"/>
        <v>45977</v>
      </c>
      <c r="P399" s="7">
        <v>45816</v>
      </c>
      <c r="Q399">
        <v>4</v>
      </c>
      <c r="R399" t="str">
        <f t="shared" si="26"/>
        <v>Midum Risk</v>
      </c>
      <c r="S399" t="str">
        <f t="shared" si="27"/>
        <v xml:space="preserve">Midum </v>
      </c>
      <c r="T399" s="4">
        <f>Table1[[#This Row],[Deposit_Amount]]+Table1[[#This Row],[Withdrawal_Amount]]</f>
        <v>348577.56</v>
      </c>
      <c r="U399" t="s">
        <v>274</v>
      </c>
    </row>
    <row r="400" spans="1:21" x14ac:dyDescent="0.3">
      <c r="A400">
        <v>399</v>
      </c>
      <c r="B400" t="s">
        <v>81</v>
      </c>
      <c r="C400" t="s">
        <v>22</v>
      </c>
      <c r="D400">
        <v>41</v>
      </c>
      <c r="E400" t="s">
        <v>31</v>
      </c>
      <c r="F400" s="4">
        <v>117200.94</v>
      </c>
      <c r="G400" t="str">
        <f t="shared" si="24"/>
        <v>Midum Income</v>
      </c>
      <c r="H400">
        <v>64374.720000000001</v>
      </c>
      <c r="I400">
        <v>484</v>
      </c>
      <c r="J400" t="s">
        <v>41</v>
      </c>
      <c r="K400" t="s">
        <v>36</v>
      </c>
      <c r="L400">
        <v>141687.22</v>
      </c>
      <c r="M400">
        <v>47973.919999999998</v>
      </c>
      <c r="N400" t="s">
        <v>25</v>
      </c>
      <c r="O400" s="7">
        <f t="shared" ca="1" si="25"/>
        <v>45863</v>
      </c>
      <c r="P400" s="7">
        <v>45723</v>
      </c>
      <c r="Q400">
        <v>1</v>
      </c>
      <c r="R400" t="str">
        <f t="shared" si="26"/>
        <v>Midum Risk</v>
      </c>
      <c r="S400" t="str">
        <f t="shared" si="27"/>
        <v xml:space="preserve">Midum </v>
      </c>
      <c r="T400" s="4">
        <f>Table1[[#This Row],[Deposit_Amount]]+Table1[[#This Row],[Withdrawal_Amount]]</f>
        <v>181575.66</v>
      </c>
      <c r="U400" t="s">
        <v>274</v>
      </c>
    </row>
    <row r="401" spans="1:21" x14ac:dyDescent="0.3">
      <c r="A401">
        <v>400</v>
      </c>
      <c r="B401" t="s">
        <v>56</v>
      </c>
      <c r="C401" t="s">
        <v>16</v>
      </c>
      <c r="D401">
        <v>44</v>
      </c>
      <c r="E401" t="s">
        <v>23</v>
      </c>
      <c r="F401" s="4">
        <v>113382.39999999999</v>
      </c>
      <c r="G401" t="str">
        <f t="shared" si="24"/>
        <v>Midum Income</v>
      </c>
      <c r="H401">
        <v>89446.74</v>
      </c>
      <c r="I401">
        <v>470</v>
      </c>
      <c r="J401" t="s">
        <v>38</v>
      </c>
      <c r="K401" t="s">
        <v>59</v>
      </c>
      <c r="L401">
        <v>85348.05</v>
      </c>
      <c r="M401">
        <v>140587.64000000001</v>
      </c>
      <c r="N401" t="s">
        <v>25</v>
      </c>
      <c r="O401" s="7">
        <f t="shared" ca="1" si="25"/>
        <v>46005</v>
      </c>
      <c r="P401" s="7">
        <v>45697</v>
      </c>
      <c r="Q401">
        <v>2</v>
      </c>
      <c r="R401" t="str">
        <f t="shared" si="26"/>
        <v>Midum Risk</v>
      </c>
      <c r="S401" t="str">
        <f t="shared" si="27"/>
        <v xml:space="preserve">Midum </v>
      </c>
      <c r="T401" s="4">
        <f>Table1[[#This Row],[Deposit_Amount]]+Table1[[#This Row],[Withdrawal_Amount]]</f>
        <v>202829.14</v>
      </c>
      <c r="U401" t="s">
        <v>274</v>
      </c>
    </row>
    <row r="402" spans="1:21" x14ac:dyDescent="0.3">
      <c r="A402">
        <v>401</v>
      </c>
      <c r="B402" t="s">
        <v>183</v>
      </c>
      <c r="C402" t="s">
        <v>22</v>
      </c>
      <c r="D402">
        <v>50</v>
      </c>
      <c r="E402" t="s">
        <v>17</v>
      </c>
      <c r="F402" s="4">
        <v>60273.2</v>
      </c>
      <c r="G402" t="str">
        <f t="shared" si="24"/>
        <v>Low Income</v>
      </c>
      <c r="H402">
        <v>107098.1</v>
      </c>
      <c r="I402">
        <v>783</v>
      </c>
      <c r="J402" t="s">
        <v>18</v>
      </c>
      <c r="K402" t="s">
        <v>24</v>
      </c>
      <c r="L402">
        <v>-2731.64</v>
      </c>
      <c r="M402">
        <v>245704.61</v>
      </c>
      <c r="N402" t="s">
        <v>28</v>
      </c>
      <c r="O402" s="7">
        <f t="shared" ca="1" si="25"/>
        <v>45668</v>
      </c>
      <c r="P402" s="7">
        <v>45677</v>
      </c>
      <c r="Q402">
        <v>1</v>
      </c>
      <c r="R402" t="str">
        <f t="shared" si="26"/>
        <v>Low Risk</v>
      </c>
      <c r="S402" t="str">
        <f t="shared" si="27"/>
        <v>Good</v>
      </c>
      <c r="T402" s="4">
        <f>Table1[[#This Row],[Deposit_Amount]]+Table1[[#This Row],[Withdrawal_Amount]]</f>
        <v>167371.29999999999</v>
      </c>
      <c r="U402" t="s">
        <v>274</v>
      </c>
    </row>
    <row r="403" spans="1:21" x14ac:dyDescent="0.3">
      <c r="A403">
        <v>402</v>
      </c>
      <c r="B403" t="s">
        <v>191</v>
      </c>
      <c r="C403" t="s">
        <v>22</v>
      </c>
      <c r="D403">
        <v>42</v>
      </c>
      <c r="E403" t="s">
        <v>17</v>
      </c>
      <c r="F403" s="4">
        <v>18907.43</v>
      </c>
      <c r="G403" t="str">
        <f t="shared" si="24"/>
        <v>Low Income</v>
      </c>
      <c r="H403">
        <v>289993.48</v>
      </c>
      <c r="I403">
        <v>468</v>
      </c>
      <c r="J403" t="s">
        <v>38</v>
      </c>
      <c r="K403" t="s">
        <v>59</v>
      </c>
      <c r="L403">
        <v>-128989.4</v>
      </c>
      <c r="M403">
        <v>151897.14000000001</v>
      </c>
      <c r="N403" t="s">
        <v>25</v>
      </c>
      <c r="O403" s="7">
        <f t="shared" ca="1" si="25"/>
        <v>45969</v>
      </c>
      <c r="P403" s="7">
        <v>46015</v>
      </c>
      <c r="Q403">
        <v>3</v>
      </c>
      <c r="R403" t="str">
        <f t="shared" si="26"/>
        <v>Midum Risk</v>
      </c>
      <c r="S403" t="str">
        <f t="shared" si="27"/>
        <v xml:space="preserve">Midum </v>
      </c>
      <c r="T403" s="4">
        <f>Table1[[#This Row],[Deposit_Amount]]+Table1[[#This Row],[Withdrawal_Amount]]</f>
        <v>308900.90999999997</v>
      </c>
      <c r="U403" t="s">
        <v>274</v>
      </c>
    </row>
    <row r="404" spans="1:21" x14ac:dyDescent="0.3">
      <c r="A404">
        <v>403</v>
      </c>
      <c r="B404" t="s">
        <v>122</v>
      </c>
      <c r="C404" t="s">
        <v>16</v>
      </c>
      <c r="D404">
        <v>32</v>
      </c>
      <c r="E404" t="s">
        <v>31</v>
      </c>
      <c r="F404" s="4">
        <v>318972.53000000003</v>
      </c>
      <c r="G404" t="str">
        <f t="shared" si="24"/>
        <v>High Income</v>
      </c>
      <c r="H404">
        <v>192491.53</v>
      </c>
      <c r="I404">
        <v>875</v>
      </c>
      <c r="J404" t="s">
        <v>27</v>
      </c>
      <c r="K404" t="s">
        <v>36</v>
      </c>
      <c r="L404">
        <v>171648.88</v>
      </c>
      <c r="M404">
        <v>135329.79999999999</v>
      </c>
      <c r="N404" t="s">
        <v>20</v>
      </c>
      <c r="O404" s="7">
        <f t="shared" ca="1" si="25"/>
        <v>45965</v>
      </c>
      <c r="P404" s="7">
        <v>45838</v>
      </c>
      <c r="Q404">
        <v>5</v>
      </c>
      <c r="R404" t="str">
        <f t="shared" si="26"/>
        <v>Low Risk</v>
      </c>
      <c r="S404" t="str">
        <f t="shared" si="27"/>
        <v>Good</v>
      </c>
      <c r="T404" s="4">
        <f>Table1[[#This Row],[Deposit_Amount]]+Table1[[#This Row],[Withdrawal_Amount]]</f>
        <v>511464.06000000006</v>
      </c>
      <c r="U404" t="s">
        <v>274</v>
      </c>
    </row>
    <row r="405" spans="1:21" x14ac:dyDescent="0.3">
      <c r="A405">
        <v>404</v>
      </c>
      <c r="B405" t="s">
        <v>85</v>
      </c>
      <c r="C405" t="s">
        <v>16</v>
      </c>
      <c r="D405">
        <v>51</v>
      </c>
      <c r="E405" t="s">
        <v>40</v>
      </c>
      <c r="F405" s="4">
        <v>353786.58</v>
      </c>
      <c r="G405" t="str">
        <f t="shared" si="24"/>
        <v>High Income</v>
      </c>
      <c r="H405">
        <v>179937.17</v>
      </c>
      <c r="I405">
        <v>864</v>
      </c>
      <c r="J405" t="s">
        <v>18</v>
      </c>
      <c r="K405" t="s">
        <v>19</v>
      </c>
      <c r="L405">
        <v>361714.54</v>
      </c>
      <c r="M405">
        <v>170596.99</v>
      </c>
      <c r="N405" t="s">
        <v>28</v>
      </c>
      <c r="O405" s="7">
        <f t="shared" ca="1" si="25"/>
        <v>45688</v>
      </c>
      <c r="P405" s="7">
        <v>45938</v>
      </c>
      <c r="Q405">
        <v>2</v>
      </c>
      <c r="R405" t="str">
        <f t="shared" si="26"/>
        <v>Low Risk</v>
      </c>
      <c r="S405" t="str">
        <f t="shared" si="27"/>
        <v>Good</v>
      </c>
      <c r="T405" s="4">
        <f>Table1[[#This Row],[Deposit_Amount]]+Table1[[#This Row],[Withdrawal_Amount]]</f>
        <v>533723.75</v>
      </c>
      <c r="U405" t="s">
        <v>274</v>
      </c>
    </row>
    <row r="406" spans="1:21" x14ac:dyDescent="0.3">
      <c r="A406">
        <v>405</v>
      </c>
      <c r="B406" t="s">
        <v>190</v>
      </c>
      <c r="C406" t="s">
        <v>22</v>
      </c>
      <c r="D406">
        <v>47</v>
      </c>
      <c r="E406" t="s">
        <v>31</v>
      </c>
      <c r="F406" s="4">
        <v>258999.77</v>
      </c>
      <c r="G406" t="str">
        <f t="shared" si="24"/>
        <v>High Income</v>
      </c>
      <c r="H406">
        <v>203766.17</v>
      </c>
      <c r="I406">
        <v>704</v>
      </c>
      <c r="J406" t="s">
        <v>41</v>
      </c>
      <c r="K406" t="s">
        <v>36</v>
      </c>
      <c r="L406">
        <v>190917.42</v>
      </c>
      <c r="M406">
        <v>63032.17</v>
      </c>
      <c r="N406" t="s">
        <v>20</v>
      </c>
      <c r="O406" s="7">
        <f t="shared" ca="1" si="25"/>
        <v>45785</v>
      </c>
      <c r="P406" s="7">
        <v>45694</v>
      </c>
      <c r="Q406">
        <v>2</v>
      </c>
      <c r="R406" t="str">
        <f t="shared" si="26"/>
        <v>Low Risk</v>
      </c>
      <c r="S406" t="str">
        <f t="shared" si="27"/>
        <v>Good</v>
      </c>
      <c r="T406" s="4">
        <f>Table1[[#This Row],[Deposit_Amount]]+Table1[[#This Row],[Withdrawal_Amount]]</f>
        <v>462765.94</v>
      </c>
      <c r="U406" t="s">
        <v>274</v>
      </c>
    </row>
    <row r="407" spans="1:21" x14ac:dyDescent="0.3">
      <c r="A407">
        <v>406</v>
      </c>
      <c r="B407" t="s">
        <v>100</v>
      </c>
      <c r="C407" t="s">
        <v>16</v>
      </c>
      <c r="D407">
        <v>51</v>
      </c>
      <c r="E407" t="s">
        <v>17</v>
      </c>
      <c r="F407" s="4">
        <v>345401</v>
      </c>
      <c r="G407" t="str">
        <f t="shared" si="24"/>
        <v>High Income</v>
      </c>
      <c r="H407">
        <v>128755.64</v>
      </c>
      <c r="I407">
        <v>590</v>
      </c>
      <c r="J407" t="s">
        <v>41</v>
      </c>
      <c r="K407" t="s">
        <v>36</v>
      </c>
      <c r="L407">
        <v>284435.08</v>
      </c>
      <c r="M407">
        <v>207032.61</v>
      </c>
      <c r="N407" t="s">
        <v>20</v>
      </c>
      <c r="O407" s="7">
        <f t="shared" ca="1" si="25"/>
        <v>45740</v>
      </c>
      <c r="P407" s="7">
        <v>45683</v>
      </c>
      <c r="Q407">
        <v>5</v>
      </c>
      <c r="R407" t="str">
        <f t="shared" si="26"/>
        <v>Midum Risk</v>
      </c>
      <c r="S407" t="str">
        <f t="shared" si="27"/>
        <v xml:space="preserve">Midum </v>
      </c>
      <c r="T407" s="4">
        <f>Table1[[#This Row],[Deposit_Amount]]+Table1[[#This Row],[Withdrawal_Amount]]</f>
        <v>474156.64</v>
      </c>
      <c r="U407" t="s">
        <v>274</v>
      </c>
    </row>
    <row r="408" spans="1:21" x14ac:dyDescent="0.3">
      <c r="A408">
        <v>407</v>
      </c>
      <c r="B408" t="s">
        <v>194</v>
      </c>
      <c r="C408" t="s">
        <v>22</v>
      </c>
      <c r="D408">
        <v>31</v>
      </c>
      <c r="E408" t="s">
        <v>35</v>
      </c>
      <c r="F408" s="4">
        <v>269409.39</v>
      </c>
      <c r="G408" t="str">
        <f t="shared" si="24"/>
        <v>High Income</v>
      </c>
      <c r="H408">
        <v>141094.26999999999</v>
      </c>
      <c r="I408">
        <v>449</v>
      </c>
      <c r="J408" t="s">
        <v>38</v>
      </c>
      <c r="K408" t="s">
        <v>59</v>
      </c>
      <c r="L408">
        <v>142444.10999999999</v>
      </c>
      <c r="M408">
        <v>36928.639999999999</v>
      </c>
      <c r="N408" t="s">
        <v>28</v>
      </c>
      <c r="O408" s="7">
        <f t="shared" ca="1" si="25"/>
        <v>45771</v>
      </c>
      <c r="P408" s="7">
        <v>45918</v>
      </c>
      <c r="Q408">
        <v>2</v>
      </c>
      <c r="R408" t="str">
        <f t="shared" si="26"/>
        <v>Midum Risk</v>
      </c>
      <c r="S408" t="str">
        <f t="shared" si="27"/>
        <v xml:space="preserve">Midum </v>
      </c>
      <c r="T408" s="4">
        <f>Table1[[#This Row],[Deposit_Amount]]+Table1[[#This Row],[Withdrawal_Amount]]</f>
        <v>410503.66000000003</v>
      </c>
      <c r="U408" t="s">
        <v>274</v>
      </c>
    </row>
    <row r="409" spans="1:21" x14ac:dyDescent="0.3">
      <c r="A409">
        <v>408</v>
      </c>
      <c r="B409" t="s">
        <v>60</v>
      </c>
      <c r="C409" t="s">
        <v>22</v>
      </c>
      <c r="D409">
        <v>66</v>
      </c>
      <c r="E409" t="s">
        <v>35</v>
      </c>
      <c r="F409" s="4">
        <v>8334.66</v>
      </c>
      <c r="G409" t="str">
        <f t="shared" si="24"/>
        <v>Low Income</v>
      </c>
      <c r="H409">
        <v>194178.67</v>
      </c>
      <c r="I409">
        <v>752</v>
      </c>
      <c r="J409" t="s">
        <v>18</v>
      </c>
      <c r="K409" t="s">
        <v>59</v>
      </c>
      <c r="L409">
        <v>-69756.12</v>
      </c>
      <c r="M409">
        <v>209690.7</v>
      </c>
      <c r="N409" t="s">
        <v>28</v>
      </c>
      <c r="O409" s="7">
        <f t="shared" ca="1" si="25"/>
        <v>45901</v>
      </c>
      <c r="P409" s="7">
        <v>45939</v>
      </c>
      <c r="Q409">
        <v>5</v>
      </c>
      <c r="R409" t="str">
        <f t="shared" si="26"/>
        <v>Low Risk</v>
      </c>
      <c r="S409" t="str">
        <f t="shared" si="27"/>
        <v>Good</v>
      </c>
      <c r="T409" s="4">
        <f>Table1[[#This Row],[Deposit_Amount]]+Table1[[#This Row],[Withdrawal_Amount]]</f>
        <v>202513.33000000002</v>
      </c>
      <c r="U409" t="s">
        <v>274</v>
      </c>
    </row>
    <row r="410" spans="1:21" x14ac:dyDescent="0.3">
      <c r="A410">
        <v>409</v>
      </c>
      <c r="B410" t="s">
        <v>133</v>
      </c>
      <c r="C410" t="s">
        <v>16</v>
      </c>
      <c r="D410">
        <v>18</v>
      </c>
      <c r="E410" t="s">
        <v>17</v>
      </c>
      <c r="F410" s="4">
        <v>208117.89</v>
      </c>
      <c r="G410" t="str">
        <f t="shared" si="24"/>
        <v>High Income</v>
      </c>
      <c r="H410">
        <v>259655.15</v>
      </c>
      <c r="I410">
        <v>467</v>
      </c>
      <c r="J410" t="s">
        <v>27</v>
      </c>
      <c r="K410" t="s">
        <v>19</v>
      </c>
      <c r="L410">
        <v>140213.19</v>
      </c>
      <c r="M410">
        <v>66551.56</v>
      </c>
      <c r="N410" t="s">
        <v>20</v>
      </c>
      <c r="O410" s="7">
        <f t="shared" ca="1" si="25"/>
        <v>45841</v>
      </c>
      <c r="P410" s="7">
        <v>45886</v>
      </c>
      <c r="Q410">
        <v>5</v>
      </c>
      <c r="R410" t="str">
        <f t="shared" si="26"/>
        <v>Midum Risk</v>
      </c>
      <c r="S410" t="str">
        <f t="shared" si="27"/>
        <v xml:space="preserve">Midum </v>
      </c>
      <c r="T410" s="4">
        <f>Table1[[#This Row],[Deposit_Amount]]+Table1[[#This Row],[Withdrawal_Amount]]</f>
        <v>467773.04000000004</v>
      </c>
      <c r="U410" t="s">
        <v>274</v>
      </c>
    </row>
    <row r="411" spans="1:21" x14ac:dyDescent="0.3">
      <c r="A411">
        <v>410</v>
      </c>
      <c r="B411" t="s">
        <v>144</v>
      </c>
      <c r="C411" t="s">
        <v>16</v>
      </c>
      <c r="D411">
        <v>54</v>
      </c>
      <c r="E411" t="s">
        <v>17</v>
      </c>
      <c r="F411" s="4">
        <v>45005.82</v>
      </c>
      <c r="G411" t="str">
        <f t="shared" si="24"/>
        <v>Low Income</v>
      </c>
      <c r="H411">
        <v>205697.88</v>
      </c>
      <c r="I411">
        <v>430</v>
      </c>
      <c r="J411" t="s">
        <v>38</v>
      </c>
      <c r="K411" t="s">
        <v>42</v>
      </c>
      <c r="L411">
        <v>-61347.34</v>
      </c>
      <c r="M411">
        <v>138127.04999999999</v>
      </c>
      <c r="N411" t="s">
        <v>28</v>
      </c>
      <c r="O411" s="7">
        <f t="shared" ca="1" si="25"/>
        <v>45955</v>
      </c>
      <c r="P411" s="7">
        <v>45932</v>
      </c>
      <c r="Q411">
        <v>4</v>
      </c>
      <c r="R411" t="str">
        <f t="shared" si="26"/>
        <v>Midum Risk</v>
      </c>
      <c r="S411" t="str">
        <f t="shared" si="27"/>
        <v xml:space="preserve">Midum </v>
      </c>
      <c r="T411" s="4">
        <f>Table1[[#This Row],[Deposit_Amount]]+Table1[[#This Row],[Withdrawal_Amount]]</f>
        <v>250703.7</v>
      </c>
      <c r="U411" t="s">
        <v>274</v>
      </c>
    </row>
    <row r="412" spans="1:21" x14ac:dyDescent="0.3">
      <c r="A412">
        <v>411</v>
      </c>
      <c r="B412" t="s">
        <v>68</v>
      </c>
      <c r="C412" t="s">
        <v>16</v>
      </c>
      <c r="D412">
        <v>44</v>
      </c>
      <c r="E412" t="s">
        <v>44</v>
      </c>
      <c r="F412" s="4">
        <v>117583.47</v>
      </c>
      <c r="G412" t="str">
        <f t="shared" si="24"/>
        <v>Midum Income</v>
      </c>
      <c r="H412">
        <v>78238.38</v>
      </c>
      <c r="I412">
        <v>392</v>
      </c>
      <c r="J412" t="s">
        <v>18</v>
      </c>
      <c r="K412" t="s">
        <v>42</v>
      </c>
      <c r="L412">
        <v>47390.17</v>
      </c>
      <c r="M412">
        <v>128778.8</v>
      </c>
      <c r="N412" t="s">
        <v>25</v>
      </c>
      <c r="O412" s="7">
        <f t="shared" ca="1" si="25"/>
        <v>45661</v>
      </c>
      <c r="P412" s="7">
        <v>45723</v>
      </c>
      <c r="Q412">
        <v>2</v>
      </c>
      <c r="R412" t="str">
        <f t="shared" si="26"/>
        <v>High Risk</v>
      </c>
      <c r="S412" t="str">
        <f t="shared" si="27"/>
        <v>Poor</v>
      </c>
      <c r="T412" s="4">
        <f>Table1[[#This Row],[Deposit_Amount]]+Table1[[#This Row],[Withdrawal_Amount]]</f>
        <v>195821.85</v>
      </c>
      <c r="U412" t="s">
        <v>274</v>
      </c>
    </row>
    <row r="413" spans="1:21" x14ac:dyDescent="0.3">
      <c r="A413">
        <v>412</v>
      </c>
      <c r="B413" t="s">
        <v>203</v>
      </c>
      <c r="C413" t="s">
        <v>16</v>
      </c>
      <c r="D413">
        <v>43</v>
      </c>
      <c r="E413" t="s">
        <v>31</v>
      </c>
      <c r="F413" s="4">
        <v>352969.92</v>
      </c>
      <c r="G413" t="str">
        <f t="shared" si="24"/>
        <v>High Income</v>
      </c>
      <c r="H413">
        <v>25942.3</v>
      </c>
      <c r="I413">
        <v>686</v>
      </c>
      <c r="J413" t="s">
        <v>32</v>
      </c>
      <c r="K413" t="s">
        <v>36</v>
      </c>
      <c r="L413">
        <v>409203.39</v>
      </c>
      <c r="M413">
        <v>118887.05</v>
      </c>
      <c r="N413" t="s">
        <v>20</v>
      </c>
      <c r="O413" s="7">
        <f t="shared" ca="1" si="25"/>
        <v>45820</v>
      </c>
      <c r="P413" s="7">
        <v>45965</v>
      </c>
      <c r="Q413">
        <v>2</v>
      </c>
      <c r="R413" t="str">
        <f t="shared" si="26"/>
        <v>Low Risk</v>
      </c>
      <c r="S413" t="str">
        <f t="shared" si="27"/>
        <v>Good</v>
      </c>
      <c r="T413" s="4">
        <f>Table1[[#This Row],[Deposit_Amount]]+Table1[[#This Row],[Withdrawal_Amount]]</f>
        <v>378912.22</v>
      </c>
      <c r="U413" t="s">
        <v>274</v>
      </c>
    </row>
    <row r="414" spans="1:21" x14ac:dyDescent="0.3">
      <c r="A414">
        <v>413</v>
      </c>
      <c r="B414" t="s">
        <v>137</v>
      </c>
      <c r="C414" t="s">
        <v>16</v>
      </c>
      <c r="D414">
        <v>19</v>
      </c>
      <c r="E414" t="s">
        <v>35</v>
      </c>
      <c r="F414" s="4">
        <v>246626.09</v>
      </c>
      <c r="G414" t="str">
        <f t="shared" si="24"/>
        <v>High Income</v>
      </c>
      <c r="H414">
        <v>138381.01999999999</v>
      </c>
      <c r="I414">
        <v>858</v>
      </c>
      <c r="J414" t="s">
        <v>38</v>
      </c>
      <c r="K414" t="s">
        <v>24</v>
      </c>
      <c r="L414">
        <v>130328.46</v>
      </c>
      <c r="M414">
        <v>146402.14000000001</v>
      </c>
      <c r="N414" t="s">
        <v>25</v>
      </c>
      <c r="O414" s="7">
        <f t="shared" ca="1" si="25"/>
        <v>45941</v>
      </c>
      <c r="P414" s="7">
        <v>45720</v>
      </c>
      <c r="Q414">
        <v>2</v>
      </c>
      <c r="R414" t="str">
        <f t="shared" si="26"/>
        <v>Low Risk</v>
      </c>
      <c r="S414" t="str">
        <f t="shared" si="27"/>
        <v>Good</v>
      </c>
      <c r="T414" s="4">
        <f>Table1[[#This Row],[Deposit_Amount]]+Table1[[#This Row],[Withdrawal_Amount]]</f>
        <v>385007.11</v>
      </c>
      <c r="U414" t="s">
        <v>274</v>
      </c>
    </row>
    <row r="415" spans="1:21" x14ac:dyDescent="0.3">
      <c r="A415">
        <v>414</v>
      </c>
      <c r="B415" t="s">
        <v>144</v>
      </c>
      <c r="C415" t="s">
        <v>16</v>
      </c>
      <c r="D415">
        <v>44</v>
      </c>
      <c r="E415" t="s">
        <v>17</v>
      </c>
      <c r="F415" s="4">
        <v>358117.26</v>
      </c>
      <c r="G415" t="str">
        <f t="shared" si="24"/>
        <v>High Income</v>
      </c>
      <c r="H415">
        <v>275393.98</v>
      </c>
      <c r="I415">
        <v>499</v>
      </c>
      <c r="J415" t="s">
        <v>27</v>
      </c>
      <c r="K415" t="s">
        <v>36</v>
      </c>
      <c r="L415">
        <v>132020.65</v>
      </c>
      <c r="M415">
        <v>135948.70000000001</v>
      </c>
      <c r="N415" t="s">
        <v>28</v>
      </c>
      <c r="O415" s="7">
        <f t="shared" ca="1" si="25"/>
        <v>45685</v>
      </c>
      <c r="P415" s="7">
        <v>46004</v>
      </c>
      <c r="Q415">
        <v>3</v>
      </c>
      <c r="R415" t="str">
        <f t="shared" si="26"/>
        <v>Midum Risk</v>
      </c>
      <c r="S415" t="str">
        <f t="shared" si="27"/>
        <v xml:space="preserve">Midum </v>
      </c>
      <c r="T415" s="4">
        <f>Table1[[#This Row],[Deposit_Amount]]+Table1[[#This Row],[Withdrawal_Amount]]</f>
        <v>633511.24</v>
      </c>
      <c r="U415" t="s">
        <v>274</v>
      </c>
    </row>
    <row r="416" spans="1:21" x14ac:dyDescent="0.3">
      <c r="A416">
        <v>415</v>
      </c>
      <c r="B416" t="s">
        <v>147</v>
      </c>
      <c r="C416" t="s">
        <v>16</v>
      </c>
      <c r="D416">
        <v>18</v>
      </c>
      <c r="E416" t="s">
        <v>31</v>
      </c>
      <c r="F416" s="4">
        <v>440320.8</v>
      </c>
      <c r="G416" t="str">
        <f t="shared" si="24"/>
        <v>High Income</v>
      </c>
      <c r="H416">
        <v>267721.52</v>
      </c>
      <c r="I416">
        <v>711</v>
      </c>
      <c r="J416" t="s">
        <v>27</v>
      </c>
      <c r="K416" t="s">
        <v>36</v>
      </c>
      <c r="L416">
        <v>367006.71</v>
      </c>
      <c r="M416">
        <v>26112.81</v>
      </c>
      <c r="N416" t="s">
        <v>25</v>
      </c>
      <c r="O416" s="7">
        <f t="shared" ca="1" si="25"/>
        <v>45975</v>
      </c>
      <c r="P416" s="7">
        <v>45698</v>
      </c>
      <c r="Q416">
        <v>4</v>
      </c>
      <c r="R416" t="str">
        <f t="shared" si="26"/>
        <v>Low Risk</v>
      </c>
      <c r="S416" t="str">
        <f t="shared" si="27"/>
        <v>Good</v>
      </c>
      <c r="T416" s="4">
        <f>Table1[[#This Row],[Deposit_Amount]]+Table1[[#This Row],[Withdrawal_Amount]]</f>
        <v>708042.32000000007</v>
      </c>
      <c r="U416" t="s">
        <v>274</v>
      </c>
    </row>
    <row r="417" spans="1:21" x14ac:dyDescent="0.3">
      <c r="A417">
        <v>416</v>
      </c>
      <c r="B417" t="s">
        <v>121</v>
      </c>
      <c r="C417" t="s">
        <v>16</v>
      </c>
      <c r="D417">
        <v>41</v>
      </c>
      <c r="E417" t="s">
        <v>23</v>
      </c>
      <c r="F417" s="4">
        <v>306609.46999999997</v>
      </c>
      <c r="G417" t="str">
        <f t="shared" si="24"/>
        <v>High Income</v>
      </c>
      <c r="H417">
        <v>145381.88</v>
      </c>
      <c r="I417">
        <v>670</v>
      </c>
      <c r="J417" t="s">
        <v>38</v>
      </c>
      <c r="K417" t="s">
        <v>19</v>
      </c>
      <c r="L417">
        <v>174347.89</v>
      </c>
      <c r="M417">
        <v>81512.02</v>
      </c>
      <c r="N417" t="s">
        <v>20</v>
      </c>
      <c r="O417" s="7">
        <f t="shared" ca="1" si="25"/>
        <v>45679</v>
      </c>
      <c r="P417" s="7">
        <v>45926</v>
      </c>
      <c r="Q417">
        <v>3</v>
      </c>
      <c r="R417" t="str">
        <f t="shared" si="26"/>
        <v>Low Risk</v>
      </c>
      <c r="S417" t="str">
        <f t="shared" si="27"/>
        <v>Good</v>
      </c>
      <c r="T417" s="4">
        <f>Table1[[#This Row],[Deposit_Amount]]+Table1[[#This Row],[Withdrawal_Amount]]</f>
        <v>451991.35</v>
      </c>
      <c r="U417" t="s">
        <v>274</v>
      </c>
    </row>
    <row r="418" spans="1:21" x14ac:dyDescent="0.3">
      <c r="A418">
        <v>417</v>
      </c>
      <c r="B418" t="s">
        <v>89</v>
      </c>
      <c r="C418" t="s">
        <v>16</v>
      </c>
      <c r="D418">
        <v>43</v>
      </c>
      <c r="E418" t="s">
        <v>17</v>
      </c>
      <c r="F418" s="4">
        <v>498901.48</v>
      </c>
      <c r="G418" t="str">
        <f t="shared" si="24"/>
        <v>High Income</v>
      </c>
      <c r="H418">
        <v>19953.36</v>
      </c>
      <c r="I418">
        <v>681</v>
      </c>
      <c r="J418" t="s">
        <v>27</v>
      </c>
      <c r="K418" t="s">
        <v>19</v>
      </c>
      <c r="L418">
        <v>592708.49</v>
      </c>
      <c r="M418">
        <v>235495.7</v>
      </c>
      <c r="N418" t="s">
        <v>28</v>
      </c>
      <c r="O418" s="7">
        <f t="shared" ca="1" si="25"/>
        <v>45717</v>
      </c>
      <c r="P418" s="7">
        <v>46003</v>
      </c>
      <c r="Q418">
        <v>1</v>
      </c>
      <c r="R418" t="str">
        <f t="shared" si="26"/>
        <v>Low Risk</v>
      </c>
      <c r="S418" t="str">
        <f t="shared" si="27"/>
        <v>Good</v>
      </c>
      <c r="T418" s="4">
        <f>Table1[[#This Row],[Deposit_Amount]]+Table1[[#This Row],[Withdrawal_Amount]]</f>
        <v>518854.83999999997</v>
      </c>
      <c r="U418" t="s">
        <v>274</v>
      </c>
    </row>
    <row r="419" spans="1:21" x14ac:dyDescent="0.3">
      <c r="A419">
        <v>418</v>
      </c>
      <c r="B419" t="s">
        <v>75</v>
      </c>
      <c r="C419" t="s">
        <v>16</v>
      </c>
      <c r="D419">
        <v>55</v>
      </c>
      <c r="E419" t="s">
        <v>23</v>
      </c>
      <c r="F419" s="4">
        <v>426956.75</v>
      </c>
      <c r="G419" t="str">
        <f t="shared" si="24"/>
        <v>High Income</v>
      </c>
      <c r="H419">
        <v>202988.84</v>
      </c>
      <c r="I419">
        <v>341</v>
      </c>
      <c r="J419" t="s">
        <v>18</v>
      </c>
      <c r="K419" t="s">
        <v>59</v>
      </c>
      <c r="L419">
        <v>320629.15999999997</v>
      </c>
      <c r="M419">
        <v>233848.84</v>
      </c>
      <c r="N419" t="s">
        <v>25</v>
      </c>
      <c r="O419" s="7">
        <f t="shared" ca="1" si="25"/>
        <v>45896</v>
      </c>
      <c r="P419" s="7">
        <v>45851</v>
      </c>
      <c r="Q419">
        <v>4</v>
      </c>
      <c r="R419" t="str">
        <f t="shared" si="26"/>
        <v>High Risk</v>
      </c>
      <c r="S419" t="str">
        <f t="shared" si="27"/>
        <v>Poor</v>
      </c>
      <c r="T419" s="4">
        <f>Table1[[#This Row],[Deposit_Amount]]+Table1[[#This Row],[Withdrawal_Amount]]</f>
        <v>629945.59</v>
      </c>
      <c r="U419" t="s">
        <v>274</v>
      </c>
    </row>
    <row r="420" spans="1:21" x14ac:dyDescent="0.3">
      <c r="A420">
        <v>419</v>
      </c>
      <c r="B420" t="s">
        <v>113</v>
      </c>
      <c r="C420" t="s">
        <v>22</v>
      </c>
      <c r="D420">
        <v>44</v>
      </c>
      <c r="E420" t="s">
        <v>23</v>
      </c>
      <c r="F420" s="4">
        <v>125196.28</v>
      </c>
      <c r="G420" t="str">
        <f t="shared" si="24"/>
        <v>Midum Income</v>
      </c>
      <c r="H420">
        <v>74089.3</v>
      </c>
      <c r="I420">
        <v>579</v>
      </c>
      <c r="J420" t="s">
        <v>38</v>
      </c>
      <c r="K420" t="s">
        <v>59</v>
      </c>
      <c r="L420">
        <v>103849.85</v>
      </c>
      <c r="M420">
        <v>41945.93</v>
      </c>
      <c r="N420" t="s">
        <v>20</v>
      </c>
      <c r="O420" s="7">
        <f t="shared" ca="1" si="25"/>
        <v>45736</v>
      </c>
      <c r="P420" s="7">
        <v>45923</v>
      </c>
      <c r="Q420">
        <v>1</v>
      </c>
      <c r="R420" t="str">
        <f t="shared" si="26"/>
        <v>Midum Risk</v>
      </c>
      <c r="S420" t="str">
        <f t="shared" si="27"/>
        <v xml:space="preserve">Midum </v>
      </c>
      <c r="T420" s="4">
        <f>Table1[[#This Row],[Deposit_Amount]]+Table1[[#This Row],[Withdrawal_Amount]]</f>
        <v>199285.58000000002</v>
      </c>
      <c r="U420" t="s">
        <v>274</v>
      </c>
    </row>
    <row r="421" spans="1:21" x14ac:dyDescent="0.3">
      <c r="A421">
        <v>420</v>
      </c>
      <c r="B421" t="s">
        <v>150</v>
      </c>
      <c r="C421" t="s">
        <v>16</v>
      </c>
      <c r="D421">
        <v>69</v>
      </c>
      <c r="E421" t="s">
        <v>44</v>
      </c>
      <c r="F421" s="4">
        <v>448417.04</v>
      </c>
      <c r="G421" t="str">
        <f t="shared" si="24"/>
        <v>High Income</v>
      </c>
      <c r="H421">
        <v>10531.14</v>
      </c>
      <c r="I421">
        <v>849</v>
      </c>
      <c r="J421" t="s">
        <v>41</v>
      </c>
      <c r="K421" t="s">
        <v>24</v>
      </c>
      <c r="L421">
        <v>595649.92000000004</v>
      </c>
      <c r="M421">
        <v>168720.53</v>
      </c>
      <c r="N421" t="s">
        <v>28</v>
      </c>
      <c r="O421" s="7">
        <f t="shared" ca="1" si="25"/>
        <v>45739</v>
      </c>
      <c r="P421" s="7">
        <v>45827</v>
      </c>
      <c r="Q421">
        <v>5</v>
      </c>
      <c r="R421" t="str">
        <f t="shared" si="26"/>
        <v>Low Risk</v>
      </c>
      <c r="S421" t="str">
        <f t="shared" si="27"/>
        <v>Good</v>
      </c>
      <c r="T421" s="4">
        <f>Table1[[#This Row],[Deposit_Amount]]+Table1[[#This Row],[Withdrawal_Amount]]</f>
        <v>458948.18</v>
      </c>
      <c r="U421" t="s">
        <v>274</v>
      </c>
    </row>
    <row r="422" spans="1:21" x14ac:dyDescent="0.3">
      <c r="A422">
        <v>421</v>
      </c>
      <c r="B422" t="s">
        <v>124</v>
      </c>
      <c r="C422" t="s">
        <v>22</v>
      </c>
      <c r="D422">
        <v>66</v>
      </c>
      <c r="E422" t="s">
        <v>35</v>
      </c>
      <c r="F422" s="4">
        <v>9240.57</v>
      </c>
      <c r="G422" t="str">
        <f t="shared" si="24"/>
        <v>Low Income</v>
      </c>
      <c r="H422">
        <v>214257.94</v>
      </c>
      <c r="I422">
        <v>852</v>
      </c>
      <c r="J422" t="s">
        <v>18</v>
      </c>
      <c r="K422" t="s">
        <v>59</v>
      </c>
      <c r="L422">
        <v>-145506.79</v>
      </c>
      <c r="M422">
        <v>169643.33</v>
      </c>
      <c r="N422" t="s">
        <v>28</v>
      </c>
      <c r="O422" s="7">
        <f t="shared" ca="1" si="25"/>
        <v>45854</v>
      </c>
      <c r="P422" s="7">
        <v>45718</v>
      </c>
      <c r="Q422">
        <v>2</v>
      </c>
      <c r="R422" t="str">
        <f t="shared" si="26"/>
        <v>Low Risk</v>
      </c>
      <c r="S422" t="str">
        <f t="shared" si="27"/>
        <v>Good</v>
      </c>
      <c r="T422" s="4">
        <f>Table1[[#This Row],[Deposit_Amount]]+Table1[[#This Row],[Withdrawal_Amount]]</f>
        <v>223498.51</v>
      </c>
      <c r="U422" t="s">
        <v>274</v>
      </c>
    </row>
    <row r="423" spans="1:21" x14ac:dyDescent="0.3">
      <c r="A423">
        <v>422</v>
      </c>
      <c r="B423" t="s">
        <v>109</v>
      </c>
      <c r="C423" t="s">
        <v>22</v>
      </c>
      <c r="D423">
        <v>29</v>
      </c>
      <c r="E423" t="s">
        <v>40</v>
      </c>
      <c r="F423" s="4">
        <v>196986.1</v>
      </c>
      <c r="G423" t="str">
        <f t="shared" si="24"/>
        <v>Midum Income</v>
      </c>
      <c r="H423">
        <v>27334.01</v>
      </c>
      <c r="I423">
        <v>709</v>
      </c>
      <c r="J423" t="s">
        <v>18</v>
      </c>
      <c r="K423" t="s">
        <v>19</v>
      </c>
      <c r="L423">
        <v>265958.25</v>
      </c>
      <c r="M423">
        <v>188363.29</v>
      </c>
      <c r="N423" t="s">
        <v>20</v>
      </c>
      <c r="O423" s="7">
        <f t="shared" ca="1" si="25"/>
        <v>45736</v>
      </c>
      <c r="P423" s="7">
        <v>45783</v>
      </c>
      <c r="Q423">
        <v>4</v>
      </c>
      <c r="R423" t="str">
        <f t="shared" si="26"/>
        <v>Low Risk</v>
      </c>
      <c r="S423" t="str">
        <f t="shared" si="27"/>
        <v>Good</v>
      </c>
      <c r="T423" s="4">
        <f>Table1[[#This Row],[Deposit_Amount]]+Table1[[#This Row],[Withdrawal_Amount]]</f>
        <v>224320.11000000002</v>
      </c>
      <c r="U423" t="s">
        <v>274</v>
      </c>
    </row>
    <row r="424" spans="1:21" x14ac:dyDescent="0.3">
      <c r="A424">
        <v>423</v>
      </c>
      <c r="B424" t="s">
        <v>105</v>
      </c>
      <c r="C424" t="s">
        <v>22</v>
      </c>
      <c r="D424">
        <v>32</v>
      </c>
      <c r="E424" t="s">
        <v>23</v>
      </c>
      <c r="F424" s="4">
        <v>363609</v>
      </c>
      <c r="G424" t="str">
        <f t="shared" si="24"/>
        <v>High Income</v>
      </c>
      <c r="H424">
        <v>293682.45</v>
      </c>
      <c r="I424">
        <v>477</v>
      </c>
      <c r="J424" t="s">
        <v>27</v>
      </c>
      <c r="K424" t="s">
        <v>42</v>
      </c>
      <c r="L424">
        <v>109810.86</v>
      </c>
      <c r="M424">
        <v>40973.94</v>
      </c>
      <c r="N424" t="s">
        <v>28</v>
      </c>
      <c r="O424" s="7">
        <f t="shared" ca="1" si="25"/>
        <v>45832</v>
      </c>
      <c r="P424" s="7">
        <v>45932</v>
      </c>
      <c r="Q424">
        <v>3</v>
      </c>
      <c r="R424" t="str">
        <f t="shared" si="26"/>
        <v>Midum Risk</v>
      </c>
      <c r="S424" t="str">
        <f t="shared" si="27"/>
        <v xml:space="preserve">Midum </v>
      </c>
      <c r="T424" s="4">
        <f>Table1[[#This Row],[Deposit_Amount]]+Table1[[#This Row],[Withdrawal_Amount]]</f>
        <v>657291.44999999995</v>
      </c>
      <c r="U424" t="s">
        <v>274</v>
      </c>
    </row>
    <row r="425" spans="1:21" x14ac:dyDescent="0.3">
      <c r="A425">
        <v>424</v>
      </c>
      <c r="B425" t="s">
        <v>70</v>
      </c>
      <c r="C425" t="s">
        <v>22</v>
      </c>
      <c r="D425">
        <v>27</v>
      </c>
      <c r="E425" t="s">
        <v>31</v>
      </c>
      <c r="F425" s="4">
        <v>176177.54</v>
      </c>
      <c r="G425" t="str">
        <f t="shared" si="24"/>
        <v>Midum Income</v>
      </c>
      <c r="H425">
        <v>293584.78999999998</v>
      </c>
      <c r="I425">
        <v>662</v>
      </c>
      <c r="J425" t="s">
        <v>27</v>
      </c>
      <c r="K425" t="s">
        <v>59</v>
      </c>
      <c r="L425">
        <v>51167.91</v>
      </c>
      <c r="M425">
        <v>32162.02</v>
      </c>
      <c r="N425" t="s">
        <v>25</v>
      </c>
      <c r="O425" s="7">
        <f t="shared" ca="1" si="25"/>
        <v>45780</v>
      </c>
      <c r="P425" s="7">
        <v>45957</v>
      </c>
      <c r="Q425">
        <v>5</v>
      </c>
      <c r="R425" t="str">
        <f t="shared" si="26"/>
        <v>Low Risk</v>
      </c>
      <c r="S425" t="str">
        <f t="shared" si="27"/>
        <v>Good</v>
      </c>
      <c r="T425" s="4">
        <f>Table1[[#This Row],[Deposit_Amount]]+Table1[[#This Row],[Withdrawal_Amount]]</f>
        <v>469762.32999999996</v>
      </c>
      <c r="U425" t="s">
        <v>274</v>
      </c>
    </row>
    <row r="426" spans="1:21" x14ac:dyDescent="0.3">
      <c r="A426">
        <v>425</v>
      </c>
      <c r="B426" t="s">
        <v>45</v>
      </c>
      <c r="C426" t="s">
        <v>22</v>
      </c>
      <c r="D426">
        <v>66</v>
      </c>
      <c r="E426" t="s">
        <v>35</v>
      </c>
      <c r="F426" s="4">
        <v>422356.4</v>
      </c>
      <c r="G426" t="str">
        <f t="shared" si="24"/>
        <v>High Income</v>
      </c>
      <c r="H426">
        <v>125530.72</v>
      </c>
      <c r="I426">
        <v>339</v>
      </c>
      <c r="J426" t="s">
        <v>41</v>
      </c>
      <c r="K426" t="s">
        <v>36</v>
      </c>
      <c r="L426">
        <v>481210.48</v>
      </c>
      <c r="M426">
        <v>105101.86</v>
      </c>
      <c r="N426" t="s">
        <v>28</v>
      </c>
      <c r="O426" s="7">
        <f t="shared" ca="1" si="25"/>
        <v>45693</v>
      </c>
      <c r="P426" s="7">
        <v>45804</v>
      </c>
      <c r="Q426">
        <v>2</v>
      </c>
      <c r="R426" t="str">
        <f t="shared" si="26"/>
        <v>High Risk</v>
      </c>
      <c r="S426" t="str">
        <f t="shared" si="27"/>
        <v>Poor</v>
      </c>
      <c r="T426" s="4">
        <f>Table1[[#This Row],[Deposit_Amount]]+Table1[[#This Row],[Withdrawal_Amount]]</f>
        <v>547887.12</v>
      </c>
      <c r="U426" t="s">
        <v>274</v>
      </c>
    </row>
    <row r="427" spans="1:21" x14ac:dyDescent="0.3">
      <c r="A427">
        <v>426</v>
      </c>
      <c r="B427" t="s">
        <v>88</v>
      </c>
      <c r="C427" t="s">
        <v>22</v>
      </c>
      <c r="D427">
        <v>62</v>
      </c>
      <c r="E427" t="s">
        <v>23</v>
      </c>
      <c r="F427" s="4">
        <v>375962.86</v>
      </c>
      <c r="G427" t="str">
        <f t="shared" si="24"/>
        <v>High Income</v>
      </c>
      <c r="H427">
        <v>291630.09000000003</v>
      </c>
      <c r="I427">
        <v>807</v>
      </c>
      <c r="J427" t="s">
        <v>32</v>
      </c>
      <c r="K427" t="s">
        <v>19</v>
      </c>
      <c r="L427">
        <v>159963.19</v>
      </c>
      <c r="M427">
        <v>69181.710000000006</v>
      </c>
      <c r="N427" t="s">
        <v>20</v>
      </c>
      <c r="O427" s="7">
        <f t="shared" ca="1" si="25"/>
        <v>45779</v>
      </c>
      <c r="P427" s="7">
        <v>45788</v>
      </c>
      <c r="Q427">
        <v>5</v>
      </c>
      <c r="R427" t="str">
        <f t="shared" si="26"/>
        <v>Low Risk</v>
      </c>
      <c r="S427" t="str">
        <f t="shared" si="27"/>
        <v>Good</v>
      </c>
      <c r="T427" s="4">
        <f>Table1[[#This Row],[Deposit_Amount]]+Table1[[#This Row],[Withdrawal_Amount]]</f>
        <v>667592.94999999995</v>
      </c>
      <c r="U427" t="s">
        <v>274</v>
      </c>
    </row>
    <row r="428" spans="1:21" x14ac:dyDescent="0.3">
      <c r="A428">
        <v>427</v>
      </c>
      <c r="B428" t="s">
        <v>46</v>
      </c>
      <c r="C428" t="s">
        <v>22</v>
      </c>
      <c r="D428">
        <v>21</v>
      </c>
      <c r="E428" t="s">
        <v>40</v>
      </c>
      <c r="F428" s="4">
        <v>24746.89</v>
      </c>
      <c r="G428" t="str">
        <f t="shared" si="24"/>
        <v>Low Income</v>
      </c>
      <c r="H428">
        <v>2772.69</v>
      </c>
      <c r="I428">
        <v>583</v>
      </c>
      <c r="J428" t="s">
        <v>18</v>
      </c>
      <c r="K428" t="s">
        <v>24</v>
      </c>
      <c r="L428">
        <v>132849.63</v>
      </c>
      <c r="M428">
        <v>142769.57999999999</v>
      </c>
      <c r="N428" t="s">
        <v>28</v>
      </c>
      <c r="O428" s="7">
        <f t="shared" ca="1" si="25"/>
        <v>45924</v>
      </c>
      <c r="P428" s="7">
        <v>45760</v>
      </c>
      <c r="Q428">
        <v>2</v>
      </c>
      <c r="R428" t="str">
        <f t="shared" si="26"/>
        <v>Midum Risk</v>
      </c>
      <c r="S428" t="str">
        <f t="shared" si="27"/>
        <v xml:space="preserve">Midum </v>
      </c>
      <c r="T428" s="4">
        <f>Table1[[#This Row],[Deposit_Amount]]+Table1[[#This Row],[Withdrawal_Amount]]</f>
        <v>27519.579999999998</v>
      </c>
      <c r="U428" t="s">
        <v>274</v>
      </c>
    </row>
    <row r="429" spans="1:21" x14ac:dyDescent="0.3">
      <c r="A429">
        <v>428</v>
      </c>
      <c r="B429" t="s">
        <v>161</v>
      </c>
      <c r="C429" t="s">
        <v>16</v>
      </c>
      <c r="D429">
        <v>27</v>
      </c>
      <c r="E429" t="s">
        <v>17</v>
      </c>
      <c r="F429" s="4">
        <v>108068.34</v>
      </c>
      <c r="G429" t="str">
        <f t="shared" si="24"/>
        <v>Midum Income</v>
      </c>
      <c r="H429">
        <v>201177.21</v>
      </c>
      <c r="I429">
        <v>530</v>
      </c>
      <c r="J429" t="s">
        <v>32</v>
      </c>
      <c r="K429" t="s">
        <v>24</v>
      </c>
      <c r="L429">
        <v>-13737.9</v>
      </c>
      <c r="M429">
        <v>70994.710000000006</v>
      </c>
      <c r="N429" t="s">
        <v>20</v>
      </c>
      <c r="O429" s="7">
        <f t="shared" ca="1" si="25"/>
        <v>45810</v>
      </c>
      <c r="P429" s="7">
        <v>45819</v>
      </c>
      <c r="Q429">
        <v>1</v>
      </c>
      <c r="R429" t="str">
        <f t="shared" si="26"/>
        <v>Midum Risk</v>
      </c>
      <c r="S429" t="str">
        <f t="shared" si="27"/>
        <v xml:space="preserve">Midum </v>
      </c>
      <c r="T429" s="4">
        <f>Table1[[#This Row],[Deposit_Amount]]+Table1[[#This Row],[Withdrawal_Amount]]</f>
        <v>309245.55</v>
      </c>
      <c r="U429" t="s">
        <v>274</v>
      </c>
    </row>
    <row r="430" spans="1:21" x14ac:dyDescent="0.3">
      <c r="A430">
        <v>429</v>
      </c>
      <c r="B430" t="s">
        <v>204</v>
      </c>
      <c r="C430" t="s">
        <v>16</v>
      </c>
      <c r="D430">
        <v>23</v>
      </c>
      <c r="E430" t="s">
        <v>17</v>
      </c>
      <c r="F430" s="4">
        <v>267726.05</v>
      </c>
      <c r="G430" t="str">
        <f t="shared" si="24"/>
        <v>High Income</v>
      </c>
      <c r="H430">
        <v>270036.02</v>
      </c>
      <c r="I430">
        <v>813</v>
      </c>
      <c r="J430" t="s">
        <v>18</v>
      </c>
      <c r="K430" t="s">
        <v>19</v>
      </c>
      <c r="L430">
        <v>112320.47</v>
      </c>
      <c r="M430">
        <v>22297.74</v>
      </c>
      <c r="N430" t="s">
        <v>20</v>
      </c>
      <c r="O430" s="7">
        <f t="shared" ca="1" si="25"/>
        <v>46004</v>
      </c>
      <c r="P430" s="7">
        <v>45967</v>
      </c>
      <c r="Q430">
        <v>4</v>
      </c>
      <c r="R430" t="str">
        <f t="shared" si="26"/>
        <v>Low Risk</v>
      </c>
      <c r="S430" t="str">
        <f t="shared" si="27"/>
        <v>Good</v>
      </c>
      <c r="T430" s="4">
        <f>Table1[[#This Row],[Deposit_Amount]]+Table1[[#This Row],[Withdrawal_Amount]]</f>
        <v>537762.07000000007</v>
      </c>
      <c r="U430" t="s">
        <v>274</v>
      </c>
    </row>
    <row r="431" spans="1:21" x14ac:dyDescent="0.3">
      <c r="A431">
        <v>430</v>
      </c>
      <c r="B431" t="s">
        <v>112</v>
      </c>
      <c r="C431" t="s">
        <v>16</v>
      </c>
      <c r="D431">
        <v>27</v>
      </c>
      <c r="E431" t="s">
        <v>35</v>
      </c>
      <c r="F431" s="4">
        <v>291689.5</v>
      </c>
      <c r="G431" t="str">
        <f t="shared" si="24"/>
        <v>High Income</v>
      </c>
      <c r="H431">
        <v>290835.38</v>
      </c>
      <c r="I431">
        <v>583</v>
      </c>
      <c r="J431" t="s">
        <v>41</v>
      </c>
      <c r="K431" t="s">
        <v>19</v>
      </c>
      <c r="L431">
        <v>28855.57</v>
      </c>
      <c r="M431">
        <v>59044.24</v>
      </c>
      <c r="N431" t="s">
        <v>20</v>
      </c>
      <c r="O431" s="7">
        <f t="shared" ca="1" si="25"/>
        <v>45971</v>
      </c>
      <c r="P431" s="7">
        <v>45818</v>
      </c>
      <c r="Q431">
        <v>4</v>
      </c>
      <c r="R431" t="str">
        <f t="shared" si="26"/>
        <v>Midum Risk</v>
      </c>
      <c r="S431" t="str">
        <f t="shared" si="27"/>
        <v xml:space="preserve">Midum </v>
      </c>
      <c r="T431" s="4">
        <f>Table1[[#This Row],[Deposit_Amount]]+Table1[[#This Row],[Withdrawal_Amount]]</f>
        <v>582524.88</v>
      </c>
      <c r="U431" t="s">
        <v>274</v>
      </c>
    </row>
    <row r="432" spans="1:21" x14ac:dyDescent="0.3">
      <c r="A432">
        <v>431</v>
      </c>
      <c r="B432" t="s">
        <v>150</v>
      </c>
      <c r="C432" t="s">
        <v>16</v>
      </c>
      <c r="D432">
        <v>58</v>
      </c>
      <c r="E432" t="s">
        <v>44</v>
      </c>
      <c r="F432" s="4">
        <v>499731.86</v>
      </c>
      <c r="G432" t="str">
        <f t="shared" si="24"/>
        <v>High Income</v>
      </c>
      <c r="H432">
        <v>90255.97</v>
      </c>
      <c r="I432">
        <v>835</v>
      </c>
      <c r="J432" t="s">
        <v>27</v>
      </c>
      <c r="K432" t="s">
        <v>19</v>
      </c>
      <c r="L432">
        <v>456323.16</v>
      </c>
      <c r="M432">
        <v>159680.74</v>
      </c>
      <c r="N432" t="s">
        <v>25</v>
      </c>
      <c r="O432" s="7">
        <f t="shared" ca="1" si="25"/>
        <v>45767</v>
      </c>
      <c r="P432" s="7">
        <v>45715</v>
      </c>
      <c r="Q432">
        <v>2</v>
      </c>
      <c r="R432" t="str">
        <f t="shared" si="26"/>
        <v>Low Risk</v>
      </c>
      <c r="S432" t="str">
        <f t="shared" si="27"/>
        <v>Good</v>
      </c>
      <c r="T432" s="4">
        <f>Table1[[#This Row],[Deposit_Amount]]+Table1[[#This Row],[Withdrawal_Amount]]</f>
        <v>589987.82999999996</v>
      </c>
      <c r="U432" t="s">
        <v>274</v>
      </c>
    </row>
    <row r="433" spans="1:21" x14ac:dyDescent="0.3">
      <c r="A433">
        <v>432</v>
      </c>
      <c r="B433" t="s">
        <v>114</v>
      </c>
      <c r="C433" t="s">
        <v>16</v>
      </c>
      <c r="D433">
        <v>21</v>
      </c>
      <c r="E433" t="s">
        <v>17</v>
      </c>
      <c r="F433" s="4">
        <v>265217.71999999997</v>
      </c>
      <c r="G433" t="str">
        <f t="shared" si="24"/>
        <v>High Income</v>
      </c>
      <c r="H433">
        <v>180619.17</v>
      </c>
      <c r="I433">
        <v>558</v>
      </c>
      <c r="J433" t="s">
        <v>18</v>
      </c>
      <c r="K433" t="s">
        <v>59</v>
      </c>
      <c r="L433">
        <v>204691.49</v>
      </c>
      <c r="M433">
        <v>128148.9</v>
      </c>
      <c r="N433" t="s">
        <v>25</v>
      </c>
      <c r="O433" s="7">
        <f t="shared" ca="1" si="25"/>
        <v>45753</v>
      </c>
      <c r="P433" s="7">
        <v>46016</v>
      </c>
      <c r="Q433">
        <v>2</v>
      </c>
      <c r="R433" t="str">
        <f t="shared" si="26"/>
        <v>Midum Risk</v>
      </c>
      <c r="S433" t="str">
        <f t="shared" si="27"/>
        <v xml:space="preserve">Midum </v>
      </c>
      <c r="T433" s="4">
        <f>Table1[[#This Row],[Deposit_Amount]]+Table1[[#This Row],[Withdrawal_Amount]]</f>
        <v>445836.89</v>
      </c>
      <c r="U433" t="s">
        <v>274</v>
      </c>
    </row>
    <row r="434" spans="1:21" x14ac:dyDescent="0.3">
      <c r="A434">
        <v>433</v>
      </c>
      <c r="B434" t="s">
        <v>196</v>
      </c>
      <c r="C434" t="s">
        <v>22</v>
      </c>
      <c r="D434">
        <v>29</v>
      </c>
      <c r="E434" t="s">
        <v>23</v>
      </c>
      <c r="F434" s="4">
        <v>400975.2</v>
      </c>
      <c r="G434" t="str">
        <f t="shared" si="24"/>
        <v>High Income</v>
      </c>
      <c r="H434">
        <v>80553.14</v>
      </c>
      <c r="I434">
        <v>770</v>
      </c>
      <c r="J434" t="s">
        <v>32</v>
      </c>
      <c r="K434" t="s">
        <v>36</v>
      </c>
      <c r="L434">
        <v>339351.92</v>
      </c>
      <c r="M434">
        <v>83771.75</v>
      </c>
      <c r="N434" t="s">
        <v>25</v>
      </c>
      <c r="O434" s="7">
        <f t="shared" ca="1" si="25"/>
        <v>45945</v>
      </c>
      <c r="P434" s="7">
        <v>45690</v>
      </c>
      <c r="Q434">
        <v>5</v>
      </c>
      <c r="R434" t="str">
        <f t="shared" si="26"/>
        <v>Low Risk</v>
      </c>
      <c r="S434" t="str">
        <f t="shared" si="27"/>
        <v>Good</v>
      </c>
      <c r="T434" s="4">
        <f>Table1[[#This Row],[Deposit_Amount]]+Table1[[#This Row],[Withdrawal_Amount]]</f>
        <v>481528.34</v>
      </c>
      <c r="U434" t="s">
        <v>274</v>
      </c>
    </row>
    <row r="435" spans="1:21" x14ac:dyDescent="0.3">
      <c r="A435">
        <v>434</v>
      </c>
      <c r="B435" t="s">
        <v>75</v>
      </c>
      <c r="C435" t="s">
        <v>16</v>
      </c>
      <c r="D435">
        <v>51</v>
      </c>
      <c r="E435" t="s">
        <v>17</v>
      </c>
      <c r="F435" s="4">
        <v>496492.19</v>
      </c>
      <c r="G435" t="str">
        <f t="shared" si="24"/>
        <v>High Income</v>
      </c>
      <c r="H435">
        <v>202171.09</v>
      </c>
      <c r="I435">
        <v>826</v>
      </c>
      <c r="J435" t="s">
        <v>27</v>
      </c>
      <c r="K435" t="s">
        <v>24</v>
      </c>
      <c r="L435">
        <v>341829.09</v>
      </c>
      <c r="M435">
        <v>110329.92</v>
      </c>
      <c r="N435" t="s">
        <v>25</v>
      </c>
      <c r="O435" s="7">
        <f t="shared" ca="1" si="25"/>
        <v>45755</v>
      </c>
      <c r="P435" s="7">
        <v>45925</v>
      </c>
      <c r="Q435">
        <v>4</v>
      </c>
      <c r="R435" t="str">
        <f t="shared" si="26"/>
        <v>Low Risk</v>
      </c>
      <c r="S435" t="str">
        <f t="shared" si="27"/>
        <v>Good</v>
      </c>
      <c r="T435" s="4">
        <f>Table1[[#This Row],[Deposit_Amount]]+Table1[[#This Row],[Withdrawal_Amount]]</f>
        <v>698663.28</v>
      </c>
      <c r="U435" t="s">
        <v>274</v>
      </c>
    </row>
    <row r="436" spans="1:21" x14ac:dyDescent="0.3">
      <c r="A436">
        <v>435</v>
      </c>
      <c r="B436" t="s">
        <v>190</v>
      </c>
      <c r="C436" t="s">
        <v>22</v>
      </c>
      <c r="D436">
        <v>42</v>
      </c>
      <c r="E436" t="s">
        <v>40</v>
      </c>
      <c r="F436" s="4">
        <v>460149.52</v>
      </c>
      <c r="G436" t="str">
        <f t="shared" si="24"/>
        <v>High Income</v>
      </c>
      <c r="H436">
        <v>204683.56</v>
      </c>
      <c r="I436">
        <v>688</v>
      </c>
      <c r="J436" t="s">
        <v>18</v>
      </c>
      <c r="K436" t="s">
        <v>24</v>
      </c>
      <c r="L436">
        <v>312299.3</v>
      </c>
      <c r="M436">
        <v>206072.82</v>
      </c>
      <c r="N436" t="s">
        <v>28</v>
      </c>
      <c r="O436" s="7">
        <f t="shared" ca="1" si="25"/>
        <v>45880</v>
      </c>
      <c r="P436" s="7">
        <v>45676</v>
      </c>
      <c r="Q436">
        <v>4</v>
      </c>
      <c r="R436" t="str">
        <f t="shared" si="26"/>
        <v>Low Risk</v>
      </c>
      <c r="S436" t="str">
        <f t="shared" si="27"/>
        <v>Good</v>
      </c>
      <c r="T436" s="4">
        <f>Table1[[#This Row],[Deposit_Amount]]+Table1[[#This Row],[Withdrawal_Amount]]</f>
        <v>664833.08000000007</v>
      </c>
      <c r="U436" t="s">
        <v>274</v>
      </c>
    </row>
    <row r="437" spans="1:21" x14ac:dyDescent="0.3">
      <c r="A437">
        <v>436</v>
      </c>
      <c r="B437" t="s">
        <v>88</v>
      </c>
      <c r="C437" t="s">
        <v>22</v>
      </c>
      <c r="D437">
        <v>25</v>
      </c>
      <c r="E437" t="s">
        <v>31</v>
      </c>
      <c r="F437" s="4">
        <v>337885.41</v>
      </c>
      <c r="G437" t="str">
        <f t="shared" si="24"/>
        <v>High Income</v>
      </c>
      <c r="H437">
        <v>249538.6</v>
      </c>
      <c r="I437">
        <v>450</v>
      </c>
      <c r="J437" t="s">
        <v>41</v>
      </c>
      <c r="K437" t="s">
        <v>36</v>
      </c>
      <c r="L437">
        <v>260971.82</v>
      </c>
      <c r="M437">
        <v>68343.539999999994</v>
      </c>
      <c r="N437" t="s">
        <v>25</v>
      </c>
      <c r="O437" s="7">
        <f t="shared" ca="1" si="25"/>
        <v>45814</v>
      </c>
      <c r="P437" s="7">
        <v>45935</v>
      </c>
      <c r="Q437">
        <v>4</v>
      </c>
      <c r="R437" t="str">
        <f t="shared" si="26"/>
        <v>Midum Risk</v>
      </c>
      <c r="S437" t="str">
        <f t="shared" si="27"/>
        <v xml:space="preserve">Midum </v>
      </c>
      <c r="T437" s="4">
        <f>Table1[[#This Row],[Deposit_Amount]]+Table1[[#This Row],[Withdrawal_Amount]]</f>
        <v>587424.01</v>
      </c>
      <c r="U437" t="s">
        <v>274</v>
      </c>
    </row>
    <row r="438" spans="1:21" x14ac:dyDescent="0.3">
      <c r="A438">
        <v>437</v>
      </c>
      <c r="B438" t="s">
        <v>95</v>
      </c>
      <c r="C438" t="s">
        <v>16</v>
      </c>
      <c r="D438">
        <v>40</v>
      </c>
      <c r="E438" t="s">
        <v>44</v>
      </c>
      <c r="F438" s="4">
        <v>417047.17</v>
      </c>
      <c r="G438" t="str">
        <f t="shared" si="24"/>
        <v>High Income</v>
      </c>
      <c r="H438">
        <v>284972.36</v>
      </c>
      <c r="I438">
        <v>337</v>
      </c>
      <c r="J438" t="s">
        <v>41</v>
      </c>
      <c r="K438" t="s">
        <v>24</v>
      </c>
      <c r="L438">
        <v>281648.96999999997</v>
      </c>
      <c r="M438">
        <v>196451.93</v>
      </c>
      <c r="N438" t="s">
        <v>25</v>
      </c>
      <c r="O438" s="7">
        <f t="shared" ca="1" si="25"/>
        <v>45901</v>
      </c>
      <c r="P438" s="7">
        <v>45959</v>
      </c>
      <c r="Q438">
        <v>5</v>
      </c>
      <c r="R438" t="str">
        <f t="shared" si="26"/>
        <v>High Risk</v>
      </c>
      <c r="S438" t="str">
        <f t="shared" si="27"/>
        <v>Poor</v>
      </c>
      <c r="T438" s="4">
        <f>Table1[[#This Row],[Deposit_Amount]]+Table1[[#This Row],[Withdrawal_Amount]]</f>
        <v>702019.53</v>
      </c>
      <c r="U438" t="s">
        <v>274</v>
      </c>
    </row>
    <row r="439" spans="1:21" x14ac:dyDescent="0.3">
      <c r="A439">
        <v>438</v>
      </c>
      <c r="B439" t="s">
        <v>205</v>
      </c>
      <c r="C439" t="s">
        <v>16</v>
      </c>
      <c r="D439">
        <v>26</v>
      </c>
      <c r="E439" t="s">
        <v>35</v>
      </c>
      <c r="F439" s="4">
        <v>297558.11</v>
      </c>
      <c r="G439" t="str">
        <f t="shared" si="24"/>
        <v>High Income</v>
      </c>
      <c r="H439">
        <v>64735.86</v>
      </c>
      <c r="I439">
        <v>844</v>
      </c>
      <c r="J439" t="s">
        <v>18</v>
      </c>
      <c r="K439" t="s">
        <v>59</v>
      </c>
      <c r="L439">
        <v>345630.65</v>
      </c>
      <c r="M439">
        <v>140571.46</v>
      </c>
      <c r="N439" t="s">
        <v>25</v>
      </c>
      <c r="O439" s="7">
        <f t="shared" ca="1" si="25"/>
        <v>45674</v>
      </c>
      <c r="P439" s="7">
        <v>45680</v>
      </c>
      <c r="Q439">
        <v>4</v>
      </c>
      <c r="R439" t="str">
        <f t="shared" si="26"/>
        <v>Low Risk</v>
      </c>
      <c r="S439" t="str">
        <f t="shared" si="27"/>
        <v>Good</v>
      </c>
      <c r="T439" s="4">
        <f>Table1[[#This Row],[Deposit_Amount]]+Table1[[#This Row],[Withdrawal_Amount]]</f>
        <v>362293.97</v>
      </c>
      <c r="U439" t="s">
        <v>274</v>
      </c>
    </row>
    <row r="440" spans="1:21" x14ac:dyDescent="0.3">
      <c r="A440">
        <v>439</v>
      </c>
      <c r="B440" t="s">
        <v>187</v>
      </c>
      <c r="C440" t="s">
        <v>16</v>
      </c>
      <c r="D440">
        <v>43</v>
      </c>
      <c r="E440" t="s">
        <v>31</v>
      </c>
      <c r="F440" s="4">
        <v>216656.48</v>
      </c>
      <c r="G440" t="str">
        <f t="shared" si="24"/>
        <v>High Income</v>
      </c>
      <c r="H440">
        <v>296805.81</v>
      </c>
      <c r="I440">
        <v>583</v>
      </c>
      <c r="J440" t="s">
        <v>18</v>
      </c>
      <c r="K440" t="s">
        <v>24</v>
      </c>
      <c r="L440">
        <v>-66758.399999999994</v>
      </c>
      <c r="M440">
        <v>217089.22</v>
      </c>
      <c r="N440" t="s">
        <v>25</v>
      </c>
      <c r="O440" s="7">
        <f t="shared" ca="1" si="25"/>
        <v>45707</v>
      </c>
      <c r="P440" s="7">
        <v>46016</v>
      </c>
      <c r="Q440">
        <v>5</v>
      </c>
      <c r="R440" t="str">
        <f t="shared" si="26"/>
        <v>Midum Risk</v>
      </c>
      <c r="S440" t="str">
        <f t="shared" si="27"/>
        <v xml:space="preserve">Midum </v>
      </c>
      <c r="T440" s="4">
        <f>Table1[[#This Row],[Deposit_Amount]]+Table1[[#This Row],[Withdrawal_Amount]]</f>
        <v>513462.29000000004</v>
      </c>
      <c r="U440" t="s">
        <v>274</v>
      </c>
    </row>
    <row r="441" spans="1:21" x14ac:dyDescent="0.3">
      <c r="A441">
        <v>440</v>
      </c>
      <c r="B441" t="s">
        <v>132</v>
      </c>
      <c r="C441" t="s">
        <v>22</v>
      </c>
      <c r="D441">
        <v>32</v>
      </c>
      <c r="E441" t="s">
        <v>23</v>
      </c>
      <c r="F441" s="4">
        <v>115450.85</v>
      </c>
      <c r="G441" t="str">
        <f t="shared" si="24"/>
        <v>Midum Income</v>
      </c>
      <c r="H441">
        <v>264618.51</v>
      </c>
      <c r="I441">
        <v>517</v>
      </c>
      <c r="J441" t="s">
        <v>32</v>
      </c>
      <c r="K441" t="s">
        <v>42</v>
      </c>
      <c r="L441">
        <v>-20794.669999999998</v>
      </c>
      <c r="M441">
        <v>236996.51</v>
      </c>
      <c r="N441" t="s">
        <v>20</v>
      </c>
      <c r="O441" s="7">
        <f t="shared" ca="1" si="25"/>
        <v>45957</v>
      </c>
      <c r="P441" s="7">
        <v>45781</v>
      </c>
      <c r="Q441">
        <v>4</v>
      </c>
      <c r="R441" t="str">
        <f t="shared" si="26"/>
        <v>Midum Risk</v>
      </c>
      <c r="S441" t="str">
        <f t="shared" si="27"/>
        <v xml:space="preserve">Midum </v>
      </c>
      <c r="T441" s="4">
        <f>Table1[[#This Row],[Deposit_Amount]]+Table1[[#This Row],[Withdrawal_Amount]]</f>
        <v>380069.36</v>
      </c>
      <c r="U441" t="s">
        <v>274</v>
      </c>
    </row>
    <row r="442" spans="1:21" x14ac:dyDescent="0.3">
      <c r="A442">
        <v>441</v>
      </c>
      <c r="B442" t="s">
        <v>110</v>
      </c>
      <c r="C442" t="s">
        <v>22</v>
      </c>
      <c r="D442">
        <v>20</v>
      </c>
      <c r="E442" t="s">
        <v>35</v>
      </c>
      <c r="F442" s="4">
        <v>470471.17</v>
      </c>
      <c r="G442" t="str">
        <f t="shared" si="24"/>
        <v>High Income</v>
      </c>
      <c r="H442">
        <v>210579.32</v>
      </c>
      <c r="I442">
        <v>468</v>
      </c>
      <c r="J442" t="s">
        <v>18</v>
      </c>
      <c r="K442" t="s">
        <v>36</v>
      </c>
      <c r="L442">
        <v>309473.59999999998</v>
      </c>
      <c r="M442">
        <v>162989.43</v>
      </c>
      <c r="N442" t="s">
        <v>20</v>
      </c>
      <c r="O442" s="7">
        <f t="shared" ca="1" si="25"/>
        <v>45965</v>
      </c>
      <c r="P442" s="7">
        <v>45776</v>
      </c>
      <c r="Q442">
        <v>3</v>
      </c>
      <c r="R442" t="str">
        <f t="shared" si="26"/>
        <v>Midum Risk</v>
      </c>
      <c r="S442" t="str">
        <f t="shared" si="27"/>
        <v xml:space="preserve">Midum </v>
      </c>
      <c r="T442" s="4">
        <f>Table1[[#This Row],[Deposit_Amount]]+Table1[[#This Row],[Withdrawal_Amount]]</f>
        <v>681050.49</v>
      </c>
      <c r="U442" t="s">
        <v>274</v>
      </c>
    </row>
    <row r="443" spans="1:21" x14ac:dyDescent="0.3">
      <c r="A443">
        <v>442</v>
      </c>
      <c r="B443" t="s">
        <v>202</v>
      </c>
      <c r="C443" t="s">
        <v>16</v>
      </c>
      <c r="D443">
        <v>59</v>
      </c>
      <c r="E443" t="s">
        <v>17</v>
      </c>
      <c r="F443" s="4">
        <v>375663.17</v>
      </c>
      <c r="G443" t="str">
        <f t="shared" si="24"/>
        <v>High Income</v>
      </c>
      <c r="H443">
        <v>52230.5</v>
      </c>
      <c r="I443">
        <v>898</v>
      </c>
      <c r="J443" t="s">
        <v>41</v>
      </c>
      <c r="K443" t="s">
        <v>36</v>
      </c>
      <c r="L443">
        <v>328438.02</v>
      </c>
      <c r="M443">
        <v>121714.45</v>
      </c>
      <c r="N443" t="s">
        <v>28</v>
      </c>
      <c r="O443" s="7">
        <f t="shared" ca="1" si="25"/>
        <v>45974</v>
      </c>
      <c r="P443" s="7">
        <v>45719</v>
      </c>
      <c r="Q443">
        <v>1</v>
      </c>
      <c r="R443" t="str">
        <f t="shared" si="26"/>
        <v>Low Risk</v>
      </c>
      <c r="S443" t="str">
        <f t="shared" si="27"/>
        <v>Good</v>
      </c>
      <c r="T443" s="4">
        <f>Table1[[#This Row],[Deposit_Amount]]+Table1[[#This Row],[Withdrawal_Amount]]</f>
        <v>427893.67</v>
      </c>
      <c r="U443" t="s">
        <v>274</v>
      </c>
    </row>
    <row r="444" spans="1:21" x14ac:dyDescent="0.3">
      <c r="A444">
        <v>443</v>
      </c>
      <c r="B444" t="s">
        <v>206</v>
      </c>
      <c r="C444" t="s">
        <v>22</v>
      </c>
      <c r="D444">
        <v>40</v>
      </c>
      <c r="E444" t="s">
        <v>23</v>
      </c>
      <c r="F444" s="4">
        <v>434507.69</v>
      </c>
      <c r="G444" t="str">
        <f t="shared" si="24"/>
        <v>High Income</v>
      </c>
      <c r="H444">
        <v>79638.05</v>
      </c>
      <c r="I444">
        <v>760</v>
      </c>
      <c r="J444" t="s">
        <v>18</v>
      </c>
      <c r="K444" t="s">
        <v>36</v>
      </c>
      <c r="L444">
        <v>451795.02</v>
      </c>
      <c r="M444">
        <v>79915.77</v>
      </c>
      <c r="N444" t="s">
        <v>20</v>
      </c>
      <c r="O444" s="7">
        <f t="shared" ca="1" si="25"/>
        <v>45674</v>
      </c>
      <c r="P444" s="7">
        <v>45694</v>
      </c>
      <c r="Q444">
        <v>1</v>
      </c>
      <c r="R444" t="str">
        <f t="shared" si="26"/>
        <v>Low Risk</v>
      </c>
      <c r="S444" t="str">
        <f t="shared" si="27"/>
        <v>Good</v>
      </c>
      <c r="T444" s="4">
        <f>Table1[[#This Row],[Deposit_Amount]]+Table1[[#This Row],[Withdrawal_Amount]]</f>
        <v>514145.74</v>
      </c>
      <c r="U444" t="s">
        <v>274</v>
      </c>
    </row>
    <row r="445" spans="1:21" x14ac:dyDescent="0.3">
      <c r="A445">
        <v>444</v>
      </c>
      <c r="B445" t="s">
        <v>112</v>
      </c>
      <c r="C445" t="s">
        <v>16</v>
      </c>
      <c r="D445">
        <v>69</v>
      </c>
      <c r="E445" t="s">
        <v>31</v>
      </c>
      <c r="F445" s="4">
        <v>241861.93</v>
      </c>
      <c r="G445" t="str">
        <f t="shared" si="24"/>
        <v>High Income</v>
      </c>
      <c r="H445">
        <v>261271.52</v>
      </c>
      <c r="I445">
        <v>517</v>
      </c>
      <c r="J445" t="s">
        <v>38</v>
      </c>
      <c r="K445" t="s">
        <v>24</v>
      </c>
      <c r="L445">
        <v>144076.29999999999</v>
      </c>
      <c r="M445">
        <v>85060.88</v>
      </c>
      <c r="N445" t="s">
        <v>25</v>
      </c>
      <c r="O445" s="7">
        <f t="shared" ca="1" si="25"/>
        <v>45749</v>
      </c>
      <c r="P445" s="7">
        <v>45889</v>
      </c>
      <c r="Q445">
        <v>5</v>
      </c>
      <c r="R445" t="str">
        <f t="shared" si="26"/>
        <v>Midum Risk</v>
      </c>
      <c r="S445" t="str">
        <f t="shared" si="27"/>
        <v xml:space="preserve">Midum </v>
      </c>
      <c r="T445" s="4">
        <f>Table1[[#This Row],[Deposit_Amount]]+Table1[[#This Row],[Withdrawal_Amount]]</f>
        <v>503133.44999999995</v>
      </c>
      <c r="U445" t="s">
        <v>274</v>
      </c>
    </row>
    <row r="446" spans="1:21" x14ac:dyDescent="0.3">
      <c r="A446">
        <v>445</v>
      </c>
      <c r="B446" t="s">
        <v>52</v>
      </c>
      <c r="C446" t="s">
        <v>22</v>
      </c>
      <c r="D446">
        <v>32</v>
      </c>
      <c r="E446" t="s">
        <v>31</v>
      </c>
      <c r="F446" s="4">
        <v>434068.11</v>
      </c>
      <c r="G446" t="str">
        <f t="shared" si="24"/>
        <v>High Income</v>
      </c>
      <c r="H446">
        <v>148593.93</v>
      </c>
      <c r="I446">
        <v>428</v>
      </c>
      <c r="J446" t="s">
        <v>18</v>
      </c>
      <c r="K446" t="s">
        <v>42</v>
      </c>
      <c r="L446">
        <v>353917.88</v>
      </c>
      <c r="M446">
        <v>48204.26</v>
      </c>
      <c r="N446" t="s">
        <v>28</v>
      </c>
      <c r="O446" s="7">
        <f t="shared" ca="1" si="25"/>
        <v>45668</v>
      </c>
      <c r="P446" s="7">
        <v>45791</v>
      </c>
      <c r="Q446">
        <v>3</v>
      </c>
      <c r="R446" t="str">
        <f t="shared" si="26"/>
        <v>Midum Risk</v>
      </c>
      <c r="S446" t="str">
        <f t="shared" si="27"/>
        <v xml:space="preserve">Midum </v>
      </c>
      <c r="T446" s="4">
        <f>Table1[[#This Row],[Deposit_Amount]]+Table1[[#This Row],[Withdrawal_Amount]]</f>
        <v>582662.04</v>
      </c>
      <c r="U446" t="s">
        <v>274</v>
      </c>
    </row>
    <row r="447" spans="1:21" x14ac:dyDescent="0.3">
      <c r="A447">
        <v>446</v>
      </c>
      <c r="B447" t="s">
        <v>156</v>
      </c>
      <c r="C447" t="s">
        <v>16</v>
      </c>
      <c r="D447">
        <v>27</v>
      </c>
      <c r="E447" t="s">
        <v>40</v>
      </c>
      <c r="F447" s="4">
        <v>482621.68</v>
      </c>
      <c r="G447" t="str">
        <f t="shared" si="24"/>
        <v>High Income</v>
      </c>
      <c r="H447">
        <v>87933.98</v>
      </c>
      <c r="I447">
        <v>874</v>
      </c>
      <c r="J447" t="s">
        <v>41</v>
      </c>
      <c r="K447" t="s">
        <v>59</v>
      </c>
      <c r="L447">
        <v>502893.02</v>
      </c>
      <c r="M447">
        <v>41487.35</v>
      </c>
      <c r="N447" t="s">
        <v>20</v>
      </c>
      <c r="O447" s="7">
        <f t="shared" ca="1" si="25"/>
        <v>45837</v>
      </c>
      <c r="P447" s="7">
        <v>45792</v>
      </c>
      <c r="Q447">
        <v>5</v>
      </c>
      <c r="R447" t="str">
        <f t="shared" si="26"/>
        <v>Low Risk</v>
      </c>
      <c r="S447" t="str">
        <f t="shared" si="27"/>
        <v>Good</v>
      </c>
      <c r="T447" s="4">
        <f>Table1[[#This Row],[Deposit_Amount]]+Table1[[#This Row],[Withdrawal_Amount]]</f>
        <v>570555.66</v>
      </c>
      <c r="U447" t="s">
        <v>274</v>
      </c>
    </row>
    <row r="448" spans="1:21" x14ac:dyDescent="0.3">
      <c r="A448">
        <v>447</v>
      </c>
      <c r="B448" t="s">
        <v>56</v>
      </c>
      <c r="C448" t="s">
        <v>16</v>
      </c>
      <c r="D448">
        <v>41</v>
      </c>
      <c r="E448" t="s">
        <v>31</v>
      </c>
      <c r="F448" s="4">
        <v>90273.29</v>
      </c>
      <c r="G448" t="str">
        <f t="shared" si="24"/>
        <v>Low Income</v>
      </c>
      <c r="H448">
        <v>118321.36</v>
      </c>
      <c r="I448">
        <v>653</v>
      </c>
      <c r="J448" t="s">
        <v>18</v>
      </c>
      <c r="K448" t="s">
        <v>42</v>
      </c>
      <c r="L448">
        <v>-6599.81</v>
      </c>
      <c r="M448">
        <v>101565.89</v>
      </c>
      <c r="N448" t="s">
        <v>20</v>
      </c>
      <c r="O448" s="7">
        <f t="shared" ca="1" si="25"/>
        <v>45938</v>
      </c>
      <c r="P448" s="7">
        <v>45709</v>
      </c>
      <c r="Q448">
        <v>3</v>
      </c>
      <c r="R448" t="str">
        <f t="shared" si="26"/>
        <v>Low Risk</v>
      </c>
      <c r="S448" t="str">
        <f t="shared" si="27"/>
        <v>Good</v>
      </c>
      <c r="T448" s="4">
        <f>Table1[[#This Row],[Deposit_Amount]]+Table1[[#This Row],[Withdrawal_Amount]]</f>
        <v>208594.65</v>
      </c>
      <c r="U448" t="s">
        <v>274</v>
      </c>
    </row>
    <row r="449" spans="1:21" x14ac:dyDescent="0.3">
      <c r="A449">
        <v>448</v>
      </c>
      <c r="B449" t="s">
        <v>204</v>
      </c>
      <c r="C449" t="s">
        <v>16</v>
      </c>
      <c r="D449">
        <v>57</v>
      </c>
      <c r="E449" t="s">
        <v>35</v>
      </c>
      <c r="F449" s="4">
        <v>311517.15999999997</v>
      </c>
      <c r="G449" t="str">
        <f t="shared" si="24"/>
        <v>High Income</v>
      </c>
      <c r="H449">
        <v>41996.26</v>
      </c>
      <c r="I449">
        <v>660</v>
      </c>
      <c r="J449" t="s">
        <v>38</v>
      </c>
      <c r="K449" t="s">
        <v>24</v>
      </c>
      <c r="L449">
        <v>437263.53</v>
      </c>
      <c r="M449">
        <v>73147.27</v>
      </c>
      <c r="N449" t="s">
        <v>20</v>
      </c>
      <c r="O449" s="7">
        <f t="shared" ca="1" si="25"/>
        <v>45954</v>
      </c>
      <c r="P449" s="7">
        <v>45905</v>
      </c>
      <c r="Q449">
        <v>1</v>
      </c>
      <c r="R449" t="str">
        <f t="shared" si="26"/>
        <v>Low Risk</v>
      </c>
      <c r="S449" t="str">
        <f t="shared" si="27"/>
        <v>Good</v>
      </c>
      <c r="T449" s="4">
        <f>Table1[[#This Row],[Deposit_Amount]]+Table1[[#This Row],[Withdrawal_Amount]]</f>
        <v>353513.42</v>
      </c>
      <c r="U449" t="s">
        <v>274</v>
      </c>
    </row>
    <row r="450" spans="1:21" x14ac:dyDescent="0.3">
      <c r="A450">
        <v>449</v>
      </c>
      <c r="B450" t="s">
        <v>139</v>
      </c>
      <c r="C450" t="s">
        <v>22</v>
      </c>
      <c r="D450">
        <v>36</v>
      </c>
      <c r="E450" t="s">
        <v>44</v>
      </c>
      <c r="F450" s="4">
        <v>423286.55</v>
      </c>
      <c r="G450" t="str">
        <f t="shared" ref="G450:G513" si="28">IF(F450&lt;=100000,"Low Income",IF(F450&lt;=200000,"Midum Income","High Income"))</f>
        <v>High Income</v>
      </c>
      <c r="H450">
        <v>71660.929999999993</v>
      </c>
      <c r="I450">
        <v>781</v>
      </c>
      <c r="J450" t="s">
        <v>38</v>
      </c>
      <c r="K450" t="s">
        <v>36</v>
      </c>
      <c r="L450">
        <v>444572.19</v>
      </c>
      <c r="M450">
        <v>151446.56</v>
      </c>
      <c r="N450" t="s">
        <v>20</v>
      </c>
      <c r="O450" s="7">
        <f t="shared" ref="O450:O513" ca="1" si="29">RANDBETWEEN(DATE(2025,1,1),DATE(2025,12,31))</f>
        <v>45899</v>
      </c>
      <c r="P450" s="7">
        <v>45888</v>
      </c>
      <c r="Q450">
        <v>5</v>
      </c>
      <c r="R450" t="str">
        <f t="shared" ref="R450:R513" si="30">IF(I450&lt;=400,"High Risk",IF(I450&lt;=600,"Midum Risk","Low Risk"))</f>
        <v>Low Risk</v>
      </c>
      <c r="S450" t="str">
        <f t="shared" ref="S450:S513" si="31">IF(I450&lt;=400,"Poor",IF(I450&lt;=600,"Midum ","Good"))</f>
        <v>Good</v>
      </c>
      <c r="T450" s="4">
        <f>Table1[[#This Row],[Deposit_Amount]]+Table1[[#This Row],[Withdrawal_Amount]]</f>
        <v>494947.48</v>
      </c>
      <c r="U450" t="s">
        <v>274</v>
      </c>
    </row>
    <row r="451" spans="1:21" x14ac:dyDescent="0.3">
      <c r="A451">
        <v>450</v>
      </c>
      <c r="B451" t="s">
        <v>126</v>
      </c>
      <c r="C451" t="s">
        <v>22</v>
      </c>
      <c r="D451">
        <v>49</v>
      </c>
      <c r="E451" t="s">
        <v>31</v>
      </c>
      <c r="F451" s="4">
        <v>24524.1</v>
      </c>
      <c r="G451" t="str">
        <f t="shared" si="28"/>
        <v>Low Income</v>
      </c>
      <c r="H451">
        <v>144419.47</v>
      </c>
      <c r="I451">
        <v>759</v>
      </c>
      <c r="J451" t="s">
        <v>38</v>
      </c>
      <c r="K451" t="s">
        <v>59</v>
      </c>
      <c r="L451">
        <v>-79330.73</v>
      </c>
      <c r="M451">
        <v>119592.16</v>
      </c>
      <c r="N451" t="s">
        <v>25</v>
      </c>
      <c r="O451" s="7">
        <f t="shared" ca="1" si="29"/>
        <v>45937</v>
      </c>
      <c r="P451" s="7">
        <v>45875</v>
      </c>
      <c r="Q451">
        <v>4</v>
      </c>
      <c r="R451" t="str">
        <f t="shared" si="30"/>
        <v>Low Risk</v>
      </c>
      <c r="S451" t="str">
        <f t="shared" si="31"/>
        <v>Good</v>
      </c>
      <c r="T451" s="4">
        <f>Table1[[#This Row],[Deposit_Amount]]+Table1[[#This Row],[Withdrawal_Amount]]</f>
        <v>168943.57</v>
      </c>
      <c r="U451" t="s">
        <v>274</v>
      </c>
    </row>
    <row r="452" spans="1:21" x14ac:dyDescent="0.3">
      <c r="A452">
        <v>451</v>
      </c>
      <c r="B452" t="s">
        <v>158</v>
      </c>
      <c r="C452" t="s">
        <v>16</v>
      </c>
      <c r="D452">
        <v>54</v>
      </c>
      <c r="E452" t="s">
        <v>40</v>
      </c>
      <c r="F452" s="4">
        <v>93723.02</v>
      </c>
      <c r="G452" t="str">
        <f t="shared" si="28"/>
        <v>Low Income</v>
      </c>
      <c r="H452">
        <v>154315.78</v>
      </c>
      <c r="I452">
        <v>415</v>
      </c>
      <c r="J452" t="s">
        <v>32</v>
      </c>
      <c r="K452" t="s">
        <v>36</v>
      </c>
      <c r="L452">
        <v>18085.73</v>
      </c>
      <c r="M452">
        <v>140881.19</v>
      </c>
      <c r="N452" t="s">
        <v>20</v>
      </c>
      <c r="O452" s="7">
        <f t="shared" ca="1" si="29"/>
        <v>45690</v>
      </c>
      <c r="P452" s="7">
        <v>45862</v>
      </c>
      <c r="Q452">
        <v>1</v>
      </c>
      <c r="R452" t="str">
        <f t="shared" si="30"/>
        <v>Midum Risk</v>
      </c>
      <c r="S452" t="str">
        <f t="shared" si="31"/>
        <v xml:space="preserve">Midum </v>
      </c>
      <c r="T452" s="4">
        <f>Table1[[#This Row],[Deposit_Amount]]+Table1[[#This Row],[Withdrawal_Amount]]</f>
        <v>248038.8</v>
      </c>
      <c r="U452" t="s">
        <v>274</v>
      </c>
    </row>
    <row r="453" spans="1:21" x14ac:dyDescent="0.3">
      <c r="A453">
        <v>452</v>
      </c>
      <c r="B453" t="s">
        <v>148</v>
      </c>
      <c r="C453" t="s">
        <v>16</v>
      </c>
      <c r="D453">
        <v>39</v>
      </c>
      <c r="E453" t="s">
        <v>35</v>
      </c>
      <c r="F453" s="4">
        <v>385694.29</v>
      </c>
      <c r="G453" t="str">
        <f t="shared" si="28"/>
        <v>High Income</v>
      </c>
      <c r="H453">
        <v>5461.67</v>
      </c>
      <c r="I453">
        <v>356</v>
      </c>
      <c r="J453" t="s">
        <v>32</v>
      </c>
      <c r="K453" t="s">
        <v>24</v>
      </c>
      <c r="L453">
        <v>491511.58</v>
      </c>
      <c r="M453">
        <v>30870.22</v>
      </c>
      <c r="N453" t="s">
        <v>20</v>
      </c>
      <c r="O453" s="7">
        <f t="shared" ca="1" si="29"/>
        <v>45921</v>
      </c>
      <c r="P453" s="7">
        <v>45853</v>
      </c>
      <c r="Q453">
        <v>4</v>
      </c>
      <c r="R453" t="str">
        <f t="shared" si="30"/>
        <v>High Risk</v>
      </c>
      <c r="S453" t="str">
        <f t="shared" si="31"/>
        <v>Poor</v>
      </c>
      <c r="T453" s="4">
        <f>Table1[[#This Row],[Deposit_Amount]]+Table1[[#This Row],[Withdrawal_Amount]]</f>
        <v>391155.95999999996</v>
      </c>
      <c r="U453" t="s">
        <v>274</v>
      </c>
    </row>
    <row r="454" spans="1:21" x14ac:dyDescent="0.3">
      <c r="A454">
        <v>453</v>
      </c>
      <c r="B454" t="s">
        <v>114</v>
      </c>
      <c r="C454" t="s">
        <v>16</v>
      </c>
      <c r="D454">
        <v>28</v>
      </c>
      <c r="E454" t="s">
        <v>23</v>
      </c>
      <c r="F454" s="4">
        <v>158905.99</v>
      </c>
      <c r="G454" t="str">
        <f t="shared" si="28"/>
        <v>Midum Income</v>
      </c>
      <c r="H454">
        <v>38633.39</v>
      </c>
      <c r="I454">
        <v>543</v>
      </c>
      <c r="J454" t="s">
        <v>38</v>
      </c>
      <c r="K454" t="s">
        <v>19</v>
      </c>
      <c r="L454">
        <v>151823.87</v>
      </c>
      <c r="M454">
        <v>19126.84</v>
      </c>
      <c r="N454" t="s">
        <v>25</v>
      </c>
      <c r="O454" s="7">
        <f t="shared" ca="1" si="29"/>
        <v>45779</v>
      </c>
      <c r="P454" s="7">
        <v>45691</v>
      </c>
      <c r="Q454">
        <v>5</v>
      </c>
      <c r="R454" t="str">
        <f t="shared" si="30"/>
        <v>Midum Risk</v>
      </c>
      <c r="S454" t="str">
        <f t="shared" si="31"/>
        <v xml:space="preserve">Midum </v>
      </c>
      <c r="T454" s="4">
        <f>Table1[[#This Row],[Deposit_Amount]]+Table1[[#This Row],[Withdrawal_Amount]]</f>
        <v>197539.38</v>
      </c>
      <c r="U454" t="s">
        <v>274</v>
      </c>
    </row>
    <row r="455" spans="1:21" x14ac:dyDescent="0.3">
      <c r="A455">
        <v>454</v>
      </c>
      <c r="B455" t="s">
        <v>157</v>
      </c>
      <c r="C455" t="s">
        <v>22</v>
      </c>
      <c r="D455">
        <v>43</v>
      </c>
      <c r="E455" t="s">
        <v>35</v>
      </c>
      <c r="F455" s="4">
        <v>92430.77</v>
      </c>
      <c r="G455" t="str">
        <f t="shared" si="28"/>
        <v>Low Income</v>
      </c>
      <c r="H455">
        <v>37502.22</v>
      </c>
      <c r="I455">
        <v>387</v>
      </c>
      <c r="J455" t="s">
        <v>18</v>
      </c>
      <c r="K455" t="s">
        <v>24</v>
      </c>
      <c r="L455">
        <v>129917.58</v>
      </c>
      <c r="M455">
        <v>229971.91</v>
      </c>
      <c r="N455" t="s">
        <v>20</v>
      </c>
      <c r="O455" s="7">
        <f t="shared" ca="1" si="29"/>
        <v>45744</v>
      </c>
      <c r="P455" s="7">
        <v>45790</v>
      </c>
      <c r="Q455">
        <v>2</v>
      </c>
      <c r="R455" t="str">
        <f t="shared" si="30"/>
        <v>High Risk</v>
      </c>
      <c r="S455" t="str">
        <f t="shared" si="31"/>
        <v>Poor</v>
      </c>
      <c r="T455" s="4">
        <f>Table1[[#This Row],[Deposit_Amount]]+Table1[[#This Row],[Withdrawal_Amount]]</f>
        <v>129932.99</v>
      </c>
      <c r="U455" t="s">
        <v>274</v>
      </c>
    </row>
    <row r="456" spans="1:21" x14ac:dyDescent="0.3">
      <c r="A456">
        <v>455</v>
      </c>
      <c r="B456" t="s">
        <v>73</v>
      </c>
      <c r="C456" t="s">
        <v>16</v>
      </c>
      <c r="D456">
        <v>30</v>
      </c>
      <c r="E456" t="s">
        <v>40</v>
      </c>
      <c r="F456" s="4">
        <v>244723.61</v>
      </c>
      <c r="G456" t="str">
        <f t="shared" si="28"/>
        <v>High Income</v>
      </c>
      <c r="H456">
        <v>178946.87</v>
      </c>
      <c r="I456">
        <v>492</v>
      </c>
      <c r="J456" t="s">
        <v>32</v>
      </c>
      <c r="K456" t="s">
        <v>19</v>
      </c>
      <c r="L456">
        <v>218780.28</v>
      </c>
      <c r="M456">
        <v>203166.13</v>
      </c>
      <c r="N456" t="s">
        <v>20</v>
      </c>
      <c r="O456" s="7">
        <f t="shared" ca="1" si="29"/>
        <v>45759</v>
      </c>
      <c r="P456" s="7">
        <v>45959</v>
      </c>
      <c r="Q456">
        <v>3</v>
      </c>
      <c r="R456" t="str">
        <f t="shared" si="30"/>
        <v>Midum Risk</v>
      </c>
      <c r="S456" t="str">
        <f t="shared" si="31"/>
        <v xml:space="preserve">Midum </v>
      </c>
      <c r="T456" s="4">
        <f>Table1[[#This Row],[Deposit_Amount]]+Table1[[#This Row],[Withdrawal_Amount]]</f>
        <v>423670.48</v>
      </c>
      <c r="U456" t="s">
        <v>274</v>
      </c>
    </row>
    <row r="457" spans="1:21" x14ac:dyDescent="0.3">
      <c r="A457">
        <v>456</v>
      </c>
      <c r="B457" t="s">
        <v>69</v>
      </c>
      <c r="C457" t="s">
        <v>16</v>
      </c>
      <c r="D457">
        <v>21</v>
      </c>
      <c r="E457" t="s">
        <v>44</v>
      </c>
      <c r="F457" s="4">
        <v>228306.23</v>
      </c>
      <c r="G457" t="str">
        <f t="shared" si="28"/>
        <v>High Income</v>
      </c>
      <c r="H457">
        <v>274716.14</v>
      </c>
      <c r="I457">
        <v>487</v>
      </c>
      <c r="J457" t="s">
        <v>41</v>
      </c>
      <c r="K457" t="s">
        <v>36</v>
      </c>
      <c r="L457">
        <v>56048.25</v>
      </c>
      <c r="M457">
        <v>23225.63</v>
      </c>
      <c r="N457" t="s">
        <v>25</v>
      </c>
      <c r="O457" s="7">
        <f t="shared" ca="1" si="29"/>
        <v>46018</v>
      </c>
      <c r="P457" s="7">
        <v>45702</v>
      </c>
      <c r="Q457">
        <v>2</v>
      </c>
      <c r="R457" t="str">
        <f t="shared" si="30"/>
        <v>Midum Risk</v>
      </c>
      <c r="S457" t="str">
        <f t="shared" si="31"/>
        <v xml:space="preserve">Midum </v>
      </c>
      <c r="T457" s="4">
        <f>Table1[[#This Row],[Deposit_Amount]]+Table1[[#This Row],[Withdrawal_Amount]]</f>
        <v>503022.37</v>
      </c>
      <c r="U457" t="s">
        <v>274</v>
      </c>
    </row>
    <row r="458" spans="1:21" x14ac:dyDescent="0.3">
      <c r="A458">
        <v>457</v>
      </c>
      <c r="B458" t="s">
        <v>74</v>
      </c>
      <c r="C458" t="s">
        <v>22</v>
      </c>
      <c r="D458">
        <v>26</v>
      </c>
      <c r="E458" t="s">
        <v>17</v>
      </c>
      <c r="F458" s="4">
        <v>367551.46</v>
      </c>
      <c r="G458" t="str">
        <f t="shared" si="28"/>
        <v>High Income</v>
      </c>
      <c r="H458">
        <v>18593.63</v>
      </c>
      <c r="I458">
        <v>628</v>
      </c>
      <c r="J458" t="s">
        <v>32</v>
      </c>
      <c r="K458" t="s">
        <v>24</v>
      </c>
      <c r="L458">
        <v>444738.74</v>
      </c>
      <c r="M458">
        <v>214987.76</v>
      </c>
      <c r="N458" t="s">
        <v>20</v>
      </c>
      <c r="O458" s="7">
        <f t="shared" ca="1" si="29"/>
        <v>45681</v>
      </c>
      <c r="P458" s="7">
        <v>45779</v>
      </c>
      <c r="Q458">
        <v>5</v>
      </c>
      <c r="R458" t="str">
        <f t="shared" si="30"/>
        <v>Low Risk</v>
      </c>
      <c r="S458" t="str">
        <f t="shared" si="31"/>
        <v>Good</v>
      </c>
      <c r="T458" s="4">
        <f>Table1[[#This Row],[Deposit_Amount]]+Table1[[#This Row],[Withdrawal_Amount]]</f>
        <v>386145.09</v>
      </c>
      <c r="U458" t="s">
        <v>274</v>
      </c>
    </row>
    <row r="459" spans="1:21" x14ac:dyDescent="0.3">
      <c r="A459">
        <v>458</v>
      </c>
      <c r="B459" t="s">
        <v>182</v>
      </c>
      <c r="C459" t="s">
        <v>16</v>
      </c>
      <c r="D459">
        <v>32</v>
      </c>
      <c r="E459" t="s">
        <v>40</v>
      </c>
      <c r="F459" s="4">
        <v>144938.4</v>
      </c>
      <c r="G459" t="str">
        <f t="shared" si="28"/>
        <v>Midum Income</v>
      </c>
      <c r="H459">
        <v>7381.38</v>
      </c>
      <c r="I459">
        <v>547</v>
      </c>
      <c r="J459" t="s">
        <v>18</v>
      </c>
      <c r="K459" t="s">
        <v>19</v>
      </c>
      <c r="L459">
        <v>305935.14</v>
      </c>
      <c r="M459">
        <v>95791.64</v>
      </c>
      <c r="N459" t="s">
        <v>25</v>
      </c>
      <c r="O459" s="7">
        <f t="shared" ca="1" si="29"/>
        <v>45733</v>
      </c>
      <c r="P459" s="7">
        <v>45833</v>
      </c>
      <c r="Q459">
        <v>3</v>
      </c>
      <c r="R459" t="str">
        <f t="shared" si="30"/>
        <v>Midum Risk</v>
      </c>
      <c r="S459" t="str">
        <f t="shared" si="31"/>
        <v xml:space="preserve">Midum </v>
      </c>
      <c r="T459" s="4">
        <f>Table1[[#This Row],[Deposit_Amount]]+Table1[[#This Row],[Withdrawal_Amount]]</f>
        <v>152319.78</v>
      </c>
      <c r="U459" t="s">
        <v>274</v>
      </c>
    </row>
    <row r="460" spans="1:21" x14ac:dyDescent="0.3">
      <c r="A460">
        <v>459</v>
      </c>
      <c r="B460" t="s">
        <v>54</v>
      </c>
      <c r="C460" t="s">
        <v>16</v>
      </c>
      <c r="D460">
        <v>57</v>
      </c>
      <c r="E460" t="s">
        <v>35</v>
      </c>
      <c r="F460" s="4">
        <v>117233.59</v>
      </c>
      <c r="G460" t="str">
        <f t="shared" si="28"/>
        <v>Midum Income</v>
      </c>
      <c r="H460">
        <v>71630.289999999994</v>
      </c>
      <c r="I460">
        <v>652</v>
      </c>
      <c r="J460" t="s">
        <v>38</v>
      </c>
      <c r="K460" t="s">
        <v>24</v>
      </c>
      <c r="L460">
        <v>74114</v>
      </c>
      <c r="M460">
        <v>236362.65</v>
      </c>
      <c r="N460" t="s">
        <v>20</v>
      </c>
      <c r="O460" s="7">
        <f t="shared" ca="1" si="29"/>
        <v>45879</v>
      </c>
      <c r="P460" s="7">
        <v>45802</v>
      </c>
      <c r="Q460">
        <v>2</v>
      </c>
      <c r="R460" t="str">
        <f t="shared" si="30"/>
        <v>Low Risk</v>
      </c>
      <c r="S460" t="str">
        <f t="shared" si="31"/>
        <v>Good</v>
      </c>
      <c r="T460" s="4">
        <f>Table1[[#This Row],[Deposit_Amount]]+Table1[[#This Row],[Withdrawal_Amount]]</f>
        <v>188863.88</v>
      </c>
      <c r="U460" t="s">
        <v>274</v>
      </c>
    </row>
    <row r="461" spans="1:21" x14ac:dyDescent="0.3">
      <c r="A461">
        <v>460</v>
      </c>
      <c r="B461" t="s">
        <v>203</v>
      </c>
      <c r="C461" t="s">
        <v>16</v>
      </c>
      <c r="D461">
        <v>68</v>
      </c>
      <c r="E461" t="s">
        <v>40</v>
      </c>
      <c r="F461" s="4">
        <v>215770.38</v>
      </c>
      <c r="G461" t="str">
        <f t="shared" si="28"/>
        <v>High Income</v>
      </c>
      <c r="H461">
        <v>117766.56</v>
      </c>
      <c r="I461">
        <v>357</v>
      </c>
      <c r="J461" t="s">
        <v>32</v>
      </c>
      <c r="K461" t="s">
        <v>59</v>
      </c>
      <c r="L461">
        <v>124909.72</v>
      </c>
      <c r="M461">
        <v>40006.49</v>
      </c>
      <c r="N461" t="s">
        <v>25</v>
      </c>
      <c r="O461" s="7">
        <f t="shared" ca="1" si="29"/>
        <v>45799</v>
      </c>
      <c r="P461" s="7">
        <v>45679</v>
      </c>
      <c r="Q461">
        <v>2</v>
      </c>
      <c r="R461" t="str">
        <f t="shared" si="30"/>
        <v>High Risk</v>
      </c>
      <c r="S461" t="str">
        <f t="shared" si="31"/>
        <v>Poor</v>
      </c>
      <c r="T461" s="4">
        <f>Table1[[#This Row],[Deposit_Amount]]+Table1[[#This Row],[Withdrawal_Amount]]</f>
        <v>333536.94</v>
      </c>
      <c r="U461" t="s">
        <v>274</v>
      </c>
    </row>
    <row r="462" spans="1:21" x14ac:dyDescent="0.3">
      <c r="A462">
        <v>461</v>
      </c>
      <c r="B462" t="s">
        <v>71</v>
      </c>
      <c r="C462" t="s">
        <v>16</v>
      </c>
      <c r="D462">
        <v>49</v>
      </c>
      <c r="E462" t="s">
        <v>17</v>
      </c>
      <c r="F462" s="4">
        <v>479940.3</v>
      </c>
      <c r="G462" t="str">
        <f t="shared" si="28"/>
        <v>High Income</v>
      </c>
      <c r="H462">
        <v>109699.25</v>
      </c>
      <c r="I462">
        <v>316</v>
      </c>
      <c r="J462" t="s">
        <v>32</v>
      </c>
      <c r="K462" t="s">
        <v>42</v>
      </c>
      <c r="L462">
        <v>410247.08</v>
      </c>
      <c r="M462">
        <v>48749.8</v>
      </c>
      <c r="N462" t="s">
        <v>25</v>
      </c>
      <c r="O462" s="7">
        <f t="shared" ca="1" si="29"/>
        <v>45764</v>
      </c>
      <c r="P462" s="7">
        <v>45896</v>
      </c>
      <c r="Q462">
        <v>5</v>
      </c>
      <c r="R462" t="str">
        <f t="shared" si="30"/>
        <v>High Risk</v>
      </c>
      <c r="S462" t="str">
        <f t="shared" si="31"/>
        <v>Poor</v>
      </c>
      <c r="T462" s="4">
        <f>Table1[[#This Row],[Deposit_Amount]]+Table1[[#This Row],[Withdrawal_Amount]]</f>
        <v>589639.55000000005</v>
      </c>
      <c r="U462" t="s">
        <v>274</v>
      </c>
    </row>
    <row r="463" spans="1:21" x14ac:dyDescent="0.3">
      <c r="A463">
        <v>462</v>
      </c>
      <c r="B463" t="s">
        <v>139</v>
      </c>
      <c r="C463" t="s">
        <v>22</v>
      </c>
      <c r="D463">
        <v>28</v>
      </c>
      <c r="E463" t="s">
        <v>23</v>
      </c>
      <c r="F463" s="4">
        <v>265111.73</v>
      </c>
      <c r="G463" t="str">
        <f t="shared" si="28"/>
        <v>High Income</v>
      </c>
      <c r="H463">
        <v>201855.14</v>
      </c>
      <c r="I463">
        <v>681</v>
      </c>
      <c r="J463" t="s">
        <v>18</v>
      </c>
      <c r="K463" t="s">
        <v>19</v>
      </c>
      <c r="L463">
        <v>243062.98</v>
      </c>
      <c r="M463">
        <v>140273.12</v>
      </c>
      <c r="N463" t="s">
        <v>28</v>
      </c>
      <c r="O463" s="7">
        <f t="shared" ca="1" si="29"/>
        <v>45805</v>
      </c>
      <c r="P463" s="7">
        <v>45997</v>
      </c>
      <c r="Q463">
        <v>3</v>
      </c>
      <c r="R463" t="str">
        <f t="shared" si="30"/>
        <v>Low Risk</v>
      </c>
      <c r="S463" t="str">
        <f t="shared" si="31"/>
        <v>Good</v>
      </c>
      <c r="T463" s="4">
        <f>Table1[[#This Row],[Deposit_Amount]]+Table1[[#This Row],[Withdrawal_Amount]]</f>
        <v>466966.87</v>
      </c>
      <c r="U463" t="s">
        <v>274</v>
      </c>
    </row>
    <row r="464" spans="1:21" x14ac:dyDescent="0.3">
      <c r="A464">
        <v>463</v>
      </c>
      <c r="B464" t="s">
        <v>184</v>
      </c>
      <c r="C464" t="s">
        <v>16</v>
      </c>
      <c r="D464">
        <v>43</v>
      </c>
      <c r="E464" t="s">
        <v>40</v>
      </c>
      <c r="F464" s="4">
        <v>472307.22</v>
      </c>
      <c r="G464" t="str">
        <f t="shared" si="28"/>
        <v>High Income</v>
      </c>
      <c r="H464">
        <v>170004.61</v>
      </c>
      <c r="I464">
        <v>451</v>
      </c>
      <c r="J464" t="s">
        <v>27</v>
      </c>
      <c r="K464" t="s">
        <v>59</v>
      </c>
      <c r="L464">
        <v>414425.17</v>
      </c>
      <c r="M464">
        <v>152555.92000000001</v>
      </c>
      <c r="N464" t="s">
        <v>20</v>
      </c>
      <c r="O464" s="7">
        <f t="shared" ca="1" si="29"/>
        <v>45732</v>
      </c>
      <c r="P464" s="7">
        <v>45855</v>
      </c>
      <c r="Q464">
        <v>3</v>
      </c>
      <c r="R464" t="str">
        <f t="shared" si="30"/>
        <v>Midum Risk</v>
      </c>
      <c r="S464" t="str">
        <f t="shared" si="31"/>
        <v xml:space="preserve">Midum </v>
      </c>
      <c r="T464" s="4">
        <f>Table1[[#This Row],[Deposit_Amount]]+Table1[[#This Row],[Withdrawal_Amount]]</f>
        <v>642311.82999999996</v>
      </c>
      <c r="U464" t="s">
        <v>274</v>
      </c>
    </row>
    <row r="465" spans="1:21" x14ac:dyDescent="0.3">
      <c r="A465">
        <v>464</v>
      </c>
      <c r="B465" t="s">
        <v>58</v>
      </c>
      <c r="C465" t="s">
        <v>16</v>
      </c>
      <c r="D465">
        <v>33</v>
      </c>
      <c r="E465" t="s">
        <v>35</v>
      </c>
      <c r="F465" s="4">
        <v>207537.18</v>
      </c>
      <c r="G465" t="str">
        <f t="shared" si="28"/>
        <v>High Income</v>
      </c>
      <c r="H465">
        <v>167614.46</v>
      </c>
      <c r="I465">
        <v>618</v>
      </c>
      <c r="J465" t="s">
        <v>41</v>
      </c>
      <c r="K465" t="s">
        <v>36</v>
      </c>
      <c r="L465">
        <v>194032.06</v>
      </c>
      <c r="M465">
        <v>47022.57</v>
      </c>
      <c r="N465" t="s">
        <v>28</v>
      </c>
      <c r="O465" s="7">
        <f t="shared" ca="1" si="29"/>
        <v>45851</v>
      </c>
      <c r="P465" s="7">
        <v>45850</v>
      </c>
      <c r="Q465">
        <v>3</v>
      </c>
      <c r="R465" t="str">
        <f t="shared" si="30"/>
        <v>Low Risk</v>
      </c>
      <c r="S465" t="str">
        <f t="shared" si="31"/>
        <v>Good</v>
      </c>
      <c r="T465" s="4">
        <f>Table1[[#This Row],[Deposit_Amount]]+Table1[[#This Row],[Withdrawal_Amount]]</f>
        <v>375151.64</v>
      </c>
      <c r="U465" t="s">
        <v>274</v>
      </c>
    </row>
    <row r="466" spans="1:21" x14ac:dyDescent="0.3">
      <c r="A466">
        <v>465</v>
      </c>
      <c r="B466" t="s">
        <v>43</v>
      </c>
      <c r="C466" t="s">
        <v>22</v>
      </c>
      <c r="D466">
        <v>44</v>
      </c>
      <c r="E466" t="s">
        <v>31</v>
      </c>
      <c r="F466" s="4">
        <v>390816.79</v>
      </c>
      <c r="G466" t="str">
        <f t="shared" si="28"/>
        <v>High Income</v>
      </c>
      <c r="H466">
        <v>81310.23</v>
      </c>
      <c r="I466">
        <v>340</v>
      </c>
      <c r="J466" t="s">
        <v>38</v>
      </c>
      <c r="K466" t="s">
        <v>59</v>
      </c>
      <c r="L466">
        <v>370866.91</v>
      </c>
      <c r="M466">
        <v>65629.73</v>
      </c>
      <c r="N466" t="s">
        <v>25</v>
      </c>
      <c r="O466" s="7">
        <f t="shared" ca="1" si="29"/>
        <v>45984</v>
      </c>
      <c r="P466" s="7">
        <v>45831</v>
      </c>
      <c r="Q466">
        <v>5</v>
      </c>
      <c r="R466" t="str">
        <f t="shared" si="30"/>
        <v>High Risk</v>
      </c>
      <c r="S466" t="str">
        <f t="shared" si="31"/>
        <v>Poor</v>
      </c>
      <c r="T466" s="4">
        <f>Table1[[#This Row],[Deposit_Amount]]+Table1[[#This Row],[Withdrawal_Amount]]</f>
        <v>472127.01999999996</v>
      </c>
      <c r="U466" t="s">
        <v>274</v>
      </c>
    </row>
    <row r="467" spans="1:21" x14ac:dyDescent="0.3">
      <c r="A467">
        <v>466</v>
      </c>
      <c r="B467" t="s">
        <v>82</v>
      </c>
      <c r="C467" t="s">
        <v>22</v>
      </c>
      <c r="D467">
        <v>39</v>
      </c>
      <c r="E467" t="s">
        <v>23</v>
      </c>
      <c r="F467" s="4">
        <v>180282.33</v>
      </c>
      <c r="G467" t="str">
        <f t="shared" si="28"/>
        <v>Midum Income</v>
      </c>
      <c r="H467">
        <v>137729.82</v>
      </c>
      <c r="I467">
        <v>793</v>
      </c>
      <c r="J467" t="s">
        <v>38</v>
      </c>
      <c r="K467" t="s">
        <v>59</v>
      </c>
      <c r="L467">
        <v>128399.19</v>
      </c>
      <c r="M467">
        <v>20357.98</v>
      </c>
      <c r="N467" t="s">
        <v>28</v>
      </c>
      <c r="O467" s="7">
        <f t="shared" ca="1" si="29"/>
        <v>45807</v>
      </c>
      <c r="P467" s="7">
        <v>45753</v>
      </c>
      <c r="Q467">
        <v>5</v>
      </c>
      <c r="R467" t="str">
        <f t="shared" si="30"/>
        <v>Low Risk</v>
      </c>
      <c r="S467" t="str">
        <f t="shared" si="31"/>
        <v>Good</v>
      </c>
      <c r="T467" s="4">
        <f>Table1[[#This Row],[Deposit_Amount]]+Table1[[#This Row],[Withdrawal_Amount]]</f>
        <v>318012.15000000002</v>
      </c>
      <c r="U467" t="s">
        <v>274</v>
      </c>
    </row>
    <row r="468" spans="1:21" x14ac:dyDescent="0.3">
      <c r="A468">
        <v>467</v>
      </c>
      <c r="B468" t="s">
        <v>142</v>
      </c>
      <c r="C468" t="s">
        <v>22</v>
      </c>
      <c r="D468">
        <v>57</v>
      </c>
      <c r="E468" t="s">
        <v>17</v>
      </c>
      <c r="F468" s="4">
        <v>373457.44</v>
      </c>
      <c r="G468" t="str">
        <f t="shared" si="28"/>
        <v>High Income</v>
      </c>
      <c r="H468">
        <v>282602.32</v>
      </c>
      <c r="I468">
        <v>658</v>
      </c>
      <c r="J468" t="s">
        <v>27</v>
      </c>
      <c r="K468" t="s">
        <v>36</v>
      </c>
      <c r="L468">
        <v>134337.12</v>
      </c>
      <c r="M468">
        <v>118037.11</v>
      </c>
      <c r="N468" t="s">
        <v>20</v>
      </c>
      <c r="O468" s="7">
        <f t="shared" ca="1" si="29"/>
        <v>45878</v>
      </c>
      <c r="P468" s="7">
        <v>45851</v>
      </c>
      <c r="Q468">
        <v>4</v>
      </c>
      <c r="R468" t="str">
        <f t="shared" si="30"/>
        <v>Low Risk</v>
      </c>
      <c r="S468" t="str">
        <f t="shared" si="31"/>
        <v>Good</v>
      </c>
      <c r="T468" s="4">
        <f>Table1[[#This Row],[Deposit_Amount]]+Table1[[#This Row],[Withdrawal_Amount]]</f>
        <v>656059.76</v>
      </c>
      <c r="U468" t="s">
        <v>274</v>
      </c>
    </row>
    <row r="469" spans="1:21" x14ac:dyDescent="0.3">
      <c r="A469">
        <v>468</v>
      </c>
      <c r="B469" t="s">
        <v>140</v>
      </c>
      <c r="C469" t="s">
        <v>22</v>
      </c>
      <c r="D469">
        <v>39</v>
      </c>
      <c r="E469" t="s">
        <v>35</v>
      </c>
      <c r="F469" s="4">
        <v>236029.33</v>
      </c>
      <c r="G469" t="str">
        <f t="shared" si="28"/>
        <v>High Income</v>
      </c>
      <c r="H469">
        <v>175258.51</v>
      </c>
      <c r="I469">
        <v>623</v>
      </c>
      <c r="J469" t="s">
        <v>27</v>
      </c>
      <c r="K469" t="s">
        <v>59</v>
      </c>
      <c r="L469">
        <v>192386.1</v>
      </c>
      <c r="M469">
        <v>135772.04999999999</v>
      </c>
      <c r="N469" t="s">
        <v>20</v>
      </c>
      <c r="O469" s="7">
        <f t="shared" ca="1" si="29"/>
        <v>45992</v>
      </c>
      <c r="P469" s="7">
        <v>45911</v>
      </c>
      <c r="Q469">
        <v>5</v>
      </c>
      <c r="R469" t="str">
        <f t="shared" si="30"/>
        <v>Low Risk</v>
      </c>
      <c r="S469" t="str">
        <f t="shared" si="31"/>
        <v>Good</v>
      </c>
      <c r="T469" s="4">
        <f>Table1[[#This Row],[Deposit_Amount]]+Table1[[#This Row],[Withdrawal_Amount]]</f>
        <v>411287.83999999997</v>
      </c>
      <c r="U469" t="s">
        <v>274</v>
      </c>
    </row>
    <row r="470" spans="1:21" x14ac:dyDescent="0.3">
      <c r="A470">
        <v>469</v>
      </c>
      <c r="B470" t="s">
        <v>121</v>
      </c>
      <c r="C470" t="s">
        <v>16</v>
      </c>
      <c r="D470">
        <v>63</v>
      </c>
      <c r="E470" t="s">
        <v>40</v>
      </c>
      <c r="F470" s="4">
        <v>464883.75</v>
      </c>
      <c r="G470" t="str">
        <f t="shared" si="28"/>
        <v>High Income</v>
      </c>
      <c r="H470">
        <v>33603.589999999997</v>
      </c>
      <c r="I470">
        <v>336</v>
      </c>
      <c r="J470" t="s">
        <v>38</v>
      </c>
      <c r="K470" t="s">
        <v>36</v>
      </c>
      <c r="L470">
        <v>468012.92</v>
      </c>
      <c r="M470">
        <v>217193.78</v>
      </c>
      <c r="N470" t="s">
        <v>25</v>
      </c>
      <c r="O470" s="7">
        <f t="shared" ca="1" si="29"/>
        <v>45994</v>
      </c>
      <c r="P470" s="7">
        <v>45771</v>
      </c>
      <c r="Q470">
        <v>3</v>
      </c>
      <c r="R470" t="str">
        <f t="shared" si="30"/>
        <v>High Risk</v>
      </c>
      <c r="S470" t="str">
        <f t="shared" si="31"/>
        <v>Poor</v>
      </c>
      <c r="T470" s="4">
        <f>Table1[[#This Row],[Deposit_Amount]]+Table1[[#This Row],[Withdrawal_Amount]]</f>
        <v>498487.33999999997</v>
      </c>
      <c r="U470" t="s">
        <v>274</v>
      </c>
    </row>
    <row r="471" spans="1:21" x14ac:dyDescent="0.3">
      <c r="A471">
        <v>470</v>
      </c>
      <c r="B471" t="s">
        <v>152</v>
      </c>
      <c r="C471" t="s">
        <v>22</v>
      </c>
      <c r="D471">
        <v>63</v>
      </c>
      <c r="E471" t="s">
        <v>40</v>
      </c>
      <c r="F471" s="4">
        <v>358864.57</v>
      </c>
      <c r="G471" t="str">
        <f t="shared" si="28"/>
        <v>High Income</v>
      </c>
      <c r="H471">
        <v>36075.97</v>
      </c>
      <c r="I471">
        <v>592</v>
      </c>
      <c r="J471" t="s">
        <v>41</v>
      </c>
      <c r="K471" t="s">
        <v>59</v>
      </c>
      <c r="L471">
        <v>477298.9</v>
      </c>
      <c r="M471">
        <v>235779.55</v>
      </c>
      <c r="N471" t="s">
        <v>25</v>
      </c>
      <c r="O471" s="7">
        <f t="shared" ca="1" si="29"/>
        <v>45691</v>
      </c>
      <c r="P471" s="7">
        <v>46019</v>
      </c>
      <c r="Q471">
        <v>2</v>
      </c>
      <c r="R471" t="str">
        <f t="shared" si="30"/>
        <v>Midum Risk</v>
      </c>
      <c r="S471" t="str">
        <f t="shared" si="31"/>
        <v xml:space="preserve">Midum </v>
      </c>
      <c r="T471" s="4">
        <f>Table1[[#This Row],[Deposit_Amount]]+Table1[[#This Row],[Withdrawal_Amount]]</f>
        <v>394940.54000000004</v>
      </c>
      <c r="U471" t="s">
        <v>274</v>
      </c>
    </row>
    <row r="472" spans="1:21" x14ac:dyDescent="0.3">
      <c r="A472">
        <v>471</v>
      </c>
      <c r="B472" t="s">
        <v>199</v>
      </c>
      <c r="C472" t="s">
        <v>22</v>
      </c>
      <c r="D472">
        <v>36</v>
      </c>
      <c r="E472" t="s">
        <v>40</v>
      </c>
      <c r="F472" s="4">
        <v>332738.44</v>
      </c>
      <c r="G472" t="str">
        <f t="shared" si="28"/>
        <v>High Income</v>
      </c>
      <c r="H472">
        <v>49732.82</v>
      </c>
      <c r="I472">
        <v>771</v>
      </c>
      <c r="J472" t="s">
        <v>18</v>
      </c>
      <c r="K472" t="s">
        <v>19</v>
      </c>
      <c r="L472">
        <v>351258.73</v>
      </c>
      <c r="M472">
        <v>194571.43</v>
      </c>
      <c r="N472" t="s">
        <v>28</v>
      </c>
      <c r="O472" s="7">
        <f t="shared" ca="1" si="29"/>
        <v>45875</v>
      </c>
      <c r="P472" s="7">
        <v>45789</v>
      </c>
      <c r="Q472">
        <v>2</v>
      </c>
      <c r="R472" t="str">
        <f t="shared" si="30"/>
        <v>Low Risk</v>
      </c>
      <c r="S472" t="str">
        <f t="shared" si="31"/>
        <v>Good</v>
      </c>
      <c r="T472" s="4">
        <f>Table1[[#This Row],[Deposit_Amount]]+Table1[[#This Row],[Withdrawal_Amount]]</f>
        <v>382471.26</v>
      </c>
      <c r="U472" t="s">
        <v>274</v>
      </c>
    </row>
    <row r="473" spans="1:21" x14ac:dyDescent="0.3">
      <c r="A473">
        <v>472</v>
      </c>
      <c r="B473" t="s">
        <v>207</v>
      </c>
      <c r="C473" t="s">
        <v>16</v>
      </c>
      <c r="D473">
        <v>27</v>
      </c>
      <c r="E473" t="s">
        <v>17</v>
      </c>
      <c r="F473" s="4">
        <v>222249.47</v>
      </c>
      <c r="G473" t="str">
        <f t="shared" si="28"/>
        <v>High Income</v>
      </c>
      <c r="H473">
        <v>157774.38</v>
      </c>
      <c r="I473">
        <v>392</v>
      </c>
      <c r="J473" t="s">
        <v>27</v>
      </c>
      <c r="K473" t="s">
        <v>19</v>
      </c>
      <c r="L473">
        <v>121571.38</v>
      </c>
      <c r="M473">
        <v>100635.46</v>
      </c>
      <c r="N473" t="s">
        <v>25</v>
      </c>
      <c r="O473" s="7">
        <f t="shared" ca="1" si="29"/>
        <v>45834</v>
      </c>
      <c r="P473" s="7">
        <v>45996</v>
      </c>
      <c r="Q473">
        <v>3</v>
      </c>
      <c r="R473" t="str">
        <f t="shared" si="30"/>
        <v>High Risk</v>
      </c>
      <c r="S473" t="str">
        <f t="shared" si="31"/>
        <v>Poor</v>
      </c>
      <c r="T473" s="4">
        <f>Table1[[#This Row],[Deposit_Amount]]+Table1[[#This Row],[Withdrawal_Amount]]</f>
        <v>380023.85</v>
      </c>
      <c r="U473" t="s">
        <v>274</v>
      </c>
    </row>
    <row r="474" spans="1:21" x14ac:dyDescent="0.3">
      <c r="A474">
        <v>473</v>
      </c>
      <c r="B474" t="s">
        <v>68</v>
      </c>
      <c r="C474" t="s">
        <v>16</v>
      </c>
      <c r="D474">
        <v>49</v>
      </c>
      <c r="E474" t="s">
        <v>31</v>
      </c>
      <c r="F474" s="4">
        <v>355571.46</v>
      </c>
      <c r="G474" t="str">
        <f t="shared" si="28"/>
        <v>High Income</v>
      </c>
      <c r="H474">
        <v>100325.97</v>
      </c>
      <c r="I474">
        <v>846</v>
      </c>
      <c r="J474" t="s">
        <v>41</v>
      </c>
      <c r="K474" t="s">
        <v>42</v>
      </c>
      <c r="L474">
        <v>379152.39</v>
      </c>
      <c r="M474">
        <v>177054.86</v>
      </c>
      <c r="N474" t="s">
        <v>20</v>
      </c>
      <c r="O474" s="7">
        <f t="shared" ca="1" si="29"/>
        <v>45752</v>
      </c>
      <c r="P474" s="7">
        <v>45757</v>
      </c>
      <c r="Q474">
        <v>1</v>
      </c>
      <c r="R474" t="str">
        <f t="shared" si="30"/>
        <v>Low Risk</v>
      </c>
      <c r="S474" t="str">
        <f t="shared" si="31"/>
        <v>Good</v>
      </c>
      <c r="T474" s="4">
        <f>Table1[[#This Row],[Deposit_Amount]]+Table1[[#This Row],[Withdrawal_Amount]]</f>
        <v>455897.43000000005</v>
      </c>
      <c r="U474" t="s">
        <v>274</v>
      </c>
    </row>
    <row r="475" spans="1:21" x14ac:dyDescent="0.3">
      <c r="A475">
        <v>474</v>
      </c>
      <c r="B475" t="s">
        <v>118</v>
      </c>
      <c r="C475" t="s">
        <v>22</v>
      </c>
      <c r="D475">
        <v>27</v>
      </c>
      <c r="E475" t="s">
        <v>31</v>
      </c>
      <c r="F475" s="4">
        <v>405905.75</v>
      </c>
      <c r="G475" t="str">
        <f t="shared" si="28"/>
        <v>High Income</v>
      </c>
      <c r="H475">
        <v>55388.639999999999</v>
      </c>
      <c r="I475">
        <v>821</v>
      </c>
      <c r="J475" t="s">
        <v>27</v>
      </c>
      <c r="K475" t="s">
        <v>36</v>
      </c>
      <c r="L475">
        <v>472413.92</v>
      </c>
      <c r="M475">
        <v>195395.65</v>
      </c>
      <c r="N475" t="s">
        <v>25</v>
      </c>
      <c r="O475" s="7">
        <f t="shared" ca="1" si="29"/>
        <v>45699</v>
      </c>
      <c r="P475" s="7">
        <v>45861</v>
      </c>
      <c r="Q475">
        <v>3</v>
      </c>
      <c r="R475" t="str">
        <f t="shared" si="30"/>
        <v>Low Risk</v>
      </c>
      <c r="S475" t="str">
        <f t="shared" si="31"/>
        <v>Good</v>
      </c>
      <c r="T475" s="4">
        <f>Table1[[#This Row],[Deposit_Amount]]+Table1[[#This Row],[Withdrawal_Amount]]</f>
        <v>461294.39</v>
      </c>
      <c r="U475" t="s">
        <v>274</v>
      </c>
    </row>
    <row r="476" spans="1:21" x14ac:dyDescent="0.3">
      <c r="A476">
        <v>475</v>
      </c>
      <c r="B476" t="s">
        <v>101</v>
      </c>
      <c r="C476" t="s">
        <v>22</v>
      </c>
      <c r="D476">
        <v>28</v>
      </c>
      <c r="E476" t="s">
        <v>44</v>
      </c>
      <c r="F476" s="4">
        <v>357779.99</v>
      </c>
      <c r="G476" t="str">
        <f t="shared" si="28"/>
        <v>High Income</v>
      </c>
      <c r="H476">
        <v>118856.87</v>
      </c>
      <c r="I476">
        <v>624</v>
      </c>
      <c r="J476" t="s">
        <v>32</v>
      </c>
      <c r="K476" t="s">
        <v>59</v>
      </c>
      <c r="L476">
        <v>410494.57</v>
      </c>
      <c r="M476">
        <v>210037.18</v>
      </c>
      <c r="N476" t="s">
        <v>20</v>
      </c>
      <c r="O476" s="7">
        <f t="shared" ca="1" si="29"/>
        <v>45866</v>
      </c>
      <c r="P476" s="7">
        <v>45743</v>
      </c>
      <c r="Q476">
        <v>4</v>
      </c>
      <c r="R476" t="str">
        <f t="shared" si="30"/>
        <v>Low Risk</v>
      </c>
      <c r="S476" t="str">
        <f t="shared" si="31"/>
        <v>Good</v>
      </c>
      <c r="T476" s="4">
        <f>Table1[[#This Row],[Deposit_Amount]]+Table1[[#This Row],[Withdrawal_Amount]]</f>
        <v>476636.86</v>
      </c>
      <c r="U476" t="s">
        <v>274</v>
      </c>
    </row>
    <row r="477" spans="1:21" x14ac:dyDescent="0.3">
      <c r="A477">
        <v>476</v>
      </c>
      <c r="B477" t="s">
        <v>159</v>
      </c>
      <c r="C477" t="s">
        <v>22</v>
      </c>
      <c r="D477">
        <v>23</v>
      </c>
      <c r="E477" t="s">
        <v>23</v>
      </c>
      <c r="F477" s="4">
        <v>63492</v>
      </c>
      <c r="G477" t="str">
        <f t="shared" si="28"/>
        <v>Low Income</v>
      </c>
      <c r="H477">
        <v>106152.46</v>
      </c>
      <c r="I477">
        <v>693</v>
      </c>
      <c r="J477" t="s">
        <v>18</v>
      </c>
      <c r="K477" t="s">
        <v>24</v>
      </c>
      <c r="L477">
        <v>-19775.52</v>
      </c>
      <c r="M477">
        <v>107486.53</v>
      </c>
      <c r="N477" t="s">
        <v>28</v>
      </c>
      <c r="O477" s="7">
        <f t="shared" ca="1" si="29"/>
        <v>45888</v>
      </c>
      <c r="P477" s="7">
        <v>45996</v>
      </c>
      <c r="Q477">
        <v>4</v>
      </c>
      <c r="R477" t="str">
        <f t="shared" si="30"/>
        <v>Low Risk</v>
      </c>
      <c r="S477" t="str">
        <f t="shared" si="31"/>
        <v>Good</v>
      </c>
      <c r="T477" s="4">
        <f>Table1[[#This Row],[Deposit_Amount]]+Table1[[#This Row],[Withdrawal_Amount]]</f>
        <v>169644.46000000002</v>
      </c>
      <c r="U477" t="s">
        <v>274</v>
      </c>
    </row>
    <row r="478" spans="1:21" x14ac:dyDescent="0.3">
      <c r="A478">
        <v>477</v>
      </c>
      <c r="B478" t="s">
        <v>154</v>
      </c>
      <c r="C478" t="s">
        <v>16</v>
      </c>
      <c r="D478">
        <v>67</v>
      </c>
      <c r="E478" t="s">
        <v>44</v>
      </c>
      <c r="F478" s="4">
        <v>341504.82</v>
      </c>
      <c r="G478" t="str">
        <f t="shared" si="28"/>
        <v>High Income</v>
      </c>
      <c r="H478">
        <v>174258</v>
      </c>
      <c r="I478">
        <v>672</v>
      </c>
      <c r="J478" t="s">
        <v>38</v>
      </c>
      <c r="K478" t="s">
        <v>42</v>
      </c>
      <c r="L478">
        <v>322737.90000000002</v>
      </c>
      <c r="M478">
        <v>231127.13</v>
      </c>
      <c r="N478" t="s">
        <v>20</v>
      </c>
      <c r="O478" s="7">
        <f t="shared" ca="1" si="29"/>
        <v>45987</v>
      </c>
      <c r="P478" s="7">
        <v>45699</v>
      </c>
      <c r="Q478">
        <v>4</v>
      </c>
      <c r="R478" t="str">
        <f t="shared" si="30"/>
        <v>Low Risk</v>
      </c>
      <c r="S478" t="str">
        <f t="shared" si="31"/>
        <v>Good</v>
      </c>
      <c r="T478" s="4">
        <f>Table1[[#This Row],[Deposit_Amount]]+Table1[[#This Row],[Withdrawal_Amount]]</f>
        <v>515762.82</v>
      </c>
      <c r="U478" t="s">
        <v>274</v>
      </c>
    </row>
    <row r="479" spans="1:21" x14ac:dyDescent="0.3">
      <c r="A479">
        <v>478</v>
      </c>
      <c r="B479" t="s">
        <v>208</v>
      </c>
      <c r="C479" t="s">
        <v>22</v>
      </c>
      <c r="D479">
        <v>69</v>
      </c>
      <c r="E479" t="s">
        <v>31</v>
      </c>
      <c r="F479" s="4">
        <v>260446.11</v>
      </c>
      <c r="G479" t="str">
        <f t="shared" si="28"/>
        <v>High Income</v>
      </c>
      <c r="H479">
        <v>111231.17</v>
      </c>
      <c r="I479">
        <v>433</v>
      </c>
      <c r="J479" t="s">
        <v>41</v>
      </c>
      <c r="K479" t="s">
        <v>42</v>
      </c>
      <c r="L479">
        <v>199440</v>
      </c>
      <c r="M479">
        <v>32282.65</v>
      </c>
      <c r="N479" t="s">
        <v>28</v>
      </c>
      <c r="O479" s="7">
        <f t="shared" ca="1" si="29"/>
        <v>46007</v>
      </c>
      <c r="P479" s="7">
        <v>45935</v>
      </c>
      <c r="Q479">
        <v>3</v>
      </c>
      <c r="R479" t="str">
        <f t="shared" si="30"/>
        <v>Midum Risk</v>
      </c>
      <c r="S479" t="str">
        <f t="shared" si="31"/>
        <v xml:space="preserve">Midum </v>
      </c>
      <c r="T479" s="4">
        <f>Table1[[#This Row],[Deposit_Amount]]+Table1[[#This Row],[Withdrawal_Amount]]</f>
        <v>371677.27999999997</v>
      </c>
      <c r="U479" t="s">
        <v>274</v>
      </c>
    </row>
    <row r="480" spans="1:21" x14ac:dyDescent="0.3">
      <c r="A480">
        <v>479</v>
      </c>
      <c r="B480" t="s">
        <v>122</v>
      </c>
      <c r="C480" t="s">
        <v>16</v>
      </c>
      <c r="D480">
        <v>54</v>
      </c>
      <c r="E480" t="s">
        <v>31</v>
      </c>
      <c r="F480" s="4">
        <v>495576.78</v>
      </c>
      <c r="G480" t="str">
        <f t="shared" si="28"/>
        <v>High Income</v>
      </c>
      <c r="H480">
        <v>26463.9</v>
      </c>
      <c r="I480">
        <v>830</v>
      </c>
      <c r="J480" t="s">
        <v>18</v>
      </c>
      <c r="K480" t="s">
        <v>19</v>
      </c>
      <c r="L480">
        <v>615124.38</v>
      </c>
      <c r="M480">
        <v>103743.35</v>
      </c>
      <c r="N480" t="s">
        <v>28</v>
      </c>
      <c r="O480" s="7">
        <f t="shared" ca="1" si="29"/>
        <v>45838</v>
      </c>
      <c r="P480" s="7">
        <v>45737</v>
      </c>
      <c r="Q480">
        <v>3</v>
      </c>
      <c r="R480" t="str">
        <f t="shared" si="30"/>
        <v>Low Risk</v>
      </c>
      <c r="S480" t="str">
        <f t="shared" si="31"/>
        <v>Good</v>
      </c>
      <c r="T480" s="4">
        <f>Table1[[#This Row],[Deposit_Amount]]+Table1[[#This Row],[Withdrawal_Amount]]</f>
        <v>522040.68000000005</v>
      </c>
      <c r="U480" t="s">
        <v>274</v>
      </c>
    </row>
    <row r="481" spans="1:21" x14ac:dyDescent="0.3">
      <c r="A481">
        <v>480</v>
      </c>
      <c r="B481" t="s">
        <v>209</v>
      </c>
      <c r="C481" t="s">
        <v>16</v>
      </c>
      <c r="D481">
        <v>28</v>
      </c>
      <c r="E481" t="s">
        <v>17</v>
      </c>
      <c r="F481" s="4">
        <v>207353.31</v>
      </c>
      <c r="G481" t="str">
        <f t="shared" si="28"/>
        <v>High Income</v>
      </c>
      <c r="H481">
        <v>269627.92</v>
      </c>
      <c r="I481">
        <v>481</v>
      </c>
      <c r="J481" t="s">
        <v>18</v>
      </c>
      <c r="K481" t="s">
        <v>59</v>
      </c>
      <c r="L481">
        <v>-23867.61</v>
      </c>
      <c r="M481">
        <v>156440.29999999999</v>
      </c>
      <c r="N481" t="s">
        <v>28</v>
      </c>
      <c r="O481" s="7">
        <f t="shared" ca="1" si="29"/>
        <v>45884</v>
      </c>
      <c r="P481" s="7">
        <v>45890</v>
      </c>
      <c r="Q481">
        <v>1</v>
      </c>
      <c r="R481" t="str">
        <f t="shared" si="30"/>
        <v>Midum Risk</v>
      </c>
      <c r="S481" t="str">
        <f t="shared" si="31"/>
        <v xml:space="preserve">Midum </v>
      </c>
      <c r="T481" s="4">
        <f>Table1[[#This Row],[Deposit_Amount]]+Table1[[#This Row],[Withdrawal_Amount]]</f>
        <v>476981.23</v>
      </c>
      <c r="U481" t="s">
        <v>274</v>
      </c>
    </row>
    <row r="482" spans="1:21" x14ac:dyDescent="0.3">
      <c r="A482">
        <v>481</v>
      </c>
      <c r="B482" t="s">
        <v>210</v>
      </c>
      <c r="C482" t="s">
        <v>16</v>
      </c>
      <c r="D482">
        <v>43</v>
      </c>
      <c r="E482" t="s">
        <v>17</v>
      </c>
      <c r="F482" s="4">
        <v>488268.97</v>
      </c>
      <c r="G482" t="str">
        <f t="shared" si="28"/>
        <v>High Income</v>
      </c>
      <c r="H482">
        <v>11371.21</v>
      </c>
      <c r="I482">
        <v>710</v>
      </c>
      <c r="J482" t="s">
        <v>41</v>
      </c>
      <c r="K482" t="s">
        <v>19</v>
      </c>
      <c r="L482">
        <v>526988.27</v>
      </c>
      <c r="M482">
        <v>23777.09</v>
      </c>
      <c r="N482" t="s">
        <v>28</v>
      </c>
      <c r="O482" s="7">
        <f t="shared" ca="1" si="29"/>
        <v>45976</v>
      </c>
      <c r="P482" s="7">
        <v>45834</v>
      </c>
      <c r="Q482">
        <v>1</v>
      </c>
      <c r="R482" t="str">
        <f t="shared" si="30"/>
        <v>Low Risk</v>
      </c>
      <c r="S482" t="str">
        <f t="shared" si="31"/>
        <v>Good</v>
      </c>
      <c r="T482" s="4">
        <f>Table1[[#This Row],[Deposit_Amount]]+Table1[[#This Row],[Withdrawal_Amount]]</f>
        <v>499640.18</v>
      </c>
      <c r="U482" t="s">
        <v>274</v>
      </c>
    </row>
    <row r="483" spans="1:21" x14ac:dyDescent="0.3">
      <c r="A483">
        <v>482</v>
      </c>
      <c r="B483" t="s">
        <v>208</v>
      </c>
      <c r="C483" t="s">
        <v>22</v>
      </c>
      <c r="D483">
        <v>41</v>
      </c>
      <c r="E483" t="s">
        <v>35</v>
      </c>
      <c r="F483" s="4">
        <v>33424.65</v>
      </c>
      <c r="G483" t="str">
        <f t="shared" si="28"/>
        <v>Low Income</v>
      </c>
      <c r="H483">
        <v>130147.25</v>
      </c>
      <c r="I483">
        <v>341</v>
      </c>
      <c r="J483" t="s">
        <v>38</v>
      </c>
      <c r="K483" t="s">
        <v>19</v>
      </c>
      <c r="L483">
        <v>101791.5</v>
      </c>
      <c r="M483">
        <v>57536.66</v>
      </c>
      <c r="N483" t="s">
        <v>28</v>
      </c>
      <c r="O483" s="7">
        <f t="shared" ca="1" si="29"/>
        <v>45858</v>
      </c>
      <c r="P483" s="7">
        <v>45719</v>
      </c>
      <c r="Q483">
        <v>4</v>
      </c>
      <c r="R483" t="str">
        <f t="shared" si="30"/>
        <v>High Risk</v>
      </c>
      <c r="S483" t="str">
        <f t="shared" si="31"/>
        <v>Poor</v>
      </c>
      <c r="T483" s="4">
        <f>Table1[[#This Row],[Deposit_Amount]]+Table1[[#This Row],[Withdrawal_Amount]]</f>
        <v>163571.9</v>
      </c>
      <c r="U483" t="s">
        <v>274</v>
      </c>
    </row>
    <row r="484" spans="1:21" x14ac:dyDescent="0.3">
      <c r="A484">
        <v>483</v>
      </c>
      <c r="B484" t="s">
        <v>58</v>
      </c>
      <c r="C484" t="s">
        <v>16</v>
      </c>
      <c r="D484">
        <v>21</v>
      </c>
      <c r="E484" t="s">
        <v>40</v>
      </c>
      <c r="F484" s="4">
        <v>402414.74</v>
      </c>
      <c r="G484" t="str">
        <f t="shared" si="28"/>
        <v>High Income</v>
      </c>
      <c r="H484">
        <v>266905.07</v>
      </c>
      <c r="I484">
        <v>828</v>
      </c>
      <c r="J484" t="s">
        <v>32</v>
      </c>
      <c r="K484" t="s">
        <v>36</v>
      </c>
      <c r="L484">
        <v>141999.28</v>
      </c>
      <c r="M484">
        <v>218007.25</v>
      </c>
      <c r="N484" t="s">
        <v>25</v>
      </c>
      <c r="O484" s="7">
        <f t="shared" ca="1" si="29"/>
        <v>45992</v>
      </c>
      <c r="P484" s="7">
        <v>45895</v>
      </c>
      <c r="Q484">
        <v>4</v>
      </c>
      <c r="R484" t="str">
        <f t="shared" si="30"/>
        <v>Low Risk</v>
      </c>
      <c r="S484" t="str">
        <f t="shared" si="31"/>
        <v>Good</v>
      </c>
      <c r="T484" s="4">
        <f>Table1[[#This Row],[Deposit_Amount]]+Table1[[#This Row],[Withdrawal_Amount]]</f>
        <v>669319.81000000006</v>
      </c>
      <c r="U484" t="s">
        <v>274</v>
      </c>
    </row>
    <row r="485" spans="1:21" x14ac:dyDescent="0.3">
      <c r="A485">
        <v>484</v>
      </c>
      <c r="B485" t="s">
        <v>194</v>
      </c>
      <c r="C485" t="s">
        <v>22</v>
      </c>
      <c r="D485">
        <v>28</v>
      </c>
      <c r="E485" t="s">
        <v>40</v>
      </c>
      <c r="F485" s="4">
        <v>486639.6</v>
      </c>
      <c r="G485" t="str">
        <f t="shared" si="28"/>
        <v>High Income</v>
      </c>
      <c r="H485">
        <v>38789.14</v>
      </c>
      <c r="I485">
        <v>825</v>
      </c>
      <c r="J485" t="s">
        <v>18</v>
      </c>
      <c r="K485" t="s">
        <v>42</v>
      </c>
      <c r="L485">
        <v>525058.87</v>
      </c>
      <c r="M485">
        <v>81938.09</v>
      </c>
      <c r="N485" t="s">
        <v>28</v>
      </c>
      <c r="O485" s="7">
        <f t="shared" ca="1" si="29"/>
        <v>45947</v>
      </c>
      <c r="P485" s="7">
        <v>45939</v>
      </c>
      <c r="Q485">
        <v>3</v>
      </c>
      <c r="R485" t="str">
        <f t="shared" si="30"/>
        <v>Low Risk</v>
      </c>
      <c r="S485" t="str">
        <f t="shared" si="31"/>
        <v>Good</v>
      </c>
      <c r="T485" s="4">
        <f>Table1[[#This Row],[Deposit_Amount]]+Table1[[#This Row],[Withdrawal_Amount]]</f>
        <v>525428.74</v>
      </c>
      <c r="U485" t="s">
        <v>274</v>
      </c>
    </row>
    <row r="486" spans="1:21" x14ac:dyDescent="0.3">
      <c r="A486">
        <v>485</v>
      </c>
      <c r="B486" t="s">
        <v>206</v>
      </c>
      <c r="C486" t="s">
        <v>22</v>
      </c>
      <c r="D486">
        <v>57</v>
      </c>
      <c r="E486" t="s">
        <v>40</v>
      </c>
      <c r="F486" s="4">
        <v>102313.64</v>
      </c>
      <c r="G486" t="str">
        <f t="shared" si="28"/>
        <v>Midum Income</v>
      </c>
      <c r="H486">
        <v>69209.45</v>
      </c>
      <c r="I486">
        <v>360</v>
      </c>
      <c r="J486" t="s">
        <v>41</v>
      </c>
      <c r="K486" t="s">
        <v>42</v>
      </c>
      <c r="L486">
        <v>71954.37</v>
      </c>
      <c r="M486">
        <v>42112.57</v>
      </c>
      <c r="N486" t="s">
        <v>28</v>
      </c>
      <c r="O486" s="7">
        <f t="shared" ca="1" si="29"/>
        <v>45833</v>
      </c>
      <c r="P486" s="7">
        <v>46019</v>
      </c>
      <c r="Q486">
        <v>1</v>
      </c>
      <c r="R486" t="str">
        <f t="shared" si="30"/>
        <v>High Risk</v>
      </c>
      <c r="S486" t="str">
        <f t="shared" si="31"/>
        <v>Poor</v>
      </c>
      <c r="T486" s="4">
        <f>Table1[[#This Row],[Deposit_Amount]]+Table1[[#This Row],[Withdrawal_Amount]]</f>
        <v>171523.09</v>
      </c>
      <c r="U486" t="s">
        <v>274</v>
      </c>
    </row>
    <row r="487" spans="1:21" x14ac:dyDescent="0.3">
      <c r="A487">
        <v>486</v>
      </c>
      <c r="B487" t="s">
        <v>82</v>
      </c>
      <c r="C487" t="s">
        <v>22</v>
      </c>
      <c r="D487">
        <v>50</v>
      </c>
      <c r="E487" t="s">
        <v>17</v>
      </c>
      <c r="F487" s="4">
        <v>251575.21</v>
      </c>
      <c r="G487" t="str">
        <f t="shared" si="28"/>
        <v>High Income</v>
      </c>
      <c r="H487">
        <v>277565.94</v>
      </c>
      <c r="I487">
        <v>533</v>
      </c>
      <c r="J487" t="s">
        <v>32</v>
      </c>
      <c r="K487" t="s">
        <v>24</v>
      </c>
      <c r="L487">
        <v>17355.650000000001</v>
      </c>
      <c r="M487">
        <v>68644.13</v>
      </c>
      <c r="N487" t="s">
        <v>25</v>
      </c>
      <c r="O487" s="7">
        <f t="shared" ca="1" si="29"/>
        <v>46008</v>
      </c>
      <c r="P487" s="7">
        <v>45677</v>
      </c>
      <c r="Q487">
        <v>1</v>
      </c>
      <c r="R487" t="str">
        <f t="shared" si="30"/>
        <v>Midum Risk</v>
      </c>
      <c r="S487" t="str">
        <f t="shared" si="31"/>
        <v xml:space="preserve">Midum </v>
      </c>
      <c r="T487" s="4">
        <f>Table1[[#This Row],[Deposit_Amount]]+Table1[[#This Row],[Withdrawal_Amount]]</f>
        <v>529141.15</v>
      </c>
      <c r="U487" t="s">
        <v>274</v>
      </c>
    </row>
    <row r="488" spans="1:21" x14ac:dyDescent="0.3">
      <c r="A488">
        <v>487</v>
      </c>
      <c r="B488" t="s">
        <v>185</v>
      </c>
      <c r="C488" t="s">
        <v>22</v>
      </c>
      <c r="D488">
        <v>51</v>
      </c>
      <c r="E488" t="s">
        <v>23</v>
      </c>
      <c r="F488" s="4">
        <v>412892.68</v>
      </c>
      <c r="G488" t="str">
        <f t="shared" si="28"/>
        <v>High Income</v>
      </c>
      <c r="H488">
        <v>97321.58</v>
      </c>
      <c r="I488">
        <v>763</v>
      </c>
      <c r="J488" t="s">
        <v>38</v>
      </c>
      <c r="K488" t="s">
        <v>19</v>
      </c>
      <c r="L488">
        <v>389338.85</v>
      </c>
      <c r="M488">
        <v>151561.19</v>
      </c>
      <c r="N488" t="s">
        <v>28</v>
      </c>
      <c r="O488" s="7">
        <f t="shared" ca="1" si="29"/>
        <v>45790</v>
      </c>
      <c r="P488" s="7">
        <v>45694</v>
      </c>
      <c r="Q488">
        <v>1</v>
      </c>
      <c r="R488" t="str">
        <f t="shared" si="30"/>
        <v>Low Risk</v>
      </c>
      <c r="S488" t="str">
        <f t="shared" si="31"/>
        <v>Good</v>
      </c>
      <c r="T488" s="4">
        <f>Table1[[#This Row],[Deposit_Amount]]+Table1[[#This Row],[Withdrawal_Amount]]</f>
        <v>510214.26</v>
      </c>
      <c r="U488" t="s">
        <v>274</v>
      </c>
    </row>
    <row r="489" spans="1:21" x14ac:dyDescent="0.3">
      <c r="A489">
        <v>488</v>
      </c>
      <c r="B489" t="s">
        <v>102</v>
      </c>
      <c r="C489" t="s">
        <v>22</v>
      </c>
      <c r="D489">
        <v>65</v>
      </c>
      <c r="E489" t="s">
        <v>35</v>
      </c>
      <c r="F489" s="4">
        <v>89245</v>
      </c>
      <c r="G489" t="str">
        <f t="shared" si="28"/>
        <v>Low Income</v>
      </c>
      <c r="H489">
        <v>42094.3</v>
      </c>
      <c r="I489">
        <v>395</v>
      </c>
      <c r="J489" t="s">
        <v>41</v>
      </c>
      <c r="K489" t="s">
        <v>59</v>
      </c>
      <c r="L489">
        <v>174934.94</v>
      </c>
      <c r="M489">
        <v>183370.27</v>
      </c>
      <c r="N489" t="s">
        <v>25</v>
      </c>
      <c r="O489" s="7">
        <f t="shared" ca="1" si="29"/>
        <v>45671</v>
      </c>
      <c r="P489" s="7">
        <v>46022</v>
      </c>
      <c r="Q489">
        <v>1</v>
      </c>
      <c r="R489" t="str">
        <f t="shared" si="30"/>
        <v>High Risk</v>
      </c>
      <c r="S489" t="str">
        <f t="shared" si="31"/>
        <v>Poor</v>
      </c>
      <c r="T489" s="4">
        <f>Table1[[#This Row],[Deposit_Amount]]+Table1[[#This Row],[Withdrawal_Amount]]</f>
        <v>131339.29999999999</v>
      </c>
      <c r="U489" t="s">
        <v>274</v>
      </c>
    </row>
    <row r="490" spans="1:21" x14ac:dyDescent="0.3">
      <c r="A490">
        <v>489</v>
      </c>
      <c r="B490" t="s">
        <v>168</v>
      </c>
      <c r="C490" t="s">
        <v>16</v>
      </c>
      <c r="D490">
        <v>60</v>
      </c>
      <c r="E490" t="s">
        <v>44</v>
      </c>
      <c r="F490" s="4">
        <v>83620.759999999995</v>
      </c>
      <c r="G490" t="str">
        <f t="shared" si="28"/>
        <v>Low Income</v>
      </c>
      <c r="H490">
        <v>260942.34</v>
      </c>
      <c r="I490">
        <v>748</v>
      </c>
      <c r="J490" t="s">
        <v>38</v>
      </c>
      <c r="K490" t="s">
        <v>42</v>
      </c>
      <c r="L490">
        <v>-44310.6</v>
      </c>
      <c r="M490">
        <v>97970.91</v>
      </c>
      <c r="N490" t="s">
        <v>25</v>
      </c>
      <c r="O490" s="7">
        <f t="shared" ca="1" si="29"/>
        <v>45964</v>
      </c>
      <c r="P490" s="7">
        <v>45764</v>
      </c>
      <c r="Q490">
        <v>1</v>
      </c>
      <c r="R490" t="str">
        <f t="shared" si="30"/>
        <v>Low Risk</v>
      </c>
      <c r="S490" t="str">
        <f t="shared" si="31"/>
        <v>Good</v>
      </c>
      <c r="T490" s="4">
        <f>Table1[[#This Row],[Deposit_Amount]]+Table1[[#This Row],[Withdrawal_Amount]]</f>
        <v>344563.1</v>
      </c>
      <c r="U490" t="s">
        <v>274</v>
      </c>
    </row>
    <row r="491" spans="1:21" x14ac:dyDescent="0.3">
      <c r="A491">
        <v>490</v>
      </c>
      <c r="B491" t="s">
        <v>165</v>
      </c>
      <c r="C491" t="s">
        <v>16</v>
      </c>
      <c r="D491">
        <v>22</v>
      </c>
      <c r="E491" t="s">
        <v>35</v>
      </c>
      <c r="F491" s="4">
        <v>40575.4</v>
      </c>
      <c r="G491" t="str">
        <f t="shared" si="28"/>
        <v>Low Income</v>
      </c>
      <c r="H491">
        <v>100219.79</v>
      </c>
      <c r="I491">
        <v>502</v>
      </c>
      <c r="J491" t="s">
        <v>27</v>
      </c>
      <c r="K491" t="s">
        <v>59</v>
      </c>
      <c r="L491">
        <v>-32890.68</v>
      </c>
      <c r="M491">
        <v>242090.74</v>
      </c>
      <c r="N491" t="s">
        <v>28</v>
      </c>
      <c r="O491" s="7">
        <f t="shared" ca="1" si="29"/>
        <v>45721</v>
      </c>
      <c r="P491" s="7">
        <v>45828</v>
      </c>
      <c r="Q491">
        <v>2</v>
      </c>
      <c r="R491" t="str">
        <f t="shared" si="30"/>
        <v>Midum Risk</v>
      </c>
      <c r="S491" t="str">
        <f t="shared" si="31"/>
        <v xml:space="preserve">Midum </v>
      </c>
      <c r="T491" s="4">
        <f>Table1[[#This Row],[Deposit_Amount]]+Table1[[#This Row],[Withdrawal_Amount]]</f>
        <v>140795.19</v>
      </c>
      <c r="U491" t="s">
        <v>274</v>
      </c>
    </row>
    <row r="492" spans="1:21" x14ac:dyDescent="0.3">
      <c r="A492">
        <v>491</v>
      </c>
      <c r="B492" t="s">
        <v>136</v>
      </c>
      <c r="C492" t="s">
        <v>16</v>
      </c>
      <c r="D492">
        <v>45</v>
      </c>
      <c r="E492" t="s">
        <v>44</v>
      </c>
      <c r="F492" s="4">
        <v>460725.36</v>
      </c>
      <c r="G492" t="str">
        <f t="shared" si="28"/>
        <v>High Income</v>
      </c>
      <c r="H492">
        <v>197246.22</v>
      </c>
      <c r="I492">
        <v>877</v>
      </c>
      <c r="J492" t="s">
        <v>27</v>
      </c>
      <c r="K492" t="s">
        <v>59</v>
      </c>
      <c r="L492">
        <v>288466.03000000003</v>
      </c>
      <c r="M492">
        <v>178963.63</v>
      </c>
      <c r="N492" t="s">
        <v>28</v>
      </c>
      <c r="O492" s="7">
        <f t="shared" ca="1" si="29"/>
        <v>45682</v>
      </c>
      <c r="P492" s="7">
        <v>45970</v>
      </c>
      <c r="Q492">
        <v>2</v>
      </c>
      <c r="R492" t="str">
        <f t="shared" si="30"/>
        <v>Low Risk</v>
      </c>
      <c r="S492" t="str">
        <f t="shared" si="31"/>
        <v>Good</v>
      </c>
      <c r="T492" s="4">
        <f>Table1[[#This Row],[Deposit_Amount]]+Table1[[#This Row],[Withdrawal_Amount]]</f>
        <v>657971.57999999996</v>
      </c>
      <c r="U492" t="s">
        <v>274</v>
      </c>
    </row>
    <row r="493" spans="1:21" x14ac:dyDescent="0.3">
      <c r="A493">
        <v>492</v>
      </c>
      <c r="B493" t="s">
        <v>122</v>
      </c>
      <c r="C493" t="s">
        <v>16</v>
      </c>
      <c r="D493">
        <v>50</v>
      </c>
      <c r="E493" t="s">
        <v>17</v>
      </c>
      <c r="F493" s="4">
        <v>317327.18</v>
      </c>
      <c r="G493" t="str">
        <f t="shared" si="28"/>
        <v>High Income</v>
      </c>
      <c r="H493">
        <v>293388.07</v>
      </c>
      <c r="I493">
        <v>376</v>
      </c>
      <c r="J493" t="s">
        <v>32</v>
      </c>
      <c r="K493" t="s">
        <v>59</v>
      </c>
      <c r="L493">
        <v>212344.7</v>
      </c>
      <c r="M493">
        <v>60189.46</v>
      </c>
      <c r="N493" t="s">
        <v>28</v>
      </c>
      <c r="O493" s="7">
        <f t="shared" ca="1" si="29"/>
        <v>45807</v>
      </c>
      <c r="P493" s="7">
        <v>45885</v>
      </c>
      <c r="Q493">
        <v>5</v>
      </c>
      <c r="R493" t="str">
        <f t="shared" si="30"/>
        <v>High Risk</v>
      </c>
      <c r="S493" t="str">
        <f t="shared" si="31"/>
        <v>Poor</v>
      </c>
      <c r="T493" s="4">
        <f>Table1[[#This Row],[Deposit_Amount]]+Table1[[#This Row],[Withdrawal_Amount]]</f>
        <v>610715.25</v>
      </c>
      <c r="U493" t="s">
        <v>274</v>
      </c>
    </row>
    <row r="494" spans="1:21" x14ac:dyDescent="0.3">
      <c r="A494">
        <v>493</v>
      </c>
      <c r="B494" t="s">
        <v>126</v>
      </c>
      <c r="C494" t="s">
        <v>22</v>
      </c>
      <c r="D494">
        <v>47</v>
      </c>
      <c r="E494" t="s">
        <v>17</v>
      </c>
      <c r="F494" s="4">
        <v>346840.59</v>
      </c>
      <c r="G494" t="str">
        <f t="shared" si="28"/>
        <v>High Income</v>
      </c>
      <c r="H494">
        <v>82234.11</v>
      </c>
      <c r="I494">
        <v>522</v>
      </c>
      <c r="J494" t="s">
        <v>41</v>
      </c>
      <c r="K494" t="s">
        <v>24</v>
      </c>
      <c r="L494">
        <v>439003.26</v>
      </c>
      <c r="M494">
        <v>45779.08</v>
      </c>
      <c r="N494" t="s">
        <v>25</v>
      </c>
      <c r="O494" s="7">
        <f t="shared" ca="1" si="29"/>
        <v>45887</v>
      </c>
      <c r="P494" s="7">
        <v>45886</v>
      </c>
      <c r="Q494">
        <v>5</v>
      </c>
      <c r="R494" t="str">
        <f t="shared" si="30"/>
        <v>Midum Risk</v>
      </c>
      <c r="S494" t="str">
        <f t="shared" si="31"/>
        <v xml:space="preserve">Midum </v>
      </c>
      <c r="T494" s="4">
        <f>Table1[[#This Row],[Deposit_Amount]]+Table1[[#This Row],[Withdrawal_Amount]]</f>
        <v>429074.7</v>
      </c>
      <c r="U494" t="s">
        <v>274</v>
      </c>
    </row>
    <row r="495" spans="1:21" x14ac:dyDescent="0.3">
      <c r="A495">
        <v>494</v>
      </c>
      <c r="B495" t="s">
        <v>61</v>
      </c>
      <c r="C495" t="s">
        <v>22</v>
      </c>
      <c r="D495">
        <v>53</v>
      </c>
      <c r="E495" t="s">
        <v>44</v>
      </c>
      <c r="F495" s="4">
        <v>72616.740000000005</v>
      </c>
      <c r="G495" t="str">
        <f t="shared" si="28"/>
        <v>Low Income</v>
      </c>
      <c r="H495">
        <v>85176.05</v>
      </c>
      <c r="I495">
        <v>466</v>
      </c>
      <c r="J495" t="s">
        <v>38</v>
      </c>
      <c r="K495" t="s">
        <v>59</v>
      </c>
      <c r="L495">
        <v>100130.54</v>
      </c>
      <c r="M495">
        <v>116973.64</v>
      </c>
      <c r="N495" t="s">
        <v>25</v>
      </c>
      <c r="O495" s="7">
        <f t="shared" ca="1" si="29"/>
        <v>45810</v>
      </c>
      <c r="P495" s="7">
        <v>45896</v>
      </c>
      <c r="Q495">
        <v>5</v>
      </c>
      <c r="R495" t="str">
        <f t="shared" si="30"/>
        <v>Midum Risk</v>
      </c>
      <c r="S495" t="str">
        <f t="shared" si="31"/>
        <v xml:space="preserve">Midum </v>
      </c>
      <c r="T495" s="4">
        <f>Table1[[#This Row],[Deposit_Amount]]+Table1[[#This Row],[Withdrawal_Amount]]</f>
        <v>157792.79</v>
      </c>
      <c r="U495" t="s">
        <v>274</v>
      </c>
    </row>
    <row r="496" spans="1:21" x14ac:dyDescent="0.3">
      <c r="A496">
        <v>495</v>
      </c>
      <c r="B496" t="s">
        <v>90</v>
      </c>
      <c r="C496" t="s">
        <v>16</v>
      </c>
      <c r="D496">
        <v>50</v>
      </c>
      <c r="E496" t="s">
        <v>44</v>
      </c>
      <c r="F496" s="4">
        <v>374066.49</v>
      </c>
      <c r="G496" t="str">
        <f t="shared" si="28"/>
        <v>High Income</v>
      </c>
      <c r="H496">
        <v>219385.74</v>
      </c>
      <c r="I496">
        <v>674</v>
      </c>
      <c r="J496" t="s">
        <v>41</v>
      </c>
      <c r="K496" t="s">
        <v>42</v>
      </c>
      <c r="L496">
        <v>221336.15</v>
      </c>
      <c r="M496">
        <v>203950.66</v>
      </c>
      <c r="N496" t="s">
        <v>20</v>
      </c>
      <c r="O496" s="7">
        <f t="shared" ca="1" si="29"/>
        <v>45700</v>
      </c>
      <c r="P496" s="7">
        <v>45744</v>
      </c>
      <c r="Q496">
        <v>3</v>
      </c>
      <c r="R496" t="str">
        <f t="shared" si="30"/>
        <v>Low Risk</v>
      </c>
      <c r="S496" t="str">
        <f t="shared" si="31"/>
        <v>Good</v>
      </c>
      <c r="T496" s="4">
        <f>Table1[[#This Row],[Deposit_Amount]]+Table1[[#This Row],[Withdrawal_Amount]]</f>
        <v>593452.23</v>
      </c>
      <c r="U496" t="s">
        <v>274</v>
      </c>
    </row>
    <row r="497" spans="1:21" x14ac:dyDescent="0.3">
      <c r="A497">
        <v>496</v>
      </c>
      <c r="B497" t="s">
        <v>192</v>
      </c>
      <c r="C497" t="s">
        <v>22</v>
      </c>
      <c r="D497">
        <v>56</v>
      </c>
      <c r="E497" t="s">
        <v>31</v>
      </c>
      <c r="F497" s="4">
        <v>485554.33</v>
      </c>
      <c r="G497" t="str">
        <f t="shared" si="28"/>
        <v>High Income</v>
      </c>
      <c r="H497">
        <v>164476.26999999999</v>
      </c>
      <c r="I497">
        <v>300</v>
      </c>
      <c r="J497" t="s">
        <v>38</v>
      </c>
      <c r="K497" t="s">
        <v>19</v>
      </c>
      <c r="L497">
        <v>415154.21</v>
      </c>
      <c r="M497">
        <v>15334.24</v>
      </c>
      <c r="N497" t="s">
        <v>25</v>
      </c>
      <c r="O497" s="7">
        <f t="shared" ca="1" si="29"/>
        <v>45739</v>
      </c>
      <c r="P497" s="7">
        <v>45672</v>
      </c>
      <c r="Q497">
        <v>2</v>
      </c>
      <c r="R497" t="str">
        <f t="shared" si="30"/>
        <v>High Risk</v>
      </c>
      <c r="S497" t="str">
        <f t="shared" si="31"/>
        <v>Poor</v>
      </c>
      <c r="T497" s="4">
        <f>Table1[[#This Row],[Deposit_Amount]]+Table1[[#This Row],[Withdrawal_Amount]]</f>
        <v>650030.6</v>
      </c>
      <c r="U497" t="s">
        <v>274</v>
      </c>
    </row>
    <row r="498" spans="1:21" x14ac:dyDescent="0.3">
      <c r="A498">
        <v>497</v>
      </c>
      <c r="B498" t="s">
        <v>110</v>
      </c>
      <c r="C498" t="s">
        <v>22</v>
      </c>
      <c r="D498">
        <v>43</v>
      </c>
      <c r="E498" t="s">
        <v>35</v>
      </c>
      <c r="F498" s="4">
        <v>42639.15</v>
      </c>
      <c r="G498" t="str">
        <f t="shared" si="28"/>
        <v>Low Income</v>
      </c>
      <c r="H498">
        <v>68129.3</v>
      </c>
      <c r="I498">
        <v>857</v>
      </c>
      <c r="J498" t="s">
        <v>38</v>
      </c>
      <c r="K498" t="s">
        <v>19</v>
      </c>
      <c r="L498">
        <v>156256.54999999999</v>
      </c>
      <c r="M498">
        <v>99980.67</v>
      </c>
      <c r="N498" t="s">
        <v>25</v>
      </c>
      <c r="O498" s="7">
        <f t="shared" ca="1" si="29"/>
        <v>45994</v>
      </c>
      <c r="P498" s="7">
        <v>45982</v>
      </c>
      <c r="Q498">
        <v>2</v>
      </c>
      <c r="R498" t="str">
        <f t="shared" si="30"/>
        <v>Low Risk</v>
      </c>
      <c r="S498" t="str">
        <f t="shared" si="31"/>
        <v>Good</v>
      </c>
      <c r="T498" s="4">
        <f>Table1[[#This Row],[Deposit_Amount]]+Table1[[#This Row],[Withdrawal_Amount]]</f>
        <v>110768.45000000001</v>
      </c>
      <c r="U498" t="s">
        <v>274</v>
      </c>
    </row>
    <row r="499" spans="1:21" x14ac:dyDescent="0.3">
      <c r="A499">
        <v>498</v>
      </c>
      <c r="B499" t="s">
        <v>102</v>
      </c>
      <c r="C499" t="s">
        <v>22</v>
      </c>
      <c r="D499">
        <v>50</v>
      </c>
      <c r="E499" t="s">
        <v>44</v>
      </c>
      <c r="F499" s="4">
        <v>174013.73</v>
      </c>
      <c r="G499" t="str">
        <f t="shared" si="28"/>
        <v>Midum Income</v>
      </c>
      <c r="H499">
        <v>120911.91</v>
      </c>
      <c r="I499">
        <v>462</v>
      </c>
      <c r="J499" t="s">
        <v>32</v>
      </c>
      <c r="K499" t="s">
        <v>24</v>
      </c>
      <c r="L499">
        <v>154910.53</v>
      </c>
      <c r="M499">
        <v>215202.71</v>
      </c>
      <c r="N499" t="s">
        <v>25</v>
      </c>
      <c r="O499" s="7">
        <f t="shared" ca="1" si="29"/>
        <v>45951</v>
      </c>
      <c r="P499" s="7">
        <v>46008</v>
      </c>
      <c r="Q499">
        <v>5</v>
      </c>
      <c r="R499" t="str">
        <f t="shared" si="30"/>
        <v>Midum Risk</v>
      </c>
      <c r="S499" t="str">
        <f t="shared" si="31"/>
        <v xml:space="preserve">Midum </v>
      </c>
      <c r="T499" s="4">
        <f>Table1[[#This Row],[Deposit_Amount]]+Table1[[#This Row],[Withdrawal_Amount]]</f>
        <v>294925.64</v>
      </c>
      <c r="U499" t="s">
        <v>274</v>
      </c>
    </row>
    <row r="500" spans="1:21" x14ac:dyDescent="0.3">
      <c r="A500">
        <v>499</v>
      </c>
      <c r="B500" t="s">
        <v>182</v>
      </c>
      <c r="C500" t="s">
        <v>16</v>
      </c>
      <c r="D500">
        <v>42</v>
      </c>
      <c r="E500" t="s">
        <v>44</v>
      </c>
      <c r="F500" s="4">
        <v>224919.24</v>
      </c>
      <c r="G500" t="str">
        <f t="shared" si="28"/>
        <v>High Income</v>
      </c>
      <c r="H500">
        <v>44957.97</v>
      </c>
      <c r="I500">
        <v>718</v>
      </c>
      <c r="J500" t="s">
        <v>41</v>
      </c>
      <c r="K500" t="s">
        <v>36</v>
      </c>
      <c r="L500">
        <v>275230.67</v>
      </c>
      <c r="M500">
        <v>113213.75999999999</v>
      </c>
      <c r="N500" t="s">
        <v>25</v>
      </c>
      <c r="O500" s="7">
        <f t="shared" ca="1" si="29"/>
        <v>45892</v>
      </c>
      <c r="P500" s="7">
        <v>45961</v>
      </c>
      <c r="Q500">
        <v>5</v>
      </c>
      <c r="R500" t="str">
        <f t="shared" si="30"/>
        <v>Low Risk</v>
      </c>
      <c r="S500" t="str">
        <f t="shared" si="31"/>
        <v>Good</v>
      </c>
      <c r="T500" s="4">
        <f>Table1[[#This Row],[Deposit_Amount]]+Table1[[#This Row],[Withdrawal_Amount]]</f>
        <v>269877.20999999996</v>
      </c>
      <c r="U500" t="s">
        <v>274</v>
      </c>
    </row>
    <row r="501" spans="1:21" x14ac:dyDescent="0.3">
      <c r="A501">
        <v>500</v>
      </c>
      <c r="B501" t="s">
        <v>112</v>
      </c>
      <c r="C501" t="s">
        <v>16</v>
      </c>
      <c r="D501">
        <v>53</v>
      </c>
      <c r="E501" t="s">
        <v>17</v>
      </c>
      <c r="F501" s="4">
        <v>424665.24</v>
      </c>
      <c r="G501" t="str">
        <f t="shared" si="28"/>
        <v>High Income</v>
      </c>
      <c r="H501">
        <v>34722.54</v>
      </c>
      <c r="I501">
        <v>390</v>
      </c>
      <c r="J501" t="s">
        <v>32</v>
      </c>
      <c r="K501" t="s">
        <v>59</v>
      </c>
      <c r="L501">
        <v>559571.52</v>
      </c>
      <c r="M501">
        <v>164818.98000000001</v>
      </c>
      <c r="N501" t="s">
        <v>28</v>
      </c>
      <c r="O501" s="7">
        <f t="shared" ca="1" si="29"/>
        <v>45850</v>
      </c>
      <c r="P501" s="7">
        <v>45687</v>
      </c>
      <c r="Q501">
        <v>3</v>
      </c>
      <c r="R501" t="str">
        <f t="shared" si="30"/>
        <v>High Risk</v>
      </c>
      <c r="S501" t="str">
        <f t="shared" si="31"/>
        <v>Poor</v>
      </c>
      <c r="T501" s="4">
        <f>Table1[[#This Row],[Deposit_Amount]]+Table1[[#This Row],[Withdrawal_Amount]]</f>
        <v>459387.77999999997</v>
      </c>
      <c r="U501" t="s">
        <v>274</v>
      </c>
    </row>
    <row r="502" spans="1:21" x14ac:dyDescent="0.3">
      <c r="A502">
        <v>501</v>
      </c>
      <c r="B502" t="s">
        <v>80</v>
      </c>
      <c r="C502" t="s">
        <v>22</v>
      </c>
      <c r="D502">
        <v>48</v>
      </c>
      <c r="E502" t="s">
        <v>40</v>
      </c>
      <c r="F502" s="4">
        <v>239273.44</v>
      </c>
      <c r="G502" t="str">
        <f t="shared" si="28"/>
        <v>High Income</v>
      </c>
      <c r="H502">
        <v>213422.42</v>
      </c>
      <c r="I502">
        <v>862</v>
      </c>
      <c r="J502" t="s">
        <v>32</v>
      </c>
      <c r="K502" t="s">
        <v>19</v>
      </c>
      <c r="L502">
        <v>150252.63</v>
      </c>
      <c r="M502">
        <v>230033.16</v>
      </c>
      <c r="N502" t="s">
        <v>20</v>
      </c>
      <c r="O502" s="7">
        <f t="shared" ca="1" si="29"/>
        <v>45671</v>
      </c>
      <c r="P502" s="7">
        <v>45908</v>
      </c>
      <c r="Q502">
        <v>4</v>
      </c>
      <c r="R502" t="str">
        <f t="shared" si="30"/>
        <v>Low Risk</v>
      </c>
      <c r="S502" t="str">
        <f t="shared" si="31"/>
        <v>Good</v>
      </c>
      <c r="T502" s="4">
        <f>Table1[[#This Row],[Deposit_Amount]]+Table1[[#This Row],[Withdrawal_Amount]]</f>
        <v>452695.86</v>
      </c>
      <c r="U502" t="s">
        <v>274</v>
      </c>
    </row>
    <row r="503" spans="1:21" x14ac:dyDescent="0.3">
      <c r="A503">
        <v>502</v>
      </c>
      <c r="B503" t="s">
        <v>157</v>
      </c>
      <c r="C503" t="s">
        <v>22</v>
      </c>
      <c r="D503">
        <v>48</v>
      </c>
      <c r="E503" t="s">
        <v>40</v>
      </c>
      <c r="F503" s="4">
        <v>153823.93</v>
      </c>
      <c r="G503" t="str">
        <f t="shared" si="28"/>
        <v>Midum Income</v>
      </c>
      <c r="H503">
        <v>198780.48</v>
      </c>
      <c r="I503">
        <v>309</v>
      </c>
      <c r="J503" t="s">
        <v>27</v>
      </c>
      <c r="K503" t="s">
        <v>59</v>
      </c>
      <c r="L503">
        <v>78364.2</v>
      </c>
      <c r="M503">
        <v>107253.61</v>
      </c>
      <c r="N503" t="s">
        <v>25</v>
      </c>
      <c r="O503" s="7">
        <f t="shared" ca="1" si="29"/>
        <v>45846</v>
      </c>
      <c r="P503" s="7">
        <v>45901</v>
      </c>
      <c r="Q503">
        <v>3</v>
      </c>
      <c r="R503" t="str">
        <f t="shared" si="30"/>
        <v>High Risk</v>
      </c>
      <c r="S503" t="str">
        <f t="shared" si="31"/>
        <v>Poor</v>
      </c>
      <c r="T503" s="4">
        <f>Table1[[#This Row],[Deposit_Amount]]+Table1[[#This Row],[Withdrawal_Amount]]</f>
        <v>352604.41000000003</v>
      </c>
      <c r="U503" t="s">
        <v>274</v>
      </c>
    </row>
    <row r="504" spans="1:21" x14ac:dyDescent="0.3">
      <c r="A504">
        <v>503</v>
      </c>
      <c r="B504" t="s">
        <v>168</v>
      </c>
      <c r="C504" t="s">
        <v>16</v>
      </c>
      <c r="D504">
        <v>37</v>
      </c>
      <c r="E504" t="s">
        <v>31</v>
      </c>
      <c r="F504" s="4">
        <v>298864.03999999998</v>
      </c>
      <c r="G504" t="str">
        <f t="shared" si="28"/>
        <v>High Income</v>
      </c>
      <c r="H504">
        <v>97622.28</v>
      </c>
      <c r="I504">
        <v>599</v>
      </c>
      <c r="J504" t="s">
        <v>38</v>
      </c>
      <c r="K504" t="s">
        <v>19</v>
      </c>
      <c r="L504">
        <v>396795.71</v>
      </c>
      <c r="M504">
        <v>188297.25</v>
      </c>
      <c r="N504" t="s">
        <v>28</v>
      </c>
      <c r="O504" s="7">
        <f t="shared" ca="1" si="29"/>
        <v>45742</v>
      </c>
      <c r="P504" s="7">
        <v>45682</v>
      </c>
      <c r="Q504">
        <v>3</v>
      </c>
      <c r="R504" t="str">
        <f t="shared" si="30"/>
        <v>Midum Risk</v>
      </c>
      <c r="S504" t="str">
        <f t="shared" si="31"/>
        <v xml:space="preserve">Midum </v>
      </c>
      <c r="T504" s="4">
        <f>Table1[[#This Row],[Deposit_Amount]]+Table1[[#This Row],[Withdrawal_Amount]]</f>
        <v>396486.31999999995</v>
      </c>
      <c r="U504" t="s">
        <v>274</v>
      </c>
    </row>
    <row r="505" spans="1:21" x14ac:dyDescent="0.3">
      <c r="A505">
        <v>504</v>
      </c>
      <c r="B505" t="s">
        <v>211</v>
      </c>
      <c r="C505" t="s">
        <v>22</v>
      </c>
      <c r="D505">
        <v>41</v>
      </c>
      <c r="E505" t="s">
        <v>17</v>
      </c>
      <c r="F505" s="4">
        <v>34835.879999999997</v>
      </c>
      <c r="G505" t="str">
        <f t="shared" si="28"/>
        <v>Low Income</v>
      </c>
      <c r="H505">
        <v>237973.07</v>
      </c>
      <c r="I505">
        <v>794</v>
      </c>
      <c r="J505" t="s">
        <v>32</v>
      </c>
      <c r="K505" t="s">
        <v>19</v>
      </c>
      <c r="L505">
        <v>-114245.52</v>
      </c>
      <c r="M505">
        <v>45776.85</v>
      </c>
      <c r="N505" t="s">
        <v>25</v>
      </c>
      <c r="O505" s="7">
        <f t="shared" ca="1" si="29"/>
        <v>45764</v>
      </c>
      <c r="P505" s="7">
        <v>45677</v>
      </c>
      <c r="Q505">
        <v>3</v>
      </c>
      <c r="R505" t="str">
        <f t="shared" si="30"/>
        <v>Low Risk</v>
      </c>
      <c r="S505" t="str">
        <f t="shared" si="31"/>
        <v>Good</v>
      </c>
      <c r="T505" s="4">
        <f>Table1[[#This Row],[Deposit_Amount]]+Table1[[#This Row],[Withdrawal_Amount]]</f>
        <v>272808.95</v>
      </c>
      <c r="U505" t="s">
        <v>274</v>
      </c>
    </row>
    <row r="506" spans="1:21" x14ac:dyDescent="0.3">
      <c r="A506">
        <v>505</v>
      </c>
      <c r="B506" t="s">
        <v>179</v>
      </c>
      <c r="C506" t="s">
        <v>16</v>
      </c>
      <c r="D506">
        <v>28</v>
      </c>
      <c r="E506" t="s">
        <v>17</v>
      </c>
      <c r="F506" s="4">
        <v>368141.58</v>
      </c>
      <c r="G506" t="str">
        <f t="shared" si="28"/>
        <v>High Income</v>
      </c>
      <c r="H506">
        <v>265371.23</v>
      </c>
      <c r="I506">
        <v>317</v>
      </c>
      <c r="J506" t="s">
        <v>41</v>
      </c>
      <c r="K506" t="s">
        <v>24</v>
      </c>
      <c r="L506">
        <v>225761.91</v>
      </c>
      <c r="M506">
        <v>123520.88</v>
      </c>
      <c r="N506" t="s">
        <v>25</v>
      </c>
      <c r="O506" s="7">
        <f t="shared" ca="1" si="29"/>
        <v>45722</v>
      </c>
      <c r="P506" s="7">
        <v>45962</v>
      </c>
      <c r="Q506">
        <v>3</v>
      </c>
      <c r="R506" t="str">
        <f t="shared" si="30"/>
        <v>High Risk</v>
      </c>
      <c r="S506" t="str">
        <f t="shared" si="31"/>
        <v>Poor</v>
      </c>
      <c r="T506" s="4">
        <f>Table1[[#This Row],[Deposit_Amount]]+Table1[[#This Row],[Withdrawal_Amount]]</f>
        <v>633512.81000000006</v>
      </c>
      <c r="U506" t="s">
        <v>274</v>
      </c>
    </row>
    <row r="507" spans="1:21" x14ac:dyDescent="0.3">
      <c r="A507">
        <v>506</v>
      </c>
      <c r="B507" t="s">
        <v>212</v>
      </c>
      <c r="C507" t="s">
        <v>22</v>
      </c>
      <c r="D507">
        <v>27</v>
      </c>
      <c r="E507" t="s">
        <v>40</v>
      </c>
      <c r="F507" s="4">
        <v>280063.31</v>
      </c>
      <c r="G507" t="str">
        <f t="shared" si="28"/>
        <v>High Income</v>
      </c>
      <c r="H507">
        <v>164525.79</v>
      </c>
      <c r="I507">
        <v>755</v>
      </c>
      <c r="J507" t="s">
        <v>38</v>
      </c>
      <c r="K507" t="s">
        <v>59</v>
      </c>
      <c r="L507">
        <v>274832.90999999997</v>
      </c>
      <c r="M507">
        <v>78008.59</v>
      </c>
      <c r="N507" t="s">
        <v>25</v>
      </c>
      <c r="O507" s="7">
        <f t="shared" ca="1" si="29"/>
        <v>46005</v>
      </c>
      <c r="P507" s="7">
        <v>45835</v>
      </c>
      <c r="Q507">
        <v>5</v>
      </c>
      <c r="R507" t="str">
        <f t="shared" si="30"/>
        <v>Low Risk</v>
      </c>
      <c r="S507" t="str">
        <f t="shared" si="31"/>
        <v>Good</v>
      </c>
      <c r="T507" s="4">
        <f>Table1[[#This Row],[Deposit_Amount]]+Table1[[#This Row],[Withdrawal_Amount]]</f>
        <v>444589.1</v>
      </c>
      <c r="U507" t="s">
        <v>274</v>
      </c>
    </row>
    <row r="508" spans="1:21" x14ac:dyDescent="0.3">
      <c r="A508">
        <v>507</v>
      </c>
      <c r="B508" t="s">
        <v>37</v>
      </c>
      <c r="C508" t="s">
        <v>22</v>
      </c>
      <c r="D508">
        <v>39</v>
      </c>
      <c r="E508" t="s">
        <v>17</v>
      </c>
      <c r="F508" s="4">
        <v>422191.53</v>
      </c>
      <c r="G508" t="str">
        <f t="shared" si="28"/>
        <v>High Income</v>
      </c>
      <c r="H508">
        <v>66418.34</v>
      </c>
      <c r="I508">
        <v>865</v>
      </c>
      <c r="J508" t="s">
        <v>27</v>
      </c>
      <c r="K508" t="s">
        <v>36</v>
      </c>
      <c r="L508">
        <v>410241.2</v>
      </c>
      <c r="M508">
        <v>56336.45</v>
      </c>
      <c r="N508" t="s">
        <v>20</v>
      </c>
      <c r="O508" s="7">
        <f t="shared" ca="1" si="29"/>
        <v>45954</v>
      </c>
      <c r="P508" s="7">
        <v>45754</v>
      </c>
      <c r="Q508">
        <v>1</v>
      </c>
      <c r="R508" t="str">
        <f t="shared" si="30"/>
        <v>Low Risk</v>
      </c>
      <c r="S508" t="str">
        <f t="shared" si="31"/>
        <v>Good</v>
      </c>
      <c r="T508" s="4">
        <f>Table1[[#This Row],[Deposit_Amount]]+Table1[[#This Row],[Withdrawal_Amount]]</f>
        <v>488609.87</v>
      </c>
      <c r="U508" t="s">
        <v>274</v>
      </c>
    </row>
    <row r="509" spans="1:21" x14ac:dyDescent="0.3">
      <c r="A509">
        <v>508</v>
      </c>
      <c r="B509" t="s">
        <v>115</v>
      </c>
      <c r="C509" t="s">
        <v>16</v>
      </c>
      <c r="D509">
        <v>28</v>
      </c>
      <c r="E509" t="s">
        <v>17</v>
      </c>
      <c r="F509" s="4">
        <v>426167.93</v>
      </c>
      <c r="G509" t="str">
        <f t="shared" si="28"/>
        <v>High Income</v>
      </c>
      <c r="H509">
        <v>255630.92</v>
      </c>
      <c r="I509">
        <v>465</v>
      </c>
      <c r="J509" t="s">
        <v>32</v>
      </c>
      <c r="K509" t="s">
        <v>36</v>
      </c>
      <c r="L509">
        <v>242940.73</v>
      </c>
      <c r="M509">
        <v>218072.01</v>
      </c>
      <c r="N509" t="s">
        <v>20</v>
      </c>
      <c r="O509" s="7">
        <f t="shared" ca="1" si="29"/>
        <v>46011</v>
      </c>
      <c r="P509" s="7">
        <v>45914</v>
      </c>
      <c r="Q509">
        <v>5</v>
      </c>
      <c r="R509" t="str">
        <f t="shared" si="30"/>
        <v>Midum Risk</v>
      </c>
      <c r="S509" t="str">
        <f t="shared" si="31"/>
        <v xml:space="preserve">Midum </v>
      </c>
      <c r="T509" s="4">
        <f>Table1[[#This Row],[Deposit_Amount]]+Table1[[#This Row],[Withdrawal_Amount]]</f>
        <v>681798.85</v>
      </c>
      <c r="U509" t="s">
        <v>274</v>
      </c>
    </row>
    <row r="510" spans="1:21" x14ac:dyDescent="0.3">
      <c r="A510">
        <v>509</v>
      </c>
      <c r="B510" t="s">
        <v>182</v>
      </c>
      <c r="C510" t="s">
        <v>16</v>
      </c>
      <c r="D510">
        <v>58</v>
      </c>
      <c r="E510" t="s">
        <v>35</v>
      </c>
      <c r="F510" s="4">
        <v>227759.44</v>
      </c>
      <c r="G510" t="str">
        <f t="shared" si="28"/>
        <v>High Income</v>
      </c>
      <c r="H510">
        <v>165851.46</v>
      </c>
      <c r="I510">
        <v>326</v>
      </c>
      <c r="J510" t="s">
        <v>32</v>
      </c>
      <c r="K510" t="s">
        <v>59</v>
      </c>
      <c r="L510">
        <v>227136.88</v>
      </c>
      <c r="M510">
        <v>222859.32</v>
      </c>
      <c r="N510" t="s">
        <v>20</v>
      </c>
      <c r="O510" s="7">
        <f t="shared" ca="1" si="29"/>
        <v>45715</v>
      </c>
      <c r="P510" s="7">
        <v>45942</v>
      </c>
      <c r="Q510">
        <v>5</v>
      </c>
      <c r="R510" t="str">
        <f t="shared" si="30"/>
        <v>High Risk</v>
      </c>
      <c r="S510" t="str">
        <f t="shared" si="31"/>
        <v>Poor</v>
      </c>
      <c r="T510" s="4">
        <f>Table1[[#This Row],[Deposit_Amount]]+Table1[[#This Row],[Withdrawal_Amount]]</f>
        <v>393610.9</v>
      </c>
      <c r="U510" t="s">
        <v>274</v>
      </c>
    </row>
    <row r="511" spans="1:21" x14ac:dyDescent="0.3">
      <c r="A511">
        <v>510</v>
      </c>
      <c r="B511" t="s">
        <v>15</v>
      </c>
      <c r="C511" t="s">
        <v>16</v>
      </c>
      <c r="D511">
        <v>42</v>
      </c>
      <c r="E511" t="s">
        <v>35</v>
      </c>
      <c r="F511" s="4">
        <v>300625.63</v>
      </c>
      <c r="G511" t="str">
        <f t="shared" si="28"/>
        <v>High Income</v>
      </c>
      <c r="H511">
        <v>49876.39</v>
      </c>
      <c r="I511">
        <v>346</v>
      </c>
      <c r="J511" t="s">
        <v>27</v>
      </c>
      <c r="K511" t="s">
        <v>19</v>
      </c>
      <c r="L511">
        <v>396332.18</v>
      </c>
      <c r="M511">
        <v>30560.27</v>
      </c>
      <c r="N511" t="s">
        <v>20</v>
      </c>
      <c r="O511" s="7">
        <f t="shared" ca="1" si="29"/>
        <v>45921</v>
      </c>
      <c r="P511" s="7">
        <v>45988</v>
      </c>
      <c r="Q511">
        <v>3</v>
      </c>
      <c r="R511" t="str">
        <f t="shared" si="30"/>
        <v>High Risk</v>
      </c>
      <c r="S511" t="str">
        <f t="shared" si="31"/>
        <v>Poor</v>
      </c>
      <c r="T511" s="4">
        <f>Table1[[#This Row],[Deposit_Amount]]+Table1[[#This Row],[Withdrawal_Amount]]</f>
        <v>350502.02</v>
      </c>
      <c r="U511" t="s">
        <v>274</v>
      </c>
    </row>
    <row r="512" spans="1:21" x14ac:dyDescent="0.3">
      <c r="A512">
        <v>511</v>
      </c>
      <c r="B512" t="s">
        <v>115</v>
      </c>
      <c r="C512" t="s">
        <v>16</v>
      </c>
      <c r="D512">
        <v>66</v>
      </c>
      <c r="E512" t="s">
        <v>44</v>
      </c>
      <c r="F512" s="4">
        <v>469753.04</v>
      </c>
      <c r="G512" t="str">
        <f t="shared" si="28"/>
        <v>High Income</v>
      </c>
      <c r="H512">
        <v>158853.68</v>
      </c>
      <c r="I512">
        <v>563</v>
      </c>
      <c r="J512" t="s">
        <v>38</v>
      </c>
      <c r="K512" t="s">
        <v>19</v>
      </c>
      <c r="L512">
        <v>416674.72</v>
      </c>
      <c r="M512">
        <v>171917.54</v>
      </c>
      <c r="N512" t="s">
        <v>20</v>
      </c>
      <c r="O512" s="7">
        <f t="shared" ca="1" si="29"/>
        <v>45999</v>
      </c>
      <c r="P512" s="7">
        <v>45919</v>
      </c>
      <c r="Q512">
        <v>3</v>
      </c>
      <c r="R512" t="str">
        <f t="shared" si="30"/>
        <v>Midum Risk</v>
      </c>
      <c r="S512" t="str">
        <f t="shared" si="31"/>
        <v xml:space="preserve">Midum </v>
      </c>
      <c r="T512" s="4">
        <f>Table1[[#This Row],[Deposit_Amount]]+Table1[[#This Row],[Withdrawal_Amount]]</f>
        <v>628606.71999999997</v>
      </c>
      <c r="U512" t="s">
        <v>274</v>
      </c>
    </row>
    <row r="513" spans="1:21" x14ac:dyDescent="0.3">
      <c r="A513">
        <v>512</v>
      </c>
      <c r="B513" t="s">
        <v>51</v>
      </c>
      <c r="C513" t="s">
        <v>22</v>
      </c>
      <c r="D513">
        <v>39</v>
      </c>
      <c r="E513" t="s">
        <v>40</v>
      </c>
      <c r="F513" s="4">
        <v>344437.03</v>
      </c>
      <c r="G513" t="str">
        <f t="shared" si="28"/>
        <v>High Income</v>
      </c>
      <c r="H513">
        <v>91352.68</v>
      </c>
      <c r="I513">
        <v>875</v>
      </c>
      <c r="J513" t="s">
        <v>32</v>
      </c>
      <c r="K513" t="s">
        <v>24</v>
      </c>
      <c r="L513">
        <v>296909.31</v>
      </c>
      <c r="M513">
        <v>187639.21</v>
      </c>
      <c r="N513" t="s">
        <v>20</v>
      </c>
      <c r="O513" s="7">
        <f t="shared" ca="1" si="29"/>
        <v>45964</v>
      </c>
      <c r="P513" s="7">
        <v>45725</v>
      </c>
      <c r="Q513">
        <v>1</v>
      </c>
      <c r="R513" t="str">
        <f t="shared" si="30"/>
        <v>Low Risk</v>
      </c>
      <c r="S513" t="str">
        <f t="shared" si="31"/>
        <v>Good</v>
      </c>
      <c r="T513" s="4">
        <f>Table1[[#This Row],[Deposit_Amount]]+Table1[[#This Row],[Withdrawal_Amount]]</f>
        <v>435789.71</v>
      </c>
      <c r="U513" t="s">
        <v>274</v>
      </c>
    </row>
    <row r="514" spans="1:21" x14ac:dyDescent="0.3">
      <c r="A514">
        <v>513</v>
      </c>
      <c r="B514" t="s">
        <v>48</v>
      </c>
      <c r="C514" t="s">
        <v>22</v>
      </c>
      <c r="D514">
        <v>51</v>
      </c>
      <c r="E514" t="s">
        <v>40</v>
      </c>
      <c r="F514" s="4">
        <v>424312.4</v>
      </c>
      <c r="G514" t="str">
        <f t="shared" ref="G514:G577" si="32">IF(F514&lt;=100000,"Low Income",IF(F514&lt;=200000,"Midum Income","High Income"))</f>
        <v>High Income</v>
      </c>
      <c r="H514">
        <v>253219.25</v>
      </c>
      <c r="I514">
        <v>465</v>
      </c>
      <c r="J514" t="s">
        <v>38</v>
      </c>
      <c r="K514" t="s">
        <v>59</v>
      </c>
      <c r="L514">
        <v>361661.25</v>
      </c>
      <c r="M514">
        <v>90146.71</v>
      </c>
      <c r="N514" t="s">
        <v>25</v>
      </c>
      <c r="O514" s="7">
        <f t="shared" ref="O514:O577" ca="1" si="33">RANDBETWEEN(DATE(2025,1,1),DATE(2025,12,31))</f>
        <v>45992</v>
      </c>
      <c r="P514" s="7">
        <v>45660</v>
      </c>
      <c r="Q514">
        <v>3</v>
      </c>
      <c r="R514" t="str">
        <f t="shared" ref="R514:R577" si="34">IF(I514&lt;=400,"High Risk",IF(I514&lt;=600,"Midum Risk","Low Risk"))</f>
        <v>Midum Risk</v>
      </c>
      <c r="S514" t="str">
        <f t="shared" ref="S514:S577" si="35">IF(I514&lt;=400,"Poor",IF(I514&lt;=600,"Midum ","Good"))</f>
        <v xml:space="preserve">Midum </v>
      </c>
      <c r="T514" s="4">
        <f>Table1[[#This Row],[Deposit_Amount]]+Table1[[#This Row],[Withdrawal_Amount]]</f>
        <v>677531.65</v>
      </c>
      <c r="U514" t="s">
        <v>274</v>
      </c>
    </row>
    <row r="515" spans="1:21" x14ac:dyDescent="0.3">
      <c r="A515">
        <v>514</v>
      </c>
      <c r="B515" t="s">
        <v>169</v>
      </c>
      <c r="C515" t="s">
        <v>22</v>
      </c>
      <c r="D515">
        <v>40</v>
      </c>
      <c r="E515" t="s">
        <v>31</v>
      </c>
      <c r="F515" s="4">
        <v>494834.41</v>
      </c>
      <c r="G515" t="str">
        <f t="shared" si="32"/>
        <v>High Income</v>
      </c>
      <c r="H515">
        <v>247052.11</v>
      </c>
      <c r="I515">
        <v>592</v>
      </c>
      <c r="J515" t="s">
        <v>18</v>
      </c>
      <c r="K515" t="s">
        <v>59</v>
      </c>
      <c r="L515">
        <v>266550.18</v>
      </c>
      <c r="M515">
        <v>200475.39</v>
      </c>
      <c r="N515" t="s">
        <v>25</v>
      </c>
      <c r="O515" s="7">
        <f t="shared" ca="1" si="33"/>
        <v>46007</v>
      </c>
      <c r="P515" s="7">
        <v>45832</v>
      </c>
      <c r="Q515">
        <v>3</v>
      </c>
      <c r="R515" t="str">
        <f t="shared" si="34"/>
        <v>Midum Risk</v>
      </c>
      <c r="S515" t="str">
        <f t="shared" si="35"/>
        <v xml:space="preserve">Midum </v>
      </c>
      <c r="T515" s="4">
        <f>Table1[[#This Row],[Deposit_Amount]]+Table1[[#This Row],[Withdrawal_Amount]]</f>
        <v>741886.52</v>
      </c>
      <c r="U515" t="s">
        <v>274</v>
      </c>
    </row>
    <row r="516" spans="1:21" x14ac:dyDescent="0.3">
      <c r="A516">
        <v>515</v>
      </c>
      <c r="B516" t="s">
        <v>95</v>
      </c>
      <c r="C516" t="s">
        <v>16</v>
      </c>
      <c r="D516">
        <v>45</v>
      </c>
      <c r="E516" t="s">
        <v>44</v>
      </c>
      <c r="F516" s="4">
        <v>275075.68</v>
      </c>
      <c r="G516" t="str">
        <f t="shared" si="32"/>
        <v>High Income</v>
      </c>
      <c r="H516">
        <v>117871.08</v>
      </c>
      <c r="I516">
        <v>845</v>
      </c>
      <c r="J516" t="s">
        <v>27</v>
      </c>
      <c r="K516" t="s">
        <v>36</v>
      </c>
      <c r="L516">
        <v>290924.7</v>
      </c>
      <c r="M516">
        <v>137987</v>
      </c>
      <c r="N516" t="s">
        <v>25</v>
      </c>
      <c r="O516" s="7">
        <f t="shared" ca="1" si="33"/>
        <v>45936</v>
      </c>
      <c r="P516" s="7">
        <v>45917</v>
      </c>
      <c r="Q516">
        <v>4</v>
      </c>
      <c r="R516" t="str">
        <f t="shared" si="34"/>
        <v>Low Risk</v>
      </c>
      <c r="S516" t="str">
        <f t="shared" si="35"/>
        <v>Good</v>
      </c>
      <c r="T516" s="4">
        <f>Table1[[#This Row],[Deposit_Amount]]+Table1[[#This Row],[Withdrawal_Amount]]</f>
        <v>392946.76</v>
      </c>
      <c r="U516" t="s">
        <v>274</v>
      </c>
    </row>
    <row r="517" spans="1:21" x14ac:dyDescent="0.3">
      <c r="A517">
        <v>516</v>
      </c>
      <c r="B517" t="s">
        <v>48</v>
      </c>
      <c r="C517" t="s">
        <v>22</v>
      </c>
      <c r="D517">
        <v>23</v>
      </c>
      <c r="E517" t="s">
        <v>44</v>
      </c>
      <c r="F517" s="4">
        <v>495311.86</v>
      </c>
      <c r="G517" t="str">
        <f t="shared" si="32"/>
        <v>High Income</v>
      </c>
      <c r="H517">
        <v>92030.37</v>
      </c>
      <c r="I517">
        <v>825</v>
      </c>
      <c r="J517" t="s">
        <v>18</v>
      </c>
      <c r="K517" t="s">
        <v>59</v>
      </c>
      <c r="L517">
        <v>468059.19</v>
      </c>
      <c r="M517">
        <v>146745.71</v>
      </c>
      <c r="N517" t="s">
        <v>25</v>
      </c>
      <c r="O517" s="7">
        <f t="shared" ca="1" si="33"/>
        <v>45974</v>
      </c>
      <c r="P517" s="7">
        <v>45966</v>
      </c>
      <c r="Q517">
        <v>1</v>
      </c>
      <c r="R517" t="str">
        <f t="shared" si="34"/>
        <v>Low Risk</v>
      </c>
      <c r="S517" t="str">
        <f t="shared" si="35"/>
        <v>Good</v>
      </c>
      <c r="T517" s="4">
        <f>Table1[[#This Row],[Deposit_Amount]]+Table1[[#This Row],[Withdrawal_Amount]]</f>
        <v>587342.23</v>
      </c>
      <c r="U517" t="s">
        <v>274</v>
      </c>
    </row>
    <row r="518" spans="1:21" x14ac:dyDescent="0.3">
      <c r="A518">
        <v>517</v>
      </c>
      <c r="B518" t="s">
        <v>37</v>
      </c>
      <c r="C518" t="s">
        <v>22</v>
      </c>
      <c r="D518">
        <v>19</v>
      </c>
      <c r="E518" t="s">
        <v>44</v>
      </c>
      <c r="F518" s="4">
        <v>211911.47</v>
      </c>
      <c r="G518" t="str">
        <f t="shared" si="32"/>
        <v>High Income</v>
      </c>
      <c r="H518">
        <v>222212.2</v>
      </c>
      <c r="I518">
        <v>403</v>
      </c>
      <c r="J518" t="s">
        <v>18</v>
      </c>
      <c r="K518" t="s">
        <v>24</v>
      </c>
      <c r="L518">
        <v>47863.58</v>
      </c>
      <c r="M518">
        <v>199838.76</v>
      </c>
      <c r="N518" t="s">
        <v>28</v>
      </c>
      <c r="O518" s="7">
        <f t="shared" ca="1" si="33"/>
        <v>45716</v>
      </c>
      <c r="P518" s="7">
        <v>45658</v>
      </c>
      <c r="Q518">
        <v>4</v>
      </c>
      <c r="R518" t="str">
        <f t="shared" si="34"/>
        <v>Midum Risk</v>
      </c>
      <c r="S518" t="str">
        <f t="shared" si="35"/>
        <v xml:space="preserve">Midum </v>
      </c>
      <c r="T518" s="4">
        <f>Table1[[#This Row],[Deposit_Amount]]+Table1[[#This Row],[Withdrawal_Amount]]</f>
        <v>434123.67000000004</v>
      </c>
      <c r="U518" t="s">
        <v>274</v>
      </c>
    </row>
    <row r="519" spans="1:21" x14ac:dyDescent="0.3">
      <c r="A519">
        <v>518</v>
      </c>
      <c r="B519" t="s">
        <v>100</v>
      </c>
      <c r="C519" t="s">
        <v>16</v>
      </c>
      <c r="D519">
        <v>25</v>
      </c>
      <c r="E519" t="s">
        <v>44</v>
      </c>
      <c r="F519" s="4">
        <v>294013.40999999997</v>
      </c>
      <c r="G519" t="str">
        <f t="shared" si="32"/>
        <v>High Income</v>
      </c>
      <c r="H519">
        <v>133900.43</v>
      </c>
      <c r="I519">
        <v>560</v>
      </c>
      <c r="J519" t="s">
        <v>27</v>
      </c>
      <c r="K519" t="s">
        <v>24</v>
      </c>
      <c r="L519">
        <v>168408.95</v>
      </c>
      <c r="M519">
        <v>223766.55</v>
      </c>
      <c r="N519" t="s">
        <v>20</v>
      </c>
      <c r="O519" s="7">
        <f t="shared" ca="1" si="33"/>
        <v>45694</v>
      </c>
      <c r="P519" s="7">
        <v>45885</v>
      </c>
      <c r="Q519">
        <v>5</v>
      </c>
      <c r="R519" t="str">
        <f t="shared" si="34"/>
        <v>Midum Risk</v>
      </c>
      <c r="S519" t="str">
        <f t="shared" si="35"/>
        <v xml:space="preserve">Midum </v>
      </c>
      <c r="T519" s="4">
        <f>Table1[[#This Row],[Deposit_Amount]]+Table1[[#This Row],[Withdrawal_Amount]]</f>
        <v>427913.83999999997</v>
      </c>
      <c r="U519" t="s">
        <v>274</v>
      </c>
    </row>
    <row r="520" spans="1:21" x14ac:dyDescent="0.3">
      <c r="A520">
        <v>519</v>
      </c>
      <c r="B520" t="s">
        <v>213</v>
      </c>
      <c r="C520" t="s">
        <v>16</v>
      </c>
      <c r="D520">
        <v>31</v>
      </c>
      <c r="E520" t="s">
        <v>23</v>
      </c>
      <c r="F520" s="4">
        <v>400728.13</v>
      </c>
      <c r="G520" t="str">
        <f t="shared" si="32"/>
        <v>High Income</v>
      </c>
      <c r="H520">
        <v>102649.32</v>
      </c>
      <c r="I520">
        <v>635</v>
      </c>
      <c r="J520" t="s">
        <v>18</v>
      </c>
      <c r="K520" t="s">
        <v>59</v>
      </c>
      <c r="L520">
        <v>358209.96</v>
      </c>
      <c r="M520">
        <v>45409.59</v>
      </c>
      <c r="N520" t="s">
        <v>28</v>
      </c>
      <c r="O520" s="7">
        <f t="shared" ca="1" si="33"/>
        <v>45915</v>
      </c>
      <c r="P520" s="7">
        <v>45942</v>
      </c>
      <c r="Q520">
        <v>3</v>
      </c>
      <c r="R520" t="str">
        <f t="shared" si="34"/>
        <v>Low Risk</v>
      </c>
      <c r="S520" t="str">
        <f t="shared" si="35"/>
        <v>Good</v>
      </c>
      <c r="T520" s="4">
        <f>Table1[[#This Row],[Deposit_Amount]]+Table1[[#This Row],[Withdrawal_Amount]]</f>
        <v>503377.45</v>
      </c>
      <c r="U520" t="s">
        <v>274</v>
      </c>
    </row>
    <row r="521" spans="1:21" x14ac:dyDescent="0.3">
      <c r="A521">
        <v>520</v>
      </c>
      <c r="B521" t="s">
        <v>188</v>
      </c>
      <c r="C521" t="s">
        <v>16</v>
      </c>
      <c r="D521">
        <v>56</v>
      </c>
      <c r="E521" t="s">
        <v>35</v>
      </c>
      <c r="F521" s="4">
        <v>27941.37</v>
      </c>
      <c r="G521" t="str">
        <f t="shared" si="32"/>
        <v>Low Income</v>
      </c>
      <c r="H521">
        <v>112492.29</v>
      </c>
      <c r="I521">
        <v>321</v>
      </c>
      <c r="J521" t="s">
        <v>27</v>
      </c>
      <c r="K521" t="s">
        <v>42</v>
      </c>
      <c r="L521">
        <v>-58784.98</v>
      </c>
      <c r="M521">
        <v>16438.41</v>
      </c>
      <c r="N521" t="s">
        <v>25</v>
      </c>
      <c r="O521" s="7">
        <f t="shared" ca="1" si="33"/>
        <v>45991</v>
      </c>
      <c r="P521" s="7">
        <v>45694</v>
      </c>
      <c r="Q521">
        <v>3</v>
      </c>
      <c r="R521" t="str">
        <f t="shared" si="34"/>
        <v>High Risk</v>
      </c>
      <c r="S521" t="str">
        <f t="shared" si="35"/>
        <v>Poor</v>
      </c>
      <c r="T521" s="4">
        <f>Table1[[#This Row],[Deposit_Amount]]+Table1[[#This Row],[Withdrawal_Amount]]</f>
        <v>140433.66</v>
      </c>
      <c r="U521" t="s">
        <v>274</v>
      </c>
    </row>
    <row r="522" spans="1:21" x14ac:dyDescent="0.3">
      <c r="A522">
        <v>521</v>
      </c>
      <c r="B522" t="s">
        <v>214</v>
      </c>
      <c r="C522" t="s">
        <v>22</v>
      </c>
      <c r="D522">
        <v>32</v>
      </c>
      <c r="E522" t="s">
        <v>31</v>
      </c>
      <c r="F522" s="4">
        <v>450239.22</v>
      </c>
      <c r="G522" t="str">
        <f t="shared" si="32"/>
        <v>High Income</v>
      </c>
      <c r="H522">
        <v>239568.78</v>
      </c>
      <c r="I522">
        <v>587</v>
      </c>
      <c r="J522" t="s">
        <v>41</v>
      </c>
      <c r="K522" t="s">
        <v>24</v>
      </c>
      <c r="L522">
        <v>310364.02</v>
      </c>
      <c r="M522">
        <v>209912.49</v>
      </c>
      <c r="N522" t="s">
        <v>28</v>
      </c>
      <c r="O522" s="7">
        <f t="shared" ca="1" si="33"/>
        <v>45863</v>
      </c>
      <c r="P522" s="7">
        <v>46018</v>
      </c>
      <c r="Q522">
        <v>3</v>
      </c>
      <c r="R522" t="str">
        <f t="shared" si="34"/>
        <v>Midum Risk</v>
      </c>
      <c r="S522" t="str">
        <f t="shared" si="35"/>
        <v xml:space="preserve">Midum </v>
      </c>
      <c r="T522" s="4">
        <f>Table1[[#This Row],[Deposit_Amount]]+Table1[[#This Row],[Withdrawal_Amount]]</f>
        <v>689808</v>
      </c>
      <c r="U522" t="s">
        <v>274</v>
      </c>
    </row>
    <row r="523" spans="1:21" x14ac:dyDescent="0.3">
      <c r="A523">
        <v>522</v>
      </c>
      <c r="B523" t="s">
        <v>80</v>
      </c>
      <c r="C523" t="s">
        <v>22</v>
      </c>
      <c r="D523">
        <v>70</v>
      </c>
      <c r="E523" t="s">
        <v>23</v>
      </c>
      <c r="F523" s="4">
        <v>383518.59</v>
      </c>
      <c r="G523" t="str">
        <f t="shared" si="32"/>
        <v>High Income</v>
      </c>
      <c r="H523">
        <v>60768.75</v>
      </c>
      <c r="I523">
        <v>553</v>
      </c>
      <c r="J523" t="s">
        <v>41</v>
      </c>
      <c r="K523" t="s">
        <v>42</v>
      </c>
      <c r="L523">
        <v>411783.67999999999</v>
      </c>
      <c r="M523">
        <v>138914.79999999999</v>
      </c>
      <c r="N523" t="s">
        <v>25</v>
      </c>
      <c r="O523" s="7">
        <f t="shared" ca="1" si="33"/>
        <v>45936</v>
      </c>
      <c r="P523" s="7">
        <v>45699</v>
      </c>
      <c r="Q523">
        <v>4</v>
      </c>
      <c r="R523" t="str">
        <f t="shared" si="34"/>
        <v>Midum Risk</v>
      </c>
      <c r="S523" t="str">
        <f t="shared" si="35"/>
        <v xml:space="preserve">Midum </v>
      </c>
      <c r="T523" s="4">
        <f>Table1[[#This Row],[Deposit_Amount]]+Table1[[#This Row],[Withdrawal_Amount]]</f>
        <v>444287.34</v>
      </c>
      <c r="U523" t="s">
        <v>274</v>
      </c>
    </row>
    <row r="524" spans="1:21" x14ac:dyDescent="0.3">
      <c r="A524">
        <v>523</v>
      </c>
      <c r="B524" t="s">
        <v>79</v>
      </c>
      <c r="C524" t="s">
        <v>16</v>
      </c>
      <c r="D524">
        <v>25</v>
      </c>
      <c r="E524" t="s">
        <v>35</v>
      </c>
      <c r="F524" s="4">
        <v>112876.62</v>
      </c>
      <c r="G524" t="str">
        <f t="shared" si="32"/>
        <v>Midum Income</v>
      </c>
      <c r="H524">
        <v>281312.45</v>
      </c>
      <c r="I524">
        <v>334</v>
      </c>
      <c r="J524" t="s">
        <v>27</v>
      </c>
      <c r="K524" t="s">
        <v>24</v>
      </c>
      <c r="L524">
        <v>-75801.56</v>
      </c>
      <c r="M524">
        <v>182092.88</v>
      </c>
      <c r="N524" t="s">
        <v>20</v>
      </c>
      <c r="O524" s="7">
        <f t="shared" ca="1" si="33"/>
        <v>45770</v>
      </c>
      <c r="P524" s="7">
        <v>45693</v>
      </c>
      <c r="Q524">
        <v>1</v>
      </c>
      <c r="R524" t="str">
        <f t="shared" si="34"/>
        <v>High Risk</v>
      </c>
      <c r="S524" t="str">
        <f t="shared" si="35"/>
        <v>Poor</v>
      </c>
      <c r="T524" s="4">
        <f>Table1[[#This Row],[Deposit_Amount]]+Table1[[#This Row],[Withdrawal_Amount]]</f>
        <v>394189.07</v>
      </c>
      <c r="U524" t="s">
        <v>274</v>
      </c>
    </row>
    <row r="525" spans="1:21" x14ac:dyDescent="0.3">
      <c r="A525">
        <v>524</v>
      </c>
      <c r="B525" t="s">
        <v>88</v>
      </c>
      <c r="C525" t="s">
        <v>22</v>
      </c>
      <c r="D525">
        <v>30</v>
      </c>
      <c r="E525" t="s">
        <v>17</v>
      </c>
      <c r="F525" s="4">
        <v>346819.57</v>
      </c>
      <c r="G525" t="str">
        <f t="shared" si="32"/>
        <v>High Income</v>
      </c>
      <c r="H525">
        <v>229727.68</v>
      </c>
      <c r="I525">
        <v>328</v>
      </c>
      <c r="J525" t="s">
        <v>38</v>
      </c>
      <c r="K525" t="s">
        <v>42</v>
      </c>
      <c r="L525">
        <v>221426.92</v>
      </c>
      <c r="M525">
        <v>82728.28</v>
      </c>
      <c r="N525" t="s">
        <v>25</v>
      </c>
      <c r="O525" s="7">
        <f t="shared" ca="1" si="33"/>
        <v>45673</v>
      </c>
      <c r="P525" s="7">
        <v>45921</v>
      </c>
      <c r="Q525">
        <v>2</v>
      </c>
      <c r="R525" t="str">
        <f t="shared" si="34"/>
        <v>High Risk</v>
      </c>
      <c r="S525" t="str">
        <f t="shared" si="35"/>
        <v>Poor</v>
      </c>
      <c r="T525" s="4">
        <f>Table1[[#This Row],[Deposit_Amount]]+Table1[[#This Row],[Withdrawal_Amount]]</f>
        <v>576547.25</v>
      </c>
      <c r="U525" t="s">
        <v>274</v>
      </c>
    </row>
    <row r="526" spans="1:21" x14ac:dyDescent="0.3">
      <c r="A526">
        <v>525</v>
      </c>
      <c r="B526" t="s">
        <v>71</v>
      </c>
      <c r="C526" t="s">
        <v>16</v>
      </c>
      <c r="D526">
        <v>18</v>
      </c>
      <c r="E526" t="s">
        <v>40</v>
      </c>
      <c r="F526" s="4">
        <v>89071.360000000001</v>
      </c>
      <c r="G526" t="str">
        <f t="shared" si="32"/>
        <v>Low Income</v>
      </c>
      <c r="H526">
        <v>57489.52</v>
      </c>
      <c r="I526">
        <v>476</v>
      </c>
      <c r="J526" t="s">
        <v>27</v>
      </c>
      <c r="K526" t="s">
        <v>24</v>
      </c>
      <c r="L526">
        <v>201916.97</v>
      </c>
      <c r="M526">
        <v>143245.79999999999</v>
      </c>
      <c r="N526" t="s">
        <v>28</v>
      </c>
      <c r="O526" s="7">
        <f t="shared" ca="1" si="33"/>
        <v>45735</v>
      </c>
      <c r="P526" s="7">
        <v>45956</v>
      </c>
      <c r="Q526">
        <v>2</v>
      </c>
      <c r="R526" t="str">
        <f t="shared" si="34"/>
        <v>Midum Risk</v>
      </c>
      <c r="S526" t="str">
        <f t="shared" si="35"/>
        <v xml:space="preserve">Midum </v>
      </c>
      <c r="T526" s="4">
        <f>Table1[[#This Row],[Deposit_Amount]]+Table1[[#This Row],[Withdrawal_Amount]]</f>
        <v>146560.88</v>
      </c>
      <c r="U526" t="s">
        <v>274</v>
      </c>
    </row>
    <row r="527" spans="1:21" x14ac:dyDescent="0.3">
      <c r="A527">
        <v>526</v>
      </c>
      <c r="B527" t="s">
        <v>187</v>
      </c>
      <c r="C527" t="s">
        <v>16</v>
      </c>
      <c r="D527">
        <v>18</v>
      </c>
      <c r="E527" t="s">
        <v>31</v>
      </c>
      <c r="F527" s="4">
        <v>219431.97</v>
      </c>
      <c r="G527" t="str">
        <f t="shared" si="32"/>
        <v>High Income</v>
      </c>
      <c r="H527">
        <v>212082.98</v>
      </c>
      <c r="I527">
        <v>562</v>
      </c>
      <c r="J527" t="s">
        <v>41</v>
      </c>
      <c r="K527" t="s">
        <v>59</v>
      </c>
      <c r="L527">
        <v>130229.39</v>
      </c>
      <c r="M527">
        <v>225705.16</v>
      </c>
      <c r="N527" t="s">
        <v>28</v>
      </c>
      <c r="O527" s="7">
        <f t="shared" ca="1" si="33"/>
        <v>45954</v>
      </c>
      <c r="P527" s="7">
        <v>45838</v>
      </c>
      <c r="Q527">
        <v>1</v>
      </c>
      <c r="R527" t="str">
        <f t="shared" si="34"/>
        <v>Midum Risk</v>
      </c>
      <c r="S527" t="str">
        <f t="shared" si="35"/>
        <v xml:space="preserve">Midum </v>
      </c>
      <c r="T527" s="4">
        <f>Table1[[#This Row],[Deposit_Amount]]+Table1[[#This Row],[Withdrawal_Amount]]</f>
        <v>431514.95</v>
      </c>
      <c r="U527" t="s">
        <v>274</v>
      </c>
    </row>
    <row r="528" spans="1:21" x14ac:dyDescent="0.3">
      <c r="A528">
        <v>527</v>
      </c>
      <c r="B528" t="s">
        <v>109</v>
      </c>
      <c r="C528" t="s">
        <v>22</v>
      </c>
      <c r="D528">
        <v>47</v>
      </c>
      <c r="E528" t="s">
        <v>17</v>
      </c>
      <c r="F528" s="4">
        <v>368124.62</v>
      </c>
      <c r="G528" t="str">
        <f t="shared" si="32"/>
        <v>High Income</v>
      </c>
      <c r="H528">
        <v>266913.8</v>
      </c>
      <c r="I528">
        <v>769</v>
      </c>
      <c r="J528" t="s">
        <v>18</v>
      </c>
      <c r="K528" t="s">
        <v>24</v>
      </c>
      <c r="L528">
        <v>256559.86</v>
      </c>
      <c r="M528">
        <v>167259.26</v>
      </c>
      <c r="N528" t="s">
        <v>28</v>
      </c>
      <c r="O528" s="7">
        <f t="shared" ca="1" si="33"/>
        <v>45975</v>
      </c>
      <c r="P528" s="7">
        <v>45918</v>
      </c>
      <c r="Q528">
        <v>3</v>
      </c>
      <c r="R528" t="str">
        <f t="shared" si="34"/>
        <v>Low Risk</v>
      </c>
      <c r="S528" t="str">
        <f t="shared" si="35"/>
        <v>Good</v>
      </c>
      <c r="T528" s="4">
        <f>Table1[[#This Row],[Deposit_Amount]]+Table1[[#This Row],[Withdrawal_Amount]]</f>
        <v>635038.41999999993</v>
      </c>
      <c r="U528" t="s">
        <v>274</v>
      </c>
    </row>
    <row r="529" spans="1:21" x14ac:dyDescent="0.3">
      <c r="A529">
        <v>528</v>
      </c>
      <c r="B529" t="s">
        <v>215</v>
      </c>
      <c r="C529" t="s">
        <v>16</v>
      </c>
      <c r="D529">
        <v>26</v>
      </c>
      <c r="E529" t="s">
        <v>35</v>
      </c>
      <c r="F529" s="4">
        <v>210544.69</v>
      </c>
      <c r="G529" t="str">
        <f t="shared" si="32"/>
        <v>High Income</v>
      </c>
      <c r="H529">
        <v>112278.05</v>
      </c>
      <c r="I529">
        <v>387</v>
      </c>
      <c r="J529" t="s">
        <v>27</v>
      </c>
      <c r="K529" t="s">
        <v>59</v>
      </c>
      <c r="L529">
        <v>240250.41</v>
      </c>
      <c r="M529">
        <v>188627.8</v>
      </c>
      <c r="N529" t="s">
        <v>28</v>
      </c>
      <c r="O529" s="7">
        <f t="shared" ca="1" si="33"/>
        <v>45715</v>
      </c>
      <c r="P529" s="7">
        <v>45799</v>
      </c>
      <c r="Q529">
        <v>5</v>
      </c>
      <c r="R529" t="str">
        <f t="shared" si="34"/>
        <v>High Risk</v>
      </c>
      <c r="S529" t="str">
        <f t="shared" si="35"/>
        <v>Poor</v>
      </c>
      <c r="T529" s="4">
        <f>Table1[[#This Row],[Deposit_Amount]]+Table1[[#This Row],[Withdrawal_Amount]]</f>
        <v>322822.74</v>
      </c>
      <c r="U529" t="s">
        <v>274</v>
      </c>
    </row>
    <row r="530" spans="1:21" x14ac:dyDescent="0.3">
      <c r="A530">
        <v>529</v>
      </c>
      <c r="B530" t="s">
        <v>216</v>
      </c>
      <c r="C530" t="s">
        <v>16</v>
      </c>
      <c r="D530">
        <v>20</v>
      </c>
      <c r="E530" t="s">
        <v>31</v>
      </c>
      <c r="F530" s="4">
        <v>445318.58</v>
      </c>
      <c r="G530" t="str">
        <f t="shared" si="32"/>
        <v>High Income</v>
      </c>
      <c r="H530">
        <v>295630.37</v>
      </c>
      <c r="I530">
        <v>771</v>
      </c>
      <c r="J530" t="s">
        <v>32</v>
      </c>
      <c r="K530" t="s">
        <v>24</v>
      </c>
      <c r="L530">
        <v>254930.62</v>
      </c>
      <c r="M530">
        <v>94138.2</v>
      </c>
      <c r="N530" t="s">
        <v>25</v>
      </c>
      <c r="O530" s="7">
        <f t="shared" ca="1" si="33"/>
        <v>45659</v>
      </c>
      <c r="P530" s="7">
        <v>45963</v>
      </c>
      <c r="Q530">
        <v>3</v>
      </c>
      <c r="R530" t="str">
        <f t="shared" si="34"/>
        <v>Low Risk</v>
      </c>
      <c r="S530" t="str">
        <f t="shared" si="35"/>
        <v>Good</v>
      </c>
      <c r="T530" s="4">
        <f>Table1[[#This Row],[Deposit_Amount]]+Table1[[#This Row],[Withdrawal_Amount]]</f>
        <v>740948.95</v>
      </c>
      <c r="U530" t="s">
        <v>274</v>
      </c>
    </row>
    <row r="531" spans="1:21" x14ac:dyDescent="0.3">
      <c r="A531">
        <v>530</v>
      </c>
      <c r="B531" t="s">
        <v>135</v>
      </c>
      <c r="C531" t="s">
        <v>22</v>
      </c>
      <c r="D531">
        <v>39</v>
      </c>
      <c r="E531" t="s">
        <v>35</v>
      </c>
      <c r="F531" s="4">
        <v>293423.26</v>
      </c>
      <c r="G531" t="str">
        <f t="shared" si="32"/>
        <v>High Income</v>
      </c>
      <c r="H531">
        <v>263555.38</v>
      </c>
      <c r="I531">
        <v>873</v>
      </c>
      <c r="J531" t="s">
        <v>41</v>
      </c>
      <c r="K531" t="s">
        <v>24</v>
      </c>
      <c r="L531">
        <v>126535.73</v>
      </c>
      <c r="M531">
        <v>218292.92</v>
      </c>
      <c r="N531" t="s">
        <v>20</v>
      </c>
      <c r="O531" s="7">
        <f t="shared" ca="1" si="33"/>
        <v>45823</v>
      </c>
      <c r="P531" s="7">
        <v>45694</v>
      </c>
      <c r="Q531">
        <v>4</v>
      </c>
      <c r="R531" t="str">
        <f t="shared" si="34"/>
        <v>Low Risk</v>
      </c>
      <c r="S531" t="str">
        <f t="shared" si="35"/>
        <v>Good</v>
      </c>
      <c r="T531" s="4">
        <f>Table1[[#This Row],[Deposit_Amount]]+Table1[[#This Row],[Withdrawal_Amount]]</f>
        <v>556978.64</v>
      </c>
      <c r="U531" t="s">
        <v>274</v>
      </c>
    </row>
    <row r="532" spans="1:21" x14ac:dyDescent="0.3">
      <c r="A532">
        <v>531</v>
      </c>
      <c r="B532" t="s">
        <v>88</v>
      </c>
      <c r="C532" t="s">
        <v>22</v>
      </c>
      <c r="D532">
        <v>24</v>
      </c>
      <c r="E532" t="s">
        <v>35</v>
      </c>
      <c r="F532" s="4">
        <v>187487.7</v>
      </c>
      <c r="G532" t="str">
        <f t="shared" si="32"/>
        <v>Midum Income</v>
      </c>
      <c r="H532">
        <v>227984.74</v>
      </c>
      <c r="I532">
        <v>584</v>
      </c>
      <c r="J532" t="s">
        <v>27</v>
      </c>
      <c r="K532" t="s">
        <v>24</v>
      </c>
      <c r="L532">
        <v>89827.89</v>
      </c>
      <c r="M532">
        <v>210139.3</v>
      </c>
      <c r="N532" t="s">
        <v>28</v>
      </c>
      <c r="O532" s="7">
        <f t="shared" ca="1" si="33"/>
        <v>45760</v>
      </c>
      <c r="P532" s="7">
        <v>45836</v>
      </c>
      <c r="Q532">
        <v>1</v>
      </c>
      <c r="R532" t="str">
        <f t="shared" si="34"/>
        <v>Midum Risk</v>
      </c>
      <c r="S532" t="str">
        <f t="shared" si="35"/>
        <v xml:space="preserve">Midum </v>
      </c>
      <c r="T532" s="4">
        <f>Table1[[#This Row],[Deposit_Amount]]+Table1[[#This Row],[Withdrawal_Amount]]</f>
        <v>415472.44</v>
      </c>
      <c r="U532" t="s">
        <v>274</v>
      </c>
    </row>
    <row r="533" spans="1:21" x14ac:dyDescent="0.3">
      <c r="A533">
        <v>532</v>
      </c>
      <c r="B533" t="s">
        <v>133</v>
      </c>
      <c r="C533" t="s">
        <v>16</v>
      </c>
      <c r="D533">
        <v>57</v>
      </c>
      <c r="E533" t="s">
        <v>17</v>
      </c>
      <c r="F533" s="4">
        <v>233856.46</v>
      </c>
      <c r="G533" t="str">
        <f t="shared" si="32"/>
        <v>High Income</v>
      </c>
      <c r="H533">
        <v>46228.43</v>
      </c>
      <c r="I533">
        <v>547</v>
      </c>
      <c r="J533" t="s">
        <v>41</v>
      </c>
      <c r="K533" t="s">
        <v>24</v>
      </c>
      <c r="L533">
        <v>264102.8</v>
      </c>
      <c r="M533">
        <v>231654.57</v>
      </c>
      <c r="N533" t="s">
        <v>25</v>
      </c>
      <c r="O533" s="7">
        <f t="shared" ca="1" si="33"/>
        <v>45786</v>
      </c>
      <c r="P533" s="7">
        <v>45961</v>
      </c>
      <c r="Q533">
        <v>1</v>
      </c>
      <c r="R533" t="str">
        <f t="shared" si="34"/>
        <v>Midum Risk</v>
      </c>
      <c r="S533" t="str">
        <f t="shared" si="35"/>
        <v xml:space="preserve">Midum </v>
      </c>
      <c r="T533" s="4">
        <f>Table1[[#This Row],[Deposit_Amount]]+Table1[[#This Row],[Withdrawal_Amount]]</f>
        <v>280084.89</v>
      </c>
      <c r="U533" t="s">
        <v>274</v>
      </c>
    </row>
    <row r="534" spans="1:21" x14ac:dyDescent="0.3">
      <c r="A534">
        <v>533</v>
      </c>
      <c r="B534" t="s">
        <v>130</v>
      </c>
      <c r="C534" t="s">
        <v>16</v>
      </c>
      <c r="D534">
        <v>57</v>
      </c>
      <c r="E534" t="s">
        <v>31</v>
      </c>
      <c r="F534" s="4">
        <v>133762.6</v>
      </c>
      <c r="G534" t="str">
        <f t="shared" si="32"/>
        <v>Midum Income</v>
      </c>
      <c r="H534">
        <v>33824.97</v>
      </c>
      <c r="I534">
        <v>896</v>
      </c>
      <c r="J534" t="s">
        <v>18</v>
      </c>
      <c r="K534" t="s">
        <v>59</v>
      </c>
      <c r="L534">
        <v>248368.83</v>
      </c>
      <c r="M534">
        <v>83357.37</v>
      </c>
      <c r="N534" t="s">
        <v>20</v>
      </c>
      <c r="O534" s="7">
        <f t="shared" ca="1" si="33"/>
        <v>45716</v>
      </c>
      <c r="P534" s="7">
        <v>45916</v>
      </c>
      <c r="Q534">
        <v>2</v>
      </c>
      <c r="R534" t="str">
        <f t="shared" si="34"/>
        <v>Low Risk</v>
      </c>
      <c r="S534" t="str">
        <f t="shared" si="35"/>
        <v>Good</v>
      </c>
      <c r="T534" s="4">
        <f>Table1[[#This Row],[Deposit_Amount]]+Table1[[#This Row],[Withdrawal_Amount]]</f>
        <v>167587.57</v>
      </c>
      <c r="U534" t="s">
        <v>274</v>
      </c>
    </row>
    <row r="535" spans="1:21" x14ac:dyDescent="0.3">
      <c r="A535">
        <v>534</v>
      </c>
      <c r="B535" t="s">
        <v>217</v>
      </c>
      <c r="C535" t="s">
        <v>16</v>
      </c>
      <c r="D535">
        <v>32</v>
      </c>
      <c r="E535" t="s">
        <v>35</v>
      </c>
      <c r="F535" s="4">
        <v>164377.26</v>
      </c>
      <c r="G535" t="str">
        <f t="shared" si="32"/>
        <v>Midum Income</v>
      </c>
      <c r="H535">
        <v>120412.98</v>
      </c>
      <c r="I535">
        <v>676</v>
      </c>
      <c r="J535" t="s">
        <v>27</v>
      </c>
      <c r="K535" t="s">
        <v>36</v>
      </c>
      <c r="L535">
        <v>239115.48</v>
      </c>
      <c r="M535">
        <v>127177.66</v>
      </c>
      <c r="N535" t="s">
        <v>25</v>
      </c>
      <c r="O535" s="7">
        <f t="shared" ca="1" si="33"/>
        <v>45989</v>
      </c>
      <c r="P535" s="7">
        <v>45758</v>
      </c>
      <c r="Q535">
        <v>1</v>
      </c>
      <c r="R535" t="str">
        <f t="shared" si="34"/>
        <v>Low Risk</v>
      </c>
      <c r="S535" t="str">
        <f t="shared" si="35"/>
        <v>Good</v>
      </c>
      <c r="T535" s="4">
        <f>Table1[[#This Row],[Deposit_Amount]]+Table1[[#This Row],[Withdrawal_Amount]]</f>
        <v>284790.24</v>
      </c>
      <c r="U535" t="s">
        <v>274</v>
      </c>
    </row>
    <row r="536" spans="1:21" x14ac:dyDescent="0.3">
      <c r="A536">
        <v>535</v>
      </c>
      <c r="B536" t="s">
        <v>157</v>
      </c>
      <c r="C536" t="s">
        <v>22</v>
      </c>
      <c r="D536">
        <v>41</v>
      </c>
      <c r="E536" t="s">
        <v>23</v>
      </c>
      <c r="F536" s="4">
        <v>95041.93</v>
      </c>
      <c r="G536" t="str">
        <f t="shared" si="32"/>
        <v>Low Income</v>
      </c>
      <c r="H536">
        <v>74967.77</v>
      </c>
      <c r="I536">
        <v>573</v>
      </c>
      <c r="J536" t="s">
        <v>18</v>
      </c>
      <c r="K536" t="s">
        <v>24</v>
      </c>
      <c r="L536">
        <v>96022.49</v>
      </c>
      <c r="M536">
        <v>172353.66</v>
      </c>
      <c r="N536" t="s">
        <v>25</v>
      </c>
      <c r="O536" s="7">
        <f t="shared" ca="1" si="33"/>
        <v>45869</v>
      </c>
      <c r="P536" s="7">
        <v>45713</v>
      </c>
      <c r="Q536">
        <v>3</v>
      </c>
      <c r="R536" t="str">
        <f t="shared" si="34"/>
        <v>Midum Risk</v>
      </c>
      <c r="S536" t="str">
        <f t="shared" si="35"/>
        <v xml:space="preserve">Midum </v>
      </c>
      <c r="T536" s="4">
        <f>Table1[[#This Row],[Deposit_Amount]]+Table1[[#This Row],[Withdrawal_Amount]]</f>
        <v>170009.7</v>
      </c>
      <c r="U536" t="s">
        <v>274</v>
      </c>
    </row>
    <row r="537" spans="1:21" x14ac:dyDescent="0.3">
      <c r="A537">
        <v>536</v>
      </c>
      <c r="B537" t="s">
        <v>181</v>
      </c>
      <c r="C537" t="s">
        <v>16</v>
      </c>
      <c r="D537">
        <v>31</v>
      </c>
      <c r="E537" t="s">
        <v>44</v>
      </c>
      <c r="F537" s="4">
        <v>251253.87</v>
      </c>
      <c r="G537" t="str">
        <f t="shared" si="32"/>
        <v>High Income</v>
      </c>
      <c r="H537">
        <v>11300.65</v>
      </c>
      <c r="I537">
        <v>589</v>
      </c>
      <c r="J537" t="s">
        <v>41</v>
      </c>
      <c r="K537" t="s">
        <v>19</v>
      </c>
      <c r="L537">
        <v>344782.88</v>
      </c>
      <c r="M537">
        <v>179026.94</v>
      </c>
      <c r="N537" t="s">
        <v>28</v>
      </c>
      <c r="O537" s="7">
        <f t="shared" ca="1" si="33"/>
        <v>45878</v>
      </c>
      <c r="P537" s="7">
        <v>45753</v>
      </c>
      <c r="Q537">
        <v>2</v>
      </c>
      <c r="R537" t="str">
        <f t="shared" si="34"/>
        <v>Midum Risk</v>
      </c>
      <c r="S537" t="str">
        <f t="shared" si="35"/>
        <v xml:space="preserve">Midum </v>
      </c>
      <c r="T537" s="4">
        <f>Table1[[#This Row],[Deposit_Amount]]+Table1[[#This Row],[Withdrawal_Amount]]</f>
        <v>262554.52</v>
      </c>
      <c r="U537" t="s">
        <v>274</v>
      </c>
    </row>
    <row r="538" spans="1:21" x14ac:dyDescent="0.3">
      <c r="A538">
        <v>537</v>
      </c>
      <c r="B538" t="s">
        <v>216</v>
      </c>
      <c r="C538" t="s">
        <v>16</v>
      </c>
      <c r="D538">
        <v>31</v>
      </c>
      <c r="E538" t="s">
        <v>35</v>
      </c>
      <c r="F538" s="4">
        <v>81755.539999999994</v>
      </c>
      <c r="G538" t="str">
        <f t="shared" si="32"/>
        <v>Low Income</v>
      </c>
      <c r="H538">
        <v>295040.95</v>
      </c>
      <c r="I538">
        <v>707</v>
      </c>
      <c r="J538" t="s">
        <v>32</v>
      </c>
      <c r="K538" t="s">
        <v>42</v>
      </c>
      <c r="L538">
        <v>-105085.31</v>
      </c>
      <c r="M538">
        <v>182621.28</v>
      </c>
      <c r="N538" t="s">
        <v>20</v>
      </c>
      <c r="O538" s="7">
        <f t="shared" ca="1" si="33"/>
        <v>45774</v>
      </c>
      <c r="P538" s="7">
        <v>45752</v>
      </c>
      <c r="Q538">
        <v>2</v>
      </c>
      <c r="R538" t="str">
        <f t="shared" si="34"/>
        <v>Low Risk</v>
      </c>
      <c r="S538" t="str">
        <f t="shared" si="35"/>
        <v>Good</v>
      </c>
      <c r="T538" s="4">
        <f>Table1[[#This Row],[Deposit_Amount]]+Table1[[#This Row],[Withdrawal_Amount]]</f>
        <v>376796.49</v>
      </c>
      <c r="U538" t="s">
        <v>274</v>
      </c>
    </row>
    <row r="539" spans="1:21" x14ac:dyDescent="0.3">
      <c r="A539">
        <v>538</v>
      </c>
      <c r="B539" t="s">
        <v>84</v>
      </c>
      <c r="C539" t="s">
        <v>16</v>
      </c>
      <c r="D539">
        <v>34</v>
      </c>
      <c r="E539" t="s">
        <v>23</v>
      </c>
      <c r="F539" s="4">
        <v>61353.54</v>
      </c>
      <c r="G539" t="str">
        <f t="shared" si="32"/>
        <v>Low Income</v>
      </c>
      <c r="H539">
        <v>207934.71</v>
      </c>
      <c r="I539">
        <v>887</v>
      </c>
      <c r="J539" t="s">
        <v>32</v>
      </c>
      <c r="K539" t="s">
        <v>59</v>
      </c>
      <c r="L539">
        <v>-72930.02</v>
      </c>
      <c r="M539">
        <v>196029.63</v>
      </c>
      <c r="N539" t="s">
        <v>28</v>
      </c>
      <c r="O539" s="7">
        <f t="shared" ca="1" si="33"/>
        <v>45988</v>
      </c>
      <c r="P539" s="7">
        <v>45732</v>
      </c>
      <c r="Q539">
        <v>1</v>
      </c>
      <c r="R539" t="str">
        <f t="shared" si="34"/>
        <v>Low Risk</v>
      </c>
      <c r="S539" t="str">
        <f t="shared" si="35"/>
        <v>Good</v>
      </c>
      <c r="T539" s="4">
        <f>Table1[[#This Row],[Deposit_Amount]]+Table1[[#This Row],[Withdrawal_Amount]]</f>
        <v>269288.25</v>
      </c>
      <c r="U539" t="s">
        <v>274</v>
      </c>
    </row>
    <row r="540" spans="1:21" x14ac:dyDescent="0.3">
      <c r="A540">
        <v>539</v>
      </c>
      <c r="B540" t="s">
        <v>196</v>
      </c>
      <c r="C540" t="s">
        <v>22</v>
      </c>
      <c r="D540">
        <v>21</v>
      </c>
      <c r="E540" t="s">
        <v>40</v>
      </c>
      <c r="F540" s="4">
        <v>34312.839999999997</v>
      </c>
      <c r="G540" t="str">
        <f t="shared" si="32"/>
        <v>Low Income</v>
      </c>
      <c r="H540">
        <v>252419.47</v>
      </c>
      <c r="I540">
        <v>664</v>
      </c>
      <c r="J540" t="s">
        <v>38</v>
      </c>
      <c r="K540" t="s">
        <v>59</v>
      </c>
      <c r="L540">
        <v>-83454.259999999995</v>
      </c>
      <c r="M540">
        <v>221571.79</v>
      </c>
      <c r="N540" t="s">
        <v>28</v>
      </c>
      <c r="O540" s="7">
        <f t="shared" ca="1" si="33"/>
        <v>45861</v>
      </c>
      <c r="P540" s="7">
        <v>45962</v>
      </c>
      <c r="Q540">
        <v>1</v>
      </c>
      <c r="R540" t="str">
        <f t="shared" si="34"/>
        <v>Low Risk</v>
      </c>
      <c r="S540" t="str">
        <f t="shared" si="35"/>
        <v>Good</v>
      </c>
      <c r="T540" s="4">
        <f>Table1[[#This Row],[Deposit_Amount]]+Table1[[#This Row],[Withdrawal_Amount]]</f>
        <v>286732.31</v>
      </c>
      <c r="U540" t="s">
        <v>274</v>
      </c>
    </row>
    <row r="541" spans="1:21" x14ac:dyDescent="0.3">
      <c r="A541">
        <v>540</v>
      </c>
      <c r="B541" t="s">
        <v>215</v>
      </c>
      <c r="C541" t="s">
        <v>16</v>
      </c>
      <c r="D541">
        <v>55</v>
      </c>
      <c r="E541" t="s">
        <v>23</v>
      </c>
      <c r="F541" s="4">
        <v>24529.53</v>
      </c>
      <c r="G541" t="str">
        <f t="shared" si="32"/>
        <v>Low Income</v>
      </c>
      <c r="H541">
        <v>156584.5</v>
      </c>
      <c r="I541">
        <v>570</v>
      </c>
      <c r="J541" t="s">
        <v>38</v>
      </c>
      <c r="K541" t="s">
        <v>24</v>
      </c>
      <c r="L541">
        <v>-68809.62</v>
      </c>
      <c r="M541">
        <v>236785.21</v>
      </c>
      <c r="N541" t="s">
        <v>25</v>
      </c>
      <c r="O541" s="7">
        <f t="shared" ca="1" si="33"/>
        <v>45684</v>
      </c>
      <c r="P541" s="7">
        <v>45866</v>
      </c>
      <c r="Q541">
        <v>1</v>
      </c>
      <c r="R541" t="str">
        <f t="shared" si="34"/>
        <v>Midum Risk</v>
      </c>
      <c r="S541" t="str">
        <f t="shared" si="35"/>
        <v xml:space="preserve">Midum </v>
      </c>
      <c r="T541" s="4">
        <f>Table1[[#This Row],[Deposit_Amount]]+Table1[[#This Row],[Withdrawal_Amount]]</f>
        <v>181114.03</v>
      </c>
      <c r="U541" t="s">
        <v>274</v>
      </c>
    </row>
    <row r="542" spans="1:21" x14ac:dyDescent="0.3">
      <c r="A542">
        <v>541</v>
      </c>
      <c r="B542" t="s">
        <v>181</v>
      </c>
      <c r="C542" t="s">
        <v>16</v>
      </c>
      <c r="D542">
        <v>24</v>
      </c>
      <c r="E542" t="s">
        <v>23</v>
      </c>
      <c r="F542" s="4">
        <v>384162.97</v>
      </c>
      <c r="G542" t="str">
        <f t="shared" si="32"/>
        <v>High Income</v>
      </c>
      <c r="H542">
        <v>4192.6499999999996</v>
      </c>
      <c r="I542">
        <v>702</v>
      </c>
      <c r="J542" t="s">
        <v>27</v>
      </c>
      <c r="K542" t="s">
        <v>19</v>
      </c>
      <c r="L542">
        <v>499563.07</v>
      </c>
      <c r="M542">
        <v>23642.12</v>
      </c>
      <c r="N542" t="s">
        <v>20</v>
      </c>
      <c r="O542" s="7">
        <f t="shared" ca="1" si="33"/>
        <v>45980</v>
      </c>
      <c r="P542" s="7">
        <v>45829</v>
      </c>
      <c r="Q542">
        <v>1</v>
      </c>
      <c r="R542" t="str">
        <f t="shared" si="34"/>
        <v>Low Risk</v>
      </c>
      <c r="S542" t="str">
        <f t="shared" si="35"/>
        <v>Good</v>
      </c>
      <c r="T542" s="4">
        <f>Table1[[#This Row],[Deposit_Amount]]+Table1[[#This Row],[Withdrawal_Amount]]</f>
        <v>388355.62</v>
      </c>
      <c r="U542" t="s">
        <v>274</v>
      </c>
    </row>
    <row r="543" spans="1:21" x14ac:dyDescent="0.3">
      <c r="A543">
        <v>542</v>
      </c>
      <c r="B543" t="s">
        <v>88</v>
      </c>
      <c r="C543" t="s">
        <v>22</v>
      </c>
      <c r="D543">
        <v>18</v>
      </c>
      <c r="E543" t="s">
        <v>31</v>
      </c>
      <c r="F543" s="4">
        <v>299606.37</v>
      </c>
      <c r="G543" t="str">
        <f t="shared" si="32"/>
        <v>High Income</v>
      </c>
      <c r="H543">
        <v>142414.54999999999</v>
      </c>
      <c r="I543">
        <v>875</v>
      </c>
      <c r="J543" t="s">
        <v>38</v>
      </c>
      <c r="K543" t="s">
        <v>19</v>
      </c>
      <c r="L543">
        <v>167325.32</v>
      </c>
      <c r="M543">
        <v>51040.39</v>
      </c>
      <c r="N543" t="s">
        <v>20</v>
      </c>
      <c r="O543" s="7">
        <f t="shared" ca="1" si="33"/>
        <v>45973</v>
      </c>
      <c r="P543" s="7">
        <v>46020</v>
      </c>
      <c r="Q543">
        <v>4</v>
      </c>
      <c r="R543" t="str">
        <f t="shared" si="34"/>
        <v>Low Risk</v>
      </c>
      <c r="S543" t="str">
        <f t="shared" si="35"/>
        <v>Good</v>
      </c>
      <c r="T543" s="4">
        <f>Table1[[#This Row],[Deposit_Amount]]+Table1[[#This Row],[Withdrawal_Amount]]</f>
        <v>442020.92</v>
      </c>
      <c r="U543" t="s">
        <v>274</v>
      </c>
    </row>
    <row r="544" spans="1:21" x14ac:dyDescent="0.3">
      <c r="A544">
        <v>543</v>
      </c>
      <c r="B544" t="s">
        <v>144</v>
      </c>
      <c r="C544" t="s">
        <v>16</v>
      </c>
      <c r="D544">
        <v>20</v>
      </c>
      <c r="E544" t="s">
        <v>23</v>
      </c>
      <c r="F544" s="4">
        <v>459701.74</v>
      </c>
      <c r="G544" t="str">
        <f t="shared" si="32"/>
        <v>High Income</v>
      </c>
      <c r="H544">
        <v>124434.08</v>
      </c>
      <c r="I544">
        <v>838</v>
      </c>
      <c r="J544" t="s">
        <v>38</v>
      </c>
      <c r="K544" t="s">
        <v>24</v>
      </c>
      <c r="L544">
        <v>421457.57</v>
      </c>
      <c r="M544">
        <v>109295.89</v>
      </c>
      <c r="N544" t="s">
        <v>28</v>
      </c>
      <c r="O544" s="7">
        <f t="shared" ca="1" si="33"/>
        <v>45888</v>
      </c>
      <c r="P544" s="7">
        <v>45839</v>
      </c>
      <c r="Q544">
        <v>4</v>
      </c>
      <c r="R544" t="str">
        <f t="shared" si="34"/>
        <v>Low Risk</v>
      </c>
      <c r="S544" t="str">
        <f t="shared" si="35"/>
        <v>Good</v>
      </c>
      <c r="T544" s="4">
        <f>Table1[[#This Row],[Deposit_Amount]]+Table1[[#This Row],[Withdrawal_Amount]]</f>
        <v>584135.81999999995</v>
      </c>
      <c r="U544" t="s">
        <v>274</v>
      </c>
    </row>
    <row r="545" spans="1:21" x14ac:dyDescent="0.3">
      <c r="A545">
        <v>544</v>
      </c>
      <c r="B545" t="s">
        <v>181</v>
      </c>
      <c r="C545" t="s">
        <v>16</v>
      </c>
      <c r="D545">
        <v>31</v>
      </c>
      <c r="E545" t="s">
        <v>31</v>
      </c>
      <c r="F545" s="4">
        <v>35980.04</v>
      </c>
      <c r="G545" t="str">
        <f t="shared" si="32"/>
        <v>Low Income</v>
      </c>
      <c r="H545">
        <v>212275.38</v>
      </c>
      <c r="I545">
        <v>895</v>
      </c>
      <c r="J545" t="s">
        <v>38</v>
      </c>
      <c r="K545" t="s">
        <v>36</v>
      </c>
      <c r="L545">
        <v>-150225.89000000001</v>
      </c>
      <c r="M545">
        <v>96426.66</v>
      </c>
      <c r="N545" t="s">
        <v>28</v>
      </c>
      <c r="O545" s="7">
        <f t="shared" ca="1" si="33"/>
        <v>45759</v>
      </c>
      <c r="P545" s="7">
        <v>45686</v>
      </c>
      <c r="Q545">
        <v>2</v>
      </c>
      <c r="R545" t="str">
        <f t="shared" si="34"/>
        <v>Low Risk</v>
      </c>
      <c r="S545" t="str">
        <f t="shared" si="35"/>
        <v>Good</v>
      </c>
      <c r="T545" s="4">
        <f>Table1[[#This Row],[Deposit_Amount]]+Table1[[#This Row],[Withdrawal_Amount]]</f>
        <v>248255.42</v>
      </c>
      <c r="U545" t="s">
        <v>274</v>
      </c>
    </row>
    <row r="546" spans="1:21" x14ac:dyDescent="0.3">
      <c r="A546">
        <v>545</v>
      </c>
      <c r="B546" t="s">
        <v>183</v>
      </c>
      <c r="C546" t="s">
        <v>22</v>
      </c>
      <c r="D546">
        <v>41</v>
      </c>
      <c r="E546" t="s">
        <v>31</v>
      </c>
      <c r="F546" s="4">
        <v>474451.14</v>
      </c>
      <c r="G546" t="str">
        <f t="shared" si="32"/>
        <v>High Income</v>
      </c>
      <c r="H546">
        <v>99032.84</v>
      </c>
      <c r="I546">
        <v>348</v>
      </c>
      <c r="J546" t="s">
        <v>27</v>
      </c>
      <c r="K546" t="s">
        <v>42</v>
      </c>
      <c r="L546">
        <v>444655.69</v>
      </c>
      <c r="M546">
        <v>224765.3</v>
      </c>
      <c r="N546" t="s">
        <v>28</v>
      </c>
      <c r="O546" s="7">
        <f t="shared" ca="1" si="33"/>
        <v>45922</v>
      </c>
      <c r="P546" s="7">
        <v>45682</v>
      </c>
      <c r="Q546">
        <v>1</v>
      </c>
      <c r="R546" t="str">
        <f t="shared" si="34"/>
        <v>High Risk</v>
      </c>
      <c r="S546" t="str">
        <f t="shared" si="35"/>
        <v>Poor</v>
      </c>
      <c r="T546" s="4">
        <f>Table1[[#This Row],[Deposit_Amount]]+Table1[[#This Row],[Withdrawal_Amount]]</f>
        <v>573483.98</v>
      </c>
      <c r="U546" t="s">
        <v>274</v>
      </c>
    </row>
    <row r="547" spans="1:21" x14ac:dyDescent="0.3">
      <c r="A547">
        <v>546</v>
      </c>
      <c r="B547" t="s">
        <v>98</v>
      </c>
      <c r="C547" t="s">
        <v>22</v>
      </c>
      <c r="D547">
        <v>20</v>
      </c>
      <c r="E547" t="s">
        <v>44</v>
      </c>
      <c r="F547" s="4">
        <v>98504.48</v>
      </c>
      <c r="G547" t="str">
        <f t="shared" si="32"/>
        <v>Low Income</v>
      </c>
      <c r="H547">
        <v>16269.98</v>
      </c>
      <c r="I547">
        <v>347</v>
      </c>
      <c r="J547" t="s">
        <v>41</v>
      </c>
      <c r="K547" t="s">
        <v>59</v>
      </c>
      <c r="L547">
        <v>224136.91</v>
      </c>
      <c r="M547">
        <v>122612.41</v>
      </c>
      <c r="N547" t="s">
        <v>28</v>
      </c>
      <c r="O547" s="7">
        <f t="shared" ca="1" si="33"/>
        <v>45965</v>
      </c>
      <c r="P547" s="7">
        <v>45972</v>
      </c>
      <c r="Q547">
        <v>5</v>
      </c>
      <c r="R547" t="str">
        <f t="shared" si="34"/>
        <v>High Risk</v>
      </c>
      <c r="S547" t="str">
        <f t="shared" si="35"/>
        <v>Poor</v>
      </c>
      <c r="T547" s="4">
        <f>Table1[[#This Row],[Deposit_Amount]]+Table1[[#This Row],[Withdrawal_Amount]]</f>
        <v>114774.45999999999</v>
      </c>
      <c r="U547" t="s">
        <v>274</v>
      </c>
    </row>
    <row r="548" spans="1:21" x14ac:dyDescent="0.3">
      <c r="A548">
        <v>547</v>
      </c>
      <c r="B548" t="s">
        <v>160</v>
      </c>
      <c r="C548" t="s">
        <v>22</v>
      </c>
      <c r="D548">
        <v>25</v>
      </c>
      <c r="E548" t="s">
        <v>31</v>
      </c>
      <c r="F548" s="4">
        <v>388687.9</v>
      </c>
      <c r="G548" t="str">
        <f t="shared" si="32"/>
        <v>High Income</v>
      </c>
      <c r="H548">
        <v>170009.71</v>
      </c>
      <c r="I548">
        <v>316</v>
      </c>
      <c r="J548" t="s">
        <v>32</v>
      </c>
      <c r="K548" t="s">
        <v>19</v>
      </c>
      <c r="L548">
        <v>229323.15</v>
      </c>
      <c r="M548">
        <v>235832.43</v>
      </c>
      <c r="N548" t="s">
        <v>28</v>
      </c>
      <c r="O548" s="7">
        <f t="shared" ca="1" si="33"/>
        <v>45751</v>
      </c>
      <c r="P548" s="7">
        <v>45924</v>
      </c>
      <c r="Q548">
        <v>1</v>
      </c>
      <c r="R548" t="str">
        <f t="shared" si="34"/>
        <v>High Risk</v>
      </c>
      <c r="S548" t="str">
        <f t="shared" si="35"/>
        <v>Poor</v>
      </c>
      <c r="T548" s="4">
        <f>Table1[[#This Row],[Deposit_Amount]]+Table1[[#This Row],[Withdrawal_Amount]]</f>
        <v>558697.61</v>
      </c>
      <c r="U548" t="s">
        <v>274</v>
      </c>
    </row>
    <row r="549" spans="1:21" x14ac:dyDescent="0.3">
      <c r="A549">
        <v>548</v>
      </c>
      <c r="B549" t="s">
        <v>118</v>
      </c>
      <c r="C549" t="s">
        <v>22</v>
      </c>
      <c r="D549">
        <v>25</v>
      </c>
      <c r="E549" t="s">
        <v>23</v>
      </c>
      <c r="F549" s="4">
        <v>131301.6</v>
      </c>
      <c r="G549" t="str">
        <f t="shared" si="32"/>
        <v>Midum Income</v>
      </c>
      <c r="H549">
        <v>259874.25</v>
      </c>
      <c r="I549">
        <v>552</v>
      </c>
      <c r="J549" t="s">
        <v>41</v>
      </c>
      <c r="K549" t="s">
        <v>59</v>
      </c>
      <c r="L549">
        <v>51516.52</v>
      </c>
      <c r="M549">
        <v>71119.75</v>
      </c>
      <c r="N549" t="s">
        <v>28</v>
      </c>
      <c r="O549" s="7">
        <f t="shared" ca="1" si="33"/>
        <v>45867</v>
      </c>
      <c r="P549" s="7">
        <v>45716</v>
      </c>
      <c r="Q549">
        <v>2</v>
      </c>
      <c r="R549" t="str">
        <f t="shared" si="34"/>
        <v>Midum Risk</v>
      </c>
      <c r="S549" t="str">
        <f t="shared" si="35"/>
        <v xml:space="preserve">Midum </v>
      </c>
      <c r="T549" s="4">
        <f>Table1[[#This Row],[Deposit_Amount]]+Table1[[#This Row],[Withdrawal_Amount]]</f>
        <v>391175.85</v>
      </c>
      <c r="U549" t="s">
        <v>274</v>
      </c>
    </row>
    <row r="550" spans="1:21" x14ac:dyDescent="0.3">
      <c r="A550">
        <v>549</v>
      </c>
      <c r="B550" t="s">
        <v>58</v>
      </c>
      <c r="C550" t="s">
        <v>16</v>
      </c>
      <c r="D550">
        <v>61</v>
      </c>
      <c r="E550" t="s">
        <v>44</v>
      </c>
      <c r="F550" s="4">
        <v>191274.63</v>
      </c>
      <c r="G550" t="str">
        <f t="shared" si="32"/>
        <v>Midum Income</v>
      </c>
      <c r="H550">
        <v>267072.59000000003</v>
      </c>
      <c r="I550">
        <v>684</v>
      </c>
      <c r="J550" t="s">
        <v>27</v>
      </c>
      <c r="K550" t="s">
        <v>24</v>
      </c>
      <c r="L550">
        <v>-60546.16</v>
      </c>
      <c r="M550">
        <v>141313.39000000001</v>
      </c>
      <c r="N550" t="s">
        <v>25</v>
      </c>
      <c r="O550" s="7">
        <f t="shared" ca="1" si="33"/>
        <v>45694</v>
      </c>
      <c r="P550" s="7">
        <v>45929</v>
      </c>
      <c r="Q550">
        <v>4</v>
      </c>
      <c r="R550" t="str">
        <f t="shared" si="34"/>
        <v>Low Risk</v>
      </c>
      <c r="S550" t="str">
        <f t="shared" si="35"/>
        <v>Good</v>
      </c>
      <c r="T550" s="4">
        <f>Table1[[#This Row],[Deposit_Amount]]+Table1[[#This Row],[Withdrawal_Amount]]</f>
        <v>458347.22000000003</v>
      </c>
      <c r="U550" t="s">
        <v>274</v>
      </c>
    </row>
    <row r="551" spans="1:21" x14ac:dyDescent="0.3">
      <c r="A551">
        <v>550</v>
      </c>
      <c r="B551" t="s">
        <v>172</v>
      </c>
      <c r="C551" t="s">
        <v>16</v>
      </c>
      <c r="D551">
        <v>40</v>
      </c>
      <c r="E551" t="s">
        <v>44</v>
      </c>
      <c r="F551" s="4">
        <v>461074.77</v>
      </c>
      <c r="G551" t="str">
        <f t="shared" si="32"/>
        <v>High Income</v>
      </c>
      <c r="H551">
        <v>251598.54</v>
      </c>
      <c r="I551">
        <v>795</v>
      </c>
      <c r="J551" t="s">
        <v>38</v>
      </c>
      <c r="K551" t="s">
        <v>19</v>
      </c>
      <c r="L551">
        <v>337301.79</v>
      </c>
      <c r="M551">
        <v>37383.980000000003</v>
      </c>
      <c r="N551" t="s">
        <v>25</v>
      </c>
      <c r="O551" s="7">
        <f t="shared" ca="1" si="33"/>
        <v>45664</v>
      </c>
      <c r="P551" s="7">
        <v>45870</v>
      </c>
      <c r="Q551">
        <v>2</v>
      </c>
      <c r="R551" t="str">
        <f t="shared" si="34"/>
        <v>Low Risk</v>
      </c>
      <c r="S551" t="str">
        <f t="shared" si="35"/>
        <v>Good</v>
      </c>
      <c r="T551" s="4">
        <f>Table1[[#This Row],[Deposit_Amount]]+Table1[[#This Row],[Withdrawal_Amount]]</f>
        <v>712673.31</v>
      </c>
      <c r="U551" t="s">
        <v>274</v>
      </c>
    </row>
    <row r="552" spans="1:21" x14ac:dyDescent="0.3">
      <c r="A552">
        <v>551</v>
      </c>
      <c r="B552" t="s">
        <v>144</v>
      </c>
      <c r="C552" t="s">
        <v>16</v>
      </c>
      <c r="D552">
        <v>35</v>
      </c>
      <c r="E552" t="s">
        <v>17</v>
      </c>
      <c r="F552" s="4">
        <v>372189.5</v>
      </c>
      <c r="G552" t="str">
        <f t="shared" si="32"/>
        <v>High Income</v>
      </c>
      <c r="H552">
        <v>125890.65</v>
      </c>
      <c r="I552">
        <v>895</v>
      </c>
      <c r="J552" t="s">
        <v>38</v>
      </c>
      <c r="K552" t="s">
        <v>36</v>
      </c>
      <c r="L552">
        <v>406215.54</v>
      </c>
      <c r="M552">
        <v>226205.61</v>
      </c>
      <c r="N552" t="s">
        <v>28</v>
      </c>
      <c r="O552" s="7">
        <f t="shared" ca="1" si="33"/>
        <v>45902</v>
      </c>
      <c r="P552" s="7">
        <v>46019</v>
      </c>
      <c r="Q552">
        <v>5</v>
      </c>
      <c r="R552" t="str">
        <f t="shared" si="34"/>
        <v>Low Risk</v>
      </c>
      <c r="S552" t="str">
        <f t="shared" si="35"/>
        <v>Good</v>
      </c>
      <c r="T552" s="4">
        <f>Table1[[#This Row],[Deposit_Amount]]+Table1[[#This Row],[Withdrawal_Amount]]</f>
        <v>498080.15</v>
      </c>
      <c r="U552" t="s">
        <v>274</v>
      </c>
    </row>
    <row r="553" spans="1:21" x14ac:dyDescent="0.3">
      <c r="A553">
        <v>552</v>
      </c>
      <c r="B553" t="s">
        <v>37</v>
      </c>
      <c r="C553" t="s">
        <v>22</v>
      </c>
      <c r="D553">
        <v>52</v>
      </c>
      <c r="E553" t="s">
        <v>31</v>
      </c>
      <c r="F553" s="4">
        <v>230550.5</v>
      </c>
      <c r="G553" t="str">
        <f t="shared" si="32"/>
        <v>High Income</v>
      </c>
      <c r="H553">
        <v>128628.09</v>
      </c>
      <c r="I553">
        <v>649</v>
      </c>
      <c r="J553" t="s">
        <v>18</v>
      </c>
      <c r="K553" t="s">
        <v>36</v>
      </c>
      <c r="L553">
        <v>186892.67</v>
      </c>
      <c r="M553">
        <v>131706.82999999999</v>
      </c>
      <c r="N553" t="s">
        <v>25</v>
      </c>
      <c r="O553" s="7">
        <f t="shared" ca="1" si="33"/>
        <v>45818</v>
      </c>
      <c r="P553" s="7">
        <v>46007</v>
      </c>
      <c r="Q553">
        <v>4</v>
      </c>
      <c r="R553" t="str">
        <f t="shared" si="34"/>
        <v>Low Risk</v>
      </c>
      <c r="S553" t="str">
        <f t="shared" si="35"/>
        <v>Good</v>
      </c>
      <c r="T553" s="4">
        <f>Table1[[#This Row],[Deposit_Amount]]+Table1[[#This Row],[Withdrawal_Amount]]</f>
        <v>359178.58999999997</v>
      </c>
      <c r="U553" t="s">
        <v>274</v>
      </c>
    </row>
    <row r="554" spans="1:21" x14ac:dyDescent="0.3">
      <c r="A554">
        <v>553</v>
      </c>
      <c r="B554" t="s">
        <v>182</v>
      </c>
      <c r="C554" t="s">
        <v>16</v>
      </c>
      <c r="D554">
        <v>30</v>
      </c>
      <c r="E554" t="s">
        <v>31</v>
      </c>
      <c r="F554" s="4">
        <v>36616.019999999997</v>
      </c>
      <c r="G554" t="str">
        <f t="shared" si="32"/>
        <v>Low Income</v>
      </c>
      <c r="H554">
        <v>145995.12</v>
      </c>
      <c r="I554">
        <v>737</v>
      </c>
      <c r="J554" t="s">
        <v>32</v>
      </c>
      <c r="K554" t="s">
        <v>36</v>
      </c>
      <c r="L554">
        <v>-67327.41</v>
      </c>
      <c r="M554">
        <v>228075.89</v>
      </c>
      <c r="N554" t="s">
        <v>25</v>
      </c>
      <c r="O554" s="7">
        <f t="shared" ca="1" si="33"/>
        <v>45809</v>
      </c>
      <c r="P554" s="7">
        <v>45918</v>
      </c>
      <c r="Q554">
        <v>1</v>
      </c>
      <c r="R554" t="str">
        <f t="shared" si="34"/>
        <v>Low Risk</v>
      </c>
      <c r="S554" t="str">
        <f t="shared" si="35"/>
        <v>Good</v>
      </c>
      <c r="T554" s="4">
        <f>Table1[[#This Row],[Deposit_Amount]]+Table1[[#This Row],[Withdrawal_Amount]]</f>
        <v>182611.13999999998</v>
      </c>
      <c r="U554" t="s">
        <v>274</v>
      </c>
    </row>
    <row r="555" spans="1:21" x14ac:dyDescent="0.3">
      <c r="A555">
        <v>554</v>
      </c>
      <c r="B555" t="s">
        <v>103</v>
      </c>
      <c r="C555" t="s">
        <v>22</v>
      </c>
      <c r="D555">
        <v>68</v>
      </c>
      <c r="E555" t="s">
        <v>17</v>
      </c>
      <c r="F555" s="4">
        <v>36786.69</v>
      </c>
      <c r="G555" t="str">
        <f t="shared" si="32"/>
        <v>Low Income</v>
      </c>
      <c r="H555">
        <v>159465.48000000001</v>
      </c>
      <c r="I555">
        <v>414</v>
      </c>
      <c r="J555" t="s">
        <v>32</v>
      </c>
      <c r="K555" t="s">
        <v>59</v>
      </c>
      <c r="L555">
        <v>-35253.57</v>
      </c>
      <c r="M555">
        <v>130984.88</v>
      </c>
      <c r="N555" t="s">
        <v>25</v>
      </c>
      <c r="O555" s="7">
        <f t="shared" ca="1" si="33"/>
        <v>45746</v>
      </c>
      <c r="P555" s="7">
        <v>45808</v>
      </c>
      <c r="Q555">
        <v>4</v>
      </c>
      <c r="R555" t="str">
        <f t="shared" si="34"/>
        <v>Midum Risk</v>
      </c>
      <c r="S555" t="str">
        <f t="shared" si="35"/>
        <v xml:space="preserve">Midum </v>
      </c>
      <c r="T555" s="4">
        <f>Table1[[#This Row],[Deposit_Amount]]+Table1[[#This Row],[Withdrawal_Amount]]</f>
        <v>196252.17</v>
      </c>
      <c r="U555" t="s">
        <v>274</v>
      </c>
    </row>
    <row r="556" spans="1:21" x14ac:dyDescent="0.3">
      <c r="A556">
        <v>555</v>
      </c>
      <c r="B556" t="s">
        <v>150</v>
      </c>
      <c r="C556" t="s">
        <v>16</v>
      </c>
      <c r="D556">
        <v>44</v>
      </c>
      <c r="E556" t="s">
        <v>23</v>
      </c>
      <c r="F556" s="4">
        <v>338051.16</v>
      </c>
      <c r="G556" t="str">
        <f t="shared" si="32"/>
        <v>High Income</v>
      </c>
      <c r="H556">
        <v>132932.85</v>
      </c>
      <c r="I556">
        <v>696</v>
      </c>
      <c r="J556" t="s">
        <v>18</v>
      </c>
      <c r="K556" t="s">
        <v>36</v>
      </c>
      <c r="L556">
        <v>374922.65</v>
      </c>
      <c r="M556">
        <v>21061.69</v>
      </c>
      <c r="N556" t="s">
        <v>25</v>
      </c>
      <c r="O556" s="7">
        <f t="shared" ca="1" si="33"/>
        <v>45913</v>
      </c>
      <c r="P556" s="7">
        <v>45921</v>
      </c>
      <c r="Q556">
        <v>3</v>
      </c>
      <c r="R556" t="str">
        <f t="shared" si="34"/>
        <v>Low Risk</v>
      </c>
      <c r="S556" t="str">
        <f t="shared" si="35"/>
        <v>Good</v>
      </c>
      <c r="T556" s="4">
        <f>Table1[[#This Row],[Deposit_Amount]]+Table1[[#This Row],[Withdrawal_Amount]]</f>
        <v>470984.01</v>
      </c>
      <c r="U556" t="s">
        <v>274</v>
      </c>
    </row>
    <row r="557" spans="1:21" x14ac:dyDescent="0.3">
      <c r="A557">
        <v>556</v>
      </c>
      <c r="B557" t="s">
        <v>60</v>
      </c>
      <c r="C557" t="s">
        <v>22</v>
      </c>
      <c r="D557">
        <v>18</v>
      </c>
      <c r="E557" t="s">
        <v>40</v>
      </c>
      <c r="F557" s="4">
        <v>492572.51</v>
      </c>
      <c r="G557" t="str">
        <f t="shared" si="32"/>
        <v>High Income</v>
      </c>
      <c r="H557">
        <v>262720.03000000003</v>
      </c>
      <c r="I557">
        <v>825</v>
      </c>
      <c r="J557" t="s">
        <v>32</v>
      </c>
      <c r="K557" t="s">
        <v>59</v>
      </c>
      <c r="L557">
        <v>394276.61</v>
      </c>
      <c r="M557">
        <v>107845.74</v>
      </c>
      <c r="N557" t="s">
        <v>25</v>
      </c>
      <c r="O557" s="7">
        <f t="shared" ca="1" si="33"/>
        <v>45860</v>
      </c>
      <c r="P557" s="7">
        <v>45791</v>
      </c>
      <c r="Q557">
        <v>4</v>
      </c>
      <c r="R557" t="str">
        <f t="shared" si="34"/>
        <v>Low Risk</v>
      </c>
      <c r="S557" t="str">
        <f t="shared" si="35"/>
        <v>Good</v>
      </c>
      <c r="T557" s="4">
        <f>Table1[[#This Row],[Deposit_Amount]]+Table1[[#This Row],[Withdrawal_Amount]]</f>
        <v>755292.54</v>
      </c>
      <c r="U557" t="s">
        <v>274</v>
      </c>
    </row>
    <row r="558" spans="1:21" x14ac:dyDescent="0.3">
      <c r="A558">
        <v>557</v>
      </c>
      <c r="B558" t="s">
        <v>173</v>
      </c>
      <c r="C558" t="s">
        <v>16</v>
      </c>
      <c r="D558">
        <v>31</v>
      </c>
      <c r="E558" t="s">
        <v>35</v>
      </c>
      <c r="F558" s="4">
        <v>190096.74</v>
      </c>
      <c r="G558" t="str">
        <f t="shared" si="32"/>
        <v>Midum Income</v>
      </c>
      <c r="H558">
        <v>70658.16</v>
      </c>
      <c r="I558">
        <v>563</v>
      </c>
      <c r="J558" t="s">
        <v>38</v>
      </c>
      <c r="K558" t="s">
        <v>19</v>
      </c>
      <c r="L558">
        <v>303009.71000000002</v>
      </c>
      <c r="M558">
        <v>21517.53</v>
      </c>
      <c r="N558" t="s">
        <v>25</v>
      </c>
      <c r="O558" s="7">
        <f t="shared" ca="1" si="33"/>
        <v>45943</v>
      </c>
      <c r="P558" s="7">
        <v>45726</v>
      </c>
      <c r="Q558">
        <v>1</v>
      </c>
      <c r="R558" t="str">
        <f t="shared" si="34"/>
        <v>Midum Risk</v>
      </c>
      <c r="S558" t="str">
        <f t="shared" si="35"/>
        <v xml:space="preserve">Midum </v>
      </c>
      <c r="T558" s="4">
        <f>Table1[[#This Row],[Deposit_Amount]]+Table1[[#This Row],[Withdrawal_Amount]]</f>
        <v>260754.9</v>
      </c>
      <c r="U558" t="s">
        <v>274</v>
      </c>
    </row>
    <row r="559" spans="1:21" x14ac:dyDescent="0.3">
      <c r="A559">
        <v>558</v>
      </c>
      <c r="B559" t="s">
        <v>218</v>
      </c>
      <c r="C559" t="s">
        <v>22</v>
      </c>
      <c r="D559">
        <v>23</v>
      </c>
      <c r="E559" t="s">
        <v>17</v>
      </c>
      <c r="F559" s="4">
        <v>25350.58</v>
      </c>
      <c r="G559" t="str">
        <f t="shared" si="32"/>
        <v>Low Income</v>
      </c>
      <c r="H559">
        <v>211812.05</v>
      </c>
      <c r="I559">
        <v>526</v>
      </c>
      <c r="J559" t="s">
        <v>18</v>
      </c>
      <c r="K559" t="s">
        <v>42</v>
      </c>
      <c r="L559">
        <v>-155120.38</v>
      </c>
      <c r="M559">
        <v>20277.669999999998</v>
      </c>
      <c r="N559" t="s">
        <v>25</v>
      </c>
      <c r="O559" s="7">
        <f t="shared" ca="1" si="33"/>
        <v>46001</v>
      </c>
      <c r="P559" s="7">
        <v>45687</v>
      </c>
      <c r="Q559">
        <v>2</v>
      </c>
      <c r="R559" t="str">
        <f t="shared" si="34"/>
        <v>Midum Risk</v>
      </c>
      <c r="S559" t="str">
        <f t="shared" si="35"/>
        <v xml:space="preserve">Midum </v>
      </c>
      <c r="T559" s="4">
        <f>Table1[[#This Row],[Deposit_Amount]]+Table1[[#This Row],[Withdrawal_Amount]]</f>
        <v>237162.63</v>
      </c>
      <c r="U559" t="s">
        <v>274</v>
      </c>
    </row>
    <row r="560" spans="1:21" x14ac:dyDescent="0.3">
      <c r="A560">
        <v>559</v>
      </c>
      <c r="B560" t="s">
        <v>74</v>
      </c>
      <c r="C560" t="s">
        <v>22</v>
      </c>
      <c r="D560">
        <v>38</v>
      </c>
      <c r="E560" t="s">
        <v>17</v>
      </c>
      <c r="F560" s="4">
        <v>211946.34</v>
      </c>
      <c r="G560" t="str">
        <f t="shared" si="32"/>
        <v>High Income</v>
      </c>
      <c r="H560">
        <v>60294.1</v>
      </c>
      <c r="I560">
        <v>326</v>
      </c>
      <c r="J560" t="s">
        <v>41</v>
      </c>
      <c r="K560" t="s">
        <v>24</v>
      </c>
      <c r="L560">
        <v>187114.67</v>
      </c>
      <c r="M560">
        <v>79610.42</v>
      </c>
      <c r="N560" t="s">
        <v>20</v>
      </c>
      <c r="O560" s="7">
        <f t="shared" ca="1" si="33"/>
        <v>45998</v>
      </c>
      <c r="P560" s="7">
        <v>45744</v>
      </c>
      <c r="Q560">
        <v>5</v>
      </c>
      <c r="R560" t="str">
        <f t="shared" si="34"/>
        <v>High Risk</v>
      </c>
      <c r="S560" t="str">
        <f t="shared" si="35"/>
        <v>Poor</v>
      </c>
      <c r="T560" s="4">
        <f>Table1[[#This Row],[Deposit_Amount]]+Table1[[#This Row],[Withdrawal_Amount]]</f>
        <v>272240.44</v>
      </c>
      <c r="U560" t="s">
        <v>274</v>
      </c>
    </row>
    <row r="561" spans="1:21" x14ac:dyDescent="0.3">
      <c r="A561">
        <v>560</v>
      </c>
      <c r="B561" t="s">
        <v>82</v>
      </c>
      <c r="C561" t="s">
        <v>22</v>
      </c>
      <c r="D561">
        <v>50</v>
      </c>
      <c r="E561" t="s">
        <v>31</v>
      </c>
      <c r="F561" s="4">
        <v>30602.47</v>
      </c>
      <c r="G561" t="str">
        <f t="shared" si="32"/>
        <v>Low Income</v>
      </c>
      <c r="H561">
        <v>120565.79</v>
      </c>
      <c r="I561">
        <v>568</v>
      </c>
      <c r="J561" t="s">
        <v>18</v>
      </c>
      <c r="K561" t="s">
        <v>19</v>
      </c>
      <c r="L561">
        <v>-14030.41</v>
      </c>
      <c r="M561">
        <v>212760.67</v>
      </c>
      <c r="N561" t="s">
        <v>20</v>
      </c>
      <c r="O561" s="7">
        <f t="shared" ca="1" si="33"/>
        <v>45696</v>
      </c>
      <c r="P561" s="7">
        <v>45970</v>
      </c>
      <c r="Q561">
        <v>3</v>
      </c>
      <c r="R561" t="str">
        <f t="shared" si="34"/>
        <v>Midum Risk</v>
      </c>
      <c r="S561" t="str">
        <f t="shared" si="35"/>
        <v xml:space="preserve">Midum </v>
      </c>
      <c r="T561" s="4">
        <f>Table1[[#This Row],[Deposit_Amount]]+Table1[[#This Row],[Withdrawal_Amount]]</f>
        <v>151168.26</v>
      </c>
      <c r="U561" t="s">
        <v>274</v>
      </c>
    </row>
    <row r="562" spans="1:21" x14ac:dyDescent="0.3">
      <c r="A562">
        <v>561</v>
      </c>
      <c r="B562" t="s">
        <v>99</v>
      </c>
      <c r="C562" t="s">
        <v>16</v>
      </c>
      <c r="D562">
        <v>60</v>
      </c>
      <c r="E562" t="s">
        <v>31</v>
      </c>
      <c r="F562" s="4">
        <v>418094.56</v>
      </c>
      <c r="G562" t="str">
        <f t="shared" si="32"/>
        <v>High Income</v>
      </c>
      <c r="H562">
        <v>73807.12</v>
      </c>
      <c r="I562">
        <v>861</v>
      </c>
      <c r="J562" t="s">
        <v>27</v>
      </c>
      <c r="K562" t="s">
        <v>19</v>
      </c>
      <c r="L562">
        <v>522853.03</v>
      </c>
      <c r="M562">
        <v>137052.31</v>
      </c>
      <c r="N562" t="s">
        <v>20</v>
      </c>
      <c r="O562" s="7">
        <f t="shared" ca="1" si="33"/>
        <v>45787</v>
      </c>
      <c r="P562" s="7">
        <v>45839</v>
      </c>
      <c r="Q562">
        <v>3</v>
      </c>
      <c r="R562" t="str">
        <f t="shared" si="34"/>
        <v>Low Risk</v>
      </c>
      <c r="S562" t="str">
        <f t="shared" si="35"/>
        <v>Good</v>
      </c>
      <c r="T562" s="4">
        <f>Table1[[#This Row],[Deposit_Amount]]+Table1[[#This Row],[Withdrawal_Amount]]</f>
        <v>491901.68</v>
      </c>
      <c r="U562" t="s">
        <v>274</v>
      </c>
    </row>
    <row r="563" spans="1:21" x14ac:dyDescent="0.3">
      <c r="A563">
        <v>562</v>
      </c>
      <c r="B563" t="s">
        <v>57</v>
      </c>
      <c r="C563" t="s">
        <v>22</v>
      </c>
      <c r="D563">
        <v>69</v>
      </c>
      <c r="E563" t="s">
        <v>17</v>
      </c>
      <c r="F563" s="4">
        <v>423205.22</v>
      </c>
      <c r="G563" t="str">
        <f t="shared" si="32"/>
        <v>High Income</v>
      </c>
      <c r="H563">
        <v>102712.08</v>
      </c>
      <c r="I563">
        <v>406</v>
      </c>
      <c r="J563" t="s">
        <v>38</v>
      </c>
      <c r="K563" t="s">
        <v>19</v>
      </c>
      <c r="L563">
        <v>411916.13</v>
      </c>
      <c r="M563">
        <v>52584.46</v>
      </c>
      <c r="N563" t="s">
        <v>25</v>
      </c>
      <c r="O563" s="7">
        <f t="shared" ca="1" si="33"/>
        <v>45820</v>
      </c>
      <c r="P563" s="7">
        <v>45885</v>
      </c>
      <c r="Q563">
        <v>5</v>
      </c>
      <c r="R563" t="str">
        <f t="shared" si="34"/>
        <v>Midum Risk</v>
      </c>
      <c r="S563" t="str">
        <f t="shared" si="35"/>
        <v xml:space="preserve">Midum </v>
      </c>
      <c r="T563" s="4">
        <f>Table1[[#This Row],[Deposit_Amount]]+Table1[[#This Row],[Withdrawal_Amount]]</f>
        <v>525917.29999999993</v>
      </c>
      <c r="U563" t="s">
        <v>274</v>
      </c>
    </row>
    <row r="564" spans="1:21" x14ac:dyDescent="0.3">
      <c r="A564">
        <v>563</v>
      </c>
      <c r="B564" t="s">
        <v>175</v>
      </c>
      <c r="C564" t="s">
        <v>22</v>
      </c>
      <c r="D564">
        <v>46</v>
      </c>
      <c r="E564" t="s">
        <v>35</v>
      </c>
      <c r="F564" s="4">
        <v>89805.85</v>
      </c>
      <c r="G564" t="str">
        <f t="shared" si="32"/>
        <v>Low Income</v>
      </c>
      <c r="H564">
        <v>3448.71</v>
      </c>
      <c r="I564">
        <v>300</v>
      </c>
      <c r="J564" t="s">
        <v>27</v>
      </c>
      <c r="K564" t="s">
        <v>24</v>
      </c>
      <c r="L564">
        <v>207929.07</v>
      </c>
      <c r="M564">
        <v>85743.29</v>
      </c>
      <c r="N564" t="s">
        <v>25</v>
      </c>
      <c r="O564" s="7">
        <f t="shared" ca="1" si="33"/>
        <v>45836</v>
      </c>
      <c r="P564" s="7">
        <v>45889</v>
      </c>
      <c r="Q564">
        <v>4</v>
      </c>
      <c r="R564" t="str">
        <f t="shared" si="34"/>
        <v>High Risk</v>
      </c>
      <c r="S564" t="str">
        <f t="shared" si="35"/>
        <v>Poor</v>
      </c>
      <c r="T564" s="4">
        <f>Table1[[#This Row],[Deposit_Amount]]+Table1[[#This Row],[Withdrawal_Amount]]</f>
        <v>93254.560000000012</v>
      </c>
      <c r="U564" t="s">
        <v>274</v>
      </c>
    </row>
    <row r="565" spans="1:21" x14ac:dyDescent="0.3">
      <c r="A565">
        <v>564</v>
      </c>
      <c r="B565" t="s">
        <v>176</v>
      </c>
      <c r="C565" t="s">
        <v>16</v>
      </c>
      <c r="D565">
        <v>68</v>
      </c>
      <c r="E565" t="s">
        <v>35</v>
      </c>
      <c r="F565" s="4">
        <v>52243.199999999997</v>
      </c>
      <c r="G565" t="str">
        <f t="shared" si="32"/>
        <v>Low Income</v>
      </c>
      <c r="H565">
        <v>144893.01999999999</v>
      </c>
      <c r="I565">
        <v>691</v>
      </c>
      <c r="J565" t="s">
        <v>41</v>
      </c>
      <c r="K565" t="s">
        <v>24</v>
      </c>
      <c r="L565">
        <v>-70554.59</v>
      </c>
      <c r="M565">
        <v>167071.84</v>
      </c>
      <c r="N565" t="s">
        <v>25</v>
      </c>
      <c r="O565" s="7">
        <f t="shared" ca="1" si="33"/>
        <v>45976</v>
      </c>
      <c r="P565" s="7">
        <v>45826</v>
      </c>
      <c r="Q565">
        <v>4</v>
      </c>
      <c r="R565" t="str">
        <f t="shared" si="34"/>
        <v>Low Risk</v>
      </c>
      <c r="S565" t="str">
        <f t="shared" si="35"/>
        <v>Good</v>
      </c>
      <c r="T565" s="4">
        <f>Table1[[#This Row],[Deposit_Amount]]+Table1[[#This Row],[Withdrawal_Amount]]</f>
        <v>197136.21999999997</v>
      </c>
      <c r="U565" t="s">
        <v>274</v>
      </c>
    </row>
    <row r="566" spans="1:21" x14ac:dyDescent="0.3">
      <c r="A566">
        <v>565</v>
      </c>
      <c r="B566" t="s">
        <v>125</v>
      </c>
      <c r="C566" t="s">
        <v>16</v>
      </c>
      <c r="D566">
        <v>18</v>
      </c>
      <c r="E566" t="s">
        <v>35</v>
      </c>
      <c r="F566" s="4">
        <v>173347.53</v>
      </c>
      <c r="G566" t="str">
        <f t="shared" si="32"/>
        <v>Midum Income</v>
      </c>
      <c r="H566">
        <v>4461.2299999999996</v>
      </c>
      <c r="I566">
        <v>412</v>
      </c>
      <c r="J566" t="s">
        <v>27</v>
      </c>
      <c r="K566" t="s">
        <v>59</v>
      </c>
      <c r="L566">
        <v>187461.35</v>
      </c>
      <c r="M566">
        <v>22933.01</v>
      </c>
      <c r="N566" t="s">
        <v>25</v>
      </c>
      <c r="O566" s="7">
        <f t="shared" ca="1" si="33"/>
        <v>45981</v>
      </c>
      <c r="P566" s="7">
        <v>45736</v>
      </c>
      <c r="Q566">
        <v>1</v>
      </c>
      <c r="R566" t="str">
        <f t="shared" si="34"/>
        <v>Midum Risk</v>
      </c>
      <c r="S566" t="str">
        <f t="shared" si="35"/>
        <v xml:space="preserve">Midum </v>
      </c>
      <c r="T566" s="4">
        <f>Table1[[#This Row],[Deposit_Amount]]+Table1[[#This Row],[Withdrawal_Amount]]</f>
        <v>177808.76</v>
      </c>
      <c r="U566" t="s">
        <v>274</v>
      </c>
    </row>
    <row r="567" spans="1:21" x14ac:dyDescent="0.3">
      <c r="A567">
        <v>566</v>
      </c>
      <c r="B567" t="s">
        <v>201</v>
      </c>
      <c r="C567" t="s">
        <v>22</v>
      </c>
      <c r="D567">
        <v>49</v>
      </c>
      <c r="E567" t="s">
        <v>17</v>
      </c>
      <c r="F567" s="4">
        <v>428692.32</v>
      </c>
      <c r="G567" t="str">
        <f t="shared" si="32"/>
        <v>High Income</v>
      </c>
      <c r="H567">
        <v>198732.69</v>
      </c>
      <c r="I567">
        <v>592</v>
      </c>
      <c r="J567" t="s">
        <v>41</v>
      </c>
      <c r="K567" t="s">
        <v>24</v>
      </c>
      <c r="L567">
        <v>340320.39</v>
      </c>
      <c r="M567">
        <v>181333.46</v>
      </c>
      <c r="N567" t="s">
        <v>20</v>
      </c>
      <c r="O567" s="7">
        <f t="shared" ca="1" si="33"/>
        <v>45750</v>
      </c>
      <c r="P567" s="7">
        <v>45745</v>
      </c>
      <c r="Q567">
        <v>1</v>
      </c>
      <c r="R567" t="str">
        <f t="shared" si="34"/>
        <v>Midum Risk</v>
      </c>
      <c r="S567" t="str">
        <f t="shared" si="35"/>
        <v xml:space="preserve">Midum </v>
      </c>
      <c r="T567" s="4">
        <f>Table1[[#This Row],[Deposit_Amount]]+Table1[[#This Row],[Withdrawal_Amount]]</f>
        <v>627425.01</v>
      </c>
      <c r="U567" t="s">
        <v>274</v>
      </c>
    </row>
    <row r="568" spans="1:21" x14ac:dyDescent="0.3">
      <c r="A568">
        <v>567</v>
      </c>
      <c r="B568" t="s">
        <v>116</v>
      </c>
      <c r="C568" t="s">
        <v>16</v>
      </c>
      <c r="D568">
        <v>41</v>
      </c>
      <c r="E568" t="s">
        <v>35</v>
      </c>
      <c r="F568" s="4">
        <v>496133.16</v>
      </c>
      <c r="G568" t="str">
        <f t="shared" si="32"/>
        <v>High Income</v>
      </c>
      <c r="H568">
        <v>285617.03999999998</v>
      </c>
      <c r="I568">
        <v>636</v>
      </c>
      <c r="J568" t="s">
        <v>38</v>
      </c>
      <c r="K568" t="s">
        <v>24</v>
      </c>
      <c r="L568">
        <v>368266.27</v>
      </c>
      <c r="M568">
        <v>165680.42000000001</v>
      </c>
      <c r="N568" t="s">
        <v>20</v>
      </c>
      <c r="O568" s="7">
        <f t="shared" ca="1" si="33"/>
        <v>45890</v>
      </c>
      <c r="P568" s="7">
        <v>46003</v>
      </c>
      <c r="Q568">
        <v>1</v>
      </c>
      <c r="R568" t="str">
        <f t="shared" si="34"/>
        <v>Low Risk</v>
      </c>
      <c r="S568" t="str">
        <f t="shared" si="35"/>
        <v>Good</v>
      </c>
      <c r="T568" s="4">
        <f>Table1[[#This Row],[Deposit_Amount]]+Table1[[#This Row],[Withdrawal_Amount]]</f>
        <v>781750.2</v>
      </c>
      <c r="U568" t="s">
        <v>274</v>
      </c>
    </row>
    <row r="569" spans="1:21" x14ac:dyDescent="0.3">
      <c r="A569">
        <v>568</v>
      </c>
      <c r="B569" t="s">
        <v>155</v>
      </c>
      <c r="C569" t="s">
        <v>16</v>
      </c>
      <c r="D569">
        <v>54</v>
      </c>
      <c r="E569" t="s">
        <v>17</v>
      </c>
      <c r="F569" s="4">
        <v>427017.34</v>
      </c>
      <c r="G569" t="str">
        <f t="shared" si="32"/>
        <v>High Income</v>
      </c>
      <c r="H569">
        <v>287993.46000000002</v>
      </c>
      <c r="I569">
        <v>808</v>
      </c>
      <c r="J569" t="s">
        <v>32</v>
      </c>
      <c r="K569" t="s">
        <v>19</v>
      </c>
      <c r="L569">
        <v>257286.88</v>
      </c>
      <c r="M569">
        <v>84996.68</v>
      </c>
      <c r="N569" t="s">
        <v>28</v>
      </c>
      <c r="O569" s="7">
        <f t="shared" ca="1" si="33"/>
        <v>45703</v>
      </c>
      <c r="P569" s="7">
        <v>45731</v>
      </c>
      <c r="Q569">
        <v>5</v>
      </c>
      <c r="R569" t="str">
        <f t="shared" si="34"/>
        <v>Low Risk</v>
      </c>
      <c r="S569" t="str">
        <f t="shared" si="35"/>
        <v>Good</v>
      </c>
      <c r="T569" s="4">
        <f>Table1[[#This Row],[Deposit_Amount]]+Table1[[#This Row],[Withdrawal_Amount]]</f>
        <v>715010.8</v>
      </c>
      <c r="U569" t="s">
        <v>274</v>
      </c>
    </row>
    <row r="570" spans="1:21" x14ac:dyDescent="0.3">
      <c r="A570">
        <v>569</v>
      </c>
      <c r="B570" t="s">
        <v>171</v>
      </c>
      <c r="C570" t="s">
        <v>22</v>
      </c>
      <c r="D570">
        <v>58</v>
      </c>
      <c r="E570" t="s">
        <v>17</v>
      </c>
      <c r="F570" s="4">
        <v>71452.39</v>
      </c>
      <c r="G570" t="str">
        <f t="shared" si="32"/>
        <v>Low Income</v>
      </c>
      <c r="H570">
        <v>122607.01</v>
      </c>
      <c r="I570">
        <v>338</v>
      </c>
      <c r="J570" t="s">
        <v>27</v>
      </c>
      <c r="K570" t="s">
        <v>24</v>
      </c>
      <c r="L570">
        <v>31776.49</v>
      </c>
      <c r="M570">
        <v>241964.1</v>
      </c>
      <c r="N570" t="s">
        <v>28</v>
      </c>
      <c r="O570" s="7">
        <f t="shared" ca="1" si="33"/>
        <v>45688</v>
      </c>
      <c r="P570" s="7">
        <v>45670</v>
      </c>
      <c r="Q570">
        <v>2</v>
      </c>
      <c r="R570" t="str">
        <f t="shared" si="34"/>
        <v>High Risk</v>
      </c>
      <c r="S570" t="str">
        <f t="shared" si="35"/>
        <v>Poor</v>
      </c>
      <c r="T570" s="4">
        <f>Table1[[#This Row],[Deposit_Amount]]+Table1[[#This Row],[Withdrawal_Amount]]</f>
        <v>194059.4</v>
      </c>
      <c r="U570" t="s">
        <v>274</v>
      </c>
    </row>
    <row r="571" spans="1:21" x14ac:dyDescent="0.3">
      <c r="A571">
        <v>570</v>
      </c>
      <c r="B571" t="s">
        <v>47</v>
      </c>
      <c r="C571" t="s">
        <v>16</v>
      </c>
      <c r="D571">
        <v>62</v>
      </c>
      <c r="E571" t="s">
        <v>23</v>
      </c>
      <c r="F571" s="4">
        <v>197153.8</v>
      </c>
      <c r="G571" t="str">
        <f t="shared" si="32"/>
        <v>Midum Income</v>
      </c>
      <c r="H571">
        <v>186608.41</v>
      </c>
      <c r="I571">
        <v>303</v>
      </c>
      <c r="J571" t="s">
        <v>27</v>
      </c>
      <c r="K571" t="s">
        <v>24</v>
      </c>
      <c r="L571">
        <v>159524.26</v>
      </c>
      <c r="M571">
        <v>26203.439999999999</v>
      </c>
      <c r="N571" t="s">
        <v>20</v>
      </c>
      <c r="O571" s="7">
        <f t="shared" ca="1" si="33"/>
        <v>46007</v>
      </c>
      <c r="P571" s="7">
        <v>45995</v>
      </c>
      <c r="Q571">
        <v>5</v>
      </c>
      <c r="R571" t="str">
        <f t="shared" si="34"/>
        <v>High Risk</v>
      </c>
      <c r="S571" t="str">
        <f t="shared" si="35"/>
        <v>Poor</v>
      </c>
      <c r="T571" s="4">
        <f>Table1[[#This Row],[Deposit_Amount]]+Table1[[#This Row],[Withdrawal_Amount]]</f>
        <v>383762.20999999996</v>
      </c>
      <c r="U571" t="s">
        <v>274</v>
      </c>
    </row>
    <row r="572" spans="1:21" x14ac:dyDescent="0.3">
      <c r="A572">
        <v>571</v>
      </c>
      <c r="B572" t="s">
        <v>109</v>
      </c>
      <c r="C572" t="s">
        <v>22</v>
      </c>
      <c r="D572">
        <v>55</v>
      </c>
      <c r="E572" t="s">
        <v>44</v>
      </c>
      <c r="F572" s="4">
        <v>129179.03</v>
      </c>
      <c r="G572" t="str">
        <f t="shared" si="32"/>
        <v>Midum Income</v>
      </c>
      <c r="H572">
        <v>246114.16</v>
      </c>
      <c r="I572">
        <v>623</v>
      </c>
      <c r="J572" t="s">
        <v>18</v>
      </c>
      <c r="K572" t="s">
        <v>24</v>
      </c>
      <c r="L572">
        <v>-52030.82</v>
      </c>
      <c r="M572">
        <v>25497.06</v>
      </c>
      <c r="N572" t="s">
        <v>28</v>
      </c>
      <c r="O572" s="7">
        <f t="shared" ca="1" si="33"/>
        <v>45794</v>
      </c>
      <c r="P572" s="7">
        <v>45727</v>
      </c>
      <c r="Q572">
        <v>5</v>
      </c>
      <c r="R572" t="str">
        <f t="shared" si="34"/>
        <v>Low Risk</v>
      </c>
      <c r="S572" t="str">
        <f t="shared" si="35"/>
        <v>Good</v>
      </c>
      <c r="T572" s="4">
        <f>Table1[[#This Row],[Deposit_Amount]]+Table1[[#This Row],[Withdrawal_Amount]]</f>
        <v>375293.19</v>
      </c>
      <c r="U572" t="s">
        <v>274</v>
      </c>
    </row>
    <row r="573" spans="1:21" x14ac:dyDescent="0.3">
      <c r="A573">
        <v>572</v>
      </c>
      <c r="B573" t="s">
        <v>147</v>
      </c>
      <c r="C573" t="s">
        <v>16</v>
      </c>
      <c r="D573">
        <v>63</v>
      </c>
      <c r="E573" t="s">
        <v>40</v>
      </c>
      <c r="F573" s="4">
        <v>200063</v>
      </c>
      <c r="G573" t="str">
        <f t="shared" si="32"/>
        <v>High Income</v>
      </c>
      <c r="H573">
        <v>85412.28</v>
      </c>
      <c r="I573">
        <v>502</v>
      </c>
      <c r="J573" t="s">
        <v>32</v>
      </c>
      <c r="K573" t="s">
        <v>59</v>
      </c>
      <c r="L573">
        <v>246450.64</v>
      </c>
      <c r="M573">
        <v>97023.66</v>
      </c>
      <c r="N573" t="s">
        <v>28</v>
      </c>
      <c r="O573" s="7">
        <f t="shared" ca="1" si="33"/>
        <v>45696</v>
      </c>
      <c r="P573" s="7">
        <v>45999</v>
      </c>
      <c r="Q573">
        <v>4</v>
      </c>
      <c r="R573" t="str">
        <f t="shared" si="34"/>
        <v>Midum Risk</v>
      </c>
      <c r="S573" t="str">
        <f t="shared" si="35"/>
        <v xml:space="preserve">Midum </v>
      </c>
      <c r="T573" s="4">
        <f>Table1[[#This Row],[Deposit_Amount]]+Table1[[#This Row],[Withdrawal_Amount]]</f>
        <v>285475.28000000003</v>
      </c>
      <c r="U573" t="s">
        <v>274</v>
      </c>
    </row>
    <row r="574" spans="1:21" x14ac:dyDescent="0.3">
      <c r="A574">
        <v>573</v>
      </c>
      <c r="B574" t="s">
        <v>74</v>
      </c>
      <c r="C574" t="s">
        <v>22</v>
      </c>
      <c r="D574">
        <v>45</v>
      </c>
      <c r="E574" t="s">
        <v>35</v>
      </c>
      <c r="F574" s="4">
        <v>158232.82999999999</v>
      </c>
      <c r="G574" t="str">
        <f t="shared" si="32"/>
        <v>Midum Income</v>
      </c>
      <c r="H574">
        <v>63584.51</v>
      </c>
      <c r="I574">
        <v>443</v>
      </c>
      <c r="J574" t="s">
        <v>27</v>
      </c>
      <c r="K574" t="s">
        <v>36</v>
      </c>
      <c r="L574">
        <v>217449.92</v>
      </c>
      <c r="M574">
        <v>168799.07</v>
      </c>
      <c r="N574" t="s">
        <v>25</v>
      </c>
      <c r="O574" s="7">
        <f t="shared" ca="1" si="33"/>
        <v>45920</v>
      </c>
      <c r="P574" s="7">
        <v>45916</v>
      </c>
      <c r="Q574">
        <v>5</v>
      </c>
      <c r="R574" t="str">
        <f t="shared" si="34"/>
        <v>Midum Risk</v>
      </c>
      <c r="S574" t="str">
        <f t="shared" si="35"/>
        <v xml:space="preserve">Midum </v>
      </c>
      <c r="T574" s="4">
        <f>Table1[[#This Row],[Deposit_Amount]]+Table1[[#This Row],[Withdrawal_Amount]]</f>
        <v>221817.34</v>
      </c>
      <c r="U574" t="s">
        <v>274</v>
      </c>
    </row>
    <row r="575" spans="1:21" x14ac:dyDescent="0.3">
      <c r="A575">
        <v>574</v>
      </c>
      <c r="B575" t="s">
        <v>148</v>
      </c>
      <c r="C575" t="s">
        <v>16</v>
      </c>
      <c r="D575">
        <v>40</v>
      </c>
      <c r="E575" t="s">
        <v>35</v>
      </c>
      <c r="F575" s="4">
        <v>469624.94</v>
      </c>
      <c r="G575" t="str">
        <f t="shared" si="32"/>
        <v>High Income</v>
      </c>
      <c r="H575">
        <v>283217.06</v>
      </c>
      <c r="I575">
        <v>501</v>
      </c>
      <c r="J575" t="s">
        <v>27</v>
      </c>
      <c r="K575" t="s">
        <v>24</v>
      </c>
      <c r="L575">
        <v>209489.74</v>
      </c>
      <c r="M575">
        <v>80688.69</v>
      </c>
      <c r="N575" t="s">
        <v>25</v>
      </c>
      <c r="O575" s="7">
        <f t="shared" ca="1" si="33"/>
        <v>45891</v>
      </c>
      <c r="P575" s="7">
        <v>45973</v>
      </c>
      <c r="Q575">
        <v>5</v>
      </c>
      <c r="R575" t="str">
        <f t="shared" si="34"/>
        <v>Midum Risk</v>
      </c>
      <c r="S575" t="str">
        <f t="shared" si="35"/>
        <v xml:space="preserve">Midum </v>
      </c>
      <c r="T575" s="4">
        <f>Table1[[#This Row],[Deposit_Amount]]+Table1[[#This Row],[Withdrawal_Amount]]</f>
        <v>752842</v>
      </c>
      <c r="U575" t="s">
        <v>274</v>
      </c>
    </row>
    <row r="576" spans="1:21" x14ac:dyDescent="0.3">
      <c r="A576">
        <v>575</v>
      </c>
      <c r="B576" t="s">
        <v>87</v>
      </c>
      <c r="C576" t="s">
        <v>16</v>
      </c>
      <c r="D576">
        <v>47</v>
      </c>
      <c r="E576" t="s">
        <v>23</v>
      </c>
      <c r="F576" s="4">
        <v>376001.09</v>
      </c>
      <c r="G576" t="str">
        <f t="shared" si="32"/>
        <v>High Income</v>
      </c>
      <c r="H576">
        <v>120583.61</v>
      </c>
      <c r="I576">
        <v>475</v>
      </c>
      <c r="J576" t="s">
        <v>18</v>
      </c>
      <c r="K576" t="s">
        <v>19</v>
      </c>
      <c r="L576">
        <v>443956.83</v>
      </c>
      <c r="M576">
        <v>97927.35</v>
      </c>
      <c r="N576" t="s">
        <v>28</v>
      </c>
      <c r="O576" s="7">
        <f t="shared" ca="1" si="33"/>
        <v>45843</v>
      </c>
      <c r="P576" s="7">
        <v>45885</v>
      </c>
      <c r="Q576">
        <v>4</v>
      </c>
      <c r="R576" t="str">
        <f t="shared" si="34"/>
        <v>Midum Risk</v>
      </c>
      <c r="S576" t="str">
        <f t="shared" si="35"/>
        <v xml:space="preserve">Midum </v>
      </c>
      <c r="T576" s="4">
        <f>Table1[[#This Row],[Deposit_Amount]]+Table1[[#This Row],[Withdrawal_Amount]]</f>
        <v>496584.7</v>
      </c>
      <c r="U576" t="s">
        <v>274</v>
      </c>
    </row>
    <row r="577" spans="1:21" x14ac:dyDescent="0.3">
      <c r="A577">
        <v>576</v>
      </c>
      <c r="B577" t="s">
        <v>134</v>
      </c>
      <c r="C577" t="s">
        <v>16</v>
      </c>
      <c r="D577">
        <v>41</v>
      </c>
      <c r="E577" t="s">
        <v>35</v>
      </c>
      <c r="F577" s="4">
        <v>203444.61</v>
      </c>
      <c r="G577" t="str">
        <f t="shared" si="32"/>
        <v>High Income</v>
      </c>
      <c r="H577">
        <v>141912.32999999999</v>
      </c>
      <c r="I577">
        <v>305</v>
      </c>
      <c r="J577" t="s">
        <v>41</v>
      </c>
      <c r="K577" t="s">
        <v>19</v>
      </c>
      <c r="L577">
        <v>229750.6</v>
      </c>
      <c r="M577">
        <v>111467.87</v>
      </c>
      <c r="N577" t="s">
        <v>28</v>
      </c>
      <c r="O577" s="7">
        <f t="shared" ca="1" si="33"/>
        <v>45993</v>
      </c>
      <c r="P577" s="7">
        <v>45967</v>
      </c>
      <c r="Q577">
        <v>3</v>
      </c>
      <c r="R577" t="str">
        <f t="shared" si="34"/>
        <v>High Risk</v>
      </c>
      <c r="S577" t="str">
        <f t="shared" si="35"/>
        <v>Poor</v>
      </c>
      <c r="T577" s="4">
        <f>Table1[[#This Row],[Deposit_Amount]]+Table1[[#This Row],[Withdrawal_Amount]]</f>
        <v>345356.93999999994</v>
      </c>
      <c r="U577" t="s">
        <v>274</v>
      </c>
    </row>
    <row r="578" spans="1:21" x14ac:dyDescent="0.3">
      <c r="A578">
        <v>577</v>
      </c>
      <c r="B578" t="s">
        <v>215</v>
      </c>
      <c r="C578" t="s">
        <v>16</v>
      </c>
      <c r="D578">
        <v>62</v>
      </c>
      <c r="E578" t="s">
        <v>23</v>
      </c>
      <c r="F578" s="4">
        <v>77659.14</v>
      </c>
      <c r="G578" t="str">
        <f t="shared" ref="G578:G641" si="36">IF(F578&lt;=100000,"Low Income",IF(F578&lt;=200000,"Midum Income","High Income"))</f>
        <v>Low Income</v>
      </c>
      <c r="H578">
        <v>49991.18</v>
      </c>
      <c r="I578">
        <v>301</v>
      </c>
      <c r="J578" t="s">
        <v>18</v>
      </c>
      <c r="K578" t="s">
        <v>19</v>
      </c>
      <c r="L578">
        <v>224199.7</v>
      </c>
      <c r="M578">
        <v>225166.13</v>
      </c>
      <c r="N578" t="s">
        <v>25</v>
      </c>
      <c r="O578" s="7">
        <f t="shared" ref="O578:O641" ca="1" si="37">RANDBETWEEN(DATE(2025,1,1),DATE(2025,12,31))</f>
        <v>45737</v>
      </c>
      <c r="P578" s="7">
        <v>45688</v>
      </c>
      <c r="Q578">
        <v>2</v>
      </c>
      <c r="R578" t="str">
        <f t="shared" ref="R578:R641" si="38">IF(I578&lt;=400,"High Risk",IF(I578&lt;=600,"Midum Risk","Low Risk"))</f>
        <v>High Risk</v>
      </c>
      <c r="S578" t="str">
        <f t="shared" ref="S578:S641" si="39">IF(I578&lt;=400,"Poor",IF(I578&lt;=600,"Midum ","Good"))</f>
        <v>Poor</v>
      </c>
      <c r="T578" s="4">
        <f>Table1[[#This Row],[Deposit_Amount]]+Table1[[#This Row],[Withdrawal_Amount]]</f>
        <v>127650.32</v>
      </c>
      <c r="U578" t="s">
        <v>274</v>
      </c>
    </row>
    <row r="579" spans="1:21" x14ac:dyDescent="0.3">
      <c r="A579">
        <v>578</v>
      </c>
      <c r="B579" t="s">
        <v>48</v>
      </c>
      <c r="C579" t="s">
        <v>22</v>
      </c>
      <c r="D579">
        <v>25</v>
      </c>
      <c r="E579" t="s">
        <v>35</v>
      </c>
      <c r="F579" s="4">
        <v>184873.89</v>
      </c>
      <c r="G579" t="str">
        <f t="shared" si="36"/>
        <v>Midum Income</v>
      </c>
      <c r="H579">
        <v>168400.18</v>
      </c>
      <c r="I579">
        <v>325</v>
      </c>
      <c r="J579" t="s">
        <v>18</v>
      </c>
      <c r="K579" t="s">
        <v>36</v>
      </c>
      <c r="L579">
        <v>92497.74</v>
      </c>
      <c r="M579">
        <v>47570.6</v>
      </c>
      <c r="N579" t="s">
        <v>20</v>
      </c>
      <c r="O579" s="7">
        <f t="shared" ca="1" si="37"/>
        <v>45746</v>
      </c>
      <c r="P579" s="7">
        <v>45752</v>
      </c>
      <c r="Q579">
        <v>4</v>
      </c>
      <c r="R579" t="str">
        <f t="shared" si="38"/>
        <v>High Risk</v>
      </c>
      <c r="S579" t="str">
        <f t="shared" si="39"/>
        <v>Poor</v>
      </c>
      <c r="T579" s="4">
        <f>Table1[[#This Row],[Deposit_Amount]]+Table1[[#This Row],[Withdrawal_Amount]]</f>
        <v>353274.07</v>
      </c>
      <c r="U579" t="s">
        <v>274</v>
      </c>
    </row>
    <row r="580" spans="1:21" x14ac:dyDescent="0.3">
      <c r="A580">
        <v>579</v>
      </c>
      <c r="B580" t="s">
        <v>219</v>
      </c>
      <c r="C580" t="s">
        <v>22</v>
      </c>
      <c r="D580">
        <v>32</v>
      </c>
      <c r="E580" t="s">
        <v>23</v>
      </c>
      <c r="F580" s="4">
        <v>96798.080000000002</v>
      </c>
      <c r="G580" t="str">
        <f t="shared" si="36"/>
        <v>Low Income</v>
      </c>
      <c r="H580">
        <v>256522.33</v>
      </c>
      <c r="I580">
        <v>760</v>
      </c>
      <c r="J580" t="s">
        <v>18</v>
      </c>
      <c r="K580" t="s">
        <v>42</v>
      </c>
      <c r="L580">
        <v>-66167.66</v>
      </c>
      <c r="M580">
        <v>227813.99</v>
      </c>
      <c r="N580" t="s">
        <v>20</v>
      </c>
      <c r="O580" s="7">
        <f t="shared" ca="1" si="37"/>
        <v>45923</v>
      </c>
      <c r="P580" s="7">
        <v>45829</v>
      </c>
      <c r="Q580">
        <v>2</v>
      </c>
      <c r="R580" t="str">
        <f t="shared" si="38"/>
        <v>Low Risk</v>
      </c>
      <c r="S580" t="str">
        <f t="shared" si="39"/>
        <v>Good</v>
      </c>
      <c r="T580" s="4">
        <f>Table1[[#This Row],[Deposit_Amount]]+Table1[[#This Row],[Withdrawal_Amount]]</f>
        <v>353320.41</v>
      </c>
      <c r="U580" t="s">
        <v>274</v>
      </c>
    </row>
    <row r="581" spans="1:21" x14ac:dyDescent="0.3">
      <c r="A581">
        <v>580</v>
      </c>
      <c r="B581" t="s">
        <v>220</v>
      </c>
      <c r="C581" t="s">
        <v>16</v>
      </c>
      <c r="D581">
        <v>29</v>
      </c>
      <c r="E581" t="s">
        <v>40</v>
      </c>
      <c r="F581" s="4">
        <v>157711.76</v>
      </c>
      <c r="G581" t="str">
        <f t="shared" si="36"/>
        <v>Midum Income</v>
      </c>
      <c r="H581">
        <v>232846.92</v>
      </c>
      <c r="I581">
        <v>662</v>
      </c>
      <c r="J581" t="s">
        <v>18</v>
      </c>
      <c r="K581" t="s">
        <v>19</v>
      </c>
      <c r="L581">
        <v>15153.08</v>
      </c>
      <c r="M581">
        <v>62825.69</v>
      </c>
      <c r="N581" t="s">
        <v>25</v>
      </c>
      <c r="O581" s="7">
        <f t="shared" ca="1" si="37"/>
        <v>45939</v>
      </c>
      <c r="P581" s="7">
        <v>45717</v>
      </c>
      <c r="Q581">
        <v>2</v>
      </c>
      <c r="R581" t="str">
        <f t="shared" si="38"/>
        <v>Low Risk</v>
      </c>
      <c r="S581" t="str">
        <f t="shared" si="39"/>
        <v>Good</v>
      </c>
      <c r="T581" s="4">
        <f>Table1[[#This Row],[Deposit_Amount]]+Table1[[#This Row],[Withdrawal_Amount]]</f>
        <v>390558.68000000005</v>
      </c>
      <c r="U581" t="s">
        <v>274</v>
      </c>
    </row>
    <row r="582" spans="1:21" x14ac:dyDescent="0.3">
      <c r="A582">
        <v>581</v>
      </c>
      <c r="B582" t="s">
        <v>135</v>
      </c>
      <c r="C582" t="s">
        <v>22</v>
      </c>
      <c r="D582">
        <v>64</v>
      </c>
      <c r="E582" t="s">
        <v>44</v>
      </c>
      <c r="F582" s="4">
        <v>195443.45</v>
      </c>
      <c r="G582" t="str">
        <f t="shared" si="36"/>
        <v>Midum Income</v>
      </c>
      <c r="H582">
        <v>109699.46</v>
      </c>
      <c r="I582">
        <v>804</v>
      </c>
      <c r="J582" t="s">
        <v>18</v>
      </c>
      <c r="K582" t="s">
        <v>19</v>
      </c>
      <c r="L582">
        <v>106743.74</v>
      </c>
      <c r="M582">
        <v>153444.24</v>
      </c>
      <c r="N582" t="s">
        <v>28</v>
      </c>
      <c r="O582" s="7">
        <f t="shared" ca="1" si="37"/>
        <v>45691</v>
      </c>
      <c r="P582" s="7">
        <v>45658</v>
      </c>
      <c r="Q582">
        <v>3</v>
      </c>
      <c r="R582" t="str">
        <f t="shared" si="38"/>
        <v>Low Risk</v>
      </c>
      <c r="S582" t="str">
        <f t="shared" si="39"/>
        <v>Good</v>
      </c>
      <c r="T582" s="4">
        <f>Table1[[#This Row],[Deposit_Amount]]+Table1[[#This Row],[Withdrawal_Amount]]</f>
        <v>305142.91000000003</v>
      </c>
      <c r="U582" t="s">
        <v>274</v>
      </c>
    </row>
    <row r="583" spans="1:21" x14ac:dyDescent="0.3">
      <c r="A583">
        <v>582</v>
      </c>
      <c r="B583" t="s">
        <v>60</v>
      </c>
      <c r="C583" t="s">
        <v>22</v>
      </c>
      <c r="D583">
        <v>56</v>
      </c>
      <c r="E583" t="s">
        <v>40</v>
      </c>
      <c r="F583" s="4">
        <v>453760.92</v>
      </c>
      <c r="G583" t="str">
        <f t="shared" si="36"/>
        <v>High Income</v>
      </c>
      <c r="H583">
        <v>222015.71</v>
      </c>
      <c r="I583">
        <v>303</v>
      </c>
      <c r="J583" t="s">
        <v>18</v>
      </c>
      <c r="K583" t="s">
        <v>59</v>
      </c>
      <c r="L583">
        <v>327470.02</v>
      </c>
      <c r="M583">
        <v>143079.25</v>
      </c>
      <c r="N583" t="s">
        <v>28</v>
      </c>
      <c r="O583" s="7">
        <f t="shared" ca="1" si="37"/>
        <v>45666</v>
      </c>
      <c r="P583" s="7">
        <v>45858</v>
      </c>
      <c r="Q583">
        <v>1</v>
      </c>
      <c r="R583" t="str">
        <f t="shared" si="38"/>
        <v>High Risk</v>
      </c>
      <c r="S583" t="str">
        <f t="shared" si="39"/>
        <v>Poor</v>
      </c>
      <c r="T583" s="4">
        <f>Table1[[#This Row],[Deposit_Amount]]+Table1[[#This Row],[Withdrawal_Amount]]</f>
        <v>675776.63</v>
      </c>
      <c r="U583" t="s">
        <v>274</v>
      </c>
    </row>
    <row r="584" spans="1:21" x14ac:dyDescent="0.3">
      <c r="A584">
        <v>583</v>
      </c>
      <c r="B584" t="s">
        <v>34</v>
      </c>
      <c r="C584" t="s">
        <v>16</v>
      </c>
      <c r="D584">
        <v>50</v>
      </c>
      <c r="E584" t="s">
        <v>44</v>
      </c>
      <c r="F584" s="4">
        <v>67604.84</v>
      </c>
      <c r="G584" t="str">
        <f t="shared" si="36"/>
        <v>Low Income</v>
      </c>
      <c r="H584">
        <v>93362.7</v>
      </c>
      <c r="I584">
        <v>409</v>
      </c>
      <c r="J584" t="s">
        <v>32</v>
      </c>
      <c r="K584" t="s">
        <v>24</v>
      </c>
      <c r="L584">
        <v>116007.49</v>
      </c>
      <c r="M584">
        <v>118721.65</v>
      </c>
      <c r="N584" t="s">
        <v>28</v>
      </c>
      <c r="O584" s="7">
        <f t="shared" ca="1" si="37"/>
        <v>45845</v>
      </c>
      <c r="P584" s="7">
        <v>45874</v>
      </c>
      <c r="Q584">
        <v>2</v>
      </c>
      <c r="R584" t="str">
        <f t="shared" si="38"/>
        <v>Midum Risk</v>
      </c>
      <c r="S584" t="str">
        <f t="shared" si="39"/>
        <v xml:space="preserve">Midum </v>
      </c>
      <c r="T584" s="4">
        <f>Table1[[#This Row],[Deposit_Amount]]+Table1[[#This Row],[Withdrawal_Amount]]</f>
        <v>160967.53999999998</v>
      </c>
      <c r="U584" t="s">
        <v>274</v>
      </c>
    </row>
    <row r="585" spans="1:21" x14ac:dyDescent="0.3">
      <c r="A585">
        <v>584</v>
      </c>
      <c r="B585" t="s">
        <v>193</v>
      </c>
      <c r="C585" t="s">
        <v>16</v>
      </c>
      <c r="D585">
        <v>32</v>
      </c>
      <c r="E585" t="s">
        <v>35</v>
      </c>
      <c r="F585" s="4">
        <v>383175.18</v>
      </c>
      <c r="G585" t="str">
        <f t="shared" si="36"/>
        <v>High Income</v>
      </c>
      <c r="H585">
        <v>261909.84</v>
      </c>
      <c r="I585">
        <v>429</v>
      </c>
      <c r="J585" t="s">
        <v>18</v>
      </c>
      <c r="K585" t="s">
        <v>42</v>
      </c>
      <c r="L585">
        <v>142650.91</v>
      </c>
      <c r="M585">
        <v>60523.55</v>
      </c>
      <c r="N585" t="s">
        <v>20</v>
      </c>
      <c r="O585" s="7">
        <f t="shared" ca="1" si="37"/>
        <v>45903</v>
      </c>
      <c r="P585" s="7">
        <v>45794</v>
      </c>
      <c r="Q585">
        <v>5</v>
      </c>
      <c r="R585" t="str">
        <f t="shared" si="38"/>
        <v>Midum Risk</v>
      </c>
      <c r="S585" t="str">
        <f t="shared" si="39"/>
        <v xml:space="preserve">Midum </v>
      </c>
      <c r="T585" s="4">
        <f>Table1[[#This Row],[Deposit_Amount]]+Table1[[#This Row],[Withdrawal_Amount]]</f>
        <v>645085.02</v>
      </c>
      <c r="U585" t="s">
        <v>274</v>
      </c>
    </row>
    <row r="586" spans="1:21" x14ac:dyDescent="0.3">
      <c r="A586">
        <v>585</v>
      </c>
      <c r="B586" t="s">
        <v>122</v>
      </c>
      <c r="C586" t="s">
        <v>16</v>
      </c>
      <c r="D586">
        <v>61</v>
      </c>
      <c r="E586" t="s">
        <v>23</v>
      </c>
      <c r="F586" s="4">
        <v>143692.88</v>
      </c>
      <c r="G586" t="str">
        <f t="shared" si="36"/>
        <v>Midum Income</v>
      </c>
      <c r="H586">
        <v>105761.61</v>
      </c>
      <c r="I586">
        <v>622</v>
      </c>
      <c r="J586" t="s">
        <v>41</v>
      </c>
      <c r="K586" t="s">
        <v>59</v>
      </c>
      <c r="L586">
        <v>60273.11</v>
      </c>
      <c r="M586">
        <v>206555.66</v>
      </c>
      <c r="N586" t="s">
        <v>25</v>
      </c>
      <c r="O586" s="7">
        <f t="shared" ca="1" si="37"/>
        <v>45906</v>
      </c>
      <c r="P586" s="7">
        <v>45739</v>
      </c>
      <c r="Q586">
        <v>1</v>
      </c>
      <c r="R586" t="str">
        <f t="shared" si="38"/>
        <v>Low Risk</v>
      </c>
      <c r="S586" t="str">
        <f t="shared" si="39"/>
        <v>Good</v>
      </c>
      <c r="T586" s="4">
        <f>Table1[[#This Row],[Deposit_Amount]]+Table1[[#This Row],[Withdrawal_Amount]]</f>
        <v>249454.49</v>
      </c>
      <c r="U586" t="s">
        <v>274</v>
      </c>
    </row>
    <row r="587" spans="1:21" x14ac:dyDescent="0.3">
      <c r="A587">
        <v>586</v>
      </c>
      <c r="B587" t="s">
        <v>221</v>
      </c>
      <c r="C587" t="s">
        <v>16</v>
      </c>
      <c r="D587">
        <v>62</v>
      </c>
      <c r="E587" t="s">
        <v>17</v>
      </c>
      <c r="F587" s="4">
        <v>347243.97</v>
      </c>
      <c r="G587" t="str">
        <f t="shared" si="36"/>
        <v>High Income</v>
      </c>
      <c r="H587">
        <v>136214.59</v>
      </c>
      <c r="I587">
        <v>427</v>
      </c>
      <c r="J587" t="s">
        <v>27</v>
      </c>
      <c r="K587" t="s">
        <v>19</v>
      </c>
      <c r="L587">
        <v>230536.36</v>
      </c>
      <c r="M587">
        <v>182110.14</v>
      </c>
      <c r="N587" t="s">
        <v>25</v>
      </c>
      <c r="O587" s="7">
        <f t="shared" ca="1" si="37"/>
        <v>45937</v>
      </c>
      <c r="P587" s="7">
        <v>45700</v>
      </c>
      <c r="Q587">
        <v>1</v>
      </c>
      <c r="R587" t="str">
        <f t="shared" si="38"/>
        <v>Midum Risk</v>
      </c>
      <c r="S587" t="str">
        <f t="shared" si="39"/>
        <v xml:space="preserve">Midum </v>
      </c>
      <c r="T587" s="4">
        <f>Table1[[#This Row],[Deposit_Amount]]+Table1[[#This Row],[Withdrawal_Amount]]</f>
        <v>483458.55999999994</v>
      </c>
      <c r="U587" t="s">
        <v>274</v>
      </c>
    </row>
    <row r="588" spans="1:21" x14ac:dyDescent="0.3">
      <c r="A588">
        <v>587</v>
      </c>
      <c r="B588" t="s">
        <v>77</v>
      </c>
      <c r="C588" t="s">
        <v>22</v>
      </c>
      <c r="D588">
        <v>37</v>
      </c>
      <c r="E588" t="s">
        <v>23</v>
      </c>
      <c r="F588" s="4">
        <v>423336</v>
      </c>
      <c r="G588" t="str">
        <f t="shared" si="36"/>
        <v>High Income</v>
      </c>
      <c r="H588">
        <v>273047.33</v>
      </c>
      <c r="I588">
        <v>621</v>
      </c>
      <c r="J588" t="s">
        <v>38</v>
      </c>
      <c r="K588" t="s">
        <v>36</v>
      </c>
      <c r="L588">
        <v>228567.33</v>
      </c>
      <c r="M588">
        <v>66371.67</v>
      </c>
      <c r="N588" t="s">
        <v>25</v>
      </c>
      <c r="O588" s="7">
        <f t="shared" ca="1" si="37"/>
        <v>45787</v>
      </c>
      <c r="P588" s="7">
        <v>45896</v>
      </c>
      <c r="Q588">
        <v>1</v>
      </c>
      <c r="R588" t="str">
        <f t="shared" si="38"/>
        <v>Low Risk</v>
      </c>
      <c r="S588" t="str">
        <f t="shared" si="39"/>
        <v>Good</v>
      </c>
      <c r="T588" s="4">
        <f>Table1[[#This Row],[Deposit_Amount]]+Table1[[#This Row],[Withdrawal_Amount]]</f>
        <v>696383.33000000007</v>
      </c>
      <c r="U588" t="s">
        <v>274</v>
      </c>
    </row>
    <row r="589" spans="1:21" x14ac:dyDescent="0.3">
      <c r="A589">
        <v>588</v>
      </c>
      <c r="B589" t="s">
        <v>204</v>
      </c>
      <c r="C589" t="s">
        <v>16</v>
      </c>
      <c r="D589">
        <v>25</v>
      </c>
      <c r="E589" t="s">
        <v>23</v>
      </c>
      <c r="F589" s="4">
        <v>14754.36</v>
      </c>
      <c r="G589" t="str">
        <f t="shared" si="36"/>
        <v>Low Income</v>
      </c>
      <c r="H589">
        <v>173269.08</v>
      </c>
      <c r="I589">
        <v>841</v>
      </c>
      <c r="J589" t="s">
        <v>32</v>
      </c>
      <c r="K589" t="s">
        <v>24</v>
      </c>
      <c r="L589">
        <v>-82087.679999999993</v>
      </c>
      <c r="M589">
        <v>82659.45</v>
      </c>
      <c r="N589" t="s">
        <v>20</v>
      </c>
      <c r="O589" s="7">
        <f t="shared" ca="1" si="37"/>
        <v>45731</v>
      </c>
      <c r="P589" s="7">
        <v>46003</v>
      </c>
      <c r="Q589">
        <v>2</v>
      </c>
      <c r="R589" t="str">
        <f t="shared" si="38"/>
        <v>Low Risk</v>
      </c>
      <c r="S589" t="str">
        <f t="shared" si="39"/>
        <v>Good</v>
      </c>
      <c r="T589" s="4">
        <f>Table1[[#This Row],[Deposit_Amount]]+Table1[[#This Row],[Withdrawal_Amount]]</f>
        <v>188023.44</v>
      </c>
      <c r="U589" t="s">
        <v>274</v>
      </c>
    </row>
    <row r="590" spans="1:21" x14ac:dyDescent="0.3">
      <c r="A590">
        <v>589</v>
      </c>
      <c r="B590" t="s">
        <v>66</v>
      </c>
      <c r="C590" t="s">
        <v>16</v>
      </c>
      <c r="D590">
        <v>51</v>
      </c>
      <c r="E590" t="s">
        <v>31</v>
      </c>
      <c r="F590" s="4">
        <v>496798.58</v>
      </c>
      <c r="G590" t="str">
        <f t="shared" si="36"/>
        <v>High Income</v>
      </c>
      <c r="H590">
        <v>175040.17</v>
      </c>
      <c r="I590">
        <v>528</v>
      </c>
      <c r="J590" t="s">
        <v>41</v>
      </c>
      <c r="K590" t="s">
        <v>19</v>
      </c>
      <c r="L590">
        <v>495432.94</v>
      </c>
      <c r="M590">
        <v>188806.21</v>
      </c>
      <c r="N590" t="s">
        <v>20</v>
      </c>
      <c r="O590" s="7">
        <f t="shared" ca="1" si="37"/>
        <v>45796</v>
      </c>
      <c r="P590" s="7">
        <v>45761</v>
      </c>
      <c r="Q590">
        <v>1</v>
      </c>
      <c r="R590" t="str">
        <f t="shared" si="38"/>
        <v>Midum Risk</v>
      </c>
      <c r="S590" t="str">
        <f t="shared" si="39"/>
        <v xml:space="preserve">Midum </v>
      </c>
      <c r="T590" s="4">
        <f>Table1[[#This Row],[Deposit_Amount]]+Table1[[#This Row],[Withdrawal_Amount]]</f>
        <v>671838.75</v>
      </c>
      <c r="U590" t="s">
        <v>274</v>
      </c>
    </row>
    <row r="591" spans="1:21" x14ac:dyDescent="0.3">
      <c r="A591">
        <v>590</v>
      </c>
      <c r="B591" t="s">
        <v>80</v>
      </c>
      <c r="C591" t="s">
        <v>22</v>
      </c>
      <c r="D591">
        <v>48</v>
      </c>
      <c r="E591" t="s">
        <v>35</v>
      </c>
      <c r="F591" s="4">
        <v>295373.28999999998</v>
      </c>
      <c r="G591" t="str">
        <f t="shared" si="36"/>
        <v>High Income</v>
      </c>
      <c r="H591">
        <v>31735.5</v>
      </c>
      <c r="I591">
        <v>817</v>
      </c>
      <c r="J591" t="s">
        <v>38</v>
      </c>
      <c r="K591" t="s">
        <v>59</v>
      </c>
      <c r="L591">
        <v>399731.93</v>
      </c>
      <c r="M591">
        <v>225471.81</v>
      </c>
      <c r="N591" t="s">
        <v>20</v>
      </c>
      <c r="O591" s="7">
        <f t="shared" ca="1" si="37"/>
        <v>45985</v>
      </c>
      <c r="P591" s="7">
        <v>45877</v>
      </c>
      <c r="Q591">
        <v>2</v>
      </c>
      <c r="R591" t="str">
        <f t="shared" si="38"/>
        <v>Low Risk</v>
      </c>
      <c r="S591" t="str">
        <f t="shared" si="39"/>
        <v>Good</v>
      </c>
      <c r="T591" s="4">
        <f>Table1[[#This Row],[Deposit_Amount]]+Table1[[#This Row],[Withdrawal_Amount]]</f>
        <v>327108.78999999998</v>
      </c>
      <c r="U591" t="s">
        <v>274</v>
      </c>
    </row>
    <row r="592" spans="1:21" x14ac:dyDescent="0.3">
      <c r="A592">
        <v>591</v>
      </c>
      <c r="B592" t="s">
        <v>161</v>
      </c>
      <c r="C592" t="s">
        <v>16</v>
      </c>
      <c r="D592">
        <v>33</v>
      </c>
      <c r="E592" t="s">
        <v>35</v>
      </c>
      <c r="F592" s="4">
        <v>38904.31</v>
      </c>
      <c r="G592" t="str">
        <f t="shared" si="36"/>
        <v>Low Income</v>
      </c>
      <c r="H592">
        <v>98483.62</v>
      </c>
      <c r="I592">
        <v>603</v>
      </c>
      <c r="J592" t="s">
        <v>18</v>
      </c>
      <c r="K592" t="s">
        <v>59</v>
      </c>
      <c r="L592">
        <v>4946.88</v>
      </c>
      <c r="M592">
        <v>103711.67</v>
      </c>
      <c r="N592" t="s">
        <v>25</v>
      </c>
      <c r="O592" s="7">
        <f t="shared" ca="1" si="37"/>
        <v>45917</v>
      </c>
      <c r="P592" s="7">
        <v>45698</v>
      </c>
      <c r="Q592">
        <v>2</v>
      </c>
      <c r="R592" t="str">
        <f t="shared" si="38"/>
        <v>Low Risk</v>
      </c>
      <c r="S592" t="str">
        <f t="shared" si="39"/>
        <v>Good</v>
      </c>
      <c r="T592" s="4">
        <f>Table1[[#This Row],[Deposit_Amount]]+Table1[[#This Row],[Withdrawal_Amount]]</f>
        <v>137387.93</v>
      </c>
      <c r="U592" t="s">
        <v>274</v>
      </c>
    </row>
    <row r="593" spans="1:21" x14ac:dyDescent="0.3">
      <c r="A593">
        <v>592</v>
      </c>
      <c r="B593" t="s">
        <v>132</v>
      </c>
      <c r="C593" t="s">
        <v>22</v>
      </c>
      <c r="D593">
        <v>19</v>
      </c>
      <c r="E593" t="s">
        <v>44</v>
      </c>
      <c r="F593" s="4">
        <v>338002.62</v>
      </c>
      <c r="G593" t="str">
        <f t="shared" si="36"/>
        <v>High Income</v>
      </c>
      <c r="H593">
        <v>252141.38</v>
      </c>
      <c r="I593">
        <v>715</v>
      </c>
      <c r="J593" t="s">
        <v>32</v>
      </c>
      <c r="K593" t="s">
        <v>19</v>
      </c>
      <c r="L593">
        <v>153138.14000000001</v>
      </c>
      <c r="M593">
        <v>230906</v>
      </c>
      <c r="N593" t="s">
        <v>25</v>
      </c>
      <c r="O593" s="7">
        <f t="shared" ca="1" si="37"/>
        <v>45717</v>
      </c>
      <c r="P593" s="7">
        <v>45695</v>
      </c>
      <c r="Q593">
        <v>3</v>
      </c>
      <c r="R593" t="str">
        <f t="shared" si="38"/>
        <v>Low Risk</v>
      </c>
      <c r="S593" t="str">
        <f t="shared" si="39"/>
        <v>Good</v>
      </c>
      <c r="T593" s="4">
        <f>Table1[[#This Row],[Deposit_Amount]]+Table1[[#This Row],[Withdrawal_Amount]]</f>
        <v>590144</v>
      </c>
      <c r="U593" t="s">
        <v>274</v>
      </c>
    </row>
    <row r="594" spans="1:21" x14ac:dyDescent="0.3">
      <c r="A594">
        <v>593</v>
      </c>
      <c r="B594" t="s">
        <v>96</v>
      </c>
      <c r="C594" t="s">
        <v>22</v>
      </c>
      <c r="D594">
        <v>61</v>
      </c>
      <c r="E594" t="s">
        <v>44</v>
      </c>
      <c r="F594" s="4">
        <v>65223.14</v>
      </c>
      <c r="G594" t="str">
        <f t="shared" si="36"/>
        <v>Low Income</v>
      </c>
      <c r="H594">
        <v>154605.85999999999</v>
      </c>
      <c r="I594">
        <v>791</v>
      </c>
      <c r="J594" t="s">
        <v>41</v>
      </c>
      <c r="K594" t="s">
        <v>36</v>
      </c>
      <c r="L594">
        <v>24872.23</v>
      </c>
      <c r="M594">
        <v>187333.19</v>
      </c>
      <c r="N594" t="s">
        <v>25</v>
      </c>
      <c r="O594" s="7">
        <f t="shared" ca="1" si="37"/>
        <v>45691</v>
      </c>
      <c r="P594" s="7">
        <v>45824</v>
      </c>
      <c r="Q594">
        <v>1</v>
      </c>
      <c r="R594" t="str">
        <f t="shared" si="38"/>
        <v>Low Risk</v>
      </c>
      <c r="S594" t="str">
        <f t="shared" si="39"/>
        <v>Good</v>
      </c>
      <c r="T594" s="4">
        <f>Table1[[#This Row],[Deposit_Amount]]+Table1[[#This Row],[Withdrawal_Amount]]</f>
        <v>219829</v>
      </c>
      <c r="U594" t="s">
        <v>274</v>
      </c>
    </row>
    <row r="595" spans="1:21" x14ac:dyDescent="0.3">
      <c r="A595">
        <v>594</v>
      </c>
      <c r="B595" t="s">
        <v>129</v>
      </c>
      <c r="C595" t="s">
        <v>16</v>
      </c>
      <c r="D595">
        <v>29</v>
      </c>
      <c r="E595" t="s">
        <v>44</v>
      </c>
      <c r="F595" s="4">
        <v>192825.68</v>
      </c>
      <c r="G595" t="str">
        <f t="shared" si="36"/>
        <v>Midum Income</v>
      </c>
      <c r="H595">
        <v>115124.24</v>
      </c>
      <c r="I595">
        <v>719</v>
      </c>
      <c r="J595" t="s">
        <v>32</v>
      </c>
      <c r="K595" t="s">
        <v>19</v>
      </c>
      <c r="L595">
        <v>207370.06</v>
      </c>
      <c r="M595">
        <v>120316.52</v>
      </c>
      <c r="N595" t="s">
        <v>20</v>
      </c>
      <c r="O595" s="7">
        <f t="shared" ca="1" si="37"/>
        <v>45956</v>
      </c>
      <c r="P595" s="7">
        <v>45678</v>
      </c>
      <c r="Q595">
        <v>1</v>
      </c>
      <c r="R595" t="str">
        <f t="shared" si="38"/>
        <v>Low Risk</v>
      </c>
      <c r="S595" t="str">
        <f t="shared" si="39"/>
        <v>Good</v>
      </c>
      <c r="T595" s="4">
        <f>Table1[[#This Row],[Deposit_Amount]]+Table1[[#This Row],[Withdrawal_Amount]]</f>
        <v>307949.92</v>
      </c>
      <c r="U595" t="s">
        <v>274</v>
      </c>
    </row>
    <row r="596" spans="1:21" x14ac:dyDescent="0.3">
      <c r="A596">
        <v>595</v>
      </c>
      <c r="B596" t="s">
        <v>21</v>
      </c>
      <c r="C596" t="s">
        <v>22</v>
      </c>
      <c r="D596">
        <v>59</v>
      </c>
      <c r="E596" t="s">
        <v>23</v>
      </c>
      <c r="F596" s="4">
        <v>184969.27</v>
      </c>
      <c r="G596" t="str">
        <f t="shared" si="36"/>
        <v>Midum Income</v>
      </c>
      <c r="H596">
        <v>3846.55</v>
      </c>
      <c r="I596">
        <v>493</v>
      </c>
      <c r="J596" t="s">
        <v>38</v>
      </c>
      <c r="K596" t="s">
        <v>24</v>
      </c>
      <c r="L596">
        <v>243116.12</v>
      </c>
      <c r="M596">
        <v>213735.06</v>
      </c>
      <c r="N596" t="s">
        <v>28</v>
      </c>
      <c r="O596" s="7">
        <f t="shared" ca="1" si="37"/>
        <v>45851</v>
      </c>
      <c r="P596" s="7">
        <v>45916</v>
      </c>
      <c r="Q596">
        <v>1</v>
      </c>
      <c r="R596" t="str">
        <f t="shared" si="38"/>
        <v>Midum Risk</v>
      </c>
      <c r="S596" t="str">
        <f t="shared" si="39"/>
        <v xml:space="preserve">Midum </v>
      </c>
      <c r="T596" s="4">
        <f>Table1[[#This Row],[Deposit_Amount]]+Table1[[#This Row],[Withdrawal_Amount]]</f>
        <v>188815.81999999998</v>
      </c>
      <c r="U596" t="s">
        <v>274</v>
      </c>
    </row>
    <row r="597" spans="1:21" x14ac:dyDescent="0.3">
      <c r="A597">
        <v>596</v>
      </c>
      <c r="B597" t="s">
        <v>222</v>
      </c>
      <c r="C597" t="s">
        <v>16</v>
      </c>
      <c r="D597">
        <v>29</v>
      </c>
      <c r="E597" t="s">
        <v>35</v>
      </c>
      <c r="F597" s="4">
        <v>110999.56</v>
      </c>
      <c r="G597" t="str">
        <f t="shared" si="36"/>
        <v>Midum Income</v>
      </c>
      <c r="H597">
        <v>209988.23</v>
      </c>
      <c r="I597">
        <v>851</v>
      </c>
      <c r="J597" t="s">
        <v>32</v>
      </c>
      <c r="K597" t="s">
        <v>24</v>
      </c>
      <c r="L597">
        <v>-74544.75</v>
      </c>
      <c r="M597">
        <v>72109.23</v>
      </c>
      <c r="N597" t="s">
        <v>20</v>
      </c>
      <c r="O597" s="7">
        <f t="shared" ca="1" si="37"/>
        <v>45679</v>
      </c>
      <c r="P597" s="7">
        <v>45711</v>
      </c>
      <c r="Q597">
        <v>4</v>
      </c>
      <c r="R597" t="str">
        <f t="shared" si="38"/>
        <v>Low Risk</v>
      </c>
      <c r="S597" t="str">
        <f t="shared" si="39"/>
        <v>Good</v>
      </c>
      <c r="T597" s="4">
        <f>Table1[[#This Row],[Deposit_Amount]]+Table1[[#This Row],[Withdrawal_Amount]]</f>
        <v>320987.79000000004</v>
      </c>
      <c r="U597" t="s">
        <v>274</v>
      </c>
    </row>
    <row r="598" spans="1:21" x14ac:dyDescent="0.3">
      <c r="A598">
        <v>597</v>
      </c>
      <c r="B598" t="s">
        <v>21</v>
      </c>
      <c r="C598" t="s">
        <v>22</v>
      </c>
      <c r="D598">
        <v>34</v>
      </c>
      <c r="E598" t="s">
        <v>44</v>
      </c>
      <c r="F598" s="4">
        <v>351805.51</v>
      </c>
      <c r="G598" t="str">
        <f t="shared" si="36"/>
        <v>High Income</v>
      </c>
      <c r="H598">
        <v>294525.88</v>
      </c>
      <c r="I598">
        <v>422</v>
      </c>
      <c r="J598" t="s">
        <v>41</v>
      </c>
      <c r="K598" t="s">
        <v>19</v>
      </c>
      <c r="L598">
        <v>134407.28</v>
      </c>
      <c r="M598">
        <v>147679.87</v>
      </c>
      <c r="N598" t="s">
        <v>25</v>
      </c>
      <c r="O598" s="7">
        <f t="shared" ca="1" si="37"/>
        <v>45985</v>
      </c>
      <c r="P598" s="7">
        <v>45709</v>
      </c>
      <c r="Q598">
        <v>1</v>
      </c>
      <c r="R598" t="str">
        <f t="shared" si="38"/>
        <v>Midum Risk</v>
      </c>
      <c r="S598" t="str">
        <f t="shared" si="39"/>
        <v xml:space="preserve">Midum </v>
      </c>
      <c r="T598" s="4">
        <f>Table1[[#This Row],[Deposit_Amount]]+Table1[[#This Row],[Withdrawal_Amount]]</f>
        <v>646331.39</v>
      </c>
      <c r="U598" t="s">
        <v>274</v>
      </c>
    </row>
    <row r="599" spans="1:21" x14ac:dyDescent="0.3">
      <c r="A599">
        <v>598</v>
      </c>
      <c r="B599" t="s">
        <v>222</v>
      </c>
      <c r="C599" t="s">
        <v>16</v>
      </c>
      <c r="D599">
        <v>43</v>
      </c>
      <c r="E599" t="s">
        <v>44</v>
      </c>
      <c r="F599" s="4">
        <v>10178.209999999999</v>
      </c>
      <c r="G599" t="str">
        <f t="shared" si="36"/>
        <v>Low Income</v>
      </c>
      <c r="H599">
        <v>49980.73</v>
      </c>
      <c r="I599">
        <v>612</v>
      </c>
      <c r="J599" t="s">
        <v>27</v>
      </c>
      <c r="K599" t="s">
        <v>19</v>
      </c>
      <c r="L599">
        <v>88237.39</v>
      </c>
      <c r="M599">
        <v>228245.26</v>
      </c>
      <c r="N599" t="s">
        <v>28</v>
      </c>
      <c r="O599" s="7">
        <f t="shared" ca="1" si="37"/>
        <v>45876</v>
      </c>
      <c r="P599" s="7">
        <v>45767</v>
      </c>
      <c r="Q599">
        <v>4</v>
      </c>
      <c r="R599" t="str">
        <f t="shared" si="38"/>
        <v>Low Risk</v>
      </c>
      <c r="S599" t="str">
        <f t="shared" si="39"/>
        <v>Good</v>
      </c>
      <c r="T599" s="4">
        <f>Table1[[#This Row],[Deposit_Amount]]+Table1[[#This Row],[Withdrawal_Amount]]</f>
        <v>60158.94</v>
      </c>
      <c r="U599" t="s">
        <v>274</v>
      </c>
    </row>
    <row r="600" spans="1:21" x14ac:dyDescent="0.3">
      <c r="A600">
        <v>599</v>
      </c>
      <c r="B600" t="s">
        <v>223</v>
      </c>
      <c r="C600" t="s">
        <v>22</v>
      </c>
      <c r="D600">
        <v>61</v>
      </c>
      <c r="E600" t="s">
        <v>44</v>
      </c>
      <c r="F600" s="4">
        <v>333130.13</v>
      </c>
      <c r="G600" t="str">
        <f t="shared" si="36"/>
        <v>High Income</v>
      </c>
      <c r="H600">
        <v>79132.800000000003</v>
      </c>
      <c r="I600">
        <v>845</v>
      </c>
      <c r="J600" t="s">
        <v>32</v>
      </c>
      <c r="K600" t="s">
        <v>59</v>
      </c>
      <c r="L600">
        <v>320280</v>
      </c>
      <c r="M600">
        <v>171224.59</v>
      </c>
      <c r="N600" t="s">
        <v>20</v>
      </c>
      <c r="O600" s="7">
        <f t="shared" ca="1" si="37"/>
        <v>45846</v>
      </c>
      <c r="P600" s="7">
        <v>45660</v>
      </c>
      <c r="Q600">
        <v>5</v>
      </c>
      <c r="R600" t="str">
        <f t="shared" si="38"/>
        <v>Low Risk</v>
      </c>
      <c r="S600" t="str">
        <f t="shared" si="39"/>
        <v>Good</v>
      </c>
      <c r="T600" s="4">
        <f>Table1[[#This Row],[Deposit_Amount]]+Table1[[#This Row],[Withdrawal_Amount]]</f>
        <v>412262.93</v>
      </c>
      <c r="U600" t="s">
        <v>274</v>
      </c>
    </row>
    <row r="601" spans="1:21" x14ac:dyDescent="0.3">
      <c r="A601">
        <v>600</v>
      </c>
      <c r="B601" t="s">
        <v>139</v>
      </c>
      <c r="C601" t="s">
        <v>22</v>
      </c>
      <c r="D601">
        <v>35</v>
      </c>
      <c r="E601" t="s">
        <v>31</v>
      </c>
      <c r="F601" s="4">
        <v>336844.93</v>
      </c>
      <c r="G601" t="str">
        <f t="shared" si="36"/>
        <v>High Income</v>
      </c>
      <c r="H601">
        <v>299447.96000000002</v>
      </c>
      <c r="I601">
        <v>320</v>
      </c>
      <c r="J601" t="s">
        <v>38</v>
      </c>
      <c r="K601" t="s">
        <v>42</v>
      </c>
      <c r="L601">
        <v>97135</v>
      </c>
      <c r="M601">
        <v>22802.47</v>
      </c>
      <c r="N601" t="s">
        <v>28</v>
      </c>
      <c r="O601" s="7">
        <f t="shared" ca="1" si="37"/>
        <v>45726</v>
      </c>
      <c r="P601" s="7">
        <v>45691</v>
      </c>
      <c r="Q601">
        <v>2</v>
      </c>
      <c r="R601" t="str">
        <f t="shared" si="38"/>
        <v>High Risk</v>
      </c>
      <c r="S601" t="str">
        <f t="shared" si="39"/>
        <v>Poor</v>
      </c>
      <c r="T601" s="4">
        <f>Table1[[#This Row],[Deposit_Amount]]+Table1[[#This Row],[Withdrawal_Amount]]</f>
        <v>636292.89</v>
      </c>
      <c r="U601" t="s">
        <v>274</v>
      </c>
    </row>
    <row r="602" spans="1:21" x14ac:dyDescent="0.3">
      <c r="A602">
        <v>601</v>
      </c>
      <c r="B602" t="s">
        <v>43</v>
      </c>
      <c r="C602" t="s">
        <v>22</v>
      </c>
      <c r="D602">
        <v>66</v>
      </c>
      <c r="E602" t="s">
        <v>44</v>
      </c>
      <c r="F602" s="4">
        <v>318150.90000000002</v>
      </c>
      <c r="G602" t="str">
        <f t="shared" si="36"/>
        <v>High Income</v>
      </c>
      <c r="H602">
        <v>164388.20000000001</v>
      </c>
      <c r="I602">
        <v>789</v>
      </c>
      <c r="J602" t="s">
        <v>41</v>
      </c>
      <c r="K602" t="s">
        <v>42</v>
      </c>
      <c r="L602">
        <v>185940.58</v>
      </c>
      <c r="M602">
        <v>52149.41</v>
      </c>
      <c r="N602" t="s">
        <v>25</v>
      </c>
      <c r="O602" s="7">
        <f t="shared" ca="1" si="37"/>
        <v>45955</v>
      </c>
      <c r="P602" s="7">
        <v>45898</v>
      </c>
      <c r="Q602">
        <v>4</v>
      </c>
      <c r="R602" t="str">
        <f t="shared" si="38"/>
        <v>Low Risk</v>
      </c>
      <c r="S602" t="str">
        <f t="shared" si="39"/>
        <v>Good</v>
      </c>
      <c r="T602" s="4">
        <f>Table1[[#This Row],[Deposit_Amount]]+Table1[[#This Row],[Withdrawal_Amount]]</f>
        <v>482539.10000000003</v>
      </c>
      <c r="U602" t="s">
        <v>274</v>
      </c>
    </row>
    <row r="603" spans="1:21" x14ac:dyDescent="0.3">
      <c r="A603">
        <v>602</v>
      </c>
      <c r="B603" t="s">
        <v>113</v>
      </c>
      <c r="C603" t="s">
        <v>22</v>
      </c>
      <c r="D603">
        <v>59</v>
      </c>
      <c r="E603" t="s">
        <v>31</v>
      </c>
      <c r="F603" s="4">
        <v>487917.25</v>
      </c>
      <c r="G603" t="str">
        <f t="shared" si="36"/>
        <v>High Income</v>
      </c>
      <c r="H603">
        <v>4314.3599999999997</v>
      </c>
      <c r="I603">
        <v>789</v>
      </c>
      <c r="J603" t="s">
        <v>41</v>
      </c>
      <c r="K603" t="s">
        <v>42</v>
      </c>
      <c r="L603">
        <v>572905.22</v>
      </c>
      <c r="M603">
        <v>47598.47</v>
      </c>
      <c r="N603" t="s">
        <v>20</v>
      </c>
      <c r="O603" s="7">
        <f t="shared" ca="1" si="37"/>
        <v>45755</v>
      </c>
      <c r="P603" s="7">
        <v>45912</v>
      </c>
      <c r="Q603">
        <v>5</v>
      </c>
      <c r="R603" t="str">
        <f t="shared" si="38"/>
        <v>Low Risk</v>
      </c>
      <c r="S603" t="str">
        <f t="shared" si="39"/>
        <v>Good</v>
      </c>
      <c r="T603" s="4">
        <f>Table1[[#This Row],[Deposit_Amount]]+Table1[[#This Row],[Withdrawal_Amount]]</f>
        <v>492231.61</v>
      </c>
      <c r="U603" t="s">
        <v>274</v>
      </c>
    </row>
    <row r="604" spans="1:21" x14ac:dyDescent="0.3">
      <c r="A604">
        <v>603</v>
      </c>
      <c r="B604" t="s">
        <v>133</v>
      </c>
      <c r="C604" t="s">
        <v>16</v>
      </c>
      <c r="D604">
        <v>34</v>
      </c>
      <c r="E604" t="s">
        <v>40</v>
      </c>
      <c r="F604" s="4">
        <v>420538.44</v>
      </c>
      <c r="G604" t="str">
        <f t="shared" si="36"/>
        <v>High Income</v>
      </c>
      <c r="H604">
        <v>174160.17</v>
      </c>
      <c r="I604">
        <v>633</v>
      </c>
      <c r="J604" t="s">
        <v>18</v>
      </c>
      <c r="K604" t="s">
        <v>24</v>
      </c>
      <c r="L604">
        <v>317453.28999999998</v>
      </c>
      <c r="M604">
        <v>232848.4</v>
      </c>
      <c r="N604" t="s">
        <v>28</v>
      </c>
      <c r="O604" s="7">
        <f t="shared" ca="1" si="37"/>
        <v>45871</v>
      </c>
      <c r="P604" s="7">
        <v>45682</v>
      </c>
      <c r="Q604">
        <v>3</v>
      </c>
      <c r="R604" t="str">
        <f t="shared" si="38"/>
        <v>Low Risk</v>
      </c>
      <c r="S604" t="str">
        <f t="shared" si="39"/>
        <v>Good</v>
      </c>
      <c r="T604" s="4">
        <f>Table1[[#This Row],[Deposit_Amount]]+Table1[[#This Row],[Withdrawal_Amount]]</f>
        <v>594698.61</v>
      </c>
      <c r="U604" t="s">
        <v>274</v>
      </c>
    </row>
    <row r="605" spans="1:21" x14ac:dyDescent="0.3">
      <c r="A605">
        <v>604</v>
      </c>
      <c r="B605" t="s">
        <v>173</v>
      </c>
      <c r="C605" t="s">
        <v>16</v>
      </c>
      <c r="D605">
        <v>61</v>
      </c>
      <c r="E605" t="s">
        <v>44</v>
      </c>
      <c r="F605" s="4">
        <v>210693.71</v>
      </c>
      <c r="G605" t="str">
        <f t="shared" si="36"/>
        <v>High Income</v>
      </c>
      <c r="H605">
        <v>274270.14</v>
      </c>
      <c r="I605">
        <v>707</v>
      </c>
      <c r="J605" t="s">
        <v>32</v>
      </c>
      <c r="K605" t="s">
        <v>59</v>
      </c>
      <c r="L605">
        <v>-33698.949999999997</v>
      </c>
      <c r="M605">
        <v>111269.13</v>
      </c>
      <c r="N605" t="s">
        <v>28</v>
      </c>
      <c r="O605" s="7">
        <f t="shared" ca="1" si="37"/>
        <v>45884</v>
      </c>
      <c r="P605" s="7">
        <v>45694</v>
      </c>
      <c r="Q605">
        <v>2</v>
      </c>
      <c r="R605" t="str">
        <f t="shared" si="38"/>
        <v>Low Risk</v>
      </c>
      <c r="S605" t="str">
        <f t="shared" si="39"/>
        <v>Good</v>
      </c>
      <c r="T605" s="4">
        <f>Table1[[#This Row],[Deposit_Amount]]+Table1[[#This Row],[Withdrawal_Amount]]</f>
        <v>484963.85</v>
      </c>
      <c r="U605" t="s">
        <v>274</v>
      </c>
    </row>
    <row r="606" spans="1:21" x14ac:dyDescent="0.3">
      <c r="A606">
        <v>605</v>
      </c>
      <c r="B606" t="s">
        <v>200</v>
      </c>
      <c r="C606" t="s">
        <v>22</v>
      </c>
      <c r="D606">
        <v>23</v>
      </c>
      <c r="E606" t="s">
        <v>40</v>
      </c>
      <c r="F606" s="4">
        <v>116546.81</v>
      </c>
      <c r="G606" t="str">
        <f t="shared" si="36"/>
        <v>Midum Income</v>
      </c>
      <c r="H606">
        <v>133366.03</v>
      </c>
      <c r="I606">
        <v>633</v>
      </c>
      <c r="J606" t="s">
        <v>18</v>
      </c>
      <c r="K606" t="s">
        <v>42</v>
      </c>
      <c r="L606">
        <v>158343.1</v>
      </c>
      <c r="M606">
        <v>138005.98000000001</v>
      </c>
      <c r="N606" t="s">
        <v>20</v>
      </c>
      <c r="O606" s="7">
        <f t="shared" ca="1" si="37"/>
        <v>45795</v>
      </c>
      <c r="P606" s="7">
        <v>45931</v>
      </c>
      <c r="Q606">
        <v>1</v>
      </c>
      <c r="R606" t="str">
        <f t="shared" si="38"/>
        <v>Low Risk</v>
      </c>
      <c r="S606" t="str">
        <f t="shared" si="39"/>
        <v>Good</v>
      </c>
      <c r="T606" s="4">
        <f>Table1[[#This Row],[Deposit_Amount]]+Table1[[#This Row],[Withdrawal_Amount]]</f>
        <v>249912.84</v>
      </c>
      <c r="U606" t="s">
        <v>274</v>
      </c>
    </row>
    <row r="607" spans="1:21" x14ac:dyDescent="0.3">
      <c r="A607">
        <v>606</v>
      </c>
      <c r="B607" t="s">
        <v>98</v>
      </c>
      <c r="C607" t="s">
        <v>22</v>
      </c>
      <c r="D607">
        <v>48</v>
      </c>
      <c r="E607" t="s">
        <v>31</v>
      </c>
      <c r="F607" s="4">
        <v>85063.37</v>
      </c>
      <c r="G607" t="str">
        <f t="shared" si="36"/>
        <v>Low Income</v>
      </c>
      <c r="H607">
        <v>105842.48</v>
      </c>
      <c r="I607">
        <v>844</v>
      </c>
      <c r="J607" t="s">
        <v>18</v>
      </c>
      <c r="K607" t="s">
        <v>42</v>
      </c>
      <c r="L607">
        <v>83303.86</v>
      </c>
      <c r="M607">
        <v>96702.04</v>
      </c>
      <c r="N607" t="s">
        <v>25</v>
      </c>
      <c r="O607" s="7">
        <f t="shared" ca="1" si="37"/>
        <v>45948</v>
      </c>
      <c r="P607" s="7">
        <v>45897</v>
      </c>
      <c r="Q607">
        <v>3</v>
      </c>
      <c r="R607" t="str">
        <f t="shared" si="38"/>
        <v>Low Risk</v>
      </c>
      <c r="S607" t="str">
        <f t="shared" si="39"/>
        <v>Good</v>
      </c>
      <c r="T607" s="4">
        <f>Table1[[#This Row],[Deposit_Amount]]+Table1[[#This Row],[Withdrawal_Amount]]</f>
        <v>190905.84999999998</v>
      </c>
      <c r="U607" t="s">
        <v>274</v>
      </c>
    </row>
    <row r="608" spans="1:21" x14ac:dyDescent="0.3">
      <c r="A608">
        <v>607</v>
      </c>
      <c r="B608" t="s">
        <v>89</v>
      </c>
      <c r="C608" t="s">
        <v>16</v>
      </c>
      <c r="D608">
        <v>52</v>
      </c>
      <c r="E608" t="s">
        <v>17</v>
      </c>
      <c r="F608" s="4">
        <v>131683.22</v>
      </c>
      <c r="G608" t="str">
        <f t="shared" si="36"/>
        <v>Midum Income</v>
      </c>
      <c r="H608">
        <v>270833.17</v>
      </c>
      <c r="I608">
        <v>397</v>
      </c>
      <c r="J608" t="s">
        <v>32</v>
      </c>
      <c r="K608" t="s">
        <v>24</v>
      </c>
      <c r="L608">
        <v>-63326.34</v>
      </c>
      <c r="M608">
        <v>164645.18</v>
      </c>
      <c r="N608" t="s">
        <v>20</v>
      </c>
      <c r="O608" s="7">
        <f t="shared" ca="1" si="37"/>
        <v>45854</v>
      </c>
      <c r="P608" s="7">
        <v>46012</v>
      </c>
      <c r="Q608">
        <v>1</v>
      </c>
      <c r="R608" t="str">
        <f t="shared" si="38"/>
        <v>High Risk</v>
      </c>
      <c r="S608" t="str">
        <f t="shared" si="39"/>
        <v>Poor</v>
      </c>
      <c r="T608" s="4">
        <f>Table1[[#This Row],[Deposit_Amount]]+Table1[[#This Row],[Withdrawal_Amount]]</f>
        <v>402516.39</v>
      </c>
      <c r="U608" t="s">
        <v>274</v>
      </c>
    </row>
    <row r="609" spans="1:21" x14ac:dyDescent="0.3">
      <c r="A609">
        <v>608</v>
      </c>
      <c r="B609" t="s">
        <v>191</v>
      </c>
      <c r="C609" t="s">
        <v>22</v>
      </c>
      <c r="D609">
        <v>50</v>
      </c>
      <c r="E609" t="s">
        <v>44</v>
      </c>
      <c r="F609" s="4">
        <v>79213.55</v>
      </c>
      <c r="G609" t="str">
        <f t="shared" si="36"/>
        <v>Low Income</v>
      </c>
      <c r="H609">
        <v>297684.84000000003</v>
      </c>
      <c r="I609">
        <v>627</v>
      </c>
      <c r="J609" t="s">
        <v>41</v>
      </c>
      <c r="K609" t="s">
        <v>36</v>
      </c>
      <c r="L609">
        <v>-170225.96</v>
      </c>
      <c r="M609">
        <v>106683.12</v>
      </c>
      <c r="N609" t="s">
        <v>25</v>
      </c>
      <c r="O609" s="7">
        <f t="shared" ca="1" si="37"/>
        <v>46022</v>
      </c>
      <c r="P609" s="7">
        <v>45803</v>
      </c>
      <c r="Q609">
        <v>4</v>
      </c>
      <c r="R609" t="str">
        <f t="shared" si="38"/>
        <v>Low Risk</v>
      </c>
      <c r="S609" t="str">
        <f t="shared" si="39"/>
        <v>Good</v>
      </c>
      <c r="T609" s="4">
        <f>Table1[[#This Row],[Deposit_Amount]]+Table1[[#This Row],[Withdrawal_Amount]]</f>
        <v>376898.39</v>
      </c>
      <c r="U609" t="s">
        <v>274</v>
      </c>
    </row>
    <row r="610" spans="1:21" x14ac:dyDescent="0.3">
      <c r="A610">
        <v>609</v>
      </c>
      <c r="B610" t="s">
        <v>148</v>
      </c>
      <c r="C610" t="s">
        <v>16</v>
      </c>
      <c r="D610">
        <v>46</v>
      </c>
      <c r="E610" t="s">
        <v>35</v>
      </c>
      <c r="F610" s="4">
        <v>34548.480000000003</v>
      </c>
      <c r="G610" t="str">
        <f t="shared" si="36"/>
        <v>Low Income</v>
      </c>
      <c r="H610">
        <v>100037.96</v>
      </c>
      <c r="I610">
        <v>722</v>
      </c>
      <c r="J610" t="s">
        <v>41</v>
      </c>
      <c r="K610" t="s">
        <v>19</v>
      </c>
      <c r="L610">
        <v>2951.78</v>
      </c>
      <c r="M610">
        <v>80733.7</v>
      </c>
      <c r="N610" t="s">
        <v>25</v>
      </c>
      <c r="O610" s="7">
        <f t="shared" ca="1" si="37"/>
        <v>45853</v>
      </c>
      <c r="P610" s="7">
        <v>45911</v>
      </c>
      <c r="Q610">
        <v>2</v>
      </c>
      <c r="R610" t="str">
        <f t="shared" si="38"/>
        <v>Low Risk</v>
      </c>
      <c r="S610" t="str">
        <f t="shared" si="39"/>
        <v>Good</v>
      </c>
      <c r="T610" s="4">
        <f>Table1[[#This Row],[Deposit_Amount]]+Table1[[#This Row],[Withdrawal_Amount]]</f>
        <v>134586.44</v>
      </c>
      <c r="U610" t="s">
        <v>274</v>
      </c>
    </row>
    <row r="611" spans="1:21" x14ac:dyDescent="0.3">
      <c r="A611">
        <v>610</v>
      </c>
      <c r="B611" t="s">
        <v>194</v>
      </c>
      <c r="C611" t="s">
        <v>22</v>
      </c>
      <c r="D611">
        <v>50</v>
      </c>
      <c r="E611" t="s">
        <v>31</v>
      </c>
      <c r="F611" s="4">
        <v>459253.7</v>
      </c>
      <c r="G611" t="str">
        <f t="shared" si="36"/>
        <v>High Income</v>
      </c>
      <c r="H611">
        <v>264288.59000000003</v>
      </c>
      <c r="I611">
        <v>401</v>
      </c>
      <c r="J611" t="s">
        <v>27</v>
      </c>
      <c r="K611" t="s">
        <v>19</v>
      </c>
      <c r="L611">
        <v>361727.58</v>
      </c>
      <c r="M611">
        <v>168231.19</v>
      </c>
      <c r="N611" t="s">
        <v>28</v>
      </c>
      <c r="O611" s="7">
        <f t="shared" ca="1" si="37"/>
        <v>45686</v>
      </c>
      <c r="P611" s="7">
        <v>45845</v>
      </c>
      <c r="Q611">
        <v>1</v>
      </c>
      <c r="R611" t="str">
        <f t="shared" si="38"/>
        <v>Midum Risk</v>
      </c>
      <c r="S611" t="str">
        <f t="shared" si="39"/>
        <v xml:space="preserve">Midum </v>
      </c>
      <c r="T611" s="4">
        <f>Table1[[#This Row],[Deposit_Amount]]+Table1[[#This Row],[Withdrawal_Amount]]</f>
        <v>723542.29</v>
      </c>
      <c r="U611" t="s">
        <v>274</v>
      </c>
    </row>
    <row r="612" spans="1:21" x14ac:dyDescent="0.3">
      <c r="A612">
        <v>611</v>
      </c>
      <c r="B612" t="s">
        <v>155</v>
      </c>
      <c r="C612" t="s">
        <v>16</v>
      </c>
      <c r="D612">
        <v>27</v>
      </c>
      <c r="E612" t="s">
        <v>23</v>
      </c>
      <c r="F612" s="4">
        <v>177334.11</v>
      </c>
      <c r="G612" t="str">
        <f t="shared" si="36"/>
        <v>Midum Income</v>
      </c>
      <c r="H612">
        <v>82579.97</v>
      </c>
      <c r="I612">
        <v>552</v>
      </c>
      <c r="J612" t="s">
        <v>41</v>
      </c>
      <c r="K612" t="s">
        <v>59</v>
      </c>
      <c r="L612">
        <v>163705.97</v>
      </c>
      <c r="M612">
        <v>41524.57</v>
      </c>
      <c r="N612" t="s">
        <v>25</v>
      </c>
      <c r="O612" s="7">
        <f t="shared" ca="1" si="37"/>
        <v>45714</v>
      </c>
      <c r="P612" s="7">
        <v>45730</v>
      </c>
      <c r="Q612">
        <v>1</v>
      </c>
      <c r="R612" t="str">
        <f t="shared" si="38"/>
        <v>Midum Risk</v>
      </c>
      <c r="S612" t="str">
        <f t="shared" si="39"/>
        <v xml:space="preserve">Midum </v>
      </c>
      <c r="T612" s="4">
        <f>Table1[[#This Row],[Deposit_Amount]]+Table1[[#This Row],[Withdrawal_Amount]]</f>
        <v>259914.08</v>
      </c>
      <c r="U612" t="s">
        <v>274</v>
      </c>
    </row>
    <row r="613" spans="1:21" x14ac:dyDescent="0.3">
      <c r="A613">
        <v>612</v>
      </c>
      <c r="B613" t="s">
        <v>146</v>
      </c>
      <c r="C613" t="s">
        <v>22</v>
      </c>
      <c r="D613">
        <v>24</v>
      </c>
      <c r="E613" t="s">
        <v>40</v>
      </c>
      <c r="F613" s="4">
        <v>365383.92</v>
      </c>
      <c r="G613" t="str">
        <f t="shared" si="36"/>
        <v>High Income</v>
      </c>
      <c r="H613">
        <v>42473.279999999999</v>
      </c>
      <c r="I613">
        <v>606</v>
      </c>
      <c r="J613" t="s">
        <v>32</v>
      </c>
      <c r="K613" t="s">
        <v>42</v>
      </c>
      <c r="L613">
        <v>337270.89</v>
      </c>
      <c r="M613">
        <v>173748.79</v>
      </c>
      <c r="N613" t="s">
        <v>28</v>
      </c>
      <c r="O613" s="7">
        <f t="shared" ca="1" si="37"/>
        <v>45699</v>
      </c>
      <c r="P613" s="7">
        <v>45726</v>
      </c>
      <c r="Q613">
        <v>4</v>
      </c>
      <c r="R613" t="str">
        <f t="shared" si="38"/>
        <v>Low Risk</v>
      </c>
      <c r="S613" t="str">
        <f t="shared" si="39"/>
        <v>Good</v>
      </c>
      <c r="T613" s="4">
        <f>Table1[[#This Row],[Deposit_Amount]]+Table1[[#This Row],[Withdrawal_Amount]]</f>
        <v>407857.19999999995</v>
      </c>
      <c r="U613" t="s">
        <v>274</v>
      </c>
    </row>
    <row r="614" spans="1:21" x14ac:dyDescent="0.3">
      <c r="A614">
        <v>613</v>
      </c>
      <c r="B614" t="s">
        <v>126</v>
      </c>
      <c r="C614" t="s">
        <v>22</v>
      </c>
      <c r="D614">
        <v>46</v>
      </c>
      <c r="E614" t="s">
        <v>23</v>
      </c>
      <c r="F614" s="4">
        <v>12660.34</v>
      </c>
      <c r="G614" t="str">
        <f t="shared" si="36"/>
        <v>Low Income</v>
      </c>
      <c r="H614">
        <v>155918.09</v>
      </c>
      <c r="I614">
        <v>764</v>
      </c>
      <c r="J614" t="s">
        <v>41</v>
      </c>
      <c r="K614" t="s">
        <v>59</v>
      </c>
      <c r="L614">
        <v>-67463.960000000006</v>
      </c>
      <c r="M614">
        <v>37125.730000000003</v>
      </c>
      <c r="N614" t="s">
        <v>25</v>
      </c>
      <c r="O614" s="7">
        <f t="shared" ca="1" si="37"/>
        <v>45659</v>
      </c>
      <c r="P614" s="7">
        <v>45910</v>
      </c>
      <c r="Q614">
        <v>4</v>
      </c>
      <c r="R614" t="str">
        <f t="shared" si="38"/>
        <v>Low Risk</v>
      </c>
      <c r="S614" t="str">
        <f t="shared" si="39"/>
        <v>Good</v>
      </c>
      <c r="T614" s="4">
        <f>Table1[[#This Row],[Deposit_Amount]]+Table1[[#This Row],[Withdrawal_Amount]]</f>
        <v>168578.43</v>
      </c>
      <c r="U614" t="s">
        <v>274</v>
      </c>
    </row>
    <row r="615" spans="1:21" x14ac:dyDescent="0.3">
      <c r="A615">
        <v>614</v>
      </c>
      <c r="B615" t="s">
        <v>222</v>
      </c>
      <c r="C615" t="s">
        <v>16</v>
      </c>
      <c r="D615">
        <v>40</v>
      </c>
      <c r="E615" t="s">
        <v>17</v>
      </c>
      <c r="F615" s="4">
        <v>88353.15</v>
      </c>
      <c r="G615" t="str">
        <f t="shared" si="36"/>
        <v>Low Income</v>
      </c>
      <c r="H615">
        <v>24866.3</v>
      </c>
      <c r="I615">
        <v>585</v>
      </c>
      <c r="J615" t="s">
        <v>41</v>
      </c>
      <c r="K615" t="s">
        <v>19</v>
      </c>
      <c r="L615">
        <v>211851.3</v>
      </c>
      <c r="M615">
        <v>65984.95</v>
      </c>
      <c r="N615" t="s">
        <v>28</v>
      </c>
      <c r="O615" s="7">
        <f t="shared" ca="1" si="37"/>
        <v>45872</v>
      </c>
      <c r="P615" s="7">
        <v>45678</v>
      </c>
      <c r="Q615">
        <v>5</v>
      </c>
      <c r="R615" t="str">
        <f t="shared" si="38"/>
        <v>Midum Risk</v>
      </c>
      <c r="S615" t="str">
        <f t="shared" si="39"/>
        <v xml:space="preserve">Midum </v>
      </c>
      <c r="T615" s="4">
        <f>Table1[[#This Row],[Deposit_Amount]]+Table1[[#This Row],[Withdrawal_Amount]]</f>
        <v>113219.45</v>
      </c>
      <c r="U615" t="s">
        <v>274</v>
      </c>
    </row>
    <row r="616" spans="1:21" x14ac:dyDescent="0.3">
      <c r="A616">
        <v>615</v>
      </c>
      <c r="B616" t="s">
        <v>151</v>
      </c>
      <c r="C616" t="s">
        <v>22</v>
      </c>
      <c r="D616">
        <v>47</v>
      </c>
      <c r="E616" t="s">
        <v>40</v>
      </c>
      <c r="F616" s="4">
        <v>51547.56</v>
      </c>
      <c r="G616" t="str">
        <f t="shared" si="36"/>
        <v>Low Income</v>
      </c>
      <c r="H616">
        <v>181017.43</v>
      </c>
      <c r="I616">
        <v>747</v>
      </c>
      <c r="J616" t="s">
        <v>38</v>
      </c>
      <c r="K616" t="s">
        <v>42</v>
      </c>
      <c r="L616">
        <v>63196.11</v>
      </c>
      <c r="M616">
        <v>50116.66</v>
      </c>
      <c r="N616" t="s">
        <v>20</v>
      </c>
      <c r="O616" s="7">
        <f t="shared" ca="1" si="37"/>
        <v>45971</v>
      </c>
      <c r="P616" s="7">
        <v>45693</v>
      </c>
      <c r="Q616">
        <v>4</v>
      </c>
      <c r="R616" t="str">
        <f t="shared" si="38"/>
        <v>Low Risk</v>
      </c>
      <c r="S616" t="str">
        <f t="shared" si="39"/>
        <v>Good</v>
      </c>
      <c r="T616" s="4">
        <f>Table1[[#This Row],[Deposit_Amount]]+Table1[[#This Row],[Withdrawal_Amount]]</f>
        <v>232564.99</v>
      </c>
      <c r="U616" t="s">
        <v>274</v>
      </c>
    </row>
    <row r="617" spans="1:21" x14ac:dyDescent="0.3">
      <c r="A617">
        <v>616</v>
      </c>
      <c r="B617" t="s">
        <v>37</v>
      </c>
      <c r="C617" t="s">
        <v>22</v>
      </c>
      <c r="D617">
        <v>61</v>
      </c>
      <c r="E617" t="s">
        <v>23</v>
      </c>
      <c r="F617" s="4">
        <v>61022.85</v>
      </c>
      <c r="G617" t="str">
        <f t="shared" si="36"/>
        <v>Low Income</v>
      </c>
      <c r="H617">
        <v>216745.5</v>
      </c>
      <c r="I617">
        <v>687</v>
      </c>
      <c r="J617" t="s">
        <v>27</v>
      </c>
      <c r="K617" t="s">
        <v>24</v>
      </c>
      <c r="L617">
        <v>-42905.41</v>
      </c>
      <c r="M617">
        <v>112641.3</v>
      </c>
      <c r="N617" t="s">
        <v>20</v>
      </c>
      <c r="O617" s="7">
        <f t="shared" ca="1" si="37"/>
        <v>45865</v>
      </c>
      <c r="P617" s="7">
        <v>46011</v>
      </c>
      <c r="Q617">
        <v>1</v>
      </c>
      <c r="R617" t="str">
        <f t="shared" si="38"/>
        <v>Low Risk</v>
      </c>
      <c r="S617" t="str">
        <f t="shared" si="39"/>
        <v>Good</v>
      </c>
      <c r="T617" s="4">
        <f>Table1[[#This Row],[Deposit_Amount]]+Table1[[#This Row],[Withdrawal_Amount]]</f>
        <v>277768.34999999998</v>
      </c>
      <c r="U617" t="s">
        <v>274</v>
      </c>
    </row>
    <row r="618" spans="1:21" x14ac:dyDescent="0.3">
      <c r="A618">
        <v>617</v>
      </c>
      <c r="B618" t="s">
        <v>182</v>
      </c>
      <c r="C618" t="s">
        <v>16</v>
      </c>
      <c r="D618">
        <v>42</v>
      </c>
      <c r="E618" t="s">
        <v>40</v>
      </c>
      <c r="F618" s="4">
        <v>99247.85</v>
      </c>
      <c r="G618" t="str">
        <f t="shared" si="36"/>
        <v>Low Income</v>
      </c>
      <c r="H618">
        <v>276820.58</v>
      </c>
      <c r="I618">
        <v>474</v>
      </c>
      <c r="J618" t="s">
        <v>41</v>
      </c>
      <c r="K618" t="s">
        <v>24</v>
      </c>
      <c r="L618">
        <v>-170873.24</v>
      </c>
      <c r="M618">
        <v>101012.46</v>
      </c>
      <c r="N618" t="s">
        <v>20</v>
      </c>
      <c r="O618" s="7">
        <f t="shared" ca="1" si="37"/>
        <v>45957</v>
      </c>
      <c r="P618" s="7">
        <v>45763</v>
      </c>
      <c r="Q618">
        <v>5</v>
      </c>
      <c r="R618" t="str">
        <f t="shared" si="38"/>
        <v>Midum Risk</v>
      </c>
      <c r="S618" t="str">
        <f t="shared" si="39"/>
        <v xml:space="preserve">Midum </v>
      </c>
      <c r="T618" s="4">
        <f>Table1[[#This Row],[Deposit_Amount]]+Table1[[#This Row],[Withdrawal_Amount]]</f>
        <v>376068.43000000005</v>
      </c>
      <c r="U618" t="s">
        <v>274</v>
      </c>
    </row>
    <row r="619" spans="1:21" x14ac:dyDescent="0.3">
      <c r="A619">
        <v>618</v>
      </c>
      <c r="B619" t="s">
        <v>72</v>
      </c>
      <c r="C619" t="s">
        <v>16</v>
      </c>
      <c r="D619">
        <v>22</v>
      </c>
      <c r="E619" t="s">
        <v>44</v>
      </c>
      <c r="F619" s="4">
        <v>462063.81</v>
      </c>
      <c r="G619" t="str">
        <f t="shared" si="36"/>
        <v>High Income</v>
      </c>
      <c r="H619">
        <v>222244.57</v>
      </c>
      <c r="I619">
        <v>397</v>
      </c>
      <c r="J619" t="s">
        <v>18</v>
      </c>
      <c r="K619" t="s">
        <v>59</v>
      </c>
      <c r="L619">
        <v>300270.98</v>
      </c>
      <c r="M619">
        <v>75133.02</v>
      </c>
      <c r="N619" t="s">
        <v>28</v>
      </c>
      <c r="O619" s="7">
        <f t="shared" ca="1" si="37"/>
        <v>45672</v>
      </c>
      <c r="P619" s="7">
        <v>45850</v>
      </c>
      <c r="Q619">
        <v>5</v>
      </c>
      <c r="R619" t="str">
        <f t="shared" si="38"/>
        <v>High Risk</v>
      </c>
      <c r="S619" t="str">
        <f t="shared" si="39"/>
        <v>Poor</v>
      </c>
      <c r="T619" s="4">
        <f>Table1[[#This Row],[Deposit_Amount]]+Table1[[#This Row],[Withdrawal_Amount]]</f>
        <v>684308.38</v>
      </c>
      <c r="U619" t="s">
        <v>274</v>
      </c>
    </row>
    <row r="620" spans="1:21" x14ac:dyDescent="0.3">
      <c r="A620">
        <v>619</v>
      </c>
      <c r="B620" t="s">
        <v>152</v>
      </c>
      <c r="C620" t="s">
        <v>22</v>
      </c>
      <c r="D620">
        <v>28</v>
      </c>
      <c r="E620" t="s">
        <v>35</v>
      </c>
      <c r="F620" s="4">
        <v>42075.62</v>
      </c>
      <c r="G620" t="str">
        <f t="shared" si="36"/>
        <v>Low Income</v>
      </c>
      <c r="H620">
        <v>282614.8</v>
      </c>
      <c r="I620">
        <v>884</v>
      </c>
      <c r="J620" t="s">
        <v>32</v>
      </c>
      <c r="K620" t="s">
        <v>42</v>
      </c>
      <c r="L620">
        <v>-128934.53</v>
      </c>
      <c r="M620">
        <v>66363.59</v>
      </c>
      <c r="N620" t="s">
        <v>25</v>
      </c>
      <c r="O620" s="7">
        <f t="shared" ca="1" si="37"/>
        <v>45731</v>
      </c>
      <c r="P620" s="7">
        <v>45887</v>
      </c>
      <c r="Q620">
        <v>2</v>
      </c>
      <c r="R620" t="str">
        <f t="shared" si="38"/>
        <v>Low Risk</v>
      </c>
      <c r="S620" t="str">
        <f t="shared" si="39"/>
        <v>Good</v>
      </c>
      <c r="T620" s="4">
        <f>Table1[[#This Row],[Deposit_Amount]]+Table1[[#This Row],[Withdrawal_Amount]]</f>
        <v>324690.42</v>
      </c>
      <c r="U620" t="s">
        <v>274</v>
      </c>
    </row>
    <row r="621" spans="1:21" x14ac:dyDescent="0.3">
      <c r="A621">
        <v>620</v>
      </c>
      <c r="B621" t="s">
        <v>118</v>
      </c>
      <c r="C621" t="s">
        <v>22</v>
      </c>
      <c r="D621">
        <v>51</v>
      </c>
      <c r="E621" t="s">
        <v>23</v>
      </c>
      <c r="F621" s="4">
        <v>282542.2</v>
      </c>
      <c r="G621" t="str">
        <f t="shared" si="36"/>
        <v>High Income</v>
      </c>
      <c r="H621">
        <v>208396.3</v>
      </c>
      <c r="I621">
        <v>448</v>
      </c>
      <c r="J621" t="s">
        <v>18</v>
      </c>
      <c r="K621" t="s">
        <v>19</v>
      </c>
      <c r="L621">
        <v>255776.13</v>
      </c>
      <c r="M621">
        <v>109589.25</v>
      </c>
      <c r="N621" t="s">
        <v>20</v>
      </c>
      <c r="O621" s="7">
        <f t="shared" ca="1" si="37"/>
        <v>45854</v>
      </c>
      <c r="P621" s="7">
        <v>45730</v>
      </c>
      <c r="Q621">
        <v>4</v>
      </c>
      <c r="R621" t="str">
        <f t="shared" si="38"/>
        <v>Midum Risk</v>
      </c>
      <c r="S621" t="str">
        <f t="shared" si="39"/>
        <v xml:space="preserve">Midum </v>
      </c>
      <c r="T621" s="4">
        <f>Table1[[#This Row],[Deposit_Amount]]+Table1[[#This Row],[Withdrawal_Amount]]</f>
        <v>490938.5</v>
      </c>
      <c r="U621" t="s">
        <v>274</v>
      </c>
    </row>
    <row r="622" spans="1:21" x14ac:dyDescent="0.3">
      <c r="A622">
        <v>621</v>
      </c>
      <c r="B622" t="s">
        <v>202</v>
      </c>
      <c r="C622" t="s">
        <v>16</v>
      </c>
      <c r="D622">
        <v>27</v>
      </c>
      <c r="E622" t="s">
        <v>44</v>
      </c>
      <c r="F622" s="4">
        <v>275552.65999999997</v>
      </c>
      <c r="G622" t="str">
        <f t="shared" si="36"/>
        <v>High Income</v>
      </c>
      <c r="H622">
        <v>297517.13</v>
      </c>
      <c r="I622">
        <v>721</v>
      </c>
      <c r="J622" t="s">
        <v>18</v>
      </c>
      <c r="K622" t="s">
        <v>19</v>
      </c>
      <c r="L622">
        <v>-4364.32</v>
      </c>
      <c r="M622">
        <v>233258.35</v>
      </c>
      <c r="N622" t="s">
        <v>20</v>
      </c>
      <c r="O622" s="7">
        <f t="shared" ca="1" si="37"/>
        <v>45688</v>
      </c>
      <c r="P622" s="7">
        <v>45759</v>
      </c>
      <c r="Q622">
        <v>2</v>
      </c>
      <c r="R622" t="str">
        <f t="shared" si="38"/>
        <v>Low Risk</v>
      </c>
      <c r="S622" t="str">
        <f t="shared" si="39"/>
        <v>Good</v>
      </c>
      <c r="T622" s="4">
        <f>Table1[[#This Row],[Deposit_Amount]]+Table1[[#This Row],[Withdrawal_Amount]]</f>
        <v>573069.79</v>
      </c>
      <c r="U622" t="s">
        <v>274</v>
      </c>
    </row>
    <row r="623" spans="1:21" x14ac:dyDescent="0.3">
      <c r="A623">
        <v>622</v>
      </c>
      <c r="B623" t="s">
        <v>89</v>
      </c>
      <c r="C623" t="s">
        <v>16</v>
      </c>
      <c r="D623">
        <v>18</v>
      </c>
      <c r="E623" t="s">
        <v>17</v>
      </c>
      <c r="F623" s="4">
        <v>45443.49</v>
      </c>
      <c r="G623" t="str">
        <f t="shared" si="36"/>
        <v>Low Income</v>
      </c>
      <c r="H623">
        <v>86259.75</v>
      </c>
      <c r="I623">
        <v>413</v>
      </c>
      <c r="J623" t="s">
        <v>18</v>
      </c>
      <c r="K623" t="s">
        <v>42</v>
      </c>
      <c r="L623">
        <v>-35738.160000000003</v>
      </c>
      <c r="M623">
        <v>39082.51</v>
      </c>
      <c r="N623" t="s">
        <v>28</v>
      </c>
      <c r="O623" s="7">
        <f t="shared" ca="1" si="37"/>
        <v>45895</v>
      </c>
      <c r="P623" s="7">
        <v>45752</v>
      </c>
      <c r="Q623">
        <v>2</v>
      </c>
      <c r="R623" t="str">
        <f t="shared" si="38"/>
        <v>Midum Risk</v>
      </c>
      <c r="S623" t="str">
        <f t="shared" si="39"/>
        <v xml:space="preserve">Midum </v>
      </c>
      <c r="T623" s="4">
        <f>Table1[[#This Row],[Deposit_Amount]]+Table1[[#This Row],[Withdrawal_Amount]]</f>
        <v>131703.24</v>
      </c>
      <c r="U623" t="s">
        <v>274</v>
      </c>
    </row>
    <row r="624" spans="1:21" x14ac:dyDescent="0.3">
      <c r="A624">
        <v>623</v>
      </c>
      <c r="B624" t="s">
        <v>77</v>
      </c>
      <c r="C624" t="s">
        <v>22</v>
      </c>
      <c r="D624">
        <v>44</v>
      </c>
      <c r="E624" t="s">
        <v>35</v>
      </c>
      <c r="F624" s="4">
        <v>315417.53000000003</v>
      </c>
      <c r="G624" t="str">
        <f t="shared" si="36"/>
        <v>High Income</v>
      </c>
      <c r="H624">
        <v>90823.94</v>
      </c>
      <c r="I624">
        <v>712</v>
      </c>
      <c r="J624" t="s">
        <v>41</v>
      </c>
      <c r="K624" t="s">
        <v>36</v>
      </c>
      <c r="L624">
        <v>374157.17</v>
      </c>
      <c r="M624">
        <v>92221.25</v>
      </c>
      <c r="N624" t="s">
        <v>20</v>
      </c>
      <c r="O624" s="7">
        <f t="shared" ca="1" si="37"/>
        <v>45940</v>
      </c>
      <c r="P624" s="7">
        <v>45800</v>
      </c>
      <c r="Q624">
        <v>3</v>
      </c>
      <c r="R624" t="str">
        <f t="shared" si="38"/>
        <v>Low Risk</v>
      </c>
      <c r="S624" t="str">
        <f t="shared" si="39"/>
        <v>Good</v>
      </c>
      <c r="T624" s="4">
        <f>Table1[[#This Row],[Deposit_Amount]]+Table1[[#This Row],[Withdrawal_Amount]]</f>
        <v>406241.47000000003</v>
      </c>
      <c r="U624" t="s">
        <v>274</v>
      </c>
    </row>
    <row r="625" spans="1:21" x14ac:dyDescent="0.3">
      <c r="A625">
        <v>624</v>
      </c>
      <c r="B625" t="s">
        <v>121</v>
      </c>
      <c r="C625" t="s">
        <v>16</v>
      </c>
      <c r="D625">
        <v>66</v>
      </c>
      <c r="E625" t="s">
        <v>44</v>
      </c>
      <c r="F625" s="4">
        <v>250057.46</v>
      </c>
      <c r="G625" t="str">
        <f t="shared" si="36"/>
        <v>High Income</v>
      </c>
      <c r="H625">
        <v>114724.73</v>
      </c>
      <c r="I625">
        <v>301</v>
      </c>
      <c r="J625" t="s">
        <v>38</v>
      </c>
      <c r="K625" t="s">
        <v>19</v>
      </c>
      <c r="L625">
        <v>235765.79</v>
      </c>
      <c r="M625">
        <v>212324.61</v>
      </c>
      <c r="N625" t="s">
        <v>25</v>
      </c>
      <c r="O625" s="7">
        <f t="shared" ca="1" si="37"/>
        <v>45690</v>
      </c>
      <c r="P625" s="7">
        <v>45873</v>
      </c>
      <c r="Q625">
        <v>5</v>
      </c>
      <c r="R625" t="str">
        <f t="shared" si="38"/>
        <v>High Risk</v>
      </c>
      <c r="S625" t="str">
        <f t="shared" si="39"/>
        <v>Poor</v>
      </c>
      <c r="T625" s="4">
        <f>Table1[[#This Row],[Deposit_Amount]]+Table1[[#This Row],[Withdrawal_Amount]]</f>
        <v>364782.19</v>
      </c>
      <c r="U625" t="s">
        <v>274</v>
      </c>
    </row>
    <row r="626" spans="1:21" x14ac:dyDescent="0.3">
      <c r="A626">
        <v>625</v>
      </c>
      <c r="B626" t="s">
        <v>88</v>
      </c>
      <c r="C626" t="s">
        <v>22</v>
      </c>
      <c r="D626">
        <v>64</v>
      </c>
      <c r="E626" t="s">
        <v>40</v>
      </c>
      <c r="F626" s="4">
        <v>177950.16</v>
      </c>
      <c r="G626" t="str">
        <f t="shared" si="36"/>
        <v>Midum Income</v>
      </c>
      <c r="H626">
        <v>273865.28000000003</v>
      </c>
      <c r="I626">
        <v>563</v>
      </c>
      <c r="J626" t="s">
        <v>27</v>
      </c>
      <c r="K626" t="s">
        <v>42</v>
      </c>
      <c r="L626">
        <v>370.93</v>
      </c>
      <c r="M626">
        <v>173017.61</v>
      </c>
      <c r="N626" t="s">
        <v>25</v>
      </c>
      <c r="O626" s="7">
        <f t="shared" ca="1" si="37"/>
        <v>45857</v>
      </c>
      <c r="P626" s="7">
        <v>45828</v>
      </c>
      <c r="Q626">
        <v>1</v>
      </c>
      <c r="R626" t="str">
        <f t="shared" si="38"/>
        <v>Midum Risk</v>
      </c>
      <c r="S626" t="str">
        <f t="shared" si="39"/>
        <v xml:space="preserve">Midum </v>
      </c>
      <c r="T626" s="4">
        <f>Table1[[#This Row],[Deposit_Amount]]+Table1[[#This Row],[Withdrawal_Amount]]</f>
        <v>451815.44000000006</v>
      </c>
      <c r="U626" t="s">
        <v>274</v>
      </c>
    </row>
    <row r="627" spans="1:21" x14ac:dyDescent="0.3">
      <c r="A627">
        <v>626</v>
      </c>
      <c r="B627" t="s">
        <v>183</v>
      </c>
      <c r="C627" t="s">
        <v>22</v>
      </c>
      <c r="D627">
        <v>64</v>
      </c>
      <c r="E627" t="s">
        <v>23</v>
      </c>
      <c r="F627" s="4">
        <v>188005.88</v>
      </c>
      <c r="G627" t="str">
        <f t="shared" si="36"/>
        <v>Midum Income</v>
      </c>
      <c r="H627">
        <v>287233.15999999997</v>
      </c>
      <c r="I627">
        <v>691</v>
      </c>
      <c r="J627" t="s">
        <v>41</v>
      </c>
      <c r="K627" t="s">
        <v>42</v>
      </c>
      <c r="L627">
        <v>-85371.46</v>
      </c>
      <c r="M627">
        <v>185255.87</v>
      </c>
      <c r="N627" t="s">
        <v>25</v>
      </c>
      <c r="O627" s="7">
        <f t="shared" ca="1" si="37"/>
        <v>45685</v>
      </c>
      <c r="P627" s="7">
        <v>45941</v>
      </c>
      <c r="Q627">
        <v>1</v>
      </c>
      <c r="R627" t="str">
        <f t="shared" si="38"/>
        <v>Low Risk</v>
      </c>
      <c r="S627" t="str">
        <f t="shared" si="39"/>
        <v>Good</v>
      </c>
      <c r="T627" s="4">
        <f>Table1[[#This Row],[Deposit_Amount]]+Table1[[#This Row],[Withdrawal_Amount]]</f>
        <v>475239.04</v>
      </c>
      <c r="U627" t="s">
        <v>274</v>
      </c>
    </row>
    <row r="628" spans="1:21" x14ac:dyDescent="0.3">
      <c r="A628">
        <v>627</v>
      </c>
      <c r="B628" t="s">
        <v>54</v>
      </c>
      <c r="C628" t="s">
        <v>16</v>
      </c>
      <c r="D628">
        <v>51</v>
      </c>
      <c r="E628" t="s">
        <v>40</v>
      </c>
      <c r="F628" s="4">
        <v>306006.53999999998</v>
      </c>
      <c r="G628" t="str">
        <f t="shared" si="36"/>
        <v>High Income</v>
      </c>
      <c r="H628">
        <v>261009.1</v>
      </c>
      <c r="I628">
        <v>606</v>
      </c>
      <c r="J628" t="s">
        <v>41</v>
      </c>
      <c r="K628" t="s">
        <v>59</v>
      </c>
      <c r="L628">
        <v>91335.8</v>
      </c>
      <c r="M628">
        <v>146720.67000000001</v>
      </c>
      <c r="N628" t="s">
        <v>25</v>
      </c>
      <c r="O628" s="7">
        <f t="shared" ca="1" si="37"/>
        <v>45783</v>
      </c>
      <c r="P628" s="7">
        <v>45983</v>
      </c>
      <c r="Q628">
        <v>3</v>
      </c>
      <c r="R628" t="str">
        <f t="shared" si="38"/>
        <v>Low Risk</v>
      </c>
      <c r="S628" t="str">
        <f t="shared" si="39"/>
        <v>Good</v>
      </c>
      <c r="T628" s="4">
        <f>Table1[[#This Row],[Deposit_Amount]]+Table1[[#This Row],[Withdrawal_Amount]]</f>
        <v>567015.64</v>
      </c>
      <c r="U628" t="s">
        <v>274</v>
      </c>
    </row>
    <row r="629" spans="1:21" x14ac:dyDescent="0.3">
      <c r="A629">
        <v>628</v>
      </c>
      <c r="B629" t="s">
        <v>105</v>
      </c>
      <c r="C629" t="s">
        <v>22</v>
      </c>
      <c r="D629">
        <v>29</v>
      </c>
      <c r="E629" t="s">
        <v>35</v>
      </c>
      <c r="F629" s="4">
        <v>279385.03999999998</v>
      </c>
      <c r="G629" t="str">
        <f t="shared" si="36"/>
        <v>High Income</v>
      </c>
      <c r="H629">
        <v>2311.11</v>
      </c>
      <c r="I629">
        <v>726</v>
      </c>
      <c r="J629" t="s">
        <v>32</v>
      </c>
      <c r="K629" t="s">
        <v>36</v>
      </c>
      <c r="L629">
        <v>379970.26</v>
      </c>
      <c r="M629">
        <v>166190.94</v>
      </c>
      <c r="N629" t="s">
        <v>25</v>
      </c>
      <c r="O629" s="7">
        <f t="shared" ca="1" si="37"/>
        <v>45963</v>
      </c>
      <c r="P629" s="7">
        <v>45898</v>
      </c>
      <c r="Q629">
        <v>2</v>
      </c>
      <c r="R629" t="str">
        <f t="shared" si="38"/>
        <v>Low Risk</v>
      </c>
      <c r="S629" t="str">
        <f t="shared" si="39"/>
        <v>Good</v>
      </c>
      <c r="T629" s="4">
        <f>Table1[[#This Row],[Deposit_Amount]]+Table1[[#This Row],[Withdrawal_Amount]]</f>
        <v>281696.14999999997</v>
      </c>
      <c r="U629" t="s">
        <v>274</v>
      </c>
    </row>
    <row r="630" spans="1:21" x14ac:dyDescent="0.3">
      <c r="A630">
        <v>629</v>
      </c>
      <c r="B630" t="s">
        <v>194</v>
      </c>
      <c r="C630" t="s">
        <v>22</v>
      </c>
      <c r="D630">
        <v>58</v>
      </c>
      <c r="E630" t="s">
        <v>40</v>
      </c>
      <c r="F630" s="4">
        <v>143851.88</v>
      </c>
      <c r="G630" t="str">
        <f t="shared" si="36"/>
        <v>Midum Income</v>
      </c>
      <c r="H630">
        <v>290195.96000000002</v>
      </c>
      <c r="I630">
        <v>832</v>
      </c>
      <c r="J630" t="s">
        <v>18</v>
      </c>
      <c r="K630" t="s">
        <v>42</v>
      </c>
      <c r="L630">
        <v>13257.13</v>
      </c>
      <c r="M630">
        <v>58660.5</v>
      </c>
      <c r="N630" t="s">
        <v>28</v>
      </c>
      <c r="O630" s="7">
        <f t="shared" ca="1" si="37"/>
        <v>45662</v>
      </c>
      <c r="P630" s="7">
        <v>46022</v>
      </c>
      <c r="Q630">
        <v>2</v>
      </c>
      <c r="R630" t="str">
        <f t="shared" si="38"/>
        <v>Low Risk</v>
      </c>
      <c r="S630" t="str">
        <f t="shared" si="39"/>
        <v>Good</v>
      </c>
      <c r="T630" s="4">
        <f>Table1[[#This Row],[Deposit_Amount]]+Table1[[#This Row],[Withdrawal_Amount]]</f>
        <v>434047.84</v>
      </c>
      <c r="U630" t="s">
        <v>274</v>
      </c>
    </row>
    <row r="631" spans="1:21" x14ac:dyDescent="0.3">
      <c r="A631">
        <v>630</v>
      </c>
      <c r="B631" t="s">
        <v>108</v>
      </c>
      <c r="C631" t="s">
        <v>16</v>
      </c>
      <c r="D631">
        <v>63</v>
      </c>
      <c r="E631" t="s">
        <v>31</v>
      </c>
      <c r="F631" s="4">
        <v>319381.75</v>
      </c>
      <c r="G631" t="str">
        <f t="shared" si="36"/>
        <v>High Income</v>
      </c>
      <c r="H631">
        <v>85696.27</v>
      </c>
      <c r="I631">
        <v>666</v>
      </c>
      <c r="J631" t="s">
        <v>27</v>
      </c>
      <c r="K631" t="s">
        <v>42</v>
      </c>
      <c r="L631">
        <v>304847.68</v>
      </c>
      <c r="M631">
        <v>126483.57</v>
      </c>
      <c r="N631" t="s">
        <v>28</v>
      </c>
      <c r="O631" s="7">
        <f t="shared" ca="1" si="37"/>
        <v>45678</v>
      </c>
      <c r="P631" s="7">
        <v>45864</v>
      </c>
      <c r="Q631">
        <v>4</v>
      </c>
      <c r="R631" t="str">
        <f t="shared" si="38"/>
        <v>Low Risk</v>
      </c>
      <c r="S631" t="str">
        <f t="shared" si="39"/>
        <v>Good</v>
      </c>
      <c r="T631" s="4">
        <f>Table1[[#This Row],[Deposit_Amount]]+Table1[[#This Row],[Withdrawal_Amount]]</f>
        <v>405078.02</v>
      </c>
      <c r="U631" t="s">
        <v>274</v>
      </c>
    </row>
    <row r="632" spans="1:21" x14ac:dyDescent="0.3">
      <c r="A632">
        <v>631</v>
      </c>
      <c r="B632" t="s">
        <v>70</v>
      </c>
      <c r="C632" t="s">
        <v>22</v>
      </c>
      <c r="D632">
        <v>37</v>
      </c>
      <c r="E632" t="s">
        <v>17</v>
      </c>
      <c r="F632" s="4">
        <v>125316.21</v>
      </c>
      <c r="G632" t="str">
        <f t="shared" si="36"/>
        <v>Midum Income</v>
      </c>
      <c r="H632">
        <v>129743.13</v>
      </c>
      <c r="I632">
        <v>647</v>
      </c>
      <c r="J632" t="s">
        <v>27</v>
      </c>
      <c r="K632" t="s">
        <v>42</v>
      </c>
      <c r="L632">
        <v>7823.84</v>
      </c>
      <c r="M632">
        <v>196907.51999999999</v>
      </c>
      <c r="N632" t="s">
        <v>20</v>
      </c>
      <c r="O632" s="7">
        <f t="shared" ca="1" si="37"/>
        <v>45841</v>
      </c>
      <c r="P632" s="7">
        <v>45836</v>
      </c>
      <c r="Q632">
        <v>5</v>
      </c>
      <c r="R632" t="str">
        <f t="shared" si="38"/>
        <v>Low Risk</v>
      </c>
      <c r="S632" t="str">
        <f t="shared" si="39"/>
        <v>Good</v>
      </c>
      <c r="T632" s="4">
        <f>Table1[[#This Row],[Deposit_Amount]]+Table1[[#This Row],[Withdrawal_Amount]]</f>
        <v>255059.34000000003</v>
      </c>
      <c r="U632" t="s">
        <v>274</v>
      </c>
    </row>
    <row r="633" spans="1:21" x14ac:dyDescent="0.3">
      <c r="A633">
        <v>632</v>
      </c>
      <c r="B633" t="s">
        <v>74</v>
      </c>
      <c r="C633" t="s">
        <v>22</v>
      </c>
      <c r="D633">
        <v>47</v>
      </c>
      <c r="E633" t="s">
        <v>40</v>
      </c>
      <c r="F633" s="4">
        <v>69736.320000000007</v>
      </c>
      <c r="G633" t="str">
        <f t="shared" si="36"/>
        <v>Low Income</v>
      </c>
      <c r="H633">
        <v>114505.8</v>
      </c>
      <c r="I633">
        <v>627</v>
      </c>
      <c r="J633" t="s">
        <v>38</v>
      </c>
      <c r="K633" t="s">
        <v>24</v>
      </c>
      <c r="L633">
        <v>83375.149999999994</v>
      </c>
      <c r="M633">
        <v>197130.32</v>
      </c>
      <c r="N633" t="s">
        <v>20</v>
      </c>
      <c r="O633" s="7">
        <f t="shared" ca="1" si="37"/>
        <v>45739</v>
      </c>
      <c r="P633" s="7">
        <v>45972</v>
      </c>
      <c r="Q633">
        <v>3</v>
      </c>
      <c r="R633" t="str">
        <f t="shared" si="38"/>
        <v>Low Risk</v>
      </c>
      <c r="S633" t="str">
        <f t="shared" si="39"/>
        <v>Good</v>
      </c>
      <c r="T633" s="4">
        <f>Table1[[#This Row],[Deposit_Amount]]+Table1[[#This Row],[Withdrawal_Amount]]</f>
        <v>184242.12</v>
      </c>
      <c r="U633" t="s">
        <v>274</v>
      </c>
    </row>
    <row r="634" spans="1:21" x14ac:dyDescent="0.3">
      <c r="A634">
        <v>633</v>
      </c>
      <c r="B634" t="s">
        <v>69</v>
      </c>
      <c r="C634" t="s">
        <v>16</v>
      </c>
      <c r="D634">
        <v>70</v>
      </c>
      <c r="E634" t="s">
        <v>17</v>
      </c>
      <c r="F634" s="4">
        <v>449442.08</v>
      </c>
      <c r="G634" t="str">
        <f t="shared" si="36"/>
        <v>High Income</v>
      </c>
      <c r="H634">
        <v>153183.4</v>
      </c>
      <c r="I634">
        <v>781</v>
      </c>
      <c r="J634" t="s">
        <v>18</v>
      </c>
      <c r="K634" t="s">
        <v>42</v>
      </c>
      <c r="L634">
        <v>453727.51</v>
      </c>
      <c r="M634">
        <v>76545.070000000007</v>
      </c>
      <c r="N634" t="s">
        <v>20</v>
      </c>
      <c r="O634" s="7">
        <f t="shared" ca="1" si="37"/>
        <v>45857</v>
      </c>
      <c r="P634" s="7">
        <v>45980</v>
      </c>
      <c r="Q634">
        <v>4</v>
      </c>
      <c r="R634" t="str">
        <f t="shared" si="38"/>
        <v>Low Risk</v>
      </c>
      <c r="S634" t="str">
        <f t="shared" si="39"/>
        <v>Good</v>
      </c>
      <c r="T634" s="4">
        <f>Table1[[#This Row],[Deposit_Amount]]+Table1[[#This Row],[Withdrawal_Amount]]</f>
        <v>602625.48</v>
      </c>
      <c r="U634" t="s">
        <v>274</v>
      </c>
    </row>
    <row r="635" spans="1:21" x14ac:dyDescent="0.3">
      <c r="A635">
        <v>634</v>
      </c>
      <c r="B635" t="s">
        <v>84</v>
      </c>
      <c r="C635" t="s">
        <v>16</v>
      </c>
      <c r="D635">
        <v>27</v>
      </c>
      <c r="E635" t="s">
        <v>31</v>
      </c>
      <c r="F635" s="4">
        <v>13451.67</v>
      </c>
      <c r="G635" t="str">
        <f t="shared" si="36"/>
        <v>Low Income</v>
      </c>
      <c r="H635">
        <v>181647.27</v>
      </c>
      <c r="I635">
        <v>893</v>
      </c>
      <c r="J635" t="s">
        <v>18</v>
      </c>
      <c r="K635" t="s">
        <v>19</v>
      </c>
      <c r="L635">
        <v>-13316.73</v>
      </c>
      <c r="M635">
        <v>110035.91</v>
      </c>
      <c r="N635" t="s">
        <v>28</v>
      </c>
      <c r="O635" s="7">
        <f t="shared" ca="1" si="37"/>
        <v>45954</v>
      </c>
      <c r="P635" s="7">
        <v>45899</v>
      </c>
      <c r="Q635">
        <v>1</v>
      </c>
      <c r="R635" t="str">
        <f t="shared" si="38"/>
        <v>Low Risk</v>
      </c>
      <c r="S635" t="str">
        <f t="shared" si="39"/>
        <v>Good</v>
      </c>
      <c r="T635" s="4">
        <f>Table1[[#This Row],[Deposit_Amount]]+Table1[[#This Row],[Withdrawal_Amount]]</f>
        <v>195098.94</v>
      </c>
      <c r="U635" t="s">
        <v>274</v>
      </c>
    </row>
    <row r="636" spans="1:21" x14ac:dyDescent="0.3">
      <c r="A636">
        <v>635</v>
      </c>
      <c r="B636" t="s">
        <v>189</v>
      </c>
      <c r="C636" t="s">
        <v>22</v>
      </c>
      <c r="D636">
        <v>50</v>
      </c>
      <c r="E636" t="s">
        <v>17</v>
      </c>
      <c r="F636" s="4">
        <v>227942.37</v>
      </c>
      <c r="G636" t="str">
        <f t="shared" si="36"/>
        <v>High Income</v>
      </c>
      <c r="H636">
        <v>97541.79</v>
      </c>
      <c r="I636">
        <v>378</v>
      </c>
      <c r="J636" t="s">
        <v>32</v>
      </c>
      <c r="K636" t="s">
        <v>19</v>
      </c>
      <c r="L636">
        <v>203307.51999999999</v>
      </c>
      <c r="M636">
        <v>176633.4</v>
      </c>
      <c r="N636" t="s">
        <v>25</v>
      </c>
      <c r="O636" s="7">
        <f t="shared" ca="1" si="37"/>
        <v>45765</v>
      </c>
      <c r="P636" s="7">
        <v>45953</v>
      </c>
      <c r="Q636">
        <v>4</v>
      </c>
      <c r="R636" t="str">
        <f t="shared" si="38"/>
        <v>High Risk</v>
      </c>
      <c r="S636" t="str">
        <f t="shared" si="39"/>
        <v>Poor</v>
      </c>
      <c r="T636" s="4">
        <f>Table1[[#This Row],[Deposit_Amount]]+Table1[[#This Row],[Withdrawal_Amount]]</f>
        <v>325484.15999999997</v>
      </c>
      <c r="U636" t="s">
        <v>274</v>
      </c>
    </row>
    <row r="637" spans="1:21" x14ac:dyDescent="0.3">
      <c r="A637">
        <v>636</v>
      </c>
      <c r="B637" t="s">
        <v>108</v>
      </c>
      <c r="C637" t="s">
        <v>16</v>
      </c>
      <c r="D637">
        <v>49</v>
      </c>
      <c r="E637" t="s">
        <v>44</v>
      </c>
      <c r="F637" s="4">
        <v>487184.73</v>
      </c>
      <c r="G637" t="str">
        <f t="shared" si="36"/>
        <v>High Income</v>
      </c>
      <c r="H637">
        <v>32267.919999999998</v>
      </c>
      <c r="I637">
        <v>581</v>
      </c>
      <c r="J637" t="s">
        <v>32</v>
      </c>
      <c r="K637" t="s">
        <v>24</v>
      </c>
      <c r="L637">
        <v>538891.01</v>
      </c>
      <c r="M637">
        <v>149751.53</v>
      </c>
      <c r="N637" t="s">
        <v>20</v>
      </c>
      <c r="O637" s="7">
        <f t="shared" ca="1" si="37"/>
        <v>45669</v>
      </c>
      <c r="P637" s="7">
        <v>45906</v>
      </c>
      <c r="Q637">
        <v>3</v>
      </c>
      <c r="R637" t="str">
        <f t="shared" si="38"/>
        <v>Midum Risk</v>
      </c>
      <c r="S637" t="str">
        <f t="shared" si="39"/>
        <v xml:space="preserve">Midum </v>
      </c>
      <c r="T637" s="4">
        <f>Table1[[#This Row],[Deposit_Amount]]+Table1[[#This Row],[Withdrawal_Amount]]</f>
        <v>519452.64999999997</v>
      </c>
      <c r="U637" t="s">
        <v>274</v>
      </c>
    </row>
    <row r="638" spans="1:21" x14ac:dyDescent="0.3">
      <c r="A638">
        <v>637</v>
      </c>
      <c r="B638" t="s">
        <v>224</v>
      </c>
      <c r="C638" t="s">
        <v>22</v>
      </c>
      <c r="D638">
        <v>41</v>
      </c>
      <c r="E638" t="s">
        <v>23</v>
      </c>
      <c r="F638" s="4">
        <v>234162.58</v>
      </c>
      <c r="G638" t="str">
        <f t="shared" si="36"/>
        <v>High Income</v>
      </c>
      <c r="H638">
        <v>25356.63</v>
      </c>
      <c r="I638">
        <v>400</v>
      </c>
      <c r="J638" t="s">
        <v>32</v>
      </c>
      <c r="K638" t="s">
        <v>59</v>
      </c>
      <c r="L638">
        <v>215911.07</v>
      </c>
      <c r="M638">
        <v>160358.67000000001</v>
      </c>
      <c r="N638" t="s">
        <v>25</v>
      </c>
      <c r="O638" s="7">
        <f t="shared" ca="1" si="37"/>
        <v>45688</v>
      </c>
      <c r="P638" s="7">
        <v>45758</v>
      </c>
      <c r="Q638">
        <v>4</v>
      </c>
      <c r="R638" t="str">
        <f t="shared" si="38"/>
        <v>High Risk</v>
      </c>
      <c r="S638" t="str">
        <f t="shared" si="39"/>
        <v>Poor</v>
      </c>
      <c r="T638" s="4">
        <f>Table1[[#This Row],[Deposit_Amount]]+Table1[[#This Row],[Withdrawal_Amount]]</f>
        <v>259519.21</v>
      </c>
      <c r="U638" t="s">
        <v>274</v>
      </c>
    </row>
    <row r="639" spans="1:21" x14ac:dyDescent="0.3">
      <c r="A639">
        <v>638</v>
      </c>
      <c r="B639" t="s">
        <v>214</v>
      </c>
      <c r="C639" t="s">
        <v>22</v>
      </c>
      <c r="D639">
        <v>62</v>
      </c>
      <c r="E639" t="s">
        <v>31</v>
      </c>
      <c r="F639" s="4">
        <v>28329.85</v>
      </c>
      <c r="G639" t="str">
        <f t="shared" si="36"/>
        <v>Low Income</v>
      </c>
      <c r="H639">
        <v>211937.18</v>
      </c>
      <c r="I639">
        <v>678</v>
      </c>
      <c r="J639" t="s">
        <v>38</v>
      </c>
      <c r="K639" t="s">
        <v>19</v>
      </c>
      <c r="L639">
        <v>-169315.76</v>
      </c>
      <c r="M639">
        <v>30356.68</v>
      </c>
      <c r="N639" t="s">
        <v>20</v>
      </c>
      <c r="O639" s="7">
        <f t="shared" ca="1" si="37"/>
        <v>45793</v>
      </c>
      <c r="P639" s="7">
        <v>45873</v>
      </c>
      <c r="Q639">
        <v>1</v>
      </c>
      <c r="R639" t="str">
        <f t="shared" si="38"/>
        <v>Low Risk</v>
      </c>
      <c r="S639" t="str">
        <f t="shared" si="39"/>
        <v>Good</v>
      </c>
      <c r="T639" s="4">
        <f>Table1[[#This Row],[Deposit_Amount]]+Table1[[#This Row],[Withdrawal_Amount]]</f>
        <v>240267.03</v>
      </c>
      <c r="U639" t="s">
        <v>274</v>
      </c>
    </row>
    <row r="640" spans="1:21" x14ac:dyDescent="0.3">
      <c r="A640">
        <v>639</v>
      </c>
      <c r="B640" t="s">
        <v>116</v>
      </c>
      <c r="C640" t="s">
        <v>16</v>
      </c>
      <c r="D640">
        <v>62</v>
      </c>
      <c r="E640" t="s">
        <v>40</v>
      </c>
      <c r="F640" s="4">
        <v>342134.58</v>
      </c>
      <c r="G640" t="str">
        <f t="shared" si="36"/>
        <v>High Income</v>
      </c>
      <c r="H640">
        <v>286437.03999999998</v>
      </c>
      <c r="I640">
        <v>824</v>
      </c>
      <c r="J640" t="s">
        <v>32</v>
      </c>
      <c r="K640" t="s">
        <v>36</v>
      </c>
      <c r="L640">
        <v>188334.12</v>
      </c>
      <c r="M640">
        <v>120723.28</v>
      </c>
      <c r="N640" t="s">
        <v>25</v>
      </c>
      <c r="O640" s="7">
        <f t="shared" ca="1" si="37"/>
        <v>45894</v>
      </c>
      <c r="P640" s="7">
        <v>45741</v>
      </c>
      <c r="Q640">
        <v>5</v>
      </c>
      <c r="R640" t="str">
        <f t="shared" si="38"/>
        <v>Low Risk</v>
      </c>
      <c r="S640" t="str">
        <f t="shared" si="39"/>
        <v>Good</v>
      </c>
      <c r="T640" s="4">
        <f>Table1[[#This Row],[Deposit_Amount]]+Table1[[#This Row],[Withdrawal_Amount]]</f>
        <v>628571.62</v>
      </c>
      <c r="U640" t="s">
        <v>274</v>
      </c>
    </row>
    <row r="641" spans="1:21" x14ac:dyDescent="0.3">
      <c r="A641">
        <v>640</v>
      </c>
      <c r="B641" t="s">
        <v>225</v>
      </c>
      <c r="C641" t="s">
        <v>16</v>
      </c>
      <c r="D641">
        <v>51</v>
      </c>
      <c r="E641" t="s">
        <v>23</v>
      </c>
      <c r="F641" s="4">
        <v>423141.42</v>
      </c>
      <c r="G641" t="str">
        <f t="shared" si="36"/>
        <v>High Income</v>
      </c>
      <c r="H641">
        <v>157786.26</v>
      </c>
      <c r="I641">
        <v>324</v>
      </c>
      <c r="J641" t="s">
        <v>38</v>
      </c>
      <c r="K641" t="s">
        <v>36</v>
      </c>
      <c r="L641">
        <v>285755.99</v>
      </c>
      <c r="M641">
        <v>222954.93</v>
      </c>
      <c r="N641" t="s">
        <v>28</v>
      </c>
      <c r="O641" s="7">
        <f t="shared" ca="1" si="37"/>
        <v>45666</v>
      </c>
      <c r="P641" s="7">
        <v>45998</v>
      </c>
      <c r="Q641">
        <v>4</v>
      </c>
      <c r="R641" t="str">
        <f t="shared" si="38"/>
        <v>High Risk</v>
      </c>
      <c r="S641" t="str">
        <f t="shared" si="39"/>
        <v>Poor</v>
      </c>
      <c r="T641" s="4">
        <f>Table1[[#This Row],[Deposit_Amount]]+Table1[[#This Row],[Withdrawal_Amount]]</f>
        <v>580927.67999999993</v>
      </c>
      <c r="U641" t="s">
        <v>274</v>
      </c>
    </row>
    <row r="642" spans="1:21" x14ac:dyDescent="0.3">
      <c r="A642">
        <v>641</v>
      </c>
      <c r="B642" t="s">
        <v>187</v>
      </c>
      <c r="C642" t="s">
        <v>16</v>
      </c>
      <c r="D642">
        <v>53</v>
      </c>
      <c r="E642" t="s">
        <v>40</v>
      </c>
      <c r="F642" s="4">
        <v>459919.41</v>
      </c>
      <c r="G642" t="str">
        <f t="shared" ref="G642:G705" si="40">IF(F642&lt;=100000,"Low Income",IF(F642&lt;=200000,"Midum Income","High Income"))</f>
        <v>High Income</v>
      </c>
      <c r="H642">
        <v>224226.49</v>
      </c>
      <c r="I642">
        <v>858</v>
      </c>
      <c r="J642" t="s">
        <v>38</v>
      </c>
      <c r="K642" t="s">
        <v>24</v>
      </c>
      <c r="L642">
        <v>251528.22</v>
      </c>
      <c r="M642">
        <v>206836.4</v>
      </c>
      <c r="N642" t="s">
        <v>28</v>
      </c>
      <c r="O642" s="7">
        <f t="shared" ref="O642:O705" ca="1" si="41">RANDBETWEEN(DATE(2025,1,1),DATE(2025,12,31))</f>
        <v>45808</v>
      </c>
      <c r="P642" s="7">
        <v>45962</v>
      </c>
      <c r="Q642">
        <v>4</v>
      </c>
      <c r="R642" t="str">
        <f t="shared" ref="R642:R705" si="42">IF(I642&lt;=400,"High Risk",IF(I642&lt;=600,"Midum Risk","Low Risk"))</f>
        <v>Low Risk</v>
      </c>
      <c r="S642" t="str">
        <f t="shared" ref="S642:S705" si="43">IF(I642&lt;=400,"Poor",IF(I642&lt;=600,"Midum ","Good"))</f>
        <v>Good</v>
      </c>
      <c r="T642" s="4">
        <f>Table1[[#This Row],[Deposit_Amount]]+Table1[[#This Row],[Withdrawal_Amount]]</f>
        <v>684145.89999999991</v>
      </c>
      <c r="U642" t="s">
        <v>274</v>
      </c>
    </row>
    <row r="643" spans="1:21" x14ac:dyDescent="0.3">
      <c r="A643">
        <v>642</v>
      </c>
      <c r="B643" t="s">
        <v>83</v>
      </c>
      <c r="C643" t="s">
        <v>22</v>
      </c>
      <c r="D643">
        <v>54</v>
      </c>
      <c r="E643" t="s">
        <v>44</v>
      </c>
      <c r="F643" s="4">
        <v>437033.36</v>
      </c>
      <c r="G643" t="str">
        <f t="shared" si="40"/>
        <v>High Income</v>
      </c>
      <c r="H643">
        <v>92718.38</v>
      </c>
      <c r="I643">
        <v>791</v>
      </c>
      <c r="J643" t="s">
        <v>18</v>
      </c>
      <c r="K643" t="s">
        <v>19</v>
      </c>
      <c r="L643">
        <v>434373.85</v>
      </c>
      <c r="M643">
        <v>91946.87</v>
      </c>
      <c r="N643" t="s">
        <v>28</v>
      </c>
      <c r="O643" s="7">
        <f t="shared" ca="1" si="41"/>
        <v>46017</v>
      </c>
      <c r="P643" s="7">
        <v>45863</v>
      </c>
      <c r="Q643">
        <v>2</v>
      </c>
      <c r="R643" t="str">
        <f t="shared" si="42"/>
        <v>Low Risk</v>
      </c>
      <c r="S643" t="str">
        <f t="shared" si="43"/>
        <v>Good</v>
      </c>
      <c r="T643" s="4">
        <f>Table1[[#This Row],[Deposit_Amount]]+Table1[[#This Row],[Withdrawal_Amount]]</f>
        <v>529751.74</v>
      </c>
      <c r="U643" t="s">
        <v>274</v>
      </c>
    </row>
    <row r="644" spans="1:21" x14ac:dyDescent="0.3">
      <c r="A644">
        <v>643</v>
      </c>
      <c r="B644" t="s">
        <v>81</v>
      </c>
      <c r="C644" t="s">
        <v>22</v>
      </c>
      <c r="D644">
        <v>67</v>
      </c>
      <c r="E644" t="s">
        <v>23</v>
      </c>
      <c r="F644" s="4">
        <v>304035.26</v>
      </c>
      <c r="G644" t="str">
        <f t="shared" si="40"/>
        <v>High Income</v>
      </c>
      <c r="H644">
        <v>7841.49</v>
      </c>
      <c r="I644">
        <v>450</v>
      </c>
      <c r="J644" t="s">
        <v>18</v>
      </c>
      <c r="K644" t="s">
        <v>59</v>
      </c>
      <c r="L644">
        <v>483258.37</v>
      </c>
      <c r="M644">
        <v>115833.96</v>
      </c>
      <c r="N644" t="s">
        <v>20</v>
      </c>
      <c r="O644" s="7">
        <f t="shared" ca="1" si="41"/>
        <v>45872</v>
      </c>
      <c r="P644" s="7">
        <v>45827</v>
      </c>
      <c r="Q644">
        <v>4</v>
      </c>
      <c r="R644" t="str">
        <f t="shared" si="42"/>
        <v>Midum Risk</v>
      </c>
      <c r="S644" t="str">
        <f t="shared" si="43"/>
        <v xml:space="preserve">Midum </v>
      </c>
      <c r="T644" s="4">
        <f>Table1[[#This Row],[Deposit_Amount]]+Table1[[#This Row],[Withdrawal_Amount]]</f>
        <v>311876.75</v>
      </c>
      <c r="U644" t="s">
        <v>274</v>
      </c>
    </row>
    <row r="645" spans="1:21" x14ac:dyDescent="0.3">
      <c r="A645">
        <v>644</v>
      </c>
      <c r="B645" t="s">
        <v>154</v>
      </c>
      <c r="C645" t="s">
        <v>16</v>
      </c>
      <c r="D645">
        <v>39</v>
      </c>
      <c r="E645" t="s">
        <v>31</v>
      </c>
      <c r="F645" s="4">
        <v>494506.61</v>
      </c>
      <c r="G645" t="str">
        <f t="shared" si="40"/>
        <v>High Income</v>
      </c>
      <c r="H645">
        <v>97088.86</v>
      </c>
      <c r="I645">
        <v>543</v>
      </c>
      <c r="J645" t="s">
        <v>32</v>
      </c>
      <c r="K645" t="s">
        <v>36</v>
      </c>
      <c r="L645">
        <v>412419.87</v>
      </c>
      <c r="M645">
        <v>133494.22</v>
      </c>
      <c r="N645" t="s">
        <v>28</v>
      </c>
      <c r="O645" s="7">
        <f t="shared" ca="1" si="41"/>
        <v>45745</v>
      </c>
      <c r="P645" s="7">
        <v>46010</v>
      </c>
      <c r="Q645">
        <v>5</v>
      </c>
      <c r="R645" t="str">
        <f t="shared" si="42"/>
        <v>Midum Risk</v>
      </c>
      <c r="S645" t="str">
        <f t="shared" si="43"/>
        <v xml:space="preserve">Midum </v>
      </c>
      <c r="T645" s="4">
        <f>Table1[[#This Row],[Deposit_Amount]]+Table1[[#This Row],[Withdrawal_Amount]]</f>
        <v>591595.47</v>
      </c>
      <c r="U645" t="s">
        <v>274</v>
      </c>
    </row>
    <row r="646" spans="1:21" x14ac:dyDescent="0.3">
      <c r="A646">
        <v>645</v>
      </c>
      <c r="B646" t="s">
        <v>47</v>
      </c>
      <c r="C646" t="s">
        <v>16</v>
      </c>
      <c r="D646">
        <v>69</v>
      </c>
      <c r="E646" t="s">
        <v>23</v>
      </c>
      <c r="F646" s="4">
        <v>142471.93</v>
      </c>
      <c r="G646" t="str">
        <f t="shared" si="40"/>
        <v>Midum Income</v>
      </c>
      <c r="H646">
        <v>115999.54</v>
      </c>
      <c r="I646">
        <v>589</v>
      </c>
      <c r="J646" t="s">
        <v>41</v>
      </c>
      <c r="K646" t="s">
        <v>42</v>
      </c>
      <c r="L646">
        <v>147479.76</v>
      </c>
      <c r="M646">
        <v>49860.27</v>
      </c>
      <c r="N646" t="s">
        <v>25</v>
      </c>
      <c r="O646" s="7">
        <f t="shared" ca="1" si="41"/>
        <v>45967</v>
      </c>
      <c r="P646" s="7">
        <v>45739</v>
      </c>
      <c r="Q646">
        <v>2</v>
      </c>
      <c r="R646" t="str">
        <f t="shared" si="42"/>
        <v>Midum Risk</v>
      </c>
      <c r="S646" t="str">
        <f t="shared" si="43"/>
        <v xml:space="preserve">Midum </v>
      </c>
      <c r="T646" s="4">
        <f>Table1[[#This Row],[Deposit_Amount]]+Table1[[#This Row],[Withdrawal_Amount]]</f>
        <v>258471.46999999997</v>
      </c>
      <c r="U646" t="s">
        <v>274</v>
      </c>
    </row>
    <row r="647" spans="1:21" x14ac:dyDescent="0.3">
      <c r="A647">
        <v>646</v>
      </c>
      <c r="B647" t="s">
        <v>149</v>
      </c>
      <c r="C647" t="s">
        <v>22</v>
      </c>
      <c r="D647">
        <v>35</v>
      </c>
      <c r="E647" t="s">
        <v>35</v>
      </c>
      <c r="F647" s="4">
        <v>185672.62</v>
      </c>
      <c r="G647" t="str">
        <f t="shared" si="40"/>
        <v>Midum Income</v>
      </c>
      <c r="H647">
        <v>220712.12</v>
      </c>
      <c r="I647">
        <v>587</v>
      </c>
      <c r="J647" t="s">
        <v>41</v>
      </c>
      <c r="K647" t="s">
        <v>19</v>
      </c>
      <c r="L647">
        <v>150082.26</v>
      </c>
      <c r="M647">
        <v>128448.25</v>
      </c>
      <c r="N647" t="s">
        <v>20</v>
      </c>
      <c r="O647" s="7">
        <f t="shared" ca="1" si="41"/>
        <v>45862</v>
      </c>
      <c r="P647" s="7">
        <v>45753</v>
      </c>
      <c r="Q647">
        <v>4</v>
      </c>
      <c r="R647" t="str">
        <f t="shared" si="42"/>
        <v>Midum Risk</v>
      </c>
      <c r="S647" t="str">
        <f t="shared" si="43"/>
        <v xml:space="preserve">Midum </v>
      </c>
      <c r="T647" s="4">
        <f>Table1[[#This Row],[Deposit_Amount]]+Table1[[#This Row],[Withdrawal_Amount]]</f>
        <v>406384.74</v>
      </c>
      <c r="U647" t="s">
        <v>274</v>
      </c>
    </row>
    <row r="648" spans="1:21" x14ac:dyDescent="0.3">
      <c r="A648">
        <v>647</v>
      </c>
      <c r="B648" t="s">
        <v>225</v>
      </c>
      <c r="C648" t="s">
        <v>16</v>
      </c>
      <c r="D648">
        <v>42</v>
      </c>
      <c r="E648" t="s">
        <v>31</v>
      </c>
      <c r="F648" s="4">
        <v>338144.25</v>
      </c>
      <c r="G648" t="str">
        <f t="shared" si="40"/>
        <v>High Income</v>
      </c>
      <c r="H648">
        <v>209191.48</v>
      </c>
      <c r="I648">
        <v>782</v>
      </c>
      <c r="J648" t="s">
        <v>18</v>
      </c>
      <c r="K648" t="s">
        <v>42</v>
      </c>
      <c r="L648">
        <v>325371.98</v>
      </c>
      <c r="M648">
        <v>100670.41</v>
      </c>
      <c r="N648" t="s">
        <v>20</v>
      </c>
      <c r="O648" s="7">
        <f t="shared" ca="1" si="41"/>
        <v>45896</v>
      </c>
      <c r="P648" s="7">
        <v>45861</v>
      </c>
      <c r="Q648">
        <v>4</v>
      </c>
      <c r="R648" t="str">
        <f t="shared" si="42"/>
        <v>Low Risk</v>
      </c>
      <c r="S648" t="str">
        <f t="shared" si="43"/>
        <v>Good</v>
      </c>
      <c r="T648" s="4">
        <f>Table1[[#This Row],[Deposit_Amount]]+Table1[[#This Row],[Withdrawal_Amount]]</f>
        <v>547335.73</v>
      </c>
      <c r="U648" t="s">
        <v>274</v>
      </c>
    </row>
    <row r="649" spans="1:21" x14ac:dyDescent="0.3">
      <c r="A649">
        <v>648</v>
      </c>
      <c r="B649" t="s">
        <v>226</v>
      </c>
      <c r="C649" t="s">
        <v>22</v>
      </c>
      <c r="D649">
        <v>22</v>
      </c>
      <c r="E649" t="s">
        <v>44</v>
      </c>
      <c r="F649" s="4">
        <v>282839.46000000002</v>
      </c>
      <c r="G649" t="str">
        <f t="shared" si="40"/>
        <v>High Income</v>
      </c>
      <c r="H649">
        <v>287563.68</v>
      </c>
      <c r="I649">
        <v>358</v>
      </c>
      <c r="J649" t="s">
        <v>41</v>
      </c>
      <c r="K649" t="s">
        <v>36</v>
      </c>
      <c r="L649">
        <v>108350.38</v>
      </c>
      <c r="M649">
        <v>181707.62</v>
      </c>
      <c r="N649" t="s">
        <v>20</v>
      </c>
      <c r="O649" s="7">
        <f t="shared" ca="1" si="41"/>
        <v>45791</v>
      </c>
      <c r="P649" s="7">
        <v>45793</v>
      </c>
      <c r="Q649">
        <v>5</v>
      </c>
      <c r="R649" t="str">
        <f t="shared" si="42"/>
        <v>High Risk</v>
      </c>
      <c r="S649" t="str">
        <f t="shared" si="43"/>
        <v>Poor</v>
      </c>
      <c r="T649" s="4">
        <f>Table1[[#This Row],[Deposit_Amount]]+Table1[[#This Row],[Withdrawal_Amount]]</f>
        <v>570403.14</v>
      </c>
      <c r="U649" t="s">
        <v>274</v>
      </c>
    </row>
    <row r="650" spans="1:21" x14ac:dyDescent="0.3">
      <c r="A650">
        <v>649</v>
      </c>
      <c r="B650" t="s">
        <v>65</v>
      </c>
      <c r="C650" t="s">
        <v>22</v>
      </c>
      <c r="D650">
        <v>50</v>
      </c>
      <c r="E650" t="s">
        <v>44</v>
      </c>
      <c r="F650" s="4">
        <v>423573.84</v>
      </c>
      <c r="G650" t="str">
        <f t="shared" si="40"/>
        <v>High Income</v>
      </c>
      <c r="H650">
        <v>266555.69</v>
      </c>
      <c r="I650">
        <v>460</v>
      </c>
      <c r="J650" t="s">
        <v>41</v>
      </c>
      <c r="K650" t="s">
        <v>19</v>
      </c>
      <c r="L650">
        <v>335893.32</v>
      </c>
      <c r="M650">
        <v>20140.57</v>
      </c>
      <c r="N650" t="s">
        <v>20</v>
      </c>
      <c r="O650" s="7">
        <f t="shared" ca="1" si="41"/>
        <v>45856</v>
      </c>
      <c r="P650" s="7">
        <v>45943</v>
      </c>
      <c r="Q650">
        <v>4</v>
      </c>
      <c r="R650" t="str">
        <f t="shared" si="42"/>
        <v>Midum Risk</v>
      </c>
      <c r="S650" t="str">
        <f t="shared" si="43"/>
        <v xml:space="preserve">Midum </v>
      </c>
      <c r="T650" s="4">
        <f>Table1[[#This Row],[Deposit_Amount]]+Table1[[#This Row],[Withdrawal_Amount]]</f>
        <v>690129.53</v>
      </c>
      <c r="U650" t="s">
        <v>274</v>
      </c>
    </row>
    <row r="651" spans="1:21" x14ac:dyDescent="0.3">
      <c r="A651">
        <v>650</v>
      </c>
      <c r="B651" t="s">
        <v>53</v>
      </c>
      <c r="C651" t="s">
        <v>22</v>
      </c>
      <c r="D651">
        <v>53</v>
      </c>
      <c r="E651" t="s">
        <v>23</v>
      </c>
      <c r="F651" s="4">
        <v>311608.99</v>
      </c>
      <c r="G651" t="str">
        <f t="shared" si="40"/>
        <v>High Income</v>
      </c>
      <c r="H651">
        <v>273087.65999999997</v>
      </c>
      <c r="I651">
        <v>752</v>
      </c>
      <c r="J651" t="s">
        <v>41</v>
      </c>
      <c r="K651" t="s">
        <v>59</v>
      </c>
      <c r="L651">
        <v>101933.59</v>
      </c>
      <c r="M651">
        <v>249037.83</v>
      </c>
      <c r="N651" t="s">
        <v>20</v>
      </c>
      <c r="O651" s="7">
        <f t="shared" ca="1" si="41"/>
        <v>45729</v>
      </c>
      <c r="P651" s="7">
        <v>45908</v>
      </c>
      <c r="Q651">
        <v>4</v>
      </c>
      <c r="R651" t="str">
        <f t="shared" si="42"/>
        <v>Low Risk</v>
      </c>
      <c r="S651" t="str">
        <f t="shared" si="43"/>
        <v>Good</v>
      </c>
      <c r="T651" s="4">
        <f>Table1[[#This Row],[Deposit_Amount]]+Table1[[#This Row],[Withdrawal_Amount]]</f>
        <v>584696.64999999991</v>
      </c>
      <c r="U651" t="s">
        <v>274</v>
      </c>
    </row>
    <row r="652" spans="1:21" x14ac:dyDescent="0.3">
      <c r="A652">
        <v>651</v>
      </c>
      <c r="B652" t="s">
        <v>99</v>
      </c>
      <c r="C652" t="s">
        <v>16</v>
      </c>
      <c r="D652">
        <v>57</v>
      </c>
      <c r="E652" t="s">
        <v>44</v>
      </c>
      <c r="F652" s="4">
        <v>382841.82</v>
      </c>
      <c r="G652" t="str">
        <f t="shared" si="40"/>
        <v>High Income</v>
      </c>
      <c r="H652">
        <v>127066.57</v>
      </c>
      <c r="I652">
        <v>418</v>
      </c>
      <c r="J652" t="s">
        <v>18</v>
      </c>
      <c r="K652" t="s">
        <v>19</v>
      </c>
      <c r="L652">
        <v>338516.35</v>
      </c>
      <c r="M652">
        <v>231601.33</v>
      </c>
      <c r="N652" t="s">
        <v>25</v>
      </c>
      <c r="O652" s="7">
        <f t="shared" ca="1" si="41"/>
        <v>45761</v>
      </c>
      <c r="P652" s="7">
        <v>45976</v>
      </c>
      <c r="Q652">
        <v>5</v>
      </c>
      <c r="R652" t="str">
        <f t="shared" si="42"/>
        <v>Midum Risk</v>
      </c>
      <c r="S652" t="str">
        <f t="shared" si="43"/>
        <v xml:space="preserve">Midum </v>
      </c>
      <c r="T652" s="4">
        <f>Table1[[#This Row],[Deposit_Amount]]+Table1[[#This Row],[Withdrawal_Amount]]</f>
        <v>509908.39</v>
      </c>
      <c r="U652" t="s">
        <v>274</v>
      </c>
    </row>
    <row r="653" spans="1:21" x14ac:dyDescent="0.3">
      <c r="A653">
        <v>652</v>
      </c>
      <c r="B653" t="s">
        <v>219</v>
      </c>
      <c r="C653" t="s">
        <v>22</v>
      </c>
      <c r="D653">
        <v>30</v>
      </c>
      <c r="E653" t="s">
        <v>35</v>
      </c>
      <c r="F653" s="4">
        <v>39420.97</v>
      </c>
      <c r="G653" t="str">
        <f t="shared" si="40"/>
        <v>Low Income</v>
      </c>
      <c r="H653">
        <v>17650.97</v>
      </c>
      <c r="I653">
        <v>510</v>
      </c>
      <c r="J653" t="s">
        <v>41</v>
      </c>
      <c r="K653" t="s">
        <v>19</v>
      </c>
      <c r="L653">
        <v>188093.73</v>
      </c>
      <c r="M653">
        <v>19987.919999999998</v>
      </c>
      <c r="N653" t="s">
        <v>20</v>
      </c>
      <c r="O653" s="7">
        <f t="shared" ca="1" si="41"/>
        <v>45915</v>
      </c>
      <c r="P653" s="7">
        <v>45883</v>
      </c>
      <c r="Q653">
        <v>5</v>
      </c>
      <c r="R653" t="str">
        <f t="shared" si="42"/>
        <v>Midum Risk</v>
      </c>
      <c r="S653" t="str">
        <f t="shared" si="43"/>
        <v xml:space="preserve">Midum </v>
      </c>
      <c r="T653" s="4">
        <f>Table1[[#This Row],[Deposit_Amount]]+Table1[[#This Row],[Withdrawal_Amount]]</f>
        <v>57071.94</v>
      </c>
      <c r="U653" t="s">
        <v>274</v>
      </c>
    </row>
    <row r="654" spans="1:21" x14ac:dyDescent="0.3">
      <c r="A654">
        <v>653</v>
      </c>
      <c r="B654" t="s">
        <v>61</v>
      </c>
      <c r="C654" t="s">
        <v>22</v>
      </c>
      <c r="D654">
        <v>46</v>
      </c>
      <c r="E654" t="s">
        <v>35</v>
      </c>
      <c r="F654" s="4">
        <v>346477.67</v>
      </c>
      <c r="G654" t="str">
        <f t="shared" si="40"/>
        <v>High Income</v>
      </c>
      <c r="H654">
        <v>5781.74</v>
      </c>
      <c r="I654">
        <v>586</v>
      </c>
      <c r="J654" t="s">
        <v>18</v>
      </c>
      <c r="K654" t="s">
        <v>19</v>
      </c>
      <c r="L654">
        <v>382966.01</v>
      </c>
      <c r="M654">
        <v>109827.36</v>
      </c>
      <c r="N654" t="s">
        <v>28</v>
      </c>
      <c r="O654" s="7">
        <f t="shared" ca="1" si="41"/>
        <v>45962</v>
      </c>
      <c r="P654" s="7">
        <v>45921</v>
      </c>
      <c r="Q654">
        <v>4</v>
      </c>
      <c r="R654" t="str">
        <f t="shared" si="42"/>
        <v>Midum Risk</v>
      </c>
      <c r="S654" t="str">
        <f t="shared" si="43"/>
        <v xml:space="preserve">Midum </v>
      </c>
      <c r="T654" s="4">
        <f>Table1[[#This Row],[Deposit_Amount]]+Table1[[#This Row],[Withdrawal_Amount]]</f>
        <v>352259.41</v>
      </c>
      <c r="U654" t="s">
        <v>274</v>
      </c>
    </row>
    <row r="655" spans="1:21" x14ac:dyDescent="0.3">
      <c r="A655">
        <v>654</v>
      </c>
      <c r="B655" t="s">
        <v>117</v>
      </c>
      <c r="C655" t="s">
        <v>22</v>
      </c>
      <c r="D655">
        <v>65</v>
      </c>
      <c r="E655" t="s">
        <v>44</v>
      </c>
      <c r="F655" s="4">
        <v>481425.64</v>
      </c>
      <c r="G655" t="str">
        <f t="shared" si="40"/>
        <v>High Income</v>
      </c>
      <c r="H655">
        <v>102574.1</v>
      </c>
      <c r="I655">
        <v>310</v>
      </c>
      <c r="J655" t="s">
        <v>38</v>
      </c>
      <c r="K655" t="s">
        <v>36</v>
      </c>
      <c r="L655">
        <v>517738.36</v>
      </c>
      <c r="M655">
        <v>171374.79</v>
      </c>
      <c r="N655" t="s">
        <v>20</v>
      </c>
      <c r="O655" s="7">
        <f t="shared" ca="1" si="41"/>
        <v>45961</v>
      </c>
      <c r="P655" s="7">
        <v>45754</v>
      </c>
      <c r="Q655">
        <v>1</v>
      </c>
      <c r="R655" t="str">
        <f t="shared" si="42"/>
        <v>High Risk</v>
      </c>
      <c r="S655" t="str">
        <f t="shared" si="43"/>
        <v>Poor</v>
      </c>
      <c r="T655" s="4">
        <f>Table1[[#This Row],[Deposit_Amount]]+Table1[[#This Row],[Withdrawal_Amount]]</f>
        <v>583999.74</v>
      </c>
      <c r="U655" t="s">
        <v>274</v>
      </c>
    </row>
    <row r="656" spans="1:21" x14ac:dyDescent="0.3">
      <c r="A656">
        <v>655</v>
      </c>
      <c r="B656" t="s">
        <v>64</v>
      </c>
      <c r="C656" t="s">
        <v>16</v>
      </c>
      <c r="D656">
        <v>61</v>
      </c>
      <c r="E656" t="s">
        <v>44</v>
      </c>
      <c r="F656" s="4">
        <v>147742.23000000001</v>
      </c>
      <c r="G656" t="str">
        <f t="shared" si="40"/>
        <v>Midum Income</v>
      </c>
      <c r="H656">
        <v>165148.07</v>
      </c>
      <c r="I656">
        <v>760</v>
      </c>
      <c r="J656" t="s">
        <v>32</v>
      </c>
      <c r="K656" t="s">
        <v>24</v>
      </c>
      <c r="L656">
        <v>144947.74</v>
      </c>
      <c r="M656">
        <v>151659.32999999999</v>
      </c>
      <c r="N656" t="s">
        <v>20</v>
      </c>
      <c r="O656" s="7">
        <f t="shared" ca="1" si="41"/>
        <v>46004</v>
      </c>
      <c r="P656" s="7">
        <v>45931</v>
      </c>
      <c r="Q656">
        <v>4</v>
      </c>
      <c r="R656" t="str">
        <f t="shared" si="42"/>
        <v>Low Risk</v>
      </c>
      <c r="S656" t="str">
        <f t="shared" si="43"/>
        <v>Good</v>
      </c>
      <c r="T656" s="4">
        <f>Table1[[#This Row],[Deposit_Amount]]+Table1[[#This Row],[Withdrawal_Amount]]</f>
        <v>312890.30000000005</v>
      </c>
      <c r="U656" t="s">
        <v>274</v>
      </c>
    </row>
    <row r="657" spans="1:21" x14ac:dyDescent="0.3">
      <c r="A657">
        <v>656</v>
      </c>
      <c r="B657" t="s">
        <v>178</v>
      </c>
      <c r="C657" t="s">
        <v>22</v>
      </c>
      <c r="D657">
        <v>32</v>
      </c>
      <c r="E657" t="s">
        <v>17</v>
      </c>
      <c r="F657" s="4">
        <v>160239.59</v>
      </c>
      <c r="G657" t="str">
        <f t="shared" si="40"/>
        <v>Midum Income</v>
      </c>
      <c r="H657">
        <v>237287.28</v>
      </c>
      <c r="I657">
        <v>544</v>
      </c>
      <c r="J657" t="s">
        <v>32</v>
      </c>
      <c r="K657" t="s">
        <v>24</v>
      </c>
      <c r="L657">
        <v>56934.12</v>
      </c>
      <c r="M657">
        <v>222167.4</v>
      </c>
      <c r="N657" t="s">
        <v>20</v>
      </c>
      <c r="O657" s="7">
        <f t="shared" ca="1" si="41"/>
        <v>45983</v>
      </c>
      <c r="P657" s="7">
        <v>45834</v>
      </c>
      <c r="Q657">
        <v>2</v>
      </c>
      <c r="R657" t="str">
        <f t="shared" si="42"/>
        <v>Midum Risk</v>
      </c>
      <c r="S657" t="str">
        <f t="shared" si="43"/>
        <v xml:space="preserve">Midum </v>
      </c>
      <c r="T657" s="4">
        <f>Table1[[#This Row],[Deposit_Amount]]+Table1[[#This Row],[Withdrawal_Amount]]</f>
        <v>397526.87</v>
      </c>
      <c r="U657" t="s">
        <v>274</v>
      </c>
    </row>
    <row r="658" spans="1:21" x14ac:dyDescent="0.3">
      <c r="A658">
        <v>657</v>
      </c>
      <c r="B658" t="s">
        <v>210</v>
      </c>
      <c r="C658" t="s">
        <v>16</v>
      </c>
      <c r="D658">
        <v>62</v>
      </c>
      <c r="E658" t="s">
        <v>17</v>
      </c>
      <c r="F658" s="4">
        <v>45082.85</v>
      </c>
      <c r="G658" t="str">
        <f t="shared" si="40"/>
        <v>Low Income</v>
      </c>
      <c r="H658">
        <v>13961.36</v>
      </c>
      <c r="I658">
        <v>894</v>
      </c>
      <c r="J658" t="s">
        <v>32</v>
      </c>
      <c r="K658" t="s">
        <v>19</v>
      </c>
      <c r="L658">
        <v>124338.87</v>
      </c>
      <c r="M658">
        <v>186703.53</v>
      </c>
      <c r="N658" t="s">
        <v>25</v>
      </c>
      <c r="O658" s="7">
        <f t="shared" ca="1" si="41"/>
        <v>45972</v>
      </c>
      <c r="P658" s="7">
        <v>45865</v>
      </c>
      <c r="Q658">
        <v>2</v>
      </c>
      <c r="R658" t="str">
        <f t="shared" si="42"/>
        <v>Low Risk</v>
      </c>
      <c r="S658" t="str">
        <f t="shared" si="43"/>
        <v>Good</v>
      </c>
      <c r="T658" s="4">
        <f>Table1[[#This Row],[Deposit_Amount]]+Table1[[#This Row],[Withdrawal_Amount]]</f>
        <v>59044.21</v>
      </c>
      <c r="U658" t="s">
        <v>274</v>
      </c>
    </row>
    <row r="659" spans="1:21" x14ac:dyDescent="0.3">
      <c r="A659">
        <v>658</v>
      </c>
      <c r="B659" t="s">
        <v>110</v>
      </c>
      <c r="C659" t="s">
        <v>22</v>
      </c>
      <c r="D659">
        <v>67</v>
      </c>
      <c r="E659" t="s">
        <v>23</v>
      </c>
      <c r="F659" s="4">
        <v>194843.64</v>
      </c>
      <c r="G659" t="str">
        <f t="shared" si="40"/>
        <v>Midum Income</v>
      </c>
      <c r="H659">
        <v>296632.44</v>
      </c>
      <c r="I659">
        <v>690</v>
      </c>
      <c r="J659" t="s">
        <v>38</v>
      </c>
      <c r="K659" t="s">
        <v>19</v>
      </c>
      <c r="L659">
        <v>49736.42</v>
      </c>
      <c r="M659">
        <v>22147.599999999999</v>
      </c>
      <c r="N659" t="s">
        <v>20</v>
      </c>
      <c r="O659" s="7">
        <f t="shared" ca="1" si="41"/>
        <v>45751</v>
      </c>
      <c r="P659" s="7">
        <v>45684</v>
      </c>
      <c r="Q659">
        <v>2</v>
      </c>
      <c r="R659" t="str">
        <f t="shared" si="42"/>
        <v>Low Risk</v>
      </c>
      <c r="S659" t="str">
        <f t="shared" si="43"/>
        <v>Good</v>
      </c>
      <c r="T659" s="4">
        <f>Table1[[#This Row],[Deposit_Amount]]+Table1[[#This Row],[Withdrawal_Amount]]</f>
        <v>491476.08</v>
      </c>
      <c r="U659" t="s">
        <v>274</v>
      </c>
    </row>
    <row r="660" spans="1:21" x14ac:dyDescent="0.3">
      <c r="A660">
        <v>659</v>
      </c>
      <c r="B660" t="s">
        <v>63</v>
      </c>
      <c r="C660" t="s">
        <v>22</v>
      </c>
      <c r="D660">
        <v>57</v>
      </c>
      <c r="E660" t="s">
        <v>31</v>
      </c>
      <c r="F660" s="4">
        <v>428052.66</v>
      </c>
      <c r="G660" t="str">
        <f t="shared" si="40"/>
        <v>High Income</v>
      </c>
      <c r="H660">
        <v>182424.73</v>
      </c>
      <c r="I660">
        <v>346</v>
      </c>
      <c r="J660" t="s">
        <v>18</v>
      </c>
      <c r="K660" t="s">
        <v>42</v>
      </c>
      <c r="L660">
        <v>329059.32</v>
      </c>
      <c r="M660">
        <v>208453.18</v>
      </c>
      <c r="N660" t="s">
        <v>28</v>
      </c>
      <c r="O660" s="7">
        <f t="shared" ca="1" si="41"/>
        <v>45737</v>
      </c>
      <c r="P660" s="7">
        <v>45891</v>
      </c>
      <c r="Q660">
        <v>4</v>
      </c>
      <c r="R660" t="str">
        <f t="shared" si="42"/>
        <v>High Risk</v>
      </c>
      <c r="S660" t="str">
        <f t="shared" si="43"/>
        <v>Poor</v>
      </c>
      <c r="T660" s="4">
        <f>Table1[[#This Row],[Deposit_Amount]]+Table1[[#This Row],[Withdrawal_Amount]]</f>
        <v>610477.39</v>
      </c>
      <c r="U660" t="s">
        <v>274</v>
      </c>
    </row>
    <row r="661" spans="1:21" x14ac:dyDescent="0.3">
      <c r="A661">
        <v>660</v>
      </c>
      <c r="B661" t="s">
        <v>204</v>
      </c>
      <c r="C661" t="s">
        <v>16</v>
      </c>
      <c r="D661">
        <v>69</v>
      </c>
      <c r="E661" t="s">
        <v>35</v>
      </c>
      <c r="F661" s="4">
        <v>152541.9</v>
      </c>
      <c r="G661" t="str">
        <f t="shared" si="40"/>
        <v>Midum Income</v>
      </c>
      <c r="H661">
        <v>254459.93</v>
      </c>
      <c r="I661">
        <v>509</v>
      </c>
      <c r="J661" t="s">
        <v>38</v>
      </c>
      <c r="K661" t="s">
        <v>24</v>
      </c>
      <c r="L661">
        <v>14500.77</v>
      </c>
      <c r="M661">
        <v>147521.23000000001</v>
      </c>
      <c r="N661" t="s">
        <v>20</v>
      </c>
      <c r="O661" s="7">
        <f t="shared" ca="1" si="41"/>
        <v>45891</v>
      </c>
      <c r="P661" s="7">
        <v>45716</v>
      </c>
      <c r="Q661">
        <v>3</v>
      </c>
      <c r="R661" t="str">
        <f t="shared" si="42"/>
        <v>Midum Risk</v>
      </c>
      <c r="S661" t="str">
        <f t="shared" si="43"/>
        <v xml:space="preserve">Midum </v>
      </c>
      <c r="T661" s="4">
        <f>Table1[[#This Row],[Deposit_Amount]]+Table1[[#This Row],[Withdrawal_Amount]]</f>
        <v>407001.82999999996</v>
      </c>
      <c r="U661" t="s">
        <v>274</v>
      </c>
    </row>
    <row r="662" spans="1:21" x14ac:dyDescent="0.3">
      <c r="A662">
        <v>661</v>
      </c>
      <c r="B662" t="s">
        <v>138</v>
      </c>
      <c r="C662" t="s">
        <v>22</v>
      </c>
      <c r="D662">
        <v>54</v>
      </c>
      <c r="E662" t="s">
        <v>44</v>
      </c>
      <c r="F662" s="4">
        <v>306184.74</v>
      </c>
      <c r="G662" t="str">
        <f t="shared" si="40"/>
        <v>High Income</v>
      </c>
      <c r="H662">
        <v>263405.92</v>
      </c>
      <c r="I662">
        <v>772</v>
      </c>
      <c r="J662" t="s">
        <v>38</v>
      </c>
      <c r="K662" t="s">
        <v>24</v>
      </c>
      <c r="L662">
        <v>55374.67</v>
      </c>
      <c r="M662">
        <v>188908.36</v>
      </c>
      <c r="N662" t="s">
        <v>25</v>
      </c>
      <c r="O662" s="7">
        <f t="shared" ca="1" si="41"/>
        <v>45834</v>
      </c>
      <c r="P662" s="7">
        <v>45755</v>
      </c>
      <c r="Q662">
        <v>3</v>
      </c>
      <c r="R662" t="str">
        <f t="shared" si="42"/>
        <v>Low Risk</v>
      </c>
      <c r="S662" t="str">
        <f t="shared" si="43"/>
        <v>Good</v>
      </c>
      <c r="T662" s="4">
        <f>Table1[[#This Row],[Deposit_Amount]]+Table1[[#This Row],[Withdrawal_Amount]]</f>
        <v>569590.65999999992</v>
      </c>
      <c r="U662" t="s">
        <v>274</v>
      </c>
    </row>
    <row r="663" spans="1:21" x14ac:dyDescent="0.3">
      <c r="A663">
        <v>662</v>
      </c>
      <c r="B663" t="s">
        <v>156</v>
      </c>
      <c r="C663" t="s">
        <v>16</v>
      </c>
      <c r="D663">
        <v>21</v>
      </c>
      <c r="E663" t="s">
        <v>17</v>
      </c>
      <c r="F663" s="4">
        <v>434708.12</v>
      </c>
      <c r="G663" t="str">
        <f t="shared" si="40"/>
        <v>High Income</v>
      </c>
      <c r="H663">
        <v>147678.56</v>
      </c>
      <c r="I663">
        <v>754</v>
      </c>
      <c r="J663" t="s">
        <v>27</v>
      </c>
      <c r="K663" t="s">
        <v>59</v>
      </c>
      <c r="L663">
        <v>294377.13</v>
      </c>
      <c r="M663">
        <v>81004.63</v>
      </c>
      <c r="N663" t="s">
        <v>20</v>
      </c>
      <c r="O663" s="7">
        <f t="shared" ca="1" si="41"/>
        <v>45722</v>
      </c>
      <c r="P663" s="7">
        <v>46006</v>
      </c>
      <c r="Q663">
        <v>5</v>
      </c>
      <c r="R663" t="str">
        <f t="shared" si="42"/>
        <v>Low Risk</v>
      </c>
      <c r="S663" t="str">
        <f t="shared" si="43"/>
        <v>Good</v>
      </c>
      <c r="T663" s="4">
        <f>Table1[[#This Row],[Deposit_Amount]]+Table1[[#This Row],[Withdrawal_Amount]]</f>
        <v>582386.67999999993</v>
      </c>
      <c r="U663" t="s">
        <v>274</v>
      </c>
    </row>
    <row r="664" spans="1:21" x14ac:dyDescent="0.3">
      <c r="A664">
        <v>663</v>
      </c>
      <c r="B664" t="s">
        <v>97</v>
      </c>
      <c r="C664" t="s">
        <v>22</v>
      </c>
      <c r="D664">
        <v>18</v>
      </c>
      <c r="E664" t="s">
        <v>35</v>
      </c>
      <c r="F664" s="4">
        <v>260444.14</v>
      </c>
      <c r="G664" t="str">
        <f t="shared" si="40"/>
        <v>High Income</v>
      </c>
      <c r="H664">
        <v>124880.7</v>
      </c>
      <c r="I664">
        <v>609</v>
      </c>
      <c r="J664" t="s">
        <v>38</v>
      </c>
      <c r="K664" t="s">
        <v>36</v>
      </c>
      <c r="L664">
        <v>321173.5</v>
      </c>
      <c r="M664">
        <v>163113.76999999999</v>
      </c>
      <c r="N664" t="s">
        <v>28</v>
      </c>
      <c r="O664" s="7">
        <f t="shared" ca="1" si="41"/>
        <v>45953</v>
      </c>
      <c r="P664" s="7">
        <v>45736</v>
      </c>
      <c r="Q664">
        <v>3</v>
      </c>
      <c r="R664" t="str">
        <f t="shared" si="42"/>
        <v>Low Risk</v>
      </c>
      <c r="S664" t="str">
        <f t="shared" si="43"/>
        <v>Good</v>
      </c>
      <c r="T664" s="4">
        <f>Table1[[#This Row],[Deposit_Amount]]+Table1[[#This Row],[Withdrawal_Amount]]</f>
        <v>385324.84</v>
      </c>
      <c r="U664" t="s">
        <v>274</v>
      </c>
    </row>
    <row r="665" spans="1:21" x14ac:dyDescent="0.3">
      <c r="A665">
        <v>664</v>
      </c>
      <c r="B665" t="s">
        <v>214</v>
      </c>
      <c r="C665" t="s">
        <v>22</v>
      </c>
      <c r="D665">
        <v>44</v>
      </c>
      <c r="E665" t="s">
        <v>17</v>
      </c>
      <c r="F665" s="4">
        <v>213584.17</v>
      </c>
      <c r="G665" t="str">
        <f t="shared" si="40"/>
        <v>High Income</v>
      </c>
      <c r="H665">
        <v>274047.25</v>
      </c>
      <c r="I665">
        <v>486</v>
      </c>
      <c r="J665" t="s">
        <v>27</v>
      </c>
      <c r="K665" t="s">
        <v>59</v>
      </c>
      <c r="L665">
        <v>15836.64</v>
      </c>
      <c r="M665">
        <v>16224.76</v>
      </c>
      <c r="N665" t="s">
        <v>20</v>
      </c>
      <c r="O665" s="7">
        <f t="shared" ca="1" si="41"/>
        <v>45939</v>
      </c>
      <c r="P665" s="7">
        <v>45708</v>
      </c>
      <c r="Q665">
        <v>3</v>
      </c>
      <c r="R665" t="str">
        <f t="shared" si="42"/>
        <v>Midum Risk</v>
      </c>
      <c r="S665" t="str">
        <f t="shared" si="43"/>
        <v xml:space="preserve">Midum </v>
      </c>
      <c r="T665" s="4">
        <f>Table1[[#This Row],[Deposit_Amount]]+Table1[[#This Row],[Withdrawal_Amount]]</f>
        <v>487631.42000000004</v>
      </c>
      <c r="U665" t="s">
        <v>274</v>
      </c>
    </row>
    <row r="666" spans="1:21" x14ac:dyDescent="0.3">
      <c r="A666">
        <v>665</v>
      </c>
      <c r="B666" t="s">
        <v>205</v>
      </c>
      <c r="C666" t="s">
        <v>16</v>
      </c>
      <c r="D666">
        <v>66</v>
      </c>
      <c r="E666" t="s">
        <v>31</v>
      </c>
      <c r="F666" s="4">
        <v>445619.74</v>
      </c>
      <c r="G666" t="str">
        <f t="shared" si="40"/>
        <v>High Income</v>
      </c>
      <c r="H666">
        <v>166179.72</v>
      </c>
      <c r="I666">
        <v>442</v>
      </c>
      <c r="J666" t="s">
        <v>18</v>
      </c>
      <c r="K666" t="s">
        <v>24</v>
      </c>
      <c r="L666">
        <v>421943.16</v>
      </c>
      <c r="M666">
        <v>232301.26</v>
      </c>
      <c r="N666" t="s">
        <v>25</v>
      </c>
      <c r="O666" s="7">
        <f t="shared" ca="1" si="41"/>
        <v>45995</v>
      </c>
      <c r="P666" s="7">
        <v>45680</v>
      </c>
      <c r="Q666">
        <v>5</v>
      </c>
      <c r="R666" t="str">
        <f t="shared" si="42"/>
        <v>Midum Risk</v>
      </c>
      <c r="S666" t="str">
        <f t="shared" si="43"/>
        <v xml:space="preserve">Midum </v>
      </c>
      <c r="T666" s="4">
        <f>Table1[[#This Row],[Deposit_Amount]]+Table1[[#This Row],[Withdrawal_Amount]]</f>
        <v>611799.46</v>
      </c>
      <c r="U666" t="s">
        <v>274</v>
      </c>
    </row>
    <row r="667" spans="1:21" x14ac:dyDescent="0.3">
      <c r="A667">
        <v>666</v>
      </c>
      <c r="B667" t="s">
        <v>151</v>
      </c>
      <c r="C667" t="s">
        <v>22</v>
      </c>
      <c r="D667">
        <v>21</v>
      </c>
      <c r="E667" t="s">
        <v>17</v>
      </c>
      <c r="F667" s="4">
        <v>415120.52</v>
      </c>
      <c r="G667" t="str">
        <f t="shared" si="40"/>
        <v>High Income</v>
      </c>
      <c r="H667">
        <v>23558</v>
      </c>
      <c r="I667">
        <v>326</v>
      </c>
      <c r="J667" t="s">
        <v>41</v>
      </c>
      <c r="K667" t="s">
        <v>42</v>
      </c>
      <c r="L667">
        <v>452542.84</v>
      </c>
      <c r="M667">
        <v>136943.59</v>
      </c>
      <c r="N667" t="s">
        <v>25</v>
      </c>
      <c r="O667" s="7">
        <f t="shared" ca="1" si="41"/>
        <v>45803</v>
      </c>
      <c r="P667" s="7">
        <v>45966</v>
      </c>
      <c r="Q667">
        <v>3</v>
      </c>
      <c r="R667" t="str">
        <f t="shared" si="42"/>
        <v>High Risk</v>
      </c>
      <c r="S667" t="str">
        <f t="shared" si="43"/>
        <v>Poor</v>
      </c>
      <c r="T667" s="4">
        <f>Table1[[#This Row],[Deposit_Amount]]+Table1[[#This Row],[Withdrawal_Amount]]</f>
        <v>438678.52</v>
      </c>
      <c r="U667" t="s">
        <v>274</v>
      </c>
    </row>
    <row r="668" spans="1:21" x14ac:dyDescent="0.3">
      <c r="A668">
        <v>667</v>
      </c>
      <c r="B668" t="s">
        <v>111</v>
      </c>
      <c r="C668" t="s">
        <v>16</v>
      </c>
      <c r="D668">
        <v>31</v>
      </c>
      <c r="E668" t="s">
        <v>17</v>
      </c>
      <c r="F668" s="4">
        <v>133861.5</v>
      </c>
      <c r="G668" t="str">
        <f t="shared" si="40"/>
        <v>Midum Income</v>
      </c>
      <c r="H668">
        <v>79354.5</v>
      </c>
      <c r="I668">
        <v>519</v>
      </c>
      <c r="J668" t="s">
        <v>18</v>
      </c>
      <c r="K668" t="s">
        <v>42</v>
      </c>
      <c r="L668">
        <v>167579.91</v>
      </c>
      <c r="M668">
        <v>225839.79</v>
      </c>
      <c r="N668" t="s">
        <v>28</v>
      </c>
      <c r="O668" s="7">
        <f t="shared" ca="1" si="41"/>
        <v>45659</v>
      </c>
      <c r="P668" s="7">
        <v>45925</v>
      </c>
      <c r="Q668">
        <v>5</v>
      </c>
      <c r="R668" t="str">
        <f t="shared" si="42"/>
        <v>Midum Risk</v>
      </c>
      <c r="S668" t="str">
        <f t="shared" si="43"/>
        <v xml:space="preserve">Midum </v>
      </c>
      <c r="T668" s="4">
        <f>Table1[[#This Row],[Deposit_Amount]]+Table1[[#This Row],[Withdrawal_Amount]]</f>
        <v>213216</v>
      </c>
      <c r="U668" t="s">
        <v>274</v>
      </c>
    </row>
    <row r="669" spans="1:21" x14ac:dyDescent="0.3">
      <c r="A669">
        <v>668</v>
      </c>
      <c r="B669" t="s">
        <v>214</v>
      </c>
      <c r="C669" t="s">
        <v>22</v>
      </c>
      <c r="D669">
        <v>52</v>
      </c>
      <c r="E669" t="s">
        <v>23</v>
      </c>
      <c r="F669" s="4">
        <v>453578.18</v>
      </c>
      <c r="G669" t="str">
        <f t="shared" si="40"/>
        <v>High Income</v>
      </c>
      <c r="H669">
        <v>286308.28999999998</v>
      </c>
      <c r="I669">
        <v>742</v>
      </c>
      <c r="J669" t="s">
        <v>38</v>
      </c>
      <c r="K669" t="s">
        <v>36</v>
      </c>
      <c r="L669">
        <v>344532.29</v>
      </c>
      <c r="M669">
        <v>175880.07</v>
      </c>
      <c r="N669" t="s">
        <v>20</v>
      </c>
      <c r="O669" s="7">
        <f t="shared" ca="1" si="41"/>
        <v>45912</v>
      </c>
      <c r="P669" s="7">
        <v>45972</v>
      </c>
      <c r="Q669">
        <v>2</v>
      </c>
      <c r="R669" t="str">
        <f t="shared" si="42"/>
        <v>Low Risk</v>
      </c>
      <c r="S669" t="str">
        <f t="shared" si="43"/>
        <v>Good</v>
      </c>
      <c r="T669" s="4">
        <f>Table1[[#This Row],[Deposit_Amount]]+Table1[[#This Row],[Withdrawal_Amount]]</f>
        <v>739886.47</v>
      </c>
      <c r="U669" t="s">
        <v>274</v>
      </c>
    </row>
    <row r="670" spans="1:21" x14ac:dyDescent="0.3">
      <c r="A670">
        <v>669</v>
      </c>
      <c r="B670" t="s">
        <v>192</v>
      </c>
      <c r="C670" t="s">
        <v>22</v>
      </c>
      <c r="D670">
        <v>35</v>
      </c>
      <c r="E670" t="s">
        <v>31</v>
      </c>
      <c r="F670" s="4">
        <v>116412.46</v>
      </c>
      <c r="G670" t="str">
        <f t="shared" si="40"/>
        <v>Midum Income</v>
      </c>
      <c r="H670">
        <v>9217.89</v>
      </c>
      <c r="I670">
        <v>568</v>
      </c>
      <c r="J670" t="s">
        <v>18</v>
      </c>
      <c r="K670" t="s">
        <v>42</v>
      </c>
      <c r="L670">
        <v>172007.46</v>
      </c>
      <c r="M670">
        <v>228837.92</v>
      </c>
      <c r="N670" t="s">
        <v>20</v>
      </c>
      <c r="O670" s="7">
        <f t="shared" ca="1" si="41"/>
        <v>45672</v>
      </c>
      <c r="P670" s="7">
        <v>45858</v>
      </c>
      <c r="Q670">
        <v>4</v>
      </c>
      <c r="R670" t="str">
        <f t="shared" si="42"/>
        <v>Midum Risk</v>
      </c>
      <c r="S670" t="str">
        <f t="shared" si="43"/>
        <v xml:space="preserve">Midum </v>
      </c>
      <c r="T670" s="4">
        <f>Table1[[#This Row],[Deposit_Amount]]+Table1[[#This Row],[Withdrawal_Amount]]</f>
        <v>125630.35</v>
      </c>
      <c r="U670" t="s">
        <v>274</v>
      </c>
    </row>
    <row r="671" spans="1:21" x14ac:dyDescent="0.3">
      <c r="A671">
        <v>670</v>
      </c>
      <c r="B671" t="s">
        <v>113</v>
      </c>
      <c r="C671" t="s">
        <v>22</v>
      </c>
      <c r="D671">
        <v>22</v>
      </c>
      <c r="E671" t="s">
        <v>23</v>
      </c>
      <c r="F671" s="4">
        <v>306347.68</v>
      </c>
      <c r="G671" t="str">
        <f t="shared" si="40"/>
        <v>High Income</v>
      </c>
      <c r="H671">
        <v>148380.26</v>
      </c>
      <c r="I671">
        <v>652</v>
      </c>
      <c r="J671" t="s">
        <v>27</v>
      </c>
      <c r="K671" t="s">
        <v>36</v>
      </c>
      <c r="L671">
        <v>353661.62</v>
      </c>
      <c r="M671">
        <v>17243.12</v>
      </c>
      <c r="N671" t="s">
        <v>20</v>
      </c>
      <c r="O671" s="7">
        <f t="shared" ca="1" si="41"/>
        <v>45951</v>
      </c>
      <c r="P671" s="7">
        <v>45983</v>
      </c>
      <c r="Q671">
        <v>2</v>
      </c>
      <c r="R671" t="str">
        <f t="shared" si="42"/>
        <v>Low Risk</v>
      </c>
      <c r="S671" t="str">
        <f t="shared" si="43"/>
        <v>Good</v>
      </c>
      <c r="T671" s="4">
        <f>Table1[[#This Row],[Deposit_Amount]]+Table1[[#This Row],[Withdrawal_Amount]]</f>
        <v>454727.94</v>
      </c>
      <c r="U671" t="s">
        <v>274</v>
      </c>
    </row>
    <row r="672" spans="1:21" x14ac:dyDescent="0.3">
      <c r="A672">
        <v>671</v>
      </c>
      <c r="B672" t="s">
        <v>150</v>
      </c>
      <c r="C672" t="s">
        <v>16</v>
      </c>
      <c r="D672">
        <v>69</v>
      </c>
      <c r="E672" t="s">
        <v>31</v>
      </c>
      <c r="F672" s="4">
        <v>170323.08</v>
      </c>
      <c r="G672" t="str">
        <f t="shared" si="40"/>
        <v>Midum Income</v>
      </c>
      <c r="H672">
        <v>104447.61</v>
      </c>
      <c r="I672">
        <v>722</v>
      </c>
      <c r="J672" t="s">
        <v>32</v>
      </c>
      <c r="K672" t="s">
        <v>24</v>
      </c>
      <c r="L672">
        <v>132108.13</v>
      </c>
      <c r="M672">
        <v>127794.63</v>
      </c>
      <c r="N672" t="s">
        <v>20</v>
      </c>
      <c r="O672" s="7">
        <f t="shared" ca="1" si="41"/>
        <v>45988</v>
      </c>
      <c r="P672" s="7">
        <v>45895</v>
      </c>
      <c r="Q672">
        <v>4</v>
      </c>
      <c r="R672" t="str">
        <f t="shared" si="42"/>
        <v>Low Risk</v>
      </c>
      <c r="S672" t="str">
        <f t="shared" si="43"/>
        <v>Good</v>
      </c>
      <c r="T672" s="4">
        <f>Table1[[#This Row],[Deposit_Amount]]+Table1[[#This Row],[Withdrawal_Amount]]</f>
        <v>274770.69</v>
      </c>
      <c r="U672" t="s">
        <v>274</v>
      </c>
    </row>
    <row r="673" spans="1:21" x14ac:dyDescent="0.3">
      <c r="A673">
        <v>672</v>
      </c>
      <c r="B673" t="s">
        <v>154</v>
      </c>
      <c r="C673" t="s">
        <v>16</v>
      </c>
      <c r="D673">
        <v>69</v>
      </c>
      <c r="E673" t="s">
        <v>17</v>
      </c>
      <c r="F673" s="4">
        <v>142335.39000000001</v>
      </c>
      <c r="G673" t="str">
        <f t="shared" si="40"/>
        <v>Midum Income</v>
      </c>
      <c r="H673">
        <v>278324.47999999998</v>
      </c>
      <c r="I673">
        <v>864</v>
      </c>
      <c r="J673" t="s">
        <v>41</v>
      </c>
      <c r="K673" t="s">
        <v>42</v>
      </c>
      <c r="L673">
        <v>6503.29</v>
      </c>
      <c r="M673">
        <v>207276.55</v>
      </c>
      <c r="N673" t="s">
        <v>28</v>
      </c>
      <c r="O673" s="7">
        <f t="shared" ca="1" si="41"/>
        <v>45752</v>
      </c>
      <c r="P673" s="7">
        <v>45797</v>
      </c>
      <c r="Q673">
        <v>2</v>
      </c>
      <c r="R673" t="str">
        <f t="shared" si="42"/>
        <v>Low Risk</v>
      </c>
      <c r="S673" t="str">
        <f t="shared" si="43"/>
        <v>Good</v>
      </c>
      <c r="T673" s="4">
        <f>Table1[[#This Row],[Deposit_Amount]]+Table1[[#This Row],[Withdrawal_Amount]]</f>
        <v>420659.87</v>
      </c>
      <c r="U673" t="s">
        <v>274</v>
      </c>
    </row>
    <row r="674" spans="1:21" x14ac:dyDescent="0.3">
      <c r="A674">
        <v>673</v>
      </c>
      <c r="B674" t="s">
        <v>219</v>
      </c>
      <c r="C674" t="s">
        <v>22</v>
      </c>
      <c r="D674">
        <v>43</v>
      </c>
      <c r="E674" t="s">
        <v>23</v>
      </c>
      <c r="F674" s="4">
        <v>89519.53</v>
      </c>
      <c r="G674" t="str">
        <f t="shared" si="40"/>
        <v>Low Income</v>
      </c>
      <c r="H674">
        <v>117057.49</v>
      </c>
      <c r="I674">
        <v>458</v>
      </c>
      <c r="J674" t="s">
        <v>38</v>
      </c>
      <c r="K674" t="s">
        <v>19</v>
      </c>
      <c r="L674">
        <v>52806.76</v>
      </c>
      <c r="M674">
        <v>116510.54</v>
      </c>
      <c r="N674" t="s">
        <v>28</v>
      </c>
      <c r="O674" s="7">
        <f t="shared" ca="1" si="41"/>
        <v>45692</v>
      </c>
      <c r="P674" s="7">
        <v>45920</v>
      </c>
      <c r="Q674">
        <v>5</v>
      </c>
      <c r="R674" t="str">
        <f t="shared" si="42"/>
        <v>Midum Risk</v>
      </c>
      <c r="S674" t="str">
        <f t="shared" si="43"/>
        <v xml:space="preserve">Midum </v>
      </c>
      <c r="T674" s="4">
        <f>Table1[[#This Row],[Deposit_Amount]]+Table1[[#This Row],[Withdrawal_Amount]]</f>
        <v>206577.02000000002</v>
      </c>
      <c r="U674" t="s">
        <v>274</v>
      </c>
    </row>
    <row r="675" spans="1:21" x14ac:dyDescent="0.3">
      <c r="A675">
        <v>674</v>
      </c>
      <c r="B675" t="s">
        <v>94</v>
      </c>
      <c r="C675" t="s">
        <v>16</v>
      </c>
      <c r="D675">
        <v>49</v>
      </c>
      <c r="E675" t="s">
        <v>17</v>
      </c>
      <c r="F675" s="4">
        <v>318644.59000000003</v>
      </c>
      <c r="G675" t="str">
        <f t="shared" si="40"/>
        <v>High Income</v>
      </c>
      <c r="H675">
        <v>133679.71</v>
      </c>
      <c r="I675">
        <v>770</v>
      </c>
      <c r="J675" t="s">
        <v>41</v>
      </c>
      <c r="K675" t="s">
        <v>19</v>
      </c>
      <c r="L675">
        <v>235431.39</v>
      </c>
      <c r="M675">
        <v>17683.53</v>
      </c>
      <c r="N675" t="s">
        <v>20</v>
      </c>
      <c r="O675" s="7">
        <f t="shared" ca="1" si="41"/>
        <v>45740</v>
      </c>
      <c r="P675" s="7">
        <v>45908</v>
      </c>
      <c r="Q675">
        <v>4</v>
      </c>
      <c r="R675" t="str">
        <f t="shared" si="42"/>
        <v>Low Risk</v>
      </c>
      <c r="S675" t="str">
        <f t="shared" si="43"/>
        <v>Good</v>
      </c>
      <c r="T675" s="4">
        <f>Table1[[#This Row],[Deposit_Amount]]+Table1[[#This Row],[Withdrawal_Amount]]</f>
        <v>452324.30000000005</v>
      </c>
      <c r="U675" t="s">
        <v>274</v>
      </c>
    </row>
    <row r="676" spans="1:21" x14ac:dyDescent="0.3">
      <c r="A676">
        <v>675</v>
      </c>
      <c r="B676" t="s">
        <v>156</v>
      </c>
      <c r="C676" t="s">
        <v>16</v>
      </c>
      <c r="D676">
        <v>22</v>
      </c>
      <c r="E676" t="s">
        <v>44</v>
      </c>
      <c r="F676" s="4">
        <v>385861.86</v>
      </c>
      <c r="G676" t="str">
        <f t="shared" si="40"/>
        <v>High Income</v>
      </c>
      <c r="H676">
        <v>99753.67</v>
      </c>
      <c r="I676">
        <v>556</v>
      </c>
      <c r="J676" t="s">
        <v>27</v>
      </c>
      <c r="K676" t="s">
        <v>24</v>
      </c>
      <c r="L676">
        <v>420172.54</v>
      </c>
      <c r="M676">
        <v>28205.38</v>
      </c>
      <c r="N676" t="s">
        <v>28</v>
      </c>
      <c r="O676" s="7">
        <f t="shared" ca="1" si="41"/>
        <v>45883</v>
      </c>
      <c r="P676" s="7">
        <v>45890</v>
      </c>
      <c r="Q676">
        <v>5</v>
      </c>
      <c r="R676" t="str">
        <f t="shared" si="42"/>
        <v>Midum Risk</v>
      </c>
      <c r="S676" t="str">
        <f t="shared" si="43"/>
        <v xml:space="preserve">Midum </v>
      </c>
      <c r="T676" s="4">
        <f>Table1[[#This Row],[Deposit_Amount]]+Table1[[#This Row],[Withdrawal_Amount]]</f>
        <v>485615.52999999997</v>
      </c>
      <c r="U676" t="s">
        <v>274</v>
      </c>
    </row>
    <row r="677" spans="1:21" x14ac:dyDescent="0.3">
      <c r="A677">
        <v>676</v>
      </c>
      <c r="B677" t="s">
        <v>45</v>
      </c>
      <c r="C677" t="s">
        <v>22</v>
      </c>
      <c r="D677">
        <v>57</v>
      </c>
      <c r="E677" t="s">
        <v>17</v>
      </c>
      <c r="F677" s="4">
        <v>197649.58</v>
      </c>
      <c r="G677" t="str">
        <f t="shared" si="40"/>
        <v>Midum Income</v>
      </c>
      <c r="H677">
        <v>221727.07</v>
      </c>
      <c r="I677">
        <v>874</v>
      </c>
      <c r="J677" t="s">
        <v>41</v>
      </c>
      <c r="K677" t="s">
        <v>24</v>
      </c>
      <c r="L677">
        <v>45617.47</v>
      </c>
      <c r="M677">
        <v>76308.539999999994</v>
      </c>
      <c r="N677" t="s">
        <v>28</v>
      </c>
      <c r="O677" s="7">
        <f t="shared" ca="1" si="41"/>
        <v>45818</v>
      </c>
      <c r="P677" s="7">
        <v>45860</v>
      </c>
      <c r="Q677">
        <v>4</v>
      </c>
      <c r="R677" t="str">
        <f t="shared" si="42"/>
        <v>Low Risk</v>
      </c>
      <c r="S677" t="str">
        <f t="shared" si="43"/>
        <v>Good</v>
      </c>
      <c r="T677" s="4">
        <f>Table1[[#This Row],[Deposit_Amount]]+Table1[[#This Row],[Withdrawal_Amount]]</f>
        <v>419376.65</v>
      </c>
      <c r="U677" t="s">
        <v>274</v>
      </c>
    </row>
    <row r="678" spans="1:21" x14ac:dyDescent="0.3">
      <c r="A678">
        <v>677</v>
      </c>
      <c r="B678" t="s">
        <v>165</v>
      </c>
      <c r="C678" t="s">
        <v>16</v>
      </c>
      <c r="D678">
        <v>41</v>
      </c>
      <c r="E678" t="s">
        <v>44</v>
      </c>
      <c r="F678" s="4">
        <v>82923.789999999994</v>
      </c>
      <c r="G678" t="str">
        <f t="shared" si="40"/>
        <v>Low Income</v>
      </c>
      <c r="H678">
        <v>175108.16</v>
      </c>
      <c r="I678">
        <v>788</v>
      </c>
      <c r="J678" t="s">
        <v>38</v>
      </c>
      <c r="K678" t="s">
        <v>19</v>
      </c>
      <c r="L678">
        <v>-7013.61</v>
      </c>
      <c r="M678">
        <v>73727.45</v>
      </c>
      <c r="N678" t="s">
        <v>20</v>
      </c>
      <c r="O678" s="7">
        <f t="shared" ca="1" si="41"/>
        <v>45853</v>
      </c>
      <c r="P678" s="7">
        <v>45984</v>
      </c>
      <c r="Q678">
        <v>2</v>
      </c>
      <c r="R678" t="str">
        <f t="shared" si="42"/>
        <v>Low Risk</v>
      </c>
      <c r="S678" t="str">
        <f t="shared" si="43"/>
        <v>Good</v>
      </c>
      <c r="T678" s="4">
        <f>Table1[[#This Row],[Deposit_Amount]]+Table1[[#This Row],[Withdrawal_Amount]]</f>
        <v>258031.95</v>
      </c>
      <c r="U678" t="s">
        <v>274</v>
      </c>
    </row>
    <row r="679" spans="1:21" x14ac:dyDescent="0.3">
      <c r="A679">
        <v>678</v>
      </c>
      <c r="B679" t="s">
        <v>54</v>
      </c>
      <c r="C679" t="s">
        <v>16</v>
      </c>
      <c r="D679">
        <v>47</v>
      </c>
      <c r="E679" t="s">
        <v>23</v>
      </c>
      <c r="F679" s="4">
        <v>270258.96999999997</v>
      </c>
      <c r="G679" t="str">
        <f t="shared" si="40"/>
        <v>High Income</v>
      </c>
      <c r="H679">
        <v>188190.02</v>
      </c>
      <c r="I679">
        <v>309</v>
      </c>
      <c r="J679" t="s">
        <v>27</v>
      </c>
      <c r="K679" t="s">
        <v>59</v>
      </c>
      <c r="L679">
        <v>239490.61</v>
      </c>
      <c r="M679">
        <v>170451.45</v>
      </c>
      <c r="N679" t="s">
        <v>28</v>
      </c>
      <c r="O679" s="7">
        <f t="shared" ca="1" si="41"/>
        <v>46016</v>
      </c>
      <c r="P679" s="7">
        <v>45755</v>
      </c>
      <c r="Q679">
        <v>5</v>
      </c>
      <c r="R679" t="str">
        <f t="shared" si="42"/>
        <v>High Risk</v>
      </c>
      <c r="S679" t="str">
        <f t="shared" si="43"/>
        <v>Poor</v>
      </c>
      <c r="T679" s="4">
        <f>Table1[[#This Row],[Deposit_Amount]]+Table1[[#This Row],[Withdrawal_Amount]]</f>
        <v>458448.99</v>
      </c>
      <c r="U679" t="s">
        <v>274</v>
      </c>
    </row>
    <row r="680" spans="1:21" x14ac:dyDescent="0.3">
      <c r="A680">
        <v>679</v>
      </c>
      <c r="B680" t="s">
        <v>148</v>
      </c>
      <c r="C680" t="s">
        <v>16</v>
      </c>
      <c r="D680">
        <v>56</v>
      </c>
      <c r="E680" t="s">
        <v>40</v>
      </c>
      <c r="F680" s="4">
        <v>20830.98</v>
      </c>
      <c r="G680" t="str">
        <f t="shared" si="40"/>
        <v>Low Income</v>
      </c>
      <c r="H680">
        <v>19010.59</v>
      </c>
      <c r="I680">
        <v>498</v>
      </c>
      <c r="J680" t="s">
        <v>27</v>
      </c>
      <c r="K680" t="s">
        <v>36</v>
      </c>
      <c r="L680">
        <v>78670.070000000007</v>
      </c>
      <c r="M680">
        <v>209053.07</v>
      </c>
      <c r="N680" t="s">
        <v>28</v>
      </c>
      <c r="O680" s="7">
        <f t="shared" ca="1" si="41"/>
        <v>45863</v>
      </c>
      <c r="P680" s="7">
        <v>45685</v>
      </c>
      <c r="Q680">
        <v>4</v>
      </c>
      <c r="R680" t="str">
        <f t="shared" si="42"/>
        <v>Midum Risk</v>
      </c>
      <c r="S680" t="str">
        <f t="shared" si="43"/>
        <v xml:space="preserve">Midum </v>
      </c>
      <c r="T680" s="4">
        <f>Table1[[#This Row],[Deposit_Amount]]+Table1[[#This Row],[Withdrawal_Amount]]</f>
        <v>39841.57</v>
      </c>
      <c r="U680" t="s">
        <v>274</v>
      </c>
    </row>
    <row r="681" spans="1:21" x14ac:dyDescent="0.3">
      <c r="A681">
        <v>680</v>
      </c>
      <c r="B681" t="s">
        <v>221</v>
      </c>
      <c r="C681" t="s">
        <v>16</v>
      </c>
      <c r="D681">
        <v>51</v>
      </c>
      <c r="E681" t="s">
        <v>31</v>
      </c>
      <c r="F681" s="4">
        <v>426620.15</v>
      </c>
      <c r="G681" t="str">
        <f t="shared" si="40"/>
        <v>High Income</v>
      </c>
      <c r="H681">
        <v>175311.46</v>
      </c>
      <c r="I681">
        <v>780</v>
      </c>
      <c r="J681" t="s">
        <v>27</v>
      </c>
      <c r="K681" t="s">
        <v>59</v>
      </c>
      <c r="L681">
        <v>443612.42</v>
      </c>
      <c r="M681">
        <v>70571.89</v>
      </c>
      <c r="N681" t="s">
        <v>28</v>
      </c>
      <c r="O681" s="7">
        <f t="shared" ca="1" si="41"/>
        <v>45922</v>
      </c>
      <c r="P681" s="7">
        <v>45850</v>
      </c>
      <c r="Q681">
        <v>1</v>
      </c>
      <c r="R681" t="str">
        <f t="shared" si="42"/>
        <v>Low Risk</v>
      </c>
      <c r="S681" t="str">
        <f t="shared" si="43"/>
        <v>Good</v>
      </c>
      <c r="T681" s="4">
        <f>Table1[[#This Row],[Deposit_Amount]]+Table1[[#This Row],[Withdrawal_Amount]]</f>
        <v>601931.61</v>
      </c>
      <c r="U681" t="s">
        <v>274</v>
      </c>
    </row>
    <row r="682" spans="1:21" x14ac:dyDescent="0.3">
      <c r="A682">
        <v>681</v>
      </c>
      <c r="B682" t="s">
        <v>182</v>
      </c>
      <c r="C682" t="s">
        <v>16</v>
      </c>
      <c r="D682">
        <v>19</v>
      </c>
      <c r="E682" t="s">
        <v>17</v>
      </c>
      <c r="F682" s="4">
        <v>234925.32</v>
      </c>
      <c r="G682" t="str">
        <f t="shared" si="40"/>
        <v>High Income</v>
      </c>
      <c r="H682">
        <v>144590.15</v>
      </c>
      <c r="I682">
        <v>766</v>
      </c>
      <c r="J682" t="s">
        <v>38</v>
      </c>
      <c r="K682" t="s">
        <v>24</v>
      </c>
      <c r="L682">
        <v>104522.45</v>
      </c>
      <c r="M682">
        <v>51375.53</v>
      </c>
      <c r="N682" t="s">
        <v>20</v>
      </c>
      <c r="O682" s="7">
        <f t="shared" ca="1" si="41"/>
        <v>45917</v>
      </c>
      <c r="P682" s="7">
        <v>45681</v>
      </c>
      <c r="Q682">
        <v>1</v>
      </c>
      <c r="R682" t="str">
        <f t="shared" si="42"/>
        <v>Low Risk</v>
      </c>
      <c r="S682" t="str">
        <f t="shared" si="43"/>
        <v>Good</v>
      </c>
      <c r="T682" s="4">
        <f>Table1[[#This Row],[Deposit_Amount]]+Table1[[#This Row],[Withdrawal_Amount]]</f>
        <v>379515.47</v>
      </c>
      <c r="U682" t="s">
        <v>274</v>
      </c>
    </row>
    <row r="683" spans="1:21" x14ac:dyDescent="0.3">
      <c r="A683">
        <v>682</v>
      </c>
      <c r="B683" t="s">
        <v>58</v>
      </c>
      <c r="C683" t="s">
        <v>16</v>
      </c>
      <c r="D683">
        <v>27</v>
      </c>
      <c r="E683" t="s">
        <v>23</v>
      </c>
      <c r="F683" s="4">
        <v>181103.12</v>
      </c>
      <c r="G683" t="str">
        <f t="shared" si="40"/>
        <v>Midum Income</v>
      </c>
      <c r="H683">
        <v>36308.379999999997</v>
      </c>
      <c r="I683">
        <v>300</v>
      </c>
      <c r="J683" t="s">
        <v>18</v>
      </c>
      <c r="K683" t="s">
        <v>19</v>
      </c>
      <c r="L683">
        <v>243582.23</v>
      </c>
      <c r="M683">
        <v>200130.85</v>
      </c>
      <c r="N683" t="s">
        <v>28</v>
      </c>
      <c r="O683" s="7">
        <f t="shared" ca="1" si="41"/>
        <v>45764</v>
      </c>
      <c r="P683" s="7">
        <v>45967</v>
      </c>
      <c r="Q683">
        <v>4</v>
      </c>
      <c r="R683" t="str">
        <f t="shared" si="42"/>
        <v>High Risk</v>
      </c>
      <c r="S683" t="str">
        <f t="shared" si="43"/>
        <v>Poor</v>
      </c>
      <c r="T683" s="4">
        <f>Table1[[#This Row],[Deposit_Amount]]+Table1[[#This Row],[Withdrawal_Amount]]</f>
        <v>217411.5</v>
      </c>
      <c r="U683" t="s">
        <v>274</v>
      </c>
    </row>
    <row r="684" spans="1:21" x14ac:dyDescent="0.3">
      <c r="A684">
        <v>683</v>
      </c>
      <c r="B684" t="s">
        <v>208</v>
      </c>
      <c r="C684" t="s">
        <v>22</v>
      </c>
      <c r="D684">
        <v>70</v>
      </c>
      <c r="E684" t="s">
        <v>31</v>
      </c>
      <c r="F684" s="4">
        <v>487012.1</v>
      </c>
      <c r="G684" t="str">
        <f t="shared" si="40"/>
        <v>High Income</v>
      </c>
      <c r="H684">
        <v>295903.56</v>
      </c>
      <c r="I684">
        <v>675</v>
      </c>
      <c r="J684" t="s">
        <v>18</v>
      </c>
      <c r="K684" t="s">
        <v>59</v>
      </c>
      <c r="L684">
        <v>235437.94</v>
      </c>
      <c r="M684">
        <v>246502.91</v>
      </c>
      <c r="N684" t="s">
        <v>20</v>
      </c>
      <c r="O684" s="7">
        <f t="shared" ca="1" si="41"/>
        <v>45911</v>
      </c>
      <c r="P684" s="7">
        <v>45730</v>
      </c>
      <c r="Q684">
        <v>4</v>
      </c>
      <c r="R684" t="str">
        <f t="shared" si="42"/>
        <v>Low Risk</v>
      </c>
      <c r="S684" t="str">
        <f t="shared" si="43"/>
        <v>Good</v>
      </c>
      <c r="T684" s="4">
        <f>Table1[[#This Row],[Deposit_Amount]]+Table1[[#This Row],[Withdrawal_Amount]]</f>
        <v>782915.65999999992</v>
      </c>
      <c r="U684" t="s">
        <v>274</v>
      </c>
    </row>
    <row r="685" spans="1:21" x14ac:dyDescent="0.3">
      <c r="A685">
        <v>684</v>
      </c>
      <c r="B685" t="s">
        <v>103</v>
      </c>
      <c r="C685" t="s">
        <v>22</v>
      </c>
      <c r="D685">
        <v>44</v>
      </c>
      <c r="E685" t="s">
        <v>35</v>
      </c>
      <c r="F685" s="4">
        <v>202169.52</v>
      </c>
      <c r="G685" t="str">
        <f t="shared" si="40"/>
        <v>High Income</v>
      </c>
      <c r="H685">
        <v>111655.41</v>
      </c>
      <c r="I685">
        <v>349</v>
      </c>
      <c r="J685" t="s">
        <v>38</v>
      </c>
      <c r="K685" t="s">
        <v>19</v>
      </c>
      <c r="L685">
        <v>185926.76</v>
      </c>
      <c r="M685">
        <v>31571.03</v>
      </c>
      <c r="N685" t="s">
        <v>25</v>
      </c>
      <c r="O685" s="7">
        <f t="shared" ca="1" si="41"/>
        <v>45951</v>
      </c>
      <c r="P685" s="7">
        <v>45712</v>
      </c>
      <c r="Q685">
        <v>1</v>
      </c>
      <c r="R685" t="str">
        <f t="shared" si="42"/>
        <v>High Risk</v>
      </c>
      <c r="S685" t="str">
        <f t="shared" si="43"/>
        <v>Poor</v>
      </c>
      <c r="T685" s="4">
        <f>Table1[[#This Row],[Deposit_Amount]]+Table1[[#This Row],[Withdrawal_Amount]]</f>
        <v>313824.93</v>
      </c>
      <c r="U685" t="s">
        <v>274</v>
      </c>
    </row>
    <row r="686" spans="1:21" x14ac:dyDescent="0.3">
      <c r="A686">
        <v>685</v>
      </c>
      <c r="B686" t="s">
        <v>30</v>
      </c>
      <c r="C686" t="s">
        <v>16</v>
      </c>
      <c r="D686">
        <v>51</v>
      </c>
      <c r="E686" t="s">
        <v>44</v>
      </c>
      <c r="F686" s="4">
        <v>160600.93</v>
      </c>
      <c r="G686" t="str">
        <f t="shared" si="40"/>
        <v>Midum Income</v>
      </c>
      <c r="H686">
        <v>17972.419999999998</v>
      </c>
      <c r="I686">
        <v>398</v>
      </c>
      <c r="J686" t="s">
        <v>38</v>
      </c>
      <c r="K686" t="s">
        <v>59</v>
      </c>
      <c r="L686">
        <v>214288.97</v>
      </c>
      <c r="M686">
        <v>72293.710000000006</v>
      </c>
      <c r="N686" t="s">
        <v>20</v>
      </c>
      <c r="O686" s="7">
        <f t="shared" ca="1" si="41"/>
        <v>45911</v>
      </c>
      <c r="P686" s="7">
        <v>45837</v>
      </c>
      <c r="Q686">
        <v>4</v>
      </c>
      <c r="R686" t="str">
        <f t="shared" si="42"/>
        <v>High Risk</v>
      </c>
      <c r="S686" t="str">
        <f t="shared" si="43"/>
        <v>Poor</v>
      </c>
      <c r="T686" s="4">
        <f>Table1[[#This Row],[Deposit_Amount]]+Table1[[#This Row],[Withdrawal_Amount]]</f>
        <v>178573.34999999998</v>
      </c>
      <c r="U686" t="s">
        <v>274</v>
      </c>
    </row>
    <row r="687" spans="1:21" x14ac:dyDescent="0.3">
      <c r="A687">
        <v>686</v>
      </c>
      <c r="B687" t="s">
        <v>119</v>
      </c>
      <c r="C687" t="s">
        <v>16</v>
      </c>
      <c r="D687">
        <v>18</v>
      </c>
      <c r="E687" t="s">
        <v>35</v>
      </c>
      <c r="F687" s="4">
        <v>29169.35</v>
      </c>
      <c r="G687" t="str">
        <f t="shared" si="40"/>
        <v>Low Income</v>
      </c>
      <c r="H687">
        <v>276918.55</v>
      </c>
      <c r="I687">
        <v>693</v>
      </c>
      <c r="J687" t="s">
        <v>27</v>
      </c>
      <c r="K687" t="s">
        <v>19</v>
      </c>
      <c r="L687">
        <v>-63450.86</v>
      </c>
      <c r="M687">
        <v>114281.71</v>
      </c>
      <c r="N687" t="s">
        <v>28</v>
      </c>
      <c r="O687" s="7">
        <f t="shared" ca="1" si="41"/>
        <v>45991</v>
      </c>
      <c r="P687" s="7">
        <v>45712</v>
      </c>
      <c r="Q687">
        <v>2</v>
      </c>
      <c r="R687" t="str">
        <f t="shared" si="42"/>
        <v>Low Risk</v>
      </c>
      <c r="S687" t="str">
        <f t="shared" si="43"/>
        <v>Good</v>
      </c>
      <c r="T687" s="4">
        <f>Table1[[#This Row],[Deposit_Amount]]+Table1[[#This Row],[Withdrawal_Amount]]</f>
        <v>306087.89999999997</v>
      </c>
      <c r="U687" t="s">
        <v>274</v>
      </c>
    </row>
    <row r="688" spans="1:21" x14ac:dyDescent="0.3">
      <c r="A688">
        <v>687</v>
      </c>
      <c r="B688" t="s">
        <v>139</v>
      </c>
      <c r="C688" t="s">
        <v>22</v>
      </c>
      <c r="D688">
        <v>24</v>
      </c>
      <c r="E688" t="s">
        <v>35</v>
      </c>
      <c r="F688" s="4">
        <v>40909.769999999997</v>
      </c>
      <c r="G688" t="str">
        <f t="shared" si="40"/>
        <v>Low Income</v>
      </c>
      <c r="H688">
        <v>279686.43</v>
      </c>
      <c r="I688">
        <v>615</v>
      </c>
      <c r="J688" t="s">
        <v>32</v>
      </c>
      <c r="K688" t="s">
        <v>19</v>
      </c>
      <c r="L688">
        <v>-85900.13</v>
      </c>
      <c r="M688">
        <v>158248.98000000001</v>
      </c>
      <c r="N688" t="s">
        <v>28</v>
      </c>
      <c r="O688" s="7">
        <f t="shared" ca="1" si="41"/>
        <v>45695</v>
      </c>
      <c r="P688" s="7">
        <v>45808</v>
      </c>
      <c r="Q688">
        <v>2</v>
      </c>
      <c r="R688" t="str">
        <f t="shared" si="42"/>
        <v>Low Risk</v>
      </c>
      <c r="S688" t="str">
        <f t="shared" si="43"/>
        <v>Good</v>
      </c>
      <c r="T688" s="4">
        <f>Table1[[#This Row],[Deposit_Amount]]+Table1[[#This Row],[Withdrawal_Amount]]</f>
        <v>320596.2</v>
      </c>
      <c r="U688" t="s">
        <v>274</v>
      </c>
    </row>
    <row r="689" spans="1:21" x14ac:dyDescent="0.3">
      <c r="A689">
        <v>688</v>
      </c>
      <c r="B689" t="s">
        <v>26</v>
      </c>
      <c r="C689" t="s">
        <v>22</v>
      </c>
      <c r="D689">
        <v>32</v>
      </c>
      <c r="E689" t="s">
        <v>17</v>
      </c>
      <c r="F689" s="4">
        <v>369531.42</v>
      </c>
      <c r="G689" t="str">
        <f t="shared" si="40"/>
        <v>High Income</v>
      </c>
      <c r="H689">
        <v>102295.17</v>
      </c>
      <c r="I689">
        <v>462</v>
      </c>
      <c r="J689" t="s">
        <v>18</v>
      </c>
      <c r="K689" t="s">
        <v>42</v>
      </c>
      <c r="L689">
        <v>305788.37</v>
      </c>
      <c r="M689">
        <v>54158.6</v>
      </c>
      <c r="N689" t="s">
        <v>25</v>
      </c>
      <c r="O689" s="7">
        <f t="shared" ca="1" si="41"/>
        <v>45968</v>
      </c>
      <c r="P689" s="7">
        <v>45677</v>
      </c>
      <c r="Q689">
        <v>3</v>
      </c>
      <c r="R689" t="str">
        <f t="shared" si="42"/>
        <v>Midum Risk</v>
      </c>
      <c r="S689" t="str">
        <f t="shared" si="43"/>
        <v xml:space="preserve">Midum </v>
      </c>
      <c r="T689" s="4">
        <f>Table1[[#This Row],[Deposit_Amount]]+Table1[[#This Row],[Withdrawal_Amount]]</f>
        <v>471826.58999999997</v>
      </c>
      <c r="U689" t="s">
        <v>274</v>
      </c>
    </row>
    <row r="690" spans="1:21" x14ac:dyDescent="0.3">
      <c r="A690">
        <v>689</v>
      </c>
      <c r="B690" t="s">
        <v>225</v>
      </c>
      <c r="C690" t="s">
        <v>16</v>
      </c>
      <c r="D690">
        <v>28</v>
      </c>
      <c r="E690" t="s">
        <v>17</v>
      </c>
      <c r="F690" s="4">
        <v>291365.59999999998</v>
      </c>
      <c r="G690" t="str">
        <f t="shared" si="40"/>
        <v>High Income</v>
      </c>
      <c r="H690">
        <v>288759.84000000003</v>
      </c>
      <c r="I690">
        <v>874</v>
      </c>
      <c r="J690" t="s">
        <v>27</v>
      </c>
      <c r="K690" t="s">
        <v>59</v>
      </c>
      <c r="L690">
        <v>94505.16</v>
      </c>
      <c r="M690">
        <v>40450.089999999997</v>
      </c>
      <c r="N690" t="s">
        <v>25</v>
      </c>
      <c r="O690" s="7">
        <f t="shared" ca="1" si="41"/>
        <v>45726</v>
      </c>
      <c r="P690" s="7">
        <v>45902</v>
      </c>
      <c r="Q690">
        <v>3</v>
      </c>
      <c r="R690" t="str">
        <f t="shared" si="42"/>
        <v>Low Risk</v>
      </c>
      <c r="S690" t="str">
        <f t="shared" si="43"/>
        <v>Good</v>
      </c>
      <c r="T690" s="4">
        <f>Table1[[#This Row],[Deposit_Amount]]+Table1[[#This Row],[Withdrawal_Amount]]</f>
        <v>580125.43999999994</v>
      </c>
      <c r="U690" t="s">
        <v>274</v>
      </c>
    </row>
    <row r="691" spans="1:21" x14ac:dyDescent="0.3">
      <c r="A691">
        <v>690</v>
      </c>
      <c r="B691" t="s">
        <v>224</v>
      </c>
      <c r="C691" t="s">
        <v>22</v>
      </c>
      <c r="D691">
        <v>63</v>
      </c>
      <c r="E691" t="s">
        <v>17</v>
      </c>
      <c r="F691" s="4">
        <v>111926.92</v>
      </c>
      <c r="G691" t="str">
        <f t="shared" si="40"/>
        <v>Midum Income</v>
      </c>
      <c r="H691">
        <v>12807.99</v>
      </c>
      <c r="I691">
        <v>531</v>
      </c>
      <c r="J691" t="s">
        <v>32</v>
      </c>
      <c r="K691" t="s">
        <v>24</v>
      </c>
      <c r="L691">
        <v>150006.98000000001</v>
      </c>
      <c r="M691">
        <v>239855.19</v>
      </c>
      <c r="N691" t="s">
        <v>25</v>
      </c>
      <c r="O691" s="7">
        <f t="shared" ca="1" si="41"/>
        <v>45747</v>
      </c>
      <c r="P691" s="7">
        <v>45882</v>
      </c>
      <c r="Q691">
        <v>5</v>
      </c>
      <c r="R691" t="str">
        <f t="shared" si="42"/>
        <v>Midum Risk</v>
      </c>
      <c r="S691" t="str">
        <f t="shared" si="43"/>
        <v xml:space="preserve">Midum </v>
      </c>
      <c r="T691" s="4">
        <f>Table1[[#This Row],[Deposit_Amount]]+Table1[[#This Row],[Withdrawal_Amount]]</f>
        <v>124734.91</v>
      </c>
      <c r="U691" t="s">
        <v>274</v>
      </c>
    </row>
    <row r="692" spans="1:21" x14ac:dyDescent="0.3">
      <c r="A692">
        <v>691</v>
      </c>
      <c r="B692" t="s">
        <v>227</v>
      </c>
      <c r="C692" t="s">
        <v>22</v>
      </c>
      <c r="D692">
        <v>18</v>
      </c>
      <c r="E692" t="s">
        <v>40</v>
      </c>
      <c r="F692" s="4">
        <v>461097.94</v>
      </c>
      <c r="G692" t="str">
        <f t="shared" si="40"/>
        <v>High Income</v>
      </c>
      <c r="H692">
        <v>164290.67000000001</v>
      </c>
      <c r="I692">
        <v>429</v>
      </c>
      <c r="J692" t="s">
        <v>32</v>
      </c>
      <c r="K692" t="s">
        <v>19</v>
      </c>
      <c r="L692">
        <v>374377.04</v>
      </c>
      <c r="M692">
        <v>20737.54</v>
      </c>
      <c r="N692" t="s">
        <v>20</v>
      </c>
      <c r="O692" s="7">
        <f t="shared" ca="1" si="41"/>
        <v>45860</v>
      </c>
      <c r="P692" s="7">
        <v>45896</v>
      </c>
      <c r="Q692">
        <v>3</v>
      </c>
      <c r="R692" t="str">
        <f t="shared" si="42"/>
        <v>Midum Risk</v>
      </c>
      <c r="S692" t="str">
        <f t="shared" si="43"/>
        <v xml:space="preserve">Midum </v>
      </c>
      <c r="T692" s="4">
        <f>Table1[[#This Row],[Deposit_Amount]]+Table1[[#This Row],[Withdrawal_Amount]]</f>
        <v>625388.61</v>
      </c>
      <c r="U692" t="s">
        <v>274</v>
      </c>
    </row>
    <row r="693" spans="1:21" x14ac:dyDescent="0.3">
      <c r="A693">
        <v>692</v>
      </c>
      <c r="B693" t="s">
        <v>68</v>
      </c>
      <c r="C693" t="s">
        <v>16</v>
      </c>
      <c r="D693">
        <v>18</v>
      </c>
      <c r="E693" t="s">
        <v>17</v>
      </c>
      <c r="F693" s="4">
        <v>91019.54</v>
      </c>
      <c r="G693" t="str">
        <f t="shared" si="40"/>
        <v>Low Income</v>
      </c>
      <c r="H693">
        <v>293074.65000000002</v>
      </c>
      <c r="I693">
        <v>553</v>
      </c>
      <c r="J693" t="s">
        <v>38</v>
      </c>
      <c r="K693" t="s">
        <v>59</v>
      </c>
      <c r="L693">
        <v>-118892.74</v>
      </c>
      <c r="M693">
        <v>74009.78</v>
      </c>
      <c r="N693" t="s">
        <v>28</v>
      </c>
      <c r="O693" s="7">
        <f t="shared" ca="1" si="41"/>
        <v>45875</v>
      </c>
      <c r="P693" s="7">
        <v>45916</v>
      </c>
      <c r="Q693">
        <v>5</v>
      </c>
      <c r="R693" t="str">
        <f t="shared" si="42"/>
        <v>Midum Risk</v>
      </c>
      <c r="S693" t="str">
        <f t="shared" si="43"/>
        <v xml:space="preserve">Midum </v>
      </c>
      <c r="T693" s="4">
        <f>Table1[[#This Row],[Deposit_Amount]]+Table1[[#This Row],[Withdrawal_Amount]]</f>
        <v>384094.19</v>
      </c>
      <c r="U693" t="s">
        <v>274</v>
      </c>
    </row>
    <row r="694" spans="1:21" x14ac:dyDescent="0.3">
      <c r="A694">
        <v>693</v>
      </c>
      <c r="B694" t="s">
        <v>147</v>
      </c>
      <c r="C694" t="s">
        <v>16</v>
      </c>
      <c r="D694">
        <v>70</v>
      </c>
      <c r="E694" t="s">
        <v>40</v>
      </c>
      <c r="F694" s="4">
        <v>262806.73</v>
      </c>
      <c r="G694" t="str">
        <f t="shared" si="40"/>
        <v>High Income</v>
      </c>
      <c r="H694">
        <v>4286.22</v>
      </c>
      <c r="I694">
        <v>396</v>
      </c>
      <c r="J694" t="s">
        <v>38</v>
      </c>
      <c r="K694" t="s">
        <v>19</v>
      </c>
      <c r="L694">
        <v>341977.38</v>
      </c>
      <c r="M694">
        <v>144115.69</v>
      </c>
      <c r="N694" t="s">
        <v>20</v>
      </c>
      <c r="O694" s="7">
        <f t="shared" ca="1" si="41"/>
        <v>45923</v>
      </c>
      <c r="P694" s="7">
        <v>45907</v>
      </c>
      <c r="Q694">
        <v>5</v>
      </c>
      <c r="R694" t="str">
        <f t="shared" si="42"/>
        <v>High Risk</v>
      </c>
      <c r="S694" t="str">
        <f t="shared" si="43"/>
        <v>Poor</v>
      </c>
      <c r="T694" s="4">
        <f>Table1[[#This Row],[Deposit_Amount]]+Table1[[#This Row],[Withdrawal_Amount]]</f>
        <v>267092.94999999995</v>
      </c>
      <c r="U694" t="s">
        <v>274</v>
      </c>
    </row>
    <row r="695" spans="1:21" x14ac:dyDescent="0.3">
      <c r="A695">
        <v>694</v>
      </c>
      <c r="B695" t="s">
        <v>73</v>
      </c>
      <c r="C695" t="s">
        <v>16</v>
      </c>
      <c r="D695">
        <v>46</v>
      </c>
      <c r="E695" t="s">
        <v>44</v>
      </c>
      <c r="F695" s="4">
        <v>497884.51</v>
      </c>
      <c r="G695" t="str">
        <f t="shared" si="40"/>
        <v>High Income</v>
      </c>
      <c r="H695">
        <v>108712.46</v>
      </c>
      <c r="I695">
        <v>876</v>
      </c>
      <c r="J695" t="s">
        <v>27</v>
      </c>
      <c r="K695" t="s">
        <v>59</v>
      </c>
      <c r="L695">
        <v>479276.06</v>
      </c>
      <c r="M695">
        <v>42800.639999999999</v>
      </c>
      <c r="N695" t="s">
        <v>25</v>
      </c>
      <c r="O695" s="7">
        <f t="shared" ca="1" si="41"/>
        <v>45728</v>
      </c>
      <c r="P695" s="7">
        <v>45829</v>
      </c>
      <c r="Q695">
        <v>5</v>
      </c>
      <c r="R695" t="str">
        <f t="shared" si="42"/>
        <v>Low Risk</v>
      </c>
      <c r="S695" t="str">
        <f t="shared" si="43"/>
        <v>Good</v>
      </c>
      <c r="T695" s="4">
        <f>Table1[[#This Row],[Deposit_Amount]]+Table1[[#This Row],[Withdrawal_Amount]]</f>
        <v>606596.97</v>
      </c>
      <c r="U695" t="s">
        <v>274</v>
      </c>
    </row>
    <row r="696" spans="1:21" x14ac:dyDescent="0.3">
      <c r="A696">
        <v>695</v>
      </c>
      <c r="B696" t="s">
        <v>87</v>
      </c>
      <c r="C696" t="s">
        <v>16</v>
      </c>
      <c r="D696">
        <v>21</v>
      </c>
      <c r="E696" t="s">
        <v>31</v>
      </c>
      <c r="F696" s="4">
        <v>488795.07</v>
      </c>
      <c r="G696" t="str">
        <f t="shared" si="40"/>
        <v>High Income</v>
      </c>
      <c r="H696">
        <v>162044.74</v>
      </c>
      <c r="I696">
        <v>658</v>
      </c>
      <c r="J696" t="s">
        <v>18</v>
      </c>
      <c r="K696" t="s">
        <v>36</v>
      </c>
      <c r="L696">
        <v>340900.73</v>
      </c>
      <c r="M696">
        <v>136563.95000000001</v>
      </c>
      <c r="N696" t="s">
        <v>20</v>
      </c>
      <c r="O696" s="7">
        <f t="shared" ca="1" si="41"/>
        <v>45914</v>
      </c>
      <c r="P696" s="7">
        <v>45797</v>
      </c>
      <c r="Q696">
        <v>4</v>
      </c>
      <c r="R696" t="str">
        <f t="shared" si="42"/>
        <v>Low Risk</v>
      </c>
      <c r="S696" t="str">
        <f t="shared" si="43"/>
        <v>Good</v>
      </c>
      <c r="T696" s="4">
        <f>Table1[[#This Row],[Deposit_Amount]]+Table1[[#This Row],[Withdrawal_Amount]]</f>
        <v>650839.81000000006</v>
      </c>
      <c r="U696" t="s">
        <v>274</v>
      </c>
    </row>
    <row r="697" spans="1:21" x14ac:dyDescent="0.3">
      <c r="A697">
        <v>696</v>
      </c>
      <c r="B697" t="s">
        <v>110</v>
      </c>
      <c r="C697" t="s">
        <v>22</v>
      </c>
      <c r="D697">
        <v>25</v>
      </c>
      <c r="E697" t="s">
        <v>31</v>
      </c>
      <c r="F697" s="4">
        <v>54784.08</v>
      </c>
      <c r="G697" t="str">
        <f t="shared" si="40"/>
        <v>Low Income</v>
      </c>
      <c r="H697">
        <v>249712.14</v>
      </c>
      <c r="I697">
        <v>581</v>
      </c>
      <c r="J697" t="s">
        <v>18</v>
      </c>
      <c r="K697" t="s">
        <v>24</v>
      </c>
      <c r="L697">
        <v>-56893.58</v>
      </c>
      <c r="M697">
        <v>245114.12</v>
      </c>
      <c r="N697" t="s">
        <v>28</v>
      </c>
      <c r="O697" s="7">
        <f t="shared" ca="1" si="41"/>
        <v>45748</v>
      </c>
      <c r="P697" s="7">
        <v>45679</v>
      </c>
      <c r="Q697">
        <v>2</v>
      </c>
      <c r="R697" t="str">
        <f t="shared" si="42"/>
        <v>Midum Risk</v>
      </c>
      <c r="S697" t="str">
        <f t="shared" si="43"/>
        <v xml:space="preserve">Midum </v>
      </c>
      <c r="T697" s="4">
        <f>Table1[[#This Row],[Deposit_Amount]]+Table1[[#This Row],[Withdrawal_Amount]]</f>
        <v>304496.22000000003</v>
      </c>
      <c r="U697" t="s">
        <v>274</v>
      </c>
    </row>
    <row r="698" spans="1:21" x14ac:dyDescent="0.3">
      <c r="A698">
        <v>697</v>
      </c>
      <c r="B698" t="s">
        <v>132</v>
      </c>
      <c r="C698" t="s">
        <v>22</v>
      </c>
      <c r="D698">
        <v>25</v>
      </c>
      <c r="E698" t="s">
        <v>40</v>
      </c>
      <c r="F698" s="4">
        <v>244059.18</v>
      </c>
      <c r="G698" t="str">
        <f t="shared" si="40"/>
        <v>High Income</v>
      </c>
      <c r="H698">
        <v>92051.520000000004</v>
      </c>
      <c r="I698">
        <v>889</v>
      </c>
      <c r="J698" t="s">
        <v>41</v>
      </c>
      <c r="K698" t="s">
        <v>24</v>
      </c>
      <c r="L698">
        <v>329899.92</v>
      </c>
      <c r="M698">
        <v>30437.82</v>
      </c>
      <c r="N698" t="s">
        <v>25</v>
      </c>
      <c r="O698" s="7">
        <f t="shared" ca="1" si="41"/>
        <v>45820</v>
      </c>
      <c r="P698" s="7">
        <v>45847</v>
      </c>
      <c r="Q698">
        <v>4</v>
      </c>
      <c r="R698" t="str">
        <f t="shared" si="42"/>
        <v>Low Risk</v>
      </c>
      <c r="S698" t="str">
        <f t="shared" si="43"/>
        <v>Good</v>
      </c>
      <c r="T698" s="4">
        <f>Table1[[#This Row],[Deposit_Amount]]+Table1[[#This Row],[Withdrawal_Amount]]</f>
        <v>336110.7</v>
      </c>
      <c r="U698" t="s">
        <v>274</v>
      </c>
    </row>
    <row r="699" spans="1:21" x14ac:dyDescent="0.3">
      <c r="A699">
        <v>698</v>
      </c>
      <c r="B699" t="s">
        <v>184</v>
      </c>
      <c r="C699" t="s">
        <v>16</v>
      </c>
      <c r="D699">
        <v>31</v>
      </c>
      <c r="E699" t="s">
        <v>31</v>
      </c>
      <c r="F699" s="4">
        <v>89582.23</v>
      </c>
      <c r="G699" t="str">
        <f t="shared" si="40"/>
        <v>Low Income</v>
      </c>
      <c r="H699">
        <v>61115.55</v>
      </c>
      <c r="I699">
        <v>607</v>
      </c>
      <c r="J699" t="s">
        <v>32</v>
      </c>
      <c r="K699" t="s">
        <v>19</v>
      </c>
      <c r="L699">
        <v>97291.74</v>
      </c>
      <c r="M699">
        <v>101041.11</v>
      </c>
      <c r="N699" t="s">
        <v>28</v>
      </c>
      <c r="O699" s="7">
        <f t="shared" ca="1" si="41"/>
        <v>45985</v>
      </c>
      <c r="P699" s="7">
        <v>45857</v>
      </c>
      <c r="Q699">
        <v>1</v>
      </c>
      <c r="R699" t="str">
        <f t="shared" si="42"/>
        <v>Low Risk</v>
      </c>
      <c r="S699" t="str">
        <f t="shared" si="43"/>
        <v>Good</v>
      </c>
      <c r="T699" s="4">
        <f>Table1[[#This Row],[Deposit_Amount]]+Table1[[#This Row],[Withdrawal_Amount]]</f>
        <v>150697.78</v>
      </c>
      <c r="U699" t="s">
        <v>274</v>
      </c>
    </row>
    <row r="700" spans="1:21" x14ac:dyDescent="0.3">
      <c r="A700">
        <v>699</v>
      </c>
      <c r="B700" t="s">
        <v>191</v>
      </c>
      <c r="C700" t="s">
        <v>22</v>
      </c>
      <c r="D700">
        <v>68</v>
      </c>
      <c r="E700" t="s">
        <v>23</v>
      </c>
      <c r="F700" s="4">
        <v>15267.67</v>
      </c>
      <c r="G700" t="str">
        <f t="shared" si="40"/>
        <v>Low Income</v>
      </c>
      <c r="H700">
        <v>141385.69</v>
      </c>
      <c r="I700">
        <v>644</v>
      </c>
      <c r="J700" t="s">
        <v>27</v>
      </c>
      <c r="K700" t="s">
        <v>36</v>
      </c>
      <c r="L700">
        <v>39928.67</v>
      </c>
      <c r="M700">
        <v>183440.43</v>
      </c>
      <c r="N700" t="s">
        <v>28</v>
      </c>
      <c r="O700" s="7">
        <f t="shared" ca="1" si="41"/>
        <v>45737</v>
      </c>
      <c r="P700" s="7">
        <v>45971</v>
      </c>
      <c r="Q700">
        <v>4</v>
      </c>
      <c r="R700" t="str">
        <f t="shared" si="42"/>
        <v>Low Risk</v>
      </c>
      <c r="S700" t="str">
        <f t="shared" si="43"/>
        <v>Good</v>
      </c>
      <c r="T700" s="4">
        <f>Table1[[#This Row],[Deposit_Amount]]+Table1[[#This Row],[Withdrawal_Amount]]</f>
        <v>156653.36000000002</v>
      </c>
      <c r="U700" t="s">
        <v>274</v>
      </c>
    </row>
    <row r="701" spans="1:21" x14ac:dyDescent="0.3">
      <c r="A701">
        <v>700</v>
      </c>
      <c r="B701" t="s">
        <v>148</v>
      </c>
      <c r="C701" t="s">
        <v>16</v>
      </c>
      <c r="D701">
        <v>48</v>
      </c>
      <c r="E701" t="s">
        <v>35</v>
      </c>
      <c r="F701" s="4">
        <v>363843.87</v>
      </c>
      <c r="G701" t="str">
        <f t="shared" si="40"/>
        <v>High Income</v>
      </c>
      <c r="H701">
        <v>86730.52</v>
      </c>
      <c r="I701">
        <v>472</v>
      </c>
      <c r="J701" t="s">
        <v>41</v>
      </c>
      <c r="K701" t="s">
        <v>59</v>
      </c>
      <c r="L701">
        <v>412773.22</v>
      </c>
      <c r="M701">
        <v>149374.35</v>
      </c>
      <c r="N701" t="s">
        <v>25</v>
      </c>
      <c r="O701" s="7">
        <f t="shared" ca="1" si="41"/>
        <v>45992</v>
      </c>
      <c r="P701" s="7">
        <v>45803</v>
      </c>
      <c r="Q701">
        <v>2</v>
      </c>
      <c r="R701" t="str">
        <f t="shared" si="42"/>
        <v>Midum Risk</v>
      </c>
      <c r="S701" t="str">
        <f t="shared" si="43"/>
        <v xml:space="preserve">Midum </v>
      </c>
      <c r="T701" s="4">
        <f>Table1[[#This Row],[Deposit_Amount]]+Table1[[#This Row],[Withdrawal_Amount]]</f>
        <v>450574.39</v>
      </c>
      <c r="U701" t="s">
        <v>274</v>
      </c>
    </row>
    <row r="702" spans="1:21" x14ac:dyDescent="0.3">
      <c r="A702">
        <v>701</v>
      </c>
      <c r="B702" t="s">
        <v>207</v>
      </c>
      <c r="C702" t="s">
        <v>16</v>
      </c>
      <c r="D702">
        <v>60</v>
      </c>
      <c r="E702" t="s">
        <v>23</v>
      </c>
      <c r="F702" s="4">
        <v>190814.72</v>
      </c>
      <c r="G702" t="str">
        <f t="shared" si="40"/>
        <v>Midum Income</v>
      </c>
      <c r="H702">
        <v>154283.22</v>
      </c>
      <c r="I702">
        <v>568</v>
      </c>
      <c r="J702" t="s">
        <v>18</v>
      </c>
      <c r="K702" t="s">
        <v>42</v>
      </c>
      <c r="L702">
        <v>225482.94</v>
      </c>
      <c r="M702">
        <v>115847.49</v>
      </c>
      <c r="N702" t="s">
        <v>20</v>
      </c>
      <c r="O702" s="7">
        <f t="shared" ca="1" si="41"/>
        <v>45690</v>
      </c>
      <c r="P702" s="7">
        <v>45849</v>
      </c>
      <c r="Q702">
        <v>1</v>
      </c>
      <c r="R702" t="str">
        <f t="shared" si="42"/>
        <v>Midum Risk</v>
      </c>
      <c r="S702" t="str">
        <f t="shared" si="43"/>
        <v xml:space="preserve">Midum </v>
      </c>
      <c r="T702" s="4">
        <f>Table1[[#This Row],[Deposit_Amount]]+Table1[[#This Row],[Withdrawal_Amount]]</f>
        <v>345097.94</v>
      </c>
      <c r="U702" t="s">
        <v>274</v>
      </c>
    </row>
    <row r="703" spans="1:21" x14ac:dyDescent="0.3">
      <c r="A703">
        <v>702</v>
      </c>
      <c r="B703" t="s">
        <v>93</v>
      </c>
      <c r="C703" t="s">
        <v>22</v>
      </c>
      <c r="D703">
        <v>21</v>
      </c>
      <c r="E703" t="s">
        <v>23</v>
      </c>
      <c r="F703" s="4">
        <v>450444.27</v>
      </c>
      <c r="G703" t="str">
        <f t="shared" si="40"/>
        <v>High Income</v>
      </c>
      <c r="H703">
        <v>209822.81</v>
      </c>
      <c r="I703">
        <v>615</v>
      </c>
      <c r="J703" t="s">
        <v>38</v>
      </c>
      <c r="K703" t="s">
        <v>19</v>
      </c>
      <c r="L703">
        <v>403994.21</v>
      </c>
      <c r="M703">
        <v>158543.66</v>
      </c>
      <c r="N703" t="s">
        <v>20</v>
      </c>
      <c r="O703" s="7">
        <f t="shared" ca="1" si="41"/>
        <v>46000</v>
      </c>
      <c r="P703" s="7">
        <v>45850</v>
      </c>
      <c r="Q703">
        <v>5</v>
      </c>
      <c r="R703" t="str">
        <f t="shared" si="42"/>
        <v>Low Risk</v>
      </c>
      <c r="S703" t="str">
        <f t="shared" si="43"/>
        <v>Good</v>
      </c>
      <c r="T703" s="4">
        <f>Table1[[#This Row],[Deposit_Amount]]+Table1[[#This Row],[Withdrawal_Amount]]</f>
        <v>660267.08000000007</v>
      </c>
      <c r="U703" t="s">
        <v>274</v>
      </c>
    </row>
    <row r="704" spans="1:21" x14ac:dyDescent="0.3">
      <c r="A704">
        <v>703</v>
      </c>
      <c r="B704" t="s">
        <v>76</v>
      </c>
      <c r="C704" t="s">
        <v>22</v>
      </c>
      <c r="D704">
        <v>23</v>
      </c>
      <c r="E704" t="s">
        <v>40</v>
      </c>
      <c r="F704" s="4">
        <v>211970.07</v>
      </c>
      <c r="G704" t="str">
        <f t="shared" si="40"/>
        <v>High Income</v>
      </c>
      <c r="H704">
        <v>8808.26</v>
      </c>
      <c r="I704">
        <v>820</v>
      </c>
      <c r="J704" t="s">
        <v>38</v>
      </c>
      <c r="K704" t="s">
        <v>36</v>
      </c>
      <c r="L704">
        <v>216233.57</v>
      </c>
      <c r="M704">
        <v>37685.32</v>
      </c>
      <c r="N704" t="s">
        <v>20</v>
      </c>
      <c r="O704" s="7">
        <f t="shared" ca="1" si="41"/>
        <v>45674</v>
      </c>
      <c r="P704" s="7">
        <v>45821</v>
      </c>
      <c r="Q704">
        <v>4</v>
      </c>
      <c r="R704" t="str">
        <f t="shared" si="42"/>
        <v>Low Risk</v>
      </c>
      <c r="S704" t="str">
        <f t="shared" si="43"/>
        <v>Good</v>
      </c>
      <c r="T704" s="4">
        <f>Table1[[#This Row],[Deposit_Amount]]+Table1[[#This Row],[Withdrawal_Amount]]</f>
        <v>220778.33000000002</v>
      </c>
      <c r="U704" t="s">
        <v>274</v>
      </c>
    </row>
    <row r="705" spans="1:21" x14ac:dyDescent="0.3">
      <c r="A705">
        <v>704</v>
      </c>
      <c r="B705" t="s">
        <v>172</v>
      </c>
      <c r="C705" t="s">
        <v>16</v>
      </c>
      <c r="D705">
        <v>25</v>
      </c>
      <c r="E705" t="s">
        <v>17</v>
      </c>
      <c r="F705" s="4">
        <v>284533.03999999998</v>
      </c>
      <c r="G705" t="str">
        <f t="shared" si="40"/>
        <v>High Income</v>
      </c>
      <c r="H705">
        <v>102180.97</v>
      </c>
      <c r="I705">
        <v>466</v>
      </c>
      <c r="J705" t="s">
        <v>18</v>
      </c>
      <c r="K705" t="s">
        <v>24</v>
      </c>
      <c r="L705">
        <v>372885.42</v>
      </c>
      <c r="M705">
        <v>170445.43</v>
      </c>
      <c r="N705" t="s">
        <v>20</v>
      </c>
      <c r="O705" s="7">
        <f t="shared" ca="1" si="41"/>
        <v>45886</v>
      </c>
      <c r="P705" s="7">
        <v>45905</v>
      </c>
      <c r="Q705">
        <v>2</v>
      </c>
      <c r="R705" t="str">
        <f t="shared" si="42"/>
        <v>Midum Risk</v>
      </c>
      <c r="S705" t="str">
        <f t="shared" si="43"/>
        <v xml:space="preserve">Midum </v>
      </c>
      <c r="T705" s="4">
        <f>Table1[[#This Row],[Deposit_Amount]]+Table1[[#This Row],[Withdrawal_Amount]]</f>
        <v>386714.01</v>
      </c>
      <c r="U705" t="s">
        <v>274</v>
      </c>
    </row>
    <row r="706" spans="1:21" x14ac:dyDescent="0.3">
      <c r="A706">
        <v>705</v>
      </c>
      <c r="B706" t="s">
        <v>43</v>
      </c>
      <c r="C706" t="s">
        <v>22</v>
      </c>
      <c r="D706">
        <v>68</v>
      </c>
      <c r="E706" t="s">
        <v>17</v>
      </c>
      <c r="F706" s="4">
        <v>167424.65</v>
      </c>
      <c r="G706" t="str">
        <f t="shared" ref="G706:G769" si="44">IF(F706&lt;=100000,"Low Income",IF(F706&lt;=200000,"Midum Income","High Income"))</f>
        <v>Midum Income</v>
      </c>
      <c r="H706">
        <v>125552.19</v>
      </c>
      <c r="I706">
        <v>473</v>
      </c>
      <c r="J706" t="s">
        <v>41</v>
      </c>
      <c r="K706" t="s">
        <v>24</v>
      </c>
      <c r="L706">
        <v>178121.66</v>
      </c>
      <c r="M706">
        <v>29378.400000000001</v>
      </c>
      <c r="N706" t="s">
        <v>25</v>
      </c>
      <c r="O706" s="7">
        <f t="shared" ref="O706:O769" ca="1" si="45">RANDBETWEEN(DATE(2025,1,1),DATE(2025,12,31))</f>
        <v>45807</v>
      </c>
      <c r="P706" s="7">
        <v>45921</v>
      </c>
      <c r="Q706">
        <v>3</v>
      </c>
      <c r="R706" t="str">
        <f t="shared" ref="R706:R769" si="46">IF(I706&lt;=400,"High Risk",IF(I706&lt;=600,"Midum Risk","Low Risk"))</f>
        <v>Midum Risk</v>
      </c>
      <c r="S706" t="str">
        <f t="shared" ref="S706:S769" si="47">IF(I706&lt;=400,"Poor",IF(I706&lt;=600,"Midum ","Good"))</f>
        <v xml:space="preserve">Midum </v>
      </c>
      <c r="T706" s="4">
        <f>Table1[[#This Row],[Deposit_Amount]]+Table1[[#This Row],[Withdrawal_Amount]]</f>
        <v>292976.83999999997</v>
      </c>
      <c r="U706" t="s">
        <v>274</v>
      </c>
    </row>
    <row r="707" spans="1:21" x14ac:dyDescent="0.3">
      <c r="A707">
        <v>706</v>
      </c>
      <c r="B707" t="s">
        <v>227</v>
      </c>
      <c r="C707" t="s">
        <v>22</v>
      </c>
      <c r="D707">
        <v>60</v>
      </c>
      <c r="E707" t="s">
        <v>35</v>
      </c>
      <c r="F707" s="4">
        <v>367697.3</v>
      </c>
      <c r="G707" t="str">
        <f t="shared" si="44"/>
        <v>High Income</v>
      </c>
      <c r="H707">
        <v>32301.21</v>
      </c>
      <c r="I707">
        <v>361</v>
      </c>
      <c r="J707" t="s">
        <v>41</v>
      </c>
      <c r="K707" t="s">
        <v>36</v>
      </c>
      <c r="L707">
        <v>498963.86</v>
      </c>
      <c r="M707">
        <v>74045.61</v>
      </c>
      <c r="N707" t="s">
        <v>28</v>
      </c>
      <c r="O707" s="7">
        <f t="shared" ca="1" si="45"/>
        <v>45906</v>
      </c>
      <c r="P707" s="7">
        <v>45718</v>
      </c>
      <c r="Q707">
        <v>1</v>
      </c>
      <c r="R707" t="str">
        <f t="shared" si="46"/>
        <v>High Risk</v>
      </c>
      <c r="S707" t="str">
        <f t="shared" si="47"/>
        <v>Poor</v>
      </c>
      <c r="T707" s="4">
        <f>Table1[[#This Row],[Deposit_Amount]]+Table1[[#This Row],[Withdrawal_Amount]]</f>
        <v>399998.51</v>
      </c>
      <c r="U707" t="s">
        <v>274</v>
      </c>
    </row>
    <row r="708" spans="1:21" x14ac:dyDescent="0.3">
      <c r="A708">
        <v>707</v>
      </c>
      <c r="B708" t="s">
        <v>224</v>
      </c>
      <c r="C708" t="s">
        <v>22</v>
      </c>
      <c r="D708">
        <v>23</v>
      </c>
      <c r="E708" t="s">
        <v>17</v>
      </c>
      <c r="F708" s="4">
        <v>89575.9</v>
      </c>
      <c r="G708" t="str">
        <f t="shared" si="44"/>
        <v>Low Income</v>
      </c>
      <c r="H708">
        <v>261799.28</v>
      </c>
      <c r="I708">
        <v>735</v>
      </c>
      <c r="J708" t="s">
        <v>38</v>
      </c>
      <c r="K708" t="s">
        <v>19</v>
      </c>
      <c r="L708">
        <v>-64154.3</v>
      </c>
      <c r="M708">
        <v>29477.99</v>
      </c>
      <c r="N708" t="s">
        <v>25</v>
      </c>
      <c r="O708" s="7">
        <f t="shared" ca="1" si="45"/>
        <v>45782</v>
      </c>
      <c r="P708" s="7">
        <v>45811</v>
      </c>
      <c r="Q708">
        <v>4</v>
      </c>
      <c r="R708" t="str">
        <f t="shared" si="46"/>
        <v>Low Risk</v>
      </c>
      <c r="S708" t="str">
        <f t="shared" si="47"/>
        <v>Good</v>
      </c>
      <c r="T708" s="4">
        <f>Table1[[#This Row],[Deposit_Amount]]+Table1[[#This Row],[Withdrawal_Amount]]</f>
        <v>351375.18</v>
      </c>
      <c r="U708" t="s">
        <v>274</v>
      </c>
    </row>
    <row r="709" spans="1:21" x14ac:dyDescent="0.3">
      <c r="A709">
        <v>708</v>
      </c>
      <c r="B709" t="s">
        <v>68</v>
      </c>
      <c r="C709" t="s">
        <v>16</v>
      </c>
      <c r="D709">
        <v>19</v>
      </c>
      <c r="E709" t="s">
        <v>44</v>
      </c>
      <c r="F709" s="4">
        <v>417664.95</v>
      </c>
      <c r="G709" t="str">
        <f t="shared" si="44"/>
        <v>High Income</v>
      </c>
      <c r="H709">
        <v>112395.42</v>
      </c>
      <c r="I709">
        <v>653</v>
      </c>
      <c r="J709" t="s">
        <v>27</v>
      </c>
      <c r="K709" t="s">
        <v>19</v>
      </c>
      <c r="L709">
        <v>412891.08</v>
      </c>
      <c r="M709">
        <v>63720.66</v>
      </c>
      <c r="N709" t="s">
        <v>20</v>
      </c>
      <c r="O709" s="7">
        <f t="shared" ca="1" si="45"/>
        <v>45673</v>
      </c>
      <c r="P709" s="7">
        <v>45932</v>
      </c>
      <c r="Q709">
        <v>4</v>
      </c>
      <c r="R709" t="str">
        <f t="shared" si="46"/>
        <v>Low Risk</v>
      </c>
      <c r="S709" t="str">
        <f t="shared" si="47"/>
        <v>Good</v>
      </c>
      <c r="T709" s="4">
        <f>Table1[[#This Row],[Deposit_Amount]]+Table1[[#This Row],[Withdrawal_Amount]]</f>
        <v>530060.37</v>
      </c>
      <c r="U709" t="s">
        <v>274</v>
      </c>
    </row>
    <row r="710" spans="1:21" x14ac:dyDescent="0.3">
      <c r="A710">
        <v>709</v>
      </c>
      <c r="B710" t="s">
        <v>149</v>
      </c>
      <c r="C710" t="s">
        <v>22</v>
      </c>
      <c r="D710">
        <v>50</v>
      </c>
      <c r="E710" t="s">
        <v>35</v>
      </c>
      <c r="F710" s="4">
        <v>188424.21</v>
      </c>
      <c r="G710" t="str">
        <f t="shared" si="44"/>
        <v>Midum Income</v>
      </c>
      <c r="H710">
        <v>104477.16</v>
      </c>
      <c r="I710">
        <v>360</v>
      </c>
      <c r="J710" t="s">
        <v>18</v>
      </c>
      <c r="K710" t="s">
        <v>24</v>
      </c>
      <c r="L710">
        <v>177775.59</v>
      </c>
      <c r="M710">
        <v>70575.89</v>
      </c>
      <c r="N710" t="s">
        <v>28</v>
      </c>
      <c r="O710" s="7">
        <f t="shared" ca="1" si="45"/>
        <v>46004</v>
      </c>
      <c r="P710" s="7">
        <v>45919</v>
      </c>
      <c r="Q710">
        <v>1</v>
      </c>
      <c r="R710" t="str">
        <f t="shared" si="46"/>
        <v>High Risk</v>
      </c>
      <c r="S710" t="str">
        <f t="shared" si="47"/>
        <v>Poor</v>
      </c>
      <c r="T710" s="4">
        <f>Table1[[#This Row],[Deposit_Amount]]+Table1[[#This Row],[Withdrawal_Amount]]</f>
        <v>292901.37</v>
      </c>
      <c r="U710" t="s">
        <v>274</v>
      </c>
    </row>
    <row r="711" spans="1:21" x14ac:dyDescent="0.3">
      <c r="A711">
        <v>710</v>
      </c>
      <c r="B711" t="s">
        <v>156</v>
      </c>
      <c r="C711" t="s">
        <v>16</v>
      </c>
      <c r="D711">
        <v>55</v>
      </c>
      <c r="E711" t="s">
        <v>23</v>
      </c>
      <c r="F711" s="4">
        <v>47732.71</v>
      </c>
      <c r="G711" t="str">
        <f t="shared" si="44"/>
        <v>Low Income</v>
      </c>
      <c r="H711">
        <v>117514.84</v>
      </c>
      <c r="I711">
        <v>588</v>
      </c>
      <c r="J711" t="s">
        <v>38</v>
      </c>
      <c r="K711" t="s">
        <v>59</v>
      </c>
      <c r="L711">
        <v>-9835.82</v>
      </c>
      <c r="M711">
        <v>223530.14</v>
      </c>
      <c r="N711" t="s">
        <v>20</v>
      </c>
      <c r="O711" s="7">
        <f t="shared" ca="1" si="45"/>
        <v>45919</v>
      </c>
      <c r="P711" s="7">
        <v>45685</v>
      </c>
      <c r="Q711">
        <v>3</v>
      </c>
      <c r="R711" t="str">
        <f t="shared" si="46"/>
        <v>Midum Risk</v>
      </c>
      <c r="S711" t="str">
        <f t="shared" si="47"/>
        <v xml:space="preserve">Midum </v>
      </c>
      <c r="T711" s="4">
        <f>Table1[[#This Row],[Deposit_Amount]]+Table1[[#This Row],[Withdrawal_Amount]]</f>
        <v>165247.54999999999</v>
      </c>
      <c r="U711" t="s">
        <v>274</v>
      </c>
    </row>
    <row r="712" spans="1:21" x14ac:dyDescent="0.3">
      <c r="A712">
        <v>711</v>
      </c>
      <c r="B712" t="s">
        <v>146</v>
      </c>
      <c r="C712" t="s">
        <v>22</v>
      </c>
      <c r="D712">
        <v>34</v>
      </c>
      <c r="E712" t="s">
        <v>44</v>
      </c>
      <c r="F712" s="4">
        <v>13587.2</v>
      </c>
      <c r="G712" t="str">
        <f t="shared" si="44"/>
        <v>Low Income</v>
      </c>
      <c r="H712">
        <v>272356.84000000003</v>
      </c>
      <c r="I712">
        <v>811</v>
      </c>
      <c r="J712" t="s">
        <v>32</v>
      </c>
      <c r="K712" t="s">
        <v>19</v>
      </c>
      <c r="L712">
        <v>-65857.740000000005</v>
      </c>
      <c r="M712">
        <v>102776.4</v>
      </c>
      <c r="N712" t="s">
        <v>28</v>
      </c>
      <c r="O712" s="7">
        <f t="shared" ca="1" si="45"/>
        <v>45897</v>
      </c>
      <c r="P712" s="7">
        <v>45676</v>
      </c>
      <c r="Q712">
        <v>3</v>
      </c>
      <c r="R712" t="str">
        <f t="shared" si="46"/>
        <v>Low Risk</v>
      </c>
      <c r="S712" t="str">
        <f t="shared" si="47"/>
        <v>Good</v>
      </c>
      <c r="T712" s="4">
        <f>Table1[[#This Row],[Deposit_Amount]]+Table1[[#This Row],[Withdrawal_Amount]]</f>
        <v>285944.04000000004</v>
      </c>
      <c r="U712" t="s">
        <v>274</v>
      </c>
    </row>
    <row r="713" spans="1:21" x14ac:dyDescent="0.3">
      <c r="A713">
        <v>712</v>
      </c>
      <c r="B713" t="s">
        <v>114</v>
      </c>
      <c r="C713" t="s">
        <v>16</v>
      </c>
      <c r="D713">
        <v>24</v>
      </c>
      <c r="E713" t="s">
        <v>17</v>
      </c>
      <c r="F713" s="4">
        <v>127312.53</v>
      </c>
      <c r="G713" t="str">
        <f t="shared" si="44"/>
        <v>Midum Income</v>
      </c>
      <c r="H713">
        <v>194926.11</v>
      </c>
      <c r="I713">
        <v>393</v>
      </c>
      <c r="J713" t="s">
        <v>38</v>
      </c>
      <c r="K713" t="s">
        <v>42</v>
      </c>
      <c r="L713">
        <v>91647.48</v>
      </c>
      <c r="M713">
        <v>210314.2</v>
      </c>
      <c r="N713" t="s">
        <v>25</v>
      </c>
      <c r="O713" s="7">
        <f t="shared" ca="1" si="45"/>
        <v>46009</v>
      </c>
      <c r="P713" s="7">
        <v>45979</v>
      </c>
      <c r="Q713">
        <v>2</v>
      </c>
      <c r="R713" t="str">
        <f t="shared" si="46"/>
        <v>High Risk</v>
      </c>
      <c r="S713" t="str">
        <f t="shared" si="47"/>
        <v>Poor</v>
      </c>
      <c r="T713" s="4">
        <f>Table1[[#This Row],[Deposit_Amount]]+Table1[[#This Row],[Withdrawal_Amount]]</f>
        <v>322238.64</v>
      </c>
      <c r="U713" t="s">
        <v>274</v>
      </c>
    </row>
    <row r="714" spans="1:21" x14ac:dyDescent="0.3">
      <c r="A714">
        <v>713</v>
      </c>
      <c r="B714" t="s">
        <v>70</v>
      </c>
      <c r="C714" t="s">
        <v>22</v>
      </c>
      <c r="D714">
        <v>26</v>
      </c>
      <c r="E714" t="s">
        <v>35</v>
      </c>
      <c r="F714" s="4">
        <v>405850.41</v>
      </c>
      <c r="G714" t="str">
        <f t="shared" si="44"/>
        <v>High Income</v>
      </c>
      <c r="H714">
        <v>206303.87</v>
      </c>
      <c r="I714">
        <v>519</v>
      </c>
      <c r="J714" t="s">
        <v>32</v>
      </c>
      <c r="K714" t="s">
        <v>19</v>
      </c>
      <c r="L714">
        <v>333263.76</v>
      </c>
      <c r="M714">
        <v>55975.35</v>
      </c>
      <c r="N714" t="s">
        <v>28</v>
      </c>
      <c r="O714" s="7">
        <f t="shared" ca="1" si="45"/>
        <v>45878</v>
      </c>
      <c r="P714" s="7">
        <v>45731</v>
      </c>
      <c r="Q714">
        <v>2</v>
      </c>
      <c r="R714" t="str">
        <f t="shared" si="46"/>
        <v>Midum Risk</v>
      </c>
      <c r="S714" t="str">
        <f t="shared" si="47"/>
        <v xml:space="preserve">Midum </v>
      </c>
      <c r="T714" s="4">
        <f>Table1[[#This Row],[Deposit_Amount]]+Table1[[#This Row],[Withdrawal_Amount]]</f>
        <v>612154.28</v>
      </c>
      <c r="U714" t="s">
        <v>274</v>
      </c>
    </row>
    <row r="715" spans="1:21" x14ac:dyDescent="0.3">
      <c r="A715">
        <v>714</v>
      </c>
      <c r="B715" t="s">
        <v>160</v>
      </c>
      <c r="C715" t="s">
        <v>22</v>
      </c>
      <c r="D715">
        <v>29</v>
      </c>
      <c r="E715" t="s">
        <v>40</v>
      </c>
      <c r="F715" s="4">
        <v>426336.81</v>
      </c>
      <c r="G715" t="str">
        <f t="shared" si="44"/>
        <v>High Income</v>
      </c>
      <c r="H715">
        <v>29479.3</v>
      </c>
      <c r="I715">
        <v>546</v>
      </c>
      <c r="J715" t="s">
        <v>27</v>
      </c>
      <c r="K715" t="s">
        <v>19</v>
      </c>
      <c r="L715">
        <v>449795.84000000003</v>
      </c>
      <c r="M715">
        <v>93584.7</v>
      </c>
      <c r="N715" t="s">
        <v>28</v>
      </c>
      <c r="O715" s="7">
        <f t="shared" ca="1" si="45"/>
        <v>45918</v>
      </c>
      <c r="P715" s="7">
        <v>45679</v>
      </c>
      <c r="Q715">
        <v>5</v>
      </c>
      <c r="R715" t="str">
        <f t="shared" si="46"/>
        <v>Midum Risk</v>
      </c>
      <c r="S715" t="str">
        <f t="shared" si="47"/>
        <v xml:space="preserve">Midum </v>
      </c>
      <c r="T715" s="4">
        <f>Table1[[#This Row],[Deposit_Amount]]+Table1[[#This Row],[Withdrawal_Amount]]</f>
        <v>455816.11</v>
      </c>
      <c r="U715" t="s">
        <v>274</v>
      </c>
    </row>
    <row r="716" spans="1:21" x14ac:dyDescent="0.3">
      <c r="A716">
        <v>715</v>
      </c>
      <c r="B716" t="s">
        <v>122</v>
      </c>
      <c r="C716" t="s">
        <v>16</v>
      </c>
      <c r="D716">
        <v>22</v>
      </c>
      <c r="E716" t="s">
        <v>23</v>
      </c>
      <c r="F716" s="4">
        <v>322280.45</v>
      </c>
      <c r="G716" t="str">
        <f t="shared" si="44"/>
        <v>High Income</v>
      </c>
      <c r="H716">
        <v>173499.12</v>
      </c>
      <c r="I716">
        <v>669</v>
      </c>
      <c r="J716" t="s">
        <v>18</v>
      </c>
      <c r="K716" t="s">
        <v>59</v>
      </c>
      <c r="L716">
        <v>281130.19</v>
      </c>
      <c r="M716">
        <v>141410.96</v>
      </c>
      <c r="N716" t="s">
        <v>25</v>
      </c>
      <c r="O716" s="7">
        <f t="shared" ca="1" si="45"/>
        <v>45879</v>
      </c>
      <c r="P716" s="7">
        <v>45825</v>
      </c>
      <c r="Q716">
        <v>2</v>
      </c>
      <c r="R716" t="str">
        <f t="shared" si="46"/>
        <v>Low Risk</v>
      </c>
      <c r="S716" t="str">
        <f t="shared" si="47"/>
        <v>Good</v>
      </c>
      <c r="T716" s="4">
        <f>Table1[[#This Row],[Deposit_Amount]]+Table1[[#This Row],[Withdrawal_Amount]]</f>
        <v>495779.57</v>
      </c>
      <c r="U716" t="s">
        <v>274</v>
      </c>
    </row>
    <row r="717" spans="1:21" x14ac:dyDescent="0.3">
      <c r="A717">
        <v>716</v>
      </c>
      <c r="B717" t="s">
        <v>144</v>
      </c>
      <c r="C717" t="s">
        <v>16</v>
      </c>
      <c r="D717">
        <v>44</v>
      </c>
      <c r="E717" t="s">
        <v>44</v>
      </c>
      <c r="F717" s="4">
        <v>278447.02</v>
      </c>
      <c r="G717" t="str">
        <f t="shared" si="44"/>
        <v>High Income</v>
      </c>
      <c r="H717">
        <v>163345.56</v>
      </c>
      <c r="I717">
        <v>832</v>
      </c>
      <c r="J717" t="s">
        <v>27</v>
      </c>
      <c r="K717" t="s">
        <v>59</v>
      </c>
      <c r="L717">
        <v>157716.17000000001</v>
      </c>
      <c r="M717">
        <v>148329.35999999999</v>
      </c>
      <c r="N717" t="s">
        <v>28</v>
      </c>
      <c r="O717" s="7">
        <f t="shared" ca="1" si="45"/>
        <v>45700</v>
      </c>
      <c r="P717" s="7">
        <v>46011</v>
      </c>
      <c r="Q717">
        <v>3</v>
      </c>
      <c r="R717" t="str">
        <f t="shared" si="46"/>
        <v>Low Risk</v>
      </c>
      <c r="S717" t="str">
        <f t="shared" si="47"/>
        <v>Good</v>
      </c>
      <c r="T717" s="4">
        <f>Table1[[#This Row],[Deposit_Amount]]+Table1[[#This Row],[Withdrawal_Amount]]</f>
        <v>441792.58</v>
      </c>
      <c r="U717" t="s">
        <v>274</v>
      </c>
    </row>
    <row r="718" spans="1:21" x14ac:dyDescent="0.3">
      <c r="A718">
        <v>717</v>
      </c>
      <c r="B718" t="s">
        <v>87</v>
      </c>
      <c r="C718" t="s">
        <v>16</v>
      </c>
      <c r="D718">
        <v>60</v>
      </c>
      <c r="E718" t="s">
        <v>35</v>
      </c>
      <c r="F718" s="4">
        <v>354968.07</v>
      </c>
      <c r="G718" t="str">
        <f t="shared" si="44"/>
        <v>High Income</v>
      </c>
      <c r="H718">
        <v>43349.23</v>
      </c>
      <c r="I718">
        <v>481</v>
      </c>
      <c r="J718" t="s">
        <v>18</v>
      </c>
      <c r="K718" t="s">
        <v>36</v>
      </c>
      <c r="L718">
        <v>388173.18</v>
      </c>
      <c r="M718">
        <v>139103.17000000001</v>
      </c>
      <c r="N718" t="s">
        <v>28</v>
      </c>
      <c r="O718" s="7">
        <f t="shared" ca="1" si="45"/>
        <v>45874</v>
      </c>
      <c r="P718" s="7">
        <v>45895</v>
      </c>
      <c r="Q718">
        <v>4</v>
      </c>
      <c r="R718" t="str">
        <f t="shared" si="46"/>
        <v>Midum Risk</v>
      </c>
      <c r="S718" t="str">
        <f t="shared" si="47"/>
        <v xml:space="preserve">Midum </v>
      </c>
      <c r="T718" s="4">
        <f>Table1[[#This Row],[Deposit_Amount]]+Table1[[#This Row],[Withdrawal_Amount]]</f>
        <v>398317.3</v>
      </c>
      <c r="U718" t="s">
        <v>274</v>
      </c>
    </row>
    <row r="719" spans="1:21" x14ac:dyDescent="0.3">
      <c r="A719">
        <v>718</v>
      </c>
      <c r="B719" t="s">
        <v>110</v>
      </c>
      <c r="C719" t="s">
        <v>22</v>
      </c>
      <c r="D719">
        <v>53</v>
      </c>
      <c r="E719" t="s">
        <v>23</v>
      </c>
      <c r="F719" s="4">
        <v>8296.44</v>
      </c>
      <c r="G719" t="str">
        <f t="shared" si="44"/>
        <v>Low Income</v>
      </c>
      <c r="H719">
        <v>93490.94</v>
      </c>
      <c r="I719">
        <v>830</v>
      </c>
      <c r="J719" t="s">
        <v>38</v>
      </c>
      <c r="K719" t="s">
        <v>24</v>
      </c>
      <c r="L719">
        <v>-526.89</v>
      </c>
      <c r="M719">
        <v>131957.24</v>
      </c>
      <c r="N719" t="s">
        <v>28</v>
      </c>
      <c r="O719" s="7">
        <f t="shared" ca="1" si="45"/>
        <v>45986</v>
      </c>
      <c r="P719" s="7">
        <v>45681</v>
      </c>
      <c r="Q719">
        <v>5</v>
      </c>
      <c r="R719" t="str">
        <f t="shared" si="46"/>
        <v>Low Risk</v>
      </c>
      <c r="S719" t="str">
        <f t="shared" si="47"/>
        <v>Good</v>
      </c>
      <c r="T719" s="4">
        <f>Table1[[#This Row],[Deposit_Amount]]+Table1[[#This Row],[Withdrawal_Amount]]</f>
        <v>101787.38</v>
      </c>
      <c r="U719" t="s">
        <v>274</v>
      </c>
    </row>
    <row r="720" spans="1:21" x14ac:dyDescent="0.3">
      <c r="A720">
        <v>719</v>
      </c>
      <c r="B720" t="s">
        <v>228</v>
      </c>
      <c r="C720" t="s">
        <v>16</v>
      </c>
      <c r="D720">
        <v>38</v>
      </c>
      <c r="E720" t="s">
        <v>17</v>
      </c>
      <c r="F720" s="4">
        <v>245896.75</v>
      </c>
      <c r="G720" t="str">
        <f t="shared" si="44"/>
        <v>High Income</v>
      </c>
      <c r="H720">
        <v>253123.65</v>
      </c>
      <c r="I720">
        <v>745</v>
      </c>
      <c r="J720" t="s">
        <v>38</v>
      </c>
      <c r="K720" t="s">
        <v>19</v>
      </c>
      <c r="L720">
        <v>182204.53</v>
      </c>
      <c r="M720">
        <v>175670.42</v>
      </c>
      <c r="N720" t="s">
        <v>28</v>
      </c>
      <c r="O720" s="7">
        <f t="shared" ca="1" si="45"/>
        <v>45912</v>
      </c>
      <c r="P720" s="7">
        <v>45689</v>
      </c>
      <c r="Q720">
        <v>3</v>
      </c>
      <c r="R720" t="str">
        <f t="shared" si="46"/>
        <v>Low Risk</v>
      </c>
      <c r="S720" t="str">
        <f t="shared" si="47"/>
        <v>Good</v>
      </c>
      <c r="T720" s="4">
        <f>Table1[[#This Row],[Deposit_Amount]]+Table1[[#This Row],[Withdrawal_Amount]]</f>
        <v>499020.4</v>
      </c>
      <c r="U720" t="s">
        <v>274</v>
      </c>
    </row>
    <row r="721" spans="1:21" x14ac:dyDescent="0.3">
      <c r="A721">
        <v>720</v>
      </c>
      <c r="B721" t="s">
        <v>165</v>
      </c>
      <c r="C721" t="s">
        <v>16</v>
      </c>
      <c r="D721">
        <v>44</v>
      </c>
      <c r="E721" t="s">
        <v>40</v>
      </c>
      <c r="F721" s="4">
        <v>278112.81</v>
      </c>
      <c r="G721" t="str">
        <f t="shared" si="44"/>
        <v>High Income</v>
      </c>
      <c r="H721">
        <v>228386</v>
      </c>
      <c r="I721">
        <v>778</v>
      </c>
      <c r="J721" t="s">
        <v>38</v>
      </c>
      <c r="K721" t="s">
        <v>59</v>
      </c>
      <c r="L721">
        <v>79189.320000000007</v>
      </c>
      <c r="M721">
        <v>31365.02</v>
      </c>
      <c r="N721" t="s">
        <v>20</v>
      </c>
      <c r="O721" s="7">
        <f t="shared" ca="1" si="45"/>
        <v>45735</v>
      </c>
      <c r="P721" s="7">
        <v>45932</v>
      </c>
      <c r="Q721">
        <v>3</v>
      </c>
      <c r="R721" t="str">
        <f t="shared" si="46"/>
        <v>Low Risk</v>
      </c>
      <c r="S721" t="str">
        <f t="shared" si="47"/>
        <v>Good</v>
      </c>
      <c r="T721" s="4">
        <f>Table1[[#This Row],[Deposit_Amount]]+Table1[[#This Row],[Withdrawal_Amount]]</f>
        <v>506498.81</v>
      </c>
      <c r="U721" t="s">
        <v>274</v>
      </c>
    </row>
    <row r="722" spans="1:21" x14ac:dyDescent="0.3">
      <c r="A722">
        <v>721</v>
      </c>
      <c r="B722" t="s">
        <v>207</v>
      </c>
      <c r="C722" t="s">
        <v>16</v>
      </c>
      <c r="D722">
        <v>20</v>
      </c>
      <c r="E722" t="s">
        <v>44</v>
      </c>
      <c r="F722" s="4">
        <v>182477.07</v>
      </c>
      <c r="G722" t="str">
        <f t="shared" si="44"/>
        <v>Midum Income</v>
      </c>
      <c r="H722">
        <v>74231.69</v>
      </c>
      <c r="I722">
        <v>865</v>
      </c>
      <c r="J722" t="s">
        <v>27</v>
      </c>
      <c r="K722" t="s">
        <v>24</v>
      </c>
      <c r="L722">
        <v>225880.8</v>
      </c>
      <c r="M722">
        <v>114473.32</v>
      </c>
      <c r="N722" t="s">
        <v>28</v>
      </c>
      <c r="O722" s="7">
        <f t="shared" ca="1" si="45"/>
        <v>45705</v>
      </c>
      <c r="P722" s="7">
        <v>45842</v>
      </c>
      <c r="Q722">
        <v>4</v>
      </c>
      <c r="R722" t="str">
        <f t="shared" si="46"/>
        <v>Low Risk</v>
      </c>
      <c r="S722" t="str">
        <f t="shared" si="47"/>
        <v>Good</v>
      </c>
      <c r="T722" s="4">
        <f>Table1[[#This Row],[Deposit_Amount]]+Table1[[#This Row],[Withdrawal_Amount]]</f>
        <v>256708.76</v>
      </c>
      <c r="U722" t="s">
        <v>274</v>
      </c>
    </row>
    <row r="723" spans="1:21" x14ac:dyDescent="0.3">
      <c r="A723">
        <v>722</v>
      </c>
      <c r="B723" t="s">
        <v>110</v>
      </c>
      <c r="C723" t="s">
        <v>22</v>
      </c>
      <c r="D723">
        <v>28</v>
      </c>
      <c r="E723" t="s">
        <v>40</v>
      </c>
      <c r="F723" s="4">
        <v>469938.24</v>
      </c>
      <c r="G723" t="str">
        <f t="shared" si="44"/>
        <v>High Income</v>
      </c>
      <c r="H723">
        <v>191756.79999999999</v>
      </c>
      <c r="I723">
        <v>798</v>
      </c>
      <c r="J723" t="s">
        <v>18</v>
      </c>
      <c r="K723" t="s">
        <v>42</v>
      </c>
      <c r="L723">
        <v>471334.24</v>
      </c>
      <c r="M723">
        <v>213866.47</v>
      </c>
      <c r="N723" t="s">
        <v>25</v>
      </c>
      <c r="O723" s="7">
        <f t="shared" ca="1" si="45"/>
        <v>45905</v>
      </c>
      <c r="P723" s="7">
        <v>45968</v>
      </c>
      <c r="Q723">
        <v>4</v>
      </c>
      <c r="R723" t="str">
        <f t="shared" si="46"/>
        <v>Low Risk</v>
      </c>
      <c r="S723" t="str">
        <f t="shared" si="47"/>
        <v>Good</v>
      </c>
      <c r="T723" s="4">
        <f>Table1[[#This Row],[Deposit_Amount]]+Table1[[#This Row],[Withdrawal_Amount]]</f>
        <v>661695.04</v>
      </c>
      <c r="U723" t="s">
        <v>274</v>
      </c>
    </row>
    <row r="724" spans="1:21" x14ac:dyDescent="0.3">
      <c r="A724">
        <v>723</v>
      </c>
      <c r="B724" t="s">
        <v>173</v>
      </c>
      <c r="C724" t="s">
        <v>16</v>
      </c>
      <c r="D724">
        <v>26</v>
      </c>
      <c r="E724" t="s">
        <v>35</v>
      </c>
      <c r="F724" s="4">
        <v>466003.1</v>
      </c>
      <c r="G724" t="str">
        <f t="shared" si="44"/>
        <v>High Income</v>
      </c>
      <c r="H724">
        <v>137813.45000000001</v>
      </c>
      <c r="I724">
        <v>633</v>
      </c>
      <c r="J724" t="s">
        <v>41</v>
      </c>
      <c r="K724" t="s">
        <v>24</v>
      </c>
      <c r="L724">
        <v>419131.88</v>
      </c>
      <c r="M724">
        <v>247337.05</v>
      </c>
      <c r="N724" t="s">
        <v>25</v>
      </c>
      <c r="O724" s="7">
        <f t="shared" ca="1" si="45"/>
        <v>45669</v>
      </c>
      <c r="P724" s="7">
        <v>45881</v>
      </c>
      <c r="Q724">
        <v>1</v>
      </c>
      <c r="R724" t="str">
        <f t="shared" si="46"/>
        <v>Low Risk</v>
      </c>
      <c r="S724" t="str">
        <f t="shared" si="47"/>
        <v>Good</v>
      </c>
      <c r="T724" s="4">
        <f>Table1[[#This Row],[Deposit_Amount]]+Table1[[#This Row],[Withdrawal_Amount]]</f>
        <v>603816.55000000005</v>
      </c>
      <c r="U724" t="s">
        <v>274</v>
      </c>
    </row>
    <row r="725" spans="1:21" x14ac:dyDescent="0.3">
      <c r="A725">
        <v>724</v>
      </c>
      <c r="B725" t="s">
        <v>147</v>
      </c>
      <c r="C725" t="s">
        <v>16</v>
      </c>
      <c r="D725">
        <v>36</v>
      </c>
      <c r="E725" t="s">
        <v>35</v>
      </c>
      <c r="F725" s="4">
        <v>308886.37</v>
      </c>
      <c r="G725" t="str">
        <f t="shared" si="44"/>
        <v>High Income</v>
      </c>
      <c r="H725">
        <v>121035.14</v>
      </c>
      <c r="I725">
        <v>821</v>
      </c>
      <c r="J725" t="s">
        <v>18</v>
      </c>
      <c r="K725" t="s">
        <v>24</v>
      </c>
      <c r="L725">
        <v>276806.45</v>
      </c>
      <c r="M725">
        <v>81630.55</v>
      </c>
      <c r="N725" t="s">
        <v>20</v>
      </c>
      <c r="O725" s="7">
        <f t="shared" ca="1" si="45"/>
        <v>45990</v>
      </c>
      <c r="P725" s="7">
        <v>45976</v>
      </c>
      <c r="Q725">
        <v>1</v>
      </c>
      <c r="R725" t="str">
        <f t="shared" si="46"/>
        <v>Low Risk</v>
      </c>
      <c r="S725" t="str">
        <f t="shared" si="47"/>
        <v>Good</v>
      </c>
      <c r="T725" s="4">
        <f>Table1[[#This Row],[Deposit_Amount]]+Table1[[#This Row],[Withdrawal_Amount]]</f>
        <v>429921.51</v>
      </c>
      <c r="U725" t="s">
        <v>274</v>
      </c>
    </row>
    <row r="726" spans="1:21" x14ac:dyDescent="0.3">
      <c r="A726">
        <v>725</v>
      </c>
      <c r="B726" t="s">
        <v>78</v>
      </c>
      <c r="C726" t="s">
        <v>16</v>
      </c>
      <c r="D726">
        <v>30</v>
      </c>
      <c r="E726" t="s">
        <v>44</v>
      </c>
      <c r="F726" s="4">
        <v>96917.99</v>
      </c>
      <c r="G726" t="str">
        <f t="shared" si="44"/>
        <v>Low Income</v>
      </c>
      <c r="H726">
        <v>290689.31</v>
      </c>
      <c r="I726">
        <v>552</v>
      </c>
      <c r="J726" t="s">
        <v>32</v>
      </c>
      <c r="K726" t="s">
        <v>42</v>
      </c>
      <c r="L726">
        <v>-161551.49</v>
      </c>
      <c r="M726">
        <v>197112.72</v>
      </c>
      <c r="N726" t="s">
        <v>28</v>
      </c>
      <c r="O726" s="7">
        <f t="shared" ca="1" si="45"/>
        <v>45701</v>
      </c>
      <c r="P726" s="7">
        <v>46000</v>
      </c>
      <c r="Q726">
        <v>3</v>
      </c>
      <c r="R726" t="str">
        <f t="shared" si="46"/>
        <v>Midum Risk</v>
      </c>
      <c r="S726" t="str">
        <f t="shared" si="47"/>
        <v xml:space="preserve">Midum </v>
      </c>
      <c r="T726" s="4">
        <f>Table1[[#This Row],[Deposit_Amount]]+Table1[[#This Row],[Withdrawal_Amount]]</f>
        <v>387607.3</v>
      </c>
      <c r="U726" t="s">
        <v>274</v>
      </c>
    </row>
    <row r="727" spans="1:21" x14ac:dyDescent="0.3">
      <c r="A727">
        <v>726</v>
      </c>
      <c r="B727" t="s">
        <v>207</v>
      </c>
      <c r="C727" t="s">
        <v>16</v>
      </c>
      <c r="D727">
        <v>69</v>
      </c>
      <c r="E727" t="s">
        <v>23</v>
      </c>
      <c r="F727" s="4">
        <v>308242.82</v>
      </c>
      <c r="G727" t="str">
        <f t="shared" si="44"/>
        <v>High Income</v>
      </c>
      <c r="H727">
        <v>166995.57</v>
      </c>
      <c r="I727">
        <v>540</v>
      </c>
      <c r="J727" t="s">
        <v>38</v>
      </c>
      <c r="K727" t="s">
        <v>19</v>
      </c>
      <c r="L727">
        <v>267471.48</v>
      </c>
      <c r="M727">
        <v>86105.02</v>
      </c>
      <c r="N727" t="s">
        <v>20</v>
      </c>
      <c r="O727" s="7">
        <f t="shared" ca="1" si="45"/>
        <v>45817</v>
      </c>
      <c r="P727" s="7">
        <v>45688</v>
      </c>
      <c r="Q727">
        <v>2</v>
      </c>
      <c r="R727" t="str">
        <f t="shared" si="46"/>
        <v>Midum Risk</v>
      </c>
      <c r="S727" t="str">
        <f t="shared" si="47"/>
        <v xml:space="preserve">Midum </v>
      </c>
      <c r="T727" s="4">
        <f>Table1[[#This Row],[Deposit_Amount]]+Table1[[#This Row],[Withdrawal_Amount]]</f>
        <v>475238.39</v>
      </c>
      <c r="U727" t="s">
        <v>274</v>
      </c>
    </row>
    <row r="728" spans="1:21" x14ac:dyDescent="0.3">
      <c r="A728">
        <v>727</v>
      </c>
      <c r="B728" t="s">
        <v>196</v>
      </c>
      <c r="C728" t="s">
        <v>22</v>
      </c>
      <c r="D728">
        <v>57</v>
      </c>
      <c r="E728" t="s">
        <v>40</v>
      </c>
      <c r="F728" s="4">
        <v>87750.01</v>
      </c>
      <c r="G728" t="str">
        <f t="shared" si="44"/>
        <v>Low Income</v>
      </c>
      <c r="H728">
        <v>82433.33</v>
      </c>
      <c r="I728">
        <v>651</v>
      </c>
      <c r="J728" t="s">
        <v>27</v>
      </c>
      <c r="K728" t="s">
        <v>42</v>
      </c>
      <c r="L728">
        <v>56162.71</v>
      </c>
      <c r="M728">
        <v>16977.830000000002</v>
      </c>
      <c r="N728" t="s">
        <v>25</v>
      </c>
      <c r="O728" s="7">
        <f t="shared" ca="1" si="45"/>
        <v>45768</v>
      </c>
      <c r="P728" s="7">
        <v>45858</v>
      </c>
      <c r="Q728">
        <v>3</v>
      </c>
      <c r="R728" t="str">
        <f t="shared" si="46"/>
        <v>Low Risk</v>
      </c>
      <c r="S728" t="str">
        <f t="shared" si="47"/>
        <v>Good</v>
      </c>
      <c r="T728" s="4">
        <f>Table1[[#This Row],[Deposit_Amount]]+Table1[[#This Row],[Withdrawal_Amount]]</f>
        <v>170183.34</v>
      </c>
      <c r="U728" t="s">
        <v>274</v>
      </c>
    </row>
    <row r="729" spans="1:21" x14ac:dyDescent="0.3">
      <c r="A729">
        <v>728</v>
      </c>
      <c r="B729" t="s">
        <v>37</v>
      </c>
      <c r="C729" t="s">
        <v>22</v>
      </c>
      <c r="D729">
        <v>35</v>
      </c>
      <c r="E729" t="s">
        <v>44</v>
      </c>
      <c r="F729" s="4">
        <v>186250.56</v>
      </c>
      <c r="G729" t="str">
        <f t="shared" si="44"/>
        <v>Midum Income</v>
      </c>
      <c r="H729">
        <v>100180.98</v>
      </c>
      <c r="I729">
        <v>400</v>
      </c>
      <c r="J729" t="s">
        <v>41</v>
      </c>
      <c r="K729" t="s">
        <v>36</v>
      </c>
      <c r="L729">
        <v>262839.21999999997</v>
      </c>
      <c r="M729">
        <v>170392.71</v>
      </c>
      <c r="N729" t="s">
        <v>20</v>
      </c>
      <c r="O729" s="7">
        <f t="shared" ca="1" si="45"/>
        <v>45844</v>
      </c>
      <c r="P729" s="7">
        <v>45836</v>
      </c>
      <c r="Q729">
        <v>1</v>
      </c>
      <c r="R729" t="str">
        <f t="shared" si="46"/>
        <v>High Risk</v>
      </c>
      <c r="S729" t="str">
        <f t="shared" si="47"/>
        <v>Poor</v>
      </c>
      <c r="T729" s="4">
        <f>Table1[[#This Row],[Deposit_Amount]]+Table1[[#This Row],[Withdrawal_Amount]]</f>
        <v>286431.53999999998</v>
      </c>
      <c r="U729" t="s">
        <v>274</v>
      </c>
    </row>
    <row r="730" spans="1:21" x14ac:dyDescent="0.3">
      <c r="A730">
        <v>729</v>
      </c>
      <c r="B730" t="s">
        <v>180</v>
      </c>
      <c r="C730" t="s">
        <v>16</v>
      </c>
      <c r="D730">
        <v>24</v>
      </c>
      <c r="E730" t="s">
        <v>17</v>
      </c>
      <c r="F730" s="4">
        <v>2248.17</v>
      </c>
      <c r="G730" t="str">
        <f t="shared" si="44"/>
        <v>Low Income</v>
      </c>
      <c r="H730">
        <v>204837.76000000001</v>
      </c>
      <c r="I730">
        <v>380</v>
      </c>
      <c r="J730" t="s">
        <v>27</v>
      </c>
      <c r="K730" t="s">
        <v>42</v>
      </c>
      <c r="L730">
        <v>-137907.95000000001</v>
      </c>
      <c r="M730">
        <v>139757.23000000001</v>
      </c>
      <c r="N730" t="s">
        <v>25</v>
      </c>
      <c r="O730" s="7">
        <f t="shared" ca="1" si="45"/>
        <v>45956</v>
      </c>
      <c r="P730" s="7">
        <v>45922</v>
      </c>
      <c r="Q730">
        <v>2</v>
      </c>
      <c r="R730" t="str">
        <f t="shared" si="46"/>
        <v>High Risk</v>
      </c>
      <c r="S730" t="str">
        <f t="shared" si="47"/>
        <v>Poor</v>
      </c>
      <c r="T730" s="4">
        <f>Table1[[#This Row],[Deposit_Amount]]+Table1[[#This Row],[Withdrawal_Amount]]</f>
        <v>207085.93000000002</v>
      </c>
      <c r="U730" t="s">
        <v>274</v>
      </c>
    </row>
    <row r="731" spans="1:21" x14ac:dyDescent="0.3">
      <c r="A731">
        <v>730</v>
      </c>
      <c r="B731" t="s">
        <v>124</v>
      </c>
      <c r="C731" t="s">
        <v>22</v>
      </c>
      <c r="D731">
        <v>44</v>
      </c>
      <c r="E731" t="s">
        <v>44</v>
      </c>
      <c r="F731" s="4">
        <v>404289.44</v>
      </c>
      <c r="G731" t="str">
        <f t="shared" si="44"/>
        <v>High Income</v>
      </c>
      <c r="H731">
        <v>53541.97</v>
      </c>
      <c r="I731">
        <v>416</v>
      </c>
      <c r="J731" t="s">
        <v>27</v>
      </c>
      <c r="K731" t="s">
        <v>42</v>
      </c>
      <c r="L731">
        <v>409138.63</v>
      </c>
      <c r="M731">
        <v>66402.7</v>
      </c>
      <c r="N731" t="s">
        <v>28</v>
      </c>
      <c r="O731" s="7">
        <f t="shared" ca="1" si="45"/>
        <v>45760</v>
      </c>
      <c r="P731" s="7">
        <v>45817</v>
      </c>
      <c r="Q731">
        <v>3</v>
      </c>
      <c r="R731" t="str">
        <f t="shared" si="46"/>
        <v>Midum Risk</v>
      </c>
      <c r="S731" t="str">
        <f t="shared" si="47"/>
        <v xml:space="preserve">Midum </v>
      </c>
      <c r="T731" s="4">
        <f>Table1[[#This Row],[Deposit_Amount]]+Table1[[#This Row],[Withdrawal_Amount]]</f>
        <v>457831.41000000003</v>
      </c>
      <c r="U731" t="s">
        <v>274</v>
      </c>
    </row>
    <row r="732" spans="1:21" x14ac:dyDescent="0.3">
      <c r="A732">
        <v>731</v>
      </c>
      <c r="B732" t="s">
        <v>214</v>
      </c>
      <c r="C732" t="s">
        <v>22</v>
      </c>
      <c r="D732">
        <v>19</v>
      </c>
      <c r="E732" t="s">
        <v>35</v>
      </c>
      <c r="F732" s="4">
        <v>206296.73</v>
      </c>
      <c r="G732" t="str">
        <f t="shared" si="44"/>
        <v>High Income</v>
      </c>
      <c r="H732">
        <v>261086.75</v>
      </c>
      <c r="I732">
        <v>456</v>
      </c>
      <c r="J732" t="s">
        <v>32</v>
      </c>
      <c r="K732" t="s">
        <v>19</v>
      </c>
      <c r="L732">
        <v>-4038.47</v>
      </c>
      <c r="M732">
        <v>152767.93</v>
      </c>
      <c r="N732" t="s">
        <v>25</v>
      </c>
      <c r="O732" s="7">
        <f t="shared" ca="1" si="45"/>
        <v>45834</v>
      </c>
      <c r="P732" s="7">
        <v>45717</v>
      </c>
      <c r="Q732">
        <v>1</v>
      </c>
      <c r="R732" t="str">
        <f t="shared" si="46"/>
        <v>Midum Risk</v>
      </c>
      <c r="S732" t="str">
        <f t="shared" si="47"/>
        <v xml:space="preserve">Midum </v>
      </c>
      <c r="T732" s="4">
        <f>Table1[[#This Row],[Deposit_Amount]]+Table1[[#This Row],[Withdrawal_Amount]]</f>
        <v>467383.48</v>
      </c>
      <c r="U732" t="s">
        <v>274</v>
      </c>
    </row>
    <row r="733" spans="1:21" x14ac:dyDescent="0.3">
      <c r="A733">
        <v>732</v>
      </c>
      <c r="B733" t="s">
        <v>193</v>
      </c>
      <c r="C733" t="s">
        <v>16</v>
      </c>
      <c r="D733">
        <v>67</v>
      </c>
      <c r="E733" t="s">
        <v>40</v>
      </c>
      <c r="F733" s="4">
        <v>11078.63</v>
      </c>
      <c r="G733" t="str">
        <f t="shared" si="44"/>
        <v>Low Income</v>
      </c>
      <c r="H733">
        <v>6985.31</v>
      </c>
      <c r="I733">
        <v>806</v>
      </c>
      <c r="J733" t="s">
        <v>18</v>
      </c>
      <c r="K733" t="s">
        <v>24</v>
      </c>
      <c r="L733">
        <v>40063.980000000003</v>
      </c>
      <c r="M733">
        <v>206815.91</v>
      </c>
      <c r="N733" t="s">
        <v>28</v>
      </c>
      <c r="O733" s="7">
        <f t="shared" ca="1" si="45"/>
        <v>45956</v>
      </c>
      <c r="P733" s="7">
        <v>45737</v>
      </c>
      <c r="Q733">
        <v>3</v>
      </c>
      <c r="R733" t="str">
        <f t="shared" si="46"/>
        <v>Low Risk</v>
      </c>
      <c r="S733" t="str">
        <f t="shared" si="47"/>
        <v>Good</v>
      </c>
      <c r="T733" s="4">
        <f>Table1[[#This Row],[Deposit_Amount]]+Table1[[#This Row],[Withdrawal_Amount]]</f>
        <v>18063.939999999999</v>
      </c>
      <c r="U733" t="s">
        <v>274</v>
      </c>
    </row>
    <row r="734" spans="1:21" x14ac:dyDescent="0.3">
      <c r="A734">
        <v>733</v>
      </c>
      <c r="B734" t="s">
        <v>94</v>
      </c>
      <c r="C734" t="s">
        <v>16</v>
      </c>
      <c r="D734">
        <v>62</v>
      </c>
      <c r="E734" t="s">
        <v>31</v>
      </c>
      <c r="F734" s="4">
        <v>20599.509999999998</v>
      </c>
      <c r="G734" t="str">
        <f t="shared" si="44"/>
        <v>Low Income</v>
      </c>
      <c r="H734">
        <v>173020.5</v>
      </c>
      <c r="I734">
        <v>421</v>
      </c>
      <c r="J734" t="s">
        <v>41</v>
      </c>
      <c r="K734" t="s">
        <v>19</v>
      </c>
      <c r="L734">
        <v>33431.370000000003</v>
      </c>
      <c r="M734">
        <v>192923.53</v>
      </c>
      <c r="N734" t="s">
        <v>20</v>
      </c>
      <c r="O734" s="7">
        <f t="shared" ca="1" si="45"/>
        <v>45826</v>
      </c>
      <c r="P734" s="7">
        <v>45984</v>
      </c>
      <c r="Q734">
        <v>2</v>
      </c>
      <c r="R734" t="str">
        <f t="shared" si="46"/>
        <v>Midum Risk</v>
      </c>
      <c r="S734" t="str">
        <f t="shared" si="47"/>
        <v xml:space="preserve">Midum </v>
      </c>
      <c r="T734" s="4">
        <f>Table1[[#This Row],[Deposit_Amount]]+Table1[[#This Row],[Withdrawal_Amount]]</f>
        <v>193620.01</v>
      </c>
      <c r="U734" t="s">
        <v>274</v>
      </c>
    </row>
    <row r="735" spans="1:21" x14ac:dyDescent="0.3">
      <c r="A735">
        <v>734</v>
      </c>
      <c r="B735" t="s">
        <v>204</v>
      </c>
      <c r="C735" t="s">
        <v>16</v>
      </c>
      <c r="D735">
        <v>20</v>
      </c>
      <c r="E735" t="s">
        <v>40</v>
      </c>
      <c r="F735" s="4">
        <v>145382.21</v>
      </c>
      <c r="G735" t="str">
        <f t="shared" si="44"/>
        <v>Midum Income</v>
      </c>
      <c r="H735">
        <v>50821.24</v>
      </c>
      <c r="I735">
        <v>649</v>
      </c>
      <c r="J735" t="s">
        <v>18</v>
      </c>
      <c r="K735" t="s">
        <v>59</v>
      </c>
      <c r="L735">
        <v>226948.45</v>
      </c>
      <c r="M735">
        <v>154669.96</v>
      </c>
      <c r="N735" t="s">
        <v>25</v>
      </c>
      <c r="O735" s="7">
        <f t="shared" ca="1" si="45"/>
        <v>45823</v>
      </c>
      <c r="P735" s="7">
        <v>45857</v>
      </c>
      <c r="Q735">
        <v>1</v>
      </c>
      <c r="R735" t="str">
        <f t="shared" si="46"/>
        <v>Low Risk</v>
      </c>
      <c r="S735" t="str">
        <f t="shared" si="47"/>
        <v>Good</v>
      </c>
      <c r="T735" s="4">
        <f>Table1[[#This Row],[Deposit_Amount]]+Table1[[#This Row],[Withdrawal_Amount]]</f>
        <v>196203.44999999998</v>
      </c>
      <c r="U735" t="s">
        <v>274</v>
      </c>
    </row>
    <row r="736" spans="1:21" x14ac:dyDescent="0.3">
      <c r="A736">
        <v>735</v>
      </c>
      <c r="B736" t="s">
        <v>229</v>
      </c>
      <c r="C736" t="s">
        <v>16</v>
      </c>
      <c r="D736">
        <v>21</v>
      </c>
      <c r="E736" t="s">
        <v>35</v>
      </c>
      <c r="F736" s="4">
        <v>40585.54</v>
      </c>
      <c r="G736" t="str">
        <f t="shared" si="44"/>
        <v>Low Income</v>
      </c>
      <c r="H736">
        <v>77621.33</v>
      </c>
      <c r="I736">
        <v>784</v>
      </c>
      <c r="J736" t="s">
        <v>27</v>
      </c>
      <c r="K736" t="s">
        <v>24</v>
      </c>
      <c r="L736">
        <v>112069.62</v>
      </c>
      <c r="M736">
        <v>220095.72</v>
      </c>
      <c r="N736" t="s">
        <v>20</v>
      </c>
      <c r="O736" s="7">
        <f t="shared" ca="1" si="45"/>
        <v>45815</v>
      </c>
      <c r="P736" s="7">
        <v>45691</v>
      </c>
      <c r="Q736">
        <v>3</v>
      </c>
      <c r="R736" t="str">
        <f t="shared" si="46"/>
        <v>Low Risk</v>
      </c>
      <c r="S736" t="str">
        <f t="shared" si="47"/>
        <v>Good</v>
      </c>
      <c r="T736" s="4">
        <f>Table1[[#This Row],[Deposit_Amount]]+Table1[[#This Row],[Withdrawal_Amount]]</f>
        <v>118206.87</v>
      </c>
      <c r="U736" t="s">
        <v>274</v>
      </c>
    </row>
    <row r="737" spans="1:21" x14ac:dyDescent="0.3">
      <c r="A737">
        <v>736</v>
      </c>
      <c r="B737" t="s">
        <v>60</v>
      </c>
      <c r="C737" t="s">
        <v>22</v>
      </c>
      <c r="D737">
        <v>51</v>
      </c>
      <c r="E737" t="s">
        <v>40</v>
      </c>
      <c r="F737" s="4">
        <v>177501.63</v>
      </c>
      <c r="G737" t="str">
        <f t="shared" si="44"/>
        <v>Midum Income</v>
      </c>
      <c r="H737">
        <v>27371.09</v>
      </c>
      <c r="I737">
        <v>852</v>
      </c>
      <c r="J737" t="s">
        <v>27</v>
      </c>
      <c r="K737" t="s">
        <v>19</v>
      </c>
      <c r="L737">
        <v>307337.84000000003</v>
      </c>
      <c r="M737">
        <v>106087.02</v>
      </c>
      <c r="N737" t="s">
        <v>28</v>
      </c>
      <c r="O737" s="7">
        <f t="shared" ca="1" si="45"/>
        <v>45707</v>
      </c>
      <c r="P737" s="7">
        <v>45665</v>
      </c>
      <c r="Q737">
        <v>2</v>
      </c>
      <c r="R737" t="str">
        <f t="shared" si="46"/>
        <v>Low Risk</v>
      </c>
      <c r="S737" t="str">
        <f t="shared" si="47"/>
        <v>Good</v>
      </c>
      <c r="T737" s="4">
        <f>Table1[[#This Row],[Deposit_Amount]]+Table1[[#This Row],[Withdrawal_Amount]]</f>
        <v>204872.72</v>
      </c>
      <c r="U737" t="s">
        <v>274</v>
      </c>
    </row>
    <row r="738" spans="1:21" x14ac:dyDescent="0.3">
      <c r="A738">
        <v>737</v>
      </c>
      <c r="B738" t="s">
        <v>177</v>
      </c>
      <c r="C738" t="s">
        <v>16</v>
      </c>
      <c r="D738">
        <v>23</v>
      </c>
      <c r="E738" t="s">
        <v>35</v>
      </c>
      <c r="F738" s="4">
        <v>371751.36</v>
      </c>
      <c r="G738" t="str">
        <f t="shared" si="44"/>
        <v>High Income</v>
      </c>
      <c r="H738">
        <v>281614.55</v>
      </c>
      <c r="I738">
        <v>870</v>
      </c>
      <c r="J738" t="s">
        <v>27</v>
      </c>
      <c r="K738" t="s">
        <v>36</v>
      </c>
      <c r="L738">
        <v>139200.84</v>
      </c>
      <c r="M738">
        <v>38475.9</v>
      </c>
      <c r="N738" t="s">
        <v>28</v>
      </c>
      <c r="O738" s="7">
        <f t="shared" ca="1" si="45"/>
        <v>45857</v>
      </c>
      <c r="P738" s="7">
        <v>45742</v>
      </c>
      <c r="Q738">
        <v>3</v>
      </c>
      <c r="R738" t="str">
        <f t="shared" si="46"/>
        <v>Low Risk</v>
      </c>
      <c r="S738" t="str">
        <f t="shared" si="47"/>
        <v>Good</v>
      </c>
      <c r="T738" s="4">
        <f>Table1[[#This Row],[Deposit_Amount]]+Table1[[#This Row],[Withdrawal_Amount]]</f>
        <v>653365.90999999992</v>
      </c>
      <c r="U738" t="s">
        <v>274</v>
      </c>
    </row>
    <row r="739" spans="1:21" x14ac:dyDescent="0.3">
      <c r="A739">
        <v>738</v>
      </c>
      <c r="B739" t="s">
        <v>183</v>
      </c>
      <c r="C739" t="s">
        <v>22</v>
      </c>
      <c r="D739">
        <v>62</v>
      </c>
      <c r="E739" t="s">
        <v>40</v>
      </c>
      <c r="F739" s="4">
        <v>389165.79</v>
      </c>
      <c r="G739" t="str">
        <f t="shared" si="44"/>
        <v>High Income</v>
      </c>
      <c r="H739">
        <v>267308.71000000002</v>
      </c>
      <c r="I739">
        <v>550</v>
      </c>
      <c r="J739" t="s">
        <v>38</v>
      </c>
      <c r="K739" t="s">
        <v>59</v>
      </c>
      <c r="L739">
        <v>194823.51</v>
      </c>
      <c r="M739">
        <v>124030.39</v>
      </c>
      <c r="N739" t="s">
        <v>20</v>
      </c>
      <c r="O739" s="7">
        <f t="shared" ca="1" si="45"/>
        <v>46022</v>
      </c>
      <c r="P739" s="7">
        <v>45729</v>
      </c>
      <c r="Q739">
        <v>5</v>
      </c>
      <c r="R739" t="str">
        <f t="shared" si="46"/>
        <v>Midum Risk</v>
      </c>
      <c r="S739" t="str">
        <f t="shared" si="47"/>
        <v xml:space="preserve">Midum </v>
      </c>
      <c r="T739" s="4">
        <f>Table1[[#This Row],[Deposit_Amount]]+Table1[[#This Row],[Withdrawal_Amount]]</f>
        <v>656474.5</v>
      </c>
      <c r="U739" t="s">
        <v>274</v>
      </c>
    </row>
    <row r="740" spans="1:21" x14ac:dyDescent="0.3">
      <c r="A740">
        <v>739</v>
      </c>
      <c r="B740" t="s">
        <v>191</v>
      </c>
      <c r="C740" t="s">
        <v>22</v>
      </c>
      <c r="D740">
        <v>33</v>
      </c>
      <c r="E740" t="s">
        <v>31</v>
      </c>
      <c r="F740" s="4">
        <v>50392.58</v>
      </c>
      <c r="G740" t="str">
        <f t="shared" si="44"/>
        <v>Low Income</v>
      </c>
      <c r="H740">
        <v>45994.239999999998</v>
      </c>
      <c r="I740">
        <v>431</v>
      </c>
      <c r="J740" t="s">
        <v>27</v>
      </c>
      <c r="K740" t="s">
        <v>19</v>
      </c>
      <c r="L740">
        <v>153932.07</v>
      </c>
      <c r="M740">
        <v>20764.98</v>
      </c>
      <c r="N740" t="s">
        <v>25</v>
      </c>
      <c r="O740" s="7">
        <f t="shared" ca="1" si="45"/>
        <v>45719</v>
      </c>
      <c r="P740" s="7">
        <v>45954</v>
      </c>
      <c r="Q740">
        <v>1</v>
      </c>
      <c r="R740" t="str">
        <f t="shared" si="46"/>
        <v>Midum Risk</v>
      </c>
      <c r="S740" t="str">
        <f t="shared" si="47"/>
        <v xml:space="preserve">Midum </v>
      </c>
      <c r="T740" s="4">
        <f>Table1[[#This Row],[Deposit_Amount]]+Table1[[#This Row],[Withdrawal_Amount]]</f>
        <v>96386.82</v>
      </c>
      <c r="U740" t="s">
        <v>274</v>
      </c>
    </row>
    <row r="741" spans="1:21" x14ac:dyDescent="0.3">
      <c r="A741">
        <v>740</v>
      </c>
      <c r="B741" t="s">
        <v>100</v>
      </c>
      <c r="C741" t="s">
        <v>16</v>
      </c>
      <c r="D741">
        <v>29</v>
      </c>
      <c r="E741" t="s">
        <v>35</v>
      </c>
      <c r="F741" s="4">
        <v>296637.87</v>
      </c>
      <c r="G741" t="str">
        <f t="shared" si="44"/>
        <v>High Income</v>
      </c>
      <c r="H741">
        <v>6578.23</v>
      </c>
      <c r="I741">
        <v>788</v>
      </c>
      <c r="J741" t="s">
        <v>38</v>
      </c>
      <c r="K741" t="s">
        <v>36</v>
      </c>
      <c r="L741">
        <v>464240.98</v>
      </c>
      <c r="M741">
        <v>64485.19</v>
      </c>
      <c r="N741" t="s">
        <v>28</v>
      </c>
      <c r="O741" s="7">
        <f t="shared" ca="1" si="45"/>
        <v>45747</v>
      </c>
      <c r="P741" s="7">
        <v>45681</v>
      </c>
      <c r="Q741">
        <v>4</v>
      </c>
      <c r="R741" t="str">
        <f t="shared" si="46"/>
        <v>Low Risk</v>
      </c>
      <c r="S741" t="str">
        <f t="shared" si="47"/>
        <v>Good</v>
      </c>
      <c r="T741" s="4">
        <f>Table1[[#This Row],[Deposit_Amount]]+Table1[[#This Row],[Withdrawal_Amount]]</f>
        <v>303216.09999999998</v>
      </c>
      <c r="U741" t="s">
        <v>274</v>
      </c>
    </row>
    <row r="742" spans="1:21" x14ac:dyDescent="0.3">
      <c r="A742">
        <v>741</v>
      </c>
      <c r="B742" t="s">
        <v>86</v>
      </c>
      <c r="C742" t="s">
        <v>22</v>
      </c>
      <c r="D742">
        <v>55</v>
      </c>
      <c r="E742" t="s">
        <v>17</v>
      </c>
      <c r="F742" s="4">
        <v>173443</v>
      </c>
      <c r="G742" t="str">
        <f t="shared" si="44"/>
        <v>Midum Income</v>
      </c>
      <c r="H742">
        <v>254007.99</v>
      </c>
      <c r="I742">
        <v>515</v>
      </c>
      <c r="J742" t="s">
        <v>41</v>
      </c>
      <c r="K742" t="s">
        <v>59</v>
      </c>
      <c r="L742">
        <v>68756.11</v>
      </c>
      <c r="M742">
        <v>105895.23</v>
      </c>
      <c r="N742" t="s">
        <v>28</v>
      </c>
      <c r="O742" s="7">
        <f t="shared" ca="1" si="45"/>
        <v>45903</v>
      </c>
      <c r="P742" s="7">
        <v>45885</v>
      </c>
      <c r="Q742">
        <v>1</v>
      </c>
      <c r="R742" t="str">
        <f t="shared" si="46"/>
        <v>Midum Risk</v>
      </c>
      <c r="S742" t="str">
        <f t="shared" si="47"/>
        <v xml:space="preserve">Midum </v>
      </c>
      <c r="T742" s="4">
        <f>Table1[[#This Row],[Deposit_Amount]]+Table1[[#This Row],[Withdrawal_Amount]]</f>
        <v>427450.99</v>
      </c>
      <c r="U742" t="s">
        <v>274</v>
      </c>
    </row>
    <row r="743" spans="1:21" x14ac:dyDescent="0.3">
      <c r="A743">
        <v>742</v>
      </c>
      <c r="B743" t="s">
        <v>63</v>
      </c>
      <c r="C743" t="s">
        <v>22</v>
      </c>
      <c r="D743">
        <v>29</v>
      </c>
      <c r="E743" t="s">
        <v>17</v>
      </c>
      <c r="F743" s="4">
        <v>106217.65</v>
      </c>
      <c r="G743" t="str">
        <f t="shared" si="44"/>
        <v>Midum Income</v>
      </c>
      <c r="H743">
        <v>168119.92</v>
      </c>
      <c r="I743">
        <v>331</v>
      </c>
      <c r="J743" t="s">
        <v>27</v>
      </c>
      <c r="K743" t="s">
        <v>36</v>
      </c>
      <c r="L743">
        <v>96739.57</v>
      </c>
      <c r="M743">
        <v>223482.52</v>
      </c>
      <c r="N743" t="s">
        <v>28</v>
      </c>
      <c r="O743" s="7">
        <f t="shared" ca="1" si="45"/>
        <v>45962</v>
      </c>
      <c r="P743" s="7">
        <v>45985</v>
      </c>
      <c r="Q743">
        <v>2</v>
      </c>
      <c r="R743" t="str">
        <f t="shared" si="46"/>
        <v>High Risk</v>
      </c>
      <c r="S743" t="str">
        <f t="shared" si="47"/>
        <v>Poor</v>
      </c>
      <c r="T743" s="4">
        <f>Table1[[#This Row],[Deposit_Amount]]+Table1[[#This Row],[Withdrawal_Amount]]</f>
        <v>274337.57</v>
      </c>
      <c r="U743" t="s">
        <v>274</v>
      </c>
    </row>
    <row r="744" spans="1:21" x14ac:dyDescent="0.3">
      <c r="A744">
        <v>743</v>
      </c>
      <c r="B744" t="s">
        <v>220</v>
      </c>
      <c r="C744" t="s">
        <v>16</v>
      </c>
      <c r="D744">
        <v>25</v>
      </c>
      <c r="E744" t="s">
        <v>31</v>
      </c>
      <c r="F744" s="4">
        <v>421494.63</v>
      </c>
      <c r="G744" t="str">
        <f t="shared" si="44"/>
        <v>High Income</v>
      </c>
      <c r="H744">
        <v>24547.02</v>
      </c>
      <c r="I744">
        <v>697</v>
      </c>
      <c r="J744" t="s">
        <v>38</v>
      </c>
      <c r="K744" t="s">
        <v>59</v>
      </c>
      <c r="L744">
        <v>554032.48</v>
      </c>
      <c r="M744">
        <v>241955.12</v>
      </c>
      <c r="N744" t="s">
        <v>25</v>
      </c>
      <c r="O744" s="7">
        <f t="shared" ca="1" si="45"/>
        <v>45984</v>
      </c>
      <c r="P744" s="7">
        <v>45727</v>
      </c>
      <c r="Q744">
        <v>3</v>
      </c>
      <c r="R744" t="str">
        <f t="shared" si="46"/>
        <v>Low Risk</v>
      </c>
      <c r="S744" t="str">
        <f t="shared" si="47"/>
        <v>Good</v>
      </c>
      <c r="T744" s="4">
        <f>Table1[[#This Row],[Deposit_Amount]]+Table1[[#This Row],[Withdrawal_Amount]]</f>
        <v>446041.65</v>
      </c>
      <c r="U744" t="s">
        <v>274</v>
      </c>
    </row>
    <row r="745" spans="1:21" x14ac:dyDescent="0.3">
      <c r="A745">
        <v>744</v>
      </c>
      <c r="B745" t="s">
        <v>137</v>
      </c>
      <c r="C745" t="s">
        <v>16</v>
      </c>
      <c r="D745">
        <v>38</v>
      </c>
      <c r="E745" t="s">
        <v>23</v>
      </c>
      <c r="F745" s="4">
        <v>490602.85</v>
      </c>
      <c r="G745" t="str">
        <f t="shared" si="44"/>
        <v>High Income</v>
      </c>
      <c r="H745">
        <v>236318.44</v>
      </c>
      <c r="I745">
        <v>355</v>
      </c>
      <c r="J745" t="s">
        <v>18</v>
      </c>
      <c r="K745" t="s">
        <v>59</v>
      </c>
      <c r="L745">
        <v>334667.57</v>
      </c>
      <c r="M745">
        <v>188640.16</v>
      </c>
      <c r="N745" t="s">
        <v>20</v>
      </c>
      <c r="O745" s="7">
        <f t="shared" ca="1" si="45"/>
        <v>45681</v>
      </c>
      <c r="P745" s="7">
        <v>45796</v>
      </c>
      <c r="Q745">
        <v>3</v>
      </c>
      <c r="R745" t="str">
        <f t="shared" si="46"/>
        <v>High Risk</v>
      </c>
      <c r="S745" t="str">
        <f t="shared" si="47"/>
        <v>Poor</v>
      </c>
      <c r="T745" s="4">
        <f>Table1[[#This Row],[Deposit_Amount]]+Table1[[#This Row],[Withdrawal_Amount]]</f>
        <v>726921.29</v>
      </c>
      <c r="U745" t="s">
        <v>274</v>
      </c>
    </row>
    <row r="746" spans="1:21" x14ac:dyDescent="0.3">
      <c r="A746">
        <v>745</v>
      </c>
      <c r="B746" t="s">
        <v>230</v>
      </c>
      <c r="C746" t="s">
        <v>16</v>
      </c>
      <c r="D746">
        <v>25</v>
      </c>
      <c r="E746" t="s">
        <v>44</v>
      </c>
      <c r="F746" s="4">
        <v>295670.55</v>
      </c>
      <c r="G746" t="str">
        <f t="shared" si="44"/>
        <v>High Income</v>
      </c>
      <c r="H746">
        <v>63948.03</v>
      </c>
      <c r="I746">
        <v>596</v>
      </c>
      <c r="J746" t="s">
        <v>38</v>
      </c>
      <c r="K746" t="s">
        <v>36</v>
      </c>
      <c r="L746">
        <v>386244.15</v>
      </c>
      <c r="M746">
        <v>186901.39</v>
      </c>
      <c r="N746" t="s">
        <v>28</v>
      </c>
      <c r="O746" s="7">
        <f t="shared" ca="1" si="45"/>
        <v>45996</v>
      </c>
      <c r="P746" s="7">
        <v>45868</v>
      </c>
      <c r="Q746">
        <v>3</v>
      </c>
      <c r="R746" t="str">
        <f t="shared" si="46"/>
        <v>Midum Risk</v>
      </c>
      <c r="S746" t="str">
        <f t="shared" si="47"/>
        <v xml:space="preserve">Midum </v>
      </c>
      <c r="T746" s="4">
        <f>Table1[[#This Row],[Deposit_Amount]]+Table1[[#This Row],[Withdrawal_Amount]]</f>
        <v>359618.57999999996</v>
      </c>
      <c r="U746" t="s">
        <v>274</v>
      </c>
    </row>
    <row r="747" spans="1:21" x14ac:dyDescent="0.3">
      <c r="A747">
        <v>746</v>
      </c>
      <c r="B747" t="s">
        <v>141</v>
      </c>
      <c r="C747" t="s">
        <v>22</v>
      </c>
      <c r="D747">
        <v>47</v>
      </c>
      <c r="E747" t="s">
        <v>40</v>
      </c>
      <c r="F747" s="4">
        <v>262873.39</v>
      </c>
      <c r="G747" t="str">
        <f t="shared" si="44"/>
        <v>High Income</v>
      </c>
      <c r="H747">
        <v>53373.29</v>
      </c>
      <c r="I747">
        <v>790</v>
      </c>
      <c r="J747" t="s">
        <v>18</v>
      </c>
      <c r="K747" t="s">
        <v>42</v>
      </c>
      <c r="L747">
        <v>228926.88</v>
      </c>
      <c r="M747">
        <v>23279.18</v>
      </c>
      <c r="N747" t="s">
        <v>28</v>
      </c>
      <c r="O747" s="7">
        <f t="shared" ca="1" si="45"/>
        <v>45723</v>
      </c>
      <c r="P747" s="7">
        <v>45822</v>
      </c>
      <c r="Q747">
        <v>2</v>
      </c>
      <c r="R747" t="str">
        <f t="shared" si="46"/>
        <v>Low Risk</v>
      </c>
      <c r="S747" t="str">
        <f t="shared" si="47"/>
        <v>Good</v>
      </c>
      <c r="T747" s="4">
        <f>Table1[[#This Row],[Deposit_Amount]]+Table1[[#This Row],[Withdrawal_Amount]]</f>
        <v>316246.68</v>
      </c>
      <c r="U747" t="s">
        <v>274</v>
      </c>
    </row>
    <row r="748" spans="1:21" x14ac:dyDescent="0.3">
      <c r="A748">
        <v>747</v>
      </c>
      <c r="B748" t="s">
        <v>228</v>
      </c>
      <c r="C748" t="s">
        <v>16</v>
      </c>
      <c r="D748">
        <v>58</v>
      </c>
      <c r="E748" t="s">
        <v>23</v>
      </c>
      <c r="F748" s="4">
        <v>128616.42</v>
      </c>
      <c r="G748" t="str">
        <f t="shared" si="44"/>
        <v>Midum Income</v>
      </c>
      <c r="H748">
        <v>184837.79</v>
      </c>
      <c r="I748">
        <v>710</v>
      </c>
      <c r="J748" t="s">
        <v>18</v>
      </c>
      <c r="K748" t="s">
        <v>19</v>
      </c>
      <c r="L748">
        <v>139336.01</v>
      </c>
      <c r="M748">
        <v>42233.65</v>
      </c>
      <c r="N748" t="s">
        <v>20</v>
      </c>
      <c r="O748" s="7">
        <f t="shared" ca="1" si="45"/>
        <v>45712</v>
      </c>
      <c r="P748" s="7">
        <v>46001</v>
      </c>
      <c r="Q748">
        <v>4</v>
      </c>
      <c r="R748" t="str">
        <f t="shared" si="46"/>
        <v>Low Risk</v>
      </c>
      <c r="S748" t="str">
        <f t="shared" si="47"/>
        <v>Good</v>
      </c>
      <c r="T748" s="4">
        <f>Table1[[#This Row],[Deposit_Amount]]+Table1[[#This Row],[Withdrawal_Amount]]</f>
        <v>313454.21000000002</v>
      </c>
      <c r="U748" t="s">
        <v>274</v>
      </c>
    </row>
    <row r="749" spans="1:21" x14ac:dyDescent="0.3">
      <c r="A749">
        <v>748</v>
      </c>
      <c r="B749" t="s">
        <v>179</v>
      </c>
      <c r="C749" t="s">
        <v>16</v>
      </c>
      <c r="D749">
        <v>54</v>
      </c>
      <c r="E749" t="s">
        <v>40</v>
      </c>
      <c r="F749" s="4">
        <v>89793.79</v>
      </c>
      <c r="G749" t="str">
        <f t="shared" si="44"/>
        <v>Low Income</v>
      </c>
      <c r="H749">
        <v>191798.15</v>
      </c>
      <c r="I749">
        <v>644</v>
      </c>
      <c r="J749" t="s">
        <v>38</v>
      </c>
      <c r="K749" t="s">
        <v>19</v>
      </c>
      <c r="L749">
        <v>-79383.600000000006</v>
      </c>
      <c r="M749">
        <v>78311.55</v>
      </c>
      <c r="N749" t="s">
        <v>20</v>
      </c>
      <c r="O749" s="7">
        <f t="shared" ca="1" si="45"/>
        <v>46011</v>
      </c>
      <c r="P749" s="7">
        <v>45885</v>
      </c>
      <c r="Q749">
        <v>5</v>
      </c>
      <c r="R749" t="str">
        <f t="shared" si="46"/>
        <v>Low Risk</v>
      </c>
      <c r="S749" t="str">
        <f t="shared" si="47"/>
        <v>Good</v>
      </c>
      <c r="T749" s="4">
        <f>Table1[[#This Row],[Deposit_Amount]]+Table1[[#This Row],[Withdrawal_Amount]]</f>
        <v>281591.94</v>
      </c>
      <c r="U749" t="s">
        <v>274</v>
      </c>
    </row>
    <row r="750" spans="1:21" x14ac:dyDescent="0.3">
      <c r="A750">
        <v>749</v>
      </c>
      <c r="B750" t="s">
        <v>224</v>
      </c>
      <c r="C750" t="s">
        <v>22</v>
      </c>
      <c r="D750">
        <v>54</v>
      </c>
      <c r="E750" t="s">
        <v>31</v>
      </c>
      <c r="F750" s="4">
        <v>454479.23</v>
      </c>
      <c r="G750" t="str">
        <f t="shared" si="44"/>
        <v>High Income</v>
      </c>
      <c r="H750">
        <v>45573.09</v>
      </c>
      <c r="I750">
        <v>657</v>
      </c>
      <c r="J750" t="s">
        <v>32</v>
      </c>
      <c r="K750" t="s">
        <v>59</v>
      </c>
      <c r="L750">
        <v>422210.67</v>
      </c>
      <c r="M750">
        <v>99150.42</v>
      </c>
      <c r="N750" t="s">
        <v>20</v>
      </c>
      <c r="O750" s="7">
        <f t="shared" ca="1" si="45"/>
        <v>45770</v>
      </c>
      <c r="P750" s="7">
        <v>45792</v>
      </c>
      <c r="Q750">
        <v>1</v>
      </c>
      <c r="R750" t="str">
        <f t="shared" si="46"/>
        <v>Low Risk</v>
      </c>
      <c r="S750" t="str">
        <f t="shared" si="47"/>
        <v>Good</v>
      </c>
      <c r="T750" s="4">
        <f>Table1[[#This Row],[Deposit_Amount]]+Table1[[#This Row],[Withdrawal_Amount]]</f>
        <v>500052.31999999995</v>
      </c>
      <c r="U750" t="s">
        <v>274</v>
      </c>
    </row>
    <row r="751" spans="1:21" x14ac:dyDescent="0.3">
      <c r="A751">
        <v>750</v>
      </c>
      <c r="B751" t="s">
        <v>39</v>
      </c>
      <c r="C751" t="s">
        <v>16</v>
      </c>
      <c r="D751">
        <v>67</v>
      </c>
      <c r="E751" t="s">
        <v>31</v>
      </c>
      <c r="F751" s="4">
        <v>33832.46</v>
      </c>
      <c r="G751" t="str">
        <f t="shared" si="44"/>
        <v>Low Income</v>
      </c>
      <c r="H751">
        <v>142245.76999999999</v>
      </c>
      <c r="I751">
        <v>600</v>
      </c>
      <c r="J751" t="s">
        <v>27</v>
      </c>
      <c r="K751" t="s">
        <v>36</v>
      </c>
      <c r="L751">
        <v>40842.79</v>
      </c>
      <c r="M751">
        <v>198101.05</v>
      </c>
      <c r="N751" t="s">
        <v>25</v>
      </c>
      <c r="O751" s="7">
        <f t="shared" ca="1" si="45"/>
        <v>45870</v>
      </c>
      <c r="P751" s="7">
        <v>45672</v>
      </c>
      <c r="Q751">
        <v>4</v>
      </c>
      <c r="R751" t="str">
        <f t="shared" si="46"/>
        <v>Midum Risk</v>
      </c>
      <c r="S751" t="str">
        <f t="shared" si="47"/>
        <v xml:space="preserve">Midum </v>
      </c>
      <c r="T751" s="4">
        <f>Table1[[#This Row],[Deposit_Amount]]+Table1[[#This Row],[Withdrawal_Amount]]</f>
        <v>176078.22999999998</v>
      </c>
      <c r="U751" t="s">
        <v>274</v>
      </c>
    </row>
    <row r="752" spans="1:21" x14ac:dyDescent="0.3">
      <c r="A752">
        <v>751</v>
      </c>
      <c r="B752" t="s">
        <v>183</v>
      </c>
      <c r="C752" t="s">
        <v>22</v>
      </c>
      <c r="D752">
        <v>43</v>
      </c>
      <c r="E752" t="s">
        <v>23</v>
      </c>
      <c r="F752" s="4">
        <v>391150.21</v>
      </c>
      <c r="G752" t="str">
        <f t="shared" si="44"/>
        <v>High Income</v>
      </c>
      <c r="H752">
        <v>114291.52</v>
      </c>
      <c r="I752">
        <v>767</v>
      </c>
      <c r="J752" t="s">
        <v>18</v>
      </c>
      <c r="K752" t="s">
        <v>19</v>
      </c>
      <c r="L752">
        <v>372606.3</v>
      </c>
      <c r="M752">
        <v>68446.740000000005</v>
      </c>
      <c r="N752" t="s">
        <v>25</v>
      </c>
      <c r="O752" s="7">
        <f t="shared" ca="1" si="45"/>
        <v>45939</v>
      </c>
      <c r="P752" s="7">
        <v>45727</v>
      </c>
      <c r="Q752">
        <v>3</v>
      </c>
      <c r="R752" t="str">
        <f t="shared" si="46"/>
        <v>Low Risk</v>
      </c>
      <c r="S752" t="str">
        <f t="shared" si="47"/>
        <v>Good</v>
      </c>
      <c r="T752" s="4">
        <f>Table1[[#This Row],[Deposit_Amount]]+Table1[[#This Row],[Withdrawal_Amount]]</f>
        <v>505441.73000000004</v>
      </c>
      <c r="U752" t="s">
        <v>274</v>
      </c>
    </row>
    <row r="753" spans="1:21" x14ac:dyDescent="0.3">
      <c r="A753">
        <v>752</v>
      </c>
      <c r="B753" t="s">
        <v>179</v>
      </c>
      <c r="C753" t="s">
        <v>16</v>
      </c>
      <c r="D753">
        <v>66</v>
      </c>
      <c r="E753" t="s">
        <v>23</v>
      </c>
      <c r="F753" s="4">
        <v>323038.68</v>
      </c>
      <c r="G753" t="str">
        <f t="shared" si="44"/>
        <v>High Income</v>
      </c>
      <c r="H753">
        <v>194135.22</v>
      </c>
      <c r="I753">
        <v>803</v>
      </c>
      <c r="J753" t="s">
        <v>27</v>
      </c>
      <c r="K753" t="s">
        <v>59</v>
      </c>
      <c r="L753">
        <v>195499.59</v>
      </c>
      <c r="M753">
        <v>26120.95</v>
      </c>
      <c r="N753" t="s">
        <v>25</v>
      </c>
      <c r="O753" s="7">
        <f t="shared" ca="1" si="45"/>
        <v>45703</v>
      </c>
      <c r="P753" s="7">
        <v>45751</v>
      </c>
      <c r="Q753">
        <v>3</v>
      </c>
      <c r="R753" t="str">
        <f t="shared" si="46"/>
        <v>Low Risk</v>
      </c>
      <c r="S753" t="str">
        <f t="shared" si="47"/>
        <v>Good</v>
      </c>
      <c r="T753" s="4">
        <f>Table1[[#This Row],[Deposit_Amount]]+Table1[[#This Row],[Withdrawal_Amount]]</f>
        <v>517173.9</v>
      </c>
      <c r="U753" t="s">
        <v>274</v>
      </c>
    </row>
    <row r="754" spans="1:21" x14ac:dyDescent="0.3">
      <c r="A754">
        <v>753</v>
      </c>
      <c r="B754" t="s">
        <v>69</v>
      </c>
      <c r="C754" t="s">
        <v>16</v>
      </c>
      <c r="D754">
        <v>25</v>
      </c>
      <c r="E754" t="s">
        <v>44</v>
      </c>
      <c r="F754" s="4">
        <v>109680.24</v>
      </c>
      <c r="G754" t="str">
        <f t="shared" si="44"/>
        <v>Midum Income</v>
      </c>
      <c r="H754">
        <v>214417.46</v>
      </c>
      <c r="I754">
        <v>516</v>
      </c>
      <c r="J754" t="s">
        <v>38</v>
      </c>
      <c r="K754" t="s">
        <v>19</v>
      </c>
      <c r="L754">
        <v>-78555.320000000007</v>
      </c>
      <c r="M754">
        <v>70196.100000000006</v>
      </c>
      <c r="N754" t="s">
        <v>20</v>
      </c>
      <c r="O754" s="7">
        <f t="shared" ca="1" si="45"/>
        <v>45768</v>
      </c>
      <c r="P754" s="7">
        <v>45823</v>
      </c>
      <c r="Q754">
        <v>2</v>
      </c>
      <c r="R754" t="str">
        <f t="shared" si="46"/>
        <v>Midum Risk</v>
      </c>
      <c r="S754" t="str">
        <f t="shared" si="47"/>
        <v xml:space="preserve">Midum </v>
      </c>
      <c r="T754" s="4">
        <f>Table1[[#This Row],[Deposit_Amount]]+Table1[[#This Row],[Withdrawal_Amount]]</f>
        <v>324097.7</v>
      </c>
      <c r="U754" t="s">
        <v>274</v>
      </c>
    </row>
    <row r="755" spans="1:21" x14ac:dyDescent="0.3">
      <c r="A755">
        <v>754</v>
      </c>
      <c r="B755" t="s">
        <v>140</v>
      </c>
      <c r="C755" t="s">
        <v>22</v>
      </c>
      <c r="D755">
        <v>61</v>
      </c>
      <c r="E755" t="s">
        <v>40</v>
      </c>
      <c r="F755" s="4">
        <v>395303.8</v>
      </c>
      <c r="G755" t="str">
        <f t="shared" si="44"/>
        <v>High Income</v>
      </c>
      <c r="H755">
        <v>14537.03</v>
      </c>
      <c r="I755">
        <v>813</v>
      </c>
      <c r="J755" t="s">
        <v>27</v>
      </c>
      <c r="K755" t="s">
        <v>59</v>
      </c>
      <c r="L755">
        <v>520541.66</v>
      </c>
      <c r="M755">
        <v>166099.16</v>
      </c>
      <c r="N755" t="s">
        <v>25</v>
      </c>
      <c r="O755" s="7">
        <f t="shared" ca="1" si="45"/>
        <v>45915</v>
      </c>
      <c r="P755" s="7">
        <v>45811</v>
      </c>
      <c r="Q755">
        <v>2</v>
      </c>
      <c r="R755" t="str">
        <f t="shared" si="46"/>
        <v>Low Risk</v>
      </c>
      <c r="S755" t="str">
        <f t="shared" si="47"/>
        <v>Good</v>
      </c>
      <c r="T755" s="4">
        <f>Table1[[#This Row],[Deposit_Amount]]+Table1[[#This Row],[Withdrawal_Amount]]</f>
        <v>409840.83</v>
      </c>
      <c r="U755" t="s">
        <v>274</v>
      </c>
    </row>
    <row r="756" spans="1:21" x14ac:dyDescent="0.3">
      <c r="A756">
        <v>755</v>
      </c>
      <c r="B756" t="s">
        <v>81</v>
      </c>
      <c r="C756" t="s">
        <v>22</v>
      </c>
      <c r="D756">
        <v>60</v>
      </c>
      <c r="E756" t="s">
        <v>44</v>
      </c>
      <c r="F756" s="4">
        <v>296151.64</v>
      </c>
      <c r="G756" t="str">
        <f t="shared" si="44"/>
        <v>High Income</v>
      </c>
      <c r="H756">
        <v>193961.79</v>
      </c>
      <c r="I756">
        <v>369</v>
      </c>
      <c r="J756" t="s">
        <v>32</v>
      </c>
      <c r="K756" t="s">
        <v>59</v>
      </c>
      <c r="L756">
        <v>190532.42</v>
      </c>
      <c r="M756">
        <v>210903.03</v>
      </c>
      <c r="N756" t="s">
        <v>28</v>
      </c>
      <c r="O756" s="7">
        <f t="shared" ca="1" si="45"/>
        <v>45875</v>
      </c>
      <c r="P756" s="7">
        <v>45800</v>
      </c>
      <c r="Q756">
        <v>2</v>
      </c>
      <c r="R756" t="str">
        <f t="shared" si="46"/>
        <v>High Risk</v>
      </c>
      <c r="S756" t="str">
        <f t="shared" si="47"/>
        <v>Poor</v>
      </c>
      <c r="T756" s="4">
        <f>Table1[[#This Row],[Deposit_Amount]]+Table1[[#This Row],[Withdrawal_Amount]]</f>
        <v>490113.43000000005</v>
      </c>
      <c r="U756" t="s">
        <v>274</v>
      </c>
    </row>
    <row r="757" spans="1:21" x14ac:dyDescent="0.3">
      <c r="A757">
        <v>756</v>
      </c>
      <c r="B757" t="s">
        <v>94</v>
      </c>
      <c r="C757" t="s">
        <v>16</v>
      </c>
      <c r="D757">
        <v>25</v>
      </c>
      <c r="E757" t="s">
        <v>35</v>
      </c>
      <c r="F757" s="4">
        <v>225633.76</v>
      </c>
      <c r="G757" t="str">
        <f t="shared" si="44"/>
        <v>High Income</v>
      </c>
      <c r="H757">
        <v>115821.17</v>
      </c>
      <c r="I757">
        <v>707</v>
      </c>
      <c r="J757" t="s">
        <v>38</v>
      </c>
      <c r="K757" t="s">
        <v>59</v>
      </c>
      <c r="L757">
        <v>192281.65</v>
      </c>
      <c r="M757">
        <v>17027.64</v>
      </c>
      <c r="N757" t="s">
        <v>20</v>
      </c>
      <c r="O757" s="7">
        <f t="shared" ca="1" si="45"/>
        <v>45724</v>
      </c>
      <c r="P757" s="7">
        <v>45774</v>
      </c>
      <c r="Q757">
        <v>3</v>
      </c>
      <c r="R757" t="str">
        <f t="shared" si="46"/>
        <v>Low Risk</v>
      </c>
      <c r="S757" t="str">
        <f t="shared" si="47"/>
        <v>Good</v>
      </c>
      <c r="T757" s="4">
        <f>Table1[[#This Row],[Deposit_Amount]]+Table1[[#This Row],[Withdrawal_Amount]]</f>
        <v>341454.93</v>
      </c>
      <c r="U757" t="s">
        <v>274</v>
      </c>
    </row>
    <row r="758" spans="1:21" x14ac:dyDescent="0.3">
      <c r="A758">
        <v>757</v>
      </c>
      <c r="B758" t="s">
        <v>183</v>
      </c>
      <c r="C758" t="s">
        <v>22</v>
      </c>
      <c r="D758">
        <v>68</v>
      </c>
      <c r="E758" t="s">
        <v>40</v>
      </c>
      <c r="F758" s="4">
        <v>214399.45</v>
      </c>
      <c r="G758" t="str">
        <f t="shared" si="44"/>
        <v>High Income</v>
      </c>
      <c r="H758">
        <v>267704.13</v>
      </c>
      <c r="I758">
        <v>584</v>
      </c>
      <c r="J758" t="s">
        <v>41</v>
      </c>
      <c r="K758" t="s">
        <v>19</v>
      </c>
      <c r="L758">
        <v>16431.740000000002</v>
      </c>
      <c r="M758">
        <v>114516.22</v>
      </c>
      <c r="N758" t="s">
        <v>25</v>
      </c>
      <c r="O758" s="7">
        <f t="shared" ca="1" si="45"/>
        <v>45763</v>
      </c>
      <c r="P758" s="7">
        <v>46014</v>
      </c>
      <c r="Q758">
        <v>1</v>
      </c>
      <c r="R758" t="str">
        <f t="shared" si="46"/>
        <v>Midum Risk</v>
      </c>
      <c r="S758" t="str">
        <f t="shared" si="47"/>
        <v xml:space="preserve">Midum </v>
      </c>
      <c r="T758" s="4">
        <f>Table1[[#This Row],[Deposit_Amount]]+Table1[[#This Row],[Withdrawal_Amount]]</f>
        <v>482103.58</v>
      </c>
      <c r="U758" t="s">
        <v>274</v>
      </c>
    </row>
    <row r="759" spans="1:21" x14ac:dyDescent="0.3">
      <c r="A759">
        <v>758</v>
      </c>
      <c r="B759" t="s">
        <v>221</v>
      </c>
      <c r="C759" t="s">
        <v>16</v>
      </c>
      <c r="D759">
        <v>50</v>
      </c>
      <c r="E759" t="s">
        <v>35</v>
      </c>
      <c r="F759" s="4">
        <v>425790.52</v>
      </c>
      <c r="G759" t="str">
        <f t="shared" si="44"/>
        <v>High Income</v>
      </c>
      <c r="H759">
        <v>220223.83</v>
      </c>
      <c r="I759">
        <v>876</v>
      </c>
      <c r="J759" t="s">
        <v>27</v>
      </c>
      <c r="K759" t="s">
        <v>59</v>
      </c>
      <c r="L759">
        <v>264863.8</v>
      </c>
      <c r="M759">
        <v>124484.89</v>
      </c>
      <c r="N759" t="s">
        <v>20</v>
      </c>
      <c r="O759" s="7">
        <f t="shared" ca="1" si="45"/>
        <v>45776</v>
      </c>
      <c r="P759" s="7">
        <v>45746</v>
      </c>
      <c r="Q759">
        <v>5</v>
      </c>
      <c r="R759" t="str">
        <f t="shared" si="46"/>
        <v>Low Risk</v>
      </c>
      <c r="S759" t="str">
        <f t="shared" si="47"/>
        <v>Good</v>
      </c>
      <c r="T759" s="4">
        <f>Table1[[#This Row],[Deposit_Amount]]+Table1[[#This Row],[Withdrawal_Amount]]</f>
        <v>646014.35</v>
      </c>
      <c r="U759" t="s">
        <v>274</v>
      </c>
    </row>
    <row r="760" spans="1:21" x14ac:dyDescent="0.3">
      <c r="A760">
        <v>759</v>
      </c>
      <c r="B760" t="s">
        <v>142</v>
      </c>
      <c r="C760" t="s">
        <v>22</v>
      </c>
      <c r="D760">
        <v>37</v>
      </c>
      <c r="E760" t="s">
        <v>44</v>
      </c>
      <c r="F760" s="4">
        <v>301772.62</v>
      </c>
      <c r="G760" t="str">
        <f t="shared" si="44"/>
        <v>High Income</v>
      </c>
      <c r="H760">
        <v>1998.13</v>
      </c>
      <c r="I760">
        <v>572</v>
      </c>
      <c r="J760" t="s">
        <v>38</v>
      </c>
      <c r="K760" t="s">
        <v>59</v>
      </c>
      <c r="L760">
        <v>423102.97</v>
      </c>
      <c r="M760">
        <v>37853.83</v>
      </c>
      <c r="N760" t="s">
        <v>20</v>
      </c>
      <c r="O760" s="7">
        <f t="shared" ca="1" si="45"/>
        <v>45969</v>
      </c>
      <c r="P760" s="7">
        <v>45756</v>
      </c>
      <c r="Q760">
        <v>4</v>
      </c>
      <c r="R760" t="str">
        <f t="shared" si="46"/>
        <v>Midum Risk</v>
      </c>
      <c r="S760" t="str">
        <f t="shared" si="47"/>
        <v xml:space="preserve">Midum </v>
      </c>
      <c r="T760" s="4">
        <f>Table1[[#This Row],[Deposit_Amount]]+Table1[[#This Row],[Withdrawal_Amount]]</f>
        <v>303770.75</v>
      </c>
      <c r="U760" t="s">
        <v>274</v>
      </c>
    </row>
    <row r="761" spans="1:21" x14ac:dyDescent="0.3">
      <c r="A761">
        <v>760</v>
      </c>
      <c r="B761" t="s">
        <v>127</v>
      </c>
      <c r="C761" t="s">
        <v>22</v>
      </c>
      <c r="D761">
        <v>64</v>
      </c>
      <c r="E761" t="s">
        <v>40</v>
      </c>
      <c r="F761" s="4">
        <v>165225.17000000001</v>
      </c>
      <c r="G761" t="str">
        <f t="shared" si="44"/>
        <v>Midum Income</v>
      </c>
      <c r="H761">
        <v>200091.09</v>
      </c>
      <c r="I761">
        <v>687</v>
      </c>
      <c r="J761" t="s">
        <v>18</v>
      </c>
      <c r="K761" t="s">
        <v>24</v>
      </c>
      <c r="L761">
        <v>136597.48000000001</v>
      </c>
      <c r="M761">
        <v>238422.54</v>
      </c>
      <c r="N761" t="s">
        <v>28</v>
      </c>
      <c r="O761" s="7">
        <f t="shared" ca="1" si="45"/>
        <v>46011</v>
      </c>
      <c r="P761" s="7">
        <v>45915</v>
      </c>
      <c r="Q761">
        <v>1</v>
      </c>
      <c r="R761" t="str">
        <f t="shared" si="46"/>
        <v>Low Risk</v>
      </c>
      <c r="S761" t="str">
        <f t="shared" si="47"/>
        <v>Good</v>
      </c>
      <c r="T761" s="4">
        <f>Table1[[#This Row],[Deposit_Amount]]+Table1[[#This Row],[Withdrawal_Amount]]</f>
        <v>365316.26</v>
      </c>
      <c r="U761" t="s">
        <v>274</v>
      </c>
    </row>
    <row r="762" spans="1:21" x14ac:dyDescent="0.3">
      <c r="A762">
        <v>761</v>
      </c>
      <c r="B762" t="s">
        <v>61</v>
      </c>
      <c r="C762" t="s">
        <v>22</v>
      </c>
      <c r="D762">
        <v>46</v>
      </c>
      <c r="E762" t="s">
        <v>31</v>
      </c>
      <c r="F762" s="4">
        <v>178084.56</v>
      </c>
      <c r="G762" t="str">
        <f t="shared" si="44"/>
        <v>Midum Income</v>
      </c>
      <c r="H762">
        <v>137431.42000000001</v>
      </c>
      <c r="I762">
        <v>330</v>
      </c>
      <c r="J762" t="s">
        <v>32</v>
      </c>
      <c r="K762" t="s">
        <v>42</v>
      </c>
      <c r="L762">
        <v>169867.83</v>
      </c>
      <c r="M762">
        <v>72173.490000000005</v>
      </c>
      <c r="N762" t="s">
        <v>25</v>
      </c>
      <c r="O762" s="7">
        <f t="shared" ca="1" si="45"/>
        <v>45818</v>
      </c>
      <c r="P762" s="7">
        <v>45971</v>
      </c>
      <c r="Q762">
        <v>4</v>
      </c>
      <c r="R762" t="str">
        <f t="shared" si="46"/>
        <v>High Risk</v>
      </c>
      <c r="S762" t="str">
        <f t="shared" si="47"/>
        <v>Poor</v>
      </c>
      <c r="T762" s="4">
        <f>Table1[[#This Row],[Deposit_Amount]]+Table1[[#This Row],[Withdrawal_Amount]]</f>
        <v>315515.98</v>
      </c>
      <c r="U762" t="s">
        <v>274</v>
      </c>
    </row>
    <row r="763" spans="1:21" x14ac:dyDescent="0.3">
      <c r="A763">
        <v>762</v>
      </c>
      <c r="B763" t="s">
        <v>51</v>
      </c>
      <c r="C763" t="s">
        <v>22</v>
      </c>
      <c r="D763">
        <v>69</v>
      </c>
      <c r="E763" t="s">
        <v>17</v>
      </c>
      <c r="F763" s="4">
        <v>390212.55</v>
      </c>
      <c r="G763" t="str">
        <f t="shared" si="44"/>
        <v>High Income</v>
      </c>
      <c r="H763">
        <v>93108.14</v>
      </c>
      <c r="I763">
        <v>335</v>
      </c>
      <c r="J763" t="s">
        <v>27</v>
      </c>
      <c r="K763" t="s">
        <v>24</v>
      </c>
      <c r="L763">
        <v>388783.84</v>
      </c>
      <c r="M763">
        <v>173561.42</v>
      </c>
      <c r="N763" t="s">
        <v>20</v>
      </c>
      <c r="O763" s="7">
        <f t="shared" ca="1" si="45"/>
        <v>45917</v>
      </c>
      <c r="P763" s="7">
        <v>45999</v>
      </c>
      <c r="Q763">
        <v>4</v>
      </c>
      <c r="R763" t="str">
        <f t="shared" si="46"/>
        <v>High Risk</v>
      </c>
      <c r="S763" t="str">
        <f t="shared" si="47"/>
        <v>Poor</v>
      </c>
      <c r="T763" s="4">
        <f>Table1[[#This Row],[Deposit_Amount]]+Table1[[#This Row],[Withdrawal_Amount]]</f>
        <v>483320.69</v>
      </c>
      <c r="U763" t="s">
        <v>274</v>
      </c>
    </row>
    <row r="764" spans="1:21" x14ac:dyDescent="0.3">
      <c r="A764">
        <v>763</v>
      </c>
      <c r="B764" t="s">
        <v>61</v>
      </c>
      <c r="C764" t="s">
        <v>22</v>
      </c>
      <c r="D764">
        <v>25</v>
      </c>
      <c r="E764" t="s">
        <v>17</v>
      </c>
      <c r="F764" s="4">
        <v>45698.78</v>
      </c>
      <c r="G764" t="str">
        <f t="shared" si="44"/>
        <v>Low Income</v>
      </c>
      <c r="H764">
        <v>108984.11</v>
      </c>
      <c r="I764">
        <v>538</v>
      </c>
      <c r="J764" t="s">
        <v>18</v>
      </c>
      <c r="K764" t="s">
        <v>36</v>
      </c>
      <c r="L764">
        <v>131000.48</v>
      </c>
      <c r="M764">
        <v>126713.63</v>
      </c>
      <c r="N764" t="s">
        <v>20</v>
      </c>
      <c r="O764" s="7">
        <f t="shared" ca="1" si="45"/>
        <v>45839</v>
      </c>
      <c r="P764" s="7">
        <v>45984</v>
      </c>
      <c r="Q764">
        <v>5</v>
      </c>
      <c r="R764" t="str">
        <f t="shared" si="46"/>
        <v>Midum Risk</v>
      </c>
      <c r="S764" t="str">
        <f t="shared" si="47"/>
        <v xml:space="preserve">Midum </v>
      </c>
      <c r="T764" s="4">
        <f>Table1[[#This Row],[Deposit_Amount]]+Table1[[#This Row],[Withdrawal_Amount]]</f>
        <v>154682.89000000001</v>
      </c>
      <c r="U764" t="s">
        <v>274</v>
      </c>
    </row>
    <row r="765" spans="1:21" x14ac:dyDescent="0.3">
      <c r="A765">
        <v>764</v>
      </c>
      <c r="B765" t="s">
        <v>46</v>
      </c>
      <c r="C765" t="s">
        <v>22</v>
      </c>
      <c r="D765">
        <v>39</v>
      </c>
      <c r="E765" t="s">
        <v>31</v>
      </c>
      <c r="F765" s="4">
        <v>83809.179999999993</v>
      </c>
      <c r="G765" t="str">
        <f t="shared" si="44"/>
        <v>Low Income</v>
      </c>
      <c r="H765">
        <v>290981.15000000002</v>
      </c>
      <c r="I765">
        <v>822</v>
      </c>
      <c r="J765" t="s">
        <v>41</v>
      </c>
      <c r="K765" t="s">
        <v>59</v>
      </c>
      <c r="L765">
        <v>-12008.19</v>
      </c>
      <c r="M765">
        <v>34267.81</v>
      </c>
      <c r="N765" t="s">
        <v>20</v>
      </c>
      <c r="O765" s="7">
        <f t="shared" ca="1" si="45"/>
        <v>45962</v>
      </c>
      <c r="P765" s="7">
        <v>45971</v>
      </c>
      <c r="Q765">
        <v>4</v>
      </c>
      <c r="R765" t="str">
        <f t="shared" si="46"/>
        <v>Low Risk</v>
      </c>
      <c r="S765" t="str">
        <f t="shared" si="47"/>
        <v>Good</v>
      </c>
      <c r="T765" s="4">
        <f>Table1[[#This Row],[Deposit_Amount]]+Table1[[#This Row],[Withdrawal_Amount]]</f>
        <v>374790.33</v>
      </c>
      <c r="U765" t="s">
        <v>274</v>
      </c>
    </row>
    <row r="766" spans="1:21" x14ac:dyDescent="0.3">
      <c r="A766">
        <v>765</v>
      </c>
      <c r="B766" t="s">
        <v>37</v>
      </c>
      <c r="C766" t="s">
        <v>22</v>
      </c>
      <c r="D766">
        <v>42</v>
      </c>
      <c r="E766" t="s">
        <v>44</v>
      </c>
      <c r="F766" s="4">
        <v>360912.4</v>
      </c>
      <c r="G766" t="str">
        <f t="shared" si="44"/>
        <v>High Income</v>
      </c>
      <c r="H766">
        <v>252604.25</v>
      </c>
      <c r="I766">
        <v>660</v>
      </c>
      <c r="J766" t="s">
        <v>27</v>
      </c>
      <c r="K766" t="s">
        <v>24</v>
      </c>
      <c r="L766">
        <v>306145.14</v>
      </c>
      <c r="M766">
        <v>208628.03</v>
      </c>
      <c r="N766" t="s">
        <v>20</v>
      </c>
      <c r="O766" s="7">
        <f t="shared" ca="1" si="45"/>
        <v>45668</v>
      </c>
      <c r="P766" s="7">
        <v>45703</v>
      </c>
      <c r="Q766">
        <v>5</v>
      </c>
      <c r="R766" t="str">
        <f t="shared" si="46"/>
        <v>Low Risk</v>
      </c>
      <c r="S766" t="str">
        <f t="shared" si="47"/>
        <v>Good</v>
      </c>
      <c r="T766" s="4">
        <f>Table1[[#This Row],[Deposit_Amount]]+Table1[[#This Row],[Withdrawal_Amount]]</f>
        <v>613516.65</v>
      </c>
      <c r="U766" t="s">
        <v>274</v>
      </c>
    </row>
    <row r="767" spans="1:21" x14ac:dyDescent="0.3">
      <c r="A767">
        <v>766</v>
      </c>
      <c r="B767" t="s">
        <v>106</v>
      </c>
      <c r="C767" t="s">
        <v>22</v>
      </c>
      <c r="D767">
        <v>25</v>
      </c>
      <c r="E767" t="s">
        <v>40</v>
      </c>
      <c r="F767" s="4">
        <v>358252.77</v>
      </c>
      <c r="G767" t="str">
        <f t="shared" si="44"/>
        <v>High Income</v>
      </c>
      <c r="H767">
        <v>189965.16</v>
      </c>
      <c r="I767">
        <v>634</v>
      </c>
      <c r="J767" t="s">
        <v>27</v>
      </c>
      <c r="K767" t="s">
        <v>36</v>
      </c>
      <c r="L767">
        <v>326805.96999999997</v>
      </c>
      <c r="M767">
        <v>148169.97</v>
      </c>
      <c r="N767" t="s">
        <v>20</v>
      </c>
      <c r="O767" s="7">
        <f t="shared" ca="1" si="45"/>
        <v>45720</v>
      </c>
      <c r="P767" s="7">
        <v>45826</v>
      </c>
      <c r="Q767">
        <v>1</v>
      </c>
      <c r="R767" t="str">
        <f t="shared" si="46"/>
        <v>Low Risk</v>
      </c>
      <c r="S767" t="str">
        <f t="shared" si="47"/>
        <v>Good</v>
      </c>
      <c r="T767" s="4">
        <f>Table1[[#This Row],[Deposit_Amount]]+Table1[[#This Row],[Withdrawal_Amount]]</f>
        <v>548217.93000000005</v>
      </c>
      <c r="U767" t="s">
        <v>274</v>
      </c>
    </row>
    <row r="768" spans="1:21" x14ac:dyDescent="0.3">
      <c r="A768">
        <v>767</v>
      </c>
      <c r="B768" t="s">
        <v>195</v>
      </c>
      <c r="C768" t="s">
        <v>22</v>
      </c>
      <c r="D768">
        <v>40</v>
      </c>
      <c r="E768" t="s">
        <v>17</v>
      </c>
      <c r="F768" s="4">
        <v>83028.33</v>
      </c>
      <c r="G768" t="str">
        <f t="shared" si="44"/>
        <v>Low Income</v>
      </c>
      <c r="H768">
        <v>70967.520000000004</v>
      </c>
      <c r="I768">
        <v>826</v>
      </c>
      <c r="J768" t="s">
        <v>27</v>
      </c>
      <c r="K768" t="s">
        <v>36</v>
      </c>
      <c r="L768">
        <v>95821</v>
      </c>
      <c r="M768">
        <v>109543.5</v>
      </c>
      <c r="N768" t="s">
        <v>20</v>
      </c>
      <c r="O768" s="7">
        <f t="shared" ca="1" si="45"/>
        <v>45706</v>
      </c>
      <c r="P768" s="7">
        <v>45833</v>
      </c>
      <c r="Q768">
        <v>5</v>
      </c>
      <c r="R768" t="str">
        <f t="shared" si="46"/>
        <v>Low Risk</v>
      </c>
      <c r="S768" t="str">
        <f t="shared" si="47"/>
        <v>Good</v>
      </c>
      <c r="T768" s="4">
        <f>Table1[[#This Row],[Deposit_Amount]]+Table1[[#This Row],[Withdrawal_Amount]]</f>
        <v>153995.85</v>
      </c>
      <c r="U768" t="s">
        <v>274</v>
      </c>
    </row>
    <row r="769" spans="1:21" x14ac:dyDescent="0.3">
      <c r="A769">
        <v>768</v>
      </c>
      <c r="B769" t="s">
        <v>201</v>
      </c>
      <c r="C769" t="s">
        <v>22</v>
      </c>
      <c r="D769">
        <v>68</v>
      </c>
      <c r="E769" t="s">
        <v>44</v>
      </c>
      <c r="F769" s="4">
        <v>28187.11</v>
      </c>
      <c r="G769" t="str">
        <f t="shared" si="44"/>
        <v>Low Income</v>
      </c>
      <c r="H769">
        <v>272452.24</v>
      </c>
      <c r="I769">
        <v>564</v>
      </c>
      <c r="J769" t="s">
        <v>38</v>
      </c>
      <c r="K769" t="s">
        <v>19</v>
      </c>
      <c r="L769">
        <v>-61421.38</v>
      </c>
      <c r="M769">
        <v>196091.13</v>
      </c>
      <c r="N769" t="s">
        <v>28</v>
      </c>
      <c r="O769" s="7">
        <f t="shared" ca="1" si="45"/>
        <v>45798</v>
      </c>
      <c r="P769" s="7">
        <v>45799</v>
      </c>
      <c r="Q769">
        <v>4</v>
      </c>
      <c r="R769" t="str">
        <f t="shared" si="46"/>
        <v>Midum Risk</v>
      </c>
      <c r="S769" t="str">
        <f t="shared" si="47"/>
        <v xml:space="preserve">Midum </v>
      </c>
      <c r="T769" s="4">
        <f>Table1[[#This Row],[Deposit_Amount]]+Table1[[#This Row],[Withdrawal_Amount]]</f>
        <v>300639.34999999998</v>
      </c>
      <c r="U769" t="s">
        <v>274</v>
      </c>
    </row>
    <row r="770" spans="1:21" x14ac:dyDescent="0.3">
      <c r="A770">
        <v>769</v>
      </c>
      <c r="B770" t="s">
        <v>231</v>
      </c>
      <c r="C770" t="s">
        <v>22</v>
      </c>
      <c r="D770">
        <v>48</v>
      </c>
      <c r="E770" t="s">
        <v>35</v>
      </c>
      <c r="F770" s="4">
        <v>194410.71</v>
      </c>
      <c r="G770" t="str">
        <f t="shared" ref="G770:G833" si="48">IF(F770&lt;=100000,"Low Income",IF(F770&lt;=200000,"Midum Income","High Income"))</f>
        <v>Midum Income</v>
      </c>
      <c r="H770">
        <v>281685.77</v>
      </c>
      <c r="I770">
        <v>784</v>
      </c>
      <c r="J770" t="s">
        <v>38</v>
      </c>
      <c r="K770" t="s">
        <v>19</v>
      </c>
      <c r="L770">
        <v>1165.3800000000001</v>
      </c>
      <c r="M770">
        <v>72039.94</v>
      </c>
      <c r="N770" t="s">
        <v>25</v>
      </c>
      <c r="O770" s="7">
        <f t="shared" ref="O770:O833" ca="1" si="49">RANDBETWEEN(DATE(2025,1,1),DATE(2025,12,31))</f>
        <v>45719</v>
      </c>
      <c r="P770" s="7">
        <v>45930</v>
      </c>
      <c r="Q770">
        <v>1</v>
      </c>
      <c r="R770" t="str">
        <f t="shared" ref="R770:R833" si="50">IF(I770&lt;=400,"High Risk",IF(I770&lt;=600,"Midum Risk","Low Risk"))</f>
        <v>Low Risk</v>
      </c>
      <c r="S770" t="str">
        <f t="shared" ref="S770:S833" si="51">IF(I770&lt;=400,"Poor",IF(I770&lt;=600,"Midum ","Good"))</f>
        <v>Good</v>
      </c>
      <c r="T770" s="4">
        <f>Table1[[#This Row],[Deposit_Amount]]+Table1[[#This Row],[Withdrawal_Amount]]</f>
        <v>476096.48</v>
      </c>
      <c r="U770" t="s">
        <v>274</v>
      </c>
    </row>
    <row r="771" spans="1:21" x14ac:dyDescent="0.3">
      <c r="A771">
        <v>770</v>
      </c>
      <c r="B771" t="s">
        <v>139</v>
      </c>
      <c r="C771" t="s">
        <v>22</v>
      </c>
      <c r="D771">
        <v>23</v>
      </c>
      <c r="E771" t="s">
        <v>23</v>
      </c>
      <c r="F771" s="4">
        <v>49015.17</v>
      </c>
      <c r="G771" t="str">
        <f t="shared" si="48"/>
        <v>Low Income</v>
      </c>
      <c r="H771">
        <v>67425.58</v>
      </c>
      <c r="I771">
        <v>462</v>
      </c>
      <c r="J771" t="s">
        <v>32</v>
      </c>
      <c r="K771" t="s">
        <v>19</v>
      </c>
      <c r="L771">
        <v>42667.09</v>
      </c>
      <c r="M771">
        <v>66341.399999999994</v>
      </c>
      <c r="N771" t="s">
        <v>25</v>
      </c>
      <c r="O771" s="7">
        <f t="shared" ca="1" si="49"/>
        <v>45915</v>
      </c>
      <c r="P771" s="7">
        <v>45767</v>
      </c>
      <c r="Q771">
        <v>2</v>
      </c>
      <c r="R771" t="str">
        <f t="shared" si="50"/>
        <v>Midum Risk</v>
      </c>
      <c r="S771" t="str">
        <f t="shared" si="51"/>
        <v xml:space="preserve">Midum </v>
      </c>
      <c r="T771" s="4">
        <f>Table1[[#This Row],[Deposit_Amount]]+Table1[[#This Row],[Withdrawal_Amount]]</f>
        <v>116440.75</v>
      </c>
      <c r="U771" t="s">
        <v>274</v>
      </c>
    </row>
    <row r="772" spans="1:21" x14ac:dyDescent="0.3">
      <c r="A772">
        <v>771</v>
      </c>
      <c r="B772" t="s">
        <v>127</v>
      </c>
      <c r="C772" t="s">
        <v>22</v>
      </c>
      <c r="D772">
        <v>67</v>
      </c>
      <c r="E772" t="s">
        <v>23</v>
      </c>
      <c r="F772" s="4">
        <v>437377.54</v>
      </c>
      <c r="G772" t="str">
        <f t="shared" si="48"/>
        <v>High Income</v>
      </c>
      <c r="H772">
        <v>285178.09000000003</v>
      </c>
      <c r="I772">
        <v>458</v>
      </c>
      <c r="J772" t="s">
        <v>38</v>
      </c>
      <c r="K772" t="s">
        <v>59</v>
      </c>
      <c r="L772">
        <v>202408.65</v>
      </c>
      <c r="M772">
        <v>152635.84</v>
      </c>
      <c r="N772" t="s">
        <v>25</v>
      </c>
      <c r="O772" s="7">
        <f t="shared" ca="1" si="49"/>
        <v>45802</v>
      </c>
      <c r="P772" s="7">
        <v>45997</v>
      </c>
      <c r="Q772">
        <v>5</v>
      </c>
      <c r="R772" t="str">
        <f t="shared" si="50"/>
        <v>Midum Risk</v>
      </c>
      <c r="S772" t="str">
        <f t="shared" si="51"/>
        <v xml:space="preserve">Midum </v>
      </c>
      <c r="T772" s="4">
        <f>Table1[[#This Row],[Deposit_Amount]]+Table1[[#This Row],[Withdrawal_Amount]]</f>
        <v>722555.63</v>
      </c>
      <c r="U772" t="s">
        <v>274</v>
      </c>
    </row>
    <row r="773" spans="1:21" x14ac:dyDescent="0.3">
      <c r="A773">
        <v>772</v>
      </c>
      <c r="B773" t="s">
        <v>221</v>
      </c>
      <c r="C773" t="s">
        <v>16</v>
      </c>
      <c r="D773">
        <v>31</v>
      </c>
      <c r="E773" t="s">
        <v>23</v>
      </c>
      <c r="F773" s="4">
        <v>241288.49</v>
      </c>
      <c r="G773" t="str">
        <f t="shared" si="48"/>
        <v>High Income</v>
      </c>
      <c r="H773">
        <v>100629.68</v>
      </c>
      <c r="I773">
        <v>433</v>
      </c>
      <c r="J773" t="s">
        <v>32</v>
      </c>
      <c r="K773" t="s">
        <v>24</v>
      </c>
      <c r="L773">
        <v>169209.34</v>
      </c>
      <c r="M773">
        <v>89131.5</v>
      </c>
      <c r="N773" t="s">
        <v>28</v>
      </c>
      <c r="O773" s="7">
        <f t="shared" ca="1" si="49"/>
        <v>45793</v>
      </c>
      <c r="P773" s="7">
        <v>45787</v>
      </c>
      <c r="Q773">
        <v>1</v>
      </c>
      <c r="R773" t="str">
        <f t="shared" si="50"/>
        <v>Midum Risk</v>
      </c>
      <c r="S773" t="str">
        <f t="shared" si="51"/>
        <v xml:space="preserve">Midum </v>
      </c>
      <c r="T773" s="4">
        <f>Table1[[#This Row],[Deposit_Amount]]+Table1[[#This Row],[Withdrawal_Amount]]</f>
        <v>341918.17</v>
      </c>
      <c r="U773" t="s">
        <v>274</v>
      </c>
    </row>
    <row r="774" spans="1:21" x14ac:dyDescent="0.3">
      <c r="A774">
        <v>773</v>
      </c>
      <c r="B774" t="s">
        <v>82</v>
      </c>
      <c r="C774" t="s">
        <v>22</v>
      </c>
      <c r="D774">
        <v>60</v>
      </c>
      <c r="E774" t="s">
        <v>17</v>
      </c>
      <c r="F774" s="4">
        <v>438328.47</v>
      </c>
      <c r="G774" t="str">
        <f t="shared" si="48"/>
        <v>High Income</v>
      </c>
      <c r="H774">
        <v>169011.77</v>
      </c>
      <c r="I774">
        <v>771</v>
      </c>
      <c r="J774" t="s">
        <v>41</v>
      </c>
      <c r="K774" t="s">
        <v>59</v>
      </c>
      <c r="L774">
        <v>361831.75</v>
      </c>
      <c r="M774">
        <v>177851.46</v>
      </c>
      <c r="N774" t="s">
        <v>20</v>
      </c>
      <c r="O774" s="7">
        <f t="shared" ca="1" si="49"/>
        <v>45805</v>
      </c>
      <c r="P774" s="7">
        <v>45775</v>
      </c>
      <c r="Q774">
        <v>5</v>
      </c>
      <c r="R774" t="str">
        <f t="shared" si="50"/>
        <v>Low Risk</v>
      </c>
      <c r="S774" t="str">
        <f t="shared" si="51"/>
        <v>Good</v>
      </c>
      <c r="T774" s="4">
        <f>Table1[[#This Row],[Deposit_Amount]]+Table1[[#This Row],[Withdrawal_Amount]]</f>
        <v>607340.24</v>
      </c>
      <c r="U774" t="s">
        <v>274</v>
      </c>
    </row>
    <row r="775" spans="1:21" x14ac:dyDescent="0.3">
      <c r="A775">
        <v>774</v>
      </c>
      <c r="B775" t="s">
        <v>134</v>
      </c>
      <c r="C775" t="s">
        <v>16</v>
      </c>
      <c r="D775">
        <v>26</v>
      </c>
      <c r="E775" t="s">
        <v>35</v>
      </c>
      <c r="F775" s="4">
        <v>367170.28</v>
      </c>
      <c r="G775" t="str">
        <f t="shared" si="48"/>
        <v>High Income</v>
      </c>
      <c r="H775">
        <v>207127.92</v>
      </c>
      <c r="I775">
        <v>332</v>
      </c>
      <c r="J775" t="s">
        <v>27</v>
      </c>
      <c r="K775" t="s">
        <v>42</v>
      </c>
      <c r="L775">
        <v>353885.83</v>
      </c>
      <c r="M775">
        <v>21823.61</v>
      </c>
      <c r="N775" t="s">
        <v>28</v>
      </c>
      <c r="O775" s="7">
        <f t="shared" ca="1" si="49"/>
        <v>45711</v>
      </c>
      <c r="P775" s="7">
        <v>45854</v>
      </c>
      <c r="Q775">
        <v>3</v>
      </c>
      <c r="R775" t="str">
        <f t="shared" si="50"/>
        <v>High Risk</v>
      </c>
      <c r="S775" t="str">
        <f t="shared" si="51"/>
        <v>Poor</v>
      </c>
      <c r="T775" s="4">
        <f>Table1[[#This Row],[Deposit_Amount]]+Table1[[#This Row],[Withdrawal_Amount]]</f>
        <v>574298.20000000007</v>
      </c>
      <c r="U775" t="s">
        <v>274</v>
      </c>
    </row>
    <row r="776" spans="1:21" x14ac:dyDescent="0.3">
      <c r="A776">
        <v>775</v>
      </c>
      <c r="B776" t="s">
        <v>125</v>
      </c>
      <c r="C776" t="s">
        <v>16</v>
      </c>
      <c r="D776">
        <v>35</v>
      </c>
      <c r="E776" t="s">
        <v>35</v>
      </c>
      <c r="F776" s="4">
        <v>134247.24</v>
      </c>
      <c r="G776" t="str">
        <f t="shared" si="48"/>
        <v>Midum Income</v>
      </c>
      <c r="H776">
        <v>87105.8</v>
      </c>
      <c r="I776">
        <v>488</v>
      </c>
      <c r="J776" t="s">
        <v>27</v>
      </c>
      <c r="K776" t="s">
        <v>59</v>
      </c>
      <c r="L776">
        <v>220792.86</v>
      </c>
      <c r="M776">
        <v>159286.51999999999</v>
      </c>
      <c r="N776" t="s">
        <v>25</v>
      </c>
      <c r="O776" s="7">
        <f t="shared" ca="1" si="49"/>
        <v>45943</v>
      </c>
      <c r="P776" s="7">
        <v>45933</v>
      </c>
      <c r="Q776">
        <v>5</v>
      </c>
      <c r="R776" t="str">
        <f t="shared" si="50"/>
        <v>Midum Risk</v>
      </c>
      <c r="S776" t="str">
        <f t="shared" si="51"/>
        <v xml:space="preserve">Midum </v>
      </c>
      <c r="T776" s="4">
        <f>Table1[[#This Row],[Deposit_Amount]]+Table1[[#This Row],[Withdrawal_Amount]]</f>
        <v>221353.03999999998</v>
      </c>
      <c r="U776" t="s">
        <v>274</v>
      </c>
    </row>
    <row r="777" spans="1:21" x14ac:dyDescent="0.3">
      <c r="A777">
        <v>776</v>
      </c>
      <c r="B777" t="s">
        <v>67</v>
      </c>
      <c r="C777" t="s">
        <v>16</v>
      </c>
      <c r="D777">
        <v>52</v>
      </c>
      <c r="E777" t="s">
        <v>40</v>
      </c>
      <c r="F777" s="4">
        <v>78083.91</v>
      </c>
      <c r="G777" t="str">
        <f t="shared" si="48"/>
        <v>Low Income</v>
      </c>
      <c r="H777">
        <v>54740.68</v>
      </c>
      <c r="I777">
        <v>782</v>
      </c>
      <c r="J777" t="s">
        <v>18</v>
      </c>
      <c r="K777" t="s">
        <v>24</v>
      </c>
      <c r="L777">
        <v>37467.56</v>
      </c>
      <c r="M777">
        <v>187871.43</v>
      </c>
      <c r="N777" t="s">
        <v>28</v>
      </c>
      <c r="O777" s="7">
        <f t="shared" ca="1" si="49"/>
        <v>45777</v>
      </c>
      <c r="P777" s="7">
        <v>45994</v>
      </c>
      <c r="Q777">
        <v>5</v>
      </c>
      <c r="R777" t="str">
        <f t="shared" si="50"/>
        <v>Low Risk</v>
      </c>
      <c r="S777" t="str">
        <f t="shared" si="51"/>
        <v>Good</v>
      </c>
      <c r="T777" s="4">
        <f>Table1[[#This Row],[Deposit_Amount]]+Table1[[#This Row],[Withdrawal_Amount]]</f>
        <v>132824.59</v>
      </c>
      <c r="U777" t="s">
        <v>274</v>
      </c>
    </row>
    <row r="778" spans="1:21" x14ac:dyDescent="0.3">
      <c r="A778">
        <v>777</v>
      </c>
      <c r="B778" t="s">
        <v>159</v>
      </c>
      <c r="C778" t="s">
        <v>22</v>
      </c>
      <c r="D778">
        <v>55</v>
      </c>
      <c r="E778" t="s">
        <v>44</v>
      </c>
      <c r="F778" s="4">
        <v>398265.7</v>
      </c>
      <c r="G778" t="str">
        <f t="shared" si="48"/>
        <v>High Income</v>
      </c>
      <c r="H778">
        <v>89480.43</v>
      </c>
      <c r="I778">
        <v>706</v>
      </c>
      <c r="J778" t="s">
        <v>18</v>
      </c>
      <c r="K778" t="s">
        <v>36</v>
      </c>
      <c r="L778">
        <v>431946.04</v>
      </c>
      <c r="M778">
        <v>182037.37</v>
      </c>
      <c r="N778" t="s">
        <v>20</v>
      </c>
      <c r="O778" s="7">
        <f t="shared" ca="1" si="49"/>
        <v>45693</v>
      </c>
      <c r="P778" s="7">
        <v>45715</v>
      </c>
      <c r="Q778">
        <v>5</v>
      </c>
      <c r="R778" t="str">
        <f t="shared" si="50"/>
        <v>Low Risk</v>
      </c>
      <c r="S778" t="str">
        <f t="shared" si="51"/>
        <v>Good</v>
      </c>
      <c r="T778" s="4">
        <f>Table1[[#This Row],[Deposit_Amount]]+Table1[[#This Row],[Withdrawal_Amount]]</f>
        <v>487746.13</v>
      </c>
      <c r="U778" t="s">
        <v>274</v>
      </c>
    </row>
    <row r="779" spans="1:21" x14ac:dyDescent="0.3">
      <c r="A779">
        <v>778</v>
      </c>
      <c r="B779" t="s">
        <v>122</v>
      </c>
      <c r="C779" t="s">
        <v>16</v>
      </c>
      <c r="D779">
        <v>30</v>
      </c>
      <c r="E779" t="s">
        <v>44</v>
      </c>
      <c r="F779" s="4">
        <v>272136.78000000003</v>
      </c>
      <c r="G779" t="str">
        <f t="shared" si="48"/>
        <v>High Income</v>
      </c>
      <c r="H779">
        <v>123033.81</v>
      </c>
      <c r="I779">
        <v>783</v>
      </c>
      <c r="J779" t="s">
        <v>38</v>
      </c>
      <c r="K779" t="s">
        <v>24</v>
      </c>
      <c r="L779">
        <v>187132.85</v>
      </c>
      <c r="M779">
        <v>215595.48</v>
      </c>
      <c r="N779" t="s">
        <v>25</v>
      </c>
      <c r="O779" s="7">
        <f t="shared" ca="1" si="49"/>
        <v>45713</v>
      </c>
      <c r="P779" s="7">
        <v>45719</v>
      </c>
      <c r="Q779">
        <v>4</v>
      </c>
      <c r="R779" t="str">
        <f t="shared" si="50"/>
        <v>Low Risk</v>
      </c>
      <c r="S779" t="str">
        <f t="shared" si="51"/>
        <v>Good</v>
      </c>
      <c r="T779" s="4">
        <f>Table1[[#This Row],[Deposit_Amount]]+Table1[[#This Row],[Withdrawal_Amount]]</f>
        <v>395170.59</v>
      </c>
      <c r="U779" t="s">
        <v>274</v>
      </c>
    </row>
    <row r="780" spans="1:21" x14ac:dyDescent="0.3">
      <c r="A780">
        <v>779</v>
      </c>
      <c r="B780" t="s">
        <v>204</v>
      </c>
      <c r="C780" t="s">
        <v>16</v>
      </c>
      <c r="D780">
        <v>45</v>
      </c>
      <c r="E780" t="s">
        <v>44</v>
      </c>
      <c r="F780" s="4">
        <v>226032.89</v>
      </c>
      <c r="G780" t="str">
        <f t="shared" si="48"/>
        <v>High Income</v>
      </c>
      <c r="H780">
        <v>157844.74</v>
      </c>
      <c r="I780">
        <v>603</v>
      </c>
      <c r="J780" t="s">
        <v>38</v>
      </c>
      <c r="K780" t="s">
        <v>36</v>
      </c>
      <c r="L780">
        <v>158307.28</v>
      </c>
      <c r="M780">
        <v>146394.34</v>
      </c>
      <c r="N780" t="s">
        <v>28</v>
      </c>
      <c r="O780" s="7">
        <f t="shared" ca="1" si="49"/>
        <v>45900</v>
      </c>
      <c r="P780" s="7">
        <v>45920</v>
      </c>
      <c r="Q780">
        <v>2</v>
      </c>
      <c r="R780" t="str">
        <f t="shared" si="50"/>
        <v>Low Risk</v>
      </c>
      <c r="S780" t="str">
        <f t="shared" si="51"/>
        <v>Good</v>
      </c>
      <c r="T780" s="4">
        <f>Table1[[#This Row],[Deposit_Amount]]+Table1[[#This Row],[Withdrawal_Amount]]</f>
        <v>383877.63</v>
      </c>
      <c r="U780" t="s">
        <v>274</v>
      </c>
    </row>
    <row r="781" spans="1:21" x14ac:dyDescent="0.3">
      <c r="A781">
        <v>780</v>
      </c>
      <c r="B781" t="s">
        <v>187</v>
      </c>
      <c r="C781" t="s">
        <v>16</v>
      </c>
      <c r="D781">
        <v>33</v>
      </c>
      <c r="E781" t="s">
        <v>35</v>
      </c>
      <c r="F781" s="4">
        <v>12763.64</v>
      </c>
      <c r="G781" t="str">
        <f t="shared" si="48"/>
        <v>Low Income</v>
      </c>
      <c r="H781">
        <v>25934.2</v>
      </c>
      <c r="I781">
        <v>318</v>
      </c>
      <c r="J781" t="s">
        <v>32</v>
      </c>
      <c r="K781" t="s">
        <v>19</v>
      </c>
      <c r="L781">
        <v>82005.34</v>
      </c>
      <c r="M781">
        <v>17605.03</v>
      </c>
      <c r="N781" t="s">
        <v>25</v>
      </c>
      <c r="O781" s="7">
        <f t="shared" ca="1" si="49"/>
        <v>45850</v>
      </c>
      <c r="P781" s="7">
        <v>45811</v>
      </c>
      <c r="Q781">
        <v>1</v>
      </c>
      <c r="R781" t="str">
        <f t="shared" si="50"/>
        <v>High Risk</v>
      </c>
      <c r="S781" t="str">
        <f t="shared" si="51"/>
        <v>Poor</v>
      </c>
      <c r="T781" s="4">
        <f>Table1[[#This Row],[Deposit_Amount]]+Table1[[#This Row],[Withdrawal_Amount]]</f>
        <v>38697.839999999997</v>
      </c>
      <c r="U781" t="s">
        <v>274</v>
      </c>
    </row>
    <row r="782" spans="1:21" x14ac:dyDescent="0.3">
      <c r="A782">
        <v>781</v>
      </c>
      <c r="B782" t="s">
        <v>102</v>
      </c>
      <c r="C782" t="s">
        <v>22</v>
      </c>
      <c r="D782">
        <v>48</v>
      </c>
      <c r="E782" t="s">
        <v>17</v>
      </c>
      <c r="F782" s="4">
        <v>376286.53</v>
      </c>
      <c r="G782" t="str">
        <f t="shared" si="48"/>
        <v>High Income</v>
      </c>
      <c r="H782">
        <v>268072.11</v>
      </c>
      <c r="I782">
        <v>374</v>
      </c>
      <c r="J782" t="s">
        <v>27</v>
      </c>
      <c r="K782" t="s">
        <v>42</v>
      </c>
      <c r="L782">
        <v>287073.14</v>
      </c>
      <c r="M782">
        <v>155382.46</v>
      </c>
      <c r="N782" t="s">
        <v>25</v>
      </c>
      <c r="O782" s="7">
        <f t="shared" ca="1" si="49"/>
        <v>45756</v>
      </c>
      <c r="P782" s="7">
        <v>45932</v>
      </c>
      <c r="Q782">
        <v>5</v>
      </c>
      <c r="R782" t="str">
        <f t="shared" si="50"/>
        <v>High Risk</v>
      </c>
      <c r="S782" t="str">
        <f t="shared" si="51"/>
        <v>Poor</v>
      </c>
      <c r="T782" s="4">
        <f>Table1[[#This Row],[Deposit_Amount]]+Table1[[#This Row],[Withdrawal_Amount]]</f>
        <v>644358.64</v>
      </c>
      <c r="U782" t="s">
        <v>274</v>
      </c>
    </row>
    <row r="783" spans="1:21" x14ac:dyDescent="0.3">
      <c r="A783">
        <v>782</v>
      </c>
      <c r="B783" t="s">
        <v>140</v>
      </c>
      <c r="C783" t="s">
        <v>22</v>
      </c>
      <c r="D783">
        <v>35</v>
      </c>
      <c r="E783" t="s">
        <v>40</v>
      </c>
      <c r="F783" s="4">
        <v>337820.6</v>
      </c>
      <c r="G783" t="str">
        <f t="shared" si="48"/>
        <v>High Income</v>
      </c>
      <c r="H783">
        <v>193960.88</v>
      </c>
      <c r="I783">
        <v>604</v>
      </c>
      <c r="J783" t="s">
        <v>38</v>
      </c>
      <c r="K783" t="s">
        <v>19</v>
      </c>
      <c r="L783">
        <v>295002.19</v>
      </c>
      <c r="M783">
        <v>202553.92</v>
      </c>
      <c r="N783" t="s">
        <v>20</v>
      </c>
      <c r="O783" s="7">
        <f t="shared" ca="1" si="49"/>
        <v>45898</v>
      </c>
      <c r="P783" s="7">
        <v>45845</v>
      </c>
      <c r="Q783">
        <v>1</v>
      </c>
      <c r="R783" t="str">
        <f t="shared" si="50"/>
        <v>Low Risk</v>
      </c>
      <c r="S783" t="str">
        <f t="shared" si="51"/>
        <v>Good</v>
      </c>
      <c r="T783" s="4">
        <f>Table1[[#This Row],[Deposit_Amount]]+Table1[[#This Row],[Withdrawal_Amount]]</f>
        <v>531781.48</v>
      </c>
      <c r="U783" t="s">
        <v>274</v>
      </c>
    </row>
    <row r="784" spans="1:21" x14ac:dyDescent="0.3">
      <c r="A784">
        <v>783</v>
      </c>
      <c r="B784" t="s">
        <v>138</v>
      </c>
      <c r="C784" t="s">
        <v>22</v>
      </c>
      <c r="D784">
        <v>31</v>
      </c>
      <c r="E784" t="s">
        <v>17</v>
      </c>
      <c r="F784" s="4">
        <v>432104.49</v>
      </c>
      <c r="G784" t="str">
        <f t="shared" si="48"/>
        <v>High Income</v>
      </c>
      <c r="H784">
        <v>110452.76</v>
      </c>
      <c r="I784">
        <v>758</v>
      </c>
      <c r="J784" t="s">
        <v>27</v>
      </c>
      <c r="K784" t="s">
        <v>59</v>
      </c>
      <c r="L784">
        <v>357515.89</v>
      </c>
      <c r="M784">
        <v>236053.97</v>
      </c>
      <c r="N784" t="s">
        <v>28</v>
      </c>
      <c r="O784" s="7">
        <f t="shared" ca="1" si="49"/>
        <v>45945</v>
      </c>
      <c r="P784" s="7">
        <v>45916</v>
      </c>
      <c r="Q784">
        <v>5</v>
      </c>
      <c r="R784" t="str">
        <f t="shared" si="50"/>
        <v>Low Risk</v>
      </c>
      <c r="S784" t="str">
        <f t="shared" si="51"/>
        <v>Good</v>
      </c>
      <c r="T784" s="4">
        <f>Table1[[#This Row],[Deposit_Amount]]+Table1[[#This Row],[Withdrawal_Amount]]</f>
        <v>542557.25</v>
      </c>
      <c r="U784" t="s">
        <v>274</v>
      </c>
    </row>
    <row r="785" spans="1:21" x14ac:dyDescent="0.3">
      <c r="A785">
        <v>784</v>
      </c>
      <c r="B785" t="s">
        <v>196</v>
      </c>
      <c r="C785" t="s">
        <v>22</v>
      </c>
      <c r="D785">
        <v>59</v>
      </c>
      <c r="E785" t="s">
        <v>23</v>
      </c>
      <c r="F785" s="4">
        <v>104771.74</v>
      </c>
      <c r="G785" t="str">
        <f t="shared" si="48"/>
        <v>Midum Income</v>
      </c>
      <c r="H785">
        <v>5224.63</v>
      </c>
      <c r="I785">
        <v>722</v>
      </c>
      <c r="J785" t="s">
        <v>18</v>
      </c>
      <c r="K785" t="s">
        <v>42</v>
      </c>
      <c r="L785">
        <v>148457.38</v>
      </c>
      <c r="M785">
        <v>151790.99</v>
      </c>
      <c r="N785" t="s">
        <v>25</v>
      </c>
      <c r="O785" s="7">
        <f t="shared" ca="1" si="49"/>
        <v>45813</v>
      </c>
      <c r="P785" s="7">
        <v>45707</v>
      </c>
      <c r="Q785">
        <v>4</v>
      </c>
      <c r="R785" t="str">
        <f t="shared" si="50"/>
        <v>Low Risk</v>
      </c>
      <c r="S785" t="str">
        <f t="shared" si="51"/>
        <v>Good</v>
      </c>
      <c r="T785" s="4">
        <f>Table1[[#This Row],[Deposit_Amount]]+Table1[[#This Row],[Withdrawal_Amount]]</f>
        <v>109996.37000000001</v>
      </c>
      <c r="U785" t="s">
        <v>274</v>
      </c>
    </row>
    <row r="786" spans="1:21" x14ac:dyDescent="0.3">
      <c r="A786">
        <v>785</v>
      </c>
      <c r="B786" t="s">
        <v>221</v>
      </c>
      <c r="C786" t="s">
        <v>16</v>
      </c>
      <c r="D786">
        <v>67</v>
      </c>
      <c r="E786" t="s">
        <v>44</v>
      </c>
      <c r="F786" s="4">
        <v>34216.44</v>
      </c>
      <c r="G786" t="str">
        <f t="shared" si="48"/>
        <v>Low Income</v>
      </c>
      <c r="H786">
        <v>232194.18</v>
      </c>
      <c r="I786">
        <v>839</v>
      </c>
      <c r="J786" t="s">
        <v>41</v>
      </c>
      <c r="K786" t="s">
        <v>24</v>
      </c>
      <c r="L786">
        <v>-57544.32</v>
      </c>
      <c r="M786">
        <v>61023.71</v>
      </c>
      <c r="N786" t="s">
        <v>20</v>
      </c>
      <c r="O786" s="7">
        <f t="shared" ca="1" si="49"/>
        <v>45800</v>
      </c>
      <c r="P786" s="7">
        <v>45847</v>
      </c>
      <c r="Q786">
        <v>1</v>
      </c>
      <c r="R786" t="str">
        <f t="shared" si="50"/>
        <v>Low Risk</v>
      </c>
      <c r="S786" t="str">
        <f t="shared" si="51"/>
        <v>Good</v>
      </c>
      <c r="T786" s="4">
        <f>Table1[[#This Row],[Deposit_Amount]]+Table1[[#This Row],[Withdrawal_Amount]]</f>
        <v>266410.62</v>
      </c>
      <c r="U786" t="s">
        <v>274</v>
      </c>
    </row>
    <row r="787" spans="1:21" x14ac:dyDescent="0.3">
      <c r="A787">
        <v>786</v>
      </c>
      <c r="B787" t="s">
        <v>66</v>
      </c>
      <c r="C787" t="s">
        <v>16</v>
      </c>
      <c r="D787">
        <v>40</v>
      </c>
      <c r="E787" t="s">
        <v>40</v>
      </c>
      <c r="F787" s="4">
        <v>250408.52</v>
      </c>
      <c r="G787" t="str">
        <f t="shared" si="48"/>
        <v>High Income</v>
      </c>
      <c r="H787">
        <v>209285.87</v>
      </c>
      <c r="I787">
        <v>313</v>
      </c>
      <c r="J787" t="s">
        <v>38</v>
      </c>
      <c r="K787" t="s">
        <v>36</v>
      </c>
      <c r="L787">
        <v>65891.070000000007</v>
      </c>
      <c r="M787">
        <v>136636.72</v>
      </c>
      <c r="N787" t="s">
        <v>25</v>
      </c>
      <c r="O787" s="7">
        <f t="shared" ca="1" si="49"/>
        <v>45878</v>
      </c>
      <c r="P787" s="7">
        <v>45743</v>
      </c>
      <c r="Q787">
        <v>2</v>
      </c>
      <c r="R787" t="str">
        <f t="shared" si="50"/>
        <v>High Risk</v>
      </c>
      <c r="S787" t="str">
        <f t="shared" si="51"/>
        <v>Poor</v>
      </c>
      <c r="T787" s="4">
        <f>Table1[[#This Row],[Deposit_Amount]]+Table1[[#This Row],[Withdrawal_Amount]]</f>
        <v>459694.39</v>
      </c>
      <c r="U787" t="s">
        <v>274</v>
      </c>
    </row>
    <row r="788" spans="1:21" x14ac:dyDescent="0.3">
      <c r="A788">
        <v>787</v>
      </c>
      <c r="B788" t="s">
        <v>232</v>
      </c>
      <c r="C788" t="s">
        <v>16</v>
      </c>
      <c r="D788">
        <v>56</v>
      </c>
      <c r="E788" t="s">
        <v>31</v>
      </c>
      <c r="F788" s="4">
        <v>122082.21</v>
      </c>
      <c r="G788" t="str">
        <f t="shared" si="48"/>
        <v>Midum Income</v>
      </c>
      <c r="H788">
        <v>99591.53</v>
      </c>
      <c r="I788">
        <v>716</v>
      </c>
      <c r="J788" t="s">
        <v>41</v>
      </c>
      <c r="K788" t="s">
        <v>36</v>
      </c>
      <c r="L788">
        <v>152914.06</v>
      </c>
      <c r="M788">
        <v>99355.11</v>
      </c>
      <c r="N788" t="s">
        <v>28</v>
      </c>
      <c r="O788" s="7">
        <f t="shared" ca="1" si="49"/>
        <v>45693</v>
      </c>
      <c r="P788" s="7">
        <v>45846</v>
      </c>
      <c r="Q788">
        <v>4</v>
      </c>
      <c r="R788" t="str">
        <f t="shared" si="50"/>
        <v>Low Risk</v>
      </c>
      <c r="S788" t="str">
        <f t="shared" si="51"/>
        <v>Good</v>
      </c>
      <c r="T788" s="4">
        <f>Table1[[#This Row],[Deposit_Amount]]+Table1[[#This Row],[Withdrawal_Amount]]</f>
        <v>221673.74</v>
      </c>
      <c r="U788" t="s">
        <v>274</v>
      </c>
    </row>
    <row r="789" spans="1:21" x14ac:dyDescent="0.3">
      <c r="A789">
        <v>788</v>
      </c>
      <c r="B789" t="s">
        <v>150</v>
      </c>
      <c r="C789" t="s">
        <v>16</v>
      </c>
      <c r="D789">
        <v>36</v>
      </c>
      <c r="E789" t="s">
        <v>40</v>
      </c>
      <c r="F789" s="4">
        <v>53680.82</v>
      </c>
      <c r="G789" t="str">
        <f t="shared" si="48"/>
        <v>Low Income</v>
      </c>
      <c r="H789">
        <v>110076.59</v>
      </c>
      <c r="I789">
        <v>543</v>
      </c>
      <c r="J789" t="s">
        <v>41</v>
      </c>
      <c r="K789" t="s">
        <v>42</v>
      </c>
      <c r="L789">
        <v>-39882.97</v>
      </c>
      <c r="M789">
        <v>110608.75</v>
      </c>
      <c r="N789" t="s">
        <v>20</v>
      </c>
      <c r="O789" s="7">
        <f t="shared" ca="1" si="49"/>
        <v>46006</v>
      </c>
      <c r="P789" s="7">
        <v>45815</v>
      </c>
      <c r="Q789">
        <v>1</v>
      </c>
      <c r="R789" t="str">
        <f t="shared" si="50"/>
        <v>Midum Risk</v>
      </c>
      <c r="S789" t="str">
        <f t="shared" si="51"/>
        <v xml:space="preserve">Midum </v>
      </c>
      <c r="T789" s="4">
        <f>Table1[[#This Row],[Deposit_Amount]]+Table1[[#This Row],[Withdrawal_Amount]]</f>
        <v>163757.41</v>
      </c>
      <c r="U789" t="s">
        <v>274</v>
      </c>
    </row>
    <row r="790" spans="1:21" x14ac:dyDescent="0.3">
      <c r="A790">
        <v>789</v>
      </c>
      <c r="B790" t="s">
        <v>157</v>
      </c>
      <c r="C790" t="s">
        <v>22</v>
      </c>
      <c r="D790">
        <v>21</v>
      </c>
      <c r="E790" t="s">
        <v>23</v>
      </c>
      <c r="F790" s="4">
        <v>180627.65</v>
      </c>
      <c r="G790" t="str">
        <f t="shared" si="48"/>
        <v>Midum Income</v>
      </c>
      <c r="H790">
        <v>163607.76</v>
      </c>
      <c r="I790">
        <v>354</v>
      </c>
      <c r="J790" t="s">
        <v>32</v>
      </c>
      <c r="K790" t="s">
        <v>59</v>
      </c>
      <c r="L790">
        <v>142223.45000000001</v>
      </c>
      <c r="M790">
        <v>150606.97</v>
      </c>
      <c r="N790" t="s">
        <v>25</v>
      </c>
      <c r="O790" s="7">
        <f t="shared" ca="1" si="49"/>
        <v>46011</v>
      </c>
      <c r="P790" s="7">
        <v>45707</v>
      </c>
      <c r="Q790">
        <v>2</v>
      </c>
      <c r="R790" t="str">
        <f t="shared" si="50"/>
        <v>High Risk</v>
      </c>
      <c r="S790" t="str">
        <f t="shared" si="51"/>
        <v>Poor</v>
      </c>
      <c r="T790" s="4">
        <f>Table1[[#This Row],[Deposit_Amount]]+Table1[[#This Row],[Withdrawal_Amount]]</f>
        <v>344235.41000000003</v>
      </c>
      <c r="U790" t="s">
        <v>274</v>
      </c>
    </row>
    <row r="791" spans="1:21" x14ac:dyDescent="0.3">
      <c r="A791">
        <v>790</v>
      </c>
      <c r="B791" t="s">
        <v>224</v>
      </c>
      <c r="C791" t="s">
        <v>22</v>
      </c>
      <c r="D791">
        <v>27</v>
      </c>
      <c r="E791" t="s">
        <v>31</v>
      </c>
      <c r="F791" s="4">
        <v>10363.43</v>
      </c>
      <c r="G791" t="str">
        <f t="shared" si="48"/>
        <v>Low Income</v>
      </c>
      <c r="H791">
        <v>270565.02</v>
      </c>
      <c r="I791">
        <v>692</v>
      </c>
      <c r="J791" t="s">
        <v>41</v>
      </c>
      <c r="K791" t="s">
        <v>59</v>
      </c>
      <c r="L791">
        <v>-80770.61</v>
      </c>
      <c r="M791">
        <v>200431.76</v>
      </c>
      <c r="N791" t="s">
        <v>28</v>
      </c>
      <c r="O791" s="7">
        <f t="shared" ca="1" si="49"/>
        <v>45833</v>
      </c>
      <c r="P791" s="7">
        <v>45688</v>
      </c>
      <c r="Q791">
        <v>4</v>
      </c>
      <c r="R791" t="str">
        <f t="shared" si="50"/>
        <v>Low Risk</v>
      </c>
      <c r="S791" t="str">
        <f t="shared" si="51"/>
        <v>Good</v>
      </c>
      <c r="T791" s="4">
        <f>Table1[[#This Row],[Deposit_Amount]]+Table1[[#This Row],[Withdrawal_Amount]]</f>
        <v>280928.45</v>
      </c>
      <c r="U791" t="s">
        <v>274</v>
      </c>
    </row>
    <row r="792" spans="1:21" x14ac:dyDescent="0.3">
      <c r="A792">
        <v>791</v>
      </c>
      <c r="B792" t="s">
        <v>85</v>
      </c>
      <c r="C792" t="s">
        <v>16</v>
      </c>
      <c r="D792">
        <v>56</v>
      </c>
      <c r="E792" t="s">
        <v>44</v>
      </c>
      <c r="F792" s="4">
        <v>306309.03000000003</v>
      </c>
      <c r="G792" t="str">
        <f t="shared" si="48"/>
        <v>High Income</v>
      </c>
      <c r="H792">
        <v>162424.87</v>
      </c>
      <c r="I792">
        <v>897</v>
      </c>
      <c r="J792" t="s">
        <v>32</v>
      </c>
      <c r="K792" t="s">
        <v>59</v>
      </c>
      <c r="L792">
        <v>247597.21</v>
      </c>
      <c r="M792">
        <v>140113.20000000001</v>
      </c>
      <c r="N792" t="s">
        <v>25</v>
      </c>
      <c r="O792" s="7">
        <f t="shared" ca="1" si="49"/>
        <v>45984</v>
      </c>
      <c r="P792" s="7">
        <v>45884</v>
      </c>
      <c r="Q792">
        <v>2</v>
      </c>
      <c r="R792" t="str">
        <f t="shared" si="50"/>
        <v>Low Risk</v>
      </c>
      <c r="S792" t="str">
        <f t="shared" si="51"/>
        <v>Good</v>
      </c>
      <c r="T792" s="4">
        <f>Table1[[#This Row],[Deposit_Amount]]+Table1[[#This Row],[Withdrawal_Amount]]</f>
        <v>468733.9</v>
      </c>
      <c r="U792" t="s">
        <v>274</v>
      </c>
    </row>
    <row r="793" spans="1:21" x14ac:dyDescent="0.3">
      <c r="A793">
        <v>792</v>
      </c>
      <c r="B793" t="s">
        <v>49</v>
      </c>
      <c r="C793" t="s">
        <v>22</v>
      </c>
      <c r="D793">
        <v>50</v>
      </c>
      <c r="E793" t="s">
        <v>35</v>
      </c>
      <c r="F793" s="4">
        <v>222496.27</v>
      </c>
      <c r="G793" t="str">
        <f t="shared" si="48"/>
        <v>High Income</v>
      </c>
      <c r="H793">
        <v>263759.14</v>
      </c>
      <c r="I793">
        <v>622</v>
      </c>
      <c r="J793" t="s">
        <v>41</v>
      </c>
      <c r="K793" t="s">
        <v>24</v>
      </c>
      <c r="L793">
        <v>38036.449999999997</v>
      </c>
      <c r="M793">
        <v>224848.41</v>
      </c>
      <c r="N793" t="s">
        <v>25</v>
      </c>
      <c r="O793" s="7">
        <f t="shared" ca="1" si="49"/>
        <v>45797</v>
      </c>
      <c r="P793" s="7">
        <v>45965</v>
      </c>
      <c r="Q793">
        <v>1</v>
      </c>
      <c r="R793" t="str">
        <f t="shared" si="50"/>
        <v>Low Risk</v>
      </c>
      <c r="S793" t="str">
        <f t="shared" si="51"/>
        <v>Good</v>
      </c>
      <c r="T793" s="4">
        <f>Table1[[#This Row],[Deposit_Amount]]+Table1[[#This Row],[Withdrawal_Amount]]</f>
        <v>486255.41000000003</v>
      </c>
      <c r="U793" t="s">
        <v>274</v>
      </c>
    </row>
    <row r="794" spans="1:21" x14ac:dyDescent="0.3">
      <c r="A794">
        <v>793</v>
      </c>
      <c r="B794" t="s">
        <v>96</v>
      </c>
      <c r="C794" t="s">
        <v>22</v>
      </c>
      <c r="D794">
        <v>46</v>
      </c>
      <c r="E794" t="s">
        <v>17</v>
      </c>
      <c r="F794" s="4">
        <v>123965.97</v>
      </c>
      <c r="G794" t="str">
        <f t="shared" si="48"/>
        <v>Midum Income</v>
      </c>
      <c r="H794">
        <v>290357.95</v>
      </c>
      <c r="I794">
        <v>644</v>
      </c>
      <c r="J794" t="s">
        <v>18</v>
      </c>
      <c r="K794" t="s">
        <v>19</v>
      </c>
      <c r="L794">
        <v>-34419.9</v>
      </c>
      <c r="M794">
        <v>119315.85</v>
      </c>
      <c r="N794" t="s">
        <v>25</v>
      </c>
      <c r="O794" s="7">
        <f t="shared" ca="1" si="49"/>
        <v>45850</v>
      </c>
      <c r="P794" s="7">
        <v>45771</v>
      </c>
      <c r="Q794">
        <v>1</v>
      </c>
      <c r="R794" t="str">
        <f t="shared" si="50"/>
        <v>Low Risk</v>
      </c>
      <c r="S794" t="str">
        <f t="shared" si="51"/>
        <v>Good</v>
      </c>
      <c r="T794" s="4">
        <f>Table1[[#This Row],[Deposit_Amount]]+Table1[[#This Row],[Withdrawal_Amount]]</f>
        <v>414323.92000000004</v>
      </c>
      <c r="U794" t="s">
        <v>274</v>
      </c>
    </row>
    <row r="795" spans="1:21" x14ac:dyDescent="0.3">
      <c r="A795">
        <v>794</v>
      </c>
      <c r="B795" t="s">
        <v>81</v>
      </c>
      <c r="C795" t="s">
        <v>22</v>
      </c>
      <c r="D795">
        <v>52</v>
      </c>
      <c r="E795" t="s">
        <v>17</v>
      </c>
      <c r="F795" s="4">
        <v>245225.67</v>
      </c>
      <c r="G795" t="str">
        <f t="shared" si="48"/>
        <v>High Income</v>
      </c>
      <c r="H795">
        <v>132501.59</v>
      </c>
      <c r="I795">
        <v>483</v>
      </c>
      <c r="J795" t="s">
        <v>18</v>
      </c>
      <c r="K795" t="s">
        <v>42</v>
      </c>
      <c r="L795">
        <v>203780.3</v>
      </c>
      <c r="M795">
        <v>198188.16</v>
      </c>
      <c r="N795" t="s">
        <v>20</v>
      </c>
      <c r="O795" s="7">
        <f t="shared" ca="1" si="49"/>
        <v>45971</v>
      </c>
      <c r="P795" s="7">
        <v>45747</v>
      </c>
      <c r="Q795">
        <v>2</v>
      </c>
      <c r="R795" t="str">
        <f t="shared" si="50"/>
        <v>Midum Risk</v>
      </c>
      <c r="S795" t="str">
        <f t="shared" si="51"/>
        <v xml:space="preserve">Midum </v>
      </c>
      <c r="T795" s="4">
        <f>Table1[[#This Row],[Deposit_Amount]]+Table1[[#This Row],[Withdrawal_Amount]]</f>
        <v>377727.26</v>
      </c>
      <c r="U795" t="s">
        <v>274</v>
      </c>
    </row>
    <row r="796" spans="1:21" x14ac:dyDescent="0.3">
      <c r="A796">
        <v>795</v>
      </c>
      <c r="B796" t="s">
        <v>213</v>
      </c>
      <c r="C796" t="s">
        <v>16</v>
      </c>
      <c r="D796">
        <v>29</v>
      </c>
      <c r="E796" t="s">
        <v>23</v>
      </c>
      <c r="F796" s="4">
        <v>4141.46</v>
      </c>
      <c r="G796" t="str">
        <f t="shared" si="48"/>
        <v>Low Income</v>
      </c>
      <c r="H796">
        <v>20835.509999999998</v>
      </c>
      <c r="I796">
        <v>470</v>
      </c>
      <c r="J796" t="s">
        <v>38</v>
      </c>
      <c r="K796" t="s">
        <v>36</v>
      </c>
      <c r="L796">
        <v>94142.71</v>
      </c>
      <c r="M796">
        <v>166293.71</v>
      </c>
      <c r="N796" t="s">
        <v>28</v>
      </c>
      <c r="O796" s="7">
        <f t="shared" ca="1" si="49"/>
        <v>45848</v>
      </c>
      <c r="P796" s="7">
        <v>45668</v>
      </c>
      <c r="Q796">
        <v>1</v>
      </c>
      <c r="R796" t="str">
        <f t="shared" si="50"/>
        <v>Midum Risk</v>
      </c>
      <c r="S796" t="str">
        <f t="shared" si="51"/>
        <v xml:space="preserve">Midum </v>
      </c>
      <c r="T796" s="4">
        <f>Table1[[#This Row],[Deposit_Amount]]+Table1[[#This Row],[Withdrawal_Amount]]</f>
        <v>24976.969999999998</v>
      </c>
      <c r="U796" t="s">
        <v>274</v>
      </c>
    </row>
    <row r="797" spans="1:21" x14ac:dyDescent="0.3">
      <c r="A797">
        <v>796</v>
      </c>
      <c r="B797" t="s">
        <v>105</v>
      </c>
      <c r="C797" t="s">
        <v>22</v>
      </c>
      <c r="D797">
        <v>22</v>
      </c>
      <c r="E797" t="s">
        <v>40</v>
      </c>
      <c r="F797" s="4">
        <v>264102.03999999998</v>
      </c>
      <c r="G797" t="str">
        <f t="shared" si="48"/>
        <v>High Income</v>
      </c>
      <c r="H797">
        <v>280797.25</v>
      </c>
      <c r="I797">
        <v>657</v>
      </c>
      <c r="J797" t="s">
        <v>38</v>
      </c>
      <c r="K797" t="s">
        <v>42</v>
      </c>
      <c r="L797">
        <v>10203.35</v>
      </c>
      <c r="M797">
        <v>43795.65</v>
      </c>
      <c r="N797" t="s">
        <v>20</v>
      </c>
      <c r="O797" s="7">
        <f t="shared" ca="1" si="49"/>
        <v>45676</v>
      </c>
      <c r="P797" s="7">
        <v>45810</v>
      </c>
      <c r="Q797">
        <v>5</v>
      </c>
      <c r="R797" t="str">
        <f t="shared" si="50"/>
        <v>Low Risk</v>
      </c>
      <c r="S797" t="str">
        <f t="shared" si="51"/>
        <v>Good</v>
      </c>
      <c r="T797" s="4">
        <f>Table1[[#This Row],[Deposit_Amount]]+Table1[[#This Row],[Withdrawal_Amount]]</f>
        <v>544899.29</v>
      </c>
      <c r="U797" t="s">
        <v>274</v>
      </c>
    </row>
    <row r="798" spans="1:21" x14ac:dyDescent="0.3">
      <c r="A798">
        <v>797</v>
      </c>
      <c r="B798" t="s">
        <v>92</v>
      </c>
      <c r="C798" t="s">
        <v>16</v>
      </c>
      <c r="D798">
        <v>52</v>
      </c>
      <c r="E798" t="s">
        <v>17</v>
      </c>
      <c r="F798" s="4">
        <v>217144</v>
      </c>
      <c r="G798" t="str">
        <f t="shared" si="48"/>
        <v>High Income</v>
      </c>
      <c r="H798">
        <v>141601.97</v>
      </c>
      <c r="I798">
        <v>491</v>
      </c>
      <c r="J798" t="s">
        <v>38</v>
      </c>
      <c r="K798" t="s">
        <v>19</v>
      </c>
      <c r="L798">
        <v>138414.28</v>
      </c>
      <c r="M798">
        <v>90155.4</v>
      </c>
      <c r="N798" t="s">
        <v>25</v>
      </c>
      <c r="O798" s="7">
        <f t="shared" ca="1" si="49"/>
        <v>45796</v>
      </c>
      <c r="P798" s="7">
        <v>45809</v>
      </c>
      <c r="Q798">
        <v>1</v>
      </c>
      <c r="R798" t="str">
        <f t="shared" si="50"/>
        <v>Midum Risk</v>
      </c>
      <c r="S798" t="str">
        <f t="shared" si="51"/>
        <v xml:space="preserve">Midum </v>
      </c>
      <c r="T798" s="4">
        <f>Table1[[#This Row],[Deposit_Amount]]+Table1[[#This Row],[Withdrawal_Amount]]</f>
        <v>358745.97</v>
      </c>
      <c r="U798" t="s">
        <v>274</v>
      </c>
    </row>
    <row r="799" spans="1:21" x14ac:dyDescent="0.3">
      <c r="A799">
        <v>798</v>
      </c>
      <c r="B799" t="s">
        <v>101</v>
      </c>
      <c r="C799" t="s">
        <v>22</v>
      </c>
      <c r="D799">
        <v>40</v>
      </c>
      <c r="E799" t="s">
        <v>44</v>
      </c>
      <c r="F799" s="4">
        <v>298555.90000000002</v>
      </c>
      <c r="G799" t="str">
        <f t="shared" si="48"/>
        <v>High Income</v>
      </c>
      <c r="H799">
        <v>178357.51</v>
      </c>
      <c r="I799">
        <v>638</v>
      </c>
      <c r="J799" t="s">
        <v>27</v>
      </c>
      <c r="K799" t="s">
        <v>24</v>
      </c>
      <c r="L799">
        <v>230374.47</v>
      </c>
      <c r="M799">
        <v>212106.84</v>
      </c>
      <c r="N799" t="s">
        <v>20</v>
      </c>
      <c r="O799" s="7">
        <f t="shared" ca="1" si="49"/>
        <v>45982</v>
      </c>
      <c r="P799" s="7">
        <v>45926</v>
      </c>
      <c r="Q799">
        <v>5</v>
      </c>
      <c r="R799" t="str">
        <f t="shared" si="50"/>
        <v>Low Risk</v>
      </c>
      <c r="S799" t="str">
        <f t="shared" si="51"/>
        <v>Good</v>
      </c>
      <c r="T799" s="4">
        <f>Table1[[#This Row],[Deposit_Amount]]+Table1[[#This Row],[Withdrawal_Amount]]</f>
        <v>476913.41000000003</v>
      </c>
      <c r="U799" t="s">
        <v>274</v>
      </c>
    </row>
    <row r="800" spans="1:21" x14ac:dyDescent="0.3">
      <c r="A800">
        <v>799</v>
      </c>
      <c r="B800" t="s">
        <v>118</v>
      </c>
      <c r="C800" t="s">
        <v>22</v>
      </c>
      <c r="D800">
        <v>45</v>
      </c>
      <c r="E800" t="s">
        <v>35</v>
      </c>
      <c r="F800" s="4">
        <v>376889.43</v>
      </c>
      <c r="G800" t="str">
        <f t="shared" si="48"/>
        <v>High Income</v>
      </c>
      <c r="H800">
        <v>231616.36</v>
      </c>
      <c r="I800">
        <v>805</v>
      </c>
      <c r="J800" t="s">
        <v>41</v>
      </c>
      <c r="K800" t="s">
        <v>24</v>
      </c>
      <c r="L800">
        <v>337290.14</v>
      </c>
      <c r="M800">
        <v>157890.91</v>
      </c>
      <c r="N800" t="s">
        <v>25</v>
      </c>
      <c r="O800" s="7">
        <f t="shared" ca="1" si="49"/>
        <v>45934</v>
      </c>
      <c r="P800" s="7">
        <v>45927</v>
      </c>
      <c r="Q800">
        <v>1</v>
      </c>
      <c r="R800" t="str">
        <f t="shared" si="50"/>
        <v>Low Risk</v>
      </c>
      <c r="S800" t="str">
        <f t="shared" si="51"/>
        <v>Good</v>
      </c>
      <c r="T800" s="4">
        <f>Table1[[#This Row],[Deposit_Amount]]+Table1[[#This Row],[Withdrawal_Amount]]</f>
        <v>608505.79</v>
      </c>
      <c r="U800" t="s">
        <v>274</v>
      </c>
    </row>
    <row r="801" spans="1:21" x14ac:dyDescent="0.3">
      <c r="A801">
        <v>800</v>
      </c>
      <c r="B801" t="s">
        <v>137</v>
      </c>
      <c r="C801" t="s">
        <v>16</v>
      </c>
      <c r="D801">
        <v>33</v>
      </c>
      <c r="E801" t="s">
        <v>31</v>
      </c>
      <c r="F801" s="4">
        <v>238694.54</v>
      </c>
      <c r="G801" t="str">
        <f t="shared" si="48"/>
        <v>High Income</v>
      </c>
      <c r="H801">
        <v>248331.12</v>
      </c>
      <c r="I801">
        <v>548</v>
      </c>
      <c r="J801" t="s">
        <v>41</v>
      </c>
      <c r="K801" t="s">
        <v>19</v>
      </c>
      <c r="L801">
        <v>24808.61</v>
      </c>
      <c r="M801">
        <v>214876.7</v>
      </c>
      <c r="N801" t="s">
        <v>25</v>
      </c>
      <c r="O801" s="7">
        <f t="shared" ca="1" si="49"/>
        <v>45789</v>
      </c>
      <c r="P801" s="7">
        <v>45714</v>
      </c>
      <c r="Q801">
        <v>4</v>
      </c>
      <c r="R801" t="str">
        <f t="shared" si="50"/>
        <v>Midum Risk</v>
      </c>
      <c r="S801" t="str">
        <f t="shared" si="51"/>
        <v xml:space="preserve">Midum </v>
      </c>
      <c r="T801" s="4">
        <f>Table1[[#This Row],[Deposit_Amount]]+Table1[[#This Row],[Withdrawal_Amount]]</f>
        <v>487025.66000000003</v>
      </c>
      <c r="U801" t="s">
        <v>274</v>
      </c>
    </row>
    <row r="802" spans="1:21" x14ac:dyDescent="0.3">
      <c r="A802">
        <v>801</v>
      </c>
      <c r="B802" t="s">
        <v>55</v>
      </c>
      <c r="C802" t="s">
        <v>16</v>
      </c>
      <c r="D802">
        <v>61</v>
      </c>
      <c r="E802" t="s">
        <v>17</v>
      </c>
      <c r="F802" s="4">
        <v>216560.37</v>
      </c>
      <c r="G802" t="str">
        <f t="shared" si="48"/>
        <v>High Income</v>
      </c>
      <c r="H802">
        <v>139974.37</v>
      </c>
      <c r="I802">
        <v>341</v>
      </c>
      <c r="J802" t="s">
        <v>27</v>
      </c>
      <c r="K802" t="s">
        <v>19</v>
      </c>
      <c r="L802">
        <v>223750.53</v>
      </c>
      <c r="M802">
        <v>189704.86</v>
      </c>
      <c r="N802" t="s">
        <v>25</v>
      </c>
      <c r="O802" s="7">
        <f t="shared" ca="1" si="49"/>
        <v>45898</v>
      </c>
      <c r="P802" s="7">
        <v>45911</v>
      </c>
      <c r="Q802">
        <v>3</v>
      </c>
      <c r="R802" t="str">
        <f t="shared" si="50"/>
        <v>High Risk</v>
      </c>
      <c r="S802" t="str">
        <f t="shared" si="51"/>
        <v>Poor</v>
      </c>
      <c r="T802" s="4">
        <f>Table1[[#This Row],[Deposit_Amount]]+Table1[[#This Row],[Withdrawal_Amount]]</f>
        <v>356534.74</v>
      </c>
      <c r="U802" t="s">
        <v>274</v>
      </c>
    </row>
    <row r="803" spans="1:21" x14ac:dyDescent="0.3">
      <c r="A803">
        <v>802</v>
      </c>
      <c r="B803" t="s">
        <v>137</v>
      </c>
      <c r="C803" t="s">
        <v>16</v>
      </c>
      <c r="D803">
        <v>27</v>
      </c>
      <c r="E803" t="s">
        <v>17</v>
      </c>
      <c r="F803" s="4">
        <v>219735.65</v>
      </c>
      <c r="G803" t="str">
        <f t="shared" si="48"/>
        <v>High Income</v>
      </c>
      <c r="H803">
        <v>157025.21</v>
      </c>
      <c r="I803">
        <v>870</v>
      </c>
      <c r="J803" t="s">
        <v>32</v>
      </c>
      <c r="K803" t="s">
        <v>59</v>
      </c>
      <c r="L803">
        <v>181887.97</v>
      </c>
      <c r="M803">
        <v>30110.22</v>
      </c>
      <c r="N803" t="s">
        <v>20</v>
      </c>
      <c r="O803" s="7">
        <f t="shared" ca="1" si="49"/>
        <v>45785</v>
      </c>
      <c r="P803" s="7">
        <v>45868</v>
      </c>
      <c r="Q803">
        <v>1</v>
      </c>
      <c r="R803" t="str">
        <f t="shared" si="50"/>
        <v>Low Risk</v>
      </c>
      <c r="S803" t="str">
        <f t="shared" si="51"/>
        <v>Good</v>
      </c>
      <c r="T803" s="4">
        <f>Table1[[#This Row],[Deposit_Amount]]+Table1[[#This Row],[Withdrawal_Amount]]</f>
        <v>376760.86</v>
      </c>
      <c r="U803" t="s">
        <v>274</v>
      </c>
    </row>
    <row r="804" spans="1:21" x14ac:dyDescent="0.3">
      <c r="A804">
        <v>803</v>
      </c>
      <c r="B804" t="s">
        <v>53</v>
      </c>
      <c r="C804" t="s">
        <v>22</v>
      </c>
      <c r="D804">
        <v>59</v>
      </c>
      <c r="E804" t="s">
        <v>40</v>
      </c>
      <c r="F804" s="4">
        <v>143661.01999999999</v>
      </c>
      <c r="G804" t="str">
        <f t="shared" si="48"/>
        <v>Midum Income</v>
      </c>
      <c r="H804">
        <v>41537.18</v>
      </c>
      <c r="I804">
        <v>393</v>
      </c>
      <c r="J804" t="s">
        <v>27</v>
      </c>
      <c r="K804" t="s">
        <v>59</v>
      </c>
      <c r="L804">
        <v>234630.59</v>
      </c>
      <c r="M804">
        <v>134356.06</v>
      </c>
      <c r="N804" t="s">
        <v>20</v>
      </c>
      <c r="O804" s="7">
        <f t="shared" ca="1" si="49"/>
        <v>46019</v>
      </c>
      <c r="P804" s="7">
        <v>45706</v>
      </c>
      <c r="Q804">
        <v>3</v>
      </c>
      <c r="R804" t="str">
        <f t="shared" si="50"/>
        <v>High Risk</v>
      </c>
      <c r="S804" t="str">
        <f t="shared" si="51"/>
        <v>Poor</v>
      </c>
      <c r="T804" s="4">
        <f>Table1[[#This Row],[Deposit_Amount]]+Table1[[#This Row],[Withdrawal_Amount]]</f>
        <v>185198.19999999998</v>
      </c>
      <c r="U804" t="s">
        <v>274</v>
      </c>
    </row>
    <row r="805" spans="1:21" x14ac:dyDescent="0.3">
      <c r="A805">
        <v>804</v>
      </c>
      <c r="B805" t="s">
        <v>155</v>
      </c>
      <c r="C805" t="s">
        <v>16</v>
      </c>
      <c r="D805">
        <v>53</v>
      </c>
      <c r="E805" t="s">
        <v>35</v>
      </c>
      <c r="F805" s="4">
        <v>149211.59</v>
      </c>
      <c r="G805" t="str">
        <f t="shared" si="48"/>
        <v>Midum Income</v>
      </c>
      <c r="H805">
        <v>296302.77</v>
      </c>
      <c r="I805">
        <v>873</v>
      </c>
      <c r="J805" t="s">
        <v>41</v>
      </c>
      <c r="K805" t="s">
        <v>36</v>
      </c>
      <c r="L805">
        <v>-21076.880000000001</v>
      </c>
      <c r="M805">
        <v>161624.97</v>
      </c>
      <c r="N805" t="s">
        <v>20</v>
      </c>
      <c r="O805" s="7">
        <f t="shared" ca="1" si="49"/>
        <v>45960</v>
      </c>
      <c r="P805" s="7">
        <v>45744</v>
      </c>
      <c r="Q805">
        <v>1</v>
      </c>
      <c r="R805" t="str">
        <f t="shared" si="50"/>
        <v>Low Risk</v>
      </c>
      <c r="S805" t="str">
        <f t="shared" si="51"/>
        <v>Good</v>
      </c>
      <c r="T805" s="4">
        <f>Table1[[#This Row],[Deposit_Amount]]+Table1[[#This Row],[Withdrawal_Amount]]</f>
        <v>445514.36</v>
      </c>
      <c r="U805" t="s">
        <v>274</v>
      </c>
    </row>
    <row r="806" spans="1:21" x14ac:dyDescent="0.3">
      <c r="A806">
        <v>805</v>
      </c>
      <c r="B806" t="s">
        <v>85</v>
      </c>
      <c r="C806" t="s">
        <v>16</v>
      </c>
      <c r="D806">
        <v>45</v>
      </c>
      <c r="E806" t="s">
        <v>23</v>
      </c>
      <c r="F806" s="4">
        <v>134158.35999999999</v>
      </c>
      <c r="G806" t="str">
        <f t="shared" si="48"/>
        <v>Midum Income</v>
      </c>
      <c r="H806">
        <v>35178.129999999997</v>
      </c>
      <c r="I806">
        <v>454</v>
      </c>
      <c r="J806" t="s">
        <v>32</v>
      </c>
      <c r="K806" t="s">
        <v>42</v>
      </c>
      <c r="L806">
        <v>223241.83</v>
      </c>
      <c r="M806">
        <v>133912.20000000001</v>
      </c>
      <c r="N806" t="s">
        <v>25</v>
      </c>
      <c r="O806" s="7">
        <f t="shared" ca="1" si="49"/>
        <v>45801</v>
      </c>
      <c r="P806" s="7">
        <v>45747</v>
      </c>
      <c r="Q806">
        <v>2</v>
      </c>
      <c r="R806" t="str">
        <f t="shared" si="50"/>
        <v>Midum Risk</v>
      </c>
      <c r="S806" t="str">
        <f t="shared" si="51"/>
        <v xml:space="preserve">Midum </v>
      </c>
      <c r="T806" s="4">
        <f>Table1[[#This Row],[Deposit_Amount]]+Table1[[#This Row],[Withdrawal_Amount]]</f>
        <v>169336.49</v>
      </c>
      <c r="U806" t="s">
        <v>274</v>
      </c>
    </row>
    <row r="807" spans="1:21" x14ac:dyDescent="0.3">
      <c r="A807">
        <v>806</v>
      </c>
      <c r="B807" t="s">
        <v>174</v>
      </c>
      <c r="C807" t="s">
        <v>16</v>
      </c>
      <c r="D807">
        <v>28</v>
      </c>
      <c r="E807" t="s">
        <v>17</v>
      </c>
      <c r="F807" s="4">
        <v>435416.38</v>
      </c>
      <c r="G807" t="str">
        <f t="shared" si="48"/>
        <v>High Income</v>
      </c>
      <c r="H807">
        <v>203464.7</v>
      </c>
      <c r="I807">
        <v>415</v>
      </c>
      <c r="J807" t="s">
        <v>41</v>
      </c>
      <c r="K807" t="s">
        <v>59</v>
      </c>
      <c r="L807">
        <v>257382.52</v>
      </c>
      <c r="M807">
        <v>185032.61</v>
      </c>
      <c r="N807" t="s">
        <v>20</v>
      </c>
      <c r="O807" s="7">
        <f t="shared" ca="1" si="49"/>
        <v>45669</v>
      </c>
      <c r="P807" s="7">
        <v>45812</v>
      </c>
      <c r="Q807">
        <v>5</v>
      </c>
      <c r="R807" t="str">
        <f t="shared" si="50"/>
        <v>Midum Risk</v>
      </c>
      <c r="S807" t="str">
        <f t="shared" si="51"/>
        <v xml:space="preserve">Midum </v>
      </c>
      <c r="T807" s="4">
        <f>Table1[[#This Row],[Deposit_Amount]]+Table1[[#This Row],[Withdrawal_Amount]]</f>
        <v>638881.08000000007</v>
      </c>
      <c r="U807" t="s">
        <v>274</v>
      </c>
    </row>
    <row r="808" spans="1:21" x14ac:dyDescent="0.3">
      <c r="A808">
        <v>807</v>
      </c>
      <c r="B808" t="s">
        <v>228</v>
      </c>
      <c r="C808" t="s">
        <v>16</v>
      </c>
      <c r="D808">
        <v>68</v>
      </c>
      <c r="E808" t="s">
        <v>17</v>
      </c>
      <c r="F808" s="4">
        <v>467576.26</v>
      </c>
      <c r="G808" t="str">
        <f t="shared" si="48"/>
        <v>High Income</v>
      </c>
      <c r="H808">
        <v>197121.01</v>
      </c>
      <c r="I808">
        <v>694</v>
      </c>
      <c r="J808" t="s">
        <v>41</v>
      </c>
      <c r="K808" t="s">
        <v>42</v>
      </c>
      <c r="L808">
        <v>410609.7</v>
      </c>
      <c r="M808">
        <v>218435.08</v>
      </c>
      <c r="N808" t="s">
        <v>25</v>
      </c>
      <c r="O808" s="7">
        <f t="shared" ca="1" si="49"/>
        <v>45938</v>
      </c>
      <c r="P808" s="7">
        <v>46019</v>
      </c>
      <c r="Q808">
        <v>1</v>
      </c>
      <c r="R808" t="str">
        <f t="shared" si="50"/>
        <v>Low Risk</v>
      </c>
      <c r="S808" t="str">
        <f t="shared" si="51"/>
        <v>Good</v>
      </c>
      <c r="T808" s="4">
        <f>Table1[[#This Row],[Deposit_Amount]]+Table1[[#This Row],[Withdrawal_Amount]]</f>
        <v>664697.27</v>
      </c>
      <c r="U808" t="s">
        <v>274</v>
      </c>
    </row>
    <row r="809" spans="1:21" x14ac:dyDescent="0.3">
      <c r="A809">
        <v>808</v>
      </c>
      <c r="B809" t="s">
        <v>174</v>
      </c>
      <c r="C809" t="s">
        <v>16</v>
      </c>
      <c r="D809">
        <v>58</v>
      </c>
      <c r="E809" t="s">
        <v>17</v>
      </c>
      <c r="F809" s="4">
        <v>259592.25</v>
      </c>
      <c r="G809" t="str">
        <f t="shared" si="48"/>
        <v>High Income</v>
      </c>
      <c r="H809">
        <v>23796.73</v>
      </c>
      <c r="I809">
        <v>387</v>
      </c>
      <c r="J809" t="s">
        <v>38</v>
      </c>
      <c r="K809" t="s">
        <v>36</v>
      </c>
      <c r="L809">
        <v>245707.43</v>
      </c>
      <c r="M809">
        <v>184434.05</v>
      </c>
      <c r="N809" t="s">
        <v>25</v>
      </c>
      <c r="O809" s="7">
        <f t="shared" ca="1" si="49"/>
        <v>45991</v>
      </c>
      <c r="P809" s="7">
        <v>45965</v>
      </c>
      <c r="Q809">
        <v>4</v>
      </c>
      <c r="R809" t="str">
        <f t="shared" si="50"/>
        <v>High Risk</v>
      </c>
      <c r="S809" t="str">
        <f t="shared" si="51"/>
        <v>Poor</v>
      </c>
      <c r="T809" s="4">
        <f>Table1[[#This Row],[Deposit_Amount]]+Table1[[#This Row],[Withdrawal_Amount]]</f>
        <v>283388.98</v>
      </c>
      <c r="U809" t="s">
        <v>274</v>
      </c>
    </row>
    <row r="810" spans="1:21" x14ac:dyDescent="0.3">
      <c r="A810">
        <v>809</v>
      </c>
      <c r="B810" t="s">
        <v>189</v>
      </c>
      <c r="C810" t="s">
        <v>22</v>
      </c>
      <c r="D810">
        <v>60</v>
      </c>
      <c r="E810" t="s">
        <v>35</v>
      </c>
      <c r="F810" s="4">
        <v>363693.05</v>
      </c>
      <c r="G810" t="str">
        <f t="shared" si="48"/>
        <v>High Income</v>
      </c>
      <c r="H810">
        <v>147892.53</v>
      </c>
      <c r="I810">
        <v>551</v>
      </c>
      <c r="J810" t="s">
        <v>27</v>
      </c>
      <c r="K810" t="s">
        <v>36</v>
      </c>
      <c r="L810">
        <v>286312.59999999998</v>
      </c>
      <c r="M810">
        <v>63319.22</v>
      </c>
      <c r="N810" t="s">
        <v>20</v>
      </c>
      <c r="O810" s="7">
        <f t="shared" ca="1" si="49"/>
        <v>45875</v>
      </c>
      <c r="P810" s="7">
        <v>46009</v>
      </c>
      <c r="Q810">
        <v>1</v>
      </c>
      <c r="R810" t="str">
        <f t="shared" si="50"/>
        <v>Midum Risk</v>
      </c>
      <c r="S810" t="str">
        <f t="shared" si="51"/>
        <v xml:space="preserve">Midum </v>
      </c>
      <c r="T810" s="4">
        <f>Table1[[#This Row],[Deposit_Amount]]+Table1[[#This Row],[Withdrawal_Amount]]</f>
        <v>511585.57999999996</v>
      </c>
      <c r="U810" t="s">
        <v>274</v>
      </c>
    </row>
    <row r="811" spans="1:21" x14ac:dyDescent="0.3">
      <c r="A811">
        <v>810</v>
      </c>
      <c r="B811" t="s">
        <v>52</v>
      </c>
      <c r="C811" t="s">
        <v>22</v>
      </c>
      <c r="D811">
        <v>57</v>
      </c>
      <c r="E811" t="s">
        <v>35</v>
      </c>
      <c r="F811" s="4">
        <v>231085.18</v>
      </c>
      <c r="G811" t="str">
        <f t="shared" si="48"/>
        <v>High Income</v>
      </c>
      <c r="H811">
        <v>94577.02</v>
      </c>
      <c r="I811">
        <v>605</v>
      </c>
      <c r="J811" t="s">
        <v>32</v>
      </c>
      <c r="K811" t="s">
        <v>19</v>
      </c>
      <c r="L811">
        <v>277398.64</v>
      </c>
      <c r="M811">
        <v>149233.54999999999</v>
      </c>
      <c r="N811" t="s">
        <v>28</v>
      </c>
      <c r="O811" s="7">
        <f t="shared" ca="1" si="49"/>
        <v>46021</v>
      </c>
      <c r="P811" s="7">
        <v>45965</v>
      </c>
      <c r="Q811">
        <v>4</v>
      </c>
      <c r="R811" t="str">
        <f t="shared" si="50"/>
        <v>Low Risk</v>
      </c>
      <c r="S811" t="str">
        <f t="shared" si="51"/>
        <v>Good</v>
      </c>
      <c r="T811" s="4">
        <f>Table1[[#This Row],[Deposit_Amount]]+Table1[[#This Row],[Withdrawal_Amount]]</f>
        <v>325662.2</v>
      </c>
      <c r="U811" t="s">
        <v>274</v>
      </c>
    </row>
    <row r="812" spans="1:21" x14ac:dyDescent="0.3">
      <c r="A812">
        <v>811</v>
      </c>
      <c r="B812" t="s">
        <v>171</v>
      </c>
      <c r="C812" t="s">
        <v>22</v>
      </c>
      <c r="D812">
        <v>66</v>
      </c>
      <c r="E812" t="s">
        <v>44</v>
      </c>
      <c r="F812" s="4">
        <v>465198.95</v>
      </c>
      <c r="G812" t="str">
        <f t="shared" si="48"/>
        <v>High Income</v>
      </c>
      <c r="H812">
        <v>254657.26</v>
      </c>
      <c r="I812">
        <v>338</v>
      </c>
      <c r="J812" t="s">
        <v>41</v>
      </c>
      <c r="K812" t="s">
        <v>24</v>
      </c>
      <c r="L812">
        <v>246002.27</v>
      </c>
      <c r="M812">
        <v>47579.02</v>
      </c>
      <c r="N812" t="s">
        <v>28</v>
      </c>
      <c r="O812" s="7">
        <f t="shared" ca="1" si="49"/>
        <v>46009</v>
      </c>
      <c r="P812" s="7">
        <v>45892</v>
      </c>
      <c r="Q812">
        <v>5</v>
      </c>
      <c r="R812" t="str">
        <f t="shared" si="50"/>
        <v>High Risk</v>
      </c>
      <c r="S812" t="str">
        <f t="shared" si="51"/>
        <v>Poor</v>
      </c>
      <c r="T812" s="4">
        <f>Table1[[#This Row],[Deposit_Amount]]+Table1[[#This Row],[Withdrawal_Amount]]</f>
        <v>719856.21</v>
      </c>
      <c r="U812" t="s">
        <v>274</v>
      </c>
    </row>
    <row r="813" spans="1:21" x14ac:dyDescent="0.3">
      <c r="A813">
        <v>812</v>
      </c>
      <c r="B813" t="s">
        <v>124</v>
      </c>
      <c r="C813" t="s">
        <v>22</v>
      </c>
      <c r="D813">
        <v>55</v>
      </c>
      <c r="E813" t="s">
        <v>23</v>
      </c>
      <c r="F813" s="4">
        <v>382170.72</v>
      </c>
      <c r="G813" t="str">
        <f t="shared" si="48"/>
        <v>High Income</v>
      </c>
      <c r="H813">
        <v>28890.400000000001</v>
      </c>
      <c r="I813">
        <v>856</v>
      </c>
      <c r="J813" t="s">
        <v>32</v>
      </c>
      <c r="K813" t="s">
        <v>19</v>
      </c>
      <c r="L813">
        <v>380474.34</v>
      </c>
      <c r="M813">
        <v>206025.31</v>
      </c>
      <c r="N813" t="s">
        <v>28</v>
      </c>
      <c r="O813" s="7">
        <f t="shared" ca="1" si="49"/>
        <v>45968</v>
      </c>
      <c r="P813" s="7">
        <v>45885</v>
      </c>
      <c r="Q813">
        <v>1</v>
      </c>
      <c r="R813" t="str">
        <f t="shared" si="50"/>
        <v>Low Risk</v>
      </c>
      <c r="S813" t="str">
        <f t="shared" si="51"/>
        <v>Good</v>
      </c>
      <c r="T813" s="4">
        <f>Table1[[#This Row],[Deposit_Amount]]+Table1[[#This Row],[Withdrawal_Amount]]</f>
        <v>411061.12</v>
      </c>
      <c r="U813" t="s">
        <v>274</v>
      </c>
    </row>
    <row r="814" spans="1:21" x14ac:dyDescent="0.3">
      <c r="A814">
        <v>813</v>
      </c>
      <c r="B814" t="s">
        <v>124</v>
      </c>
      <c r="C814" t="s">
        <v>22</v>
      </c>
      <c r="D814">
        <v>69</v>
      </c>
      <c r="E814" t="s">
        <v>35</v>
      </c>
      <c r="F814" s="4">
        <v>408938.83</v>
      </c>
      <c r="G814" t="str">
        <f t="shared" si="48"/>
        <v>High Income</v>
      </c>
      <c r="H814">
        <v>264654.01</v>
      </c>
      <c r="I814">
        <v>739</v>
      </c>
      <c r="J814" t="s">
        <v>41</v>
      </c>
      <c r="K814" t="s">
        <v>19</v>
      </c>
      <c r="L814">
        <v>324671.71999999997</v>
      </c>
      <c r="M814">
        <v>152121.20000000001</v>
      </c>
      <c r="N814" t="s">
        <v>20</v>
      </c>
      <c r="O814" s="7">
        <f t="shared" ca="1" si="49"/>
        <v>45766</v>
      </c>
      <c r="P814" s="7">
        <v>45939</v>
      </c>
      <c r="Q814">
        <v>4</v>
      </c>
      <c r="R814" t="str">
        <f t="shared" si="50"/>
        <v>Low Risk</v>
      </c>
      <c r="S814" t="str">
        <f t="shared" si="51"/>
        <v>Good</v>
      </c>
      <c r="T814" s="4">
        <f>Table1[[#This Row],[Deposit_Amount]]+Table1[[#This Row],[Withdrawal_Amount]]</f>
        <v>673592.84000000008</v>
      </c>
      <c r="U814" t="s">
        <v>274</v>
      </c>
    </row>
    <row r="815" spans="1:21" x14ac:dyDescent="0.3">
      <c r="A815">
        <v>814</v>
      </c>
      <c r="B815" t="s">
        <v>125</v>
      </c>
      <c r="C815" t="s">
        <v>16</v>
      </c>
      <c r="D815">
        <v>51</v>
      </c>
      <c r="E815" t="s">
        <v>17</v>
      </c>
      <c r="F815" s="4">
        <v>194946.11</v>
      </c>
      <c r="G815" t="str">
        <f t="shared" si="48"/>
        <v>Midum Income</v>
      </c>
      <c r="H815">
        <v>83988.37</v>
      </c>
      <c r="I815">
        <v>330</v>
      </c>
      <c r="J815" t="s">
        <v>32</v>
      </c>
      <c r="K815" t="s">
        <v>59</v>
      </c>
      <c r="L815">
        <v>304069.59000000003</v>
      </c>
      <c r="M815">
        <v>179828.76</v>
      </c>
      <c r="N815" t="s">
        <v>20</v>
      </c>
      <c r="O815" s="7">
        <f t="shared" ca="1" si="49"/>
        <v>46011</v>
      </c>
      <c r="P815" s="7">
        <v>45662</v>
      </c>
      <c r="Q815">
        <v>3</v>
      </c>
      <c r="R815" t="str">
        <f t="shared" si="50"/>
        <v>High Risk</v>
      </c>
      <c r="S815" t="str">
        <f t="shared" si="51"/>
        <v>Poor</v>
      </c>
      <c r="T815" s="4">
        <f>Table1[[#This Row],[Deposit_Amount]]+Table1[[#This Row],[Withdrawal_Amount]]</f>
        <v>278934.48</v>
      </c>
      <c r="U815" t="s">
        <v>274</v>
      </c>
    </row>
    <row r="816" spans="1:21" x14ac:dyDescent="0.3">
      <c r="A816">
        <v>815</v>
      </c>
      <c r="B816" t="s">
        <v>64</v>
      </c>
      <c r="C816" t="s">
        <v>16</v>
      </c>
      <c r="D816">
        <v>30</v>
      </c>
      <c r="E816" t="s">
        <v>35</v>
      </c>
      <c r="F816" s="4">
        <v>149125.78</v>
      </c>
      <c r="G816" t="str">
        <f t="shared" si="48"/>
        <v>Midum Income</v>
      </c>
      <c r="H816">
        <v>170125.36</v>
      </c>
      <c r="I816">
        <v>537</v>
      </c>
      <c r="J816" t="s">
        <v>27</v>
      </c>
      <c r="K816" t="s">
        <v>59</v>
      </c>
      <c r="L816">
        <v>-2122.81</v>
      </c>
      <c r="M816">
        <v>108676.17</v>
      </c>
      <c r="N816" t="s">
        <v>25</v>
      </c>
      <c r="O816" s="7">
        <f t="shared" ca="1" si="49"/>
        <v>45775</v>
      </c>
      <c r="P816" s="7">
        <v>45939</v>
      </c>
      <c r="Q816">
        <v>5</v>
      </c>
      <c r="R816" t="str">
        <f t="shared" si="50"/>
        <v>Midum Risk</v>
      </c>
      <c r="S816" t="str">
        <f t="shared" si="51"/>
        <v xml:space="preserve">Midum </v>
      </c>
      <c r="T816" s="4">
        <f>Table1[[#This Row],[Deposit_Amount]]+Table1[[#This Row],[Withdrawal_Amount]]</f>
        <v>319251.14</v>
      </c>
      <c r="U816" t="s">
        <v>274</v>
      </c>
    </row>
    <row r="817" spans="1:21" x14ac:dyDescent="0.3">
      <c r="A817">
        <v>816</v>
      </c>
      <c r="B817" t="s">
        <v>229</v>
      </c>
      <c r="C817" t="s">
        <v>16</v>
      </c>
      <c r="D817">
        <v>31</v>
      </c>
      <c r="E817" t="s">
        <v>40</v>
      </c>
      <c r="F817" s="4">
        <v>195040.98</v>
      </c>
      <c r="G817" t="str">
        <f t="shared" si="48"/>
        <v>Midum Income</v>
      </c>
      <c r="H817">
        <v>81131.929999999993</v>
      </c>
      <c r="I817">
        <v>823</v>
      </c>
      <c r="J817" t="s">
        <v>41</v>
      </c>
      <c r="K817" t="s">
        <v>19</v>
      </c>
      <c r="L817">
        <v>277129.40000000002</v>
      </c>
      <c r="M817">
        <v>33963.08</v>
      </c>
      <c r="N817" t="s">
        <v>25</v>
      </c>
      <c r="O817" s="7">
        <f t="shared" ca="1" si="49"/>
        <v>45984</v>
      </c>
      <c r="P817" s="7">
        <v>45678</v>
      </c>
      <c r="Q817">
        <v>4</v>
      </c>
      <c r="R817" t="str">
        <f t="shared" si="50"/>
        <v>Low Risk</v>
      </c>
      <c r="S817" t="str">
        <f t="shared" si="51"/>
        <v>Good</v>
      </c>
      <c r="T817" s="4">
        <f>Table1[[#This Row],[Deposit_Amount]]+Table1[[#This Row],[Withdrawal_Amount]]</f>
        <v>276172.91000000003</v>
      </c>
      <c r="U817" t="s">
        <v>274</v>
      </c>
    </row>
    <row r="818" spans="1:21" x14ac:dyDescent="0.3">
      <c r="A818">
        <v>817</v>
      </c>
      <c r="B818" t="s">
        <v>224</v>
      </c>
      <c r="C818" t="s">
        <v>22</v>
      </c>
      <c r="D818">
        <v>18</v>
      </c>
      <c r="E818" t="s">
        <v>23</v>
      </c>
      <c r="F818" s="4">
        <v>430578.86</v>
      </c>
      <c r="G818" t="str">
        <f t="shared" si="48"/>
        <v>High Income</v>
      </c>
      <c r="H818">
        <v>144927.60999999999</v>
      </c>
      <c r="I818">
        <v>842</v>
      </c>
      <c r="J818" t="s">
        <v>27</v>
      </c>
      <c r="K818" t="s">
        <v>42</v>
      </c>
      <c r="L818">
        <v>306741.43</v>
      </c>
      <c r="M818">
        <v>136875.98000000001</v>
      </c>
      <c r="N818" t="s">
        <v>28</v>
      </c>
      <c r="O818" s="7">
        <f t="shared" ca="1" si="49"/>
        <v>45753</v>
      </c>
      <c r="P818" s="7">
        <v>45939</v>
      </c>
      <c r="Q818">
        <v>1</v>
      </c>
      <c r="R818" t="str">
        <f t="shared" si="50"/>
        <v>Low Risk</v>
      </c>
      <c r="S818" t="str">
        <f t="shared" si="51"/>
        <v>Good</v>
      </c>
      <c r="T818" s="4">
        <f>Table1[[#This Row],[Deposit_Amount]]+Table1[[#This Row],[Withdrawal_Amount]]</f>
        <v>575506.47</v>
      </c>
      <c r="U818" t="s">
        <v>274</v>
      </c>
    </row>
    <row r="819" spans="1:21" x14ac:dyDescent="0.3">
      <c r="A819">
        <v>818</v>
      </c>
      <c r="B819" t="s">
        <v>48</v>
      </c>
      <c r="C819" t="s">
        <v>22</v>
      </c>
      <c r="D819">
        <v>18</v>
      </c>
      <c r="E819" t="s">
        <v>17</v>
      </c>
      <c r="F819" s="4">
        <v>55452.88</v>
      </c>
      <c r="G819" t="str">
        <f t="shared" si="48"/>
        <v>Low Income</v>
      </c>
      <c r="H819">
        <v>99547.81</v>
      </c>
      <c r="I819">
        <v>860</v>
      </c>
      <c r="J819" t="s">
        <v>27</v>
      </c>
      <c r="K819" t="s">
        <v>24</v>
      </c>
      <c r="L819">
        <v>122367.26</v>
      </c>
      <c r="M819">
        <v>231071.04</v>
      </c>
      <c r="N819" t="s">
        <v>20</v>
      </c>
      <c r="O819" s="7">
        <f t="shared" ca="1" si="49"/>
        <v>45727</v>
      </c>
      <c r="P819" s="7">
        <v>45755</v>
      </c>
      <c r="Q819">
        <v>1</v>
      </c>
      <c r="R819" t="str">
        <f t="shared" si="50"/>
        <v>Low Risk</v>
      </c>
      <c r="S819" t="str">
        <f t="shared" si="51"/>
        <v>Good</v>
      </c>
      <c r="T819" s="4">
        <f>Table1[[#This Row],[Deposit_Amount]]+Table1[[#This Row],[Withdrawal_Amount]]</f>
        <v>155000.69</v>
      </c>
      <c r="U819" t="s">
        <v>274</v>
      </c>
    </row>
    <row r="820" spans="1:21" x14ac:dyDescent="0.3">
      <c r="A820">
        <v>819</v>
      </c>
      <c r="B820" t="s">
        <v>34</v>
      </c>
      <c r="C820" t="s">
        <v>16</v>
      </c>
      <c r="D820">
        <v>68</v>
      </c>
      <c r="E820" t="s">
        <v>44</v>
      </c>
      <c r="F820" s="4">
        <v>191058.82</v>
      </c>
      <c r="G820" t="str">
        <f t="shared" si="48"/>
        <v>Midum Income</v>
      </c>
      <c r="H820">
        <v>135846.98000000001</v>
      </c>
      <c r="I820">
        <v>605</v>
      </c>
      <c r="J820" t="s">
        <v>18</v>
      </c>
      <c r="K820" t="s">
        <v>36</v>
      </c>
      <c r="L820">
        <v>129350.99</v>
      </c>
      <c r="M820">
        <v>204756.32</v>
      </c>
      <c r="N820" t="s">
        <v>20</v>
      </c>
      <c r="O820" s="7">
        <f t="shared" ca="1" si="49"/>
        <v>45997</v>
      </c>
      <c r="P820" s="7">
        <v>45900</v>
      </c>
      <c r="Q820">
        <v>5</v>
      </c>
      <c r="R820" t="str">
        <f t="shared" si="50"/>
        <v>Low Risk</v>
      </c>
      <c r="S820" t="str">
        <f t="shared" si="51"/>
        <v>Good</v>
      </c>
      <c r="T820" s="4">
        <f>Table1[[#This Row],[Deposit_Amount]]+Table1[[#This Row],[Withdrawal_Amount]]</f>
        <v>326905.80000000005</v>
      </c>
      <c r="U820" t="s">
        <v>274</v>
      </c>
    </row>
    <row r="821" spans="1:21" x14ac:dyDescent="0.3">
      <c r="A821">
        <v>820</v>
      </c>
      <c r="B821" t="s">
        <v>224</v>
      </c>
      <c r="C821" t="s">
        <v>22</v>
      </c>
      <c r="D821">
        <v>69</v>
      </c>
      <c r="E821" t="s">
        <v>17</v>
      </c>
      <c r="F821" s="4">
        <v>332429.11</v>
      </c>
      <c r="G821" t="str">
        <f t="shared" si="48"/>
        <v>High Income</v>
      </c>
      <c r="H821">
        <v>233950.43</v>
      </c>
      <c r="I821">
        <v>771</v>
      </c>
      <c r="J821" t="s">
        <v>38</v>
      </c>
      <c r="K821" t="s">
        <v>36</v>
      </c>
      <c r="L821">
        <v>174234.66</v>
      </c>
      <c r="M821">
        <v>178644.82</v>
      </c>
      <c r="N821" t="s">
        <v>20</v>
      </c>
      <c r="O821" s="7">
        <f t="shared" ca="1" si="49"/>
        <v>45878</v>
      </c>
      <c r="P821" s="7">
        <v>45949</v>
      </c>
      <c r="Q821">
        <v>1</v>
      </c>
      <c r="R821" t="str">
        <f t="shared" si="50"/>
        <v>Low Risk</v>
      </c>
      <c r="S821" t="str">
        <f t="shared" si="51"/>
        <v>Good</v>
      </c>
      <c r="T821" s="4">
        <f>Table1[[#This Row],[Deposit_Amount]]+Table1[[#This Row],[Withdrawal_Amount]]</f>
        <v>566379.54</v>
      </c>
      <c r="U821" t="s">
        <v>274</v>
      </c>
    </row>
    <row r="822" spans="1:21" x14ac:dyDescent="0.3">
      <c r="A822">
        <v>821</v>
      </c>
      <c r="B822" t="s">
        <v>80</v>
      </c>
      <c r="C822" t="s">
        <v>22</v>
      </c>
      <c r="D822">
        <v>30</v>
      </c>
      <c r="E822" t="s">
        <v>31</v>
      </c>
      <c r="F822" s="4">
        <v>200084.72</v>
      </c>
      <c r="G822" t="str">
        <f t="shared" si="48"/>
        <v>High Income</v>
      </c>
      <c r="H822">
        <v>232355.94</v>
      </c>
      <c r="I822">
        <v>447</v>
      </c>
      <c r="J822" t="s">
        <v>32</v>
      </c>
      <c r="K822" t="s">
        <v>36</v>
      </c>
      <c r="L822">
        <v>94919.29</v>
      </c>
      <c r="M822">
        <v>236888.7</v>
      </c>
      <c r="N822" t="s">
        <v>28</v>
      </c>
      <c r="O822" s="7">
        <f t="shared" ca="1" si="49"/>
        <v>45721</v>
      </c>
      <c r="P822" s="7">
        <v>45875</v>
      </c>
      <c r="Q822">
        <v>4</v>
      </c>
      <c r="R822" t="str">
        <f t="shared" si="50"/>
        <v>Midum Risk</v>
      </c>
      <c r="S822" t="str">
        <f t="shared" si="51"/>
        <v xml:space="preserve">Midum </v>
      </c>
      <c r="T822" s="4">
        <f>Table1[[#This Row],[Deposit_Amount]]+Table1[[#This Row],[Withdrawal_Amount]]</f>
        <v>432440.66000000003</v>
      </c>
      <c r="U822" t="s">
        <v>274</v>
      </c>
    </row>
    <row r="823" spans="1:21" x14ac:dyDescent="0.3">
      <c r="A823">
        <v>822</v>
      </c>
      <c r="B823" t="s">
        <v>187</v>
      </c>
      <c r="C823" t="s">
        <v>16</v>
      </c>
      <c r="D823">
        <v>65</v>
      </c>
      <c r="E823" t="s">
        <v>35</v>
      </c>
      <c r="F823" s="4">
        <v>453264.56</v>
      </c>
      <c r="G823" t="str">
        <f t="shared" si="48"/>
        <v>High Income</v>
      </c>
      <c r="H823">
        <v>146837.44</v>
      </c>
      <c r="I823">
        <v>717</v>
      </c>
      <c r="J823" t="s">
        <v>32</v>
      </c>
      <c r="K823" t="s">
        <v>59</v>
      </c>
      <c r="L823">
        <v>336641.67</v>
      </c>
      <c r="M823">
        <v>92272.28</v>
      </c>
      <c r="N823" t="s">
        <v>28</v>
      </c>
      <c r="O823" s="7">
        <f t="shared" ca="1" si="49"/>
        <v>45928</v>
      </c>
      <c r="P823" s="7">
        <v>46003</v>
      </c>
      <c r="Q823">
        <v>1</v>
      </c>
      <c r="R823" t="str">
        <f t="shared" si="50"/>
        <v>Low Risk</v>
      </c>
      <c r="S823" t="str">
        <f t="shared" si="51"/>
        <v>Good</v>
      </c>
      <c r="T823" s="4">
        <f>Table1[[#This Row],[Deposit_Amount]]+Table1[[#This Row],[Withdrawal_Amount]]</f>
        <v>600102</v>
      </c>
      <c r="U823" t="s">
        <v>274</v>
      </c>
    </row>
    <row r="824" spans="1:21" x14ac:dyDescent="0.3">
      <c r="A824">
        <v>823</v>
      </c>
      <c r="B824" t="s">
        <v>139</v>
      </c>
      <c r="C824" t="s">
        <v>22</v>
      </c>
      <c r="D824">
        <v>32</v>
      </c>
      <c r="E824" t="s">
        <v>44</v>
      </c>
      <c r="F824" s="4">
        <v>339681.24</v>
      </c>
      <c r="G824" t="str">
        <f t="shared" si="48"/>
        <v>High Income</v>
      </c>
      <c r="H824">
        <v>2772.55</v>
      </c>
      <c r="I824">
        <v>446</v>
      </c>
      <c r="J824" t="s">
        <v>41</v>
      </c>
      <c r="K824" t="s">
        <v>19</v>
      </c>
      <c r="L824">
        <v>357038.21</v>
      </c>
      <c r="M824">
        <v>86599.03</v>
      </c>
      <c r="N824" t="s">
        <v>25</v>
      </c>
      <c r="O824" s="7">
        <f t="shared" ca="1" si="49"/>
        <v>45727</v>
      </c>
      <c r="P824" s="7">
        <v>45911</v>
      </c>
      <c r="Q824">
        <v>5</v>
      </c>
      <c r="R824" t="str">
        <f t="shared" si="50"/>
        <v>Midum Risk</v>
      </c>
      <c r="S824" t="str">
        <f t="shared" si="51"/>
        <v xml:space="preserve">Midum </v>
      </c>
      <c r="T824" s="4">
        <f>Table1[[#This Row],[Deposit_Amount]]+Table1[[#This Row],[Withdrawal_Amount]]</f>
        <v>342453.79</v>
      </c>
      <c r="U824" t="s">
        <v>274</v>
      </c>
    </row>
    <row r="825" spans="1:21" x14ac:dyDescent="0.3">
      <c r="A825">
        <v>824</v>
      </c>
      <c r="B825" t="s">
        <v>57</v>
      </c>
      <c r="C825" t="s">
        <v>22</v>
      </c>
      <c r="D825">
        <v>47</v>
      </c>
      <c r="E825" t="s">
        <v>44</v>
      </c>
      <c r="F825" s="4">
        <v>160512.25</v>
      </c>
      <c r="G825" t="str">
        <f t="shared" si="48"/>
        <v>Midum Income</v>
      </c>
      <c r="H825">
        <v>218988.19</v>
      </c>
      <c r="I825">
        <v>302</v>
      </c>
      <c r="J825" t="s">
        <v>32</v>
      </c>
      <c r="K825" t="s">
        <v>59</v>
      </c>
      <c r="L825">
        <v>25317.75</v>
      </c>
      <c r="M825">
        <v>158220.99</v>
      </c>
      <c r="N825" t="s">
        <v>28</v>
      </c>
      <c r="O825" s="7">
        <f t="shared" ca="1" si="49"/>
        <v>45674</v>
      </c>
      <c r="P825" s="7">
        <v>45815</v>
      </c>
      <c r="Q825">
        <v>2</v>
      </c>
      <c r="R825" t="str">
        <f t="shared" si="50"/>
        <v>High Risk</v>
      </c>
      <c r="S825" t="str">
        <f t="shared" si="51"/>
        <v>Poor</v>
      </c>
      <c r="T825" s="4">
        <f>Table1[[#This Row],[Deposit_Amount]]+Table1[[#This Row],[Withdrawal_Amount]]</f>
        <v>379500.44</v>
      </c>
      <c r="U825" t="s">
        <v>274</v>
      </c>
    </row>
    <row r="826" spans="1:21" x14ac:dyDescent="0.3">
      <c r="A826">
        <v>825</v>
      </c>
      <c r="B826" t="s">
        <v>57</v>
      </c>
      <c r="C826" t="s">
        <v>22</v>
      </c>
      <c r="D826">
        <v>40</v>
      </c>
      <c r="E826" t="s">
        <v>31</v>
      </c>
      <c r="F826" s="4">
        <v>467374.16</v>
      </c>
      <c r="G826" t="str">
        <f t="shared" si="48"/>
        <v>High Income</v>
      </c>
      <c r="H826">
        <v>175183.96</v>
      </c>
      <c r="I826">
        <v>405</v>
      </c>
      <c r="J826" t="s">
        <v>18</v>
      </c>
      <c r="K826" t="s">
        <v>24</v>
      </c>
      <c r="L826">
        <v>458427.15</v>
      </c>
      <c r="M826">
        <v>185673.76</v>
      </c>
      <c r="N826" t="s">
        <v>25</v>
      </c>
      <c r="O826" s="7">
        <f t="shared" ca="1" si="49"/>
        <v>45895</v>
      </c>
      <c r="P826" s="7">
        <v>45969</v>
      </c>
      <c r="Q826">
        <v>2</v>
      </c>
      <c r="R826" t="str">
        <f t="shared" si="50"/>
        <v>Midum Risk</v>
      </c>
      <c r="S826" t="str">
        <f t="shared" si="51"/>
        <v xml:space="preserve">Midum </v>
      </c>
      <c r="T826" s="4">
        <f>Table1[[#This Row],[Deposit_Amount]]+Table1[[#This Row],[Withdrawal_Amount]]</f>
        <v>642558.12</v>
      </c>
      <c r="U826" t="s">
        <v>274</v>
      </c>
    </row>
    <row r="827" spans="1:21" x14ac:dyDescent="0.3">
      <c r="A827">
        <v>826</v>
      </c>
      <c r="B827" t="s">
        <v>143</v>
      </c>
      <c r="C827" t="s">
        <v>16</v>
      </c>
      <c r="D827">
        <v>30</v>
      </c>
      <c r="E827" t="s">
        <v>35</v>
      </c>
      <c r="F827" s="4">
        <v>94353.27</v>
      </c>
      <c r="G827" t="str">
        <f t="shared" si="48"/>
        <v>Low Income</v>
      </c>
      <c r="H827">
        <v>153886.74</v>
      </c>
      <c r="I827">
        <v>595</v>
      </c>
      <c r="J827" t="s">
        <v>32</v>
      </c>
      <c r="K827" t="s">
        <v>36</v>
      </c>
      <c r="L827">
        <v>-33355.800000000003</v>
      </c>
      <c r="M827">
        <v>134583.78</v>
      </c>
      <c r="N827" t="s">
        <v>25</v>
      </c>
      <c r="O827" s="7">
        <f t="shared" ca="1" si="49"/>
        <v>45704</v>
      </c>
      <c r="P827" s="7">
        <v>45926</v>
      </c>
      <c r="Q827">
        <v>4</v>
      </c>
      <c r="R827" t="str">
        <f t="shared" si="50"/>
        <v>Midum Risk</v>
      </c>
      <c r="S827" t="str">
        <f t="shared" si="51"/>
        <v xml:space="preserve">Midum </v>
      </c>
      <c r="T827" s="4">
        <f>Table1[[#This Row],[Deposit_Amount]]+Table1[[#This Row],[Withdrawal_Amount]]</f>
        <v>248240.01</v>
      </c>
      <c r="U827" t="s">
        <v>274</v>
      </c>
    </row>
    <row r="828" spans="1:21" x14ac:dyDescent="0.3">
      <c r="A828">
        <v>827</v>
      </c>
      <c r="B828" t="s">
        <v>15</v>
      </c>
      <c r="C828" t="s">
        <v>16</v>
      </c>
      <c r="D828">
        <v>46</v>
      </c>
      <c r="E828" t="s">
        <v>44</v>
      </c>
      <c r="F828" s="4">
        <v>393268.99</v>
      </c>
      <c r="G828" t="str">
        <f t="shared" si="48"/>
        <v>High Income</v>
      </c>
      <c r="H828">
        <v>177622.63</v>
      </c>
      <c r="I828">
        <v>521</v>
      </c>
      <c r="J828" t="s">
        <v>27</v>
      </c>
      <c r="K828" t="s">
        <v>42</v>
      </c>
      <c r="L828">
        <v>376316.99</v>
      </c>
      <c r="M828">
        <v>59846.15</v>
      </c>
      <c r="N828" t="s">
        <v>20</v>
      </c>
      <c r="O828" s="7">
        <f t="shared" ca="1" si="49"/>
        <v>45699</v>
      </c>
      <c r="P828" s="7">
        <v>45970</v>
      </c>
      <c r="Q828">
        <v>5</v>
      </c>
      <c r="R828" t="str">
        <f t="shared" si="50"/>
        <v>Midum Risk</v>
      </c>
      <c r="S828" t="str">
        <f t="shared" si="51"/>
        <v xml:space="preserve">Midum </v>
      </c>
      <c r="T828" s="4">
        <f>Table1[[#This Row],[Deposit_Amount]]+Table1[[#This Row],[Withdrawal_Amount]]</f>
        <v>570891.62</v>
      </c>
      <c r="U828" t="s">
        <v>274</v>
      </c>
    </row>
    <row r="829" spans="1:21" x14ac:dyDescent="0.3">
      <c r="A829">
        <v>828</v>
      </c>
      <c r="B829" t="s">
        <v>203</v>
      </c>
      <c r="C829" t="s">
        <v>16</v>
      </c>
      <c r="D829">
        <v>47</v>
      </c>
      <c r="E829" t="s">
        <v>40</v>
      </c>
      <c r="F829" s="4">
        <v>378345.83</v>
      </c>
      <c r="G829" t="str">
        <f t="shared" si="48"/>
        <v>High Income</v>
      </c>
      <c r="H829">
        <v>276642.81</v>
      </c>
      <c r="I829">
        <v>780</v>
      </c>
      <c r="J829" t="s">
        <v>32</v>
      </c>
      <c r="K829" t="s">
        <v>19</v>
      </c>
      <c r="L829">
        <v>246964.23</v>
      </c>
      <c r="M829">
        <v>47059.81</v>
      </c>
      <c r="N829" t="s">
        <v>20</v>
      </c>
      <c r="O829" s="7">
        <f t="shared" ca="1" si="49"/>
        <v>45874</v>
      </c>
      <c r="P829" s="7">
        <v>45703</v>
      </c>
      <c r="Q829">
        <v>3</v>
      </c>
      <c r="R829" t="str">
        <f t="shared" si="50"/>
        <v>Low Risk</v>
      </c>
      <c r="S829" t="str">
        <f t="shared" si="51"/>
        <v>Good</v>
      </c>
      <c r="T829" s="4">
        <f>Table1[[#This Row],[Deposit_Amount]]+Table1[[#This Row],[Withdrawal_Amount]]</f>
        <v>654988.64</v>
      </c>
      <c r="U829" t="s">
        <v>274</v>
      </c>
    </row>
    <row r="830" spans="1:21" x14ac:dyDescent="0.3">
      <c r="A830">
        <v>829</v>
      </c>
      <c r="B830" t="s">
        <v>48</v>
      </c>
      <c r="C830" t="s">
        <v>22</v>
      </c>
      <c r="D830">
        <v>19</v>
      </c>
      <c r="E830" t="s">
        <v>35</v>
      </c>
      <c r="F830" s="4">
        <v>106636.62</v>
      </c>
      <c r="G830" t="str">
        <f t="shared" si="48"/>
        <v>Midum Income</v>
      </c>
      <c r="H830">
        <v>299192.55</v>
      </c>
      <c r="I830">
        <v>737</v>
      </c>
      <c r="J830" t="s">
        <v>27</v>
      </c>
      <c r="K830" t="s">
        <v>59</v>
      </c>
      <c r="L830">
        <v>-111472.48</v>
      </c>
      <c r="M830">
        <v>77151.42</v>
      </c>
      <c r="N830" t="s">
        <v>25</v>
      </c>
      <c r="O830" s="7">
        <f t="shared" ca="1" si="49"/>
        <v>45869</v>
      </c>
      <c r="P830" s="7">
        <v>45898</v>
      </c>
      <c r="Q830">
        <v>5</v>
      </c>
      <c r="R830" t="str">
        <f t="shared" si="50"/>
        <v>Low Risk</v>
      </c>
      <c r="S830" t="str">
        <f t="shared" si="51"/>
        <v>Good</v>
      </c>
      <c r="T830" s="4">
        <f>Table1[[#This Row],[Deposit_Amount]]+Table1[[#This Row],[Withdrawal_Amount]]</f>
        <v>405829.17</v>
      </c>
      <c r="U830" t="s">
        <v>274</v>
      </c>
    </row>
    <row r="831" spans="1:21" x14ac:dyDescent="0.3">
      <c r="A831">
        <v>830</v>
      </c>
      <c r="B831" t="s">
        <v>126</v>
      </c>
      <c r="C831" t="s">
        <v>22</v>
      </c>
      <c r="D831">
        <v>40</v>
      </c>
      <c r="E831" t="s">
        <v>23</v>
      </c>
      <c r="F831" s="4">
        <v>407039.16</v>
      </c>
      <c r="G831" t="str">
        <f t="shared" si="48"/>
        <v>High Income</v>
      </c>
      <c r="H831">
        <v>151165.82999999999</v>
      </c>
      <c r="I831">
        <v>678</v>
      </c>
      <c r="J831" t="s">
        <v>18</v>
      </c>
      <c r="K831" t="s">
        <v>59</v>
      </c>
      <c r="L831">
        <v>269094.46000000002</v>
      </c>
      <c r="M831">
        <v>40071.81</v>
      </c>
      <c r="N831" t="s">
        <v>28</v>
      </c>
      <c r="O831" s="7">
        <f t="shared" ca="1" si="49"/>
        <v>45744</v>
      </c>
      <c r="P831" s="7">
        <v>45835</v>
      </c>
      <c r="Q831">
        <v>2</v>
      </c>
      <c r="R831" t="str">
        <f t="shared" si="50"/>
        <v>Low Risk</v>
      </c>
      <c r="S831" t="str">
        <f t="shared" si="51"/>
        <v>Good</v>
      </c>
      <c r="T831" s="4">
        <f>Table1[[#This Row],[Deposit_Amount]]+Table1[[#This Row],[Withdrawal_Amount]]</f>
        <v>558204.99</v>
      </c>
      <c r="U831" t="s">
        <v>274</v>
      </c>
    </row>
    <row r="832" spans="1:21" x14ac:dyDescent="0.3">
      <c r="A832">
        <v>831</v>
      </c>
      <c r="B832" t="s">
        <v>108</v>
      </c>
      <c r="C832" t="s">
        <v>16</v>
      </c>
      <c r="D832">
        <v>67</v>
      </c>
      <c r="E832" t="s">
        <v>44</v>
      </c>
      <c r="F832" s="4">
        <v>67435.350000000006</v>
      </c>
      <c r="G832" t="str">
        <f t="shared" si="48"/>
        <v>Low Income</v>
      </c>
      <c r="H832">
        <v>151740.35</v>
      </c>
      <c r="I832">
        <v>367</v>
      </c>
      <c r="J832" t="s">
        <v>27</v>
      </c>
      <c r="K832" t="s">
        <v>59</v>
      </c>
      <c r="L832">
        <v>71462.259999999995</v>
      </c>
      <c r="M832">
        <v>150544.37</v>
      </c>
      <c r="N832" t="s">
        <v>20</v>
      </c>
      <c r="O832" s="7">
        <f t="shared" ca="1" si="49"/>
        <v>45876</v>
      </c>
      <c r="P832" s="7">
        <v>45873</v>
      </c>
      <c r="Q832">
        <v>4</v>
      </c>
      <c r="R832" t="str">
        <f t="shared" si="50"/>
        <v>High Risk</v>
      </c>
      <c r="S832" t="str">
        <f t="shared" si="51"/>
        <v>Poor</v>
      </c>
      <c r="T832" s="4">
        <f>Table1[[#This Row],[Deposit_Amount]]+Table1[[#This Row],[Withdrawal_Amount]]</f>
        <v>219175.7</v>
      </c>
      <c r="U832" t="s">
        <v>274</v>
      </c>
    </row>
    <row r="833" spans="1:21" x14ac:dyDescent="0.3">
      <c r="A833">
        <v>832</v>
      </c>
      <c r="B833" t="s">
        <v>196</v>
      </c>
      <c r="C833" t="s">
        <v>22</v>
      </c>
      <c r="D833">
        <v>44</v>
      </c>
      <c r="E833" t="s">
        <v>35</v>
      </c>
      <c r="F833" s="4">
        <v>464932.32</v>
      </c>
      <c r="G833" t="str">
        <f t="shared" si="48"/>
        <v>High Income</v>
      </c>
      <c r="H833">
        <v>243128.13</v>
      </c>
      <c r="I833">
        <v>412</v>
      </c>
      <c r="J833" t="s">
        <v>41</v>
      </c>
      <c r="K833" t="s">
        <v>42</v>
      </c>
      <c r="L833">
        <v>361091.12</v>
      </c>
      <c r="M833">
        <v>248442</v>
      </c>
      <c r="N833" t="s">
        <v>20</v>
      </c>
      <c r="O833" s="7">
        <f t="shared" ca="1" si="49"/>
        <v>45989</v>
      </c>
      <c r="P833" s="7">
        <v>45842</v>
      </c>
      <c r="Q833">
        <v>3</v>
      </c>
      <c r="R833" t="str">
        <f t="shared" si="50"/>
        <v>Midum Risk</v>
      </c>
      <c r="S833" t="str">
        <f t="shared" si="51"/>
        <v xml:space="preserve">Midum </v>
      </c>
      <c r="T833" s="4">
        <f>Table1[[#This Row],[Deposit_Amount]]+Table1[[#This Row],[Withdrawal_Amount]]</f>
        <v>708060.45</v>
      </c>
      <c r="U833" t="s">
        <v>274</v>
      </c>
    </row>
    <row r="834" spans="1:21" x14ac:dyDescent="0.3">
      <c r="A834">
        <v>833</v>
      </c>
      <c r="B834" t="s">
        <v>165</v>
      </c>
      <c r="C834" t="s">
        <v>16</v>
      </c>
      <c r="D834">
        <v>51</v>
      </c>
      <c r="E834" t="s">
        <v>40</v>
      </c>
      <c r="F834" s="4">
        <v>101660.07</v>
      </c>
      <c r="G834" t="str">
        <f t="shared" ref="G834:G897" si="52">IF(F834&lt;=100000,"Low Income",IF(F834&lt;=200000,"Midum Income","High Income"))</f>
        <v>Midum Income</v>
      </c>
      <c r="H834">
        <v>182093.73</v>
      </c>
      <c r="I834">
        <v>685</v>
      </c>
      <c r="J834" t="s">
        <v>41</v>
      </c>
      <c r="K834" t="s">
        <v>42</v>
      </c>
      <c r="L834">
        <v>-38639.46</v>
      </c>
      <c r="M834">
        <v>249445.38</v>
      </c>
      <c r="N834" t="s">
        <v>28</v>
      </c>
      <c r="O834" s="7">
        <f t="shared" ref="O834:O897" ca="1" si="53">RANDBETWEEN(DATE(2025,1,1),DATE(2025,12,31))</f>
        <v>45696</v>
      </c>
      <c r="P834" s="7">
        <v>45917</v>
      </c>
      <c r="Q834">
        <v>4</v>
      </c>
      <c r="R834" t="str">
        <f t="shared" ref="R834:R897" si="54">IF(I834&lt;=400,"High Risk",IF(I834&lt;=600,"Midum Risk","Low Risk"))</f>
        <v>Low Risk</v>
      </c>
      <c r="S834" t="str">
        <f t="shared" ref="S834:S897" si="55">IF(I834&lt;=400,"Poor",IF(I834&lt;=600,"Midum ","Good"))</f>
        <v>Good</v>
      </c>
      <c r="T834" s="4">
        <f>Table1[[#This Row],[Deposit_Amount]]+Table1[[#This Row],[Withdrawal_Amount]]</f>
        <v>283753.80000000005</v>
      </c>
      <c r="U834" t="s">
        <v>274</v>
      </c>
    </row>
    <row r="835" spans="1:21" x14ac:dyDescent="0.3">
      <c r="A835">
        <v>834</v>
      </c>
      <c r="B835" t="s">
        <v>161</v>
      </c>
      <c r="C835" t="s">
        <v>16</v>
      </c>
      <c r="D835">
        <v>33</v>
      </c>
      <c r="E835" t="s">
        <v>31</v>
      </c>
      <c r="F835" s="4">
        <v>64224.37</v>
      </c>
      <c r="G835" t="str">
        <f t="shared" si="52"/>
        <v>Low Income</v>
      </c>
      <c r="H835">
        <v>92324.45</v>
      </c>
      <c r="I835">
        <v>727</v>
      </c>
      <c r="J835" t="s">
        <v>38</v>
      </c>
      <c r="K835" t="s">
        <v>36</v>
      </c>
      <c r="L835">
        <v>10849.07</v>
      </c>
      <c r="M835">
        <v>15591.36</v>
      </c>
      <c r="N835" t="s">
        <v>28</v>
      </c>
      <c r="O835" s="7">
        <f t="shared" ca="1" si="53"/>
        <v>45779</v>
      </c>
      <c r="P835" s="7">
        <v>45732</v>
      </c>
      <c r="Q835">
        <v>2</v>
      </c>
      <c r="R835" t="str">
        <f t="shared" si="54"/>
        <v>Low Risk</v>
      </c>
      <c r="S835" t="str">
        <f t="shared" si="55"/>
        <v>Good</v>
      </c>
      <c r="T835" s="4">
        <f>Table1[[#This Row],[Deposit_Amount]]+Table1[[#This Row],[Withdrawal_Amount]]</f>
        <v>156548.82</v>
      </c>
      <c r="U835" t="s">
        <v>274</v>
      </c>
    </row>
    <row r="836" spans="1:21" x14ac:dyDescent="0.3">
      <c r="A836">
        <v>835</v>
      </c>
      <c r="B836" t="s">
        <v>149</v>
      </c>
      <c r="C836" t="s">
        <v>22</v>
      </c>
      <c r="D836">
        <v>54</v>
      </c>
      <c r="E836" t="s">
        <v>40</v>
      </c>
      <c r="F836" s="4">
        <v>198715.36</v>
      </c>
      <c r="G836" t="str">
        <f t="shared" si="52"/>
        <v>Midum Income</v>
      </c>
      <c r="H836">
        <v>148700.35</v>
      </c>
      <c r="I836">
        <v>406</v>
      </c>
      <c r="J836" t="s">
        <v>18</v>
      </c>
      <c r="K836" t="s">
        <v>19</v>
      </c>
      <c r="L836">
        <v>182742.49</v>
      </c>
      <c r="M836">
        <v>247510.48</v>
      </c>
      <c r="N836" t="s">
        <v>20</v>
      </c>
      <c r="O836" s="7">
        <f t="shared" ca="1" si="53"/>
        <v>45761</v>
      </c>
      <c r="P836" s="7">
        <v>45900</v>
      </c>
      <c r="Q836">
        <v>2</v>
      </c>
      <c r="R836" t="str">
        <f t="shared" si="54"/>
        <v>Midum Risk</v>
      </c>
      <c r="S836" t="str">
        <f t="shared" si="55"/>
        <v xml:space="preserve">Midum </v>
      </c>
      <c r="T836" s="4">
        <f>Table1[[#This Row],[Deposit_Amount]]+Table1[[#This Row],[Withdrawal_Amount]]</f>
        <v>347415.70999999996</v>
      </c>
      <c r="U836" t="s">
        <v>274</v>
      </c>
    </row>
    <row r="837" spans="1:21" x14ac:dyDescent="0.3">
      <c r="A837">
        <v>836</v>
      </c>
      <c r="B837" t="s">
        <v>177</v>
      </c>
      <c r="C837" t="s">
        <v>16</v>
      </c>
      <c r="D837">
        <v>66</v>
      </c>
      <c r="E837" t="s">
        <v>31</v>
      </c>
      <c r="F837" s="4">
        <v>88774</v>
      </c>
      <c r="G837" t="str">
        <f t="shared" si="52"/>
        <v>Low Income</v>
      </c>
      <c r="H837">
        <v>270477.53000000003</v>
      </c>
      <c r="I837">
        <v>614</v>
      </c>
      <c r="J837" t="s">
        <v>27</v>
      </c>
      <c r="K837" t="s">
        <v>19</v>
      </c>
      <c r="L837">
        <v>-95713.38</v>
      </c>
      <c r="M837">
        <v>37369</v>
      </c>
      <c r="N837" t="s">
        <v>25</v>
      </c>
      <c r="O837" s="7">
        <f t="shared" ca="1" si="53"/>
        <v>45920</v>
      </c>
      <c r="P837" s="7">
        <v>45829</v>
      </c>
      <c r="Q837">
        <v>1</v>
      </c>
      <c r="R837" t="str">
        <f t="shared" si="54"/>
        <v>Low Risk</v>
      </c>
      <c r="S837" t="str">
        <f t="shared" si="55"/>
        <v>Good</v>
      </c>
      <c r="T837" s="4">
        <f>Table1[[#This Row],[Deposit_Amount]]+Table1[[#This Row],[Withdrawal_Amount]]</f>
        <v>359251.53</v>
      </c>
      <c r="U837" t="s">
        <v>274</v>
      </c>
    </row>
    <row r="838" spans="1:21" x14ac:dyDescent="0.3">
      <c r="A838">
        <v>837</v>
      </c>
      <c r="B838" t="s">
        <v>80</v>
      </c>
      <c r="C838" t="s">
        <v>22</v>
      </c>
      <c r="D838">
        <v>21</v>
      </c>
      <c r="E838" t="s">
        <v>44</v>
      </c>
      <c r="F838" s="4">
        <v>160985.73000000001</v>
      </c>
      <c r="G838" t="str">
        <f t="shared" si="52"/>
        <v>Midum Income</v>
      </c>
      <c r="H838">
        <v>11072.72</v>
      </c>
      <c r="I838">
        <v>470</v>
      </c>
      <c r="J838" t="s">
        <v>18</v>
      </c>
      <c r="K838" t="s">
        <v>36</v>
      </c>
      <c r="L838">
        <v>297688.88</v>
      </c>
      <c r="M838">
        <v>177233.18</v>
      </c>
      <c r="N838" t="s">
        <v>25</v>
      </c>
      <c r="O838" s="7">
        <f t="shared" ca="1" si="53"/>
        <v>45910</v>
      </c>
      <c r="P838" s="7">
        <v>45689</v>
      </c>
      <c r="Q838">
        <v>3</v>
      </c>
      <c r="R838" t="str">
        <f t="shared" si="54"/>
        <v>Midum Risk</v>
      </c>
      <c r="S838" t="str">
        <f t="shared" si="55"/>
        <v xml:space="preserve">Midum </v>
      </c>
      <c r="T838" s="4">
        <f>Table1[[#This Row],[Deposit_Amount]]+Table1[[#This Row],[Withdrawal_Amount]]</f>
        <v>172058.45</v>
      </c>
      <c r="U838" t="s">
        <v>274</v>
      </c>
    </row>
    <row r="839" spans="1:21" x14ac:dyDescent="0.3">
      <c r="A839">
        <v>838</v>
      </c>
      <c r="B839" t="s">
        <v>205</v>
      </c>
      <c r="C839" t="s">
        <v>16</v>
      </c>
      <c r="D839">
        <v>35</v>
      </c>
      <c r="E839" t="s">
        <v>40</v>
      </c>
      <c r="F839" s="4">
        <v>174545.93</v>
      </c>
      <c r="G839" t="str">
        <f t="shared" si="52"/>
        <v>Midum Income</v>
      </c>
      <c r="H839">
        <v>292938.36</v>
      </c>
      <c r="I839">
        <v>329</v>
      </c>
      <c r="J839" t="s">
        <v>38</v>
      </c>
      <c r="K839" t="s">
        <v>24</v>
      </c>
      <c r="L839">
        <v>-50364.639999999999</v>
      </c>
      <c r="M839">
        <v>192659.68</v>
      </c>
      <c r="N839" t="s">
        <v>20</v>
      </c>
      <c r="O839" s="7">
        <f t="shared" ca="1" si="53"/>
        <v>45976</v>
      </c>
      <c r="P839" s="7">
        <v>45816</v>
      </c>
      <c r="Q839">
        <v>4</v>
      </c>
      <c r="R839" t="str">
        <f t="shared" si="54"/>
        <v>High Risk</v>
      </c>
      <c r="S839" t="str">
        <f t="shared" si="55"/>
        <v>Poor</v>
      </c>
      <c r="T839" s="4">
        <f>Table1[[#This Row],[Deposit_Amount]]+Table1[[#This Row],[Withdrawal_Amount]]</f>
        <v>467484.29</v>
      </c>
      <c r="U839" t="s">
        <v>274</v>
      </c>
    </row>
    <row r="840" spans="1:21" x14ac:dyDescent="0.3">
      <c r="A840">
        <v>839</v>
      </c>
      <c r="B840" t="s">
        <v>175</v>
      </c>
      <c r="C840" t="s">
        <v>22</v>
      </c>
      <c r="D840">
        <v>51</v>
      </c>
      <c r="E840" t="s">
        <v>23</v>
      </c>
      <c r="F840" s="4">
        <v>422663.17</v>
      </c>
      <c r="G840" t="str">
        <f t="shared" si="52"/>
        <v>High Income</v>
      </c>
      <c r="H840">
        <v>147797.64000000001</v>
      </c>
      <c r="I840">
        <v>495</v>
      </c>
      <c r="J840" t="s">
        <v>18</v>
      </c>
      <c r="K840" t="s">
        <v>42</v>
      </c>
      <c r="L840">
        <v>325782.46999999997</v>
      </c>
      <c r="M840">
        <v>215510.64</v>
      </c>
      <c r="N840" t="s">
        <v>20</v>
      </c>
      <c r="O840" s="7">
        <f t="shared" ca="1" si="53"/>
        <v>45673</v>
      </c>
      <c r="P840" s="7">
        <v>45775</v>
      </c>
      <c r="Q840">
        <v>1</v>
      </c>
      <c r="R840" t="str">
        <f t="shared" si="54"/>
        <v>Midum Risk</v>
      </c>
      <c r="S840" t="str">
        <f t="shared" si="55"/>
        <v xml:space="preserve">Midum </v>
      </c>
      <c r="T840" s="4">
        <f>Table1[[#This Row],[Deposit_Amount]]+Table1[[#This Row],[Withdrawal_Amount]]</f>
        <v>570460.81000000006</v>
      </c>
      <c r="U840" t="s">
        <v>274</v>
      </c>
    </row>
    <row r="841" spans="1:21" x14ac:dyDescent="0.3">
      <c r="A841">
        <v>840</v>
      </c>
      <c r="B841" t="s">
        <v>30</v>
      </c>
      <c r="C841" t="s">
        <v>16</v>
      </c>
      <c r="D841">
        <v>50</v>
      </c>
      <c r="E841" t="s">
        <v>17</v>
      </c>
      <c r="F841" s="4">
        <v>120099.85</v>
      </c>
      <c r="G841" t="str">
        <f t="shared" si="52"/>
        <v>Midum Income</v>
      </c>
      <c r="H841">
        <v>120216.04</v>
      </c>
      <c r="I841">
        <v>869</v>
      </c>
      <c r="J841" t="s">
        <v>41</v>
      </c>
      <c r="K841" t="s">
        <v>59</v>
      </c>
      <c r="L841">
        <v>117328.62</v>
      </c>
      <c r="M841">
        <v>89354.29</v>
      </c>
      <c r="N841" t="s">
        <v>20</v>
      </c>
      <c r="O841" s="7">
        <f t="shared" ca="1" si="53"/>
        <v>45720</v>
      </c>
      <c r="P841" s="7">
        <v>45704</v>
      </c>
      <c r="Q841">
        <v>5</v>
      </c>
      <c r="R841" t="str">
        <f t="shared" si="54"/>
        <v>Low Risk</v>
      </c>
      <c r="S841" t="str">
        <f t="shared" si="55"/>
        <v>Good</v>
      </c>
      <c r="T841" s="4">
        <f>Table1[[#This Row],[Deposit_Amount]]+Table1[[#This Row],[Withdrawal_Amount]]</f>
        <v>240315.89</v>
      </c>
      <c r="U841" t="s">
        <v>274</v>
      </c>
    </row>
    <row r="842" spans="1:21" x14ac:dyDescent="0.3">
      <c r="A842">
        <v>841</v>
      </c>
      <c r="B842" t="s">
        <v>107</v>
      </c>
      <c r="C842" t="s">
        <v>16</v>
      </c>
      <c r="D842">
        <v>38</v>
      </c>
      <c r="E842" t="s">
        <v>35</v>
      </c>
      <c r="F842" s="4">
        <v>224877.54</v>
      </c>
      <c r="G842" t="str">
        <f t="shared" si="52"/>
        <v>High Income</v>
      </c>
      <c r="H842">
        <v>285816.46999999997</v>
      </c>
      <c r="I842">
        <v>653</v>
      </c>
      <c r="J842" t="s">
        <v>27</v>
      </c>
      <c r="K842" t="s">
        <v>59</v>
      </c>
      <c r="L842">
        <v>43306.94</v>
      </c>
      <c r="M842">
        <v>228550.96</v>
      </c>
      <c r="N842" t="s">
        <v>28</v>
      </c>
      <c r="O842" s="7">
        <f t="shared" ca="1" si="53"/>
        <v>45720</v>
      </c>
      <c r="P842" s="7">
        <v>45729</v>
      </c>
      <c r="Q842">
        <v>5</v>
      </c>
      <c r="R842" t="str">
        <f t="shared" si="54"/>
        <v>Low Risk</v>
      </c>
      <c r="S842" t="str">
        <f t="shared" si="55"/>
        <v>Good</v>
      </c>
      <c r="T842" s="4">
        <f>Table1[[#This Row],[Deposit_Amount]]+Table1[[#This Row],[Withdrawal_Amount]]</f>
        <v>510694.01</v>
      </c>
      <c r="U842" t="s">
        <v>274</v>
      </c>
    </row>
    <row r="843" spans="1:21" x14ac:dyDescent="0.3">
      <c r="A843">
        <v>842</v>
      </c>
      <c r="B843" t="s">
        <v>116</v>
      </c>
      <c r="C843" t="s">
        <v>16</v>
      </c>
      <c r="D843">
        <v>39</v>
      </c>
      <c r="E843" t="s">
        <v>17</v>
      </c>
      <c r="F843" s="4">
        <v>149779.57999999999</v>
      </c>
      <c r="G843" t="str">
        <f t="shared" si="52"/>
        <v>Midum Income</v>
      </c>
      <c r="H843">
        <v>173344.01</v>
      </c>
      <c r="I843">
        <v>485</v>
      </c>
      <c r="J843" t="s">
        <v>27</v>
      </c>
      <c r="K843" t="s">
        <v>24</v>
      </c>
      <c r="L843">
        <v>132350.60999999999</v>
      </c>
      <c r="M843">
        <v>228102.95</v>
      </c>
      <c r="N843" t="s">
        <v>28</v>
      </c>
      <c r="O843" s="7">
        <f t="shared" ca="1" si="53"/>
        <v>45950</v>
      </c>
      <c r="P843" s="7">
        <v>46013</v>
      </c>
      <c r="Q843">
        <v>2</v>
      </c>
      <c r="R843" t="str">
        <f t="shared" si="54"/>
        <v>Midum Risk</v>
      </c>
      <c r="S843" t="str">
        <f t="shared" si="55"/>
        <v xml:space="preserve">Midum </v>
      </c>
      <c r="T843" s="4">
        <f>Table1[[#This Row],[Deposit_Amount]]+Table1[[#This Row],[Withdrawal_Amount]]</f>
        <v>323123.58999999997</v>
      </c>
      <c r="U843" t="s">
        <v>274</v>
      </c>
    </row>
    <row r="844" spans="1:21" x14ac:dyDescent="0.3">
      <c r="A844">
        <v>843</v>
      </c>
      <c r="B844" t="s">
        <v>92</v>
      </c>
      <c r="C844" t="s">
        <v>16</v>
      </c>
      <c r="D844">
        <v>31</v>
      </c>
      <c r="E844" t="s">
        <v>31</v>
      </c>
      <c r="F844" s="4">
        <v>187390.62</v>
      </c>
      <c r="G844" t="str">
        <f t="shared" si="52"/>
        <v>Midum Income</v>
      </c>
      <c r="H844">
        <v>296040.84000000003</v>
      </c>
      <c r="I844">
        <v>548</v>
      </c>
      <c r="J844" t="s">
        <v>32</v>
      </c>
      <c r="K844" t="s">
        <v>19</v>
      </c>
      <c r="L844">
        <v>21053.38</v>
      </c>
      <c r="M844">
        <v>161051.15</v>
      </c>
      <c r="N844" t="s">
        <v>28</v>
      </c>
      <c r="O844" s="7">
        <f t="shared" ca="1" si="53"/>
        <v>45856</v>
      </c>
      <c r="P844" s="7">
        <v>45666</v>
      </c>
      <c r="Q844">
        <v>5</v>
      </c>
      <c r="R844" t="str">
        <f t="shared" si="54"/>
        <v>Midum Risk</v>
      </c>
      <c r="S844" t="str">
        <f t="shared" si="55"/>
        <v xml:space="preserve">Midum </v>
      </c>
      <c r="T844" s="4">
        <f>Table1[[#This Row],[Deposit_Amount]]+Table1[[#This Row],[Withdrawal_Amount]]</f>
        <v>483431.46</v>
      </c>
      <c r="U844" t="s">
        <v>274</v>
      </c>
    </row>
    <row r="845" spans="1:21" x14ac:dyDescent="0.3">
      <c r="A845">
        <v>844</v>
      </c>
      <c r="B845" t="s">
        <v>117</v>
      </c>
      <c r="C845" t="s">
        <v>22</v>
      </c>
      <c r="D845">
        <v>26</v>
      </c>
      <c r="E845" t="s">
        <v>17</v>
      </c>
      <c r="F845" s="4">
        <v>364991.32</v>
      </c>
      <c r="G845" t="str">
        <f t="shared" si="52"/>
        <v>High Income</v>
      </c>
      <c r="H845">
        <v>145673.53</v>
      </c>
      <c r="I845">
        <v>578</v>
      </c>
      <c r="J845" t="s">
        <v>38</v>
      </c>
      <c r="K845" t="s">
        <v>36</v>
      </c>
      <c r="L845">
        <v>413487.82</v>
      </c>
      <c r="M845">
        <v>92508.33</v>
      </c>
      <c r="N845" t="s">
        <v>28</v>
      </c>
      <c r="O845" s="7">
        <f t="shared" ca="1" si="53"/>
        <v>45782</v>
      </c>
      <c r="P845" s="7">
        <v>45839</v>
      </c>
      <c r="Q845">
        <v>5</v>
      </c>
      <c r="R845" t="str">
        <f t="shared" si="54"/>
        <v>Midum Risk</v>
      </c>
      <c r="S845" t="str">
        <f t="shared" si="55"/>
        <v xml:space="preserve">Midum </v>
      </c>
      <c r="T845" s="4">
        <f>Table1[[#This Row],[Deposit_Amount]]+Table1[[#This Row],[Withdrawal_Amount]]</f>
        <v>510664.85</v>
      </c>
      <c r="U845" t="s">
        <v>274</v>
      </c>
    </row>
    <row r="846" spans="1:21" x14ac:dyDescent="0.3">
      <c r="A846">
        <v>845</v>
      </c>
      <c r="B846" t="s">
        <v>174</v>
      </c>
      <c r="C846" t="s">
        <v>16</v>
      </c>
      <c r="D846">
        <v>29</v>
      </c>
      <c r="E846" t="s">
        <v>40</v>
      </c>
      <c r="F846" s="4">
        <v>300042.39</v>
      </c>
      <c r="G846" t="str">
        <f t="shared" si="52"/>
        <v>High Income</v>
      </c>
      <c r="H846">
        <v>267679.93</v>
      </c>
      <c r="I846">
        <v>635</v>
      </c>
      <c r="J846" t="s">
        <v>32</v>
      </c>
      <c r="K846" t="s">
        <v>59</v>
      </c>
      <c r="L846">
        <v>43298.36</v>
      </c>
      <c r="M846">
        <v>173707.34</v>
      </c>
      <c r="N846" t="s">
        <v>25</v>
      </c>
      <c r="O846" s="7">
        <f t="shared" ca="1" si="53"/>
        <v>45801</v>
      </c>
      <c r="P846" s="7">
        <v>45724</v>
      </c>
      <c r="Q846">
        <v>5</v>
      </c>
      <c r="R846" t="str">
        <f t="shared" si="54"/>
        <v>Low Risk</v>
      </c>
      <c r="S846" t="str">
        <f t="shared" si="55"/>
        <v>Good</v>
      </c>
      <c r="T846" s="4">
        <f>Table1[[#This Row],[Deposit_Amount]]+Table1[[#This Row],[Withdrawal_Amount]]</f>
        <v>567722.32000000007</v>
      </c>
      <c r="U846" t="s">
        <v>274</v>
      </c>
    </row>
    <row r="847" spans="1:21" x14ac:dyDescent="0.3">
      <c r="A847">
        <v>846</v>
      </c>
      <c r="B847" t="s">
        <v>34</v>
      </c>
      <c r="C847" t="s">
        <v>16</v>
      </c>
      <c r="D847">
        <v>70</v>
      </c>
      <c r="E847" t="s">
        <v>40</v>
      </c>
      <c r="F847" s="4">
        <v>41882.720000000001</v>
      </c>
      <c r="G847" t="str">
        <f t="shared" si="52"/>
        <v>Low Income</v>
      </c>
      <c r="H847">
        <v>177805.87</v>
      </c>
      <c r="I847">
        <v>462</v>
      </c>
      <c r="J847" t="s">
        <v>41</v>
      </c>
      <c r="K847" t="s">
        <v>19</v>
      </c>
      <c r="L847">
        <v>44838.65</v>
      </c>
      <c r="M847">
        <v>182018.03</v>
      </c>
      <c r="N847" t="s">
        <v>25</v>
      </c>
      <c r="O847" s="7">
        <f t="shared" ca="1" si="53"/>
        <v>45974</v>
      </c>
      <c r="P847" s="7">
        <v>46014</v>
      </c>
      <c r="Q847">
        <v>3</v>
      </c>
      <c r="R847" t="str">
        <f t="shared" si="54"/>
        <v>Midum Risk</v>
      </c>
      <c r="S847" t="str">
        <f t="shared" si="55"/>
        <v xml:space="preserve">Midum </v>
      </c>
      <c r="T847" s="4">
        <f>Table1[[#This Row],[Deposit_Amount]]+Table1[[#This Row],[Withdrawal_Amount]]</f>
        <v>219688.59</v>
      </c>
      <c r="U847" t="s">
        <v>274</v>
      </c>
    </row>
    <row r="848" spans="1:21" x14ac:dyDescent="0.3">
      <c r="A848">
        <v>847</v>
      </c>
      <c r="B848" t="s">
        <v>145</v>
      </c>
      <c r="C848" t="s">
        <v>22</v>
      </c>
      <c r="D848">
        <v>50</v>
      </c>
      <c r="E848" t="s">
        <v>31</v>
      </c>
      <c r="F848" s="4">
        <v>391030.06</v>
      </c>
      <c r="G848" t="str">
        <f t="shared" si="52"/>
        <v>High Income</v>
      </c>
      <c r="H848">
        <v>189375.29</v>
      </c>
      <c r="I848">
        <v>815</v>
      </c>
      <c r="J848" t="s">
        <v>32</v>
      </c>
      <c r="K848" t="s">
        <v>19</v>
      </c>
      <c r="L848">
        <v>257557.62</v>
      </c>
      <c r="M848">
        <v>205833.22</v>
      </c>
      <c r="N848" t="s">
        <v>25</v>
      </c>
      <c r="O848" s="7">
        <f t="shared" ca="1" si="53"/>
        <v>45696</v>
      </c>
      <c r="P848" s="7">
        <v>45713</v>
      </c>
      <c r="Q848">
        <v>4</v>
      </c>
      <c r="R848" t="str">
        <f t="shared" si="54"/>
        <v>Low Risk</v>
      </c>
      <c r="S848" t="str">
        <f t="shared" si="55"/>
        <v>Good</v>
      </c>
      <c r="T848" s="4">
        <f>Table1[[#This Row],[Deposit_Amount]]+Table1[[#This Row],[Withdrawal_Amount]]</f>
        <v>580405.35</v>
      </c>
      <c r="U848" t="s">
        <v>274</v>
      </c>
    </row>
    <row r="849" spans="1:21" x14ac:dyDescent="0.3">
      <c r="A849">
        <v>848</v>
      </c>
      <c r="B849" t="s">
        <v>112</v>
      </c>
      <c r="C849" t="s">
        <v>16</v>
      </c>
      <c r="D849">
        <v>60</v>
      </c>
      <c r="E849" t="s">
        <v>44</v>
      </c>
      <c r="F849" s="4">
        <v>107536.07</v>
      </c>
      <c r="G849" t="str">
        <f t="shared" si="52"/>
        <v>Midum Income</v>
      </c>
      <c r="H849">
        <v>247702.95</v>
      </c>
      <c r="I849">
        <v>310</v>
      </c>
      <c r="J849" t="s">
        <v>41</v>
      </c>
      <c r="K849" t="s">
        <v>19</v>
      </c>
      <c r="L849">
        <v>36868.589999999997</v>
      </c>
      <c r="M849">
        <v>22522.37</v>
      </c>
      <c r="N849" t="s">
        <v>28</v>
      </c>
      <c r="O849" s="7">
        <f t="shared" ca="1" si="53"/>
        <v>45823</v>
      </c>
      <c r="P849" s="7">
        <v>45996</v>
      </c>
      <c r="Q849">
        <v>4</v>
      </c>
      <c r="R849" t="str">
        <f t="shared" si="54"/>
        <v>High Risk</v>
      </c>
      <c r="S849" t="str">
        <f t="shared" si="55"/>
        <v>Poor</v>
      </c>
      <c r="T849" s="4">
        <f>Table1[[#This Row],[Deposit_Amount]]+Table1[[#This Row],[Withdrawal_Amount]]</f>
        <v>355239.02</v>
      </c>
      <c r="U849" t="s">
        <v>274</v>
      </c>
    </row>
    <row r="850" spans="1:21" x14ac:dyDescent="0.3">
      <c r="A850">
        <v>849</v>
      </c>
      <c r="B850" t="s">
        <v>226</v>
      </c>
      <c r="C850" t="s">
        <v>22</v>
      </c>
      <c r="D850">
        <v>65</v>
      </c>
      <c r="E850" t="s">
        <v>35</v>
      </c>
      <c r="F850" s="4">
        <v>29567.68</v>
      </c>
      <c r="G850" t="str">
        <f t="shared" si="52"/>
        <v>Low Income</v>
      </c>
      <c r="H850">
        <v>129625.22</v>
      </c>
      <c r="I850">
        <v>374</v>
      </c>
      <c r="J850" t="s">
        <v>32</v>
      </c>
      <c r="K850" t="s">
        <v>36</v>
      </c>
      <c r="L850">
        <v>-64445.79</v>
      </c>
      <c r="M850">
        <v>35975.29</v>
      </c>
      <c r="N850" t="s">
        <v>25</v>
      </c>
      <c r="O850" s="7">
        <f t="shared" ca="1" si="53"/>
        <v>45811</v>
      </c>
      <c r="P850" s="7">
        <v>46013</v>
      </c>
      <c r="Q850">
        <v>1</v>
      </c>
      <c r="R850" t="str">
        <f t="shared" si="54"/>
        <v>High Risk</v>
      </c>
      <c r="S850" t="str">
        <f t="shared" si="55"/>
        <v>Poor</v>
      </c>
      <c r="T850" s="4">
        <f>Table1[[#This Row],[Deposit_Amount]]+Table1[[#This Row],[Withdrawal_Amount]]</f>
        <v>159192.9</v>
      </c>
      <c r="U850" t="s">
        <v>274</v>
      </c>
    </row>
    <row r="851" spans="1:21" x14ac:dyDescent="0.3">
      <c r="A851">
        <v>850</v>
      </c>
      <c r="B851" t="s">
        <v>123</v>
      </c>
      <c r="C851" t="s">
        <v>22</v>
      </c>
      <c r="D851">
        <v>40</v>
      </c>
      <c r="E851" t="s">
        <v>31</v>
      </c>
      <c r="F851" s="4">
        <v>358050.53</v>
      </c>
      <c r="G851" t="str">
        <f t="shared" si="52"/>
        <v>High Income</v>
      </c>
      <c r="H851">
        <v>192869.53</v>
      </c>
      <c r="I851">
        <v>562</v>
      </c>
      <c r="J851" t="s">
        <v>27</v>
      </c>
      <c r="K851" t="s">
        <v>42</v>
      </c>
      <c r="L851">
        <v>251222.15</v>
      </c>
      <c r="M851">
        <v>207576.56</v>
      </c>
      <c r="N851" t="s">
        <v>25</v>
      </c>
      <c r="O851" s="7">
        <f t="shared" ca="1" si="53"/>
        <v>45900</v>
      </c>
      <c r="P851" s="7">
        <v>45902</v>
      </c>
      <c r="Q851">
        <v>1</v>
      </c>
      <c r="R851" t="str">
        <f t="shared" si="54"/>
        <v>Midum Risk</v>
      </c>
      <c r="S851" t="str">
        <f t="shared" si="55"/>
        <v xml:space="preserve">Midum </v>
      </c>
      <c r="T851" s="4">
        <f>Table1[[#This Row],[Deposit_Amount]]+Table1[[#This Row],[Withdrawal_Amount]]</f>
        <v>550920.06000000006</v>
      </c>
      <c r="U851" t="s">
        <v>274</v>
      </c>
    </row>
    <row r="852" spans="1:21" x14ac:dyDescent="0.3">
      <c r="A852">
        <v>851</v>
      </c>
      <c r="B852" t="s">
        <v>211</v>
      </c>
      <c r="C852" t="s">
        <v>22</v>
      </c>
      <c r="D852">
        <v>20</v>
      </c>
      <c r="E852" t="s">
        <v>40</v>
      </c>
      <c r="F852" s="4">
        <v>344883.3</v>
      </c>
      <c r="G852" t="str">
        <f t="shared" si="52"/>
        <v>High Income</v>
      </c>
      <c r="H852">
        <v>296561.42</v>
      </c>
      <c r="I852">
        <v>351</v>
      </c>
      <c r="J852" t="s">
        <v>41</v>
      </c>
      <c r="K852" t="s">
        <v>36</v>
      </c>
      <c r="L852">
        <v>66133.91</v>
      </c>
      <c r="M852">
        <v>204200.33</v>
      </c>
      <c r="N852" t="s">
        <v>20</v>
      </c>
      <c r="O852" s="7">
        <f t="shared" ca="1" si="53"/>
        <v>45960</v>
      </c>
      <c r="P852" s="7">
        <v>45680</v>
      </c>
      <c r="Q852">
        <v>4</v>
      </c>
      <c r="R852" t="str">
        <f t="shared" si="54"/>
        <v>High Risk</v>
      </c>
      <c r="S852" t="str">
        <f t="shared" si="55"/>
        <v>Poor</v>
      </c>
      <c r="T852" s="4">
        <f>Table1[[#This Row],[Deposit_Amount]]+Table1[[#This Row],[Withdrawal_Amount]]</f>
        <v>641444.72</v>
      </c>
      <c r="U852" t="s">
        <v>274</v>
      </c>
    </row>
    <row r="853" spans="1:21" x14ac:dyDescent="0.3">
      <c r="A853">
        <v>852</v>
      </c>
      <c r="B853" t="s">
        <v>108</v>
      </c>
      <c r="C853" t="s">
        <v>16</v>
      </c>
      <c r="D853">
        <v>43</v>
      </c>
      <c r="E853" t="s">
        <v>31</v>
      </c>
      <c r="F853" s="4">
        <v>378037.59</v>
      </c>
      <c r="G853" t="str">
        <f t="shared" si="52"/>
        <v>High Income</v>
      </c>
      <c r="H853">
        <v>11789.31</v>
      </c>
      <c r="I853">
        <v>844</v>
      </c>
      <c r="J853" t="s">
        <v>18</v>
      </c>
      <c r="K853" t="s">
        <v>19</v>
      </c>
      <c r="L853">
        <v>521528.29</v>
      </c>
      <c r="M853">
        <v>22443.26</v>
      </c>
      <c r="N853" t="s">
        <v>20</v>
      </c>
      <c r="O853" s="7">
        <f t="shared" ca="1" si="53"/>
        <v>45729</v>
      </c>
      <c r="P853" s="7">
        <v>45719</v>
      </c>
      <c r="Q853">
        <v>4</v>
      </c>
      <c r="R853" t="str">
        <f t="shared" si="54"/>
        <v>Low Risk</v>
      </c>
      <c r="S853" t="str">
        <f t="shared" si="55"/>
        <v>Good</v>
      </c>
      <c r="T853" s="4">
        <f>Table1[[#This Row],[Deposit_Amount]]+Table1[[#This Row],[Withdrawal_Amount]]</f>
        <v>389826.9</v>
      </c>
      <c r="U853" t="s">
        <v>274</v>
      </c>
    </row>
    <row r="854" spans="1:21" x14ac:dyDescent="0.3">
      <c r="A854">
        <v>853</v>
      </c>
      <c r="B854" t="s">
        <v>70</v>
      </c>
      <c r="C854" t="s">
        <v>22</v>
      </c>
      <c r="D854">
        <v>43</v>
      </c>
      <c r="E854" t="s">
        <v>44</v>
      </c>
      <c r="F854" s="4">
        <v>156438.87</v>
      </c>
      <c r="G854" t="str">
        <f t="shared" si="52"/>
        <v>Midum Income</v>
      </c>
      <c r="H854">
        <v>262864.62</v>
      </c>
      <c r="I854">
        <v>578</v>
      </c>
      <c r="J854" t="s">
        <v>41</v>
      </c>
      <c r="K854" t="s">
        <v>36</v>
      </c>
      <c r="L854">
        <v>-36229.440000000002</v>
      </c>
      <c r="M854">
        <v>107653.35</v>
      </c>
      <c r="N854" t="s">
        <v>20</v>
      </c>
      <c r="O854" s="7">
        <f t="shared" ca="1" si="53"/>
        <v>45773</v>
      </c>
      <c r="P854" s="7">
        <v>45731</v>
      </c>
      <c r="Q854">
        <v>3</v>
      </c>
      <c r="R854" t="str">
        <f t="shared" si="54"/>
        <v>Midum Risk</v>
      </c>
      <c r="S854" t="str">
        <f t="shared" si="55"/>
        <v xml:space="preserve">Midum </v>
      </c>
      <c r="T854" s="4">
        <f>Table1[[#This Row],[Deposit_Amount]]+Table1[[#This Row],[Withdrawal_Amount]]</f>
        <v>419303.49</v>
      </c>
      <c r="U854" t="s">
        <v>274</v>
      </c>
    </row>
    <row r="855" spans="1:21" x14ac:dyDescent="0.3">
      <c r="A855">
        <v>854</v>
      </c>
      <c r="B855" t="s">
        <v>57</v>
      </c>
      <c r="C855" t="s">
        <v>22</v>
      </c>
      <c r="D855">
        <v>19</v>
      </c>
      <c r="E855" t="s">
        <v>31</v>
      </c>
      <c r="F855" s="4">
        <v>426733.49</v>
      </c>
      <c r="G855" t="str">
        <f t="shared" si="52"/>
        <v>High Income</v>
      </c>
      <c r="H855">
        <v>239510.19</v>
      </c>
      <c r="I855">
        <v>826</v>
      </c>
      <c r="J855" t="s">
        <v>18</v>
      </c>
      <c r="K855" t="s">
        <v>24</v>
      </c>
      <c r="L855">
        <v>315756.95</v>
      </c>
      <c r="M855">
        <v>29664.48</v>
      </c>
      <c r="N855" t="s">
        <v>28</v>
      </c>
      <c r="O855" s="7">
        <f t="shared" ca="1" si="53"/>
        <v>45787</v>
      </c>
      <c r="P855" s="7">
        <v>45976</v>
      </c>
      <c r="Q855">
        <v>4</v>
      </c>
      <c r="R855" t="str">
        <f t="shared" si="54"/>
        <v>Low Risk</v>
      </c>
      <c r="S855" t="str">
        <f t="shared" si="55"/>
        <v>Good</v>
      </c>
      <c r="T855" s="4">
        <f>Table1[[#This Row],[Deposit_Amount]]+Table1[[#This Row],[Withdrawal_Amount]]</f>
        <v>666243.67999999993</v>
      </c>
      <c r="U855" t="s">
        <v>274</v>
      </c>
    </row>
    <row r="856" spans="1:21" x14ac:dyDescent="0.3">
      <c r="A856">
        <v>855</v>
      </c>
      <c r="B856" t="s">
        <v>116</v>
      </c>
      <c r="C856" t="s">
        <v>16</v>
      </c>
      <c r="D856">
        <v>40</v>
      </c>
      <c r="E856" t="s">
        <v>40</v>
      </c>
      <c r="F856" s="4">
        <v>27291.68</v>
      </c>
      <c r="G856" t="str">
        <f t="shared" si="52"/>
        <v>Low Income</v>
      </c>
      <c r="H856">
        <v>298007.56</v>
      </c>
      <c r="I856">
        <v>591</v>
      </c>
      <c r="J856" t="s">
        <v>41</v>
      </c>
      <c r="K856" t="s">
        <v>59</v>
      </c>
      <c r="L856">
        <v>-95189.96</v>
      </c>
      <c r="M856">
        <v>88890.89</v>
      </c>
      <c r="N856" t="s">
        <v>20</v>
      </c>
      <c r="O856" s="7">
        <f t="shared" ca="1" si="53"/>
        <v>45789</v>
      </c>
      <c r="P856" s="7">
        <v>45776</v>
      </c>
      <c r="Q856">
        <v>5</v>
      </c>
      <c r="R856" t="str">
        <f t="shared" si="54"/>
        <v>Midum Risk</v>
      </c>
      <c r="S856" t="str">
        <f t="shared" si="55"/>
        <v xml:space="preserve">Midum </v>
      </c>
      <c r="T856" s="4">
        <f>Table1[[#This Row],[Deposit_Amount]]+Table1[[#This Row],[Withdrawal_Amount]]</f>
        <v>325299.24</v>
      </c>
      <c r="U856" t="s">
        <v>274</v>
      </c>
    </row>
    <row r="857" spans="1:21" x14ac:dyDescent="0.3">
      <c r="A857">
        <v>856</v>
      </c>
      <c r="B857" t="s">
        <v>233</v>
      </c>
      <c r="C857" t="s">
        <v>22</v>
      </c>
      <c r="D857">
        <v>22</v>
      </c>
      <c r="E857" t="s">
        <v>40</v>
      </c>
      <c r="F857" s="4">
        <v>414625.53</v>
      </c>
      <c r="G857" t="str">
        <f t="shared" si="52"/>
        <v>High Income</v>
      </c>
      <c r="H857">
        <v>288931.64</v>
      </c>
      <c r="I857">
        <v>465</v>
      </c>
      <c r="J857" t="s">
        <v>27</v>
      </c>
      <c r="K857" t="s">
        <v>59</v>
      </c>
      <c r="L857">
        <v>187805.59</v>
      </c>
      <c r="M857">
        <v>152213.06</v>
      </c>
      <c r="N857" t="s">
        <v>28</v>
      </c>
      <c r="O857" s="7">
        <f t="shared" ca="1" si="53"/>
        <v>45957</v>
      </c>
      <c r="P857" s="7">
        <v>45836</v>
      </c>
      <c r="Q857">
        <v>5</v>
      </c>
      <c r="R857" t="str">
        <f t="shared" si="54"/>
        <v>Midum Risk</v>
      </c>
      <c r="S857" t="str">
        <f t="shared" si="55"/>
        <v xml:space="preserve">Midum </v>
      </c>
      <c r="T857" s="4">
        <f>Table1[[#This Row],[Deposit_Amount]]+Table1[[#This Row],[Withdrawal_Amount]]</f>
        <v>703557.17</v>
      </c>
      <c r="U857" t="s">
        <v>274</v>
      </c>
    </row>
    <row r="858" spans="1:21" x14ac:dyDescent="0.3">
      <c r="A858">
        <v>857</v>
      </c>
      <c r="B858" t="s">
        <v>222</v>
      </c>
      <c r="C858" t="s">
        <v>16</v>
      </c>
      <c r="D858">
        <v>29</v>
      </c>
      <c r="E858" t="s">
        <v>31</v>
      </c>
      <c r="F858" s="4">
        <v>337185.29</v>
      </c>
      <c r="G858" t="str">
        <f t="shared" si="52"/>
        <v>High Income</v>
      </c>
      <c r="H858">
        <v>121521.68</v>
      </c>
      <c r="I858">
        <v>538</v>
      </c>
      <c r="J858" t="s">
        <v>27</v>
      </c>
      <c r="K858" t="s">
        <v>42</v>
      </c>
      <c r="L858">
        <v>232693.92</v>
      </c>
      <c r="M858">
        <v>131597.01</v>
      </c>
      <c r="N858" t="s">
        <v>25</v>
      </c>
      <c r="O858" s="7">
        <f t="shared" ca="1" si="53"/>
        <v>45722</v>
      </c>
      <c r="P858" s="7">
        <v>45982</v>
      </c>
      <c r="Q858">
        <v>2</v>
      </c>
      <c r="R858" t="str">
        <f t="shared" si="54"/>
        <v>Midum Risk</v>
      </c>
      <c r="S858" t="str">
        <f t="shared" si="55"/>
        <v xml:space="preserve">Midum </v>
      </c>
      <c r="T858" s="4">
        <f>Table1[[#This Row],[Deposit_Amount]]+Table1[[#This Row],[Withdrawal_Amount]]</f>
        <v>458706.97</v>
      </c>
      <c r="U858" t="s">
        <v>274</v>
      </c>
    </row>
    <row r="859" spans="1:21" x14ac:dyDescent="0.3">
      <c r="A859">
        <v>858</v>
      </c>
      <c r="B859" t="s">
        <v>51</v>
      </c>
      <c r="C859" t="s">
        <v>22</v>
      </c>
      <c r="D859">
        <v>64</v>
      </c>
      <c r="E859" t="s">
        <v>31</v>
      </c>
      <c r="F859" s="4">
        <v>158746.29999999999</v>
      </c>
      <c r="G859" t="str">
        <f t="shared" si="52"/>
        <v>Midum Income</v>
      </c>
      <c r="H859">
        <v>232279.25</v>
      </c>
      <c r="I859">
        <v>357</v>
      </c>
      <c r="J859" t="s">
        <v>32</v>
      </c>
      <c r="K859" t="s">
        <v>42</v>
      </c>
      <c r="L859">
        <v>35330.32</v>
      </c>
      <c r="M859">
        <v>98603.32</v>
      </c>
      <c r="N859" t="s">
        <v>20</v>
      </c>
      <c r="O859" s="7">
        <f t="shared" ca="1" si="53"/>
        <v>45863</v>
      </c>
      <c r="P859" s="7">
        <v>45992</v>
      </c>
      <c r="Q859">
        <v>2</v>
      </c>
      <c r="R859" t="str">
        <f t="shared" si="54"/>
        <v>High Risk</v>
      </c>
      <c r="S859" t="str">
        <f t="shared" si="55"/>
        <v>Poor</v>
      </c>
      <c r="T859" s="4">
        <f>Table1[[#This Row],[Deposit_Amount]]+Table1[[#This Row],[Withdrawal_Amount]]</f>
        <v>391025.55</v>
      </c>
      <c r="U859" t="s">
        <v>274</v>
      </c>
    </row>
    <row r="860" spans="1:21" x14ac:dyDescent="0.3">
      <c r="A860">
        <v>859</v>
      </c>
      <c r="B860" t="s">
        <v>221</v>
      </c>
      <c r="C860" t="s">
        <v>16</v>
      </c>
      <c r="D860">
        <v>58</v>
      </c>
      <c r="E860" t="s">
        <v>40</v>
      </c>
      <c r="F860" s="4">
        <v>70119.5</v>
      </c>
      <c r="G860" t="str">
        <f t="shared" si="52"/>
        <v>Low Income</v>
      </c>
      <c r="H860">
        <v>255042.35</v>
      </c>
      <c r="I860">
        <v>461</v>
      </c>
      <c r="J860" t="s">
        <v>18</v>
      </c>
      <c r="K860" t="s">
        <v>19</v>
      </c>
      <c r="L860">
        <v>-7244.23</v>
      </c>
      <c r="M860">
        <v>17495.560000000001</v>
      </c>
      <c r="N860" t="s">
        <v>28</v>
      </c>
      <c r="O860" s="7">
        <f t="shared" ca="1" si="53"/>
        <v>45859</v>
      </c>
      <c r="P860" s="7">
        <v>45908</v>
      </c>
      <c r="Q860">
        <v>1</v>
      </c>
      <c r="R860" t="str">
        <f t="shared" si="54"/>
        <v>Midum Risk</v>
      </c>
      <c r="S860" t="str">
        <f t="shared" si="55"/>
        <v xml:space="preserve">Midum </v>
      </c>
      <c r="T860" s="4">
        <f>Table1[[#This Row],[Deposit_Amount]]+Table1[[#This Row],[Withdrawal_Amount]]</f>
        <v>325161.84999999998</v>
      </c>
      <c r="U860" t="s">
        <v>274</v>
      </c>
    </row>
    <row r="861" spans="1:21" x14ac:dyDescent="0.3">
      <c r="A861">
        <v>860</v>
      </c>
      <c r="B861" t="s">
        <v>168</v>
      </c>
      <c r="C861" t="s">
        <v>16</v>
      </c>
      <c r="D861">
        <v>20</v>
      </c>
      <c r="E861" t="s">
        <v>44</v>
      </c>
      <c r="F861" s="4">
        <v>410328.74</v>
      </c>
      <c r="G861" t="str">
        <f t="shared" si="52"/>
        <v>High Income</v>
      </c>
      <c r="H861">
        <v>91848</v>
      </c>
      <c r="I861">
        <v>655</v>
      </c>
      <c r="J861" t="s">
        <v>27</v>
      </c>
      <c r="K861" t="s">
        <v>42</v>
      </c>
      <c r="L861">
        <v>460398.74</v>
      </c>
      <c r="M861">
        <v>97247.57</v>
      </c>
      <c r="N861" t="s">
        <v>28</v>
      </c>
      <c r="O861" s="7">
        <f t="shared" ca="1" si="53"/>
        <v>45699</v>
      </c>
      <c r="P861" s="7">
        <v>45953</v>
      </c>
      <c r="Q861">
        <v>4</v>
      </c>
      <c r="R861" t="str">
        <f t="shared" si="54"/>
        <v>Low Risk</v>
      </c>
      <c r="S861" t="str">
        <f t="shared" si="55"/>
        <v>Good</v>
      </c>
      <c r="T861" s="4">
        <f>Table1[[#This Row],[Deposit_Amount]]+Table1[[#This Row],[Withdrawal_Amount]]</f>
        <v>502176.74</v>
      </c>
      <c r="U861" t="s">
        <v>274</v>
      </c>
    </row>
    <row r="862" spans="1:21" x14ac:dyDescent="0.3">
      <c r="A862">
        <v>861</v>
      </c>
      <c r="B862" t="s">
        <v>132</v>
      </c>
      <c r="C862" t="s">
        <v>22</v>
      </c>
      <c r="D862">
        <v>57</v>
      </c>
      <c r="E862" t="s">
        <v>23</v>
      </c>
      <c r="F862" s="4">
        <v>407707.72</v>
      </c>
      <c r="G862" t="str">
        <f t="shared" si="52"/>
        <v>High Income</v>
      </c>
      <c r="H862">
        <v>157393.98000000001</v>
      </c>
      <c r="I862">
        <v>865</v>
      </c>
      <c r="J862" t="s">
        <v>41</v>
      </c>
      <c r="K862" t="s">
        <v>42</v>
      </c>
      <c r="L862">
        <v>353646.02</v>
      </c>
      <c r="M862">
        <v>124683.76</v>
      </c>
      <c r="N862" t="s">
        <v>28</v>
      </c>
      <c r="O862" s="7">
        <f t="shared" ca="1" si="53"/>
        <v>45746</v>
      </c>
      <c r="P862" s="7">
        <v>45676</v>
      </c>
      <c r="Q862">
        <v>5</v>
      </c>
      <c r="R862" t="str">
        <f t="shared" si="54"/>
        <v>Low Risk</v>
      </c>
      <c r="S862" t="str">
        <f t="shared" si="55"/>
        <v>Good</v>
      </c>
      <c r="T862" s="4">
        <f>Table1[[#This Row],[Deposit_Amount]]+Table1[[#This Row],[Withdrawal_Amount]]</f>
        <v>565101.69999999995</v>
      </c>
      <c r="U862" t="s">
        <v>274</v>
      </c>
    </row>
    <row r="863" spans="1:21" x14ac:dyDescent="0.3">
      <c r="A863">
        <v>862</v>
      </c>
      <c r="B863" t="s">
        <v>145</v>
      </c>
      <c r="C863" t="s">
        <v>22</v>
      </c>
      <c r="D863">
        <v>34</v>
      </c>
      <c r="E863" t="s">
        <v>23</v>
      </c>
      <c r="F863" s="4">
        <v>79083</v>
      </c>
      <c r="G863" t="str">
        <f t="shared" si="52"/>
        <v>Low Income</v>
      </c>
      <c r="H863">
        <v>139766.68</v>
      </c>
      <c r="I863">
        <v>752</v>
      </c>
      <c r="J863" t="s">
        <v>41</v>
      </c>
      <c r="K863" t="s">
        <v>36</v>
      </c>
      <c r="L863">
        <v>-35152.22</v>
      </c>
      <c r="M863">
        <v>31132.19</v>
      </c>
      <c r="N863" t="s">
        <v>20</v>
      </c>
      <c r="O863" s="7">
        <f t="shared" ca="1" si="53"/>
        <v>45763</v>
      </c>
      <c r="P863" s="7">
        <v>45776</v>
      </c>
      <c r="Q863">
        <v>4</v>
      </c>
      <c r="R863" t="str">
        <f t="shared" si="54"/>
        <v>Low Risk</v>
      </c>
      <c r="S863" t="str">
        <f t="shared" si="55"/>
        <v>Good</v>
      </c>
      <c r="T863" s="4">
        <f>Table1[[#This Row],[Deposit_Amount]]+Table1[[#This Row],[Withdrawal_Amount]]</f>
        <v>218849.68</v>
      </c>
      <c r="U863" t="s">
        <v>274</v>
      </c>
    </row>
    <row r="864" spans="1:21" x14ac:dyDescent="0.3">
      <c r="A864">
        <v>863</v>
      </c>
      <c r="B864" t="s">
        <v>123</v>
      </c>
      <c r="C864" t="s">
        <v>22</v>
      </c>
      <c r="D864">
        <v>30</v>
      </c>
      <c r="E864" t="s">
        <v>40</v>
      </c>
      <c r="F864" s="4">
        <v>114775.74</v>
      </c>
      <c r="G864" t="str">
        <f t="shared" si="52"/>
        <v>Midum Income</v>
      </c>
      <c r="H864">
        <v>219423.2</v>
      </c>
      <c r="I864">
        <v>739</v>
      </c>
      <c r="J864" t="s">
        <v>38</v>
      </c>
      <c r="K864" t="s">
        <v>36</v>
      </c>
      <c r="L864">
        <v>-94937.85</v>
      </c>
      <c r="M864">
        <v>109039.31</v>
      </c>
      <c r="N864" t="s">
        <v>28</v>
      </c>
      <c r="O864" s="7">
        <f t="shared" ca="1" si="53"/>
        <v>45899</v>
      </c>
      <c r="P864" s="7">
        <v>45745</v>
      </c>
      <c r="Q864">
        <v>2</v>
      </c>
      <c r="R864" t="str">
        <f t="shared" si="54"/>
        <v>Low Risk</v>
      </c>
      <c r="S864" t="str">
        <f t="shared" si="55"/>
        <v>Good</v>
      </c>
      <c r="T864" s="4">
        <f>Table1[[#This Row],[Deposit_Amount]]+Table1[[#This Row],[Withdrawal_Amount]]</f>
        <v>334198.94</v>
      </c>
      <c r="U864" t="s">
        <v>274</v>
      </c>
    </row>
    <row r="865" spans="1:21" x14ac:dyDescent="0.3">
      <c r="A865">
        <v>864</v>
      </c>
      <c r="B865" t="s">
        <v>188</v>
      </c>
      <c r="C865" t="s">
        <v>16</v>
      </c>
      <c r="D865">
        <v>27</v>
      </c>
      <c r="E865" t="s">
        <v>35</v>
      </c>
      <c r="F865" s="4">
        <v>290526.62</v>
      </c>
      <c r="G865" t="str">
        <f t="shared" si="52"/>
        <v>High Income</v>
      </c>
      <c r="H865">
        <v>248721.64</v>
      </c>
      <c r="I865">
        <v>391</v>
      </c>
      <c r="J865" t="s">
        <v>38</v>
      </c>
      <c r="K865" t="s">
        <v>59</v>
      </c>
      <c r="L865">
        <v>225484.12</v>
      </c>
      <c r="M865">
        <v>123423.78</v>
      </c>
      <c r="N865" t="s">
        <v>28</v>
      </c>
      <c r="O865" s="7">
        <f t="shared" ca="1" si="53"/>
        <v>45662</v>
      </c>
      <c r="P865" s="7">
        <v>45749</v>
      </c>
      <c r="Q865">
        <v>2</v>
      </c>
      <c r="R865" t="str">
        <f t="shared" si="54"/>
        <v>High Risk</v>
      </c>
      <c r="S865" t="str">
        <f t="shared" si="55"/>
        <v>Poor</v>
      </c>
      <c r="T865" s="4">
        <f>Table1[[#This Row],[Deposit_Amount]]+Table1[[#This Row],[Withdrawal_Amount]]</f>
        <v>539248.26</v>
      </c>
      <c r="U865" t="s">
        <v>274</v>
      </c>
    </row>
    <row r="866" spans="1:21" x14ac:dyDescent="0.3">
      <c r="A866">
        <v>865</v>
      </c>
      <c r="B866" t="s">
        <v>49</v>
      </c>
      <c r="C866" t="s">
        <v>22</v>
      </c>
      <c r="D866">
        <v>67</v>
      </c>
      <c r="E866" t="s">
        <v>35</v>
      </c>
      <c r="F866" s="4">
        <v>174706.94</v>
      </c>
      <c r="G866" t="str">
        <f t="shared" si="52"/>
        <v>Midum Income</v>
      </c>
      <c r="H866">
        <v>12918.27</v>
      </c>
      <c r="I866">
        <v>858</v>
      </c>
      <c r="J866" t="s">
        <v>32</v>
      </c>
      <c r="K866" t="s">
        <v>36</v>
      </c>
      <c r="L866">
        <v>301467.98</v>
      </c>
      <c r="M866">
        <v>232450.18</v>
      </c>
      <c r="N866" t="s">
        <v>20</v>
      </c>
      <c r="O866" s="7">
        <f t="shared" ca="1" si="53"/>
        <v>45768</v>
      </c>
      <c r="P866" s="7">
        <v>45752</v>
      </c>
      <c r="Q866">
        <v>2</v>
      </c>
      <c r="R866" t="str">
        <f t="shared" si="54"/>
        <v>Low Risk</v>
      </c>
      <c r="S866" t="str">
        <f t="shared" si="55"/>
        <v>Good</v>
      </c>
      <c r="T866" s="4">
        <f>Table1[[#This Row],[Deposit_Amount]]+Table1[[#This Row],[Withdrawal_Amount]]</f>
        <v>187625.21</v>
      </c>
      <c r="U866" t="s">
        <v>274</v>
      </c>
    </row>
    <row r="867" spans="1:21" x14ac:dyDescent="0.3">
      <c r="A867">
        <v>866</v>
      </c>
      <c r="B867" t="s">
        <v>102</v>
      </c>
      <c r="C867" t="s">
        <v>22</v>
      </c>
      <c r="D867">
        <v>37</v>
      </c>
      <c r="E867" t="s">
        <v>17</v>
      </c>
      <c r="F867" s="4">
        <v>105933.7</v>
      </c>
      <c r="G867" t="str">
        <f t="shared" si="52"/>
        <v>Midum Income</v>
      </c>
      <c r="H867">
        <v>121638.32</v>
      </c>
      <c r="I867">
        <v>420</v>
      </c>
      <c r="J867" t="s">
        <v>38</v>
      </c>
      <c r="K867" t="s">
        <v>24</v>
      </c>
      <c r="L867">
        <v>146370.15</v>
      </c>
      <c r="M867">
        <v>21403.02</v>
      </c>
      <c r="N867" t="s">
        <v>20</v>
      </c>
      <c r="O867" s="7">
        <f t="shared" ca="1" si="53"/>
        <v>45687</v>
      </c>
      <c r="P867" s="7">
        <v>45789</v>
      </c>
      <c r="Q867">
        <v>1</v>
      </c>
      <c r="R867" t="str">
        <f t="shared" si="54"/>
        <v>Midum Risk</v>
      </c>
      <c r="S867" t="str">
        <f t="shared" si="55"/>
        <v xml:space="preserve">Midum </v>
      </c>
      <c r="T867" s="4">
        <f>Table1[[#This Row],[Deposit_Amount]]+Table1[[#This Row],[Withdrawal_Amount]]</f>
        <v>227572.02000000002</v>
      </c>
      <c r="U867" t="s">
        <v>274</v>
      </c>
    </row>
    <row r="868" spans="1:21" x14ac:dyDescent="0.3">
      <c r="A868">
        <v>867</v>
      </c>
      <c r="B868" t="s">
        <v>115</v>
      </c>
      <c r="C868" t="s">
        <v>16</v>
      </c>
      <c r="D868">
        <v>33</v>
      </c>
      <c r="E868" t="s">
        <v>23</v>
      </c>
      <c r="F868" s="4">
        <v>421357.24</v>
      </c>
      <c r="G868" t="str">
        <f t="shared" si="52"/>
        <v>High Income</v>
      </c>
      <c r="H868">
        <v>218991.57</v>
      </c>
      <c r="I868">
        <v>687</v>
      </c>
      <c r="J868" t="s">
        <v>41</v>
      </c>
      <c r="K868" t="s">
        <v>24</v>
      </c>
      <c r="L868">
        <v>315553.24</v>
      </c>
      <c r="M868">
        <v>137145.65</v>
      </c>
      <c r="N868" t="s">
        <v>25</v>
      </c>
      <c r="O868" s="7">
        <f t="shared" ca="1" si="53"/>
        <v>45856</v>
      </c>
      <c r="P868" s="7">
        <v>45955</v>
      </c>
      <c r="Q868">
        <v>2</v>
      </c>
      <c r="R868" t="str">
        <f t="shared" si="54"/>
        <v>Low Risk</v>
      </c>
      <c r="S868" t="str">
        <f t="shared" si="55"/>
        <v>Good</v>
      </c>
      <c r="T868" s="4">
        <f>Table1[[#This Row],[Deposit_Amount]]+Table1[[#This Row],[Withdrawal_Amount]]</f>
        <v>640348.81000000006</v>
      </c>
      <c r="U868" t="s">
        <v>274</v>
      </c>
    </row>
    <row r="869" spans="1:21" x14ac:dyDescent="0.3">
      <c r="A869">
        <v>868</v>
      </c>
      <c r="B869" t="s">
        <v>112</v>
      </c>
      <c r="C869" t="s">
        <v>16</v>
      </c>
      <c r="D869">
        <v>28</v>
      </c>
      <c r="E869" t="s">
        <v>31</v>
      </c>
      <c r="F869" s="4">
        <v>324088.75</v>
      </c>
      <c r="G869" t="str">
        <f t="shared" si="52"/>
        <v>High Income</v>
      </c>
      <c r="H869">
        <v>29255.45</v>
      </c>
      <c r="I869">
        <v>759</v>
      </c>
      <c r="J869" t="s">
        <v>32</v>
      </c>
      <c r="K869" t="s">
        <v>19</v>
      </c>
      <c r="L869">
        <v>419354.23</v>
      </c>
      <c r="M869">
        <v>103125.39</v>
      </c>
      <c r="N869" t="s">
        <v>28</v>
      </c>
      <c r="O869" s="7">
        <f t="shared" ca="1" si="53"/>
        <v>45887</v>
      </c>
      <c r="P869" s="7">
        <v>45682</v>
      </c>
      <c r="Q869">
        <v>1</v>
      </c>
      <c r="R869" t="str">
        <f t="shared" si="54"/>
        <v>Low Risk</v>
      </c>
      <c r="S869" t="str">
        <f t="shared" si="55"/>
        <v>Good</v>
      </c>
      <c r="T869" s="4">
        <f>Table1[[#This Row],[Deposit_Amount]]+Table1[[#This Row],[Withdrawal_Amount]]</f>
        <v>353344.2</v>
      </c>
      <c r="U869" t="s">
        <v>274</v>
      </c>
    </row>
    <row r="870" spans="1:21" x14ac:dyDescent="0.3">
      <c r="A870">
        <v>869</v>
      </c>
      <c r="B870" t="s">
        <v>205</v>
      </c>
      <c r="C870" t="s">
        <v>16</v>
      </c>
      <c r="D870">
        <v>51</v>
      </c>
      <c r="E870" t="s">
        <v>35</v>
      </c>
      <c r="F870" s="4">
        <v>51868.28</v>
      </c>
      <c r="G870" t="str">
        <f t="shared" si="52"/>
        <v>Low Income</v>
      </c>
      <c r="H870">
        <v>275671.43</v>
      </c>
      <c r="I870">
        <v>679</v>
      </c>
      <c r="J870" t="s">
        <v>27</v>
      </c>
      <c r="K870" t="s">
        <v>19</v>
      </c>
      <c r="L870">
        <v>-106934.39999999999</v>
      </c>
      <c r="M870">
        <v>131002.96</v>
      </c>
      <c r="N870" t="s">
        <v>28</v>
      </c>
      <c r="O870" s="7">
        <f t="shared" ca="1" si="53"/>
        <v>45764</v>
      </c>
      <c r="P870" s="7">
        <v>45771</v>
      </c>
      <c r="Q870">
        <v>3</v>
      </c>
      <c r="R870" t="str">
        <f t="shared" si="54"/>
        <v>Low Risk</v>
      </c>
      <c r="S870" t="str">
        <f t="shared" si="55"/>
        <v>Good</v>
      </c>
      <c r="T870" s="4">
        <f>Table1[[#This Row],[Deposit_Amount]]+Table1[[#This Row],[Withdrawal_Amount]]</f>
        <v>327539.70999999996</v>
      </c>
      <c r="U870" t="s">
        <v>274</v>
      </c>
    </row>
    <row r="871" spans="1:21" x14ac:dyDescent="0.3">
      <c r="A871">
        <v>870</v>
      </c>
      <c r="B871" t="s">
        <v>170</v>
      </c>
      <c r="C871" t="s">
        <v>22</v>
      </c>
      <c r="D871">
        <v>39</v>
      </c>
      <c r="E871" t="s">
        <v>17</v>
      </c>
      <c r="F871" s="4">
        <v>227528.91</v>
      </c>
      <c r="G871" t="str">
        <f t="shared" si="52"/>
        <v>High Income</v>
      </c>
      <c r="H871">
        <v>47040.74</v>
      </c>
      <c r="I871">
        <v>647</v>
      </c>
      <c r="J871" t="s">
        <v>41</v>
      </c>
      <c r="K871" t="s">
        <v>24</v>
      </c>
      <c r="L871">
        <v>379490.82</v>
      </c>
      <c r="M871">
        <v>182306.54</v>
      </c>
      <c r="N871" t="s">
        <v>28</v>
      </c>
      <c r="O871" s="7">
        <f t="shared" ca="1" si="53"/>
        <v>45740</v>
      </c>
      <c r="P871" s="7">
        <v>45952</v>
      </c>
      <c r="Q871">
        <v>2</v>
      </c>
      <c r="R871" t="str">
        <f t="shared" si="54"/>
        <v>Low Risk</v>
      </c>
      <c r="S871" t="str">
        <f t="shared" si="55"/>
        <v>Good</v>
      </c>
      <c r="T871" s="4">
        <f>Table1[[#This Row],[Deposit_Amount]]+Table1[[#This Row],[Withdrawal_Amount]]</f>
        <v>274569.65000000002</v>
      </c>
      <c r="U871" t="s">
        <v>274</v>
      </c>
    </row>
    <row r="872" spans="1:21" x14ac:dyDescent="0.3">
      <c r="A872">
        <v>871</v>
      </c>
      <c r="B872" t="s">
        <v>170</v>
      </c>
      <c r="C872" t="s">
        <v>22</v>
      </c>
      <c r="D872">
        <v>46</v>
      </c>
      <c r="E872" t="s">
        <v>40</v>
      </c>
      <c r="F872" s="4">
        <v>201056.19</v>
      </c>
      <c r="G872" t="str">
        <f t="shared" si="52"/>
        <v>High Income</v>
      </c>
      <c r="H872">
        <v>59285.31</v>
      </c>
      <c r="I872">
        <v>491</v>
      </c>
      <c r="J872" t="s">
        <v>27</v>
      </c>
      <c r="K872" t="s">
        <v>42</v>
      </c>
      <c r="L872">
        <v>236479.57</v>
      </c>
      <c r="M872">
        <v>156136.43</v>
      </c>
      <c r="N872" t="s">
        <v>20</v>
      </c>
      <c r="O872" s="7">
        <f t="shared" ca="1" si="53"/>
        <v>45808</v>
      </c>
      <c r="P872" s="7">
        <v>45812</v>
      </c>
      <c r="Q872">
        <v>3</v>
      </c>
      <c r="R872" t="str">
        <f t="shared" si="54"/>
        <v>Midum Risk</v>
      </c>
      <c r="S872" t="str">
        <f t="shared" si="55"/>
        <v xml:space="preserve">Midum </v>
      </c>
      <c r="T872" s="4">
        <f>Table1[[#This Row],[Deposit_Amount]]+Table1[[#This Row],[Withdrawal_Amount]]</f>
        <v>260341.5</v>
      </c>
      <c r="U872" t="s">
        <v>274</v>
      </c>
    </row>
    <row r="873" spans="1:21" x14ac:dyDescent="0.3">
      <c r="A873">
        <v>872</v>
      </c>
      <c r="B873" t="s">
        <v>34</v>
      </c>
      <c r="C873" t="s">
        <v>16</v>
      </c>
      <c r="D873">
        <v>18</v>
      </c>
      <c r="E873" t="s">
        <v>35</v>
      </c>
      <c r="F873" s="4">
        <v>189129.96</v>
      </c>
      <c r="G873" t="str">
        <f t="shared" si="52"/>
        <v>Midum Income</v>
      </c>
      <c r="H873">
        <v>150318.1</v>
      </c>
      <c r="I873">
        <v>603</v>
      </c>
      <c r="J873" t="s">
        <v>27</v>
      </c>
      <c r="K873" t="s">
        <v>19</v>
      </c>
      <c r="L873">
        <v>224400.69</v>
      </c>
      <c r="M873">
        <v>87588.84</v>
      </c>
      <c r="N873" t="s">
        <v>28</v>
      </c>
      <c r="O873" s="7">
        <f t="shared" ca="1" si="53"/>
        <v>45818</v>
      </c>
      <c r="P873" s="7">
        <v>45945</v>
      </c>
      <c r="Q873">
        <v>1</v>
      </c>
      <c r="R873" t="str">
        <f t="shared" si="54"/>
        <v>Low Risk</v>
      </c>
      <c r="S873" t="str">
        <f t="shared" si="55"/>
        <v>Good</v>
      </c>
      <c r="T873" s="4">
        <f>Table1[[#This Row],[Deposit_Amount]]+Table1[[#This Row],[Withdrawal_Amount]]</f>
        <v>339448.06</v>
      </c>
      <c r="U873" t="s">
        <v>274</v>
      </c>
    </row>
    <row r="874" spans="1:21" x14ac:dyDescent="0.3">
      <c r="A874">
        <v>873</v>
      </c>
      <c r="B874" t="s">
        <v>146</v>
      </c>
      <c r="C874" t="s">
        <v>22</v>
      </c>
      <c r="D874">
        <v>58</v>
      </c>
      <c r="E874" t="s">
        <v>35</v>
      </c>
      <c r="F874" s="4">
        <v>235572.97</v>
      </c>
      <c r="G874" t="str">
        <f t="shared" si="52"/>
        <v>High Income</v>
      </c>
      <c r="H874">
        <v>71426.28</v>
      </c>
      <c r="I874">
        <v>361</v>
      </c>
      <c r="J874" t="s">
        <v>38</v>
      </c>
      <c r="K874" t="s">
        <v>59</v>
      </c>
      <c r="L874">
        <v>169442.66</v>
      </c>
      <c r="M874">
        <v>37899.379999999997</v>
      </c>
      <c r="N874" t="s">
        <v>25</v>
      </c>
      <c r="O874" s="7">
        <f t="shared" ca="1" si="53"/>
        <v>45712</v>
      </c>
      <c r="P874" s="7">
        <v>45692</v>
      </c>
      <c r="Q874">
        <v>2</v>
      </c>
      <c r="R874" t="str">
        <f t="shared" si="54"/>
        <v>High Risk</v>
      </c>
      <c r="S874" t="str">
        <f t="shared" si="55"/>
        <v>Poor</v>
      </c>
      <c r="T874" s="4">
        <f>Table1[[#This Row],[Deposit_Amount]]+Table1[[#This Row],[Withdrawal_Amount]]</f>
        <v>306999.25</v>
      </c>
      <c r="U874" t="s">
        <v>274</v>
      </c>
    </row>
    <row r="875" spans="1:21" x14ac:dyDescent="0.3">
      <c r="A875">
        <v>874</v>
      </c>
      <c r="B875" t="s">
        <v>223</v>
      </c>
      <c r="C875" t="s">
        <v>22</v>
      </c>
      <c r="D875">
        <v>37</v>
      </c>
      <c r="E875" t="s">
        <v>44</v>
      </c>
      <c r="F875" s="4">
        <v>266592.58</v>
      </c>
      <c r="G875" t="str">
        <f t="shared" si="52"/>
        <v>High Income</v>
      </c>
      <c r="H875">
        <v>275259.08</v>
      </c>
      <c r="I875">
        <v>677</v>
      </c>
      <c r="J875" t="s">
        <v>18</v>
      </c>
      <c r="K875" t="s">
        <v>42</v>
      </c>
      <c r="L875">
        <v>71076.38</v>
      </c>
      <c r="M875">
        <v>188811.47</v>
      </c>
      <c r="N875" t="s">
        <v>25</v>
      </c>
      <c r="O875" s="7">
        <f t="shared" ca="1" si="53"/>
        <v>45911</v>
      </c>
      <c r="P875" s="7">
        <v>45919</v>
      </c>
      <c r="Q875">
        <v>4</v>
      </c>
      <c r="R875" t="str">
        <f t="shared" si="54"/>
        <v>Low Risk</v>
      </c>
      <c r="S875" t="str">
        <f t="shared" si="55"/>
        <v>Good</v>
      </c>
      <c r="T875" s="4">
        <f>Table1[[#This Row],[Deposit_Amount]]+Table1[[#This Row],[Withdrawal_Amount]]</f>
        <v>541851.66</v>
      </c>
      <c r="U875" t="s">
        <v>274</v>
      </c>
    </row>
    <row r="876" spans="1:21" x14ac:dyDescent="0.3">
      <c r="A876">
        <v>875</v>
      </c>
      <c r="B876" t="s">
        <v>211</v>
      </c>
      <c r="C876" t="s">
        <v>22</v>
      </c>
      <c r="D876">
        <v>54</v>
      </c>
      <c r="E876" t="s">
        <v>23</v>
      </c>
      <c r="F876" s="4">
        <v>116138.95</v>
      </c>
      <c r="G876" t="str">
        <f t="shared" si="52"/>
        <v>Midum Income</v>
      </c>
      <c r="H876">
        <v>46010.44</v>
      </c>
      <c r="I876">
        <v>534</v>
      </c>
      <c r="J876" t="s">
        <v>38</v>
      </c>
      <c r="K876" t="s">
        <v>42</v>
      </c>
      <c r="L876">
        <v>130610.89</v>
      </c>
      <c r="M876">
        <v>127412.05</v>
      </c>
      <c r="N876" t="s">
        <v>25</v>
      </c>
      <c r="O876" s="7">
        <f t="shared" ca="1" si="53"/>
        <v>45935</v>
      </c>
      <c r="P876" s="7">
        <v>45742</v>
      </c>
      <c r="Q876">
        <v>2</v>
      </c>
      <c r="R876" t="str">
        <f t="shared" si="54"/>
        <v>Midum Risk</v>
      </c>
      <c r="S876" t="str">
        <f t="shared" si="55"/>
        <v xml:space="preserve">Midum </v>
      </c>
      <c r="T876" s="4">
        <f>Table1[[#This Row],[Deposit_Amount]]+Table1[[#This Row],[Withdrawal_Amount]]</f>
        <v>162149.39000000001</v>
      </c>
      <c r="U876" t="s">
        <v>274</v>
      </c>
    </row>
    <row r="877" spans="1:21" x14ac:dyDescent="0.3">
      <c r="A877">
        <v>876</v>
      </c>
      <c r="B877" t="s">
        <v>210</v>
      </c>
      <c r="C877" t="s">
        <v>16</v>
      </c>
      <c r="D877">
        <v>69</v>
      </c>
      <c r="E877" t="s">
        <v>23</v>
      </c>
      <c r="F877" s="4">
        <v>447851.43</v>
      </c>
      <c r="G877" t="str">
        <f t="shared" si="52"/>
        <v>High Income</v>
      </c>
      <c r="H877">
        <v>27000.880000000001</v>
      </c>
      <c r="I877">
        <v>455</v>
      </c>
      <c r="J877" t="s">
        <v>38</v>
      </c>
      <c r="K877" t="s">
        <v>24</v>
      </c>
      <c r="L877">
        <v>536533.54</v>
      </c>
      <c r="M877">
        <v>162165.15</v>
      </c>
      <c r="N877" t="s">
        <v>25</v>
      </c>
      <c r="O877" s="7">
        <f t="shared" ca="1" si="53"/>
        <v>45973</v>
      </c>
      <c r="P877" s="7">
        <v>45975</v>
      </c>
      <c r="Q877">
        <v>4</v>
      </c>
      <c r="R877" t="str">
        <f t="shared" si="54"/>
        <v>Midum Risk</v>
      </c>
      <c r="S877" t="str">
        <f t="shared" si="55"/>
        <v xml:space="preserve">Midum </v>
      </c>
      <c r="T877" s="4">
        <f>Table1[[#This Row],[Deposit_Amount]]+Table1[[#This Row],[Withdrawal_Amount]]</f>
        <v>474852.31</v>
      </c>
      <c r="U877" t="s">
        <v>274</v>
      </c>
    </row>
    <row r="878" spans="1:21" x14ac:dyDescent="0.3">
      <c r="A878">
        <v>877</v>
      </c>
      <c r="B878" t="s">
        <v>82</v>
      </c>
      <c r="C878" t="s">
        <v>22</v>
      </c>
      <c r="D878">
        <v>21</v>
      </c>
      <c r="E878" t="s">
        <v>35</v>
      </c>
      <c r="F878" s="4">
        <v>99147.53</v>
      </c>
      <c r="G878" t="str">
        <f t="shared" si="52"/>
        <v>Low Income</v>
      </c>
      <c r="H878">
        <v>210905.49</v>
      </c>
      <c r="I878">
        <v>426</v>
      </c>
      <c r="J878" t="s">
        <v>32</v>
      </c>
      <c r="K878" t="s">
        <v>59</v>
      </c>
      <c r="L878">
        <v>-100988.56</v>
      </c>
      <c r="M878">
        <v>198310.03</v>
      </c>
      <c r="N878" t="s">
        <v>25</v>
      </c>
      <c r="O878" s="7">
        <f t="shared" ca="1" si="53"/>
        <v>45764</v>
      </c>
      <c r="P878" s="7">
        <v>45845</v>
      </c>
      <c r="Q878">
        <v>3</v>
      </c>
      <c r="R878" t="str">
        <f t="shared" si="54"/>
        <v>Midum Risk</v>
      </c>
      <c r="S878" t="str">
        <f t="shared" si="55"/>
        <v xml:space="preserve">Midum </v>
      </c>
      <c r="T878" s="4">
        <f>Table1[[#This Row],[Deposit_Amount]]+Table1[[#This Row],[Withdrawal_Amount]]</f>
        <v>310053.02</v>
      </c>
      <c r="U878" t="s">
        <v>274</v>
      </c>
    </row>
    <row r="879" spans="1:21" x14ac:dyDescent="0.3">
      <c r="A879">
        <v>878</v>
      </c>
      <c r="B879" t="s">
        <v>57</v>
      </c>
      <c r="C879" t="s">
        <v>22</v>
      </c>
      <c r="D879">
        <v>37</v>
      </c>
      <c r="E879" t="s">
        <v>40</v>
      </c>
      <c r="F879" s="4">
        <v>257749.16</v>
      </c>
      <c r="G879" t="str">
        <f t="shared" si="52"/>
        <v>High Income</v>
      </c>
      <c r="H879">
        <v>205827.49</v>
      </c>
      <c r="I879">
        <v>368</v>
      </c>
      <c r="J879" t="s">
        <v>27</v>
      </c>
      <c r="K879" t="s">
        <v>24</v>
      </c>
      <c r="L879">
        <v>134465.19</v>
      </c>
      <c r="M879">
        <v>179304.23</v>
      </c>
      <c r="N879" t="s">
        <v>28</v>
      </c>
      <c r="O879" s="7">
        <f t="shared" ca="1" si="53"/>
        <v>45692</v>
      </c>
      <c r="P879" s="7">
        <v>45661</v>
      </c>
      <c r="Q879">
        <v>5</v>
      </c>
      <c r="R879" t="str">
        <f t="shared" si="54"/>
        <v>High Risk</v>
      </c>
      <c r="S879" t="str">
        <f t="shared" si="55"/>
        <v>Poor</v>
      </c>
      <c r="T879" s="4">
        <f>Table1[[#This Row],[Deposit_Amount]]+Table1[[#This Row],[Withdrawal_Amount]]</f>
        <v>463576.65</v>
      </c>
      <c r="U879" t="s">
        <v>274</v>
      </c>
    </row>
    <row r="880" spans="1:21" x14ac:dyDescent="0.3">
      <c r="A880">
        <v>879</v>
      </c>
      <c r="B880" t="s">
        <v>87</v>
      </c>
      <c r="C880" t="s">
        <v>16</v>
      </c>
      <c r="D880">
        <v>57</v>
      </c>
      <c r="E880" t="s">
        <v>44</v>
      </c>
      <c r="F880" s="4">
        <v>452352.11</v>
      </c>
      <c r="G880" t="str">
        <f t="shared" si="52"/>
        <v>High Income</v>
      </c>
      <c r="H880">
        <v>219817.17</v>
      </c>
      <c r="I880">
        <v>573</v>
      </c>
      <c r="J880" t="s">
        <v>27</v>
      </c>
      <c r="K880" t="s">
        <v>36</v>
      </c>
      <c r="L880">
        <v>348714.65</v>
      </c>
      <c r="M880">
        <v>99428.82</v>
      </c>
      <c r="N880" t="s">
        <v>28</v>
      </c>
      <c r="O880" s="7">
        <f t="shared" ca="1" si="53"/>
        <v>45825</v>
      </c>
      <c r="P880" s="7">
        <v>45967</v>
      </c>
      <c r="Q880">
        <v>4</v>
      </c>
      <c r="R880" t="str">
        <f t="shared" si="54"/>
        <v>Midum Risk</v>
      </c>
      <c r="S880" t="str">
        <f t="shared" si="55"/>
        <v xml:space="preserve">Midum </v>
      </c>
      <c r="T880" s="4">
        <f>Table1[[#This Row],[Deposit_Amount]]+Table1[[#This Row],[Withdrawal_Amount]]</f>
        <v>672169.28</v>
      </c>
      <c r="U880" t="s">
        <v>274</v>
      </c>
    </row>
    <row r="881" spans="1:21" x14ac:dyDescent="0.3">
      <c r="A881">
        <v>880</v>
      </c>
      <c r="B881" t="s">
        <v>149</v>
      </c>
      <c r="C881" t="s">
        <v>22</v>
      </c>
      <c r="D881">
        <v>67</v>
      </c>
      <c r="E881" t="s">
        <v>17</v>
      </c>
      <c r="F881" s="4">
        <v>3806.25</v>
      </c>
      <c r="G881" t="str">
        <f t="shared" si="52"/>
        <v>Low Income</v>
      </c>
      <c r="H881">
        <v>14897.6</v>
      </c>
      <c r="I881">
        <v>728</v>
      </c>
      <c r="J881" t="s">
        <v>38</v>
      </c>
      <c r="K881" t="s">
        <v>19</v>
      </c>
      <c r="L881">
        <v>26599.9</v>
      </c>
      <c r="M881">
        <v>134615.59</v>
      </c>
      <c r="N881" t="s">
        <v>25</v>
      </c>
      <c r="O881" s="7">
        <f t="shared" ca="1" si="53"/>
        <v>45931</v>
      </c>
      <c r="P881" s="7">
        <v>45793</v>
      </c>
      <c r="Q881">
        <v>2</v>
      </c>
      <c r="R881" t="str">
        <f t="shared" si="54"/>
        <v>Low Risk</v>
      </c>
      <c r="S881" t="str">
        <f t="shared" si="55"/>
        <v>Good</v>
      </c>
      <c r="T881" s="4">
        <f>Table1[[#This Row],[Deposit_Amount]]+Table1[[#This Row],[Withdrawal_Amount]]</f>
        <v>18703.849999999999</v>
      </c>
      <c r="U881" t="s">
        <v>274</v>
      </c>
    </row>
    <row r="882" spans="1:21" x14ac:dyDescent="0.3">
      <c r="A882">
        <v>881</v>
      </c>
      <c r="B882" t="s">
        <v>109</v>
      </c>
      <c r="C882" t="s">
        <v>22</v>
      </c>
      <c r="D882">
        <v>69</v>
      </c>
      <c r="E882" t="s">
        <v>23</v>
      </c>
      <c r="F882" s="4">
        <v>401253.04</v>
      </c>
      <c r="G882" t="str">
        <f t="shared" si="52"/>
        <v>High Income</v>
      </c>
      <c r="H882">
        <v>52527.46</v>
      </c>
      <c r="I882">
        <v>597</v>
      </c>
      <c r="J882" t="s">
        <v>18</v>
      </c>
      <c r="K882" t="s">
        <v>36</v>
      </c>
      <c r="L882">
        <v>383837.57</v>
      </c>
      <c r="M882">
        <v>249730.53</v>
      </c>
      <c r="N882" t="s">
        <v>25</v>
      </c>
      <c r="O882" s="7">
        <f t="shared" ca="1" si="53"/>
        <v>45891</v>
      </c>
      <c r="P882" s="7">
        <v>45792</v>
      </c>
      <c r="Q882">
        <v>4</v>
      </c>
      <c r="R882" t="str">
        <f t="shared" si="54"/>
        <v>Midum Risk</v>
      </c>
      <c r="S882" t="str">
        <f t="shared" si="55"/>
        <v xml:space="preserve">Midum </v>
      </c>
      <c r="T882" s="4">
        <f>Table1[[#This Row],[Deposit_Amount]]+Table1[[#This Row],[Withdrawal_Amount]]</f>
        <v>453780.5</v>
      </c>
      <c r="U882" t="s">
        <v>274</v>
      </c>
    </row>
    <row r="883" spans="1:21" x14ac:dyDescent="0.3">
      <c r="A883">
        <v>882</v>
      </c>
      <c r="B883" t="s">
        <v>128</v>
      </c>
      <c r="C883" t="s">
        <v>16</v>
      </c>
      <c r="D883">
        <v>37</v>
      </c>
      <c r="E883" t="s">
        <v>31</v>
      </c>
      <c r="F883" s="4">
        <v>168772.89</v>
      </c>
      <c r="G883" t="str">
        <f t="shared" si="52"/>
        <v>Midum Income</v>
      </c>
      <c r="H883">
        <v>212920.31</v>
      </c>
      <c r="I883">
        <v>839</v>
      </c>
      <c r="J883" t="s">
        <v>32</v>
      </c>
      <c r="K883" t="s">
        <v>19</v>
      </c>
      <c r="L883">
        <v>-19401.169999999998</v>
      </c>
      <c r="M883">
        <v>152295.65</v>
      </c>
      <c r="N883" t="s">
        <v>25</v>
      </c>
      <c r="O883" s="7">
        <f t="shared" ca="1" si="53"/>
        <v>45820</v>
      </c>
      <c r="P883" s="7">
        <v>45957</v>
      </c>
      <c r="Q883">
        <v>1</v>
      </c>
      <c r="R883" t="str">
        <f t="shared" si="54"/>
        <v>Low Risk</v>
      </c>
      <c r="S883" t="str">
        <f t="shared" si="55"/>
        <v>Good</v>
      </c>
      <c r="T883" s="4">
        <f>Table1[[#This Row],[Deposit_Amount]]+Table1[[#This Row],[Withdrawal_Amount]]</f>
        <v>381693.2</v>
      </c>
      <c r="U883" t="s">
        <v>274</v>
      </c>
    </row>
    <row r="884" spans="1:21" x14ac:dyDescent="0.3">
      <c r="A884">
        <v>883</v>
      </c>
      <c r="B884" t="s">
        <v>74</v>
      </c>
      <c r="C884" t="s">
        <v>22</v>
      </c>
      <c r="D884">
        <v>29</v>
      </c>
      <c r="E884" t="s">
        <v>31</v>
      </c>
      <c r="F884" s="4">
        <v>349341.25</v>
      </c>
      <c r="G884" t="str">
        <f t="shared" si="52"/>
        <v>High Income</v>
      </c>
      <c r="H884">
        <v>233895.62</v>
      </c>
      <c r="I884">
        <v>798</v>
      </c>
      <c r="J884" t="s">
        <v>18</v>
      </c>
      <c r="K884" t="s">
        <v>59</v>
      </c>
      <c r="L884">
        <v>307025.53999999998</v>
      </c>
      <c r="M884">
        <v>163102.68</v>
      </c>
      <c r="N884" t="s">
        <v>20</v>
      </c>
      <c r="O884" s="7">
        <f t="shared" ca="1" si="53"/>
        <v>45794</v>
      </c>
      <c r="P884" s="7">
        <v>46017</v>
      </c>
      <c r="Q884">
        <v>2</v>
      </c>
      <c r="R884" t="str">
        <f t="shared" si="54"/>
        <v>Low Risk</v>
      </c>
      <c r="S884" t="str">
        <f t="shared" si="55"/>
        <v>Good</v>
      </c>
      <c r="T884" s="4">
        <f>Table1[[#This Row],[Deposit_Amount]]+Table1[[#This Row],[Withdrawal_Amount]]</f>
        <v>583236.87</v>
      </c>
      <c r="U884" t="s">
        <v>274</v>
      </c>
    </row>
    <row r="885" spans="1:21" x14ac:dyDescent="0.3">
      <c r="A885">
        <v>884</v>
      </c>
      <c r="B885" t="s">
        <v>15</v>
      </c>
      <c r="C885" t="s">
        <v>16</v>
      </c>
      <c r="D885">
        <v>33</v>
      </c>
      <c r="E885" t="s">
        <v>40</v>
      </c>
      <c r="F885" s="4">
        <v>145024.62</v>
      </c>
      <c r="G885" t="str">
        <f t="shared" si="52"/>
        <v>Midum Income</v>
      </c>
      <c r="H885">
        <v>8711.19</v>
      </c>
      <c r="I885">
        <v>677</v>
      </c>
      <c r="J885" t="s">
        <v>27</v>
      </c>
      <c r="K885" t="s">
        <v>59</v>
      </c>
      <c r="L885">
        <v>316342.12</v>
      </c>
      <c r="M885">
        <v>63147.42</v>
      </c>
      <c r="N885" t="s">
        <v>20</v>
      </c>
      <c r="O885" s="7">
        <f t="shared" ca="1" si="53"/>
        <v>45961</v>
      </c>
      <c r="P885" s="7">
        <v>45818</v>
      </c>
      <c r="Q885">
        <v>2</v>
      </c>
      <c r="R885" t="str">
        <f t="shared" si="54"/>
        <v>Low Risk</v>
      </c>
      <c r="S885" t="str">
        <f t="shared" si="55"/>
        <v>Good</v>
      </c>
      <c r="T885" s="4">
        <f>Table1[[#This Row],[Deposit_Amount]]+Table1[[#This Row],[Withdrawal_Amount]]</f>
        <v>153735.81</v>
      </c>
      <c r="U885" t="s">
        <v>274</v>
      </c>
    </row>
    <row r="886" spans="1:21" x14ac:dyDescent="0.3">
      <c r="A886">
        <v>885</v>
      </c>
      <c r="B886" t="s">
        <v>172</v>
      </c>
      <c r="C886" t="s">
        <v>16</v>
      </c>
      <c r="D886">
        <v>60</v>
      </c>
      <c r="E886" t="s">
        <v>31</v>
      </c>
      <c r="F886" s="4">
        <v>315254.84999999998</v>
      </c>
      <c r="G886" t="str">
        <f t="shared" si="52"/>
        <v>High Income</v>
      </c>
      <c r="H886">
        <v>205241.22</v>
      </c>
      <c r="I886">
        <v>890</v>
      </c>
      <c r="J886" t="s">
        <v>32</v>
      </c>
      <c r="K886" t="s">
        <v>24</v>
      </c>
      <c r="L886">
        <v>202861.07</v>
      </c>
      <c r="M886">
        <v>66424.45</v>
      </c>
      <c r="N886" t="s">
        <v>25</v>
      </c>
      <c r="O886" s="7">
        <f t="shared" ca="1" si="53"/>
        <v>45677</v>
      </c>
      <c r="P886" s="7">
        <v>45854</v>
      </c>
      <c r="Q886">
        <v>2</v>
      </c>
      <c r="R886" t="str">
        <f t="shared" si="54"/>
        <v>Low Risk</v>
      </c>
      <c r="S886" t="str">
        <f t="shared" si="55"/>
        <v>Good</v>
      </c>
      <c r="T886" s="4">
        <f>Table1[[#This Row],[Deposit_Amount]]+Table1[[#This Row],[Withdrawal_Amount]]</f>
        <v>520496.06999999995</v>
      </c>
      <c r="U886" t="s">
        <v>274</v>
      </c>
    </row>
    <row r="887" spans="1:21" x14ac:dyDescent="0.3">
      <c r="A887">
        <v>886</v>
      </c>
      <c r="B887" t="s">
        <v>115</v>
      </c>
      <c r="C887" t="s">
        <v>16</v>
      </c>
      <c r="D887">
        <v>32</v>
      </c>
      <c r="E887" t="s">
        <v>31</v>
      </c>
      <c r="F887" s="4">
        <v>149196.95000000001</v>
      </c>
      <c r="G887" t="str">
        <f t="shared" si="52"/>
        <v>Midum Income</v>
      </c>
      <c r="H887">
        <v>42086.87</v>
      </c>
      <c r="I887">
        <v>780</v>
      </c>
      <c r="J887" t="s">
        <v>38</v>
      </c>
      <c r="K887" t="s">
        <v>19</v>
      </c>
      <c r="L887">
        <v>237101.75</v>
      </c>
      <c r="M887">
        <v>233981.01</v>
      </c>
      <c r="N887" t="s">
        <v>28</v>
      </c>
      <c r="O887" s="7">
        <f t="shared" ca="1" si="53"/>
        <v>45946</v>
      </c>
      <c r="P887" s="7">
        <v>45723</v>
      </c>
      <c r="Q887">
        <v>5</v>
      </c>
      <c r="R887" t="str">
        <f t="shared" si="54"/>
        <v>Low Risk</v>
      </c>
      <c r="S887" t="str">
        <f t="shared" si="55"/>
        <v>Good</v>
      </c>
      <c r="T887" s="4">
        <f>Table1[[#This Row],[Deposit_Amount]]+Table1[[#This Row],[Withdrawal_Amount]]</f>
        <v>191283.82</v>
      </c>
      <c r="U887" t="s">
        <v>274</v>
      </c>
    </row>
    <row r="888" spans="1:21" x14ac:dyDescent="0.3">
      <c r="A888">
        <v>887</v>
      </c>
      <c r="B888" t="s">
        <v>158</v>
      </c>
      <c r="C888" t="s">
        <v>16</v>
      </c>
      <c r="D888">
        <v>23</v>
      </c>
      <c r="E888" t="s">
        <v>35</v>
      </c>
      <c r="F888" s="4">
        <v>364950.96</v>
      </c>
      <c r="G888" t="str">
        <f t="shared" si="52"/>
        <v>High Income</v>
      </c>
      <c r="H888">
        <v>183509.83</v>
      </c>
      <c r="I888">
        <v>863</v>
      </c>
      <c r="J888" t="s">
        <v>18</v>
      </c>
      <c r="K888" t="s">
        <v>24</v>
      </c>
      <c r="L888">
        <v>203608.95999999999</v>
      </c>
      <c r="M888">
        <v>56007.91</v>
      </c>
      <c r="N888" t="s">
        <v>25</v>
      </c>
      <c r="O888" s="7">
        <f t="shared" ca="1" si="53"/>
        <v>45863</v>
      </c>
      <c r="P888" s="7">
        <v>45838</v>
      </c>
      <c r="Q888">
        <v>1</v>
      </c>
      <c r="R888" t="str">
        <f t="shared" si="54"/>
        <v>Low Risk</v>
      </c>
      <c r="S888" t="str">
        <f t="shared" si="55"/>
        <v>Good</v>
      </c>
      <c r="T888" s="4">
        <f>Table1[[#This Row],[Deposit_Amount]]+Table1[[#This Row],[Withdrawal_Amount]]</f>
        <v>548460.79</v>
      </c>
      <c r="U888" t="s">
        <v>274</v>
      </c>
    </row>
    <row r="889" spans="1:21" x14ac:dyDescent="0.3">
      <c r="A889">
        <v>888</v>
      </c>
      <c r="B889" t="s">
        <v>183</v>
      </c>
      <c r="C889" t="s">
        <v>22</v>
      </c>
      <c r="D889">
        <v>39</v>
      </c>
      <c r="E889" t="s">
        <v>31</v>
      </c>
      <c r="F889" s="4">
        <v>388248.31</v>
      </c>
      <c r="G889" t="str">
        <f t="shared" si="52"/>
        <v>High Income</v>
      </c>
      <c r="H889">
        <v>182327.08</v>
      </c>
      <c r="I889">
        <v>604</v>
      </c>
      <c r="J889" t="s">
        <v>18</v>
      </c>
      <c r="K889" t="s">
        <v>59</v>
      </c>
      <c r="L889">
        <v>346458.74</v>
      </c>
      <c r="M889">
        <v>191125.03</v>
      </c>
      <c r="N889" t="s">
        <v>28</v>
      </c>
      <c r="O889" s="7">
        <f t="shared" ca="1" si="53"/>
        <v>45769</v>
      </c>
      <c r="P889" s="7">
        <v>45734</v>
      </c>
      <c r="Q889">
        <v>3</v>
      </c>
      <c r="R889" t="str">
        <f t="shared" si="54"/>
        <v>Low Risk</v>
      </c>
      <c r="S889" t="str">
        <f t="shared" si="55"/>
        <v>Good</v>
      </c>
      <c r="T889" s="4">
        <f>Table1[[#This Row],[Deposit_Amount]]+Table1[[#This Row],[Withdrawal_Amount]]</f>
        <v>570575.39</v>
      </c>
      <c r="U889" t="s">
        <v>274</v>
      </c>
    </row>
    <row r="890" spans="1:21" x14ac:dyDescent="0.3">
      <c r="A890">
        <v>889</v>
      </c>
      <c r="B890" t="s">
        <v>150</v>
      </c>
      <c r="C890" t="s">
        <v>16</v>
      </c>
      <c r="D890">
        <v>45</v>
      </c>
      <c r="E890" t="s">
        <v>40</v>
      </c>
      <c r="F890" s="4">
        <v>87174.58</v>
      </c>
      <c r="G890" t="str">
        <f t="shared" si="52"/>
        <v>Low Income</v>
      </c>
      <c r="H890">
        <v>299172.37</v>
      </c>
      <c r="I890">
        <v>408</v>
      </c>
      <c r="J890" t="s">
        <v>18</v>
      </c>
      <c r="K890" t="s">
        <v>36</v>
      </c>
      <c r="L890">
        <v>-147057.56</v>
      </c>
      <c r="M890">
        <v>84004.28</v>
      </c>
      <c r="N890" t="s">
        <v>25</v>
      </c>
      <c r="O890" s="7">
        <f t="shared" ca="1" si="53"/>
        <v>45983</v>
      </c>
      <c r="P890" s="7">
        <v>45918</v>
      </c>
      <c r="Q890">
        <v>2</v>
      </c>
      <c r="R890" t="str">
        <f t="shared" si="54"/>
        <v>Midum Risk</v>
      </c>
      <c r="S890" t="str">
        <f t="shared" si="55"/>
        <v xml:space="preserve">Midum </v>
      </c>
      <c r="T890" s="4">
        <f>Table1[[#This Row],[Deposit_Amount]]+Table1[[#This Row],[Withdrawal_Amount]]</f>
        <v>386346.95</v>
      </c>
      <c r="U890" t="s">
        <v>274</v>
      </c>
    </row>
    <row r="891" spans="1:21" x14ac:dyDescent="0.3">
      <c r="A891">
        <v>890</v>
      </c>
      <c r="B891" t="s">
        <v>176</v>
      </c>
      <c r="C891" t="s">
        <v>16</v>
      </c>
      <c r="D891">
        <v>55</v>
      </c>
      <c r="E891" t="s">
        <v>35</v>
      </c>
      <c r="F891" s="4">
        <v>251156.31</v>
      </c>
      <c r="G891" t="str">
        <f t="shared" si="52"/>
        <v>High Income</v>
      </c>
      <c r="H891">
        <v>192076.69</v>
      </c>
      <c r="I891">
        <v>571</v>
      </c>
      <c r="J891" t="s">
        <v>18</v>
      </c>
      <c r="K891" t="s">
        <v>24</v>
      </c>
      <c r="L891">
        <v>190817.17</v>
      </c>
      <c r="M891">
        <v>211278.81</v>
      </c>
      <c r="N891" t="s">
        <v>20</v>
      </c>
      <c r="O891" s="7">
        <f t="shared" ca="1" si="53"/>
        <v>45857</v>
      </c>
      <c r="P891" s="7">
        <v>46003</v>
      </c>
      <c r="Q891">
        <v>3</v>
      </c>
      <c r="R891" t="str">
        <f t="shared" si="54"/>
        <v>Midum Risk</v>
      </c>
      <c r="S891" t="str">
        <f t="shared" si="55"/>
        <v xml:space="preserve">Midum </v>
      </c>
      <c r="T891" s="4">
        <f>Table1[[#This Row],[Deposit_Amount]]+Table1[[#This Row],[Withdrawal_Amount]]</f>
        <v>443233</v>
      </c>
      <c r="U891" t="s">
        <v>274</v>
      </c>
    </row>
    <row r="892" spans="1:21" x14ac:dyDescent="0.3">
      <c r="A892">
        <v>891</v>
      </c>
      <c r="B892" t="s">
        <v>137</v>
      </c>
      <c r="C892" t="s">
        <v>16</v>
      </c>
      <c r="D892">
        <v>70</v>
      </c>
      <c r="E892" t="s">
        <v>44</v>
      </c>
      <c r="F892" s="4">
        <v>296665.63</v>
      </c>
      <c r="G892" t="str">
        <f t="shared" si="52"/>
        <v>High Income</v>
      </c>
      <c r="H892">
        <v>238413.09</v>
      </c>
      <c r="I892">
        <v>836</v>
      </c>
      <c r="J892" t="s">
        <v>27</v>
      </c>
      <c r="K892" t="s">
        <v>42</v>
      </c>
      <c r="L892">
        <v>177231.41</v>
      </c>
      <c r="M892">
        <v>194207.78</v>
      </c>
      <c r="N892" t="s">
        <v>25</v>
      </c>
      <c r="O892" s="7">
        <f t="shared" ca="1" si="53"/>
        <v>45820</v>
      </c>
      <c r="P892" s="7">
        <v>45724</v>
      </c>
      <c r="Q892">
        <v>5</v>
      </c>
      <c r="R892" t="str">
        <f t="shared" si="54"/>
        <v>Low Risk</v>
      </c>
      <c r="S892" t="str">
        <f t="shared" si="55"/>
        <v>Good</v>
      </c>
      <c r="T892" s="4">
        <f>Table1[[#This Row],[Deposit_Amount]]+Table1[[#This Row],[Withdrawal_Amount]]</f>
        <v>535078.72</v>
      </c>
      <c r="U892" t="s">
        <v>274</v>
      </c>
    </row>
    <row r="893" spans="1:21" x14ac:dyDescent="0.3">
      <c r="A893">
        <v>892</v>
      </c>
      <c r="B893" t="s">
        <v>55</v>
      </c>
      <c r="C893" t="s">
        <v>16</v>
      </c>
      <c r="D893">
        <v>42</v>
      </c>
      <c r="E893" t="s">
        <v>23</v>
      </c>
      <c r="F893" s="4">
        <v>200328.87</v>
      </c>
      <c r="G893" t="str">
        <f t="shared" si="52"/>
        <v>High Income</v>
      </c>
      <c r="H893">
        <v>154827.13</v>
      </c>
      <c r="I893">
        <v>736</v>
      </c>
      <c r="J893" t="s">
        <v>18</v>
      </c>
      <c r="K893" t="s">
        <v>59</v>
      </c>
      <c r="L893">
        <v>55263.74</v>
      </c>
      <c r="M893">
        <v>191920.98</v>
      </c>
      <c r="N893" t="s">
        <v>28</v>
      </c>
      <c r="O893" s="7">
        <f t="shared" ca="1" si="53"/>
        <v>45995</v>
      </c>
      <c r="P893" s="7">
        <v>45983</v>
      </c>
      <c r="Q893">
        <v>2</v>
      </c>
      <c r="R893" t="str">
        <f t="shared" si="54"/>
        <v>Low Risk</v>
      </c>
      <c r="S893" t="str">
        <f t="shared" si="55"/>
        <v>Good</v>
      </c>
      <c r="T893" s="4">
        <f>Table1[[#This Row],[Deposit_Amount]]+Table1[[#This Row],[Withdrawal_Amount]]</f>
        <v>355156</v>
      </c>
      <c r="U893" t="s">
        <v>274</v>
      </c>
    </row>
    <row r="894" spans="1:21" x14ac:dyDescent="0.3">
      <c r="A894">
        <v>893</v>
      </c>
      <c r="B894" t="s">
        <v>96</v>
      </c>
      <c r="C894" t="s">
        <v>22</v>
      </c>
      <c r="D894">
        <v>54</v>
      </c>
      <c r="E894" t="s">
        <v>44</v>
      </c>
      <c r="F894" s="4">
        <v>358667.03</v>
      </c>
      <c r="G894" t="str">
        <f t="shared" si="52"/>
        <v>High Income</v>
      </c>
      <c r="H894">
        <v>119085.61</v>
      </c>
      <c r="I894">
        <v>626</v>
      </c>
      <c r="J894" t="s">
        <v>38</v>
      </c>
      <c r="K894" t="s">
        <v>59</v>
      </c>
      <c r="L894">
        <v>405893.53</v>
      </c>
      <c r="M894">
        <v>35983.769999999997</v>
      </c>
      <c r="N894" t="s">
        <v>20</v>
      </c>
      <c r="O894" s="7">
        <f t="shared" ca="1" si="53"/>
        <v>45739</v>
      </c>
      <c r="P894" s="7">
        <v>45872</v>
      </c>
      <c r="Q894">
        <v>5</v>
      </c>
      <c r="R894" t="str">
        <f t="shared" si="54"/>
        <v>Low Risk</v>
      </c>
      <c r="S894" t="str">
        <f t="shared" si="55"/>
        <v>Good</v>
      </c>
      <c r="T894" s="4">
        <f>Table1[[#This Row],[Deposit_Amount]]+Table1[[#This Row],[Withdrawal_Amount]]</f>
        <v>477752.64</v>
      </c>
      <c r="U894" t="s">
        <v>274</v>
      </c>
    </row>
    <row r="895" spans="1:21" x14ac:dyDescent="0.3">
      <c r="A895">
        <v>894</v>
      </c>
      <c r="B895" t="s">
        <v>133</v>
      </c>
      <c r="C895" t="s">
        <v>16</v>
      </c>
      <c r="D895">
        <v>40</v>
      </c>
      <c r="E895" t="s">
        <v>35</v>
      </c>
      <c r="F895" s="4">
        <v>170029.53</v>
      </c>
      <c r="G895" t="str">
        <f t="shared" si="52"/>
        <v>Midum Income</v>
      </c>
      <c r="H895">
        <v>66347.39</v>
      </c>
      <c r="I895">
        <v>355</v>
      </c>
      <c r="J895" t="s">
        <v>38</v>
      </c>
      <c r="K895" t="s">
        <v>24</v>
      </c>
      <c r="L895">
        <v>188944.49</v>
      </c>
      <c r="M895">
        <v>77736.53</v>
      </c>
      <c r="N895" t="s">
        <v>25</v>
      </c>
      <c r="O895" s="7">
        <f t="shared" ca="1" si="53"/>
        <v>45817</v>
      </c>
      <c r="P895" s="7">
        <v>45823</v>
      </c>
      <c r="Q895">
        <v>1</v>
      </c>
      <c r="R895" t="str">
        <f t="shared" si="54"/>
        <v>High Risk</v>
      </c>
      <c r="S895" t="str">
        <f t="shared" si="55"/>
        <v>Poor</v>
      </c>
      <c r="T895" s="4">
        <f>Table1[[#This Row],[Deposit_Amount]]+Table1[[#This Row],[Withdrawal_Amount]]</f>
        <v>236376.91999999998</v>
      </c>
      <c r="U895" t="s">
        <v>274</v>
      </c>
    </row>
    <row r="896" spans="1:21" x14ac:dyDescent="0.3">
      <c r="A896">
        <v>895</v>
      </c>
      <c r="B896" t="s">
        <v>117</v>
      </c>
      <c r="C896" t="s">
        <v>22</v>
      </c>
      <c r="D896">
        <v>31</v>
      </c>
      <c r="E896" t="s">
        <v>40</v>
      </c>
      <c r="F896" s="4">
        <v>258429.21</v>
      </c>
      <c r="G896" t="str">
        <f t="shared" si="52"/>
        <v>High Income</v>
      </c>
      <c r="H896">
        <v>172349.91</v>
      </c>
      <c r="I896">
        <v>326</v>
      </c>
      <c r="J896" t="s">
        <v>18</v>
      </c>
      <c r="K896" t="s">
        <v>59</v>
      </c>
      <c r="L896">
        <v>94590.99</v>
      </c>
      <c r="M896">
        <v>214654.78</v>
      </c>
      <c r="N896" t="s">
        <v>20</v>
      </c>
      <c r="O896" s="7">
        <f t="shared" ca="1" si="53"/>
        <v>46001</v>
      </c>
      <c r="P896" s="7">
        <v>45910</v>
      </c>
      <c r="Q896">
        <v>5</v>
      </c>
      <c r="R896" t="str">
        <f t="shared" si="54"/>
        <v>High Risk</v>
      </c>
      <c r="S896" t="str">
        <f t="shared" si="55"/>
        <v>Poor</v>
      </c>
      <c r="T896" s="4">
        <f>Table1[[#This Row],[Deposit_Amount]]+Table1[[#This Row],[Withdrawal_Amount]]</f>
        <v>430779.12</v>
      </c>
      <c r="U896" t="s">
        <v>274</v>
      </c>
    </row>
    <row r="897" spans="1:21" x14ac:dyDescent="0.3">
      <c r="A897">
        <v>896</v>
      </c>
      <c r="B897" t="s">
        <v>43</v>
      </c>
      <c r="C897" t="s">
        <v>22</v>
      </c>
      <c r="D897">
        <v>19</v>
      </c>
      <c r="E897" t="s">
        <v>23</v>
      </c>
      <c r="F897" s="4">
        <v>289813.46000000002</v>
      </c>
      <c r="G897" t="str">
        <f t="shared" si="52"/>
        <v>High Income</v>
      </c>
      <c r="H897">
        <v>17776.830000000002</v>
      </c>
      <c r="I897">
        <v>510</v>
      </c>
      <c r="J897" t="s">
        <v>32</v>
      </c>
      <c r="K897" t="s">
        <v>42</v>
      </c>
      <c r="L897">
        <v>431839.73</v>
      </c>
      <c r="M897">
        <v>85326.1</v>
      </c>
      <c r="N897" t="s">
        <v>20</v>
      </c>
      <c r="O897" s="7">
        <f t="shared" ca="1" si="53"/>
        <v>45851</v>
      </c>
      <c r="P897" s="7">
        <v>45851</v>
      </c>
      <c r="Q897">
        <v>1</v>
      </c>
      <c r="R897" t="str">
        <f t="shared" si="54"/>
        <v>Midum Risk</v>
      </c>
      <c r="S897" t="str">
        <f t="shared" si="55"/>
        <v xml:space="preserve">Midum </v>
      </c>
      <c r="T897" s="4">
        <f>Table1[[#This Row],[Deposit_Amount]]+Table1[[#This Row],[Withdrawal_Amount]]</f>
        <v>307590.29000000004</v>
      </c>
      <c r="U897" t="s">
        <v>274</v>
      </c>
    </row>
    <row r="898" spans="1:21" x14ac:dyDescent="0.3">
      <c r="A898">
        <v>897</v>
      </c>
      <c r="B898" t="s">
        <v>202</v>
      </c>
      <c r="C898" t="s">
        <v>16</v>
      </c>
      <c r="D898">
        <v>50</v>
      </c>
      <c r="E898" t="s">
        <v>17</v>
      </c>
      <c r="F898" s="4">
        <v>494475.25</v>
      </c>
      <c r="G898" t="str">
        <f t="shared" ref="G898:G961" si="56">IF(F898&lt;=100000,"Low Income",IF(F898&lt;=200000,"Midum Income","High Income"))</f>
        <v>High Income</v>
      </c>
      <c r="H898">
        <v>158486.64000000001</v>
      </c>
      <c r="I898">
        <v>746</v>
      </c>
      <c r="J898" t="s">
        <v>27</v>
      </c>
      <c r="K898" t="s">
        <v>59</v>
      </c>
      <c r="L898">
        <v>523478.98</v>
      </c>
      <c r="M898">
        <v>46200.13</v>
      </c>
      <c r="N898" t="s">
        <v>25</v>
      </c>
      <c r="O898" s="7">
        <f t="shared" ref="O898:O961" ca="1" si="57">RANDBETWEEN(DATE(2025,1,1),DATE(2025,12,31))</f>
        <v>45892</v>
      </c>
      <c r="P898" s="7">
        <v>45783</v>
      </c>
      <c r="Q898">
        <v>1</v>
      </c>
      <c r="R898" t="str">
        <f t="shared" ref="R898:R961" si="58">IF(I898&lt;=400,"High Risk",IF(I898&lt;=600,"Midum Risk","Low Risk"))</f>
        <v>Low Risk</v>
      </c>
      <c r="S898" t="str">
        <f t="shared" ref="S898:S961" si="59">IF(I898&lt;=400,"Poor",IF(I898&lt;=600,"Midum ","Good"))</f>
        <v>Good</v>
      </c>
      <c r="T898" s="4">
        <f>Table1[[#This Row],[Deposit_Amount]]+Table1[[#This Row],[Withdrawal_Amount]]</f>
        <v>652961.89</v>
      </c>
      <c r="U898" t="s">
        <v>274</v>
      </c>
    </row>
    <row r="899" spans="1:21" x14ac:dyDescent="0.3">
      <c r="A899">
        <v>898</v>
      </c>
      <c r="B899" t="s">
        <v>81</v>
      </c>
      <c r="C899" t="s">
        <v>22</v>
      </c>
      <c r="D899">
        <v>28</v>
      </c>
      <c r="E899" t="s">
        <v>44</v>
      </c>
      <c r="F899" s="4">
        <v>438127.19</v>
      </c>
      <c r="G899" t="str">
        <f t="shared" si="56"/>
        <v>High Income</v>
      </c>
      <c r="H899">
        <v>48469.61</v>
      </c>
      <c r="I899">
        <v>656</v>
      </c>
      <c r="J899" t="s">
        <v>18</v>
      </c>
      <c r="K899" t="s">
        <v>19</v>
      </c>
      <c r="L899">
        <v>574396.15</v>
      </c>
      <c r="M899">
        <v>32756.7</v>
      </c>
      <c r="N899" t="s">
        <v>28</v>
      </c>
      <c r="O899" s="7">
        <f t="shared" ca="1" si="57"/>
        <v>46021</v>
      </c>
      <c r="P899" s="7">
        <v>45756</v>
      </c>
      <c r="Q899">
        <v>5</v>
      </c>
      <c r="R899" t="str">
        <f t="shared" si="58"/>
        <v>Low Risk</v>
      </c>
      <c r="S899" t="str">
        <f t="shared" si="59"/>
        <v>Good</v>
      </c>
      <c r="T899" s="4">
        <f>Table1[[#This Row],[Deposit_Amount]]+Table1[[#This Row],[Withdrawal_Amount]]</f>
        <v>486596.8</v>
      </c>
      <c r="U899" t="s">
        <v>274</v>
      </c>
    </row>
    <row r="900" spans="1:21" x14ac:dyDescent="0.3">
      <c r="A900">
        <v>899</v>
      </c>
      <c r="B900" t="s">
        <v>115</v>
      </c>
      <c r="C900" t="s">
        <v>16</v>
      </c>
      <c r="D900">
        <v>23</v>
      </c>
      <c r="E900" t="s">
        <v>17</v>
      </c>
      <c r="F900" s="4">
        <v>188441.55</v>
      </c>
      <c r="G900" t="str">
        <f t="shared" si="56"/>
        <v>Midum Income</v>
      </c>
      <c r="H900">
        <v>125635.81</v>
      </c>
      <c r="I900">
        <v>773</v>
      </c>
      <c r="J900" t="s">
        <v>32</v>
      </c>
      <c r="K900" t="s">
        <v>19</v>
      </c>
      <c r="L900">
        <v>97481.27</v>
      </c>
      <c r="M900">
        <v>156843.5</v>
      </c>
      <c r="N900" t="s">
        <v>25</v>
      </c>
      <c r="O900" s="7">
        <f t="shared" ca="1" si="57"/>
        <v>45965</v>
      </c>
      <c r="P900" s="7">
        <v>45869</v>
      </c>
      <c r="Q900">
        <v>4</v>
      </c>
      <c r="R900" t="str">
        <f t="shared" si="58"/>
        <v>Low Risk</v>
      </c>
      <c r="S900" t="str">
        <f t="shared" si="59"/>
        <v>Good</v>
      </c>
      <c r="T900" s="4">
        <f>Table1[[#This Row],[Deposit_Amount]]+Table1[[#This Row],[Withdrawal_Amount]]</f>
        <v>314077.36</v>
      </c>
      <c r="U900" t="s">
        <v>274</v>
      </c>
    </row>
    <row r="901" spans="1:21" x14ac:dyDescent="0.3">
      <c r="A901">
        <v>900</v>
      </c>
      <c r="B901" t="s">
        <v>72</v>
      </c>
      <c r="C901" t="s">
        <v>16</v>
      </c>
      <c r="D901">
        <v>40</v>
      </c>
      <c r="E901" t="s">
        <v>40</v>
      </c>
      <c r="F901" s="4">
        <v>162759.81</v>
      </c>
      <c r="G901" t="str">
        <f t="shared" si="56"/>
        <v>Midum Income</v>
      </c>
      <c r="H901">
        <v>285946.33</v>
      </c>
      <c r="I901">
        <v>506</v>
      </c>
      <c r="J901" t="s">
        <v>38</v>
      </c>
      <c r="K901" t="s">
        <v>59</v>
      </c>
      <c r="L901">
        <v>-96881.84</v>
      </c>
      <c r="M901">
        <v>165338.75</v>
      </c>
      <c r="N901" t="s">
        <v>28</v>
      </c>
      <c r="O901" s="7">
        <f t="shared" ca="1" si="57"/>
        <v>45996</v>
      </c>
      <c r="P901" s="7">
        <v>45839</v>
      </c>
      <c r="Q901">
        <v>1</v>
      </c>
      <c r="R901" t="str">
        <f t="shared" si="58"/>
        <v>Midum Risk</v>
      </c>
      <c r="S901" t="str">
        <f t="shared" si="59"/>
        <v xml:space="preserve">Midum </v>
      </c>
      <c r="T901" s="4">
        <f>Table1[[#This Row],[Deposit_Amount]]+Table1[[#This Row],[Withdrawal_Amount]]</f>
        <v>448706.14</v>
      </c>
      <c r="U901" t="s">
        <v>274</v>
      </c>
    </row>
    <row r="902" spans="1:21" x14ac:dyDescent="0.3">
      <c r="A902">
        <v>901</v>
      </c>
      <c r="B902" t="s">
        <v>181</v>
      </c>
      <c r="C902" t="s">
        <v>16</v>
      </c>
      <c r="D902">
        <v>53</v>
      </c>
      <c r="E902" t="s">
        <v>23</v>
      </c>
      <c r="F902" s="4">
        <v>168363.3</v>
      </c>
      <c r="G902" t="str">
        <f t="shared" si="56"/>
        <v>Midum Income</v>
      </c>
      <c r="H902">
        <v>198176.98</v>
      </c>
      <c r="I902">
        <v>429</v>
      </c>
      <c r="J902" t="s">
        <v>27</v>
      </c>
      <c r="K902" t="s">
        <v>19</v>
      </c>
      <c r="L902">
        <v>134639.43</v>
      </c>
      <c r="M902">
        <v>153966.98000000001</v>
      </c>
      <c r="N902" t="s">
        <v>28</v>
      </c>
      <c r="O902" s="7">
        <f t="shared" ca="1" si="57"/>
        <v>45846</v>
      </c>
      <c r="P902" s="7">
        <v>45895</v>
      </c>
      <c r="Q902">
        <v>3</v>
      </c>
      <c r="R902" t="str">
        <f t="shared" si="58"/>
        <v>Midum Risk</v>
      </c>
      <c r="S902" t="str">
        <f t="shared" si="59"/>
        <v xml:space="preserve">Midum </v>
      </c>
      <c r="T902" s="4">
        <f>Table1[[#This Row],[Deposit_Amount]]+Table1[[#This Row],[Withdrawal_Amount]]</f>
        <v>366540.28</v>
      </c>
      <c r="U902" t="s">
        <v>274</v>
      </c>
    </row>
    <row r="903" spans="1:21" x14ac:dyDescent="0.3">
      <c r="A903">
        <v>902</v>
      </c>
      <c r="B903" t="s">
        <v>128</v>
      </c>
      <c r="C903" t="s">
        <v>16</v>
      </c>
      <c r="D903">
        <v>26</v>
      </c>
      <c r="E903" t="s">
        <v>23</v>
      </c>
      <c r="F903" s="4">
        <v>282921.3</v>
      </c>
      <c r="G903" t="str">
        <f t="shared" si="56"/>
        <v>High Income</v>
      </c>
      <c r="H903">
        <v>46184.42</v>
      </c>
      <c r="I903">
        <v>325</v>
      </c>
      <c r="J903" t="s">
        <v>41</v>
      </c>
      <c r="K903" t="s">
        <v>24</v>
      </c>
      <c r="L903">
        <v>278012.5</v>
      </c>
      <c r="M903">
        <v>115219.02</v>
      </c>
      <c r="N903" t="s">
        <v>25</v>
      </c>
      <c r="O903" s="7">
        <f t="shared" ca="1" si="57"/>
        <v>45927</v>
      </c>
      <c r="P903" s="7">
        <v>45893</v>
      </c>
      <c r="Q903">
        <v>4</v>
      </c>
      <c r="R903" t="str">
        <f t="shared" si="58"/>
        <v>High Risk</v>
      </c>
      <c r="S903" t="str">
        <f t="shared" si="59"/>
        <v>Poor</v>
      </c>
      <c r="T903" s="4">
        <f>Table1[[#This Row],[Deposit_Amount]]+Table1[[#This Row],[Withdrawal_Amount]]</f>
        <v>329105.71999999997</v>
      </c>
      <c r="U903" t="s">
        <v>274</v>
      </c>
    </row>
    <row r="904" spans="1:21" x14ac:dyDescent="0.3">
      <c r="A904">
        <v>903</v>
      </c>
      <c r="B904" t="s">
        <v>207</v>
      </c>
      <c r="C904" t="s">
        <v>16</v>
      </c>
      <c r="D904">
        <v>38</v>
      </c>
      <c r="E904" t="s">
        <v>44</v>
      </c>
      <c r="F904" s="4">
        <v>175143.77</v>
      </c>
      <c r="G904" t="str">
        <f t="shared" si="56"/>
        <v>Midum Income</v>
      </c>
      <c r="H904">
        <v>99069.49</v>
      </c>
      <c r="I904">
        <v>468</v>
      </c>
      <c r="J904" t="s">
        <v>41</v>
      </c>
      <c r="K904" t="s">
        <v>24</v>
      </c>
      <c r="L904">
        <v>238724.82</v>
      </c>
      <c r="M904">
        <v>93858.91</v>
      </c>
      <c r="N904" t="s">
        <v>20</v>
      </c>
      <c r="O904" s="7">
        <f t="shared" ca="1" si="57"/>
        <v>45820</v>
      </c>
      <c r="P904" s="7">
        <v>46004</v>
      </c>
      <c r="Q904">
        <v>1</v>
      </c>
      <c r="R904" t="str">
        <f t="shared" si="58"/>
        <v>Midum Risk</v>
      </c>
      <c r="S904" t="str">
        <f t="shared" si="59"/>
        <v xml:space="preserve">Midum </v>
      </c>
      <c r="T904" s="4">
        <f>Table1[[#This Row],[Deposit_Amount]]+Table1[[#This Row],[Withdrawal_Amount]]</f>
        <v>274213.26</v>
      </c>
      <c r="U904" t="s">
        <v>274</v>
      </c>
    </row>
    <row r="905" spans="1:21" x14ac:dyDescent="0.3">
      <c r="A905">
        <v>904</v>
      </c>
      <c r="B905" t="s">
        <v>94</v>
      </c>
      <c r="C905" t="s">
        <v>16</v>
      </c>
      <c r="D905">
        <v>37</v>
      </c>
      <c r="E905" t="s">
        <v>35</v>
      </c>
      <c r="F905" s="4">
        <v>319189.12</v>
      </c>
      <c r="G905" t="str">
        <f t="shared" si="56"/>
        <v>High Income</v>
      </c>
      <c r="H905">
        <v>211847.48</v>
      </c>
      <c r="I905">
        <v>614</v>
      </c>
      <c r="J905" t="s">
        <v>32</v>
      </c>
      <c r="K905" t="s">
        <v>59</v>
      </c>
      <c r="L905">
        <v>300835.86</v>
      </c>
      <c r="M905">
        <v>34583.81</v>
      </c>
      <c r="N905" t="s">
        <v>20</v>
      </c>
      <c r="O905" s="7">
        <f t="shared" ca="1" si="57"/>
        <v>45689</v>
      </c>
      <c r="P905" s="7">
        <v>45940</v>
      </c>
      <c r="Q905">
        <v>5</v>
      </c>
      <c r="R905" t="str">
        <f t="shared" si="58"/>
        <v>Low Risk</v>
      </c>
      <c r="S905" t="str">
        <f t="shared" si="59"/>
        <v>Good</v>
      </c>
      <c r="T905" s="4">
        <f>Table1[[#This Row],[Deposit_Amount]]+Table1[[#This Row],[Withdrawal_Amount]]</f>
        <v>531036.6</v>
      </c>
      <c r="U905" t="s">
        <v>274</v>
      </c>
    </row>
    <row r="906" spans="1:21" x14ac:dyDescent="0.3">
      <c r="A906">
        <v>905</v>
      </c>
      <c r="B906" t="s">
        <v>167</v>
      </c>
      <c r="C906" t="s">
        <v>22</v>
      </c>
      <c r="D906">
        <v>18</v>
      </c>
      <c r="E906" t="s">
        <v>23</v>
      </c>
      <c r="F906" s="4">
        <v>80434.19</v>
      </c>
      <c r="G906" t="str">
        <f t="shared" si="56"/>
        <v>Low Income</v>
      </c>
      <c r="H906">
        <v>287661.28000000003</v>
      </c>
      <c r="I906">
        <v>763</v>
      </c>
      <c r="J906" t="s">
        <v>27</v>
      </c>
      <c r="K906" t="s">
        <v>36</v>
      </c>
      <c r="L906">
        <v>-117645</v>
      </c>
      <c r="M906">
        <v>210193.18</v>
      </c>
      <c r="N906" t="s">
        <v>20</v>
      </c>
      <c r="O906" s="7">
        <f t="shared" ca="1" si="57"/>
        <v>45817</v>
      </c>
      <c r="P906" s="7">
        <v>45873</v>
      </c>
      <c r="Q906">
        <v>1</v>
      </c>
      <c r="R906" t="str">
        <f t="shared" si="58"/>
        <v>Low Risk</v>
      </c>
      <c r="S906" t="str">
        <f t="shared" si="59"/>
        <v>Good</v>
      </c>
      <c r="T906" s="4">
        <f>Table1[[#This Row],[Deposit_Amount]]+Table1[[#This Row],[Withdrawal_Amount]]</f>
        <v>368095.47000000003</v>
      </c>
      <c r="U906" t="s">
        <v>274</v>
      </c>
    </row>
    <row r="907" spans="1:21" x14ac:dyDescent="0.3">
      <c r="A907">
        <v>906</v>
      </c>
      <c r="B907" t="s">
        <v>70</v>
      </c>
      <c r="C907" t="s">
        <v>22</v>
      </c>
      <c r="D907">
        <v>18</v>
      </c>
      <c r="E907" t="s">
        <v>23</v>
      </c>
      <c r="F907" s="4">
        <v>496680.48</v>
      </c>
      <c r="G907" t="str">
        <f t="shared" si="56"/>
        <v>High Income</v>
      </c>
      <c r="H907">
        <v>115986.72</v>
      </c>
      <c r="I907">
        <v>323</v>
      </c>
      <c r="J907" t="s">
        <v>18</v>
      </c>
      <c r="K907" t="s">
        <v>24</v>
      </c>
      <c r="L907">
        <v>495204.62</v>
      </c>
      <c r="M907">
        <v>34207.85</v>
      </c>
      <c r="N907" t="s">
        <v>20</v>
      </c>
      <c r="O907" s="7">
        <f t="shared" ca="1" si="57"/>
        <v>45734</v>
      </c>
      <c r="P907" s="7">
        <v>45862</v>
      </c>
      <c r="Q907">
        <v>1</v>
      </c>
      <c r="R907" t="str">
        <f t="shared" si="58"/>
        <v>High Risk</v>
      </c>
      <c r="S907" t="str">
        <f t="shared" si="59"/>
        <v>Poor</v>
      </c>
      <c r="T907" s="4">
        <f>Table1[[#This Row],[Deposit_Amount]]+Table1[[#This Row],[Withdrawal_Amount]]</f>
        <v>612667.19999999995</v>
      </c>
      <c r="U907" t="s">
        <v>274</v>
      </c>
    </row>
    <row r="908" spans="1:21" x14ac:dyDescent="0.3">
      <c r="A908">
        <v>907</v>
      </c>
      <c r="B908" t="s">
        <v>82</v>
      </c>
      <c r="C908" t="s">
        <v>22</v>
      </c>
      <c r="D908">
        <v>40</v>
      </c>
      <c r="E908" t="s">
        <v>40</v>
      </c>
      <c r="F908" s="4">
        <v>24112.48</v>
      </c>
      <c r="G908" t="str">
        <f t="shared" si="56"/>
        <v>Low Income</v>
      </c>
      <c r="H908">
        <v>263034.03000000003</v>
      </c>
      <c r="I908">
        <v>522</v>
      </c>
      <c r="J908" t="s">
        <v>18</v>
      </c>
      <c r="K908" t="s">
        <v>19</v>
      </c>
      <c r="L908">
        <v>-70511.98</v>
      </c>
      <c r="M908">
        <v>151742.16</v>
      </c>
      <c r="N908" t="s">
        <v>20</v>
      </c>
      <c r="O908" s="7">
        <f t="shared" ca="1" si="57"/>
        <v>45694</v>
      </c>
      <c r="P908" s="7">
        <v>45903</v>
      </c>
      <c r="Q908">
        <v>5</v>
      </c>
      <c r="R908" t="str">
        <f t="shared" si="58"/>
        <v>Midum Risk</v>
      </c>
      <c r="S908" t="str">
        <f t="shared" si="59"/>
        <v xml:space="preserve">Midum </v>
      </c>
      <c r="T908" s="4">
        <f>Table1[[#This Row],[Deposit_Amount]]+Table1[[#This Row],[Withdrawal_Amount]]</f>
        <v>287146.51</v>
      </c>
      <c r="U908" t="s">
        <v>274</v>
      </c>
    </row>
    <row r="909" spans="1:21" x14ac:dyDescent="0.3">
      <c r="A909">
        <v>908</v>
      </c>
      <c r="B909" t="s">
        <v>89</v>
      </c>
      <c r="C909" t="s">
        <v>16</v>
      </c>
      <c r="D909">
        <v>47</v>
      </c>
      <c r="E909" t="s">
        <v>31</v>
      </c>
      <c r="F909" s="4">
        <v>118129.91</v>
      </c>
      <c r="G909" t="str">
        <f t="shared" si="56"/>
        <v>Midum Income</v>
      </c>
      <c r="H909">
        <v>61008.83</v>
      </c>
      <c r="I909">
        <v>750</v>
      </c>
      <c r="J909" t="s">
        <v>32</v>
      </c>
      <c r="K909" t="s">
        <v>24</v>
      </c>
      <c r="L909">
        <v>150417.57</v>
      </c>
      <c r="M909">
        <v>92827.88</v>
      </c>
      <c r="N909" t="s">
        <v>20</v>
      </c>
      <c r="O909" s="7">
        <f t="shared" ca="1" si="57"/>
        <v>46001</v>
      </c>
      <c r="P909" s="7">
        <v>45660</v>
      </c>
      <c r="Q909">
        <v>3</v>
      </c>
      <c r="R909" t="str">
        <f t="shared" si="58"/>
        <v>Low Risk</v>
      </c>
      <c r="S909" t="str">
        <f t="shared" si="59"/>
        <v>Good</v>
      </c>
      <c r="T909" s="4">
        <f>Table1[[#This Row],[Deposit_Amount]]+Table1[[#This Row],[Withdrawal_Amount]]</f>
        <v>179138.74</v>
      </c>
      <c r="U909" t="s">
        <v>274</v>
      </c>
    </row>
    <row r="910" spans="1:21" x14ac:dyDescent="0.3">
      <c r="A910">
        <v>909</v>
      </c>
      <c r="B910" t="s">
        <v>76</v>
      </c>
      <c r="C910" t="s">
        <v>22</v>
      </c>
      <c r="D910">
        <v>34</v>
      </c>
      <c r="E910" t="s">
        <v>31</v>
      </c>
      <c r="F910" s="4">
        <v>96279.81</v>
      </c>
      <c r="G910" t="str">
        <f t="shared" si="56"/>
        <v>Low Income</v>
      </c>
      <c r="H910">
        <v>230376.71</v>
      </c>
      <c r="I910">
        <v>363</v>
      </c>
      <c r="J910" t="s">
        <v>18</v>
      </c>
      <c r="K910" t="s">
        <v>59</v>
      </c>
      <c r="L910">
        <v>6312.92</v>
      </c>
      <c r="M910">
        <v>61977.65</v>
      </c>
      <c r="N910" t="s">
        <v>28</v>
      </c>
      <c r="O910" s="7">
        <f t="shared" ca="1" si="57"/>
        <v>46009</v>
      </c>
      <c r="P910" s="7">
        <v>45870</v>
      </c>
      <c r="Q910">
        <v>1</v>
      </c>
      <c r="R910" t="str">
        <f t="shared" si="58"/>
        <v>High Risk</v>
      </c>
      <c r="S910" t="str">
        <f t="shared" si="59"/>
        <v>Poor</v>
      </c>
      <c r="T910" s="4">
        <f>Table1[[#This Row],[Deposit_Amount]]+Table1[[#This Row],[Withdrawal_Amount]]</f>
        <v>326656.52</v>
      </c>
      <c r="U910" t="s">
        <v>274</v>
      </c>
    </row>
    <row r="911" spans="1:21" x14ac:dyDescent="0.3">
      <c r="A911">
        <v>910</v>
      </c>
      <c r="B911" t="s">
        <v>78</v>
      </c>
      <c r="C911" t="s">
        <v>16</v>
      </c>
      <c r="D911">
        <v>65</v>
      </c>
      <c r="E911" t="s">
        <v>40</v>
      </c>
      <c r="F911" s="4">
        <v>161991.82999999999</v>
      </c>
      <c r="G911" t="str">
        <f t="shared" si="56"/>
        <v>Midum Income</v>
      </c>
      <c r="H911">
        <v>293798.67</v>
      </c>
      <c r="I911">
        <v>644</v>
      </c>
      <c r="J911" t="s">
        <v>18</v>
      </c>
      <c r="K911" t="s">
        <v>42</v>
      </c>
      <c r="L911">
        <v>-5358.84</v>
      </c>
      <c r="M911">
        <v>232645.38</v>
      </c>
      <c r="N911" t="s">
        <v>28</v>
      </c>
      <c r="O911" s="7">
        <f t="shared" ca="1" si="57"/>
        <v>45839</v>
      </c>
      <c r="P911" s="7">
        <v>45941</v>
      </c>
      <c r="Q911">
        <v>5</v>
      </c>
      <c r="R911" t="str">
        <f t="shared" si="58"/>
        <v>Low Risk</v>
      </c>
      <c r="S911" t="str">
        <f t="shared" si="59"/>
        <v>Good</v>
      </c>
      <c r="T911" s="4">
        <f>Table1[[#This Row],[Deposit_Amount]]+Table1[[#This Row],[Withdrawal_Amount]]</f>
        <v>455790.5</v>
      </c>
      <c r="U911" t="s">
        <v>274</v>
      </c>
    </row>
    <row r="912" spans="1:21" x14ac:dyDescent="0.3">
      <c r="A912">
        <v>911</v>
      </c>
      <c r="B912" t="s">
        <v>51</v>
      </c>
      <c r="C912" t="s">
        <v>22</v>
      </c>
      <c r="D912">
        <v>31</v>
      </c>
      <c r="E912" t="s">
        <v>31</v>
      </c>
      <c r="F912" s="4">
        <v>484508.1</v>
      </c>
      <c r="G912" t="str">
        <f t="shared" si="56"/>
        <v>High Income</v>
      </c>
      <c r="H912">
        <v>177073.92000000001</v>
      </c>
      <c r="I912">
        <v>539</v>
      </c>
      <c r="J912" t="s">
        <v>41</v>
      </c>
      <c r="K912" t="s">
        <v>24</v>
      </c>
      <c r="L912">
        <v>338427.85</v>
      </c>
      <c r="M912">
        <v>42264.66</v>
      </c>
      <c r="N912" t="s">
        <v>25</v>
      </c>
      <c r="O912" s="7">
        <f t="shared" ca="1" si="57"/>
        <v>45862</v>
      </c>
      <c r="P912" s="7">
        <v>45977</v>
      </c>
      <c r="Q912">
        <v>1</v>
      </c>
      <c r="R912" t="str">
        <f t="shared" si="58"/>
        <v>Midum Risk</v>
      </c>
      <c r="S912" t="str">
        <f t="shared" si="59"/>
        <v xml:space="preserve">Midum </v>
      </c>
      <c r="T912" s="4">
        <f>Table1[[#This Row],[Deposit_Amount]]+Table1[[#This Row],[Withdrawal_Amount]]</f>
        <v>661582.02</v>
      </c>
      <c r="U912" t="s">
        <v>274</v>
      </c>
    </row>
    <row r="913" spans="1:21" x14ac:dyDescent="0.3">
      <c r="A913">
        <v>912</v>
      </c>
      <c r="B913" t="s">
        <v>52</v>
      </c>
      <c r="C913" t="s">
        <v>22</v>
      </c>
      <c r="D913">
        <v>29</v>
      </c>
      <c r="E913" t="s">
        <v>17</v>
      </c>
      <c r="F913" s="4">
        <v>6049.49</v>
      </c>
      <c r="G913" t="str">
        <f t="shared" si="56"/>
        <v>Low Income</v>
      </c>
      <c r="H913">
        <v>131833.70000000001</v>
      </c>
      <c r="I913">
        <v>659</v>
      </c>
      <c r="J913" t="s">
        <v>27</v>
      </c>
      <c r="K913" t="s">
        <v>59</v>
      </c>
      <c r="L913">
        <v>30345.74</v>
      </c>
      <c r="M913">
        <v>42413.35</v>
      </c>
      <c r="N913" t="s">
        <v>28</v>
      </c>
      <c r="O913" s="7">
        <f t="shared" ca="1" si="57"/>
        <v>45893</v>
      </c>
      <c r="P913" s="7">
        <v>45676</v>
      </c>
      <c r="Q913">
        <v>2</v>
      </c>
      <c r="R913" t="str">
        <f t="shared" si="58"/>
        <v>Low Risk</v>
      </c>
      <c r="S913" t="str">
        <f t="shared" si="59"/>
        <v>Good</v>
      </c>
      <c r="T913" s="4">
        <f>Table1[[#This Row],[Deposit_Amount]]+Table1[[#This Row],[Withdrawal_Amount]]</f>
        <v>137883.19</v>
      </c>
      <c r="U913" t="s">
        <v>274</v>
      </c>
    </row>
    <row r="914" spans="1:21" x14ac:dyDescent="0.3">
      <c r="A914">
        <v>913</v>
      </c>
      <c r="B914" t="s">
        <v>107</v>
      </c>
      <c r="C914" t="s">
        <v>16</v>
      </c>
      <c r="D914">
        <v>57</v>
      </c>
      <c r="E914" t="s">
        <v>35</v>
      </c>
      <c r="F914" s="4">
        <v>157464.98000000001</v>
      </c>
      <c r="G914" t="str">
        <f t="shared" si="56"/>
        <v>Midum Income</v>
      </c>
      <c r="H914">
        <v>229173.94</v>
      </c>
      <c r="I914">
        <v>893</v>
      </c>
      <c r="J914" t="s">
        <v>41</v>
      </c>
      <c r="K914" t="s">
        <v>59</v>
      </c>
      <c r="L914">
        <v>62075.41</v>
      </c>
      <c r="M914">
        <v>225017.78</v>
      </c>
      <c r="N914" t="s">
        <v>20</v>
      </c>
      <c r="O914" s="7">
        <f t="shared" ca="1" si="57"/>
        <v>45816</v>
      </c>
      <c r="P914" s="7">
        <v>45951</v>
      </c>
      <c r="Q914">
        <v>5</v>
      </c>
      <c r="R914" t="str">
        <f t="shared" si="58"/>
        <v>Low Risk</v>
      </c>
      <c r="S914" t="str">
        <f t="shared" si="59"/>
        <v>Good</v>
      </c>
      <c r="T914" s="4">
        <f>Table1[[#This Row],[Deposit_Amount]]+Table1[[#This Row],[Withdrawal_Amount]]</f>
        <v>386638.92000000004</v>
      </c>
      <c r="U914" t="s">
        <v>274</v>
      </c>
    </row>
    <row r="915" spans="1:21" x14ac:dyDescent="0.3">
      <c r="A915">
        <v>914</v>
      </c>
      <c r="B915" t="s">
        <v>65</v>
      </c>
      <c r="C915" t="s">
        <v>22</v>
      </c>
      <c r="D915">
        <v>63</v>
      </c>
      <c r="E915" t="s">
        <v>17</v>
      </c>
      <c r="F915" s="4">
        <v>157136.71</v>
      </c>
      <c r="G915" t="str">
        <f t="shared" si="56"/>
        <v>Midum Income</v>
      </c>
      <c r="H915">
        <v>148240.15</v>
      </c>
      <c r="I915">
        <v>857</v>
      </c>
      <c r="J915" t="s">
        <v>41</v>
      </c>
      <c r="K915" t="s">
        <v>24</v>
      </c>
      <c r="L915">
        <v>107215.67</v>
      </c>
      <c r="M915">
        <v>123681.42</v>
      </c>
      <c r="N915" t="s">
        <v>28</v>
      </c>
      <c r="O915" s="7">
        <f t="shared" ca="1" si="57"/>
        <v>45670</v>
      </c>
      <c r="P915" s="7">
        <v>45757</v>
      </c>
      <c r="Q915">
        <v>3</v>
      </c>
      <c r="R915" t="str">
        <f t="shared" si="58"/>
        <v>Low Risk</v>
      </c>
      <c r="S915" t="str">
        <f t="shared" si="59"/>
        <v>Good</v>
      </c>
      <c r="T915" s="4">
        <f>Table1[[#This Row],[Deposit_Amount]]+Table1[[#This Row],[Withdrawal_Amount]]</f>
        <v>305376.86</v>
      </c>
      <c r="U915" t="s">
        <v>274</v>
      </c>
    </row>
    <row r="916" spans="1:21" x14ac:dyDescent="0.3">
      <c r="A916">
        <v>915</v>
      </c>
      <c r="B916" t="s">
        <v>128</v>
      </c>
      <c r="C916" t="s">
        <v>16</v>
      </c>
      <c r="D916">
        <v>52</v>
      </c>
      <c r="E916" t="s">
        <v>23</v>
      </c>
      <c r="F916" s="4">
        <v>484337.84</v>
      </c>
      <c r="G916" t="str">
        <f t="shared" si="56"/>
        <v>High Income</v>
      </c>
      <c r="H916">
        <v>40915.550000000003</v>
      </c>
      <c r="I916">
        <v>866</v>
      </c>
      <c r="J916" t="s">
        <v>18</v>
      </c>
      <c r="K916" t="s">
        <v>36</v>
      </c>
      <c r="L916">
        <v>611396.44999999995</v>
      </c>
      <c r="M916">
        <v>151786.79</v>
      </c>
      <c r="N916" t="s">
        <v>25</v>
      </c>
      <c r="O916" s="7">
        <f t="shared" ca="1" si="57"/>
        <v>45751</v>
      </c>
      <c r="P916" s="7">
        <v>45748</v>
      </c>
      <c r="Q916">
        <v>5</v>
      </c>
      <c r="R916" t="str">
        <f t="shared" si="58"/>
        <v>Low Risk</v>
      </c>
      <c r="S916" t="str">
        <f t="shared" si="59"/>
        <v>Good</v>
      </c>
      <c r="T916" s="4">
        <f>Table1[[#This Row],[Deposit_Amount]]+Table1[[#This Row],[Withdrawal_Amount]]</f>
        <v>525253.39</v>
      </c>
      <c r="U916" t="s">
        <v>274</v>
      </c>
    </row>
    <row r="917" spans="1:21" x14ac:dyDescent="0.3">
      <c r="A917">
        <v>916</v>
      </c>
      <c r="B917" t="s">
        <v>128</v>
      </c>
      <c r="C917" t="s">
        <v>16</v>
      </c>
      <c r="D917">
        <v>37</v>
      </c>
      <c r="E917" t="s">
        <v>31</v>
      </c>
      <c r="F917" s="4">
        <v>373997.89</v>
      </c>
      <c r="G917" t="str">
        <f t="shared" si="56"/>
        <v>High Income</v>
      </c>
      <c r="H917">
        <v>31389.31</v>
      </c>
      <c r="I917">
        <v>316</v>
      </c>
      <c r="J917" t="s">
        <v>32</v>
      </c>
      <c r="K917" t="s">
        <v>36</v>
      </c>
      <c r="L917">
        <v>390696.24</v>
      </c>
      <c r="M917">
        <v>72940.7</v>
      </c>
      <c r="N917" t="s">
        <v>20</v>
      </c>
      <c r="O917" s="7">
        <f t="shared" ca="1" si="57"/>
        <v>45695</v>
      </c>
      <c r="P917" s="7">
        <v>46013</v>
      </c>
      <c r="Q917">
        <v>4</v>
      </c>
      <c r="R917" t="str">
        <f t="shared" si="58"/>
        <v>High Risk</v>
      </c>
      <c r="S917" t="str">
        <f t="shared" si="59"/>
        <v>Poor</v>
      </c>
      <c r="T917" s="4">
        <f>Table1[[#This Row],[Deposit_Amount]]+Table1[[#This Row],[Withdrawal_Amount]]</f>
        <v>405387.2</v>
      </c>
      <c r="U917" t="s">
        <v>274</v>
      </c>
    </row>
    <row r="918" spans="1:21" x14ac:dyDescent="0.3">
      <c r="A918">
        <v>917</v>
      </c>
      <c r="B918" t="s">
        <v>90</v>
      </c>
      <c r="C918" t="s">
        <v>16</v>
      </c>
      <c r="D918">
        <v>40</v>
      </c>
      <c r="E918" t="s">
        <v>40</v>
      </c>
      <c r="F918" s="4">
        <v>32837.46</v>
      </c>
      <c r="G918" t="str">
        <f t="shared" si="56"/>
        <v>Low Income</v>
      </c>
      <c r="H918">
        <v>44852.73</v>
      </c>
      <c r="I918">
        <v>833</v>
      </c>
      <c r="J918" t="s">
        <v>32</v>
      </c>
      <c r="K918" t="s">
        <v>19</v>
      </c>
      <c r="L918">
        <v>138211.81</v>
      </c>
      <c r="M918">
        <v>180061.78</v>
      </c>
      <c r="N918" t="s">
        <v>28</v>
      </c>
      <c r="O918" s="7">
        <f t="shared" ca="1" si="57"/>
        <v>45868</v>
      </c>
      <c r="P918" s="7">
        <v>45666</v>
      </c>
      <c r="Q918">
        <v>2</v>
      </c>
      <c r="R918" t="str">
        <f t="shared" si="58"/>
        <v>Low Risk</v>
      </c>
      <c r="S918" t="str">
        <f t="shared" si="59"/>
        <v>Good</v>
      </c>
      <c r="T918" s="4">
        <f>Table1[[#This Row],[Deposit_Amount]]+Table1[[#This Row],[Withdrawal_Amount]]</f>
        <v>77690.19</v>
      </c>
      <c r="U918" t="s">
        <v>274</v>
      </c>
    </row>
    <row r="919" spans="1:21" x14ac:dyDescent="0.3">
      <c r="A919">
        <v>918</v>
      </c>
      <c r="B919" t="s">
        <v>64</v>
      </c>
      <c r="C919" t="s">
        <v>16</v>
      </c>
      <c r="D919">
        <v>70</v>
      </c>
      <c r="E919" t="s">
        <v>17</v>
      </c>
      <c r="F919" s="4">
        <v>453651.35</v>
      </c>
      <c r="G919" t="str">
        <f t="shared" si="56"/>
        <v>High Income</v>
      </c>
      <c r="H919">
        <v>205392.92</v>
      </c>
      <c r="I919">
        <v>449</v>
      </c>
      <c r="J919" t="s">
        <v>32</v>
      </c>
      <c r="K919" t="s">
        <v>36</v>
      </c>
      <c r="L919">
        <v>312480.68</v>
      </c>
      <c r="M919">
        <v>151305.54999999999</v>
      </c>
      <c r="N919" t="s">
        <v>20</v>
      </c>
      <c r="O919" s="7">
        <f t="shared" ca="1" si="57"/>
        <v>45989</v>
      </c>
      <c r="P919" s="7">
        <v>45695</v>
      </c>
      <c r="Q919">
        <v>1</v>
      </c>
      <c r="R919" t="str">
        <f t="shared" si="58"/>
        <v>Midum Risk</v>
      </c>
      <c r="S919" t="str">
        <f t="shared" si="59"/>
        <v xml:space="preserve">Midum </v>
      </c>
      <c r="T919" s="4">
        <f>Table1[[#This Row],[Deposit_Amount]]+Table1[[#This Row],[Withdrawal_Amount]]</f>
        <v>659044.27</v>
      </c>
      <c r="U919" t="s">
        <v>274</v>
      </c>
    </row>
    <row r="920" spans="1:21" x14ac:dyDescent="0.3">
      <c r="A920">
        <v>919</v>
      </c>
      <c r="B920" t="s">
        <v>89</v>
      </c>
      <c r="C920" t="s">
        <v>16</v>
      </c>
      <c r="D920">
        <v>24</v>
      </c>
      <c r="E920" t="s">
        <v>35</v>
      </c>
      <c r="F920" s="4">
        <v>302942.98</v>
      </c>
      <c r="G920" t="str">
        <f t="shared" si="56"/>
        <v>High Income</v>
      </c>
      <c r="H920">
        <v>158307.48000000001</v>
      </c>
      <c r="I920">
        <v>575</v>
      </c>
      <c r="J920" t="s">
        <v>18</v>
      </c>
      <c r="K920" t="s">
        <v>59</v>
      </c>
      <c r="L920">
        <v>179057.39</v>
      </c>
      <c r="M920">
        <v>123858.07</v>
      </c>
      <c r="N920" t="s">
        <v>25</v>
      </c>
      <c r="O920" s="7">
        <f t="shared" ca="1" si="57"/>
        <v>46005</v>
      </c>
      <c r="P920" s="7">
        <v>45791</v>
      </c>
      <c r="Q920">
        <v>4</v>
      </c>
      <c r="R920" t="str">
        <f t="shared" si="58"/>
        <v>Midum Risk</v>
      </c>
      <c r="S920" t="str">
        <f t="shared" si="59"/>
        <v xml:space="preserve">Midum </v>
      </c>
      <c r="T920" s="4">
        <f>Table1[[#This Row],[Deposit_Amount]]+Table1[[#This Row],[Withdrawal_Amount]]</f>
        <v>461250.45999999996</v>
      </c>
      <c r="U920" t="s">
        <v>274</v>
      </c>
    </row>
    <row r="921" spans="1:21" x14ac:dyDescent="0.3">
      <c r="A921">
        <v>920</v>
      </c>
      <c r="B921" t="s">
        <v>136</v>
      </c>
      <c r="C921" t="s">
        <v>16</v>
      </c>
      <c r="D921">
        <v>46</v>
      </c>
      <c r="E921" t="s">
        <v>17</v>
      </c>
      <c r="F921" s="4">
        <v>196458.03</v>
      </c>
      <c r="G921" t="str">
        <f t="shared" si="56"/>
        <v>Midum Income</v>
      </c>
      <c r="H921">
        <v>109417.60000000001</v>
      </c>
      <c r="I921">
        <v>889</v>
      </c>
      <c r="J921" t="s">
        <v>27</v>
      </c>
      <c r="K921" t="s">
        <v>59</v>
      </c>
      <c r="L921">
        <v>106110.44</v>
      </c>
      <c r="M921">
        <v>220366.27</v>
      </c>
      <c r="N921" t="s">
        <v>28</v>
      </c>
      <c r="O921" s="7">
        <f t="shared" ca="1" si="57"/>
        <v>45901</v>
      </c>
      <c r="P921" s="7">
        <v>45743</v>
      </c>
      <c r="Q921">
        <v>4</v>
      </c>
      <c r="R921" t="str">
        <f t="shared" si="58"/>
        <v>Low Risk</v>
      </c>
      <c r="S921" t="str">
        <f t="shared" si="59"/>
        <v>Good</v>
      </c>
      <c r="T921" s="4">
        <f>Table1[[#This Row],[Deposit_Amount]]+Table1[[#This Row],[Withdrawal_Amount]]</f>
        <v>305875.63</v>
      </c>
      <c r="U921" t="s">
        <v>274</v>
      </c>
    </row>
    <row r="922" spans="1:21" x14ac:dyDescent="0.3">
      <c r="A922">
        <v>921</v>
      </c>
      <c r="B922" t="s">
        <v>157</v>
      </c>
      <c r="C922" t="s">
        <v>22</v>
      </c>
      <c r="D922">
        <v>52</v>
      </c>
      <c r="E922" t="s">
        <v>23</v>
      </c>
      <c r="F922" s="4">
        <v>226315.36</v>
      </c>
      <c r="G922" t="str">
        <f t="shared" si="56"/>
        <v>High Income</v>
      </c>
      <c r="H922">
        <v>241827.83</v>
      </c>
      <c r="I922">
        <v>538</v>
      </c>
      <c r="J922" t="s">
        <v>27</v>
      </c>
      <c r="K922" t="s">
        <v>42</v>
      </c>
      <c r="L922">
        <v>30271.74</v>
      </c>
      <c r="M922">
        <v>48598.31</v>
      </c>
      <c r="N922" t="s">
        <v>20</v>
      </c>
      <c r="O922" s="7">
        <f t="shared" ca="1" si="57"/>
        <v>45660</v>
      </c>
      <c r="P922" s="7">
        <v>45683</v>
      </c>
      <c r="Q922">
        <v>5</v>
      </c>
      <c r="R922" t="str">
        <f t="shared" si="58"/>
        <v>Midum Risk</v>
      </c>
      <c r="S922" t="str">
        <f t="shared" si="59"/>
        <v xml:space="preserve">Midum </v>
      </c>
      <c r="T922" s="4">
        <f>Table1[[#This Row],[Deposit_Amount]]+Table1[[#This Row],[Withdrawal_Amount]]</f>
        <v>468143.18999999994</v>
      </c>
      <c r="U922" t="s">
        <v>274</v>
      </c>
    </row>
    <row r="923" spans="1:21" x14ac:dyDescent="0.3">
      <c r="A923">
        <v>922</v>
      </c>
      <c r="B923" t="s">
        <v>54</v>
      </c>
      <c r="C923" t="s">
        <v>16</v>
      </c>
      <c r="D923">
        <v>49</v>
      </c>
      <c r="E923" t="s">
        <v>17</v>
      </c>
      <c r="F923" s="4">
        <v>276949.62</v>
      </c>
      <c r="G923" t="str">
        <f t="shared" si="56"/>
        <v>High Income</v>
      </c>
      <c r="H923">
        <v>99435.86</v>
      </c>
      <c r="I923">
        <v>702</v>
      </c>
      <c r="J923" t="s">
        <v>32</v>
      </c>
      <c r="K923" t="s">
        <v>59</v>
      </c>
      <c r="L923">
        <v>326118.34999999998</v>
      </c>
      <c r="M923">
        <v>247442.11</v>
      </c>
      <c r="N923" t="s">
        <v>20</v>
      </c>
      <c r="O923" s="7">
        <f t="shared" ca="1" si="57"/>
        <v>45971</v>
      </c>
      <c r="P923" s="7">
        <v>45891</v>
      </c>
      <c r="Q923">
        <v>5</v>
      </c>
      <c r="R923" t="str">
        <f t="shared" si="58"/>
        <v>Low Risk</v>
      </c>
      <c r="S923" t="str">
        <f t="shared" si="59"/>
        <v>Good</v>
      </c>
      <c r="T923" s="4">
        <f>Table1[[#This Row],[Deposit_Amount]]+Table1[[#This Row],[Withdrawal_Amount]]</f>
        <v>376385.48</v>
      </c>
      <c r="U923" t="s">
        <v>274</v>
      </c>
    </row>
    <row r="924" spans="1:21" x14ac:dyDescent="0.3">
      <c r="A924">
        <v>923</v>
      </c>
      <c r="B924" t="s">
        <v>66</v>
      </c>
      <c r="C924" t="s">
        <v>16</v>
      </c>
      <c r="D924">
        <v>26</v>
      </c>
      <c r="E924" t="s">
        <v>17</v>
      </c>
      <c r="F924" s="4">
        <v>97604.160000000003</v>
      </c>
      <c r="G924" t="str">
        <f t="shared" si="56"/>
        <v>Low Income</v>
      </c>
      <c r="H924">
        <v>292719.17</v>
      </c>
      <c r="I924">
        <v>442</v>
      </c>
      <c r="J924" t="s">
        <v>38</v>
      </c>
      <c r="K924" t="s">
        <v>24</v>
      </c>
      <c r="L924">
        <v>-92860.59</v>
      </c>
      <c r="M924">
        <v>144248.04</v>
      </c>
      <c r="N924" t="s">
        <v>28</v>
      </c>
      <c r="O924" s="7">
        <f t="shared" ca="1" si="57"/>
        <v>45927</v>
      </c>
      <c r="P924" s="7">
        <v>45845</v>
      </c>
      <c r="Q924">
        <v>4</v>
      </c>
      <c r="R924" t="str">
        <f t="shared" si="58"/>
        <v>Midum Risk</v>
      </c>
      <c r="S924" t="str">
        <f t="shared" si="59"/>
        <v xml:space="preserve">Midum </v>
      </c>
      <c r="T924" s="4">
        <f>Table1[[#This Row],[Deposit_Amount]]+Table1[[#This Row],[Withdrawal_Amount]]</f>
        <v>390323.32999999996</v>
      </c>
      <c r="U924" t="s">
        <v>274</v>
      </c>
    </row>
    <row r="925" spans="1:21" x14ac:dyDescent="0.3">
      <c r="A925">
        <v>924</v>
      </c>
      <c r="B925" t="s">
        <v>209</v>
      </c>
      <c r="C925" t="s">
        <v>16</v>
      </c>
      <c r="D925">
        <v>33</v>
      </c>
      <c r="E925" t="s">
        <v>35</v>
      </c>
      <c r="F925" s="4">
        <v>239368.89</v>
      </c>
      <c r="G925" t="str">
        <f t="shared" si="56"/>
        <v>High Income</v>
      </c>
      <c r="H925">
        <v>241795.87</v>
      </c>
      <c r="I925">
        <v>760</v>
      </c>
      <c r="J925" t="s">
        <v>18</v>
      </c>
      <c r="K925" t="s">
        <v>42</v>
      </c>
      <c r="L925">
        <v>149154.32999999999</v>
      </c>
      <c r="M925">
        <v>210961.99</v>
      </c>
      <c r="N925" t="s">
        <v>25</v>
      </c>
      <c r="O925" s="7">
        <f t="shared" ca="1" si="57"/>
        <v>45670</v>
      </c>
      <c r="P925" s="7">
        <v>45994</v>
      </c>
      <c r="Q925">
        <v>3</v>
      </c>
      <c r="R925" t="str">
        <f t="shared" si="58"/>
        <v>Low Risk</v>
      </c>
      <c r="S925" t="str">
        <f t="shared" si="59"/>
        <v>Good</v>
      </c>
      <c r="T925" s="4">
        <f>Table1[[#This Row],[Deposit_Amount]]+Table1[[#This Row],[Withdrawal_Amount]]</f>
        <v>481164.76</v>
      </c>
      <c r="U925" t="s">
        <v>274</v>
      </c>
    </row>
    <row r="926" spans="1:21" x14ac:dyDescent="0.3">
      <c r="A926">
        <v>925</v>
      </c>
      <c r="B926" t="s">
        <v>168</v>
      </c>
      <c r="C926" t="s">
        <v>16</v>
      </c>
      <c r="D926">
        <v>64</v>
      </c>
      <c r="E926" t="s">
        <v>44</v>
      </c>
      <c r="F926" s="4">
        <v>226845.51</v>
      </c>
      <c r="G926" t="str">
        <f t="shared" si="56"/>
        <v>High Income</v>
      </c>
      <c r="H926">
        <v>153467.18</v>
      </c>
      <c r="I926">
        <v>801</v>
      </c>
      <c r="J926" t="s">
        <v>27</v>
      </c>
      <c r="K926" t="s">
        <v>59</v>
      </c>
      <c r="L926">
        <v>233101.46</v>
      </c>
      <c r="M926">
        <v>238491.37</v>
      </c>
      <c r="N926" t="s">
        <v>28</v>
      </c>
      <c r="O926" s="7">
        <f t="shared" ca="1" si="57"/>
        <v>45810</v>
      </c>
      <c r="P926" s="7">
        <v>45973</v>
      </c>
      <c r="Q926">
        <v>5</v>
      </c>
      <c r="R926" t="str">
        <f t="shared" si="58"/>
        <v>Low Risk</v>
      </c>
      <c r="S926" t="str">
        <f t="shared" si="59"/>
        <v>Good</v>
      </c>
      <c r="T926" s="4">
        <f>Table1[[#This Row],[Deposit_Amount]]+Table1[[#This Row],[Withdrawal_Amount]]</f>
        <v>380312.69</v>
      </c>
      <c r="U926" t="s">
        <v>274</v>
      </c>
    </row>
    <row r="927" spans="1:21" x14ac:dyDescent="0.3">
      <c r="A927">
        <v>926</v>
      </c>
      <c r="B927" t="s">
        <v>37</v>
      </c>
      <c r="C927" t="s">
        <v>22</v>
      </c>
      <c r="D927">
        <v>42</v>
      </c>
      <c r="E927" t="s">
        <v>35</v>
      </c>
      <c r="F927" s="4">
        <v>342127.27</v>
      </c>
      <c r="G927" t="str">
        <f t="shared" si="56"/>
        <v>High Income</v>
      </c>
      <c r="H927">
        <v>135726.29999999999</v>
      </c>
      <c r="I927">
        <v>397</v>
      </c>
      <c r="J927" t="s">
        <v>32</v>
      </c>
      <c r="K927" t="s">
        <v>36</v>
      </c>
      <c r="L927">
        <v>355127.59</v>
      </c>
      <c r="M927">
        <v>76998.13</v>
      </c>
      <c r="N927" t="s">
        <v>25</v>
      </c>
      <c r="O927" s="7">
        <f t="shared" ca="1" si="57"/>
        <v>45810</v>
      </c>
      <c r="P927" s="7">
        <v>45899</v>
      </c>
      <c r="Q927">
        <v>3</v>
      </c>
      <c r="R927" t="str">
        <f t="shared" si="58"/>
        <v>High Risk</v>
      </c>
      <c r="S927" t="str">
        <f t="shared" si="59"/>
        <v>Poor</v>
      </c>
      <c r="T927" s="4">
        <f>Table1[[#This Row],[Deposit_Amount]]+Table1[[#This Row],[Withdrawal_Amount]]</f>
        <v>477853.57</v>
      </c>
      <c r="U927" t="s">
        <v>274</v>
      </c>
    </row>
    <row r="928" spans="1:21" x14ac:dyDescent="0.3">
      <c r="A928">
        <v>927</v>
      </c>
      <c r="B928" t="s">
        <v>93</v>
      </c>
      <c r="C928" t="s">
        <v>22</v>
      </c>
      <c r="D928">
        <v>48</v>
      </c>
      <c r="E928" t="s">
        <v>23</v>
      </c>
      <c r="F928" s="4">
        <v>114689.81</v>
      </c>
      <c r="G928" t="str">
        <f t="shared" si="56"/>
        <v>Midum Income</v>
      </c>
      <c r="H928">
        <v>42644.160000000003</v>
      </c>
      <c r="I928">
        <v>479</v>
      </c>
      <c r="J928" t="s">
        <v>38</v>
      </c>
      <c r="K928" t="s">
        <v>59</v>
      </c>
      <c r="L928">
        <v>244182.03</v>
      </c>
      <c r="M928">
        <v>156068.73000000001</v>
      </c>
      <c r="N928" t="s">
        <v>25</v>
      </c>
      <c r="O928" s="7">
        <f t="shared" ca="1" si="57"/>
        <v>46006</v>
      </c>
      <c r="P928" s="7">
        <v>45846</v>
      </c>
      <c r="Q928">
        <v>3</v>
      </c>
      <c r="R928" t="str">
        <f t="shared" si="58"/>
        <v>Midum Risk</v>
      </c>
      <c r="S928" t="str">
        <f t="shared" si="59"/>
        <v xml:space="preserve">Midum </v>
      </c>
      <c r="T928" s="4">
        <f>Table1[[#This Row],[Deposit_Amount]]+Table1[[#This Row],[Withdrawal_Amount]]</f>
        <v>157333.97</v>
      </c>
      <c r="U928" t="s">
        <v>274</v>
      </c>
    </row>
    <row r="929" spans="1:21" x14ac:dyDescent="0.3">
      <c r="A929">
        <v>928</v>
      </c>
      <c r="B929" t="s">
        <v>212</v>
      </c>
      <c r="C929" t="s">
        <v>22</v>
      </c>
      <c r="D929">
        <v>59</v>
      </c>
      <c r="E929" t="s">
        <v>44</v>
      </c>
      <c r="F929" s="4">
        <v>350057.73</v>
      </c>
      <c r="G929" t="str">
        <f t="shared" si="56"/>
        <v>High Income</v>
      </c>
      <c r="H929">
        <v>2469.09</v>
      </c>
      <c r="I929">
        <v>812</v>
      </c>
      <c r="J929" t="s">
        <v>32</v>
      </c>
      <c r="K929" t="s">
        <v>59</v>
      </c>
      <c r="L929">
        <v>528262.16</v>
      </c>
      <c r="M929">
        <v>180770.93</v>
      </c>
      <c r="N929" t="s">
        <v>20</v>
      </c>
      <c r="O929" s="7">
        <f t="shared" ca="1" si="57"/>
        <v>45774</v>
      </c>
      <c r="P929" s="7">
        <v>46010</v>
      </c>
      <c r="Q929">
        <v>5</v>
      </c>
      <c r="R929" t="str">
        <f t="shared" si="58"/>
        <v>Low Risk</v>
      </c>
      <c r="S929" t="str">
        <f t="shared" si="59"/>
        <v>Good</v>
      </c>
      <c r="T929" s="4">
        <f>Table1[[#This Row],[Deposit_Amount]]+Table1[[#This Row],[Withdrawal_Amount]]</f>
        <v>352526.82</v>
      </c>
      <c r="U929" t="s">
        <v>274</v>
      </c>
    </row>
    <row r="930" spans="1:21" x14ac:dyDescent="0.3">
      <c r="A930">
        <v>929</v>
      </c>
      <c r="B930" t="s">
        <v>88</v>
      </c>
      <c r="C930" t="s">
        <v>22</v>
      </c>
      <c r="D930">
        <v>55</v>
      </c>
      <c r="E930" t="s">
        <v>35</v>
      </c>
      <c r="F930" s="4">
        <v>75319.88</v>
      </c>
      <c r="G930" t="str">
        <f t="shared" si="56"/>
        <v>Low Income</v>
      </c>
      <c r="H930">
        <v>49706.9</v>
      </c>
      <c r="I930">
        <v>414</v>
      </c>
      <c r="J930" t="s">
        <v>38</v>
      </c>
      <c r="K930" t="s">
        <v>19</v>
      </c>
      <c r="L930">
        <v>86749.05</v>
      </c>
      <c r="M930">
        <v>146210.04</v>
      </c>
      <c r="N930" t="s">
        <v>28</v>
      </c>
      <c r="O930" s="7">
        <f t="shared" ca="1" si="57"/>
        <v>45862</v>
      </c>
      <c r="P930" s="7">
        <v>45936</v>
      </c>
      <c r="Q930">
        <v>3</v>
      </c>
      <c r="R930" t="str">
        <f t="shared" si="58"/>
        <v>Midum Risk</v>
      </c>
      <c r="S930" t="str">
        <f t="shared" si="59"/>
        <v xml:space="preserve">Midum </v>
      </c>
      <c r="T930" s="4">
        <f>Table1[[#This Row],[Deposit_Amount]]+Table1[[#This Row],[Withdrawal_Amount]]</f>
        <v>125026.78</v>
      </c>
      <c r="U930" t="s">
        <v>274</v>
      </c>
    </row>
    <row r="931" spans="1:21" x14ac:dyDescent="0.3">
      <c r="A931">
        <v>930</v>
      </c>
      <c r="B931" t="s">
        <v>82</v>
      </c>
      <c r="C931" t="s">
        <v>22</v>
      </c>
      <c r="D931">
        <v>65</v>
      </c>
      <c r="E931" t="s">
        <v>44</v>
      </c>
      <c r="F931" s="4">
        <v>395078.75</v>
      </c>
      <c r="G931" t="str">
        <f t="shared" si="56"/>
        <v>High Income</v>
      </c>
      <c r="H931">
        <v>39355.89</v>
      </c>
      <c r="I931">
        <v>422</v>
      </c>
      <c r="J931" t="s">
        <v>41</v>
      </c>
      <c r="K931" t="s">
        <v>36</v>
      </c>
      <c r="L931">
        <v>526371.05000000005</v>
      </c>
      <c r="M931">
        <v>237201.43</v>
      </c>
      <c r="N931" t="s">
        <v>25</v>
      </c>
      <c r="O931" s="7">
        <f t="shared" ca="1" si="57"/>
        <v>45769</v>
      </c>
      <c r="P931" s="7">
        <v>45741</v>
      </c>
      <c r="Q931">
        <v>1</v>
      </c>
      <c r="R931" t="str">
        <f t="shared" si="58"/>
        <v>Midum Risk</v>
      </c>
      <c r="S931" t="str">
        <f t="shared" si="59"/>
        <v xml:space="preserve">Midum </v>
      </c>
      <c r="T931" s="4">
        <f>Table1[[#This Row],[Deposit_Amount]]+Table1[[#This Row],[Withdrawal_Amount]]</f>
        <v>434434.64</v>
      </c>
      <c r="U931" t="s">
        <v>274</v>
      </c>
    </row>
    <row r="932" spans="1:21" x14ac:dyDescent="0.3">
      <c r="A932">
        <v>931</v>
      </c>
      <c r="B932" t="s">
        <v>164</v>
      </c>
      <c r="C932" t="s">
        <v>16</v>
      </c>
      <c r="D932">
        <v>32</v>
      </c>
      <c r="E932" t="s">
        <v>44</v>
      </c>
      <c r="F932" s="4">
        <v>373738.89</v>
      </c>
      <c r="G932" t="str">
        <f t="shared" si="56"/>
        <v>High Income</v>
      </c>
      <c r="H932">
        <v>184392.36</v>
      </c>
      <c r="I932">
        <v>719</v>
      </c>
      <c r="J932" t="s">
        <v>41</v>
      </c>
      <c r="K932" t="s">
        <v>59</v>
      </c>
      <c r="L932">
        <v>330361.69</v>
      </c>
      <c r="M932">
        <v>78131.649999999994</v>
      </c>
      <c r="N932" t="s">
        <v>25</v>
      </c>
      <c r="O932" s="7">
        <f t="shared" ca="1" si="57"/>
        <v>45965</v>
      </c>
      <c r="P932" s="7">
        <v>45981</v>
      </c>
      <c r="Q932">
        <v>5</v>
      </c>
      <c r="R932" t="str">
        <f t="shared" si="58"/>
        <v>Low Risk</v>
      </c>
      <c r="S932" t="str">
        <f t="shared" si="59"/>
        <v>Good</v>
      </c>
      <c r="T932" s="4">
        <f>Table1[[#This Row],[Deposit_Amount]]+Table1[[#This Row],[Withdrawal_Amount]]</f>
        <v>558131.25</v>
      </c>
      <c r="U932" t="s">
        <v>274</v>
      </c>
    </row>
    <row r="933" spans="1:21" x14ac:dyDescent="0.3">
      <c r="A933">
        <v>932</v>
      </c>
      <c r="B933" t="s">
        <v>93</v>
      </c>
      <c r="C933" t="s">
        <v>22</v>
      </c>
      <c r="D933">
        <v>42</v>
      </c>
      <c r="E933" t="s">
        <v>31</v>
      </c>
      <c r="F933" s="4">
        <v>229535.35999999999</v>
      </c>
      <c r="G933" t="str">
        <f t="shared" si="56"/>
        <v>High Income</v>
      </c>
      <c r="H933">
        <v>75010.8</v>
      </c>
      <c r="I933">
        <v>634</v>
      </c>
      <c r="J933" t="s">
        <v>27</v>
      </c>
      <c r="K933" t="s">
        <v>36</v>
      </c>
      <c r="L933">
        <v>219363.62</v>
      </c>
      <c r="M933">
        <v>131542.53</v>
      </c>
      <c r="N933" t="s">
        <v>20</v>
      </c>
      <c r="O933" s="7">
        <f t="shared" ca="1" si="57"/>
        <v>45928</v>
      </c>
      <c r="P933" s="7">
        <v>45956</v>
      </c>
      <c r="Q933">
        <v>1</v>
      </c>
      <c r="R933" t="str">
        <f t="shared" si="58"/>
        <v>Low Risk</v>
      </c>
      <c r="S933" t="str">
        <f t="shared" si="59"/>
        <v>Good</v>
      </c>
      <c r="T933" s="4">
        <f>Table1[[#This Row],[Deposit_Amount]]+Table1[[#This Row],[Withdrawal_Amount]]</f>
        <v>304546.15999999997</v>
      </c>
      <c r="U933" t="s">
        <v>274</v>
      </c>
    </row>
    <row r="934" spans="1:21" x14ac:dyDescent="0.3">
      <c r="A934">
        <v>933</v>
      </c>
      <c r="B934" t="s">
        <v>186</v>
      </c>
      <c r="C934" t="s">
        <v>22</v>
      </c>
      <c r="D934">
        <v>70</v>
      </c>
      <c r="E934" t="s">
        <v>44</v>
      </c>
      <c r="F934" s="4">
        <v>165181.81</v>
      </c>
      <c r="G934" t="str">
        <f t="shared" si="56"/>
        <v>Midum Income</v>
      </c>
      <c r="H934">
        <v>271204.78999999998</v>
      </c>
      <c r="I934">
        <v>782</v>
      </c>
      <c r="J934" t="s">
        <v>38</v>
      </c>
      <c r="K934" t="s">
        <v>42</v>
      </c>
      <c r="L934">
        <v>63955.48</v>
      </c>
      <c r="M934">
        <v>187005.32</v>
      </c>
      <c r="N934" t="s">
        <v>20</v>
      </c>
      <c r="O934" s="7">
        <f t="shared" ca="1" si="57"/>
        <v>46012</v>
      </c>
      <c r="P934" s="7">
        <v>45919</v>
      </c>
      <c r="Q934">
        <v>3</v>
      </c>
      <c r="R934" t="str">
        <f t="shared" si="58"/>
        <v>Low Risk</v>
      </c>
      <c r="S934" t="str">
        <f t="shared" si="59"/>
        <v>Good</v>
      </c>
      <c r="T934" s="4">
        <f>Table1[[#This Row],[Deposit_Amount]]+Table1[[#This Row],[Withdrawal_Amount]]</f>
        <v>436386.6</v>
      </c>
      <c r="U934" t="s">
        <v>274</v>
      </c>
    </row>
    <row r="935" spans="1:21" x14ac:dyDescent="0.3">
      <c r="A935">
        <v>934</v>
      </c>
      <c r="B935" t="s">
        <v>230</v>
      </c>
      <c r="C935" t="s">
        <v>16</v>
      </c>
      <c r="D935">
        <v>36</v>
      </c>
      <c r="E935" t="s">
        <v>17</v>
      </c>
      <c r="F935" s="4">
        <v>282200.84000000003</v>
      </c>
      <c r="G935" t="str">
        <f t="shared" si="56"/>
        <v>High Income</v>
      </c>
      <c r="H935">
        <v>128298.45</v>
      </c>
      <c r="I935">
        <v>339</v>
      </c>
      <c r="J935" t="s">
        <v>32</v>
      </c>
      <c r="K935" t="s">
        <v>24</v>
      </c>
      <c r="L935">
        <v>337073.71</v>
      </c>
      <c r="M935">
        <v>111275.36</v>
      </c>
      <c r="N935" t="s">
        <v>25</v>
      </c>
      <c r="O935" s="7">
        <f t="shared" ca="1" si="57"/>
        <v>45773</v>
      </c>
      <c r="P935" s="7">
        <v>45992</v>
      </c>
      <c r="Q935">
        <v>5</v>
      </c>
      <c r="R935" t="str">
        <f t="shared" si="58"/>
        <v>High Risk</v>
      </c>
      <c r="S935" t="str">
        <f t="shared" si="59"/>
        <v>Poor</v>
      </c>
      <c r="T935" s="4">
        <f>Table1[[#This Row],[Deposit_Amount]]+Table1[[#This Row],[Withdrawal_Amount]]</f>
        <v>410499.29000000004</v>
      </c>
      <c r="U935" t="s">
        <v>274</v>
      </c>
    </row>
    <row r="936" spans="1:21" x14ac:dyDescent="0.3">
      <c r="A936">
        <v>935</v>
      </c>
      <c r="B936" t="s">
        <v>179</v>
      </c>
      <c r="C936" t="s">
        <v>16</v>
      </c>
      <c r="D936">
        <v>60</v>
      </c>
      <c r="E936" t="s">
        <v>31</v>
      </c>
      <c r="F936" s="4">
        <v>245634.9</v>
      </c>
      <c r="G936" t="str">
        <f t="shared" si="56"/>
        <v>High Income</v>
      </c>
      <c r="H936">
        <v>94627.85</v>
      </c>
      <c r="I936">
        <v>499</v>
      </c>
      <c r="J936" t="s">
        <v>27</v>
      </c>
      <c r="K936" t="s">
        <v>24</v>
      </c>
      <c r="L936">
        <v>309811.03999999998</v>
      </c>
      <c r="M936">
        <v>164256.39000000001</v>
      </c>
      <c r="N936" t="s">
        <v>25</v>
      </c>
      <c r="O936" s="7">
        <f t="shared" ca="1" si="57"/>
        <v>46015</v>
      </c>
      <c r="P936" s="7">
        <v>45901</v>
      </c>
      <c r="Q936">
        <v>2</v>
      </c>
      <c r="R936" t="str">
        <f t="shared" si="58"/>
        <v>Midum Risk</v>
      </c>
      <c r="S936" t="str">
        <f t="shared" si="59"/>
        <v xml:space="preserve">Midum </v>
      </c>
      <c r="T936" s="4">
        <f>Table1[[#This Row],[Deposit_Amount]]+Table1[[#This Row],[Withdrawal_Amount]]</f>
        <v>340262.75</v>
      </c>
      <c r="U936" t="s">
        <v>274</v>
      </c>
    </row>
    <row r="937" spans="1:21" x14ac:dyDescent="0.3">
      <c r="A937">
        <v>936</v>
      </c>
      <c r="B937" t="s">
        <v>122</v>
      </c>
      <c r="C937" t="s">
        <v>16</v>
      </c>
      <c r="D937">
        <v>47</v>
      </c>
      <c r="E937" t="s">
        <v>40</v>
      </c>
      <c r="F937" s="4">
        <v>432039.38</v>
      </c>
      <c r="G937" t="str">
        <f t="shared" si="56"/>
        <v>High Income</v>
      </c>
      <c r="H937">
        <v>87656.1</v>
      </c>
      <c r="I937">
        <v>421</v>
      </c>
      <c r="J937" t="s">
        <v>38</v>
      </c>
      <c r="K937" t="s">
        <v>24</v>
      </c>
      <c r="L937">
        <v>370117.45</v>
      </c>
      <c r="M937">
        <v>146636.79999999999</v>
      </c>
      <c r="N937" t="s">
        <v>25</v>
      </c>
      <c r="O937" s="7">
        <f t="shared" ca="1" si="57"/>
        <v>45730</v>
      </c>
      <c r="P937" s="7">
        <v>45985</v>
      </c>
      <c r="Q937">
        <v>5</v>
      </c>
      <c r="R937" t="str">
        <f t="shared" si="58"/>
        <v>Midum Risk</v>
      </c>
      <c r="S937" t="str">
        <f t="shared" si="59"/>
        <v xml:space="preserve">Midum </v>
      </c>
      <c r="T937" s="4">
        <f>Table1[[#This Row],[Deposit_Amount]]+Table1[[#This Row],[Withdrawal_Amount]]</f>
        <v>519695.48</v>
      </c>
      <c r="U937" t="s">
        <v>274</v>
      </c>
    </row>
    <row r="938" spans="1:21" x14ac:dyDescent="0.3">
      <c r="A938">
        <v>937</v>
      </c>
      <c r="B938" t="s">
        <v>197</v>
      </c>
      <c r="C938" t="s">
        <v>16</v>
      </c>
      <c r="D938">
        <v>30</v>
      </c>
      <c r="E938" t="s">
        <v>17</v>
      </c>
      <c r="F938" s="4">
        <v>333215.09000000003</v>
      </c>
      <c r="G938" t="str">
        <f t="shared" si="56"/>
        <v>High Income</v>
      </c>
      <c r="H938">
        <v>287839.26</v>
      </c>
      <c r="I938">
        <v>687</v>
      </c>
      <c r="J938" t="s">
        <v>41</v>
      </c>
      <c r="K938" t="s">
        <v>59</v>
      </c>
      <c r="L938">
        <v>217737.53</v>
      </c>
      <c r="M938">
        <v>48305.1</v>
      </c>
      <c r="N938" t="s">
        <v>25</v>
      </c>
      <c r="O938" s="7">
        <f t="shared" ca="1" si="57"/>
        <v>45789</v>
      </c>
      <c r="P938" s="7">
        <v>45989</v>
      </c>
      <c r="Q938">
        <v>5</v>
      </c>
      <c r="R938" t="str">
        <f t="shared" si="58"/>
        <v>Low Risk</v>
      </c>
      <c r="S938" t="str">
        <f t="shared" si="59"/>
        <v>Good</v>
      </c>
      <c r="T938" s="4">
        <f>Table1[[#This Row],[Deposit_Amount]]+Table1[[#This Row],[Withdrawal_Amount]]</f>
        <v>621054.35000000009</v>
      </c>
      <c r="U938" t="s">
        <v>274</v>
      </c>
    </row>
    <row r="939" spans="1:21" x14ac:dyDescent="0.3">
      <c r="A939">
        <v>938</v>
      </c>
      <c r="B939" t="s">
        <v>161</v>
      </c>
      <c r="C939" t="s">
        <v>16</v>
      </c>
      <c r="D939">
        <v>36</v>
      </c>
      <c r="E939" t="s">
        <v>35</v>
      </c>
      <c r="F939" s="4">
        <v>463890.38</v>
      </c>
      <c r="G939" t="str">
        <f t="shared" si="56"/>
        <v>High Income</v>
      </c>
      <c r="H939">
        <v>290948.34999999998</v>
      </c>
      <c r="I939">
        <v>898</v>
      </c>
      <c r="J939" t="s">
        <v>18</v>
      </c>
      <c r="K939" t="s">
        <v>24</v>
      </c>
      <c r="L939">
        <v>237296.62</v>
      </c>
      <c r="M939">
        <v>135819.68</v>
      </c>
      <c r="N939" t="s">
        <v>28</v>
      </c>
      <c r="O939" s="7">
        <f t="shared" ca="1" si="57"/>
        <v>45955</v>
      </c>
      <c r="P939" s="7">
        <v>45700</v>
      </c>
      <c r="Q939">
        <v>5</v>
      </c>
      <c r="R939" t="str">
        <f t="shared" si="58"/>
        <v>Low Risk</v>
      </c>
      <c r="S939" t="str">
        <f t="shared" si="59"/>
        <v>Good</v>
      </c>
      <c r="T939" s="4">
        <f>Table1[[#This Row],[Deposit_Amount]]+Table1[[#This Row],[Withdrawal_Amount]]</f>
        <v>754838.73</v>
      </c>
      <c r="U939" t="s">
        <v>274</v>
      </c>
    </row>
    <row r="940" spans="1:21" x14ac:dyDescent="0.3">
      <c r="A940">
        <v>939</v>
      </c>
      <c r="B940" t="s">
        <v>143</v>
      </c>
      <c r="C940" t="s">
        <v>16</v>
      </c>
      <c r="D940">
        <v>50</v>
      </c>
      <c r="E940" t="s">
        <v>40</v>
      </c>
      <c r="F940" s="4">
        <v>375100.66</v>
      </c>
      <c r="G940" t="str">
        <f t="shared" si="56"/>
        <v>High Income</v>
      </c>
      <c r="H940">
        <v>292444.52</v>
      </c>
      <c r="I940">
        <v>695</v>
      </c>
      <c r="J940" t="s">
        <v>38</v>
      </c>
      <c r="K940" t="s">
        <v>24</v>
      </c>
      <c r="L940">
        <v>261562.41</v>
      </c>
      <c r="M940">
        <v>38587.9</v>
      </c>
      <c r="N940" t="s">
        <v>20</v>
      </c>
      <c r="O940" s="7">
        <f t="shared" ca="1" si="57"/>
        <v>45938</v>
      </c>
      <c r="P940" s="7">
        <v>45687</v>
      </c>
      <c r="Q940">
        <v>2</v>
      </c>
      <c r="R940" t="str">
        <f t="shared" si="58"/>
        <v>Low Risk</v>
      </c>
      <c r="S940" t="str">
        <f t="shared" si="59"/>
        <v>Good</v>
      </c>
      <c r="T940" s="4">
        <f>Table1[[#This Row],[Deposit_Amount]]+Table1[[#This Row],[Withdrawal_Amount]]</f>
        <v>667545.17999999993</v>
      </c>
      <c r="U940" t="s">
        <v>274</v>
      </c>
    </row>
    <row r="941" spans="1:21" x14ac:dyDescent="0.3">
      <c r="A941">
        <v>940</v>
      </c>
      <c r="B941" t="s">
        <v>100</v>
      </c>
      <c r="C941" t="s">
        <v>16</v>
      </c>
      <c r="D941">
        <v>51</v>
      </c>
      <c r="E941" t="s">
        <v>17</v>
      </c>
      <c r="F941" s="4">
        <v>122304.32000000001</v>
      </c>
      <c r="G941" t="str">
        <f t="shared" si="56"/>
        <v>Midum Income</v>
      </c>
      <c r="H941">
        <v>180861.2</v>
      </c>
      <c r="I941">
        <v>591</v>
      </c>
      <c r="J941" t="s">
        <v>41</v>
      </c>
      <c r="K941" t="s">
        <v>59</v>
      </c>
      <c r="L941">
        <v>-11257.69</v>
      </c>
      <c r="M941">
        <v>193002.66</v>
      </c>
      <c r="N941" t="s">
        <v>25</v>
      </c>
      <c r="O941" s="7">
        <f t="shared" ca="1" si="57"/>
        <v>46022</v>
      </c>
      <c r="P941" s="7">
        <v>45733</v>
      </c>
      <c r="Q941">
        <v>1</v>
      </c>
      <c r="R941" t="str">
        <f t="shared" si="58"/>
        <v>Midum Risk</v>
      </c>
      <c r="S941" t="str">
        <f t="shared" si="59"/>
        <v xml:space="preserve">Midum </v>
      </c>
      <c r="T941" s="4">
        <f>Table1[[#This Row],[Deposit_Amount]]+Table1[[#This Row],[Withdrawal_Amount]]</f>
        <v>303165.52</v>
      </c>
      <c r="U941" t="s">
        <v>274</v>
      </c>
    </row>
    <row r="942" spans="1:21" x14ac:dyDescent="0.3">
      <c r="A942">
        <v>941</v>
      </c>
      <c r="B942" t="s">
        <v>224</v>
      </c>
      <c r="C942" t="s">
        <v>22</v>
      </c>
      <c r="D942">
        <v>18</v>
      </c>
      <c r="E942" t="s">
        <v>23</v>
      </c>
      <c r="F942" s="4">
        <v>490440.73</v>
      </c>
      <c r="G942" t="str">
        <f t="shared" si="56"/>
        <v>High Income</v>
      </c>
      <c r="H942">
        <v>43841.09</v>
      </c>
      <c r="I942">
        <v>437</v>
      </c>
      <c r="J942" t="s">
        <v>27</v>
      </c>
      <c r="K942" t="s">
        <v>42</v>
      </c>
      <c r="L942">
        <v>526221.41</v>
      </c>
      <c r="M942">
        <v>211137.52</v>
      </c>
      <c r="N942" t="s">
        <v>25</v>
      </c>
      <c r="O942" s="7">
        <f t="shared" ca="1" si="57"/>
        <v>45775</v>
      </c>
      <c r="P942" s="7">
        <v>45899</v>
      </c>
      <c r="Q942">
        <v>3</v>
      </c>
      <c r="R942" t="str">
        <f t="shared" si="58"/>
        <v>Midum Risk</v>
      </c>
      <c r="S942" t="str">
        <f t="shared" si="59"/>
        <v xml:space="preserve">Midum </v>
      </c>
      <c r="T942" s="4">
        <f>Table1[[#This Row],[Deposit_Amount]]+Table1[[#This Row],[Withdrawal_Amount]]</f>
        <v>534281.81999999995</v>
      </c>
      <c r="U942" t="s">
        <v>274</v>
      </c>
    </row>
    <row r="943" spans="1:21" x14ac:dyDescent="0.3">
      <c r="A943">
        <v>942</v>
      </c>
      <c r="B943" t="s">
        <v>77</v>
      </c>
      <c r="C943" t="s">
        <v>22</v>
      </c>
      <c r="D943">
        <v>48</v>
      </c>
      <c r="E943" t="s">
        <v>35</v>
      </c>
      <c r="F943" s="4">
        <v>180138.03</v>
      </c>
      <c r="G943" t="str">
        <f t="shared" si="56"/>
        <v>Midum Income</v>
      </c>
      <c r="H943">
        <v>30049.54</v>
      </c>
      <c r="I943">
        <v>782</v>
      </c>
      <c r="J943" t="s">
        <v>27</v>
      </c>
      <c r="K943" t="s">
        <v>36</v>
      </c>
      <c r="L943">
        <v>192722.69</v>
      </c>
      <c r="M943">
        <v>63882.44</v>
      </c>
      <c r="N943" t="s">
        <v>20</v>
      </c>
      <c r="O943" s="7">
        <f t="shared" ca="1" si="57"/>
        <v>45870</v>
      </c>
      <c r="P943" s="7">
        <v>45770</v>
      </c>
      <c r="Q943">
        <v>2</v>
      </c>
      <c r="R943" t="str">
        <f t="shared" si="58"/>
        <v>Low Risk</v>
      </c>
      <c r="S943" t="str">
        <f t="shared" si="59"/>
        <v>Good</v>
      </c>
      <c r="T943" s="4">
        <f>Table1[[#This Row],[Deposit_Amount]]+Table1[[#This Row],[Withdrawal_Amount]]</f>
        <v>210187.57</v>
      </c>
      <c r="U943" t="s">
        <v>274</v>
      </c>
    </row>
    <row r="944" spans="1:21" x14ac:dyDescent="0.3">
      <c r="A944">
        <v>943</v>
      </c>
      <c r="B944" t="s">
        <v>85</v>
      </c>
      <c r="C944" t="s">
        <v>16</v>
      </c>
      <c r="D944">
        <v>42</v>
      </c>
      <c r="E944" t="s">
        <v>17</v>
      </c>
      <c r="F944" s="4">
        <v>107888.11</v>
      </c>
      <c r="G944" t="str">
        <f t="shared" si="56"/>
        <v>Midum Income</v>
      </c>
      <c r="H944">
        <v>170079.53</v>
      </c>
      <c r="I944">
        <v>446</v>
      </c>
      <c r="J944" t="s">
        <v>32</v>
      </c>
      <c r="K944" t="s">
        <v>19</v>
      </c>
      <c r="L944">
        <v>-10668.92</v>
      </c>
      <c r="M944">
        <v>18640.810000000001</v>
      </c>
      <c r="N944" t="s">
        <v>25</v>
      </c>
      <c r="O944" s="7">
        <f t="shared" ca="1" si="57"/>
        <v>45751</v>
      </c>
      <c r="P944" s="7">
        <v>45950</v>
      </c>
      <c r="Q944">
        <v>2</v>
      </c>
      <c r="R944" t="str">
        <f t="shared" si="58"/>
        <v>Midum Risk</v>
      </c>
      <c r="S944" t="str">
        <f t="shared" si="59"/>
        <v xml:space="preserve">Midum </v>
      </c>
      <c r="T944" s="4">
        <f>Table1[[#This Row],[Deposit_Amount]]+Table1[[#This Row],[Withdrawal_Amount]]</f>
        <v>277967.64</v>
      </c>
      <c r="U944" t="s">
        <v>274</v>
      </c>
    </row>
    <row r="945" spans="1:21" x14ac:dyDescent="0.3">
      <c r="A945">
        <v>944</v>
      </c>
      <c r="B945" t="s">
        <v>108</v>
      </c>
      <c r="C945" t="s">
        <v>16</v>
      </c>
      <c r="D945">
        <v>25</v>
      </c>
      <c r="E945" t="s">
        <v>17</v>
      </c>
      <c r="F945" s="4">
        <v>99606.73</v>
      </c>
      <c r="G945" t="str">
        <f t="shared" si="56"/>
        <v>Low Income</v>
      </c>
      <c r="H945">
        <v>133372.37</v>
      </c>
      <c r="I945">
        <v>513</v>
      </c>
      <c r="J945" t="s">
        <v>18</v>
      </c>
      <c r="K945" t="s">
        <v>19</v>
      </c>
      <c r="L945">
        <v>39372.480000000003</v>
      </c>
      <c r="M945">
        <v>61786.239999999998</v>
      </c>
      <c r="N945" t="s">
        <v>28</v>
      </c>
      <c r="O945" s="7">
        <f t="shared" ca="1" si="57"/>
        <v>45929</v>
      </c>
      <c r="P945" s="7">
        <v>45848</v>
      </c>
      <c r="Q945">
        <v>2</v>
      </c>
      <c r="R945" t="str">
        <f t="shared" si="58"/>
        <v>Midum Risk</v>
      </c>
      <c r="S945" t="str">
        <f t="shared" si="59"/>
        <v xml:space="preserve">Midum </v>
      </c>
      <c r="T945" s="4">
        <f>Table1[[#This Row],[Deposit_Amount]]+Table1[[#This Row],[Withdrawal_Amount]]</f>
        <v>232979.09999999998</v>
      </c>
      <c r="U945" t="s">
        <v>274</v>
      </c>
    </row>
    <row r="946" spans="1:21" x14ac:dyDescent="0.3">
      <c r="A946">
        <v>945</v>
      </c>
      <c r="B946" t="s">
        <v>65</v>
      </c>
      <c r="C946" t="s">
        <v>22</v>
      </c>
      <c r="D946">
        <v>34</v>
      </c>
      <c r="E946" t="s">
        <v>44</v>
      </c>
      <c r="F946" s="4">
        <v>445346.24</v>
      </c>
      <c r="G946" t="str">
        <f t="shared" si="56"/>
        <v>High Income</v>
      </c>
      <c r="H946">
        <v>95190.49</v>
      </c>
      <c r="I946">
        <v>687</v>
      </c>
      <c r="J946" t="s">
        <v>41</v>
      </c>
      <c r="K946" t="s">
        <v>19</v>
      </c>
      <c r="L946">
        <v>466958.19</v>
      </c>
      <c r="M946">
        <v>163796.19</v>
      </c>
      <c r="N946" t="s">
        <v>28</v>
      </c>
      <c r="O946" s="7">
        <f t="shared" ca="1" si="57"/>
        <v>45999</v>
      </c>
      <c r="P946" s="7">
        <v>45942</v>
      </c>
      <c r="Q946">
        <v>3</v>
      </c>
      <c r="R946" t="str">
        <f t="shared" si="58"/>
        <v>Low Risk</v>
      </c>
      <c r="S946" t="str">
        <f t="shared" si="59"/>
        <v>Good</v>
      </c>
      <c r="T946" s="4">
        <f>Table1[[#This Row],[Deposit_Amount]]+Table1[[#This Row],[Withdrawal_Amount]]</f>
        <v>540536.73</v>
      </c>
      <c r="U946" t="s">
        <v>274</v>
      </c>
    </row>
    <row r="947" spans="1:21" x14ac:dyDescent="0.3">
      <c r="A947">
        <v>946</v>
      </c>
      <c r="B947" t="s">
        <v>188</v>
      </c>
      <c r="C947" t="s">
        <v>16</v>
      </c>
      <c r="D947">
        <v>60</v>
      </c>
      <c r="E947" t="s">
        <v>23</v>
      </c>
      <c r="F947" s="4">
        <v>448886.16</v>
      </c>
      <c r="G947" t="str">
        <f t="shared" si="56"/>
        <v>High Income</v>
      </c>
      <c r="H947">
        <v>283212.25</v>
      </c>
      <c r="I947">
        <v>456</v>
      </c>
      <c r="J947" t="s">
        <v>27</v>
      </c>
      <c r="K947" t="s">
        <v>42</v>
      </c>
      <c r="L947">
        <v>361757.2</v>
      </c>
      <c r="M947">
        <v>57657.61</v>
      </c>
      <c r="N947" t="s">
        <v>25</v>
      </c>
      <c r="O947" s="7">
        <f t="shared" ca="1" si="57"/>
        <v>45857</v>
      </c>
      <c r="P947" s="7">
        <v>45698</v>
      </c>
      <c r="Q947">
        <v>2</v>
      </c>
      <c r="R947" t="str">
        <f t="shared" si="58"/>
        <v>Midum Risk</v>
      </c>
      <c r="S947" t="str">
        <f t="shared" si="59"/>
        <v xml:space="preserve">Midum </v>
      </c>
      <c r="T947" s="4">
        <f>Table1[[#This Row],[Deposit_Amount]]+Table1[[#This Row],[Withdrawal_Amount]]</f>
        <v>732098.40999999992</v>
      </c>
      <c r="U947" t="s">
        <v>274</v>
      </c>
    </row>
    <row r="948" spans="1:21" x14ac:dyDescent="0.3">
      <c r="A948">
        <v>947</v>
      </c>
      <c r="B948" t="s">
        <v>162</v>
      </c>
      <c r="C948" t="s">
        <v>16</v>
      </c>
      <c r="D948">
        <v>54</v>
      </c>
      <c r="E948" t="s">
        <v>23</v>
      </c>
      <c r="F948" s="4">
        <v>268073.95</v>
      </c>
      <c r="G948" t="str">
        <f t="shared" si="56"/>
        <v>High Income</v>
      </c>
      <c r="H948">
        <v>177947.05</v>
      </c>
      <c r="I948">
        <v>742</v>
      </c>
      <c r="J948" t="s">
        <v>38</v>
      </c>
      <c r="K948" t="s">
        <v>24</v>
      </c>
      <c r="L948">
        <v>204007.55</v>
      </c>
      <c r="M948">
        <v>159695.71</v>
      </c>
      <c r="N948" t="s">
        <v>28</v>
      </c>
      <c r="O948" s="7">
        <f t="shared" ca="1" si="57"/>
        <v>45888</v>
      </c>
      <c r="P948" s="7">
        <v>45829</v>
      </c>
      <c r="Q948">
        <v>5</v>
      </c>
      <c r="R948" t="str">
        <f t="shared" si="58"/>
        <v>Low Risk</v>
      </c>
      <c r="S948" t="str">
        <f t="shared" si="59"/>
        <v>Good</v>
      </c>
      <c r="T948" s="4">
        <f>Table1[[#This Row],[Deposit_Amount]]+Table1[[#This Row],[Withdrawal_Amount]]</f>
        <v>446021</v>
      </c>
      <c r="U948" t="s">
        <v>274</v>
      </c>
    </row>
    <row r="949" spans="1:21" x14ac:dyDescent="0.3">
      <c r="A949">
        <v>948</v>
      </c>
      <c r="B949" t="s">
        <v>139</v>
      </c>
      <c r="C949" t="s">
        <v>22</v>
      </c>
      <c r="D949">
        <v>41</v>
      </c>
      <c r="E949" t="s">
        <v>35</v>
      </c>
      <c r="F949" s="4">
        <v>466708.57</v>
      </c>
      <c r="G949" t="str">
        <f t="shared" si="56"/>
        <v>High Income</v>
      </c>
      <c r="H949">
        <v>214237.73</v>
      </c>
      <c r="I949">
        <v>494</v>
      </c>
      <c r="J949" t="s">
        <v>18</v>
      </c>
      <c r="K949" t="s">
        <v>59</v>
      </c>
      <c r="L949">
        <v>314419.14</v>
      </c>
      <c r="M949">
        <v>124220.49</v>
      </c>
      <c r="N949" t="s">
        <v>28</v>
      </c>
      <c r="O949" s="7">
        <f t="shared" ca="1" si="57"/>
        <v>45988</v>
      </c>
      <c r="P949" s="7">
        <v>45926</v>
      </c>
      <c r="Q949">
        <v>5</v>
      </c>
      <c r="R949" t="str">
        <f t="shared" si="58"/>
        <v>Midum Risk</v>
      </c>
      <c r="S949" t="str">
        <f t="shared" si="59"/>
        <v xml:space="preserve">Midum </v>
      </c>
      <c r="T949" s="4">
        <f>Table1[[#This Row],[Deposit_Amount]]+Table1[[#This Row],[Withdrawal_Amount]]</f>
        <v>680946.3</v>
      </c>
      <c r="U949" t="s">
        <v>274</v>
      </c>
    </row>
    <row r="950" spans="1:21" x14ac:dyDescent="0.3">
      <c r="A950">
        <v>949</v>
      </c>
      <c r="B950" t="s">
        <v>217</v>
      </c>
      <c r="C950" t="s">
        <v>16</v>
      </c>
      <c r="D950">
        <v>45</v>
      </c>
      <c r="E950" t="s">
        <v>44</v>
      </c>
      <c r="F950" s="4">
        <v>330205.13</v>
      </c>
      <c r="G950" t="str">
        <f t="shared" si="56"/>
        <v>High Income</v>
      </c>
      <c r="H950">
        <v>188335.69</v>
      </c>
      <c r="I950">
        <v>537</v>
      </c>
      <c r="J950" t="s">
        <v>32</v>
      </c>
      <c r="K950" t="s">
        <v>42</v>
      </c>
      <c r="L950">
        <v>150305.29</v>
      </c>
      <c r="M950">
        <v>196766.13</v>
      </c>
      <c r="N950" t="s">
        <v>20</v>
      </c>
      <c r="O950" s="7">
        <f t="shared" ca="1" si="57"/>
        <v>45814</v>
      </c>
      <c r="P950" s="7">
        <v>45660</v>
      </c>
      <c r="Q950">
        <v>3</v>
      </c>
      <c r="R950" t="str">
        <f t="shared" si="58"/>
        <v>Midum Risk</v>
      </c>
      <c r="S950" t="str">
        <f t="shared" si="59"/>
        <v xml:space="preserve">Midum </v>
      </c>
      <c r="T950" s="4">
        <f>Table1[[#This Row],[Deposit_Amount]]+Table1[[#This Row],[Withdrawal_Amount]]</f>
        <v>518540.82</v>
      </c>
      <c r="U950" t="s">
        <v>274</v>
      </c>
    </row>
    <row r="951" spans="1:21" x14ac:dyDescent="0.3">
      <c r="A951">
        <v>950</v>
      </c>
      <c r="B951" t="s">
        <v>58</v>
      </c>
      <c r="C951" t="s">
        <v>16</v>
      </c>
      <c r="D951">
        <v>47</v>
      </c>
      <c r="E951" t="s">
        <v>23</v>
      </c>
      <c r="F951" s="4">
        <v>233154.86</v>
      </c>
      <c r="G951" t="str">
        <f t="shared" si="56"/>
        <v>High Income</v>
      </c>
      <c r="H951">
        <v>181212.79999999999</v>
      </c>
      <c r="I951">
        <v>447</v>
      </c>
      <c r="J951" t="s">
        <v>32</v>
      </c>
      <c r="K951" t="s">
        <v>36</v>
      </c>
      <c r="L951">
        <v>227345.41</v>
      </c>
      <c r="M951">
        <v>181521.55</v>
      </c>
      <c r="N951" t="s">
        <v>28</v>
      </c>
      <c r="O951" s="7">
        <f t="shared" ca="1" si="57"/>
        <v>46012</v>
      </c>
      <c r="P951" s="7">
        <v>45902</v>
      </c>
      <c r="Q951">
        <v>2</v>
      </c>
      <c r="R951" t="str">
        <f t="shared" si="58"/>
        <v>Midum Risk</v>
      </c>
      <c r="S951" t="str">
        <f t="shared" si="59"/>
        <v xml:space="preserve">Midum </v>
      </c>
      <c r="T951" s="4">
        <f>Table1[[#This Row],[Deposit_Amount]]+Table1[[#This Row],[Withdrawal_Amount]]</f>
        <v>414367.66</v>
      </c>
      <c r="U951" t="s">
        <v>274</v>
      </c>
    </row>
    <row r="952" spans="1:21" x14ac:dyDescent="0.3">
      <c r="A952">
        <v>951</v>
      </c>
      <c r="B952" t="s">
        <v>170</v>
      </c>
      <c r="C952" t="s">
        <v>22</v>
      </c>
      <c r="D952">
        <v>56</v>
      </c>
      <c r="E952" t="s">
        <v>44</v>
      </c>
      <c r="F952" s="4">
        <v>344618.18</v>
      </c>
      <c r="G952" t="str">
        <f t="shared" si="56"/>
        <v>High Income</v>
      </c>
      <c r="H952">
        <v>97879.99</v>
      </c>
      <c r="I952">
        <v>881</v>
      </c>
      <c r="J952" t="s">
        <v>32</v>
      </c>
      <c r="K952" t="s">
        <v>19</v>
      </c>
      <c r="L952">
        <v>255642.43</v>
      </c>
      <c r="M952">
        <v>122686.79</v>
      </c>
      <c r="N952" t="s">
        <v>28</v>
      </c>
      <c r="O952" s="7">
        <f t="shared" ca="1" si="57"/>
        <v>45847</v>
      </c>
      <c r="P952" s="7">
        <v>45815</v>
      </c>
      <c r="Q952">
        <v>3</v>
      </c>
      <c r="R952" t="str">
        <f t="shared" si="58"/>
        <v>Low Risk</v>
      </c>
      <c r="S952" t="str">
        <f t="shared" si="59"/>
        <v>Good</v>
      </c>
      <c r="T952" s="4">
        <f>Table1[[#This Row],[Deposit_Amount]]+Table1[[#This Row],[Withdrawal_Amount]]</f>
        <v>442498.17</v>
      </c>
      <c r="U952" t="s">
        <v>274</v>
      </c>
    </row>
    <row r="953" spans="1:21" x14ac:dyDescent="0.3">
      <c r="A953">
        <v>952</v>
      </c>
      <c r="B953" t="s">
        <v>51</v>
      </c>
      <c r="C953" t="s">
        <v>22</v>
      </c>
      <c r="D953">
        <v>23</v>
      </c>
      <c r="E953" t="s">
        <v>40</v>
      </c>
      <c r="F953" s="4">
        <v>26488.38</v>
      </c>
      <c r="G953" t="str">
        <f t="shared" si="56"/>
        <v>Low Income</v>
      </c>
      <c r="H953">
        <v>120762.5</v>
      </c>
      <c r="I953">
        <v>695</v>
      </c>
      <c r="J953" t="s">
        <v>18</v>
      </c>
      <c r="K953" t="s">
        <v>59</v>
      </c>
      <c r="L953">
        <v>40167.81</v>
      </c>
      <c r="M953">
        <v>172268.92</v>
      </c>
      <c r="N953" t="s">
        <v>20</v>
      </c>
      <c r="O953" s="7">
        <f t="shared" ca="1" si="57"/>
        <v>45744</v>
      </c>
      <c r="P953" s="7">
        <v>45934</v>
      </c>
      <c r="Q953">
        <v>3</v>
      </c>
      <c r="R953" t="str">
        <f t="shared" si="58"/>
        <v>Low Risk</v>
      </c>
      <c r="S953" t="str">
        <f t="shared" si="59"/>
        <v>Good</v>
      </c>
      <c r="T953" s="4">
        <f>Table1[[#This Row],[Deposit_Amount]]+Table1[[#This Row],[Withdrawal_Amount]]</f>
        <v>147250.88</v>
      </c>
      <c r="U953" t="s">
        <v>274</v>
      </c>
    </row>
    <row r="954" spans="1:21" x14ac:dyDescent="0.3">
      <c r="A954">
        <v>953</v>
      </c>
      <c r="B954" t="s">
        <v>46</v>
      </c>
      <c r="C954" t="s">
        <v>22</v>
      </c>
      <c r="D954">
        <v>48</v>
      </c>
      <c r="E954" t="s">
        <v>44</v>
      </c>
      <c r="F954" s="4">
        <v>252562.72</v>
      </c>
      <c r="G954" t="str">
        <f t="shared" si="56"/>
        <v>High Income</v>
      </c>
      <c r="H954">
        <v>223499.24</v>
      </c>
      <c r="I954">
        <v>881</v>
      </c>
      <c r="J954" t="s">
        <v>27</v>
      </c>
      <c r="K954" t="s">
        <v>24</v>
      </c>
      <c r="L954">
        <v>38001.879999999997</v>
      </c>
      <c r="M954">
        <v>232808.73</v>
      </c>
      <c r="N954" t="s">
        <v>25</v>
      </c>
      <c r="O954" s="7">
        <f t="shared" ca="1" si="57"/>
        <v>45696</v>
      </c>
      <c r="P954" s="7">
        <v>45825</v>
      </c>
      <c r="Q954">
        <v>4</v>
      </c>
      <c r="R954" t="str">
        <f t="shared" si="58"/>
        <v>Low Risk</v>
      </c>
      <c r="S954" t="str">
        <f t="shared" si="59"/>
        <v>Good</v>
      </c>
      <c r="T954" s="4">
        <f>Table1[[#This Row],[Deposit_Amount]]+Table1[[#This Row],[Withdrawal_Amount]]</f>
        <v>476061.95999999996</v>
      </c>
      <c r="U954" t="s">
        <v>274</v>
      </c>
    </row>
    <row r="955" spans="1:21" x14ac:dyDescent="0.3">
      <c r="A955">
        <v>954</v>
      </c>
      <c r="B955" t="s">
        <v>117</v>
      </c>
      <c r="C955" t="s">
        <v>22</v>
      </c>
      <c r="D955">
        <v>70</v>
      </c>
      <c r="E955" t="s">
        <v>35</v>
      </c>
      <c r="F955" s="4">
        <v>194975.06</v>
      </c>
      <c r="G955" t="str">
        <f t="shared" si="56"/>
        <v>Midum Income</v>
      </c>
      <c r="H955">
        <v>247716.33</v>
      </c>
      <c r="I955">
        <v>556</v>
      </c>
      <c r="J955" t="s">
        <v>27</v>
      </c>
      <c r="K955" t="s">
        <v>59</v>
      </c>
      <c r="L955">
        <v>-26692.89</v>
      </c>
      <c r="M955">
        <v>211771.04</v>
      </c>
      <c r="N955" t="s">
        <v>25</v>
      </c>
      <c r="O955" s="7">
        <f t="shared" ca="1" si="57"/>
        <v>45872</v>
      </c>
      <c r="P955" s="7">
        <v>45751</v>
      </c>
      <c r="Q955">
        <v>4</v>
      </c>
      <c r="R955" t="str">
        <f t="shared" si="58"/>
        <v>Midum Risk</v>
      </c>
      <c r="S955" t="str">
        <f t="shared" si="59"/>
        <v xml:space="preserve">Midum </v>
      </c>
      <c r="T955" s="4">
        <f>Table1[[#This Row],[Deposit_Amount]]+Table1[[#This Row],[Withdrawal_Amount]]</f>
        <v>442691.39</v>
      </c>
      <c r="U955" t="s">
        <v>274</v>
      </c>
    </row>
    <row r="956" spans="1:21" x14ac:dyDescent="0.3">
      <c r="A956">
        <v>955</v>
      </c>
      <c r="B956" t="s">
        <v>63</v>
      </c>
      <c r="C956" t="s">
        <v>22</v>
      </c>
      <c r="D956">
        <v>19</v>
      </c>
      <c r="E956" t="s">
        <v>31</v>
      </c>
      <c r="F956" s="4">
        <v>60020.98</v>
      </c>
      <c r="G956" t="str">
        <f t="shared" si="56"/>
        <v>Low Income</v>
      </c>
      <c r="H956">
        <v>205191.01</v>
      </c>
      <c r="I956">
        <v>630</v>
      </c>
      <c r="J956" t="s">
        <v>32</v>
      </c>
      <c r="K956" t="s">
        <v>19</v>
      </c>
      <c r="L956">
        <v>-61584.76</v>
      </c>
      <c r="M956">
        <v>240278.13</v>
      </c>
      <c r="N956" t="s">
        <v>20</v>
      </c>
      <c r="O956" s="7">
        <f t="shared" ca="1" si="57"/>
        <v>45694</v>
      </c>
      <c r="P956" s="7">
        <v>45821</v>
      </c>
      <c r="Q956">
        <v>1</v>
      </c>
      <c r="R956" t="str">
        <f t="shared" si="58"/>
        <v>Low Risk</v>
      </c>
      <c r="S956" t="str">
        <f t="shared" si="59"/>
        <v>Good</v>
      </c>
      <c r="T956" s="4">
        <f>Table1[[#This Row],[Deposit_Amount]]+Table1[[#This Row],[Withdrawal_Amount]]</f>
        <v>265211.99</v>
      </c>
      <c r="U956" t="s">
        <v>274</v>
      </c>
    </row>
    <row r="957" spans="1:21" x14ac:dyDescent="0.3">
      <c r="A957">
        <v>956</v>
      </c>
      <c r="B957" t="s">
        <v>114</v>
      </c>
      <c r="C957" t="s">
        <v>16</v>
      </c>
      <c r="D957">
        <v>59</v>
      </c>
      <c r="E957" t="s">
        <v>31</v>
      </c>
      <c r="F957" s="4">
        <v>221125.91</v>
      </c>
      <c r="G957" t="str">
        <f t="shared" si="56"/>
        <v>High Income</v>
      </c>
      <c r="H957">
        <v>291401.45</v>
      </c>
      <c r="I957">
        <v>334</v>
      </c>
      <c r="J957" t="s">
        <v>27</v>
      </c>
      <c r="K957" t="s">
        <v>36</v>
      </c>
      <c r="L957">
        <v>-39591.4</v>
      </c>
      <c r="M957">
        <v>79184.28</v>
      </c>
      <c r="N957" t="s">
        <v>20</v>
      </c>
      <c r="O957" s="7">
        <f t="shared" ca="1" si="57"/>
        <v>45965</v>
      </c>
      <c r="P957" s="7">
        <v>45902</v>
      </c>
      <c r="Q957">
        <v>2</v>
      </c>
      <c r="R957" t="str">
        <f t="shared" si="58"/>
        <v>High Risk</v>
      </c>
      <c r="S957" t="str">
        <f t="shared" si="59"/>
        <v>Poor</v>
      </c>
      <c r="T957" s="4">
        <f>Table1[[#This Row],[Deposit_Amount]]+Table1[[#This Row],[Withdrawal_Amount]]</f>
        <v>512527.35999999999</v>
      </c>
      <c r="U957" t="s">
        <v>274</v>
      </c>
    </row>
    <row r="958" spans="1:21" x14ac:dyDescent="0.3">
      <c r="A958">
        <v>957</v>
      </c>
      <c r="B958" t="s">
        <v>210</v>
      </c>
      <c r="C958" t="s">
        <v>16</v>
      </c>
      <c r="D958">
        <v>21</v>
      </c>
      <c r="E958" t="s">
        <v>17</v>
      </c>
      <c r="F958" s="4">
        <v>29777.94</v>
      </c>
      <c r="G958" t="str">
        <f t="shared" si="56"/>
        <v>Low Income</v>
      </c>
      <c r="H958">
        <v>39620.160000000003</v>
      </c>
      <c r="I958">
        <v>722</v>
      </c>
      <c r="J958" t="s">
        <v>41</v>
      </c>
      <c r="K958" t="s">
        <v>59</v>
      </c>
      <c r="L958">
        <v>47297.38</v>
      </c>
      <c r="M958">
        <v>224948.78</v>
      </c>
      <c r="N958" t="s">
        <v>20</v>
      </c>
      <c r="O958" s="7">
        <f t="shared" ca="1" si="57"/>
        <v>45949</v>
      </c>
      <c r="P958" s="7">
        <v>46007</v>
      </c>
      <c r="Q958">
        <v>2</v>
      </c>
      <c r="R958" t="str">
        <f t="shared" si="58"/>
        <v>Low Risk</v>
      </c>
      <c r="S958" t="str">
        <f t="shared" si="59"/>
        <v>Good</v>
      </c>
      <c r="T958" s="4">
        <f>Table1[[#This Row],[Deposit_Amount]]+Table1[[#This Row],[Withdrawal_Amount]]</f>
        <v>69398.100000000006</v>
      </c>
      <c r="U958" t="s">
        <v>274</v>
      </c>
    </row>
    <row r="959" spans="1:21" x14ac:dyDescent="0.3">
      <c r="A959">
        <v>958</v>
      </c>
      <c r="B959" t="s">
        <v>217</v>
      </c>
      <c r="C959" t="s">
        <v>16</v>
      </c>
      <c r="D959">
        <v>70</v>
      </c>
      <c r="E959" t="s">
        <v>44</v>
      </c>
      <c r="F959" s="4">
        <v>189263.33</v>
      </c>
      <c r="G959" t="str">
        <f t="shared" si="56"/>
        <v>Midum Income</v>
      </c>
      <c r="H959">
        <v>98739.07</v>
      </c>
      <c r="I959">
        <v>668</v>
      </c>
      <c r="J959" t="s">
        <v>38</v>
      </c>
      <c r="K959" t="s">
        <v>24</v>
      </c>
      <c r="L959">
        <v>226677.69</v>
      </c>
      <c r="M959">
        <v>140485.70000000001</v>
      </c>
      <c r="N959" t="s">
        <v>20</v>
      </c>
      <c r="O959" s="7">
        <f t="shared" ca="1" si="57"/>
        <v>45775</v>
      </c>
      <c r="P959" s="7">
        <v>45956</v>
      </c>
      <c r="Q959">
        <v>3</v>
      </c>
      <c r="R959" t="str">
        <f t="shared" si="58"/>
        <v>Low Risk</v>
      </c>
      <c r="S959" t="str">
        <f t="shared" si="59"/>
        <v>Good</v>
      </c>
      <c r="T959" s="4">
        <f>Table1[[#This Row],[Deposit_Amount]]+Table1[[#This Row],[Withdrawal_Amount]]</f>
        <v>288002.40000000002</v>
      </c>
      <c r="U959" t="s">
        <v>274</v>
      </c>
    </row>
    <row r="960" spans="1:21" x14ac:dyDescent="0.3">
      <c r="A960">
        <v>959</v>
      </c>
      <c r="B960" t="s">
        <v>15</v>
      </c>
      <c r="C960" t="s">
        <v>16</v>
      </c>
      <c r="D960">
        <v>31</v>
      </c>
      <c r="E960" t="s">
        <v>17</v>
      </c>
      <c r="F960" s="4">
        <v>13510.46</v>
      </c>
      <c r="G960" t="str">
        <f t="shared" si="56"/>
        <v>Low Income</v>
      </c>
      <c r="H960">
        <v>113171.2</v>
      </c>
      <c r="I960">
        <v>574</v>
      </c>
      <c r="J960" t="s">
        <v>32</v>
      </c>
      <c r="K960" t="s">
        <v>42</v>
      </c>
      <c r="L960">
        <v>-80831.48</v>
      </c>
      <c r="M960">
        <v>45798.79</v>
      </c>
      <c r="N960" t="s">
        <v>20</v>
      </c>
      <c r="O960" s="7">
        <f t="shared" ca="1" si="57"/>
        <v>45743</v>
      </c>
      <c r="P960" s="7">
        <v>45746</v>
      </c>
      <c r="Q960">
        <v>4</v>
      </c>
      <c r="R960" t="str">
        <f t="shared" si="58"/>
        <v>Midum Risk</v>
      </c>
      <c r="S960" t="str">
        <f t="shared" si="59"/>
        <v xml:space="preserve">Midum </v>
      </c>
      <c r="T960" s="4">
        <f>Table1[[#This Row],[Deposit_Amount]]+Table1[[#This Row],[Withdrawal_Amount]]</f>
        <v>126681.66</v>
      </c>
      <c r="U960" t="s">
        <v>274</v>
      </c>
    </row>
    <row r="961" spans="1:21" x14ac:dyDescent="0.3">
      <c r="A961">
        <v>960</v>
      </c>
      <c r="B961" t="s">
        <v>52</v>
      </c>
      <c r="C961" t="s">
        <v>22</v>
      </c>
      <c r="D961">
        <v>46</v>
      </c>
      <c r="E961" t="s">
        <v>31</v>
      </c>
      <c r="F961" s="4">
        <v>392886.95</v>
      </c>
      <c r="G961" t="str">
        <f t="shared" si="56"/>
        <v>High Income</v>
      </c>
      <c r="H961">
        <v>186585.26</v>
      </c>
      <c r="I961">
        <v>604</v>
      </c>
      <c r="J961" t="s">
        <v>18</v>
      </c>
      <c r="K961" t="s">
        <v>59</v>
      </c>
      <c r="L961">
        <v>398966.13</v>
      </c>
      <c r="M961">
        <v>207146.38</v>
      </c>
      <c r="N961" t="s">
        <v>28</v>
      </c>
      <c r="O961" s="7">
        <f t="shared" ca="1" si="57"/>
        <v>45966</v>
      </c>
      <c r="P961" s="7">
        <v>45699</v>
      </c>
      <c r="Q961">
        <v>4</v>
      </c>
      <c r="R961" t="str">
        <f t="shared" si="58"/>
        <v>Low Risk</v>
      </c>
      <c r="S961" t="str">
        <f t="shared" si="59"/>
        <v>Good</v>
      </c>
      <c r="T961" s="4">
        <f>Table1[[#This Row],[Deposit_Amount]]+Table1[[#This Row],[Withdrawal_Amount]]</f>
        <v>579472.21</v>
      </c>
      <c r="U961" t="s">
        <v>274</v>
      </c>
    </row>
    <row r="962" spans="1:21" x14ac:dyDescent="0.3">
      <c r="A962">
        <v>961</v>
      </c>
      <c r="B962" t="s">
        <v>74</v>
      </c>
      <c r="C962" t="s">
        <v>22</v>
      </c>
      <c r="D962">
        <v>57</v>
      </c>
      <c r="E962" t="s">
        <v>23</v>
      </c>
      <c r="F962" s="4">
        <v>8448.0400000000009</v>
      </c>
      <c r="G962" t="str">
        <f t="shared" ref="G962:G1001" si="60">IF(F962&lt;=100000,"Low Income",IF(F962&lt;=200000,"Midum Income","High Income"))</f>
        <v>Low Income</v>
      </c>
      <c r="H962">
        <v>19850.95</v>
      </c>
      <c r="I962">
        <v>606</v>
      </c>
      <c r="J962" t="s">
        <v>18</v>
      </c>
      <c r="K962" t="s">
        <v>19</v>
      </c>
      <c r="L962">
        <v>76544.88</v>
      </c>
      <c r="M962">
        <v>153528.64000000001</v>
      </c>
      <c r="N962" t="s">
        <v>20</v>
      </c>
      <c r="O962" s="7">
        <f t="shared" ref="O962:O1001" ca="1" si="61">RANDBETWEEN(DATE(2025,1,1),DATE(2025,12,31))</f>
        <v>45955</v>
      </c>
      <c r="P962" s="7">
        <v>45929</v>
      </c>
      <c r="Q962">
        <v>3</v>
      </c>
      <c r="R962" t="str">
        <f t="shared" ref="R962:R1001" si="62">IF(I962&lt;=400,"High Risk",IF(I962&lt;=600,"Midum Risk","Low Risk"))</f>
        <v>Low Risk</v>
      </c>
      <c r="S962" t="str">
        <f t="shared" ref="S962:S1001" si="63">IF(I962&lt;=400,"Poor",IF(I962&lt;=600,"Midum ","Good"))</f>
        <v>Good</v>
      </c>
      <c r="T962" s="4">
        <f>Table1[[#This Row],[Deposit_Amount]]+Table1[[#This Row],[Withdrawal_Amount]]</f>
        <v>28298.99</v>
      </c>
      <c r="U962" t="s">
        <v>274</v>
      </c>
    </row>
    <row r="963" spans="1:21" x14ac:dyDescent="0.3">
      <c r="A963">
        <v>962</v>
      </c>
      <c r="B963" t="s">
        <v>121</v>
      </c>
      <c r="C963" t="s">
        <v>16</v>
      </c>
      <c r="D963">
        <v>48</v>
      </c>
      <c r="E963" t="s">
        <v>17</v>
      </c>
      <c r="F963" s="4">
        <v>122296.38</v>
      </c>
      <c r="G963" t="str">
        <f t="shared" si="60"/>
        <v>Midum Income</v>
      </c>
      <c r="H963">
        <v>204976.33</v>
      </c>
      <c r="I963">
        <v>867</v>
      </c>
      <c r="J963" t="s">
        <v>18</v>
      </c>
      <c r="K963" t="s">
        <v>19</v>
      </c>
      <c r="L963">
        <v>64707.199999999997</v>
      </c>
      <c r="M963">
        <v>119258.66</v>
      </c>
      <c r="N963" t="s">
        <v>25</v>
      </c>
      <c r="O963" s="7">
        <f t="shared" ca="1" si="61"/>
        <v>45665</v>
      </c>
      <c r="P963" s="7">
        <v>45688</v>
      </c>
      <c r="Q963">
        <v>4</v>
      </c>
      <c r="R963" t="str">
        <f t="shared" si="62"/>
        <v>Low Risk</v>
      </c>
      <c r="S963" t="str">
        <f t="shared" si="63"/>
        <v>Good</v>
      </c>
      <c r="T963" s="4">
        <f>Table1[[#This Row],[Deposit_Amount]]+Table1[[#This Row],[Withdrawal_Amount]]</f>
        <v>327272.70999999996</v>
      </c>
      <c r="U963" t="s">
        <v>274</v>
      </c>
    </row>
    <row r="964" spans="1:21" x14ac:dyDescent="0.3">
      <c r="A964">
        <v>963</v>
      </c>
      <c r="B964" t="s">
        <v>145</v>
      </c>
      <c r="C964" t="s">
        <v>22</v>
      </c>
      <c r="D964">
        <v>69</v>
      </c>
      <c r="E964" t="s">
        <v>23</v>
      </c>
      <c r="F964" s="4">
        <v>272705.38</v>
      </c>
      <c r="G964" t="str">
        <f t="shared" si="60"/>
        <v>High Income</v>
      </c>
      <c r="H964">
        <v>263609.15000000002</v>
      </c>
      <c r="I964">
        <v>689</v>
      </c>
      <c r="J964" t="s">
        <v>27</v>
      </c>
      <c r="K964" t="s">
        <v>24</v>
      </c>
      <c r="L964">
        <v>48544.34</v>
      </c>
      <c r="M964">
        <v>152278.6</v>
      </c>
      <c r="N964" t="s">
        <v>28</v>
      </c>
      <c r="O964" s="7">
        <f t="shared" ca="1" si="61"/>
        <v>45907</v>
      </c>
      <c r="P964" s="7">
        <v>45883</v>
      </c>
      <c r="Q964">
        <v>4</v>
      </c>
      <c r="R964" t="str">
        <f t="shared" si="62"/>
        <v>Low Risk</v>
      </c>
      <c r="S964" t="str">
        <f t="shared" si="63"/>
        <v>Good</v>
      </c>
      <c r="T964" s="4">
        <f>Table1[[#This Row],[Deposit_Amount]]+Table1[[#This Row],[Withdrawal_Amount]]</f>
        <v>536314.53</v>
      </c>
      <c r="U964" t="s">
        <v>274</v>
      </c>
    </row>
    <row r="965" spans="1:21" x14ac:dyDescent="0.3">
      <c r="A965">
        <v>964</v>
      </c>
      <c r="B965" t="s">
        <v>193</v>
      </c>
      <c r="C965" t="s">
        <v>16</v>
      </c>
      <c r="D965">
        <v>70</v>
      </c>
      <c r="E965" t="s">
        <v>23</v>
      </c>
      <c r="F965" s="4">
        <v>291468.09000000003</v>
      </c>
      <c r="G965" t="str">
        <f t="shared" si="60"/>
        <v>High Income</v>
      </c>
      <c r="H965">
        <v>248067.98</v>
      </c>
      <c r="I965">
        <v>465</v>
      </c>
      <c r="J965" t="s">
        <v>27</v>
      </c>
      <c r="K965" t="s">
        <v>24</v>
      </c>
      <c r="L965">
        <v>177624.82</v>
      </c>
      <c r="M965">
        <v>113345.48</v>
      </c>
      <c r="N965" t="s">
        <v>28</v>
      </c>
      <c r="O965" s="7">
        <f t="shared" ca="1" si="61"/>
        <v>45813</v>
      </c>
      <c r="P965" s="7">
        <v>45794</v>
      </c>
      <c r="Q965">
        <v>2</v>
      </c>
      <c r="R965" t="str">
        <f t="shared" si="62"/>
        <v>Midum Risk</v>
      </c>
      <c r="S965" t="str">
        <f t="shared" si="63"/>
        <v xml:space="preserve">Midum </v>
      </c>
      <c r="T965" s="4">
        <f>Table1[[#This Row],[Deposit_Amount]]+Table1[[#This Row],[Withdrawal_Amount]]</f>
        <v>539536.07000000007</v>
      </c>
      <c r="U965" t="s">
        <v>274</v>
      </c>
    </row>
    <row r="966" spans="1:21" x14ac:dyDescent="0.3">
      <c r="A966">
        <v>965</v>
      </c>
      <c r="B966" t="s">
        <v>180</v>
      </c>
      <c r="C966" t="s">
        <v>16</v>
      </c>
      <c r="D966">
        <v>38</v>
      </c>
      <c r="E966" t="s">
        <v>31</v>
      </c>
      <c r="F966" s="4">
        <v>235351.09</v>
      </c>
      <c r="G966" t="str">
        <f t="shared" si="60"/>
        <v>High Income</v>
      </c>
      <c r="H966">
        <v>236607.66</v>
      </c>
      <c r="I966">
        <v>811</v>
      </c>
      <c r="J966" t="s">
        <v>41</v>
      </c>
      <c r="K966" t="s">
        <v>19</v>
      </c>
      <c r="L966">
        <v>39471.449999999997</v>
      </c>
      <c r="M966">
        <v>46443.19</v>
      </c>
      <c r="N966" t="s">
        <v>25</v>
      </c>
      <c r="O966" s="7">
        <f t="shared" ca="1" si="61"/>
        <v>45919</v>
      </c>
      <c r="P966" s="7">
        <v>45745</v>
      </c>
      <c r="Q966">
        <v>1</v>
      </c>
      <c r="R966" t="str">
        <f t="shared" si="62"/>
        <v>Low Risk</v>
      </c>
      <c r="S966" t="str">
        <f t="shared" si="63"/>
        <v>Good</v>
      </c>
      <c r="T966" s="4">
        <f>Table1[[#This Row],[Deposit_Amount]]+Table1[[#This Row],[Withdrawal_Amount]]</f>
        <v>471958.75</v>
      </c>
      <c r="U966" t="s">
        <v>274</v>
      </c>
    </row>
    <row r="967" spans="1:21" x14ac:dyDescent="0.3">
      <c r="A967">
        <v>966</v>
      </c>
      <c r="B967" t="s">
        <v>112</v>
      </c>
      <c r="C967" t="s">
        <v>16</v>
      </c>
      <c r="D967">
        <v>63</v>
      </c>
      <c r="E967" t="s">
        <v>23</v>
      </c>
      <c r="F967" s="4">
        <v>56635.29</v>
      </c>
      <c r="G967" t="str">
        <f t="shared" si="60"/>
        <v>Low Income</v>
      </c>
      <c r="H967">
        <v>196016.94</v>
      </c>
      <c r="I967">
        <v>439</v>
      </c>
      <c r="J967" t="s">
        <v>32</v>
      </c>
      <c r="K967" t="s">
        <v>59</v>
      </c>
      <c r="L967">
        <v>-46300.19</v>
      </c>
      <c r="M967">
        <v>246606.33</v>
      </c>
      <c r="N967" t="s">
        <v>25</v>
      </c>
      <c r="O967" s="7">
        <f t="shared" ca="1" si="61"/>
        <v>45924</v>
      </c>
      <c r="P967" s="7">
        <v>45757</v>
      </c>
      <c r="Q967">
        <v>2</v>
      </c>
      <c r="R967" t="str">
        <f t="shared" si="62"/>
        <v>Midum Risk</v>
      </c>
      <c r="S967" t="str">
        <f t="shared" si="63"/>
        <v xml:space="preserve">Midum </v>
      </c>
      <c r="T967" s="4">
        <f>Table1[[#This Row],[Deposit_Amount]]+Table1[[#This Row],[Withdrawal_Amount]]</f>
        <v>252652.23</v>
      </c>
      <c r="U967" t="s">
        <v>274</v>
      </c>
    </row>
    <row r="968" spans="1:21" x14ac:dyDescent="0.3">
      <c r="A968">
        <v>967</v>
      </c>
      <c r="B968" t="s">
        <v>91</v>
      </c>
      <c r="C968" t="s">
        <v>16</v>
      </c>
      <c r="D968">
        <v>25</v>
      </c>
      <c r="E968" t="s">
        <v>40</v>
      </c>
      <c r="F968" s="4">
        <v>253719.97</v>
      </c>
      <c r="G968" t="str">
        <f t="shared" si="60"/>
        <v>High Income</v>
      </c>
      <c r="H968">
        <v>168156.11</v>
      </c>
      <c r="I968">
        <v>512</v>
      </c>
      <c r="J968" t="s">
        <v>32</v>
      </c>
      <c r="K968" t="s">
        <v>19</v>
      </c>
      <c r="L968">
        <v>166099.76</v>
      </c>
      <c r="M968">
        <v>65855.05</v>
      </c>
      <c r="N968" t="s">
        <v>28</v>
      </c>
      <c r="O968" s="7">
        <f t="shared" ca="1" si="61"/>
        <v>45927</v>
      </c>
      <c r="P968" s="7">
        <v>45904</v>
      </c>
      <c r="Q968">
        <v>4</v>
      </c>
      <c r="R968" t="str">
        <f t="shared" si="62"/>
        <v>Midum Risk</v>
      </c>
      <c r="S968" t="str">
        <f t="shared" si="63"/>
        <v xml:space="preserve">Midum </v>
      </c>
      <c r="T968" s="4">
        <f>Table1[[#This Row],[Deposit_Amount]]+Table1[[#This Row],[Withdrawal_Amount]]</f>
        <v>421876.07999999996</v>
      </c>
      <c r="U968" t="s">
        <v>274</v>
      </c>
    </row>
    <row r="969" spans="1:21" x14ac:dyDescent="0.3">
      <c r="A969">
        <v>968</v>
      </c>
      <c r="B969" t="s">
        <v>103</v>
      </c>
      <c r="C969" t="s">
        <v>22</v>
      </c>
      <c r="D969">
        <v>31</v>
      </c>
      <c r="E969" t="s">
        <v>40</v>
      </c>
      <c r="F969" s="4">
        <v>288687.84000000003</v>
      </c>
      <c r="G969" t="str">
        <f t="shared" si="60"/>
        <v>High Income</v>
      </c>
      <c r="H969">
        <v>76298.559999999998</v>
      </c>
      <c r="I969">
        <v>846</v>
      </c>
      <c r="J969" t="s">
        <v>41</v>
      </c>
      <c r="K969" t="s">
        <v>36</v>
      </c>
      <c r="L969">
        <v>235262.1</v>
      </c>
      <c r="M969">
        <v>78304.820000000007</v>
      </c>
      <c r="N969" t="s">
        <v>20</v>
      </c>
      <c r="O969" s="7">
        <f t="shared" ca="1" si="61"/>
        <v>45779</v>
      </c>
      <c r="P969" s="7">
        <v>45679</v>
      </c>
      <c r="Q969">
        <v>2</v>
      </c>
      <c r="R969" t="str">
        <f t="shared" si="62"/>
        <v>Low Risk</v>
      </c>
      <c r="S969" t="str">
        <f t="shared" si="63"/>
        <v>Good</v>
      </c>
      <c r="T969" s="4">
        <f>Table1[[#This Row],[Deposit_Amount]]+Table1[[#This Row],[Withdrawal_Amount]]</f>
        <v>364986.4</v>
      </c>
      <c r="U969" t="s">
        <v>274</v>
      </c>
    </row>
    <row r="970" spans="1:21" x14ac:dyDescent="0.3">
      <c r="A970">
        <v>969</v>
      </c>
      <c r="B970" t="s">
        <v>88</v>
      </c>
      <c r="C970" t="s">
        <v>22</v>
      </c>
      <c r="D970">
        <v>52</v>
      </c>
      <c r="E970" t="s">
        <v>17</v>
      </c>
      <c r="F970" s="4">
        <v>386020.28</v>
      </c>
      <c r="G970" t="str">
        <f t="shared" si="60"/>
        <v>High Income</v>
      </c>
      <c r="H970">
        <v>264076.89</v>
      </c>
      <c r="I970">
        <v>664</v>
      </c>
      <c r="J970" t="s">
        <v>38</v>
      </c>
      <c r="K970" t="s">
        <v>19</v>
      </c>
      <c r="L970">
        <v>164387.71</v>
      </c>
      <c r="M970">
        <v>186940.29</v>
      </c>
      <c r="N970" t="s">
        <v>20</v>
      </c>
      <c r="O970" s="7">
        <f t="shared" ca="1" si="61"/>
        <v>45900</v>
      </c>
      <c r="P970" s="7">
        <v>45713</v>
      </c>
      <c r="Q970">
        <v>2</v>
      </c>
      <c r="R970" t="str">
        <f t="shared" si="62"/>
        <v>Low Risk</v>
      </c>
      <c r="S970" t="str">
        <f t="shared" si="63"/>
        <v>Good</v>
      </c>
      <c r="T970" s="4">
        <f>Table1[[#This Row],[Deposit_Amount]]+Table1[[#This Row],[Withdrawal_Amount]]</f>
        <v>650097.17000000004</v>
      </c>
      <c r="U970" t="s">
        <v>274</v>
      </c>
    </row>
    <row r="971" spans="1:21" x14ac:dyDescent="0.3">
      <c r="A971">
        <v>970</v>
      </c>
      <c r="B971" t="s">
        <v>193</v>
      </c>
      <c r="C971" t="s">
        <v>16</v>
      </c>
      <c r="D971">
        <v>60</v>
      </c>
      <c r="E971" t="s">
        <v>40</v>
      </c>
      <c r="F971" s="4">
        <v>338613.34</v>
      </c>
      <c r="G971" t="str">
        <f t="shared" si="60"/>
        <v>High Income</v>
      </c>
      <c r="H971">
        <v>29650.84</v>
      </c>
      <c r="I971">
        <v>307</v>
      </c>
      <c r="J971" t="s">
        <v>18</v>
      </c>
      <c r="K971" t="s">
        <v>36</v>
      </c>
      <c r="L971">
        <v>444202.32</v>
      </c>
      <c r="M971">
        <v>222542.47</v>
      </c>
      <c r="N971" t="s">
        <v>25</v>
      </c>
      <c r="O971" s="7">
        <f t="shared" ca="1" si="61"/>
        <v>45801</v>
      </c>
      <c r="P971" s="7">
        <v>45984</v>
      </c>
      <c r="Q971">
        <v>4</v>
      </c>
      <c r="R971" t="str">
        <f t="shared" si="62"/>
        <v>High Risk</v>
      </c>
      <c r="S971" t="str">
        <f t="shared" si="63"/>
        <v>Poor</v>
      </c>
      <c r="T971" s="4">
        <f>Table1[[#This Row],[Deposit_Amount]]+Table1[[#This Row],[Withdrawal_Amount]]</f>
        <v>368264.18000000005</v>
      </c>
      <c r="U971" t="s">
        <v>274</v>
      </c>
    </row>
    <row r="972" spans="1:21" x14ac:dyDescent="0.3">
      <c r="A972">
        <v>971</v>
      </c>
      <c r="B972" t="s">
        <v>161</v>
      </c>
      <c r="C972" t="s">
        <v>16</v>
      </c>
      <c r="D972">
        <v>46</v>
      </c>
      <c r="E972" t="s">
        <v>44</v>
      </c>
      <c r="F972" s="4">
        <v>499218.94</v>
      </c>
      <c r="G972" t="str">
        <f t="shared" si="60"/>
        <v>High Income</v>
      </c>
      <c r="H972">
        <v>82768.75</v>
      </c>
      <c r="I972">
        <v>427</v>
      </c>
      <c r="J972" t="s">
        <v>27</v>
      </c>
      <c r="K972" t="s">
        <v>24</v>
      </c>
      <c r="L972">
        <v>587408.14</v>
      </c>
      <c r="M972">
        <v>141256.32999999999</v>
      </c>
      <c r="N972" t="s">
        <v>28</v>
      </c>
      <c r="O972" s="7">
        <f t="shared" ca="1" si="61"/>
        <v>46003</v>
      </c>
      <c r="P972" s="7">
        <v>45827</v>
      </c>
      <c r="Q972">
        <v>5</v>
      </c>
      <c r="R972" t="str">
        <f t="shared" si="62"/>
        <v>Midum Risk</v>
      </c>
      <c r="S972" t="str">
        <f t="shared" si="63"/>
        <v xml:space="preserve">Midum </v>
      </c>
      <c r="T972" s="4">
        <f>Table1[[#This Row],[Deposit_Amount]]+Table1[[#This Row],[Withdrawal_Amount]]</f>
        <v>581987.68999999994</v>
      </c>
      <c r="U972" t="s">
        <v>274</v>
      </c>
    </row>
    <row r="973" spans="1:21" x14ac:dyDescent="0.3">
      <c r="A973">
        <v>972</v>
      </c>
      <c r="B973" t="s">
        <v>135</v>
      </c>
      <c r="C973" t="s">
        <v>22</v>
      </c>
      <c r="D973">
        <v>46</v>
      </c>
      <c r="E973" t="s">
        <v>17</v>
      </c>
      <c r="F973" s="4">
        <v>478280.36</v>
      </c>
      <c r="G973" t="str">
        <f t="shared" si="60"/>
        <v>High Income</v>
      </c>
      <c r="H973">
        <v>148771.93</v>
      </c>
      <c r="I973">
        <v>395</v>
      </c>
      <c r="J973" t="s">
        <v>32</v>
      </c>
      <c r="K973" t="s">
        <v>42</v>
      </c>
      <c r="L973">
        <v>382714.74</v>
      </c>
      <c r="M973">
        <v>111064.02</v>
      </c>
      <c r="N973" t="s">
        <v>25</v>
      </c>
      <c r="O973" s="7">
        <f t="shared" ca="1" si="61"/>
        <v>45670</v>
      </c>
      <c r="P973" s="7">
        <v>45728</v>
      </c>
      <c r="Q973">
        <v>2</v>
      </c>
      <c r="R973" t="str">
        <f t="shared" si="62"/>
        <v>High Risk</v>
      </c>
      <c r="S973" t="str">
        <f t="shared" si="63"/>
        <v>Poor</v>
      </c>
      <c r="T973" s="4">
        <f>Table1[[#This Row],[Deposit_Amount]]+Table1[[#This Row],[Withdrawal_Amount]]</f>
        <v>627052.29</v>
      </c>
      <c r="U973" t="s">
        <v>274</v>
      </c>
    </row>
    <row r="974" spans="1:21" x14ac:dyDescent="0.3">
      <c r="A974">
        <v>973</v>
      </c>
      <c r="B974" t="s">
        <v>99</v>
      </c>
      <c r="C974" t="s">
        <v>16</v>
      </c>
      <c r="D974">
        <v>24</v>
      </c>
      <c r="E974" t="s">
        <v>44</v>
      </c>
      <c r="F974" s="4">
        <v>188708.24</v>
      </c>
      <c r="G974" t="str">
        <f t="shared" si="60"/>
        <v>Midum Income</v>
      </c>
      <c r="H974">
        <v>137054.71</v>
      </c>
      <c r="I974">
        <v>721</v>
      </c>
      <c r="J974" t="s">
        <v>27</v>
      </c>
      <c r="K974" t="s">
        <v>59</v>
      </c>
      <c r="L974">
        <v>187903.99</v>
      </c>
      <c r="M974">
        <v>207362.49</v>
      </c>
      <c r="N974" t="s">
        <v>20</v>
      </c>
      <c r="O974" s="7">
        <f t="shared" ca="1" si="61"/>
        <v>45946</v>
      </c>
      <c r="P974" s="7">
        <v>45664</v>
      </c>
      <c r="Q974">
        <v>2</v>
      </c>
      <c r="R974" t="str">
        <f t="shared" si="62"/>
        <v>Low Risk</v>
      </c>
      <c r="S974" t="str">
        <f t="shared" si="63"/>
        <v>Good</v>
      </c>
      <c r="T974" s="4">
        <f>Table1[[#This Row],[Deposit_Amount]]+Table1[[#This Row],[Withdrawal_Amount]]</f>
        <v>325762.94999999995</v>
      </c>
      <c r="U974" t="s">
        <v>274</v>
      </c>
    </row>
    <row r="975" spans="1:21" x14ac:dyDescent="0.3">
      <c r="A975">
        <v>974</v>
      </c>
      <c r="B975" t="s">
        <v>125</v>
      </c>
      <c r="C975" t="s">
        <v>16</v>
      </c>
      <c r="D975">
        <v>20</v>
      </c>
      <c r="E975" t="s">
        <v>40</v>
      </c>
      <c r="F975" s="4">
        <v>275668.36</v>
      </c>
      <c r="G975" t="str">
        <f t="shared" si="60"/>
        <v>High Income</v>
      </c>
      <c r="H975">
        <v>204452.64</v>
      </c>
      <c r="I975">
        <v>476</v>
      </c>
      <c r="J975" t="s">
        <v>27</v>
      </c>
      <c r="K975" t="s">
        <v>19</v>
      </c>
      <c r="L975">
        <v>127226.64</v>
      </c>
      <c r="M975">
        <v>17714.55</v>
      </c>
      <c r="N975" t="s">
        <v>20</v>
      </c>
      <c r="O975" s="7">
        <f t="shared" ca="1" si="61"/>
        <v>45798</v>
      </c>
      <c r="P975" s="7">
        <v>45726</v>
      </c>
      <c r="Q975">
        <v>1</v>
      </c>
      <c r="R975" t="str">
        <f t="shared" si="62"/>
        <v>Midum Risk</v>
      </c>
      <c r="S975" t="str">
        <f t="shared" si="63"/>
        <v xml:space="preserve">Midum </v>
      </c>
      <c r="T975" s="4">
        <f>Table1[[#This Row],[Deposit_Amount]]+Table1[[#This Row],[Withdrawal_Amount]]</f>
        <v>480121</v>
      </c>
      <c r="U975" t="s">
        <v>274</v>
      </c>
    </row>
    <row r="976" spans="1:21" x14ac:dyDescent="0.3">
      <c r="A976">
        <v>975</v>
      </c>
      <c r="B976" t="s">
        <v>106</v>
      </c>
      <c r="C976" t="s">
        <v>22</v>
      </c>
      <c r="D976">
        <v>70</v>
      </c>
      <c r="E976" t="s">
        <v>40</v>
      </c>
      <c r="F976" s="4">
        <v>389240.24</v>
      </c>
      <c r="G976" t="str">
        <f t="shared" si="60"/>
        <v>High Income</v>
      </c>
      <c r="H976">
        <v>266711.15999999997</v>
      </c>
      <c r="I976">
        <v>318</v>
      </c>
      <c r="J976" t="s">
        <v>18</v>
      </c>
      <c r="K976" t="s">
        <v>36</v>
      </c>
      <c r="L976">
        <v>158764.10999999999</v>
      </c>
      <c r="M976">
        <v>63484.29</v>
      </c>
      <c r="N976" t="s">
        <v>20</v>
      </c>
      <c r="O976" s="7">
        <f t="shared" ca="1" si="61"/>
        <v>45848</v>
      </c>
      <c r="P976" s="7">
        <v>45729</v>
      </c>
      <c r="Q976">
        <v>3</v>
      </c>
      <c r="R976" t="str">
        <f t="shared" si="62"/>
        <v>High Risk</v>
      </c>
      <c r="S976" t="str">
        <f t="shared" si="63"/>
        <v>Poor</v>
      </c>
      <c r="T976" s="4">
        <f>Table1[[#This Row],[Deposit_Amount]]+Table1[[#This Row],[Withdrawal_Amount]]</f>
        <v>655951.39999999991</v>
      </c>
      <c r="U976" t="s">
        <v>274</v>
      </c>
    </row>
    <row r="977" spans="1:21" x14ac:dyDescent="0.3">
      <c r="A977">
        <v>976</v>
      </c>
      <c r="B977" t="s">
        <v>155</v>
      </c>
      <c r="C977" t="s">
        <v>16</v>
      </c>
      <c r="D977">
        <v>38</v>
      </c>
      <c r="E977" t="s">
        <v>35</v>
      </c>
      <c r="F977" s="4">
        <v>224417.05</v>
      </c>
      <c r="G977" t="str">
        <f t="shared" si="60"/>
        <v>High Income</v>
      </c>
      <c r="H977">
        <v>295783.42</v>
      </c>
      <c r="I977">
        <v>736</v>
      </c>
      <c r="J977" t="s">
        <v>32</v>
      </c>
      <c r="K977" t="s">
        <v>19</v>
      </c>
      <c r="L977">
        <v>112197.9</v>
      </c>
      <c r="M977">
        <v>104570.54</v>
      </c>
      <c r="N977" t="s">
        <v>28</v>
      </c>
      <c r="O977" s="7">
        <f t="shared" ca="1" si="61"/>
        <v>45998</v>
      </c>
      <c r="P977" s="7">
        <v>45817</v>
      </c>
      <c r="Q977">
        <v>3</v>
      </c>
      <c r="R977" t="str">
        <f t="shared" si="62"/>
        <v>Low Risk</v>
      </c>
      <c r="S977" t="str">
        <f t="shared" si="63"/>
        <v>Good</v>
      </c>
      <c r="T977" s="4">
        <f>Table1[[#This Row],[Deposit_Amount]]+Table1[[#This Row],[Withdrawal_Amount]]</f>
        <v>520200.47</v>
      </c>
      <c r="U977" t="s">
        <v>274</v>
      </c>
    </row>
    <row r="978" spans="1:21" x14ac:dyDescent="0.3">
      <c r="A978">
        <v>977</v>
      </c>
      <c r="B978" t="s">
        <v>188</v>
      </c>
      <c r="C978" t="s">
        <v>16</v>
      </c>
      <c r="D978">
        <v>33</v>
      </c>
      <c r="E978" t="s">
        <v>17</v>
      </c>
      <c r="F978" s="4">
        <v>367156.02</v>
      </c>
      <c r="G978" t="str">
        <f t="shared" si="60"/>
        <v>High Income</v>
      </c>
      <c r="H978">
        <v>121199.42</v>
      </c>
      <c r="I978">
        <v>443</v>
      </c>
      <c r="J978" t="s">
        <v>38</v>
      </c>
      <c r="K978" t="s">
        <v>24</v>
      </c>
      <c r="L978">
        <v>258529.15</v>
      </c>
      <c r="M978">
        <v>74533.87</v>
      </c>
      <c r="N978" t="s">
        <v>28</v>
      </c>
      <c r="O978" s="7">
        <f t="shared" ca="1" si="61"/>
        <v>45900</v>
      </c>
      <c r="P978" s="7">
        <v>45698</v>
      </c>
      <c r="Q978">
        <v>3</v>
      </c>
      <c r="R978" t="str">
        <f t="shared" si="62"/>
        <v>Midum Risk</v>
      </c>
      <c r="S978" t="str">
        <f t="shared" si="63"/>
        <v xml:space="preserve">Midum </v>
      </c>
      <c r="T978" s="4">
        <f>Table1[[#This Row],[Deposit_Amount]]+Table1[[#This Row],[Withdrawal_Amount]]</f>
        <v>488355.44</v>
      </c>
      <c r="U978" t="s">
        <v>274</v>
      </c>
    </row>
    <row r="979" spans="1:21" x14ac:dyDescent="0.3">
      <c r="A979">
        <v>978</v>
      </c>
      <c r="B979" t="s">
        <v>30</v>
      </c>
      <c r="C979" t="s">
        <v>16</v>
      </c>
      <c r="D979">
        <v>24</v>
      </c>
      <c r="E979" t="s">
        <v>31</v>
      </c>
      <c r="F979" s="4">
        <v>327179.88</v>
      </c>
      <c r="G979" t="str">
        <f t="shared" si="60"/>
        <v>High Income</v>
      </c>
      <c r="H979">
        <v>192256.78</v>
      </c>
      <c r="I979">
        <v>848</v>
      </c>
      <c r="J979" t="s">
        <v>32</v>
      </c>
      <c r="K979" t="s">
        <v>42</v>
      </c>
      <c r="L979">
        <v>284972.62</v>
      </c>
      <c r="M979">
        <v>121504</v>
      </c>
      <c r="N979" t="s">
        <v>20</v>
      </c>
      <c r="O979" s="7">
        <f t="shared" ca="1" si="61"/>
        <v>45697</v>
      </c>
      <c r="P979" s="7">
        <v>45917</v>
      </c>
      <c r="Q979">
        <v>2</v>
      </c>
      <c r="R979" t="str">
        <f t="shared" si="62"/>
        <v>Low Risk</v>
      </c>
      <c r="S979" t="str">
        <f t="shared" si="63"/>
        <v>Good</v>
      </c>
      <c r="T979" s="4">
        <f>Table1[[#This Row],[Deposit_Amount]]+Table1[[#This Row],[Withdrawal_Amount]]</f>
        <v>519436.66000000003</v>
      </c>
      <c r="U979" t="s">
        <v>274</v>
      </c>
    </row>
    <row r="980" spans="1:21" x14ac:dyDescent="0.3">
      <c r="A980">
        <v>979</v>
      </c>
      <c r="B980" t="s">
        <v>85</v>
      </c>
      <c r="C980" t="s">
        <v>16</v>
      </c>
      <c r="D980">
        <v>43</v>
      </c>
      <c r="E980" t="s">
        <v>17</v>
      </c>
      <c r="F980" s="4">
        <v>420847.65</v>
      </c>
      <c r="G980" t="str">
        <f t="shared" si="60"/>
        <v>High Income</v>
      </c>
      <c r="H980">
        <v>165766.01</v>
      </c>
      <c r="I980">
        <v>721</v>
      </c>
      <c r="J980" t="s">
        <v>27</v>
      </c>
      <c r="K980" t="s">
        <v>19</v>
      </c>
      <c r="L980">
        <v>353098.87</v>
      </c>
      <c r="M980">
        <v>197295.46</v>
      </c>
      <c r="N980" t="s">
        <v>25</v>
      </c>
      <c r="O980" s="7">
        <f t="shared" ca="1" si="61"/>
        <v>45887</v>
      </c>
      <c r="P980" s="7">
        <v>45694</v>
      </c>
      <c r="Q980">
        <v>5</v>
      </c>
      <c r="R980" t="str">
        <f t="shared" si="62"/>
        <v>Low Risk</v>
      </c>
      <c r="S980" t="str">
        <f t="shared" si="63"/>
        <v>Good</v>
      </c>
      <c r="T980" s="4">
        <f>Table1[[#This Row],[Deposit_Amount]]+Table1[[#This Row],[Withdrawal_Amount]]</f>
        <v>586613.66</v>
      </c>
      <c r="U980" t="s">
        <v>274</v>
      </c>
    </row>
    <row r="981" spans="1:21" x14ac:dyDescent="0.3">
      <c r="A981">
        <v>980</v>
      </c>
      <c r="B981" t="s">
        <v>217</v>
      </c>
      <c r="C981" t="s">
        <v>16</v>
      </c>
      <c r="D981">
        <v>53</v>
      </c>
      <c r="E981" t="s">
        <v>31</v>
      </c>
      <c r="F981" s="4">
        <v>112741.07</v>
      </c>
      <c r="G981" t="str">
        <f t="shared" si="60"/>
        <v>Midum Income</v>
      </c>
      <c r="H981">
        <v>172279.93</v>
      </c>
      <c r="I981">
        <v>514</v>
      </c>
      <c r="J981" t="s">
        <v>27</v>
      </c>
      <c r="K981" t="s">
        <v>24</v>
      </c>
      <c r="L981">
        <v>104109.9</v>
      </c>
      <c r="M981">
        <v>170019.03</v>
      </c>
      <c r="N981" t="s">
        <v>25</v>
      </c>
      <c r="O981" s="7">
        <f t="shared" ca="1" si="61"/>
        <v>45908</v>
      </c>
      <c r="P981" s="7">
        <v>45790</v>
      </c>
      <c r="Q981">
        <v>4</v>
      </c>
      <c r="R981" t="str">
        <f t="shared" si="62"/>
        <v>Midum Risk</v>
      </c>
      <c r="S981" t="str">
        <f t="shared" si="63"/>
        <v xml:space="preserve">Midum </v>
      </c>
      <c r="T981" s="4">
        <f>Table1[[#This Row],[Deposit_Amount]]+Table1[[#This Row],[Withdrawal_Amount]]</f>
        <v>285021</v>
      </c>
      <c r="U981" t="s">
        <v>274</v>
      </c>
    </row>
    <row r="982" spans="1:21" x14ac:dyDescent="0.3">
      <c r="A982">
        <v>981</v>
      </c>
      <c r="B982" t="s">
        <v>114</v>
      </c>
      <c r="C982" t="s">
        <v>16</v>
      </c>
      <c r="D982">
        <v>52</v>
      </c>
      <c r="E982" t="s">
        <v>35</v>
      </c>
      <c r="F982" s="4">
        <v>315722.65000000002</v>
      </c>
      <c r="G982" t="str">
        <f t="shared" si="60"/>
        <v>High Income</v>
      </c>
      <c r="H982">
        <v>158485.25</v>
      </c>
      <c r="I982">
        <v>572</v>
      </c>
      <c r="J982" t="s">
        <v>18</v>
      </c>
      <c r="K982" t="s">
        <v>59</v>
      </c>
      <c r="L982">
        <v>325847.03000000003</v>
      </c>
      <c r="M982">
        <v>119687.55</v>
      </c>
      <c r="N982" t="s">
        <v>28</v>
      </c>
      <c r="O982" s="7">
        <f t="shared" ca="1" si="61"/>
        <v>45931</v>
      </c>
      <c r="P982" s="7">
        <v>45663</v>
      </c>
      <c r="Q982">
        <v>5</v>
      </c>
      <c r="R982" t="str">
        <f t="shared" si="62"/>
        <v>Midum Risk</v>
      </c>
      <c r="S982" t="str">
        <f t="shared" si="63"/>
        <v xml:space="preserve">Midum </v>
      </c>
      <c r="T982" s="4">
        <f>Table1[[#This Row],[Deposit_Amount]]+Table1[[#This Row],[Withdrawal_Amount]]</f>
        <v>474207.9</v>
      </c>
      <c r="U982" t="s">
        <v>274</v>
      </c>
    </row>
    <row r="983" spans="1:21" x14ac:dyDescent="0.3">
      <c r="A983">
        <v>982</v>
      </c>
      <c r="B983" t="s">
        <v>26</v>
      </c>
      <c r="C983" t="s">
        <v>22</v>
      </c>
      <c r="D983">
        <v>65</v>
      </c>
      <c r="E983" t="s">
        <v>31</v>
      </c>
      <c r="F983" s="4">
        <v>387889.21</v>
      </c>
      <c r="G983" t="str">
        <f t="shared" si="60"/>
        <v>High Income</v>
      </c>
      <c r="H983">
        <v>74069.210000000006</v>
      </c>
      <c r="I983">
        <v>419</v>
      </c>
      <c r="J983" t="s">
        <v>41</v>
      </c>
      <c r="K983" t="s">
        <v>24</v>
      </c>
      <c r="L983">
        <v>463845.56</v>
      </c>
      <c r="M983">
        <v>45595.26</v>
      </c>
      <c r="N983" t="s">
        <v>20</v>
      </c>
      <c r="O983" s="7">
        <f t="shared" ca="1" si="61"/>
        <v>45783</v>
      </c>
      <c r="P983" s="7">
        <v>45900</v>
      </c>
      <c r="Q983">
        <v>4</v>
      </c>
      <c r="R983" t="str">
        <f t="shared" si="62"/>
        <v>Midum Risk</v>
      </c>
      <c r="S983" t="str">
        <f t="shared" si="63"/>
        <v xml:space="preserve">Midum </v>
      </c>
      <c r="T983" s="4">
        <f>Table1[[#This Row],[Deposit_Amount]]+Table1[[#This Row],[Withdrawal_Amount]]</f>
        <v>461958.42000000004</v>
      </c>
      <c r="U983" t="s">
        <v>274</v>
      </c>
    </row>
    <row r="984" spans="1:21" x14ac:dyDescent="0.3">
      <c r="A984">
        <v>983</v>
      </c>
      <c r="B984" t="s">
        <v>230</v>
      </c>
      <c r="C984" t="s">
        <v>16</v>
      </c>
      <c r="D984">
        <v>57</v>
      </c>
      <c r="E984" t="s">
        <v>40</v>
      </c>
      <c r="F984" s="4">
        <v>133791.1</v>
      </c>
      <c r="G984" t="str">
        <f t="shared" si="60"/>
        <v>Midum Income</v>
      </c>
      <c r="H984">
        <v>294895.65000000002</v>
      </c>
      <c r="I984">
        <v>520</v>
      </c>
      <c r="J984" t="s">
        <v>32</v>
      </c>
      <c r="K984" t="s">
        <v>24</v>
      </c>
      <c r="L984">
        <v>-14734.58</v>
      </c>
      <c r="M984">
        <v>216262.27</v>
      </c>
      <c r="N984" t="s">
        <v>25</v>
      </c>
      <c r="O984" s="7">
        <f t="shared" ca="1" si="61"/>
        <v>45704</v>
      </c>
      <c r="P984" s="7">
        <v>45886</v>
      </c>
      <c r="Q984">
        <v>2</v>
      </c>
      <c r="R984" t="str">
        <f t="shared" si="62"/>
        <v>Midum Risk</v>
      </c>
      <c r="S984" t="str">
        <f t="shared" si="63"/>
        <v xml:space="preserve">Midum </v>
      </c>
      <c r="T984" s="4">
        <f>Table1[[#This Row],[Deposit_Amount]]+Table1[[#This Row],[Withdrawal_Amount]]</f>
        <v>428686.75</v>
      </c>
      <c r="U984" t="s">
        <v>274</v>
      </c>
    </row>
    <row r="985" spans="1:21" x14ac:dyDescent="0.3">
      <c r="A985">
        <v>984</v>
      </c>
      <c r="B985" t="s">
        <v>219</v>
      </c>
      <c r="C985" t="s">
        <v>22</v>
      </c>
      <c r="D985">
        <v>66</v>
      </c>
      <c r="E985" t="s">
        <v>35</v>
      </c>
      <c r="F985" s="4">
        <v>272171.86</v>
      </c>
      <c r="G985" t="str">
        <f t="shared" si="60"/>
        <v>High Income</v>
      </c>
      <c r="H985">
        <v>27321.53</v>
      </c>
      <c r="I985">
        <v>815</v>
      </c>
      <c r="J985" t="s">
        <v>32</v>
      </c>
      <c r="K985" t="s">
        <v>24</v>
      </c>
      <c r="L985">
        <v>299213.84999999998</v>
      </c>
      <c r="M985">
        <v>151424.76</v>
      </c>
      <c r="N985" t="s">
        <v>25</v>
      </c>
      <c r="O985" s="7">
        <f t="shared" ca="1" si="61"/>
        <v>45818</v>
      </c>
      <c r="P985" s="7">
        <v>45833</v>
      </c>
      <c r="Q985">
        <v>2</v>
      </c>
      <c r="R985" t="str">
        <f t="shared" si="62"/>
        <v>Low Risk</v>
      </c>
      <c r="S985" t="str">
        <f t="shared" si="63"/>
        <v>Good</v>
      </c>
      <c r="T985" s="4">
        <f>Table1[[#This Row],[Deposit_Amount]]+Table1[[#This Row],[Withdrawal_Amount]]</f>
        <v>299493.39</v>
      </c>
      <c r="U985" t="s">
        <v>274</v>
      </c>
    </row>
    <row r="986" spans="1:21" x14ac:dyDescent="0.3">
      <c r="A986">
        <v>985</v>
      </c>
      <c r="B986" t="s">
        <v>189</v>
      </c>
      <c r="C986" t="s">
        <v>22</v>
      </c>
      <c r="D986">
        <v>26</v>
      </c>
      <c r="E986" t="s">
        <v>17</v>
      </c>
      <c r="F986" s="4">
        <v>320325.67</v>
      </c>
      <c r="G986" t="str">
        <f t="shared" si="60"/>
        <v>High Income</v>
      </c>
      <c r="H986">
        <v>52737.760000000002</v>
      </c>
      <c r="I986">
        <v>511</v>
      </c>
      <c r="J986" t="s">
        <v>27</v>
      </c>
      <c r="K986" t="s">
        <v>19</v>
      </c>
      <c r="L986">
        <v>459662.71</v>
      </c>
      <c r="M986">
        <v>50504.78</v>
      </c>
      <c r="N986" t="s">
        <v>25</v>
      </c>
      <c r="O986" s="7">
        <f t="shared" ca="1" si="61"/>
        <v>45891</v>
      </c>
      <c r="P986" s="7">
        <v>45734</v>
      </c>
      <c r="Q986">
        <v>1</v>
      </c>
      <c r="R986" t="str">
        <f t="shared" si="62"/>
        <v>Midum Risk</v>
      </c>
      <c r="S986" t="str">
        <f t="shared" si="63"/>
        <v xml:space="preserve">Midum </v>
      </c>
      <c r="T986" s="4">
        <f>Table1[[#This Row],[Deposit_Amount]]+Table1[[#This Row],[Withdrawal_Amount]]</f>
        <v>373063.43</v>
      </c>
      <c r="U986" t="s">
        <v>274</v>
      </c>
    </row>
    <row r="987" spans="1:21" x14ac:dyDescent="0.3">
      <c r="A987">
        <v>986</v>
      </c>
      <c r="B987" t="s">
        <v>172</v>
      </c>
      <c r="C987" t="s">
        <v>16</v>
      </c>
      <c r="D987">
        <v>34</v>
      </c>
      <c r="E987" t="s">
        <v>23</v>
      </c>
      <c r="F987" s="4">
        <v>439220.03</v>
      </c>
      <c r="G987" t="str">
        <f t="shared" si="60"/>
        <v>High Income</v>
      </c>
      <c r="H987">
        <v>96787.27</v>
      </c>
      <c r="I987">
        <v>788</v>
      </c>
      <c r="J987" t="s">
        <v>27</v>
      </c>
      <c r="K987" t="s">
        <v>59</v>
      </c>
      <c r="L987">
        <v>377324.03</v>
      </c>
      <c r="M987">
        <v>88201.56</v>
      </c>
      <c r="N987" t="s">
        <v>25</v>
      </c>
      <c r="O987" s="7">
        <f t="shared" ca="1" si="61"/>
        <v>45763</v>
      </c>
      <c r="P987" s="7">
        <v>45994</v>
      </c>
      <c r="Q987">
        <v>5</v>
      </c>
      <c r="R987" t="str">
        <f t="shared" si="62"/>
        <v>Low Risk</v>
      </c>
      <c r="S987" t="str">
        <f t="shared" si="63"/>
        <v>Good</v>
      </c>
      <c r="T987" s="4">
        <f>Table1[[#This Row],[Deposit_Amount]]+Table1[[#This Row],[Withdrawal_Amount]]</f>
        <v>536007.30000000005</v>
      </c>
      <c r="U987" t="s">
        <v>274</v>
      </c>
    </row>
    <row r="988" spans="1:21" x14ac:dyDescent="0.3">
      <c r="A988">
        <v>987</v>
      </c>
      <c r="B988" t="s">
        <v>121</v>
      </c>
      <c r="C988" t="s">
        <v>16</v>
      </c>
      <c r="D988">
        <v>64</v>
      </c>
      <c r="E988" t="s">
        <v>17</v>
      </c>
      <c r="F988" s="4">
        <v>254485.72</v>
      </c>
      <c r="G988" t="str">
        <f t="shared" si="60"/>
        <v>High Income</v>
      </c>
      <c r="H988">
        <v>63698.19</v>
      </c>
      <c r="I988">
        <v>725</v>
      </c>
      <c r="J988" t="s">
        <v>18</v>
      </c>
      <c r="K988" t="s">
        <v>42</v>
      </c>
      <c r="L988">
        <v>380339.67</v>
      </c>
      <c r="M988">
        <v>55493.07</v>
      </c>
      <c r="N988" t="s">
        <v>25</v>
      </c>
      <c r="O988" s="7">
        <f t="shared" ca="1" si="61"/>
        <v>45723</v>
      </c>
      <c r="P988" s="7">
        <v>45744</v>
      </c>
      <c r="Q988">
        <v>3</v>
      </c>
      <c r="R988" t="str">
        <f t="shared" si="62"/>
        <v>Low Risk</v>
      </c>
      <c r="S988" t="str">
        <f t="shared" si="63"/>
        <v>Good</v>
      </c>
      <c r="T988" s="4">
        <f>Table1[[#This Row],[Deposit_Amount]]+Table1[[#This Row],[Withdrawal_Amount]]</f>
        <v>318183.91000000003</v>
      </c>
      <c r="U988" t="s">
        <v>274</v>
      </c>
    </row>
    <row r="989" spans="1:21" x14ac:dyDescent="0.3">
      <c r="A989">
        <v>988</v>
      </c>
      <c r="B989" t="s">
        <v>90</v>
      </c>
      <c r="C989" t="s">
        <v>16</v>
      </c>
      <c r="D989">
        <v>39</v>
      </c>
      <c r="E989" t="s">
        <v>44</v>
      </c>
      <c r="F989" s="4">
        <v>211352.86</v>
      </c>
      <c r="G989" t="str">
        <f t="shared" si="60"/>
        <v>High Income</v>
      </c>
      <c r="H989">
        <v>131667.37</v>
      </c>
      <c r="I989">
        <v>801</v>
      </c>
      <c r="J989" t="s">
        <v>18</v>
      </c>
      <c r="K989" t="s">
        <v>36</v>
      </c>
      <c r="L989">
        <v>267013.65000000002</v>
      </c>
      <c r="M989">
        <v>235262.76</v>
      </c>
      <c r="N989" t="s">
        <v>28</v>
      </c>
      <c r="O989" s="7">
        <f t="shared" ca="1" si="61"/>
        <v>45684</v>
      </c>
      <c r="P989" s="7">
        <v>45761</v>
      </c>
      <c r="Q989">
        <v>5</v>
      </c>
      <c r="R989" t="str">
        <f t="shared" si="62"/>
        <v>Low Risk</v>
      </c>
      <c r="S989" t="str">
        <f t="shared" si="63"/>
        <v>Good</v>
      </c>
      <c r="T989" s="4">
        <f>Table1[[#This Row],[Deposit_Amount]]+Table1[[#This Row],[Withdrawal_Amount]]</f>
        <v>343020.23</v>
      </c>
      <c r="U989" t="s">
        <v>274</v>
      </c>
    </row>
    <row r="990" spans="1:21" x14ac:dyDescent="0.3">
      <c r="A990">
        <v>989</v>
      </c>
      <c r="B990" t="s">
        <v>190</v>
      </c>
      <c r="C990" t="s">
        <v>22</v>
      </c>
      <c r="D990">
        <v>20</v>
      </c>
      <c r="E990" t="s">
        <v>23</v>
      </c>
      <c r="F990" s="4">
        <v>290818.09000000003</v>
      </c>
      <c r="G990" t="str">
        <f t="shared" si="60"/>
        <v>High Income</v>
      </c>
      <c r="H990">
        <v>215690.46</v>
      </c>
      <c r="I990">
        <v>699</v>
      </c>
      <c r="J990" t="s">
        <v>27</v>
      </c>
      <c r="K990" t="s">
        <v>36</v>
      </c>
      <c r="L990">
        <v>267352.21000000002</v>
      </c>
      <c r="M990">
        <v>63589.02</v>
      </c>
      <c r="N990" t="s">
        <v>28</v>
      </c>
      <c r="O990" s="7">
        <f t="shared" ca="1" si="61"/>
        <v>45760</v>
      </c>
      <c r="P990" s="7">
        <v>45714</v>
      </c>
      <c r="Q990">
        <v>4</v>
      </c>
      <c r="R990" t="str">
        <f t="shared" si="62"/>
        <v>Low Risk</v>
      </c>
      <c r="S990" t="str">
        <f t="shared" si="63"/>
        <v>Good</v>
      </c>
      <c r="T990" s="4">
        <f>Table1[[#This Row],[Deposit_Amount]]+Table1[[#This Row],[Withdrawal_Amount]]</f>
        <v>506508.55000000005</v>
      </c>
      <c r="U990" t="s">
        <v>274</v>
      </c>
    </row>
    <row r="991" spans="1:21" x14ac:dyDescent="0.3">
      <c r="A991">
        <v>990</v>
      </c>
      <c r="B991" t="s">
        <v>64</v>
      </c>
      <c r="C991" t="s">
        <v>16</v>
      </c>
      <c r="D991">
        <v>60</v>
      </c>
      <c r="E991" t="s">
        <v>35</v>
      </c>
      <c r="F991" s="4">
        <v>83090.12</v>
      </c>
      <c r="G991" t="str">
        <f t="shared" si="60"/>
        <v>Low Income</v>
      </c>
      <c r="H991">
        <v>53715.28</v>
      </c>
      <c r="I991">
        <v>888</v>
      </c>
      <c r="J991" t="s">
        <v>27</v>
      </c>
      <c r="K991" t="s">
        <v>19</v>
      </c>
      <c r="L991">
        <v>105580.99</v>
      </c>
      <c r="M991">
        <v>221719.07</v>
      </c>
      <c r="N991" t="s">
        <v>20</v>
      </c>
      <c r="O991" s="7">
        <f t="shared" ca="1" si="61"/>
        <v>45768</v>
      </c>
      <c r="P991" s="7">
        <v>45743</v>
      </c>
      <c r="Q991">
        <v>4</v>
      </c>
      <c r="R991" t="str">
        <f t="shared" si="62"/>
        <v>Low Risk</v>
      </c>
      <c r="S991" t="str">
        <f t="shared" si="63"/>
        <v>Good</v>
      </c>
      <c r="T991" s="4">
        <f>Table1[[#This Row],[Deposit_Amount]]+Table1[[#This Row],[Withdrawal_Amount]]</f>
        <v>136805.4</v>
      </c>
      <c r="U991" t="s">
        <v>274</v>
      </c>
    </row>
    <row r="992" spans="1:21" x14ac:dyDescent="0.3">
      <c r="A992">
        <v>991</v>
      </c>
      <c r="B992" t="s">
        <v>78</v>
      </c>
      <c r="C992" t="s">
        <v>16</v>
      </c>
      <c r="D992">
        <v>32</v>
      </c>
      <c r="E992" t="s">
        <v>44</v>
      </c>
      <c r="F992" s="4">
        <v>308275.69</v>
      </c>
      <c r="G992" t="str">
        <f t="shared" si="60"/>
        <v>High Income</v>
      </c>
      <c r="H992">
        <v>190354.9</v>
      </c>
      <c r="I992">
        <v>553</v>
      </c>
      <c r="J992" t="s">
        <v>38</v>
      </c>
      <c r="K992" t="s">
        <v>36</v>
      </c>
      <c r="L992">
        <v>305580.5</v>
      </c>
      <c r="M992">
        <v>20177.490000000002</v>
      </c>
      <c r="N992" t="s">
        <v>20</v>
      </c>
      <c r="O992" s="7">
        <f t="shared" ca="1" si="61"/>
        <v>45924</v>
      </c>
      <c r="P992" s="7">
        <v>45840</v>
      </c>
      <c r="Q992">
        <v>1</v>
      </c>
      <c r="R992" t="str">
        <f t="shared" si="62"/>
        <v>Midum Risk</v>
      </c>
      <c r="S992" t="str">
        <f t="shared" si="63"/>
        <v xml:space="preserve">Midum </v>
      </c>
      <c r="T992" s="4">
        <f>Table1[[#This Row],[Deposit_Amount]]+Table1[[#This Row],[Withdrawal_Amount]]</f>
        <v>498630.58999999997</v>
      </c>
      <c r="U992" t="s">
        <v>274</v>
      </c>
    </row>
    <row r="993" spans="1:21" x14ac:dyDescent="0.3">
      <c r="A993">
        <v>992</v>
      </c>
      <c r="B993" t="s">
        <v>85</v>
      </c>
      <c r="C993" t="s">
        <v>16</v>
      </c>
      <c r="D993">
        <v>45</v>
      </c>
      <c r="E993" t="s">
        <v>31</v>
      </c>
      <c r="F993" s="4">
        <v>76414.100000000006</v>
      </c>
      <c r="G993" t="str">
        <f t="shared" si="60"/>
        <v>Low Income</v>
      </c>
      <c r="H993">
        <v>66366.509999999995</v>
      </c>
      <c r="I993">
        <v>580</v>
      </c>
      <c r="J993" t="s">
        <v>41</v>
      </c>
      <c r="K993" t="s">
        <v>19</v>
      </c>
      <c r="L993">
        <v>42954.18</v>
      </c>
      <c r="M993">
        <v>187274.33</v>
      </c>
      <c r="N993" t="s">
        <v>20</v>
      </c>
      <c r="O993" s="7">
        <f t="shared" ca="1" si="61"/>
        <v>45984</v>
      </c>
      <c r="P993" s="7">
        <v>45691</v>
      </c>
      <c r="Q993">
        <v>1</v>
      </c>
      <c r="R993" t="str">
        <f t="shared" si="62"/>
        <v>Midum Risk</v>
      </c>
      <c r="S993" t="str">
        <f t="shared" si="63"/>
        <v xml:space="preserve">Midum </v>
      </c>
      <c r="T993" s="4">
        <f>Table1[[#This Row],[Deposit_Amount]]+Table1[[#This Row],[Withdrawal_Amount]]</f>
        <v>142780.60999999999</v>
      </c>
      <c r="U993" t="s">
        <v>274</v>
      </c>
    </row>
    <row r="994" spans="1:21" x14ac:dyDescent="0.3">
      <c r="A994">
        <v>993</v>
      </c>
      <c r="B994" t="s">
        <v>135</v>
      </c>
      <c r="C994" t="s">
        <v>22</v>
      </c>
      <c r="D994">
        <v>59</v>
      </c>
      <c r="E994" t="s">
        <v>17</v>
      </c>
      <c r="F994" s="4">
        <v>34233.769999999997</v>
      </c>
      <c r="G994" t="str">
        <f t="shared" si="60"/>
        <v>Low Income</v>
      </c>
      <c r="H994">
        <v>37886.800000000003</v>
      </c>
      <c r="I994">
        <v>493</v>
      </c>
      <c r="J994" t="s">
        <v>27</v>
      </c>
      <c r="K994" t="s">
        <v>24</v>
      </c>
      <c r="L994">
        <v>38445.760000000002</v>
      </c>
      <c r="M994">
        <v>90365.01</v>
      </c>
      <c r="N994" t="s">
        <v>25</v>
      </c>
      <c r="O994" s="7">
        <f t="shared" ca="1" si="61"/>
        <v>45906</v>
      </c>
      <c r="P994" s="7">
        <v>45890</v>
      </c>
      <c r="Q994">
        <v>3</v>
      </c>
      <c r="R994" t="str">
        <f t="shared" si="62"/>
        <v>Midum Risk</v>
      </c>
      <c r="S994" t="str">
        <f t="shared" si="63"/>
        <v xml:space="preserve">Midum </v>
      </c>
      <c r="T994" s="4">
        <f>Table1[[#This Row],[Deposit_Amount]]+Table1[[#This Row],[Withdrawal_Amount]]</f>
        <v>72120.570000000007</v>
      </c>
      <c r="U994" t="s">
        <v>274</v>
      </c>
    </row>
    <row r="995" spans="1:21" x14ac:dyDescent="0.3">
      <c r="A995">
        <v>994</v>
      </c>
      <c r="B995" t="s">
        <v>101</v>
      </c>
      <c r="C995" t="s">
        <v>22</v>
      </c>
      <c r="D995">
        <v>45</v>
      </c>
      <c r="E995" t="s">
        <v>40</v>
      </c>
      <c r="F995" s="4">
        <v>357547.08</v>
      </c>
      <c r="G995" t="str">
        <f t="shared" si="60"/>
        <v>High Income</v>
      </c>
      <c r="H995">
        <v>271100.79999999999</v>
      </c>
      <c r="I995">
        <v>655</v>
      </c>
      <c r="J995" t="s">
        <v>27</v>
      </c>
      <c r="K995" t="s">
        <v>36</v>
      </c>
      <c r="L995">
        <v>191805.75</v>
      </c>
      <c r="M995">
        <v>46949.29</v>
      </c>
      <c r="N995" t="s">
        <v>28</v>
      </c>
      <c r="O995" s="7">
        <f t="shared" ca="1" si="61"/>
        <v>45904</v>
      </c>
      <c r="P995" s="7">
        <v>45875</v>
      </c>
      <c r="Q995">
        <v>3</v>
      </c>
      <c r="R995" t="str">
        <f t="shared" si="62"/>
        <v>Low Risk</v>
      </c>
      <c r="S995" t="str">
        <f t="shared" si="63"/>
        <v>Good</v>
      </c>
      <c r="T995" s="4">
        <f>Table1[[#This Row],[Deposit_Amount]]+Table1[[#This Row],[Withdrawal_Amount]]</f>
        <v>628647.88</v>
      </c>
      <c r="U995" t="s">
        <v>274</v>
      </c>
    </row>
    <row r="996" spans="1:21" x14ac:dyDescent="0.3">
      <c r="A996">
        <v>995</v>
      </c>
      <c r="B996" t="s">
        <v>114</v>
      </c>
      <c r="C996" t="s">
        <v>16</v>
      </c>
      <c r="D996">
        <v>60</v>
      </c>
      <c r="E996" t="s">
        <v>31</v>
      </c>
      <c r="F996" s="4">
        <v>213725.3</v>
      </c>
      <c r="G996" t="str">
        <f t="shared" si="60"/>
        <v>High Income</v>
      </c>
      <c r="H996">
        <v>205961.47</v>
      </c>
      <c r="I996">
        <v>300</v>
      </c>
      <c r="J996" t="s">
        <v>41</v>
      </c>
      <c r="K996" t="s">
        <v>59</v>
      </c>
      <c r="L996">
        <v>133428.76</v>
      </c>
      <c r="M996">
        <v>167214.15</v>
      </c>
      <c r="N996" t="s">
        <v>28</v>
      </c>
      <c r="O996" s="7">
        <f t="shared" ca="1" si="61"/>
        <v>45862</v>
      </c>
      <c r="P996" s="7">
        <v>45796</v>
      </c>
      <c r="Q996">
        <v>2</v>
      </c>
      <c r="R996" t="str">
        <f t="shared" si="62"/>
        <v>High Risk</v>
      </c>
      <c r="S996" t="str">
        <f t="shared" si="63"/>
        <v>Poor</v>
      </c>
      <c r="T996" s="4">
        <f>Table1[[#This Row],[Deposit_Amount]]+Table1[[#This Row],[Withdrawal_Amount]]</f>
        <v>419686.77</v>
      </c>
      <c r="U996" t="s">
        <v>274</v>
      </c>
    </row>
    <row r="997" spans="1:21" x14ac:dyDescent="0.3">
      <c r="A997">
        <v>996</v>
      </c>
      <c r="B997" t="s">
        <v>76</v>
      </c>
      <c r="C997" t="s">
        <v>22</v>
      </c>
      <c r="D997">
        <v>49</v>
      </c>
      <c r="E997" t="s">
        <v>31</v>
      </c>
      <c r="F997" s="4">
        <v>426005.6</v>
      </c>
      <c r="G997" t="str">
        <f t="shared" si="60"/>
        <v>High Income</v>
      </c>
      <c r="H997">
        <v>13040.27</v>
      </c>
      <c r="I997">
        <v>529</v>
      </c>
      <c r="J997" t="s">
        <v>41</v>
      </c>
      <c r="K997" t="s">
        <v>24</v>
      </c>
      <c r="L997">
        <v>520377.56</v>
      </c>
      <c r="M997">
        <v>207623.76</v>
      </c>
      <c r="N997" t="s">
        <v>25</v>
      </c>
      <c r="O997" s="7">
        <f t="shared" ca="1" si="61"/>
        <v>45691</v>
      </c>
      <c r="P997" s="7">
        <v>46019</v>
      </c>
      <c r="Q997">
        <v>4</v>
      </c>
      <c r="R997" t="str">
        <f t="shared" si="62"/>
        <v>Midum Risk</v>
      </c>
      <c r="S997" t="str">
        <f t="shared" si="63"/>
        <v xml:space="preserve">Midum </v>
      </c>
      <c r="T997" s="4">
        <f>Table1[[#This Row],[Deposit_Amount]]+Table1[[#This Row],[Withdrawal_Amount]]</f>
        <v>439045.87</v>
      </c>
      <c r="U997" t="s">
        <v>274</v>
      </c>
    </row>
    <row r="998" spans="1:21" x14ac:dyDescent="0.3">
      <c r="A998">
        <v>997</v>
      </c>
      <c r="B998" t="s">
        <v>219</v>
      </c>
      <c r="C998" t="s">
        <v>22</v>
      </c>
      <c r="D998">
        <v>39</v>
      </c>
      <c r="E998" t="s">
        <v>40</v>
      </c>
      <c r="F998" s="4">
        <v>318190.12</v>
      </c>
      <c r="G998" t="str">
        <f t="shared" si="60"/>
        <v>High Income</v>
      </c>
      <c r="H998">
        <v>135200.48000000001</v>
      </c>
      <c r="I998">
        <v>870</v>
      </c>
      <c r="J998" t="s">
        <v>27</v>
      </c>
      <c r="K998" t="s">
        <v>42</v>
      </c>
      <c r="L998">
        <v>348503.81</v>
      </c>
      <c r="M998">
        <v>86962.7</v>
      </c>
      <c r="N998" t="s">
        <v>20</v>
      </c>
      <c r="O998" s="7">
        <f t="shared" ca="1" si="61"/>
        <v>45855</v>
      </c>
      <c r="P998" s="7">
        <v>45906</v>
      </c>
      <c r="Q998">
        <v>2</v>
      </c>
      <c r="R998" t="str">
        <f t="shared" si="62"/>
        <v>Low Risk</v>
      </c>
      <c r="S998" t="str">
        <f t="shared" si="63"/>
        <v>Good</v>
      </c>
      <c r="T998" s="4">
        <f>Table1[[#This Row],[Deposit_Amount]]+Table1[[#This Row],[Withdrawal_Amount]]</f>
        <v>453390.6</v>
      </c>
      <c r="U998" t="s">
        <v>274</v>
      </c>
    </row>
    <row r="999" spans="1:21" x14ac:dyDescent="0.3">
      <c r="A999">
        <v>998</v>
      </c>
      <c r="B999" t="s">
        <v>133</v>
      </c>
      <c r="C999" t="s">
        <v>16</v>
      </c>
      <c r="D999">
        <v>27</v>
      </c>
      <c r="E999" t="s">
        <v>17</v>
      </c>
      <c r="F999" s="4">
        <v>76791.17</v>
      </c>
      <c r="G999" t="str">
        <f t="shared" si="60"/>
        <v>Low Income</v>
      </c>
      <c r="H999">
        <v>240407.59</v>
      </c>
      <c r="I999">
        <v>792</v>
      </c>
      <c r="J999" t="s">
        <v>41</v>
      </c>
      <c r="K999" t="s">
        <v>42</v>
      </c>
      <c r="L999">
        <v>-31323.5</v>
      </c>
      <c r="M999">
        <v>98618.74</v>
      </c>
      <c r="N999" t="s">
        <v>25</v>
      </c>
      <c r="O999" s="7">
        <f t="shared" ca="1" si="61"/>
        <v>45758</v>
      </c>
      <c r="P999" s="7">
        <v>45905</v>
      </c>
      <c r="Q999">
        <v>1</v>
      </c>
      <c r="R999" t="str">
        <f t="shared" si="62"/>
        <v>Low Risk</v>
      </c>
      <c r="S999" t="str">
        <f t="shared" si="63"/>
        <v>Good</v>
      </c>
      <c r="T999" s="4">
        <f>Table1[[#This Row],[Deposit_Amount]]+Table1[[#This Row],[Withdrawal_Amount]]</f>
        <v>317198.76</v>
      </c>
      <c r="U999" t="s">
        <v>274</v>
      </c>
    </row>
    <row r="1000" spans="1:21" x14ac:dyDescent="0.3">
      <c r="A1000">
        <v>999</v>
      </c>
      <c r="B1000" t="s">
        <v>123</v>
      </c>
      <c r="C1000" t="s">
        <v>22</v>
      </c>
      <c r="D1000">
        <v>41</v>
      </c>
      <c r="E1000" t="s">
        <v>23</v>
      </c>
      <c r="F1000" s="4">
        <v>486971.31</v>
      </c>
      <c r="G1000" t="str">
        <f t="shared" si="60"/>
        <v>High Income</v>
      </c>
      <c r="H1000">
        <v>280685.63</v>
      </c>
      <c r="I1000">
        <v>805</v>
      </c>
      <c r="J1000" t="s">
        <v>18</v>
      </c>
      <c r="K1000" t="s">
        <v>42</v>
      </c>
      <c r="L1000">
        <v>305972.83</v>
      </c>
      <c r="M1000">
        <v>227137.82</v>
      </c>
      <c r="N1000" t="s">
        <v>25</v>
      </c>
      <c r="O1000" s="7">
        <f t="shared" ca="1" si="61"/>
        <v>45663</v>
      </c>
      <c r="P1000" s="7">
        <v>45923</v>
      </c>
      <c r="Q1000">
        <v>2</v>
      </c>
      <c r="R1000" t="str">
        <f t="shared" si="62"/>
        <v>Low Risk</v>
      </c>
      <c r="S1000" t="str">
        <f t="shared" si="63"/>
        <v>Good</v>
      </c>
      <c r="T1000" s="4">
        <f>Table1[[#This Row],[Deposit_Amount]]+Table1[[#This Row],[Withdrawal_Amount]]</f>
        <v>767656.94</v>
      </c>
      <c r="U1000" t="s">
        <v>274</v>
      </c>
    </row>
    <row r="1001" spans="1:21" x14ac:dyDescent="0.3">
      <c r="A1001">
        <v>1000</v>
      </c>
      <c r="B1001" t="s">
        <v>50</v>
      </c>
      <c r="C1001" t="s">
        <v>16</v>
      </c>
      <c r="D1001">
        <v>18</v>
      </c>
      <c r="E1001" t="s">
        <v>35</v>
      </c>
      <c r="F1001" s="4">
        <v>178281.61</v>
      </c>
      <c r="G1001" t="str">
        <f t="shared" si="60"/>
        <v>Midum Income</v>
      </c>
      <c r="H1001">
        <v>31108.46</v>
      </c>
      <c r="I1001">
        <v>506</v>
      </c>
      <c r="J1001" t="s">
        <v>32</v>
      </c>
      <c r="K1001" t="s">
        <v>19</v>
      </c>
      <c r="L1001">
        <v>236685.03</v>
      </c>
      <c r="M1001">
        <v>230887.35</v>
      </c>
      <c r="N1001" t="s">
        <v>28</v>
      </c>
      <c r="O1001" s="7">
        <f t="shared" ca="1" si="61"/>
        <v>45891</v>
      </c>
      <c r="P1001" s="7">
        <v>45866</v>
      </c>
      <c r="Q1001">
        <v>2</v>
      </c>
      <c r="R1001" t="str">
        <f t="shared" si="62"/>
        <v>Midum Risk</v>
      </c>
      <c r="S1001" t="str">
        <f t="shared" si="63"/>
        <v xml:space="preserve">Midum </v>
      </c>
      <c r="T1001" s="4">
        <f>Table1[[#This Row],[Deposit_Amount]]+Table1[[#This Row],[Withdrawal_Amount]]</f>
        <v>209390.06999999998</v>
      </c>
      <c r="U1001" t="s">
        <v>274</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443C-53C0-4875-B4F8-44400513E719}">
  <dimension ref="A3:J234"/>
  <sheetViews>
    <sheetView topLeftCell="A209" zoomScale="71" zoomScaleNormal="85" workbookViewId="0">
      <selection activeCell="F233" sqref="F233"/>
    </sheetView>
  </sheetViews>
  <sheetFormatPr defaultRowHeight="14.4" x14ac:dyDescent="0.3"/>
  <cols>
    <col min="1" max="2" width="20.33203125" bestFit="1" customWidth="1"/>
    <col min="3" max="3" width="35.6640625" bestFit="1" customWidth="1"/>
    <col min="4" max="4" width="13.21875" customWidth="1"/>
    <col min="5" max="7" width="13.21875" bestFit="1" customWidth="1"/>
    <col min="8" max="8" width="18.88671875" bestFit="1" customWidth="1"/>
    <col min="9" max="10" width="13.21875" bestFit="1" customWidth="1"/>
    <col min="11" max="20" width="12.88671875" bestFit="1" customWidth="1"/>
    <col min="21" max="29" width="13.21875" bestFit="1" customWidth="1"/>
    <col min="30" max="30" width="12.88671875" bestFit="1" customWidth="1"/>
    <col min="31" max="31" width="13.21875" bestFit="1" customWidth="1"/>
    <col min="32" max="38" width="13.5546875" bestFit="1" customWidth="1"/>
    <col min="39" max="39" width="13.21875" bestFit="1" customWidth="1"/>
    <col min="40" max="40" width="12.88671875" bestFit="1" customWidth="1"/>
    <col min="41" max="48" width="13.21875" bestFit="1" customWidth="1"/>
    <col min="49" max="49" width="13.5546875" bestFit="1" customWidth="1"/>
    <col min="50" max="50" width="13.21875" bestFit="1" customWidth="1"/>
    <col min="51" max="57" width="13.5546875" bestFit="1" customWidth="1"/>
    <col min="58" max="58" width="13.21875" bestFit="1" customWidth="1"/>
    <col min="59" max="65" width="13.5546875" bestFit="1" customWidth="1"/>
    <col min="66" max="66" width="13.21875" bestFit="1" customWidth="1"/>
    <col min="67" max="67" width="12.88671875" bestFit="1" customWidth="1"/>
    <col min="68" max="74" width="13.21875" bestFit="1" customWidth="1"/>
    <col min="75" max="75" width="13.5546875" bestFit="1" customWidth="1"/>
    <col min="76" max="76" width="13.21875" bestFit="1" customWidth="1"/>
    <col min="77" max="85" width="13.5546875" bestFit="1" customWidth="1"/>
    <col min="86" max="87" width="13.21875" bestFit="1" customWidth="1"/>
    <col min="88" max="95" width="13.5546875" bestFit="1" customWidth="1"/>
    <col min="96" max="96" width="13.21875" bestFit="1" customWidth="1"/>
    <col min="97" max="97" width="12.88671875" bestFit="1" customWidth="1"/>
    <col min="98" max="104" width="13.21875" bestFit="1" customWidth="1"/>
    <col min="105" max="105" width="13.5546875" bestFit="1" customWidth="1"/>
    <col min="106" max="106" width="13.21875" bestFit="1" customWidth="1"/>
    <col min="107" max="115" width="13.5546875" bestFit="1" customWidth="1"/>
    <col min="116" max="116" width="13.21875" bestFit="1" customWidth="1"/>
    <col min="117" max="124" width="13.5546875" bestFit="1" customWidth="1"/>
    <col min="125" max="125" width="13.21875" bestFit="1" customWidth="1"/>
    <col min="126" max="126" width="12.88671875" bestFit="1" customWidth="1"/>
    <col min="127" max="134" width="13.21875" bestFit="1" customWidth="1"/>
    <col min="135" max="135" width="13.5546875" bestFit="1" customWidth="1"/>
    <col min="136" max="136" width="13.21875" bestFit="1" customWidth="1"/>
    <col min="137" max="145" width="13.5546875" bestFit="1" customWidth="1"/>
    <col min="146" max="146" width="13.21875" bestFit="1" customWidth="1"/>
    <col min="147" max="153" width="13.5546875" bestFit="1" customWidth="1"/>
    <col min="154" max="154" width="13.21875" bestFit="1" customWidth="1"/>
    <col min="155" max="155" width="12.88671875" bestFit="1" customWidth="1"/>
    <col min="156" max="163" width="13.21875" bestFit="1" customWidth="1"/>
    <col min="164" max="164" width="13.5546875" bestFit="1" customWidth="1"/>
    <col min="165" max="165" width="13.21875" bestFit="1" customWidth="1"/>
    <col min="166" max="173" width="13.5546875" bestFit="1" customWidth="1"/>
    <col min="174" max="174" width="13.21875" bestFit="1" customWidth="1"/>
    <col min="175" max="180" width="13.5546875" bestFit="1" customWidth="1"/>
    <col min="181" max="181" width="13.21875" bestFit="1" customWidth="1"/>
    <col min="182" max="182" width="12.88671875" bestFit="1" customWidth="1"/>
    <col min="183" max="190" width="13.21875" bestFit="1" customWidth="1"/>
    <col min="191" max="191" width="13.5546875" bestFit="1" customWidth="1"/>
    <col min="192" max="192" width="13.21875" bestFit="1" customWidth="1"/>
    <col min="193" max="201" width="13.5546875" bestFit="1" customWidth="1"/>
    <col min="202" max="203" width="13.21875" bestFit="1" customWidth="1"/>
    <col min="204" max="210" width="13.5546875" bestFit="1" customWidth="1"/>
    <col min="211" max="211" width="13.21875" bestFit="1" customWidth="1"/>
    <col min="212" max="212" width="12.88671875" bestFit="1" customWidth="1"/>
    <col min="213" max="220" width="13.21875" bestFit="1" customWidth="1"/>
    <col min="221" max="221" width="13.5546875" bestFit="1" customWidth="1"/>
    <col min="222" max="222" width="13.21875" bestFit="1" customWidth="1"/>
    <col min="223" max="231" width="13.5546875" bestFit="1" customWidth="1"/>
    <col min="232" max="233" width="13.21875" bestFit="1" customWidth="1"/>
    <col min="234" max="241" width="13.5546875" bestFit="1" customWidth="1"/>
    <col min="242" max="242" width="13.21875" bestFit="1" customWidth="1"/>
    <col min="243" max="243" width="12.88671875" bestFit="1" customWidth="1"/>
    <col min="244" max="251" width="13.21875" bestFit="1" customWidth="1"/>
    <col min="252" max="252" width="13.5546875" bestFit="1" customWidth="1"/>
    <col min="253" max="253" width="13.21875" bestFit="1" customWidth="1"/>
    <col min="254" max="261" width="13.5546875" bestFit="1" customWidth="1"/>
    <col min="262" max="262" width="12.88671875" bestFit="1" customWidth="1"/>
    <col min="263" max="269" width="13.21875" bestFit="1" customWidth="1"/>
    <col min="270" max="270" width="12.88671875" bestFit="1" customWidth="1"/>
    <col min="271" max="271" width="12.44140625" bestFit="1" customWidth="1"/>
    <col min="272" max="279" width="12.88671875" bestFit="1" customWidth="1"/>
    <col min="280" max="280" width="13.21875" bestFit="1" customWidth="1"/>
    <col min="281" max="281" width="12.88671875" bestFit="1" customWidth="1"/>
    <col min="282" max="290" width="13.21875" bestFit="1" customWidth="1"/>
    <col min="291" max="291" width="12.88671875" bestFit="1" customWidth="1"/>
    <col min="292" max="292" width="12.44140625" bestFit="1" customWidth="1"/>
    <col min="293" max="299" width="12.88671875" bestFit="1" customWidth="1"/>
    <col min="300" max="300" width="12.44140625" bestFit="1" customWidth="1"/>
    <col min="301" max="301" width="12.109375" bestFit="1" customWidth="1"/>
    <col min="302" max="308" width="12.44140625" bestFit="1" customWidth="1"/>
    <col min="309" max="309" width="12.88671875" bestFit="1" customWidth="1"/>
    <col min="310" max="310" width="12.44140625" bestFit="1" customWidth="1"/>
    <col min="311" max="319" width="12.88671875" bestFit="1" customWidth="1"/>
    <col min="320" max="327" width="13.21875" bestFit="1" customWidth="1"/>
    <col min="328" max="328" width="12.88671875" bestFit="1" customWidth="1"/>
    <col min="329" max="329" width="12.44140625" bestFit="1" customWidth="1"/>
    <col min="330" max="337" width="12.88671875" bestFit="1" customWidth="1"/>
    <col min="338" max="338" width="13.21875" bestFit="1" customWidth="1"/>
    <col min="339" max="339" width="12.88671875" bestFit="1" customWidth="1"/>
    <col min="340" max="346" width="13.21875" bestFit="1" customWidth="1"/>
    <col min="347" max="347" width="12.88671875" bestFit="1" customWidth="1"/>
    <col min="348" max="348" width="15" bestFit="1" customWidth="1"/>
  </cols>
  <sheetData>
    <row r="3" spans="1:3" x14ac:dyDescent="0.3">
      <c r="A3" s="2" t="s">
        <v>234</v>
      </c>
      <c r="B3" t="s">
        <v>236</v>
      </c>
    </row>
    <row r="4" spans="1:3" x14ac:dyDescent="0.3">
      <c r="A4" s="3" t="s">
        <v>22</v>
      </c>
      <c r="B4" s="10">
        <v>491</v>
      </c>
    </row>
    <row r="5" spans="1:3" x14ac:dyDescent="0.3">
      <c r="A5" s="3" t="s">
        <v>16</v>
      </c>
      <c r="B5" s="10">
        <v>509</v>
      </c>
    </row>
    <row r="6" spans="1:3" x14ac:dyDescent="0.3">
      <c r="A6" s="3" t="s">
        <v>235</v>
      </c>
      <c r="B6" s="10">
        <v>1000</v>
      </c>
      <c r="C6">
        <f>GETPIVOTDATA("Client_Name",$A$3)</f>
        <v>1000</v>
      </c>
    </row>
    <row r="10" spans="1:3" x14ac:dyDescent="0.3">
      <c r="A10" s="2" t="s">
        <v>234</v>
      </c>
      <c r="B10" t="s">
        <v>237</v>
      </c>
    </row>
    <row r="11" spans="1:3" x14ac:dyDescent="0.3">
      <c r="A11" s="3" t="s">
        <v>22</v>
      </c>
      <c r="B11" s="10">
        <v>131721.96226069244</v>
      </c>
    </row>
    <row r="12" spans="1:3" x14ac:dyDescent="0.3">
      <c r="A12" s="3" t="s">
        <v>16</v>
      </c>
      <c r="B12" s="10">
        <v>132679.44332023573</v>
      </c>
    </row>
    <row r="13" spans="1:3" x14ac:dyDescent="0.3">
      <c r="A13" s="3" t="s">
        <v>235</v>
      </c>
      <c r="B13" s="10">
        <v>132209.32011999979</v>
      </c>
      <c r="C13" s="4">
        <f>GETPIVOTDATA("Monthly_Income",$A$10)</f>
        <v>132209.32011999979</v>
      </c>
    </row>
    <row r="17" spans="1:3" x14ac:dyDescent="0.3">
      <c r="A17" s="2" t="s">
        <v>234</v>
      </c>
      <c r="B17" t="s">
        <v>238</v>
      </c>
    </row>
    <row r="18" spans="1:3" x14ac:dyDescent="0.3">
      <c r="A18" s="3" t="s">
        <v>22</v>
      </c>
      <c r="B18" s="10">
        <v>43.617107942973526</v>
      </c>
    </row>
    <row r="19" spans="1:3" x14ac:dyDescent="0.3">
      <c r="A19" s="3" t="s">
        <v>16</v>
      </c>
      <c r="B19" s="10">
        <v>43.367387033398821</v>
      </c>
    </row>
    <row r="20" spans="1:3" x14ac:dyDescent="0.3">
      <c r="A20" s="3" t="s">
        <v>235</v>
      </c>
      <c r="B20" s="10">
        <v>43.49</v>
      </c>
      <c r="C20" s="5">
        <f>GETPIVOTDATA("Age",$A$17)</f>
        <v>43.49</v>
      </c>
    </row>
    <row r="23" spans="1:3" x14ac:dyDescent="0.3">
      <c r="A23" s="2" t="s">
        <v>234</v>
      </c>
      <c r="B23" t="s">
        <v>239</v>
      </c>
    </row>
    <row r="24" spans="1:3" x14ac:dyDescent="0.3">
      <c r="A24" s="3" t="s">
        <v>22</v>
      </c>
      <c r="B24" s="10">
        <v>258090.39665987782</v>
      </c>
    </row>
    <row r="25" spans="1:3" x14ac:dyDescent="0.3">
      <c r="A25" s="3" t="s">
        <v>16</v>
      </c>
      <c r="B25" s="10">
        <v>240991.70726915501</v>
      </c>
    </row>
    <row r="26" spans="1:3" x14ac:dyDescent="0.3">
      <c r="A26" s="3" t="s">
        <v>235</v>
      </c>
      <c r="B26" s="10">
        <v>249387.16376000035</v>
      </c>
      <c r="C26" s="4">
        <f>GETPIVOTDATA("Deposit_Amount",$A$23)</f>
        <v>249387.16376000035</v>
      </c>
    </row>
    <row r="30" spans="1:3" x14ac:dyDescent="0.3">
      <c r="A30" s="2" t="s">
        <v>234</v>
      </c>
      <c r="B30" t="s">
        <v>236</v>
      </c>
    </row>
    <row r="31" spans="1:3" x14ac:dyDescent="0.3">
      <c r="A31" s="3" t="s">
        <v>246</v>
      </c>
      <c r="B31" s="10">
        <v>97</v>
      </c>
    </row>
    <row r="32" spans="1:3" x14ac:dyDescent="0.3">
      <c r="A32" s="3" t="s">
        <v>247</v>
      </c>
      <c r="B32" s="10">
        <v>82</v>
      </c>
    </row>
    <row r="33" spans="1:3" x14ac:dyDescent="0.3">
      <c r="A33" s="3" t="s">
        <v>248</v>
      </c>
      <c r="B33" s="10">
        <v>87</v>
      </c>
      <c r="C33" s="4"/>
    </row>
    <row r="34" spans="1:3" x14ac:dyDescent="0.3">
      <c r="A34" s="3" t="s">
        <v>249</v>
      </c>
      <c r="B34" s="10">
        <v>73</v>
      </c>
    </row>
    <row r="35" spans="1:3" x14ac:dyDescent="0.3">
      <c r="A35" s="3" t="s">
        <v>250</v>
      </c>
      <c r="B35" s="10">
        <v>64</v>
      </c>
    </row>
    <row r="36" spans="1:3" x14ac:dyDescent="0.3">
      <c r="A36" s="3" t="s">
        <v>251</v>
      </c>
      <c r="B36" s="10">
        <v>91</v>
      </c>
    </row>
    <row r="37" spans="1:3" x14ac:dyDescent="0.3">
      <c r="A37" s="3" t="s">
        <v>252</v>
      </c>
      <c r="B37" s="10">
        <v>73</v>
      </c>
    </row>
    <row r="38" spans="1:3" x14ac:dyDescent="0.3">
      <c r="A38" s="3" t="s">
        <v>253</v>
      </c>
      <c r="B38" s="10">
        <v>97</v>
      </c>
    </row>
    <row r="39" spans="1:3" x14ac:dyDescent="0.3">
      <c r="A39" s="3" t="s">
        <v>254</v>
      </c>
      <c r="B39" s="10">
        <v>89</v>
      </c>
    </row>
    <row r="40" spans="1:3" x14ac:dyDescent="0.3">
      <c r="A40" s="3" t="s">
        <v>255</v>
      </c>
      <c r="B40" s="10">
        <v>73</v>
      </c>
    </row>
    <row r="41" spans="1:3" x14ac:dyDescent="0.3">
      <c r="A41" s="3" t="s">
        <v>256</v>
      </c>
      <c r="B41" s="10">
        <v>83</v>
      </c>
    </row>
    <row r="42" spans="1:3" x14ac:dyDescent="0.3">
      <c r="A42" s="3" t="s">
        <v>257</v>
      </c>
      <c r="B42" s="10">
        <v>91</v>
      </c>
    </row>
    <row r="43" spans="1:3" x14ac:dyDescent="0.3">
      <c r="A43" s="3" t="s">
        <v>235</v>
      </c>
      <c r="B43" s="10">
        <v>1000</v>
      </c>
    </row>
    <row r="48" spans="1:3" x14ac:dyDescent="0.3">
      <c r="A48" s="2" t="s">
        <v>234</v>
      </c>
      <c r="B48" t="s">
        <v>258</v>
      </c>
    </row>
    <row r="49" spans="1:10" x14ac:dyDescent="0.3">
      <c r="A49" s="3" t="s">
        <v>259</v>
      </c>
      <c r="B49" s="9">
        <v>0.59</v>
      </c>
    </row>
    <row r="50" spans="1:10" x14ac:dyDescent="0.3">
      <c r="A50" s="3" t="s">
        <v>260</v>
      </c>
      <c r="B50" s="9">
        <v>0.20399999999999999</v>
      </c>
      <c r="J50" s="5"/>
    </row>
    <row r="51" spans="1:10" x14ac:dyDescent="0.3">
      <c r="A51" s="3" t="s">
        <v>261</v>
      </c>
      <c r="B51" s="9">
        <v>0.20599999999999999</v>
      </c>
    </row>
    <row r="52" spans="1:10" x14ac:dyDescent="0.3">
      <c r="A52" s="3" t="s">
        <v>235</v>
      </c>
      <c r="B52" s="9">
        <v>1</v>
      </c>
    </row>
    <row r="58" spans="1:10" x14ac:dyDescent="0.3">
      <c r="A58" s="2" t="s">
        <v>234</v>
      </c>
      <c r="B58" t="s">
        <v>262</v>
      </c>
    </row>
    <row r="59" spans="1:10" x14ac:dyDescent="0.3">
      <c r="A59" s="3" t="s">
        <v>22</v>
      </c>
      <c r="B59" s="10">
        <v>76538277.260000005</v>
      </c>
    </row>
    <row r="60" spans="1:10" x14ac:dyDescent="0.3">
      <c r="A60" s="3" t="s">
        <v>16</v>
      </c>
      <c r="B60" s="10">
        <v>76403778.400000036</v>
      </c>
    </row>
    <row r="61" spans="1:10" x14ac:dyDescent="0.3">
      <c r="A61" s="3" t="s">
        <v>235</v>
      </c>
      <c r="B61" s="10">
        <v>152942055.66000003</v>
      </c>
      <c r="C61" s="4">
        <f>GETPIVOTDATA("Withdrawal_Amount",$A$58)</f>
        <v>152942055.66000003</v>
      </c>
    </row>
    <row r="65" spans="1:3" x14ac:dyDescent="0.3">
      <c r="A65" s="2" t="s">
        <v>234</v>
      </c>
      <c r="B65" t="s">
        <v>263</v>
      </c>
    </row>
    <row r="66" spans="1:3" x14ac:dyDescent="0.3">
      <c r="A66" s="3" t="s">
        <v>22</v>
      </c>
      <c r="B66" s="10">
        <v>587.00814663951121</v>
      </c>
    </row>
    <row r="67" spans="1:3" x14ac:dyDescent="0.3">
      <c r="A67" s="3" t="s">
        <v>16</v>
      </c>
      <c r="B67" s="10">
        <v>609.17288801571715</v>
      </c>
    </row>
    <row r="68" spans="1:3" x14ac:dyDescent="0.3">
      <c r="A68" s="3" t="s">
        <v>235</v>
      </c>
      <c r="B68" s="10">
        <v>598.29</v>
      </c>
      <c r="C68" s="5">
        <f>GETPIVOTDATA("Credit_Score",$A$65)</f>
        <v>598.29</v>
      </c>
    </row>
    <row r="73" spans="1:3" x14ac:dyDescent="0.3">
      <c r="A73" s="2" t="s">
        <v>234</v>
      </c>
      <c r="B73" t="s">
        <v>264</v>
      </c>
    </row>
    <row r="74" spans="1:3" x14ac:dyDescent="0.3">
      <c r="A74" s="3" t="s">
        <v>22</v>
      </c>
      <c r="B74" s="10">
        <v>155882.43841140531</v>
      </c>
    </row>
    <row r="75" spans="1:3" x14ac:dyDescent="0.3">
      <c r="A75" s="3" t="s">
        <v>16</v>
      </c>
      <c r="B75" s="10">
        <v>150105.65500982324</v>
      </c>
    </row>
    <row r="76" spans="1:3" x14ac:dyDescent="0.3">
      <c r="A76" s="3" t="s">
        <v>235</v>
      </c>
      <c r="B76" s="10">
        <v>152942.05565999987</v>
      </c>
      <c r="C76" s="4">
        <f>GETPIVOTDATA("Withdrawal_Amount",$A$73)</f>
        <v>152942.05565999987</v>
      </c>
    </row>
    <row r="88" spans="1:2" x14ac:dyDescent="0.3">
      <c r="A88" s="2" t="s">
        <v>234</v>
      </c>
      <c r="B88" t="s">
        <v>236</v>
      </c>
    </row>
    <row r="89" spans="1:2" x14ac:dyDescent="0.3">
      <c r="A89" s="3" t="s">
        <v>241</v>
      </c>
      <c r="B89" s="10">
        <v>172</v>
      </c>
    </row>
    <row r="90" spans="1:2" x14ac:dyDescent="0.3">
      <c r="A90" s="3" t="s">
        <v>242</v>
      </c>
      <c r="B90" s="10">
        <v>486</v>
      </c>
    </row>
    <row r="91" spans="1:2" x14ac:dyDescent="0.3">
      <c r="A91" s="3" t="s">
        <v>243</v>
      </c>
      <c r="B91" s="10">
        <v>342</v>
      </c>
    </row>
    <row r="92" spans="1:2" x14ac:dyDescent="0.3">
      <c r="A92" s="3" t="s">
        <v>235</v>
      </c>
      <c r="B92" s="10">
        <v>1000</v>
      </c>
    </row>
    <row r="97" spans="1:2" x14ac:dyDescent="0.3">
      <c r="A97" t="s">
        <v>236</v>
      </c>
    </row>
    <row r="98" spans="1:2" x14ac:dyDescent="0.3">
      <c r="A98" s="10">
        <v>1000</v>
      </c>
    </row>
    <row r="101" spans="1:2" x14ac:dyDescent="0.3">
      <c r="A101" s="11" t="s">
        <v>234</v>
      </c>
      <c r="B101" s="12" t="s">
        <v>239</v>
      </c>
    </row>
    <row r="102" spans="1:2" x14ac:dyDescent="0.3">
      <c r="A102" s="13" t="s">
        <v>246</v>
      </c>
      <c r="B102" s="12">
        <v>239153.02814432987</v>
      </c>
    </row>
    <row r="103" spans="1:2" x14ac:dyDescent="0.3">
      <c r="A103" s="13" t="s">
        <v>247</v>
      </c>
      <c r="B103" s="12">
        <v>255613.48658536578</v>
      </c>
    </row>
    <row r="104" spans="1:2" x14ac:dyDescent="0.3">
      <c r="A104" s="13" t="s">
        <v>248</v>
      </c>
      <c r="B104" s="12">
        <v>245193.40448275855</v>
      </c>
    </row>
    <row r="105" spans="1:2" x14ac:dyDescent="0.3">
      <c r="A105" s="13" t="s">
        <v>249</v>
      </c>
      <c r="B105" s="12">
        <v>246455.46849315063</v>
      </c>
    </row>
    <row r="106" spans="1:2" x14ac:dyDescent="0.3">
      <c r="A106" s="13" t="s">
        <v>250</v>
      </c>
      <c r="B106" s="12">
        <v>256745.54296874994</v>
      </c>
    </row>
    <row r="107" spans="1:2" x14ac:dyDescent="0.3">
      <c r="A107" s="13" t="s">
        <v>251</v>
      </c>
      <c r="B107" s="12">
        <v>243002.9562637363</v>
      </c>
    </row>
    <row r="108" spans="1:2" x14ac:dyDescent="0.3">
      <c r="A108" s="13" t="s">
        <v>252</v>
      </c>
      <c r="B108" s="12">
        <v>278858.41821917816</v>
      </c>
    </row>
    <row r="109" spans="1:2" x14ac:dyDescent="0.3">
      <c r="A109" s="13" t="s">
        <v>253</v>
      </c>
      <c r="B109" s="12">
        <v>257073.33731958771</v>
      </c>
    </row>
    <row r="110" spans="1:2" x14ac:dyDescent="0.3">
      <c r="A110" s="13" t="s">
        <v>254</v>
      </c>
      <c r="B110" s="12">
        <v>236692.42415730329</v>
      </c>
    </row>
    <row r="111" spans="1:2" x14ac:dyDescent="0.3">
      <c r="A111" s="13" t="s">
        <v>255</v>
      </c>
      <c r="B111" s="12">
        <v>236889.3757534246</v>
      </c>
    </row>
    <row r="112" spans="1:2" x14ac:dyDescent="0.3">
      <c r="A112" s="13" t="s">
        <v>256</v>
      </c>
      <c r="B112" s="12">
        <v>255652.12999999995</v>
      </c>
    </row>
    <row r="113" spans="1:2" x14ac:dyDescent="0.3">
      <c r="A113" s="13" t="s">
        <v>257</v>
      </c>
      <c r="B113" s="12">
        <v>247148.34890109897</v>
      </c>
    </row>
    <row r="114" spans="1:2" x14ac:dyDescent="0.3">
      <c r="A114" s="13" t="s">
        <v>235</v>
      </c>
      <c r="B114" s="12">
        <v>249387.16376000055</v>
      </c>
    </row>
    <row r="118" spans="1:2" x14ac:dyDescent="0.3">
      <c r="A118" s="11" t="s">
        <v>234</v>
      </c>
      <c r="B118" s="12" t="s">
        <v>262</v>
      </c>
    </row>
    <row r="119" spans="1:2" x14ac:dyDescent="0.3">
      <c r="A119" s="13" t="s">
        <v>246</v>
      </c>
      <c r="B119" s="15">
        <v>13799019.680000002</v>
      </c>
    </row>
    <row r="120" spans="1:2" x14ac:dyDescent="0.3">
      <c r="A120" s="13" t="s">
        <v>247</v>
      </c>
      <c r="B120" s="15">
        <v>13760085.42</v>
      </c>
    </row>
    <row r="121" spans="1:2" x14ac:dyDescent="0.3">
      <c r="A121" s="13" t="s">
        <v>248</v>
      </c>
      <c r="B121" s="15">
        <v>12626538.979999995</v>
      </c>
    </row>
    <row r="122" spans="1:2" x14ac:dyDescent="0.3">
      <c r="A122" s="13" t="s">
        <v>249</v>
      </c>
      <c r="B122" s="15">
        <v>10924638.079999998</v>
      </c>
    </row>
    <row r="123" spans="1:2" x14ac:dyDescent="0.3">
      <c r="A123" s="13" t="s">
        <v>250</v>
      </c>
      <c r="B123" s="15">
        <v>9300598.8900000006</v>
      </c>
    </row>
    <row r="124" spans="1:2" x14ac:dyDescent="0.3">
      <c r="A124" s="13" t="s">
        <v>251</v>
      </c>
      <c r="B124" s="15">
        <v>12968027.76</v>
      </c>
    </row>
    <row r="125" spans="1:2" x14ac:dyDescent="0.3">
      <c r="A125" s="13" t="s">
        <v>252</v>
      </c>
      <c r="B125" s="15">
        <v>10491798.350000003</v>
      </c>
    </row>
    <row r="126" spans="1:2" x14ac:dyDescent="0.3">
      <c r="A126" s="13" t="s">
        <v>253</v>
      </c>
      <c r="B126" s="15">
        <v>15951090.930000003</v>
      </c>
    </row>
    <row r="127" spans="1:2" x14ac:dyDescent="0.3">
      <c r="A127" s="13" t="s">
        <v>254</v>
      </c>
      <c r="B127" s="15">
        <v>14294043.679999994</v>
      </c>
    </row>
    <row r="128" spans="1:2" x14ac:dyDescent="0.3">
      <c r="A128" s="13" t="s">
        <v>255</v>
      </c>
      <c r="B128" s="15">
        <v>11450608.67</v>
      </c>
    </row>
    <row r="129" spans="1:3" x14ac:dyDescent="0.3">
      <c r="A129" s="13" t="s">
        <v>256</v>
      </c>
      <c r="B129" s="15">
        <v>13105849.75</v>
      </c>
    </row>
    <row r="130" spans="1:3" x14ac:dyDescent="0.3">
      <c r="A130" s="13" t="s">
        <v>257</v>
      </c>
      <c r="B130" s="15">
        <v>14269755.469999995</v>
      </c>
    </row>
    <row r="131" spans="1:3" x14ac:dyDescent="0.3">
      <c r="A131" s="13" t="s">
        <v>235</v>
      </c>
      <c r="B131" s="15">
        <v>152942055.66</v>
      </c>
    </row>
    <row r="137" spans="1:3" x14ac:dyDescent="0.3">
      <c r="A137" s="11" t="s">
        <v>234</v>
      </c>
      <c r="B137" s="12" t="s">
        <v>265</v>
      </c>
      <c r="C137" s="12" t="s">
        <v>262</v>
      </c>
    </row>
    <row r="138" spans="1:3" x14ac:dyDescent="0.3">
      <c r="A138" s="13" t="s">
        <v>246</v>
      </c>
      <c r="B138" s="15">
        <v>23197843.729999997</v>
      </c>
      <c r="C138" s="15">
        <v>13799019.680000002</v>
      </c>
    </row>
    <row r="139" spans="1:3" x14ac:dyDescent="0.3">
      <c r="A139" s="13" t="s">
        <v>247</v>
      </c>
      <c r="B139" s="15">
        <v>20960305.899999995</v>
      </c>
      <c r="C139" s="15">
        <v>13760085.42</v>
      </c>
    </row>
    <row r="140" spans="1:3" x14ac:dyDescent="0.3">
      <c r="A140" s="13" t="s">
        <v>248</v>
      </c>
      <c r="B140" s="15">
        <v>21331826.189999994</v>
      </c>
      <c r="C140" s="15">
        <v>12626538.979999995</v>
      </c>
    </row>
    <row r="141" spans="1:3" x14ac:dyDescent="0.3">
      <c r="A141" s="13" t="s">
        <v>249</v>
      </c>
      <c r="B141" s="15">
        <v>17991249.199999996</v>
      </c>
      <c r="C141" s="15">
        <v>10924638.079999998</v>
      </c>
    </row>
    <row r="142" spans="1:3" x14ac:dyDescent="0.3">
      <c r="A142" s="13" t="s">
        <v>250</v>
      </c>
      <c r="B142" s="15">
        <v>16431714.749999996</v>
      </c>
      <c r="C142" s="15">
        <v>9300598.8900000006</v>
      </c>
    </row>
    <row r="143" spans="1:3" x14ac:dyDescent="0.3">
      <c r="A143" s="13" t="s">
        <v>251</v>
      </c>
      <c r="B143" s="15">
        <v>22113269.020000003</v>
      </c>
      <c r="C143" s="15">
        <v>12968027.76</v>
      </c>
    </row>
    <row r="144" spans="1:3" x14ac:dyDescent="0.3">
      <c r="A144" s="13" t="s">
        <v>252</v>
      </c>
      <c r="B144" s="15">
        <v>20356664.530000005</v>
      </c>
      <c r="C144" s="15">
        <v>10491798.350000003</v>
      </c>
    </row>
    <row r="145" spans="1:3" x14ac:dyDescent="0.3">
      <c r="A145" s="13" t="s">
        <v>253</v>
      </c>
      <c r="B145" s="15">
        <v>24936113.720000006</v>
      </c>
      <c r="C145" s="15">
        <v>15951090.930000003</v>
      </c>
    </row>
    <row r="146" spans="1:3" x14ac:dyDescent="0.3">
      <c r="A146" s="13" t="s">
        <v>254</v>
      </c>
      <c r="B146" s="15">
        <v>21065625.749999993</v>
      </c>
      <c r="C146" s="15">
        <v>14294043.679999994</v>
      </c>
    </row>
    <row r="147" spans="1:3" x14ac:dyDescent="0.3">
      <c r="A147" s="13" t="s">
        <v>255</v>
      </c>
      <c r="B147" s="15">
        <v>17292924.429999996</v>
      </c>
      <c r="C147" s="15">
        <v>11450608.67</v>
      </c>
    </row>
    <row r="148" spans="1:3" x14ac:dyDescent="0.3">
      <c r="A148" s="13" t="s">
        <v>256</v>
      </c>
      <c r="B148" s="15">
        <v>21219126.789999995</v>
      </c>
      <c r="C148" s="15">
        <v>13105849.75</v>
      </c>
    </row>
    <row r="149" spans="1:3" x14ac:dyDescent="0.3">
      <c r="A149" s="13" t="s">
        <v>257</v>
      </c>
      <c r="B149" s="15">
        <v>22490499.750000007</v>
      </c>
      <c r="C149" s="15">
        <v>14269755.469999995</v>
      </c>
    </row>
    <row r="150" spans="1:3" x14ac:dyDescent="0.3">
      <c r="A150" s="13" t="s">
        <v>235</v>
      </c>
      <c r="B150" s="15">
        <v>249387163.75999999</v>
      </c>
      <c r="C150" s="15">
        <v>152942055.66</v>
      </c>
    </row>
    <row r="157" spans="1:3" x14ac:dyDescent="0.3">
      <c r="A157" s="11" t="s">
        <v>234</v>
      </c>
      <c r="B157" s="12" t="s">
        <v>267</v>
      </c>
    </row>
    <row r="158" spans="1:3" x14ac:dyDescent="0.3">
      <c r="A158" s="13" t="s">
        <v>268</v>
      </c>
      <c r="B158" s="9">
        <v>0.48599999999999999</v>
      </c>
    </row>
    <row r="159" spans="1:3" x14ac:dyDescent="0.3">
      <c r="A159" s="13" t="s">
        <v>269</v>
      </c>
      <c r="B159" s="9">
        <v>0.34200000000000003</v>
      </c>
    </row>
    <row r="160" spans="1:3" x14ac:dyDescent="0.3">
      <c r="A160" s="13" t="s">
        <v>270</v>
      </c>
      <c r="B160" s="9">
        <v>0.17199999999999999</v>
      </c>
    </row>
    <row r="161" spans="1:2" x14ac:dyDescent="0.3">
      <c r="A161" s="13" t="s">
        <v>235</v>
      </c>
      <c r="B161" s="9">
        <v>1</v>
      </c>
    </row>
    <row r="166" spans="1:2" x14ac:dyDescent="0.3">
      <c r="A166" s="11" t="s">
        <v>234</v>
      </c>
      <c r="B166" s="12" t="s">
        <v>272</v>
      </c>
    </row>
    <row r="167" spans="1:2" x14ac:dyDescent="0.3">
      <c r="A167" s="13" t="s">
        <v>44</v>
      </c>
      <c r="B167" s="15">
        <v>61717550.489999995</v>
      </c>
    </row>
    <row r="168" spans="1:2" x14ac:dyDescent="0.3">
      <c r="A168" s="13" t="s">
        <v>17</v>
      </c>
      <c r="B168" s="15">
        <v>78039012.829999968</v>
      </c>
    </row>
    <row r="169" spans="1:2" x14ac:dyDescent="0.3">
      <c r="A169" s="13" t="s">
        <v>23</v>
      </c>
      <c r="B169" s="15">
        <v>64970493.459999979</v>
      </c>
    </row>
    <row r="170" spans="1:2" x14ac:dyDescent="0.3">
      <c r="A170" s="13" t="s">
        <v>40</v>
      </c>
      <c r="B170" s="15">
        <v>62785864.599999994</v>
      </c>
    </row>
    <row r="171" spans="1:2" x14ac:dyDescent="0.3">
      <c r="A171" s="13" t="s">
        <v>35</v>
      </c>
      <c r="B171" s="15">
        <v>67221016.679999977</v>
      </c>
    </row>
    <row r="172" spans="1:2" x14ac:dyDescent="0.3">
      <c r="A172" s="13" t="s">
        <v>31</v>
      </c>
      <c r="B172" s="15">
        <v>67595281.360000014</v>
      </c>
    </row>
    <row r="173" spans="1:2" x14ac:dyDescent="0.3">
      <c r="A173" s="13" t="s">
        <v>235</v>
      </c>
      <c r="B173" s="15">
        <v>402329219.41999996</v>
      </c>
    </row>
    <row r="178" spans="1:2" x14ac:dyDescent="0.3">
      <c r="A178" s="11" t="s">
        <v>234</v>
      </c>
      <c r="B178" s="12" t="s">
        <v>272</v>
      </c>
    </row>
    <row r="179" spans="1:2" x14ac:dyDescent="0.3">
      <c r="A179" s="13" t="s">
        <v>32</v>
      </c>
      <c r="B179" s="9">
        <v>0.18465516756923586</v>
      </c>
    </row>
    <row r="180" spans="1:2" x14ac:dyDescent="0.3">
      <c r="A180" s="13" t="s">
        <v>38</v>
      </c>
      <c r="B180" s="9">
        <v>0.1797291492878467</v>
      </c>
    </row>
    <row r="181" spans="1:2" x14ac:dyDescent="0.3">
      <c r="A181" s="13" t="s">
        <v>18</v>
      </c>
      <c r="B181" s="9">
        <v>0.216252534939984</v>
      </c>
    </row>
    <row r="182" spans="1:2" x14ac:dyDescent="0.3">
      <c r="A182" s="13" t="s">
        <v>27</v>
      </c>
      <c r="B182" s="9">
        <v>0.22887489328452798</v>
      </c>
    </row>
    <row r="183" spans="1:2" x14ac:dyDescent="0.3">
      <c r="A183" s="13" t="s">
        <v>41</v>
      </c>
      <c r="B183" s="9">
        <v>0.19048825491840538</v>
      </c>
    </row>
    <row r="184" spans="1:2" x14ac:dyDescent="0.3">
      <c r="A184" s="13" t="s">
        <v>235</v>
      </c>
      <c r="B184" s="9">
        <v>1</v>
      </c>
    </row>
    <row r="188" spans="1:2" x14ac:dyDescent="0.3">
      <c r="A188" s="11" t="s">
        <v>234</v>
      </c>
      <c r="B188" s="12" t="s">
        <v>272</v>
      </c>
    </row>
    <row r="189" spans="1:2" x14ac:dyDescent="0.3">
      <c r="A189" s="13" t="s">
        <v>246</v>
      </c>
      <c r="B189" s="4">
        <v>36996863.409999989</v>
      </c>
    </row>
    <row r="190" spans="1:2" x14ac:dyDescent="0.3">
      <c r="A190" s="13" t="s">
        <v>247</v>
      </c>
      <c r="B190" s="4">
        <v>34720391.32</v>
      </c>
    </row>
    <row r="191" spans="1:2" x14ac:dyDescent="0.3">
      <c r="A191" s="13" t="s">
        <v>248</v>
      </c>
      <c r="B191" s="4">
        <v>33958365.170000002</v>
      </c>
    </row>
    <row r="192" spans="1:2" x14ac:dyDescent="0.3">
      <c r="A192" s="13" t="s">
        <v>249</v>
      </c>
      <c r="B192" s="4">
        <v>28915887.279999994</v>
      </c>
    </row>
    <row r="193" spans="1:2" x14ac:dyDescent="0.3">
      <c r="A193" s="13" t="s">
        <v>250</v>
      </c>
      <c r="B193" s="4">
        <v>25732313.640000004</v>
      </c>
    </row>
    <row r="194" spans="1:2" x14ac:dyDescent="0.3">
      <c r="A194" s="13" t="s">
        <v>251</v>
      </c>
      <c r="B194" s="4">
        <v>35081296.780000001</v>
      </c>
    </row>
    <row r="195" spans="1:2" x14ac:dyDescent="0.3">
      <c r="A195" s="13" t="s">
        <v>252</v>
      </c>
      <c r="B195" s="4">
        <v>30848462.879999992</v>
      </c>
    </row>
    <row r="196" spans="1:2" x14ac:dyDescent="0.3">
      <c r="A196" s="13" t="s">
        <v>253</v>
      </c>
      <c r="B196" s="4">
        <v>40887204.650000013</v>
      </c>
    </row>
    <row r="197" spans="1:2" x14ac:dyDescent="0.3">
      <c r="A197" s="13" t="s">
        <v>254</v>
      </c>
      <c r="B197" s="4">
        <v>35359669.43</v>
      </c>
    </row>
    <row r="198" spans="1:2" x14ac:dyDescent="0.3">
      <c r="A198" s="13" t="s">
        <v>255</v>
      </c>
      <c r="B198" s="4">
        <v>28743533.099999994</v>
      </c>
    </row>
    <row r="199" spans="1:2" x14ac:dyDescent="0.3">
      <c r="A199" s="13" t="s">
        <v>256</v>
      </c>
      <c r="B199" s="4">
        <v>34324976.540000007</v>
      </c>
    </row>
    <row r="200" spans="1:2" x14ac:dyDescent="0.3">
      <c r="A200" s="13" t="s">
        <v>257</v>
      </c>
      <c r="B200" s="4">
        <v>36760255.219999991</v>
      </c>
    </row>
    <row r="201" spans="1:2" x14ac:dyDescent="0.3">
      <c r="A201" s="13" t="s">
        <v>235</v>
      </c>
      <c r="B201" s="4">
        <v>402329219.41999996</v>
      </c>
    </row>
    <row r="208" spans="1:2" x14ac:dyDescent="0.3">
      <c r="A208" s="11" t="s">
        <v>234</v>
      </c>
      <c r="B208" s="12" t="s">
        <v>276</v>
      </c>
    </row>
    <row r="209" spans="1:3" x14ac:dyDescent="0.3">
      <c r="A209" s="13" t="s">
        <v>275</v>
      </c>
      <c r="B209" s="9">
        <v>1.4999999999999999E-2</v>
      </c>
    </row>
    <row r="210" spans="1:3" x14ac:dyDescent="0.3">
      <c r="A210" s="13" t="s">
        <v>274</v>
      </c>
      <c r="B210" s="9">
        <v>0.98499999999999999</v>
      </c>
    </row>
    <row r="211" spans="1:3" x14ac:dyDescent="0.3">
      <c r="A211" s="13" t="s">
        <v>235</v>
      </c>
      <c r="B211" s="9">
        <v>1</v>
      </c>
    </row>
    <row r="215" spans="1:3" x14ac:dyDescent="0.3">
      <c r="A215" s="11" t="s">
        <v>234</v>
      </c>
      <c r="B215" s="16" t="s">
        <v>276</v>
      </c>
    </row>
    <row r="216" spans="1:3" x14ac:dyDescent="0.3">
      <c r="A216" s="13" t="s">
        <v>22</v>
      </c>
      <c r="B216" s="5">
        <v>491</v>
      </c>
    </row>
    <row r="217" spans="1:3" x14ac:dyDescent="0.3">
      <c r="A217" s="13" t="s">
        <v>16</v>
      </c>
      <c r="B217" s="5">
        <v>509</v>
      </c>
    </row>
    <row r="218" spans="1:3" x14ac:dyDescent="0.3">
      <c r="A218" s="13" t="s">
        <v>235</v>
      </c>
      <c r="B218" s="5">
        <v>1000</v>
      </c>
      <c r="C218">
        <f>GETPIVOTDATA("Trantions",$A$215)</f>
        <v>1000</v>
      </c>
    </row>
    <row r="221" spans="1:3" x14ac:dyDescent="0.3">
      <c r="A221" s="11" t="s">
        <v>234</v>
      </c>
      <c r="B221" s="12" t="s">
        <v>272</v>
      </c>
    </row>
    <row r="222" spans="1:3" x14ac:dyDescent="0.3">
      <c r="A222" s="13" t="s">
        <v>22</v>
      </c>
      <c r="B222" s="15">
        <v>203260662.01999986</v>
      </c>
    </row>
    <row r="223" spans="1:3" x14ac:dyDescent="0.3">
      <c r="A223" s="13" t="s">
        <v>16</v>
      </c>
      <c r="B223" s="15">
        <v>199068557.3999998</v>
      </c>
    </row>
    <row r="224" spans="1:3" x14ac:dyDescent="0.3">
      <c r="A224" s="13" t="s">
        <v>235</v>
      </c>
      <c r="B224" s="15">
        <v>402329219.41999966</v>
      </c>
      <c r="C224" s="4">
        <f>GETPIVOTDATA("Trantions",$A$221)</f>
        <v>402329219.41999966</v>
      </c>
    </row>
    <row r="231" spans="1:3" x14ac:dyDescent="0.3">
      <c r="A231" s="11" t="s">
        <v>234</v>
      </c>
      <c r="B231" s="12" t="s">
        <v>272</v>
      </c>
    </row>
    <row r="232" spans="1:3" x14ac:dyDescent="0.3">
      <c r="A232" s="13" t="s">
        <v>275</v>
      </c>
      <c r="B232" s="15">
        <v>5738857.0999999996</v>
      </c>
      <c r="C232" s="4">
        <f>GETPIVOTDATA("Trantions",$A$231,"Tration P/F","failed")</f>
        <v>5738857.0999999996</v>
      </c>
    </row>
    <row r="233" spans="1:3" x14ac:dyDescent="0.3">
      <c r="A233" s="13" t="s">
        <v>274</v>
      </c>
      <c r="B233" s="15">
        <v>396590362.32000011</v>
      </c>
      <c r="C233" s="4">
        <f>GETPIVOTDATA("Trantions",$A$231,"Tration P/F","pass")</f>
        <v>396590362.32000011</v>
      </c>
    </row>
    <row r="234" spans="1:3" x14ac:dyDescent="0.3">
      <c r="A234" s="13" t="s">
        <v>235</v>
      </c>
      <c r="B234" s="15">
        <v>402329219.42000014</v>
      </c>
      <c r="C234" s="4"/>
    </row>
  </sheetData>
  <pageMargins left="0.7" right="0.7" top="0.75" bottom="0.75" header="0.3" footer="0.3"/>
  <drawing r:id="rId2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9D9C9-C3AE-4EDD-8910-16C361B2030D}">
  <dimension ref="AT27:AT28"/>
  <sheetViews>
    <sheetView showGridLines="0" zoomScale="43" zoomScaleNormal="43" workbookViewId="0"/>
  </sheetViews>
  <sheetFormatPr defaultRowHeight="14.4" x14ac:dyDescent="0.3"/>
  <sheetData>
    <row r="27" spans="46:46" ht="15.6" customHeight="1" x14ac:dyDescent="0.3"/>
    <row r="28" spans="46:46" ht="21.6" customHeight="1" x14ac:dyDescent="0.6">
      <c r="AT28"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8A9DC-D22B-4DDE-9D67-7ECEF04AD1F9}">
  <dimension ref="A1"/>
  <sheetViews>
    <sheetView showGridLines="0" zoomScale="43" zoomScaleNormal="43"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043D-B476-4103-9743-78FACB0E34C1}">
  <dimension ref="A1"/>
  <sheetViews>
    <sheetView showGridLines="0" tabSelected="1" zoomScale="43" zoomScaleNormal="43" workbookViewId="0">
      <selection activeCell="AQ28" sqref="AQ2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Banking_Demo_Data</vt:lpstr>
      <vt:lpstr>TABLE</vt:lpstr>
      <vt:lpstr>HOME</vt:lpstr>
      <vt:lpstr>FINANCE</vt:lpstr>
      <vt:lpstr>TRACTION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jaydeep b</cp:lastModifiedBy>
  <dcterms:created xsi:type="dcterms:W3CDTF">2026-05-23T13:09:03Z</dcterms:created>
  <dcterms:modified xsi:type="dcterms:W3CDTF">2026-05-24T06:48:30Z</dcterms:modified>
</cp:coreProperties>
</file>