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drawings/drawing5.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 LATITUDE\Desktop\Dashboards\"/>
    </mc:Choice>
  </mc:AlternateContent>
  <xr:revisionPtr revIDLastSave="0" documentId="8_{82F2BB5B-6D90-47BA-B257-845717F4A892}" xr6:coauthVersionLast="47" xr6:coauthVersionMax="47" xr10:uidLastSave="{00000000-0000-0000-0000-000000000000}"/>
  <bookViews>
    <workbookView xWindow="-108" yWindow="-108" windowWidth="23256" windowHeight="12576" activeTab="4" xr2:uid="{00000000-000D-0000-FFFF-FFFF00000000}"/>
  </bookViews>
  <sheets>
    <sheet name="Electric Service Data" sheetId="1" r:id="rId1"/>
    <sheet name="Table" sheetId="3" r:id="rId2"/>
    <sheet name="Overview " sheetId="4" r:id="rId3"/>
    <sheet name="Employee" sheetId="7" r:id="rId4"/>
    <sheet name="Profit" sheetId="6" r:id="rId5"/>
  </sheets>
  <definedNames>
    <definedName name="Slicer_Months__Date">#N/A</definedName>
    <definedName name="Slicer_Status">#N/A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01" i="1" l="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C242" i="3"/>
  <c r="C225" i="3"/>
  <c r="C209" i="3"/>
  <c r="C140" i="3"/>
  <c r="C110" i="3"/>
  <c r="D49" i="3"/>
  <c r="C33" i="3"/>
  <c r="C16"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<sst xmlns="http://schemas.openxmlformats.org/spreadsheetml/2006/main" count="9274" uniqueCount="1385">
  <si>
    <t>Customer ID</t>
  </si>
  <si>
    <t>Customer Name</t>
  </si>
  <si>
    <t>City</t>
  </si>
  <si>
    <t>Age</t>
  </si>
  <si>
    <t>Service Type</t>
  </si>
  <si>
    <t>Reason</t>
  </si>
  <si>
    <t>Employee Name</t>
  </si>
  <si>
    <t>Fees</t>
  </si>
  <si>
    <t>Spend</t>
  </si>
  <si>
    <t>Profit</t>
  </si>
  <si>
    <t>Payment Type</t>
  </si>
  <si>
    <t>Status</t>
  </si>
  <si>
    <t>Days to Complete</t>
  </si>
  <si>
    <t>Review</t>
  </si>
  <si>
    <t>Date</t>
  </si>
  <si>
    <t>Rating Out of 5</t>
  </si>
  <si>
    <t>ELEC0001</t>
  </si>
  <si>
    <t>Rohan Sharma</t>
  </si>
  <si>
    <t>Junagadh</t>
  </si>
  <si>
    <t>Meter Installation</t>
  </si>
  <si>
    <t>New Connection</t>
  </si>
  <si>
    <t>Amit Sharma</t>
  </si>
  <si>
    <t>Cash</t>
  </si>
  <si>
    <t>Completed</t>
  </si>
  <si>
    <t>Excellent service</t>
  </si>
  <si>
    <t>ELEC0002</t>
  </si>
  <si>
    <t>Priya Joshi</t>
  </si>
  <si>
    <t>Jaipur</t>
  </si>
  <si>
    <t>Wiring Repair</t>
  </si>
  <si>
    <t>Equipment Upgrade</t>
  </si>
  <si>
    <t>Vikas Singh</t>
  </si>
  <si>
    <t>Net Banking</t>
  </si>
  <si>
    <t>Cancelled</t>
  </si>
  <si>
    <t>Professional technician</t>
  </si>
  <si>
    <t>ELEC0003</t>
  </si>
  <si>
    <t>Pooja Mistry</t>
  </si>
  <si>
    <t>Ahmedabad</t>
  </si>
  <si>
    <t>Solar Panel Service</t>
  </si>
  <si>
    <t>Fuse Problem</t>
  </si>
  <si>
    <t>Suresh Rao</t>
  </si>
  <si>
    <t>Service cancelled</t>
  </si>
  <si>
    <t>ELEC0004</t>
  </si>
  <si>
    <t>Jay Patel</t>
  </si>
  <si>
    <t>Bhavnagar</t>
  </si>
  <si>
    <t>Home Automation</t>
  </si>
  <si>
    <t>Voltage Issue</t>
  </si>
  <si>
    <t>Rajesh Patel</t>
  </si>
  <si>
    <t>Pending</t>
  </si>
  <si>
    <t>Issue resolved perfectly</t>
  </si>
  <si>
    <t>ELEC0005</t>
  </si>
  <si>
    <t>Neha Rao</t>
  </si>
  <si>
    <t>Indore</t>
  </si>
  <si>
    <t>Maintenance</t>
  </si>
  <si>
    <t>Very quick response</t>
  </si>
  <si>
    <t>ELEC0006</t>
  </si>
  <si>
    <t>Jay Mehta</t>
  </si>
  <si>
    <t>Pune</t>
  </si>
  <si>
    <t>Switchboard Repair</t>
  </si>
  <si>
    <t>Nilesh Shah</t>
  </si>
  <si>
    <t>UPI</t>
  </si>
  <si>
    <t>ELEC0007</t>
  </si>
  <si>
    <t>Nidhi Shah</t>
  </si>
  <si>
    <t>Vadodara</t>
  </si>
  <si>
    <t>Lighting Installation</t>
  </si>
  <si>
    <t>Routine Service</t>
  </si>
  <si>
    <t>ELEC0008</t>
  </si>
  <si>
    <t>Anjali Singh</t>
  </si>
  <si>
    <t>Electrical Inspection</t>
  </si>
  <si>
    <t>Credit Card</t>
  </si>
  <si>
    <t>Highly recommended</t>
  </si>
  <si>
    <t>ELEC0009</t>
  </si>
  <si>
    <t>Karan Joshi</t>
  </si>
  <si>
    <t>Power Backup Setup</t>
  </si>
  <si>
    <t>Ravi Verma</t>
  </si>
  <si>
    <t>Average experience</t>
  </si>
  <si>
    <t>ELEC0010</t>
  </si>
  <si>
    <t>Vivaan Rao</t>
  </si>
  <si>
    <t>Surat</t>
  </si>
  <si>
    <t>Fan Repair</t>
  </si>
  <si>
    <t>Harsh Desai</t>
  </si>
  <si>
    <t>ELEC0011</t>
  </si>
  <si>
    <t>Aarav Pandya</t>
  </si>
  <si>
    <t>Inverter Repair</t>
  </si>
  <si>
    <t>ELEC0012</t>
  </si>
  <si>
    <t>Rahul Kapoor</t>
  </si>
  <si>
    <t>ELEC0013</t>
  </si>
  <si>
    <t>Amit Gupta</t>
  </si>
  <si>
    <t>AC Installation</t>
  </si>
  <si>
    <t>Debit Card</t>
  </si>
  <si>
    <t>ELEC0014</t>
  </si>
  <si>
    <t>Aditya Mistry</t>
  </si>
  <si>
    <t>Emergency Repair</t>
  </si>
  <si>
    <t>Manoj Gupta</t>
  </si>
  <si>
    <t>ELEC0015</t>
  </si>
  <si>
    <t>Priya Shah</t>
  </si>
  <si>
    <t>Good support</t>
  </si>
  <si>
    <t>ELEC0016</t>
  </si>
  <si>
    <t>Nidhi Joshi</t>
  </si>
  <si>
    <t>Power Failure</t>
  </si>
  <si>
    <t>ELEC0017</t>
  </si>
  <si>
    <t>Sneha Mehta</t>
  </si>
  <si>
    <t>ELEC0018</t>
  </si>
  <si>
    <t>Rohan Pandya</t>
  </si>
  <si>
    <t>Mumbai</t>
  </si>
  <si>
    <t>Deepak Joshi</t>
  </si>
  <si>
    <t>ELEC0019</t>
  </si>
  <si>
    <t>Anjali Mistry</t>
  </si>
  <si>
    <t>ELEC0020</t>
  </si>
  <si>
    <t>Krishna Mistry</t>
  </si>
  <si>
    <t>ELEC0021</t>
  </si>
  <si>
    <t>Vivaan Verma</t>
  </si>
  <si>
    <t>ELEC0022</t>
  </si>
  <si>
    <t>ELEC0023</t>
  </si>
  <si>
    <t>Rahul Sharma</t>
  </si>
  <si>
    <t>ELEC0024</t>
  </si>
  <si>
    <t>Sneha Trivedi</t>
  </si>
  <si>
    <t>Affordable pricing</t>
  </si>
  <si>
    <t>ELEC0025</t>
  </si>
  <si>
    <t>Work completed on time</t>
  </si>
  <si>
    <t>ELEC0026</t>
  </si>
  <si>
    <t>ELEC0027</t>
  </si>
  <si>
    <t>Amit Mistry</t>
  </si>
  <si>
    <t>ELEC0028</t>
  </si>
  <si>
    <t>Neha Trivedi</t>
  </si>
  <si>
    <t>ELEC0029</t>
  </si>
  <si>
    <t>Pooja Sharma</t>
  </si>
  <si>
    <t>Kunal Mehta</t>
  </si>
  <si>
    <t>ELEC0030</t>
  </si>
  <si>
    <t>Aditya Chauhan</t>
  </si>
  <si>
    <t>Rajkot</t>
  </si>
  <si>
    <t>ELEC0031</t>
  </si>
  <si>
    <t>Simran Joshi</t>
  </si>
  <si>
    <t>ELEC0032</t>
  </si>
  <si>
    <t>Yash Sharma</t>
  </si>
  <si>
    <t>ELEC0033</t>
  </si>
  <si>
    <t>Krishna Gupta</t>
  </si>
  <si>
    <t>Short Circuit</t>
  </si>
  <si>
    <t>ELEC0034</t>
  </si>
  <si>
    <t>Jay Pandya</t>
  </si>
  <si>
    <t>ELEC0035</t>
  </si>
  <si>
    <t>Amit Singh</t>
  </si>
  <si>
    <t>ELEC0036</t>
  </si>
  <si>
    <t>ELEC0037</t>
  </si>
  <si>
    <t>Neha Kapoor</t>
  </si>
  <si>
    <t>ELEC0038</t>
  </si>
  <si>
    <t>Rahul Trivedi</t>
  </si>
  <si>
    <t>ELEC0039</t>
  </si>
  <si>
    <t>Krishna Desai</t>
  </si>
  <si>
    <t>ELEC0040</t>
  </si>
  <si>
    <t>Anjali Patel</t>
  </si>
  <si>
    <t>ELEC0041</t>
  </si>
  <si>
    <t>Yash Chauhan</t>
  </si>
  <si>
    <t>ELEC0042</t>
  </si>
  <si>
    <t>Rahul Mistry</t>
  </si>
  <si>
    <t>ELEC0043</t>
  </si>
  <si>
    <t>ELEC0044</t>
  </si>
  <si>
    <t>ELEC0045</t>
  </si>
  <si>
    <t>Karan Verma</t>
  </si>
  <si>
    <t>ELEC0046</t>
  </si>
  <si>
    <t>Yash Singh</t>
  </si>
  <si>
    <t>ELEC0047</t>
  </si>
  <si>
    <t>ELEC0048</t>
  </si>
  <si>
    <t>Rahul Rao</t>
  </si>
  <si>
    <t>ELEC0049</t>
  </si>
  <si>
    <t>Karan Rao</t>
  </si>
  <si>
    <t>ELEC0050</t>
  </si>
  <si>
    <t>Pooja Rao</t>
  </si>
  <si>
    <t>ELEC0051</t>
  </si>
  <si>
    <t>Priya Rao</t>
  </si>
  <si>
    <t>ELEC0052</t>
  </si>
  <si>
    <t>Simran Verma</t>
  </si>
  <si>
    <t>ELEC0053</t>
  </si>
  <si>
    <t>Jay Shah</t>
  </si>
  <si>
    <t>ELEC0054</t>
  </si>
  <si>
    <t>Vivaan Gupta</t>
  </si>
  <si>
    <t>ELEC0055</t>
  </si>
  <si>
    <t>Simran Pandya</t>
  </si>
  <si>
    <t>ELEC0056</t>
  </si>
  <si>
    <t>Yash Rao</t>
  </si>
  <si>
    <t>ELEC0057</t>
  </si>
  <si>
    <t>Anjali Sharma</t>
  </si>
  <si>
    <t>ELEC0058</t>
  </si>
  <si>
    <t>Nidhi Sharma</t>
  </si>
  <si>
    <t>ELEC0059</t>
  </si>
  <si>
    <t>ELEC0060</t>
  </si>
  <si>
    <t>Isha Gupta</t>
  </si>
  <si>
    <t>ELEC0061</t>
  </si>
  <si>
    <t>Nidhi Mistry</t>
  </si>
  <si>
    <t>ELEC0062</t>
  </si>
  <si>
    <t>Rohan Rao</t>
  </si>
  <si>
    <t>ELEC0063</t>
  </si>
  <si>
    <t>Nidhi Mehta</t>
  </si>
  <si>
    <t>ELEC0064</t>
  </si>
  <si>
    <t>Satisfied with work</t>
  </si>
  <si>
    <t>ELEC0065</t>
  </si>
  <si>
    <t>Neha Patel</t>
  </si>
  <si>
    <t>ELEC0066</t>
  </si>
  <si>
    <t>ELEC0067</t>
  </si>
  <si>
    <t>Pooja Pandya</t>
  </si>
  <si>
    <t>ELEC0068</t>
  </si>
  <si>
    <t>Vivaan Joshi</t>
  </si>
  <si>
    <t>ELEC0069</t>
  </si>
  <si>
    <t>ELEC0070</t>
  </si>
  <si>
    <t>Rohan Desai</t>
  </si>
  <si>
    <t>ELEC0071</t>
  </si>
  <si>
    <t>Amit Mehta</t>
  </si>
  <si>
    <t>ELEC0072</t>
  </si>
  <si>
    <t>Isha Pandya</t>
  </si>
  <si>
    <t>ELEC0073</t>
  </si>
  <si>
    <t>Anjali Gupta</t>
  </si>
  <si>
    <t>ELEC0074</t>
  </si>
  <si>
    <t>Aditya Gupta</t>
  </si>
  <si>
    <t>ELEC0075</t>
  </si>
  <si>
    <t>Priya Kapoor</t>
  </si>
  <si>
    <t>ELEC0076</t>
  </si>
  <si>
    <t>ELEC0077</t>
  </si>
  <si>
    <t>Karan Desai</t>
  </si>
  <si>
    <t>ELEC0078</t>
  </si>
  <si>
    <t>Isha Shah</t>
  </si>
  <si>
    <t>ELEC0079</t>
  </si>
  <si>
    <t>Riya Pandya</t>
  </si>
  <si>
    <t>ELEC0080</t>
  </si>
  <si>
    <t>ELEC0081</t>
  </si>
  <si>
    <t>Meera Sharma</t>
  </si>
  <si>
    <t>ELEC0082</t>
  </si>
  <si>
    <t>Karan Patel</t>
  </si>
  <si>
    <t>ELEC0083</t>
  </si>
  <si>
    <t>Anjali Pandya</t>
  </si>
  <si>
    <t>ELEC0084</t>
  </si>
  <si>
    <t>Rohan Mistry</t>
  </si>
  <si>
    <t>ELEC0085</t>
  </si>
  <si>
    <t>ELEC0086</t>
  </si>
  <si>
    <t>Meera Chauhan</t>
  </si>
  <si>
    <t>ELEC0087</t>
  </si>
  <si>
    <t>Rahul Patel</t>
  </si>
  <si>
    <t>ELEC0088</t>
  </si>
  <si>
    <t>Rohan Joshi</t>
  </si>
  <si>
    <t>ELEC0089</t>
  </si>
  <si>
    <t>Riya Rao</t>
  </si>
  <si>
    <t>ELEC0090</t>
  </si>
  <si>
    <t>Rohan Chauhan</t>
  </si>
  <si>
    <t>ELEC0091</t>
  </si>
  <si>
    <t>Priya Verma</t>
  </si>
  <si>
    <t>ELEC0092</t>
  </si>
  <si>
    <t>ELEC0093</t>
  </si>
  <si>
    <t>ELEC0094</t>
  </si>
  <si>
    <t>Sneha Pandya</t>
  </si>
  <si>
    <t>ELEC0095</t>
  </si>
  <si>
    <t>ELEC0096</t>
  </si>
  <si>
    <t>Meera Trivedi</t>
  </si>
  <si>
    <t>ELEC0097</t>
  </si>
  <si>
    <t>Nidhi Chauhan</t>
  </si>
  <si>
    <t>ELEC0098</t>
  </si>
  <si>
    <t>Anjali Joshi</t>
  </si>
  <si>
    <t>ELEC0099</t>
  </si>
  <si>
    <t>ELEC0100</t>
  </si>
  <si>
    <t>ELEC0101</t>
  </si>
  <si>
    <t>Simran Kapoor</t>
  </si>
  <si>
    <t>ELEC0102</t>
  </si>
  <si>
    <t>Aarav Sharma</t>
  </si>
  <si>
    <t>ELEC0103</t>
  </si>
  <si>
    <t>Aditya Verma</t>
  </si>
  <si>
    <t>ELEC0104</t>
  </si>
  <si>
    <t>ELEC0105</t>
  </si>
  <si>
    <t>Rohan Gupta</t>
  </si>
  <si>
    <t>ELEC0106</t>
  </si>
  <si>
    <t>Rohan Shah</t>
  </si>
  <si>
    <t>ELEC0107</t>
  </si>
  <si>
    <t>Vivaan Mehta</t>
  </si>
  <si>
    <t>ELEC0108</t>
  </si>
  <si>
    <t>Nidhi Gupta</t>
  </si>
  <si>
    <t>ELEC0109</t>
  </si>
  <si>
    <t>ELEC0110</t>
  </si>
  <si>
    <t>ELEC0111</t>
  </si>
  <si>
    <t>Amit Patel</t>
  </si>
  <si>
    <t>ELEC0112</t>
  </si>
  <si>
    <t>Krishna Singh</t>
  </si>
  <si>
    <t>ELEC0113</t>
  </si>
  <si>
    <t>Neha Sharma</t>
  </si>
  <si>
    <t>ELEC0114</t>
  </si>
  <si>
    <t>ELEC0115</t>
  </si>
  <si>
    <t>Aditya Singh</t>
  </si>
  <si>
    <t>ELEC0116</t>
  </si>
  <si>
    <t>Jay Sharma</t>
  </si>
  <si>
    <t>ELEC0117</t>
  </si>
  <si>
    <t>Isha Patel</t>
  </si>
  <si>
    <t>ELEC0118</t>
  </si>
  <si>
    <t>Priya Chauhan</t>
  </si>
  <si>
    <t>ELEC0119</t>
  </si>
  <si>
    <t>ELEC0120</t>
  </si>
  <si>
    <t>ELEC0121</t>
  </si>
  <si>
    <t>Vivaan Sharma</t>
  </si>
  <si>
    <t>ELEC0122</t>
  </si>
  <si>
    <t>ELEC0123</t>
  </si>
  <si>
    <t>ELEC0124</t>
  </si>
  <si>
    <t>ELEC0125</t>
  </si>
  <si>
    <t>Karan Gupta</t>
  </si>
  <si>
    <t>ELEC0126</t>
  </si>
  <si>
    <t>ELEC0127</t>
  </si>
  <si>
    <t>Meera Joshi</t>
  </si>
  <si>
    <t>ELEC0128</t>
  </si>
  <si>
    <t>Amit Verma</t>
  </si>
  <si>
    <t>ELEC0129</t>
  </si>
  <si>
    <t>ELEC0130</t>
  </si>
  <si>
    <t>Riya Desai</t>
  </si>
  <si>
    <t>ELEC0131</t>
  </si>
  <si>
    <t>Vivaan Pandya</t>
  </si>
  <si>
    <t>ELEC0132</t>
  </si>
  <si>
    <t>ELEC0133</t>
  </si>
  <si>
    <t>ELEC0134</t>
  </si>
  <si>
    <t>Meera Desai</t>
  </si>
  <si>
    <t>ELEC0135</t>
  </si>
  <si>
    <t>ELEC0136</t>
  </si>
  <si>
    <t>ELEC0137</t>
  </si>
  <si>
    <t>Riya Singh</t>
  </si>
  <si>
    <t>ELEC0138</t>
  </si>
  <si>
    <t>Jay Rao</t>
  </si>
  <si>
    <t>ELEC0139</t>
  </si>
  <si>
    <t>Riya Shah</t>
  </si>
  <si>
    <t>ELEC0140</t>
  </si>
  <si>
    <t>ELEC0141</t>
  </si>
  <si>
    <t>Isha Singh</t>
  </si>
  <si>
    <t>ELEC0142</t>
  </si>
  <si>
    <t>Pooja Patel</t>
  </si>
  <si>
    <t>ELEC0143</t>
  </si>
  <si>
    <t>Aditya Shah</t>
  </si>
  <si>
    <t>ELEC0144</t>
  </si>
  <si>
    <t>Neha Desai</t>
  </si>
  <si>
    <t>ELEC0145</t>
  </si>
  <si>
    <t>ELEC0146</t>
  </si>
  <si>
    <t>ELEC0147</t>
  </si>
  <si>
    <t>ELEC0148</t>
  </si>
  <si>
    <t>Meera Kapoor</t>
  </si>
  <si>
    <t>ELEC0149</t>
  </si>
  <si>
    <t>Priya Patel</t>
  </si>
  <si>
    <t>ELEC0150</t>
  </si>
  <si>
    <t>Aditya Kapoor</t>
  </si>
  <si>
    <t>ELEC0151</t>
  </si>
  <si>
    <t>Aarav Gupta</t>
  </si>
  <si>
    <t>ELEC0152</t>
  </si>
  <si>
    <t>ELEC0153</t>
  </si>
  <si>
    <t>Nidhi Pandya</t>
  </si>
  <si>
    <t>ELEC0154</t>
  </si>
  <si>
    <t>Sneha Gupta</t>
  </si>
  <si>
    <t>ELEC0155</t>
  </si>
  <si>
    <t>ELEC0156</t>
  </si>
  <si>
    <t>Aarav Patel</t>
  </si>
  <si>
    <t>ELEC0157</t>
  </si>
  <si>
    <t>Neha Pandya</t>
  </si>
  <si>
    <t>ELEC0158</t>
  </si>
  <si>
    <t>Krishna Joshi</t>
  </si>
  <si>
    <t>ELEC0159</t>
  </si>
  <si>
    <t>Nidhi Patel</t>
  </si>
  <si>
    <t>ELEC0160</t>
  </si>
  <si>
    <t>Yash Joshi</t>
  </si>
  <si>
    <t>ELEC0161</t>
  </si>
  <si>
    <t>ELEC0162</t>
  </si>
  <si>
    <t>Meera Mehta</t>
  </si>
  <si>
    <t>ELEC0163</t>
  </si>
  <si>
    <t>Riya Kapoor</t>
  </si>
  <si>
    <t>ELEC0164</t>
  </si>
  <si>
    <t>Rohan Verma</t>
  </si>
  <si>
    <t>ELEC0165</t>
  </si>
  <si>
    <t>ELEC0166</t>
  </si>
  <si>
    <t>Anjali Verma</t>
  </si>
  <si>
    <t>ELEC0167</t>
  </si>
  <si>
    <t>ELEC0168</t>
  </si>
  <si>
    <t>Riya Joshi</t>
  </si>
  <si>
    <t>ELEC0169</t>
  </si>
  <si>
    <t>Vivaan Trivedi</t>
  </si>
  <si>
    <t>ELEC0170</t>
  </si>
  <si>
    <t>Meera Rao</t>
  </si>
  <si>
    <t>ELEC0171</t>
  </si>
  <si>
    <t>ELEC0172</t>
  </si>
  <si>
    <t>ELEC0173</t>
  </si>
  <si>
    <t>Simran Mistry</t>
  </si>
  <si>
    <t>ELEC0174</t>
  </si>
  <si>
    <t>ELEC0175</t>
  </si>
  <si>
    <t>Vivaan Patel</t>
  </si>
  <si>
    <t>ELEC0176</t>
  </si>
  <si>
    <t>Meera Pandya</t>
  </si>
  <si>
    <t>ELEC0177</t>
  </si>
  <si>
    <t>ELEC0178</t>
  </si>
  <si>
    <t>ELEC0179</t>
  </si>
  <si>
    <t>ELEC0180</t>
  </si>
  <si>
    <t>ELEC0181</t>
  </si>
  <si>
    <t>Aarav Mehta</t>
  </si>
  <si>
    <t>ELEC0182</t>
  </si>
  <si>
    <t>Sneha Sharma</t>
  </si>
  <si>
    <t>ELEC0183</t>
  </si>
  <si>
    <t>Neha Gupta</t>
  </si>
  <si>
    <t>ELEC0184</t>
  </si>
  <si>
    <t>Meera Mistry</t>
  </si>
  <si>
    <t>ELEC0185</t>
  </si>
  <si>
    <t>ELEC0186</t>
  </si>
  <si>
    <t>ELEC0187</t>
  </si>
  <si>
    <t>Neha Shah</t>
  </si>
  <si>
    <t>ELEC0188</t>
  </si>
  <si>
    <t>ELEC0189</t>
  </si>
  <si>
    <t>Krishna Rao</t>
  </si>
  <si>
    <t>ELEC0190</t>
  </si>
  <si>
    <t>Sneha Rao</t>
  </si>
  <si>
    <t>ELEC0191</t>
  </si>
  <si>
    <t>Karan Mehta</t>
  </si>
  <si>
    <t>ELEC0192</t>
  </si>
  <si>
    <t>Krishna Trivedi</t>
  </si>
  <si>
    <t>ELEC0193</t>
  </si>
  <si>
    <t>Neha Joshi</t>
  </si>
  <si>
    <t>ELEC0194</t>
  </si>
  <si>
    <t>Yash Mehta</t>
  </si>
  <si>
    <t>ELEC0195</t>
  </si>
  <si>
    <t>ELEC0196</t>
  </si>
  <si>
    <t>Krishna Chauhan</t>
  </si>
  <si>
    <t>ELEC0197</t>
  </si>
  <si>
    <t>ELEC0198</t>
  </si>
  <si>
    <t>ELEC0199</t>
  </si>
  <si>
    <t>Amit Shah</t>
  </si>
  <si>
    <t>ELEC0200</t>
  </si>
  <si>
    <t>ELEC0201</t>
  </si>
  <si>
    <t>ELEC0202</t>
  </si>
  <si>
    <t>ELEC0203</t>
  </si>
  <si>
    <t>ELEC0204</t>
  </si>
  <si>
    <t>Aarav Joshi</t>
  </si>
  <si>
    <t>ELEC0205</t>
  </si>
  <si>
    <t>ELEC0206</t>
  </si>
  <si>
    <t>ELEC0207</t>
  </si>
  <si>
    <t>Simran Singh</t>
  </si>
  <si>
    <t>ELEC0208</t>
  </si>
  <si>
    <t>Jay Singh</t>
  </si>
  <si>
    <t>ELEC0209</t>
  </si>
  <si>
    <t>Isha Chauhan</t>
  </si>
  <si>
    <t>ELEC0210</t>
  </si>
  <si>
    <t>ELEC0211</t>
  </si>
  <si>
    <t>ELEC0212</t>
  </si>
  <si>
    <t>ELEC0213</t>
  </si>
  <si>
    <t>ELEC0214</t>
  </si>
  <si>
    <t>Neha Mistry</t>
  </si>
  <si>
    <t>ELEC0215</t>
  </si>
  <si>
    <t>Aditya Sharma</t>
  </si>
  <si>
    <t>ELEC0216</t>
  </si>
  <si>
    <t>Yash Patel</t>
  </si>
  <si>
    <t>ELEC0217</t>
  </si>
  <si>
    <t>ELEC0218</t>
  </si>
  <si>
    <t>ELEC0219</t>
  </si>
  <si>
    <t>Priya Desai</t>
  </si>
  <si>
    <t>ELEC0220</t>
  </si>
  <si>
    <t>ELEC0221</t>
  </si>
  <si>
    <t>ELEC0222</t>
  </si>
  <si>
    <t>Rahul Pandya</t>
  </si>
  <si>
    <t>ELEC0223</t>
  </si>
  <si>
    <t>Karan Pandya</t>
  </si>
  <si>
    <t>ELEC0224</t>
  </si>
  <si>
    <t>Nidhi Kapoor</t>
  </si>
  <si>
    <t>ELEC0225</t>
  </si>
  <si>
    <t>ELEC0226</t>
  </si>
  <si>
    <t>Nidhi Trivedi</t>
  </si>
  <si>
    <t>ELEC0227</t>
  </si>
  <si>
    <t>Meera Patel</t>
  </si>
  <si>
    <t>ELEC0228</t>
  </si>
  <si>
    <t>Simran Desai</t>
  </si>
  <si>
    <t>ELEC0229</t>
  </si>
  <si>
    <t>Rahul Chauhan</t>
  </si>
  <si>
    <t>ELEC0230</t>
  </si>
  <si>
    <t>ELEC0231</t>
  </si>
  <si>
    <t>Aditya Trivedi</t>
  </si>
  <si>
    <t>ELEC0232</t>
  </si>
  <si>
    <t>ELEC0233</t>
  </si>
  <si>
    <t>Aditya Pandya</t>
  </si>
  <si>
    <t>ELEC0234</t>
  </si>
  <si>
    <t>ELEC0235</t>
  </si>
  <si>
    <t>ELEC0236</t>
  </si>
  <si>
    <t>Jay Kapoor</t>
  </si>
  <si>
    <t>ELEC0237</t>
  </si>
  <si>
    <t>ELEC0238</t>
  </si>
  <si>
    <t>Rohan Trivedi</t>
  </si>
  <si>
    <t>ELEC0239</t>
  </si>
  <si>
    <t>ELEC0240</t>
  </si>
  <si>
    <t>Simran Rao</t>
  </si>
  <si>
    <t>ELEC0241</t>
  </si>
  <si>
    <t>ELEC0242</t>
  </si>
  <si>
    <t>Karan Mistry</t>
  </si>
  <si>
    <t>ELEC0243</t>
  </si>
  <si>
    <t>Meera Verma</t>
  </si>
  <si>
    <t>ELEC0244</t>
  </si>
  <si>
    <t>Pooja Shah</t>
  </si>
  <si>
    <t>ELEC0245</t>
  </si>
  <si>
    <t>Jay Joshi</t>
  </si>
  <si>
    <t>ELEC0246</t>
  </si>
  <si>
    <t>ELEC0247</t>
  </si>
  <si>
    <t>Neha Verma</t>
  </si>
  <si>
    <t>ELEC0248</t>
  </si>
  <si>
    <t>ELEC0249</t>
  </si>
  <si>
    <t>ELEC0250</t>
  </si>
  <si>
    <t>Simran Chauhan</t>
  </si>
  <si>
    <t>ELEC0251</t>
  </si>
  <si>
    <t>Priya Pandya</t>
  </si>
  <si>
    <t>ELEC0252</t>
  </si>
  <si>
    <t>Yash Gupta</t>
  </si>
  <si>
    <t>ELEC0253</t>
  </si>
  <si>
    <t>ELEC0254</t>
  </si>
  <si>
    <t>ELEC0255</t>
  </si>
  <si>
    <t>ELEC0256</t>
  </si>
  <si>
    <t>ELEC0257</t>
  </si>
  <si>
    <t>ELEC0258</t>
  </si>
  <si>
    <t>ELEC0259</t>
  </si>
  <si>
    <t>Karan Shah</t>
  </si>
  <si>
    <t>ELEC0260</t>
  </si>
  <si>
    <t>ELEC0261</t>
  </si>
  <si>
    <t>Vivaan Desai</t>
  </si>
  <si>
    <t>ELEC0262</t>
  </si>
  <si>
    <t>Isha Sharma</t>
  </si>
  <si>
    <t>ELEC0263</t>
  </si>
  <si>
    <t>ELEC0264</t>
  </si>
  <si>
    <t>ELEC0265</t>
  </si>
  <si>
    <t>Riya Mistry</t>
  </si>
  <si>
    <t>ELEC0266</t>
  </si>
  <si>
    <t>Karan Sharma</t>
  </si>
  <si>
    <t>ELEC0267</t>
  </si>
  <si>
    <t>ELEC0268</t>
  </si>
  <si>
    <t>Yash Shah</t>
  </si>
  <si>
    <t>ELEC0269</t>
  </si>
  <si>
    <t>Vivaan Singh</t>
  </si>
  <si>
    <t>ELEC0270</t>
  </si>
  <si>
    <t>ELEC0271</t>
  </si>
  <si>
    <t>Krishna Mehta</t>
  </si>
  <si>
    <t>ELEC0272</t>
  </si>
  <si>
    <t>ELEC0273</t>
  </si>
  <si>
    <t>Krishna Kapoor</t>
  </si>
  <si>
    <t>ELEC0274</t>
  </si>
  <si>
    <t>Jay Gupta</t>
  </si>
  <si>
    <t>ELEC0275</t>
  </si>
  <si>
    <t>ELEC0276</t>
  </si>
  <si>
    <t>ELEC0277</t>
  </si>
  <si>
    <t>Nidhi Desai</t>
  </si>
  <si>
    <t>ELEC0278</t>
  </si>
  <si>
    <t>Aarav Singh</t>
  </si>
  <si>
    <t>ELEC0279</t>
  </si>
  <si>
    <t>Amit Joshi</t>
  </si>
  <si>
    <t>ELEC0280</t>
  </si>
  <si>
    <t>ELEC0281</t>
  </si>
  <si>
    <t>Riya Sharma</t>
  </si>
  <si>
    <t>ELEC0282</t>
  </si>
  <si>
    <t>ELEC0283</t>
  </si>
  <si>
    <t>ELEC0284</t>
  </si>
  <si>
    <t>Simran Shah</t>
  </si>
  <si>
    <t>ELEC0285</t>
  </si>
  <si>
    <t>ELEC0286</t>
  </si>
  <si>
    <t>ELEC0287</t>
  </si>
  <si>
    <t>ELEC0288</t>
  </si>
  <si>
    <t>Krishna Sharma</t>
  </si>
  <si>
    <t>ELEC0289</t>
  </si>
  <si>
    <t>ELEC0290</t>
  </si>
  <si>
    <t>Rahul Desai</t>
  </si>
  <si>
    <t>ELEC0291</t>
  </si>
  <si>
    <t>ELEC0292</t>
  </si>
  <si>
    <t>ELEC0293</t>
  </si>
  <si>
    <t>ELEC0294</t>
  </si>
  <si>
    <t>Amit Desai</t>
  </si>
  <si>
    <t>ELEC0295</t>
  </si>
  <si>
    <t>Jay Desai</t>
  </si>
  <si>
    <t>ELEC0296</t>
  </si>
  <si>
    <t>ELEC0297</t>
  </si>
  <si>
    <t>Nidhi Singh</t>
  </si>
  <si>
    <t>ELEC0298</t>
  </si>
  <si>
    <t>Sneha Desai</t>
  </si>
  <si>
    <t>ELEC0299</t>
  </si>
  <si>
    <t>Krishna Verma</t>
  </si>
  <si>
    <t>ELEC0300</t>
  </si>
  <si>
    <t>ELEC0301</t>
  </si>
  <si>
    <t>Amit Trivedi</t>
  </si>
  <si>
    <t>ELEC0302</t>
  </si>
  <si>
    <t>ELEC0303</t>
  </si>
  <si>
    <t>Pooja Singh</t>
  </si>
  <si>
    <t>ELEC0304</t>
  </si>
  <si>
    <t>ELEC0305</t>
  </si>
  <si>
    <t>Yash Trivedi</t>
  </si>
  <si>
    <t>ELEC0306</t>
  </si>
  <si>
    <t>ELEC0307</t>
  </si>
  <si>
    <t>ELEC0308</t>
  </si>
  <si>
    <t>ELEC0309</t>
  </si>
  <si>
    <t>ELEC0310</t>
  </si>
  <si>
    <t>ELEC0311</t>
  </si>
  <si>
    <t>ELEC0312</t>
  </si>
  <si>
    <t>ELEC0313</t>
  </si>
  <si>
    <t>ELEC0314</t>
  </si>
  <si>
    <t>ELEC0315</t>
  </si>
  <si>
    <t>Priya Gupta</t>
  </si>
  <si>
    <t>ELEC0316</t>
  </si>
  <si>
    <t>ELEC0317</t>
  </si>
  <si>
    <t>Simran Mehta</t>
  </si>
  <si>
    <t>ELEC0318</t>
  </si>
  <si>
    <t>ELEC0319</t>
  </si>
  <si>
    <t>ELEC0320</t>
  </si>
  <si>
    <t>Priya Mistry</t>
  </si>
  <si>
    <t>ELEC0321</t>
  </si>
  <si>
    <t>ELEC0322</t>
  </si>
  <si>
    <t>Sneha Shah</t>
  </si>
  <si>
    <t>ELEC0323</t>
  </si>
  <si>
    <t>Krishna Shah</t>
  </si>
  <si>
    <t>ELEC0324</t>
  </si>
  <si>
    <t>ELEC0325</t>
  </si>
  <si>
    <t>Jay Chauhan</t>
  </si>
  <si>
    <t>ELEC0326</t>
  </si>
  <si>
    <t>Yash Desai</t>
  </si>
  <si>
    <t>ELEC0327</t>
  </si>
  <si>
    <t>ELEC0328</t>
  </si>
  <si>
    <t>ELEC0329</t>
  </si>
  <si>
    <t>ELEC0330</t>
  </si>
  <si>
    <t>ELEC0331</t>
  </si>
  <si>
    <t>ELEC0332</t>
  </si>
  <si>
    <t>ELEC0333</t>
  </si>
  <si>
    <t>Yash Pandya</t>
  </si>
  <si>
    <t>ELEC0334</t>
  </si>
  <si>
    <t>ELEC0335</t>
  </si>
  <si>
    <t>ELEC0336</t>
  </si>
  <si>
    <t>Rohan Singh</t>
  </si>
  <si>
    <t>ELEC0337</t>
  </si>
  <si>
    <t>ELEC0338</t>
  </si>
  <si>
    <t>ELEC0339</t>
  </si>
  <si>
    <t>Meera Shah</t>
  </si>
  <si>
    <t>ELEC0340</t>
  </si>
  <si>
    <t>Isha Kapoor</t>
  </si>
  <si>
    <t>ELEC0341</t>
  </si>
  <si>
    <t>ELEC0342</t>
  </si>
  <si>
    <t>ELEC0343</t>
  </si>
  <si>
    <t>ELEC0344</t>
  </si>
  <si>
    <t>ELEC0345</t>
  </si>
  <si>
    <t>Rahul Shah</t>
  </si>
  <si>
    <t>ELEC0346</t>
  </si>
  <si>
    <t>ELEC0347</t>
  </si>
  <si>
    <t>Anjali Shah</t>
  </si>
  <si>
    <t>ELEC0348</t>
  </si>
  <si>
    <t>ELEC0349</t>
  </si>
  <si>
    <t>Neha Chauhan</t>
  </si>
  <si>
    <t>ELEC0350</t>
  </si>
  <si>
    <t>ELEC0351</t>
  </si>
  <si>
    <t>Nidhi Rao</t>
  </si>
  <si>
    <t>ELEC0352</t>
  </si>
  <si>
    <t>Anjali Kapoor</t>
  </si>
  <si>
    <t>ELEC0353</t>
  </si>
  <si>
    <t>ELEC0354</t>
  </si>
  <si>
    <t>Pooja Kapoor</t>
  </si>
  <si>
    <t>ELEC0355</t>
  </si>
  <si>
    <t>Anjali Trivedi</t>
  </si>
  <si>
    <t>ELEC0356</t>
  </si>
  <si>
    <t>ELEC0357</t>
  </si>
  <si>
    <t>ELEC0358</t>
  </si>
  <si>
    <t>Amit Chauhan</t>
  </si>
  <si>
    <t>ELEC0359</t>
  </si>
  <si>
    <t>ELEC0360</t>
  </si>
  <si>
    <t>ELEC0361</t>
  </si>
  <si>
    <t>ELEC0362</t>
  </si>
  <si>
    <t>ELEC0363</t>
  </si>
  <si>
    <t>ELEC0364</t>
  </si>
  <si>
    <t>ELEC0365</t>
  </si>
  <si>
    <t>ELEC0366</t>
  </si>
  <si>
    <t>Aditya Mehta</t>
  </si>
  <si>
    <t>ELEC0367</t>
  </si>
  <si>
    <t>ELEC0368</t>
  </si>
  <si>
    <t>Meera Gupta</t>
  </si>
  <si>
    <t>ELEC0369</t>
  </si>
  <si>
    <t>ELEC0370</t>
  </si>
  <si>
    <t>Sneha Mistry</t>
  </si>
  <si>
    <t>ELEC0371</t>
  </si>
  <si>
    <t>ELEC0372</t>
  </si>
  <si>
    <t>ELEC0373</t>
  </si>
  <si>
    <t>ELEC0374</t>
  </si>
  <si>
    <t>ELEC0375</t>
  </si>
  <si>
    <t>Riya Trivedi</t>
  </si>
  <si>
    <t>ELEC0376</t>
  </si>
  <si>
    <t>ELEC0377</t>
  </si>
  <si>
    <t>Pooja Trivedi</t>
  </si>
  <si>
    <t>ELEC0378</t>
  </si>
  <si>
    <t>ELEC0379</t>
  </si>
  <si>
    <t>ELEC0380</t>
  </si>
  <si>
    <t>Yash Mistry</t>
  </si>
  <si>
    <t>ELEC0381</t>
  </si>
  <si>
    <t>ELEC0382</t>
  </si>
  <si>
    <t>Jay Trivedi</t>
  </si>
  <si>
    <t>ELEC0383</t>
  </si>
  <si>
    <t>ELEC0384</t>
  </si>
  <si>
    <t>Aditya Joshi</t>
  </si>
  <si>
    <t>ELEC0385</t>
  </si>
  <si>
    <t>Karan Trivedi</t>
  </si>
  <si>
    <t>ELEC0386</t>
  </si>
  <si>
    <t>Amit Kapoor</t>
  </si>
  <si>
    <t>ELEC0387</t>
  </si>
  <si>
    <t>Simran Trivedi</t>
  </si>
  <si>
    <t>ELEC0388</t>
  </si>
  <si>
    <t>ELEC0389</t>
  </si>
  <si>
    <t>ELEC0390</t>
  </si>
  <si>
    <t>Priya Singh</t>
  </si>
  <si>
    <t>ELEC0391</t>
  </si>
  <si>
    <t>ELEC0392</t>
  </si>
  <si>
    <t>Rahul Singh</t>
  </si>
  <si>
    <t>ELEC0393</t>
  </si>
  <si>
    <t>Vivaan Shah</t>
  </si>
  <si>
    <t>ELEC0394</t>
  </si>
  <si>
    <t>ELEC0395</t>
  </si>
  <si>
    <t>ELEC0396</t>
  </si>
  <si>
    <t>ELEC0397</t>
  </si>
  <si>
    <t>ELEC0398</t>
  </si>
  <si>
    <t>ELEC0399</t>
  </si>
  <si>
    <t>ELEC0400</t>
  </si>
  <si>
    <t>ELEC0401</t>
  </si>
  <si>
    <t>ELEC0402</t>
  </si>
  <si>
    <t>ELEC0403</t>
  </si>
  <si>
    <t>ELEC0404</t>
  </si>
  <si>
    <t>ELEC0405</t>
  </si>
  <si>
    <t>ELEC0406</t>
  </si>
  <si>
    <t>ELEC0407</t>
  </si>
  <si>
    <t>ELEC0408</t>
  </si>
  <si>
    <t>ELEC0409</t>
  </si>
  <si>
    <t>ELEC0410</t>
  </si>
  <si>
    <t>ELEC0411</t>
  </si>
  <si>
    <t>ELEC0412</t>
  </si>
  <si>
    <t>Nidhi Verma</t>
  </si>
  <si>
    <t>ELEC0413</t>
  </si>
  <si>
    <t>Krishna Pandya</t>
  </si>
  <si>
    <t>ELEC0414</t>
  </si>
  <si>
    <t>ELEC0415</t>
  </si>
  <si>
    <t>ELEC0416</t>
  </si>
  <si>
    <t>ELEC0417</t>
  </si>
  <si>
    <t>ELEC0418</t>
  </si>
  <si>
    <t>ELEC0419</t>
  </si>
  <si>
    <t>ELEC0420</t>
  </si>
  <si>
    <t>ELEC0421</t>
  </si>
  <si>
    <t>ELEC0422</t>
  </si>
  <si>
    <t>Sneha Verma</t>
  </si>
  <si>
    <t>ELEC0423</t>
  </si>
  <si>
    <t>ELEC0424</t>
  </si>
  <si>
    <t>ELEC0425</t>
  </si>
  <si>
    <t>Neha Mehta</t>
  </si>
  <si>
    <t>ELEC0426</t>
  </si>
  <si>
    <t>ELEC0427</t>
  </si>
  <si>
    <t>ELEC0428</t>
  </si>
  <si>
    <t>Meera Singh</t>
  </si>
  <si>
    <t>ELEC0429</t>
  </si>
  <si>
    <t>ELEC0430</t>
  </si>
  <si>
    <t>ELEC0431</t>
  </si>
  <si>
    <t>Anjali Chauhan</t>
  </si>
  <si>
    <t>ELEC0432</t>
  </si>
  <si>
    <t>ELEC0433</t>
  </si>
  <si>
    <t>ELEC0434</t>
  </si>
  <si>
    <t>ELEC0435</t>
  </si>
  <si>
    <t>Aarav Trivedi</t>
  </si>
  <si>
    <t>ELEC0436</t>
  </si>
  <si>
    <t>ELEC0437</t>
  </si>
  <si>
    <t>ELEC0438</t>
  </si>
  <si>
    <t>Riya Mehta</t>
  </si>
  <si>
    <t>ELEC0439</t>
  </si>
  <si>
    <t>ELEC0440</t>
  </si>
  <si>
    <t>ELEC0441</t>
  </si>
  <si>
    <t>ELEC0442</t>
  </si>
  <si>
    <t>ELEC0443</t>
  </si>
  <si>
    <t>ELEC0444</t>
  </si>
  <si>
    <t>ELEC0445</t>
  </si>
  <si>
    <t>Sneha Joshi</t>
  </si>
  <si>
    <t>ELEC0446</t>
  </si>
  <si>
    <t>ELEC0447</t>
  </si>
  <si>
    <t>Riya Chauhan</t>
  </si>
  <si>
    <t>ELEC0448</t>
  </si>
  <si>
    <t>ELEC0449</t>
  </si>
  <si>
    <t>ELEC0450</t>
  </si>
  <si>
    <t>ELEC0451</t>
  </si>
  <si>
    <t>ELEC0452</t>
  </si>
  <si>
    <t>ELEC0453</t>
  </si>
  <si>
    <t>Riya Patel</t>
  </si>
  <si>
    <t>ELEC0454</t>
  </si>
  <si>
    <t>ELEC0455</t>
  </si>
  <si>
    <t>ELEC0456</t>
  </si>
  <si>
    <t>ELEC0457</t>
  </si>
  <si>
    <t>ELEC0458</t>
  </si>
  <si>
    <t>ELEC0459</t>
  </si>
  <si>
    <t>ELEC0460</t>
  </si>
  <si>
    <t>ELEC0461</t>
  </si>
  <si>
    <t>ELEC0462</t>
  </si>
  <si>
    <t>Sneha Singh</t>
  </si>
  <si>
    <t>ELEC0463</t>
  </si>
  <si>
    <t>ELEC0464</t>
  </si>
  <si>
    <t>ELEC0465</t>
  </si>
  <si>
    <t>ELEC0466</t>
  </si>
  <si>
    <t>ELEC0467</t>
  </si>
  <si>
    <t>ELEC0468</t>
  </si>
  <si>
    <t>ELEC0469</t>
  </si>
  <si>
    <t>Jay Mistry</t>
  </si>
  <si>
    <t>ELEC0470</t>
  </si>
  <si>
    <t>ELEC0471</t>
  </si>
  <si>
    <t>ELEC0472</t>
  </si>
  <si>
    <t>ELEC0473</t>
  </si>
  <si>
    <t>ELEC0474</t>
  </si>
  <si>
    <t>ELEC0475</t>
  </si>
  <si>
    <t>ELEC0476</t>
  </si>
  <si>
    <t>ELEC0477</t>
  </si>
  <si>
    <t>ELEC0478</t>
  </si>
  <si>
    <t>ELEC0479</t>
  </si>
  <si>
    <t>ELEC0480</t>
  </si>
  <si>
    <t>Rahul Verma</t>
  </si>
  <si>
    <t>ELEC0481</t>
  </si>
  <si>
    <t>ELEC0482</t>
  </si>
  <si>
    <t>Yash Kapoor</t>
  </si>
  <si>
    <t>ELEC0483</t>
  </si>
  <si>
    <t>ELEC0484</t>
  </si>
  <si>
    <t>ELEC0485</t>
  </si>
  <si>
    <t>ELEC0486</t>
  </si>
  <si>
    <t>ELEC0487</t>
  </si>
  <si>
    <t>ELEC0488</t>
  </si>
  <si>
    <t>ELEC0489</t>
  </si>
  <si>
    <t>Priya Trivedi</t>
  </si>
  <si>
    <t>ELEC0490</t>
  </si>
  <si>
    <t>ELEC0491</t>
  </si>
  <si>
    <t>ELEC0492</t>
  </si>
  <si>
    <t>ELEC0493</t>
  </si>
  <si>
    <t>ELEC0494</t>
  </si>
  <si>
    <t>Anjali Desai</t>
  </si>
  <si>
    <t>ELEC0495</t>
  </si>
  <si>
    <t>ELEC0496</t>
  </si>
  <si>
    <t>ELEC0497</t>
  </si>
  <si>
    <t>ELEC0498</t>
  </si>
  <si>
    <t>ELEC0499</t>
  </si>
  <si>
    <t>Riya Verma</t>
  </si>
  <si>
    <t>ELEC0500</t>
  </si>
  <si>
    <t>ELEC0501</t>
  </si>
  <si>
    <t>ELEC0502</t>
  </si>
  <si>
    <t>ELEC0503</t>
  </si>
  <si>
    <t>ELEC0504</t>
  </si>
  <si>
    <t>ELEC0505</t>
  </si>
  <si>
    <t>ELEC0506</t>
  </si>
  <si>
    <t>Aarav Mistry</t>
  </si>
  <si>
    <t>ELEC0507</t>
  </si>
  <si>
    <t>ELEC0508</t>
  </si>
  <si>
    <t>ELEC0509</t>
  </si>
  <si>
    <t>ELEC0510</t>
  </si>
  <si>
    <t>ELEC0511</t>
  </si>
  <si>
    <t>ELEC0512</t>
  </si>
  <si>
    <t>ELEC0513</t>
  </si>
  <si>
    <t>ELEC0514</t>
  </si>
  <si>
    <t>Pooja Desai</t>
  </si>
  <si>
    <t>ELEC0515</t>
  </si>
  <si>
    <t>ELEC0516</t>
  </si>
  <si>
    <t>ELEC0517</t>
  </si>
  <si>
    <t>ELEC0518</t>
  </si>
  <si>
    <t>ELEC0519</t>
  </si>
  <si>
    <t>ELEC0520</t>
  </si>
  <si>
    <t>ELEC0521</t>
  </si>
  <si>
    <t>ELEC0522</t>
  </si>
  <si>
    <t>Karan Kapoor</t>
  </si>
  <si>
    <t>ELEC0523</t>
  </si>
  <si>
    <t>ELEC0524</t>
  </si>
  <si>
    <t>ELEC0525</t>
  </si>
  <si>
    <t>Rohan Kapoor</t>
  </si>
  <si>
    <t>ELEC0526</t>
  </si>
  <si>
    <t>ELEC0527</t>
  </si>
  <si>
    <t>Rahul Mehta</t>
  </si>
  <si>
    <t>ELEC0528</t>
  </si>
  <si>
    <t>ELEC0529</t>
  </si>
  <si>
    <t>Jay Verma</t>
  </si>
  <si>
    <t>ELEC0530</t>
  </si>
  <si>
    <t>ELEC0531</t>
  </si>
  <si>
    <t>Pooja Verma</t>
  </si>
  <si>
    <t>ELEC0532</t>
  </si>
  <si>
    <t>ELEC0533</t>
  </si>
  <si>
    <t>ELEC0534</t>
  </si>
  <si>
    <t>ELEC0535</t>
  </si>
  <si>
    <t>ELEC0536</t>
  </si>
  <si>
    <t>ELEC0537</t>
  </si>
  <si>
    <t>ELEC0538</t>
  </si>
  <si>
    <t>ELEC0539</t>
  </si>
  <si>
    <t>Anjali Rao</t>
  </si>
  <si>
    <t>ELEC0540</t>
  </si>
  <si>
    <t>ELEC0541</t>
  </si>
  <si>
    <t>ELEC0542</t>
  </si>
  <si>
    <t>Isha Desai</t>
  </si>
  <si>
    <t>ELEC0543</t>
  </si>
  <si>
    <t>ELEC0544</t>
  </si>
  <si>
    <t>ELEC0545</t>
  </si>
  <si>
    <t>ELEC0546</t>
  </si>
  <si>
    <t>Aarav Desai</t>
  </si>
  <si>
    <t>ELEC0547</t>
  </si>
  <si>
    <t>ELEC0548</t>
  </si>
  <si>
    <t>ELEC0549</t>
  </si>
  <si>
    <t>ELEC0550</t>
  </si>
  <si>
    <t>ELEC0551</t>
  </si>
  <si>
    <t>ELEC0552</t>
  </si>
  <si>
    <t>ELEC0553</t>
  </si>
  <si>
    <t>ELEC0554</t>
  </si>
  <si>
    <t>ELEC0555</t>
  </si>
  <si>
    <t>ELEC0556</t>
  </si>
  <si>
    <t>ELEC0557</t>
  </si>
  <si>
    <t>ELEC0558</t>
  </si>
  <si>
    <t>ELEC0559</t>
  </si>
  <si>
    <t>ELEC0560</t>
  </si>
  <si>
    <t>ELEC0561</t>
  </si>
  <si>
    <t>Aditya Patel</t>
  </si>
  <si>
    <t>ELEC0562</t>
  </si>
  <si>
    <t>ELEC0563</t>
  </si>
  <si>
    <t>ELEC0564</t>
  </si>
  <si>
    <t>ELEC0565</t>
  </si>
  <si>
    <t>ELEC0566</t>
  </si>
  <si>
    <t>Rahul Joshi</t>
  </si>
  <si>
    <t>ELEC0567</t>
  </si>
  <si>
    <t>ELEC0568</t>
  </si>
  <si>
    <t>ELEC0569</t>
  </si>
  <si>
    <t>ELEC0570</t>
  </si>
  <si>
    <t>ELEC0571</t>
  </si>
  <si>
    <t>ELEC0572</t>
  </si>
  <si>
    <t>ELEC0573</t>
  </si>
  <si>
    <t>ELEC0574</t>
  </si>
  <si>
    <t>Priya Mehta</t>
  </si>
  <si>
    <t>ELEC0575</t>
  </si>
  <si>
    <t>ELEC0576</t>
  </si>
  <si>
    <t>ELEC0577</t>
  </si>
  <si>
    <t>Neha Singh</t>
  </si>
  <si>
    <t>ELEC0578</t>
  </si>
  <si>
    <t>ELEC0579</t>
  </si>
  <si>
    <t>ELEC0580</t>
  </si>
  <si>
    <t>ELEC0581</t>
  </si>
  <si>
    <t>ELEC0582</t>
  </si>
  <si>
    <t>ELEC0583</t>
  </si>
  <si>
    <t>ELEC0584</t>
  </si>
  <si>
    <t>ELEC0585</t>
  </si>
  <si>
    <t>ELEC0586</t>
  </si>
  <si>
    <t>ELEC0587</t>
  </si>
  <si>
    <t>ELEC0588</t>
  </si>
  <si>
    <t>ELEC0589</t>
  </si>
  <si>
    <t>ELEC0590</t>
  </si>
  <si>
    <t>ELEC0591</t>
  </si>
  <si>
    <t>ELEC0592</t>
  </si>
  <si>
    <t>ELEC0593</t>
  </si>
  <si>
    <t>Sneha Kapoor</t>
  </si>
  <si>
    <t>ELEC0594</t>
  </si>
  <si>
    <t>ELEC0595</t>
  </si>
  <si>
    <t>ELEC0596</t>
  </si>
  <si>
    <t>ELEC0597</t>
  </si>
  <si>
    <t>ELEC0598</t>
  </si>
  <si>
    <t>Amit Pandya</t>
  </si>
  <si>
    <t>ELEC0599</t>
  </si>
  <si>
    <t>ELEC0600</t>
  </si>
  <si>
    <t>ELEC0601</t>
  </si>
  <si>
    <t>ELEC0602</t>
  </si>
  <si>
    <t>ELEC0603</t>
  </si>
  <si>
    <t>ELEC0604</t>
  </si>
  <si>
    <t>ELEC0605</t>
  </si>
  <si>
    <t>Aditya Rao</t>
  </si>
  <si>
    <t>ELEC0606</t>
  </si>
  <si>
    <t>ELEC0607</t>
  </si>
  <si>
    <t>ELEC0608</t>
  </si>
  <si>
    <t>ELEC0609</t>
  </si>
  <si>
    <t>Anjali Mehta</t>
  </si>
  <si>
    <t>ELEC0610</t>
  </si>
  <si>
    <t>ELEC0611</t>
  </si>
  <si>
    <t>Isha Rao</t>
  </si>
  <si>
    <t>ELEC0612</t>
  </si>
  <si>
    <t>Isha Joshi</t>
  </si>
  <si>
    <t>ELEC0613</t>
  </si>
  <si>
    <t>ELEC0614</t>
  </si>
  <si>
    <t>ELEC0615</t>
  </si>
  <si>
    <t>ELEC0616</t>
  </si>
  <si>
    <t>ELEC0617</t>
  </si>
  <si>
    <t>ELEC0618</t>
  </si>
  <si>
    <t>ELEC0619</t>
  </si>
  <si>
    <t>ELEC0620</t>
  </si>
  <si>
    <t>ELEC0621</t>
  </si>
  <si>
    <t>ELEC0622</t>
  </si>
  <si>
    <t>ELEC0623</t>
  </si>
  <si>
    <t>ELEC0624</t>
  </si>
  <si>
    <t>ELEC0625</t>
  </si>
  <si>
    <t>ELEC0626</t>
  </si>
  <si>
    <t>ELEC0627</t>
  </si>
  <si>
    <t>Aarav Chauhan</t>
  </si>
  <si>
    <t>ELEC0628</t>
  </si>
  <si>
    <t>ELEC0629</t>
  </si>
  <si>
    <t>ELEC0630</t>
  </si>
  <si>
    <t>ELEC0631</t>
  </si>
  <si>
    <t>ELEC0632</t>
  </si>
  <si>
    <t>ELEC0633</t>
  </si>
  <si>
    <t>ELEC0634</t>
  </si>
  <si>
    <t>ELEC0635</t>
  </si>
  <si>
    <t>ELEC0636</t>
  </si>
  <si>
    <t>ELEC0637</t>
  </si>
  <si>
    <t>ELEC0638</t>
  </si>
  <si>
    <t>ELEC0639</t>
  </si>
  <si>
    <t>ELEC0640</t>
  </si>
  <si>
    <t>ELEC0641</t>
  </si>
  <si>
    <t>ELEC0642</t>
  </si>
  <si>
    <t>ELEC0643</t>
  </si>
  <si>
    <t>ELEC0644</t>
  </si>
  <si>
    <t>ELEC0645</t>
  </si>
  <si>
    <t>ELEC0646</t>
  </si>
  <si>
    <t>ELEC0647</t>
  </si>
  <si>
    <t>ELEC0648</t>
  </si>
  <si>
    <t>ELEC0649</t>
  </si>
  <si>
    <t>Pooja Gupta</t>
  </si>
  <si>
    <t>ELEC0650</t>
  </si>
  <si>
    <t>ELEC0651</t>
  </si>
  <si>
    <t>ELEC0652</t>
  </si>
  <si>
    <t>ELEC0653</t>
  </si>
  <si>
    <t>ELEC0654</t>
  </si>
  <si>
    <t>ELEC0655</t>
  </si>
  <si>
    <t>Aarav Rao</t>
  </si>
  <si>
    <t>ELEC0656</t>
  </si>
  <si>
    <t>ELEC0657</t>
  </si>
  <si>
    <t>ELEC0658</t>
  </si>
  <si>
    <t>ELEC0659</t>
  </si>
  <si>
    <t>ELEC0660</t>
  </si>
  <si>
    <t>ELEC0661</t>
  </si>
  <si>
    <t>ELEC0662</t>
  </si>
  <si>
    <t>ELEC0663</t>
  </si>
  <si>
    <t>ELEC0664</t>
  </si>
  <si>
    <t>Rohan Patel</t>
  </si>
  <si>
    <t>ELEC0665</t>
  </si>
  <si>
    <t>ELEC0666</t>
  </si>
  <si>
    <t>ELEC0667</t>
  </si>
  <si>
    <t>ELEC0668</t>
  </si>
  <si>
    <t>ELEC0669</t>
  </si>
  <si>
    <t>ELEC0670</t>
  </si>
  <si>
    <t>ELEC0671</t>
  </si>
  <si>
    <t>ELEC0672</t>
  </si>
  <si>
    <t>ELEC0673</t>
  </si>
  <si>
    <t>ELEC0674</t>
  </si>
  <si>
    <t>ELEC0675</t>
  </si>
  <si>
    <t>ELEC0676</t>
  </si>
  <si>
    <t>ELEC0677</t>
  </si>
  <si>
    <t>ELEC0678</t>
  </si>
  <si>
    <t>ELEC0679</t>
  </si>
  <si>
    <t>ELEC0680</t>
  </si>
  <si>
    <t>ELEC0681</t>
  </si>
  <si>
    <t>ELEC0682</t>
  </si>
  <si>
    <t>ELEC0683</t>
  </si>
  <si>
    <t>ELEC0684</t>
  </si>
  <si>
    <t>ELEC0685</t>
  </si>
  <si>
    <t>ELEC0686</t>
  </si>
  <si>
    <t>ELEC0687</t>
  </si>
  <si>
    <t>ELEC0688</t>
  </si>
  <si>
    <t>ELEC0689</t>
  </si>
  <si>
    <t>ELEC0690</t>
  </si>
  <si>
    <t>ELEC0691</t>
  </si>
  <si>
    <t>ELEC0692</t>
  </si>
  <si>
    <t>ELEC0693</t>
  </si>
  <si>
    <t>ELEC0694</t>
  </si>
  <si>
    <t>ELEC0695</t>
  </si>
  <si>
    <t>ELEC0696</t>
  </si>
  <si>
    <t>ELEC0697</t>
  </si>
  <si>
    <t>ELEC0698</t>
  </si>
  <si>
    <t>ELEC0699</t>
  </si>
  <si>
    <t>ELEC0700</t>
  </si>
  <si>
    <t>ELEC0701</t>
  </si>
  <si>
    <t>ELEC0702</t>
  </si>
  <si>
    <t>Simran Sharma</t>
  </si>
  <si>
    <t>ELEC0703</t>
  </si>
  <si>
    <t>ELEC0704</t>
  </si>
  <si>
    <t>ELEC0705</t>
  </si>
  <si>
    <t>ELEC0706</t>
  </si>
  <si>
    <t>ELEC0707</t>
  </si>
  <si>
    <t>ELEC0708</t>
  </si>
  <si>
    <t>ELEC0709</t>
  </si>
  <si>
    <t>ELEC0710</t>
  </si>
  <si>
    <t>ELEC0711</t>
  </si>
  <si>
    <t>ELEC0712</t>
  </si>
  <si>
    <t>ELEC0713</t>
  </si>
  <si>
    <t>ELEC0714</t>
  </si>
  <si>
    <t>ELEC0715</t>
  </si>
  <si>
    <t>ELEC0716</t>
  </si>
  <si>
    <t>Isha Trivedi</t>
  </si>
  <si>
    <t>ELEC0717</t>
  </si>
  <si>
    <t>ELEC0718</t>
  </si>
  <si>
    <t>ELEC0719</t>
  </si>
  <si>
    <t>ELEC0720</t>
  </si>
  <si>
    <t>ELEC0721</t>
  </si>
  <si>
    <t>ELEC0722</t>
  </si>
  <si>
    <t>ELEC0723</t>
  </si>
  <si>
    <t>ELEC0724</t>
  </si>
  <si>
    <t>Sneha Chauhan</t>
  </si>
  <si>
    <t>ELEC0725</t>
  </si>
  <si>
    <t>ELEC0726</t>
  </si>
  <si>
    <t>ELEC0727</t>
  </si>
  <si>
    <t>ELEC0728</t>
  </si>
  <si>
    <t>ELEC0729</t>
  </si>
  <si>
    <t>ELEC0730</t>
  </si>
  <si>
    <t>ELEC0731</t>
  </si>
  <si>
    <t>ELEC0732</t>
  </si>
  <si>
    <t>ELEC0733</t>
  </si>
  <si>
    <t>ELEC0734</t>
  </si>
  <si>
    <t>ELEC0735</t>
  </si>
  <si>
    <t>ELEC0736</t>
  </si>
  <si>
    <t>ELEC0737</t>
  </si>
  <si>
    <t>ELEC0738</t>
  </si>
  <si>
    <t>ELEC0739</t>
  </si>
  <si>
    <t>ELEC0740</t>
  </si>
  <si>
    <t>ELEC0741</t>
  </si>
  <si>
    <t>ELEC0742</t>
  </si>
  <si>
    <t>ELEC0743</t>
  </si>
  <si>
    <t>ELEC0744</t>
  </si>
  <si>
    <t>ELEC0745</t>
  </si>
  <si>
    <t>ELEC0746</t>
  </si>
  <si>
    <t>ELEC0747</t>
  </si>
  <si>
    <t>ELEC0748</t>
  </si>
  <si>
    <t>ELEC0749</t>
  </si>
  <si>
    <t>ELEC0750</t>
  </si>
  <si>
    <t>ELEC0751</t>
  </si>
  <si>
    <t>ELEC0752</t>
  </si>
  <si>
    <t>ELEC0753</t>
  </si>
  <si>
    <t>ELEC0754</t>
  </si>
  <si>
    <t>ELEC0755</t>
  </si>
  <si>
    <t>Sneha Patel</t>
  </si>
  <si>
    <t>ELEC0756</t>
  </si>
  <si>
    <t>ELEC0757</t>
  </si>
  <si>
    <t>ELEC0758</t>
  </si>
  <si>
    <t>ELEC0759</t>
  </si>
  <si>
    <t>ELEC0760</t>
  </si>
  <si>
    <t>ELEC0761</t>
  </si>
  <si>
    <t>ELEC0762</t>
  </si>
  <si>
    <t>ELEC0763</t>
  </si>
  <si>
    <t>ELEC0764</t>
  </si>
  <si>
    <t>ELEC0765</t>
  </si>
  <si>
    <t>ELEC0766</t>
  </si>
  <si>
    <t>ELEC0767</t>
  </si>
  <si>
    <t>ELEC0768</t>
  </si>
  <si>
    <t>Vivaan Chauhan</t>
  </si>
  <si>
    <t>ELEC0769</t>
  </si>
  <si>
    <t>ELEC0770</t>
  </si>
  <si>
    <t>ELEC0771</t>
  </si>
  <si>
    <t>ELEC0772</t>
  </si>
  <si>
    <t>ELEC0773</t>
  </si>
  <si>
    <t>ELEC0774</t>
  </si>
  <si>
    <t>ELEC0775</t>
  </si>
  <si>
    <t>ELEC0776</t>
  </si>
  <si>
    <t>ELEC0777</t>
  </si>
  <si>
    <t>ELEC0778</t>
  </si>
  <si>
    <t>ELEC0779</t>
  </si>
  <si>
    <t>ELEC0780</t>
  </si>
  <si>
    <t>ELEC0781</t>
  </si>
  <si>
    <t>Priya Sharma</t>
  </si>
  <si>
    <t>ELEC0782</t>
  </si>
  <si>
    <t>ELEC0783</t>
  </si>
  <si>
    <t>ELEC0784</t>
  </si>
  <si>
    <t>ELEC0785</t>
  </si>
  <si>
    <t>ELEC0786</t>
  </si>
  <si>
    <t>ELEC0787</t>
  </si>
  <si>
    <t>ELEC0788</t>
  </si>
  <si>
    <t>ELEC0789</t>
  </si>
  <si>
    <t>ELEC0790</t>
  </si>
  <si>
    <t>ELEC0791</t>
  </si>
  <si>
    <t>ELEC0792</t>
  </si>
  <si>
    <t>ELEC0793</t>
  </si>
  <si>
    <t>ELEC0794</t>
  </si>
  <si>
    <t>ELEC0795</t>
  </si>
  <si>
    <t>ELEC0796</t>
  </si>
  <si>
    <t>ELEC0797</t>
  </si>
  <si>
    <t>ELEC0798</t>
  </si>
  <si>
    <t>ELEC0799</t>
  </si>
  <si>
    <t>ELEC0800</t>
  </si>
  <si>
    <t>ELEC0801</t>
  </si>
  <si>
    <t>ELEC0802</t>
  </si>
  <si>
    <t>ELEC0803</t>
  </si>
  <si>
    <t>Isha Mehta</t>
  </si>
  <si>
    <t>ELEC0804</t>
  </si>
  <si>
    <t>ELEC0805</t>
  </si>
  <si>
    <t>ELEC0806</t>
  </si>
  <si>
    <t>ELEC0807</t>
  </si>
  <si>
    <t>ELEC0808</t>
  </si>
  <si>
    <t>ELEC0809</t>
  </si>
  <si>
    <t>ELEC0810</t>
  </si>
  <si>
    <t>ELEC0811</t>
  </si>
  <si>
    <t>ELEC0812</t>
  </si>
  <si>
    <t>ELEC0813</t>
  </si>
  <si>
    <t>ELEC0814</t>
  </si>
  <si>
    <t>ELEC0815</t>
  </si>
  <si>
    <t>ELEC0816</t>
  </si>
  <si>
    <t>ELEC0817</t>
  </si>
  <si>
    <t>ELEC0818</t>
  </si>
  <si>
    <t>ELEC0819</t>
  </si>
  <si>
    <t>ELEC0820</t>
  </si>
  <si>
    <t>ELEC0821</t>
  </si>
  <si>
    <t>ELEC0822</t>
  </si>
  <si>
    <t>ELEC0823</t>
  </si>
  <si>
    <t>ELEC0824</t>
  </si>
  <si>
    <t>ELEC0825</t>
  </si>
  <si>
    <t>ELEC0826</t>
  </si>
  <si>
    <t>ELEC0827</t>
  </si>
  <si>
    <t>ELEC0828</t>
  </si>
  <si>
    <t>ELEC0829</t>
  </si>
  <si>
    <t>ELEC0830</t>
  </si>
  <si>
    <t>ELEC0831</t>
  </si>
  <si>
    <t>ELEC0832</t>
  </si>
  <si>
    <t>ELEC0833</t>
  </si>
  <si>
    <t>ELEC0834</t>
  </si>
  <si>
    <t>ELEC0835</t>
  </si>
  <si>
    <t>ELEC0836</t>
  </si>
  <si>
    <t>ELEC0837</t>
  </si>
  <si>
    <t>ELEC0838</t>
  </si>
  <si>
    <t>ELEC0839</t>
  </si>
  <si>
    <t>ELEC0840</t>
  </si>
  <si>
    <t>ELEC0841</t>
  </si>
  <si>
    <t>ELEC0842</t>
  </si>
  <si>
    <t>ELEC0843</t>
  </si>
  <si>
    <t>ELEC0844</t>
  </si>
  <si>
    <t>ELEC0845</t>
  </si>
  <si>
    <t>ELEC0846</t>
  </si>
  <si>
    <t>ELEC0847</t>
  </si>
  <si>
    <t>ELEC0848</t>
  </si>
  <si>
    <t>ELEC0849</t>
  </si>
  <si>
    <t>ELEC0850</t>
  </si>
  <si>
    <t>ELEC0851</t>
  </si>
  <si>
    <t>ELEC0852</t>
  </si>
  <si>
    <t>ELEC0853</t>
  </si>
  <si>
    <t>ELEC0854</t>
  </si>
  <si>
    <t>ELEC0855</t>
  </si>
  <si>
    <t>ELEC0856</t>
  </si>
  <si>
    <t>ELEC0857</t>
  </si>
  <si>
    <t>ELEC0858</t>
  </si>
  <si>
    <t>ELEC0859</t>
  </si>
  <si>
    <t>ELEC0860</t>
  </si>
  <si>
    <t>ELEC0861</t>
  </si>
  <si>
    <t>ELEC0862</t>
  </si>
  <si>
    <t>ELEC0863</t>
  </si>
  <si>
    <t>ELEC0864</t>
  </si>
  <si>
    <t>ELEC0865</t>
  </si>
  <si>
    <t>ELEC0866</t>
  </si>
  <si>
    <t>Vivaan Mistry</t>
  </si>
  <si>
    <t>ELEC0867</t>
  </si>
  <si>
    <t>ELEC0868</t>
  </si>
  <si>
    <t>ELEC0869</t>
  </si>
  <si>
    <t>ELEC0870</t>
  </si>
  <si>
    <t>ELEC0871</t>
  </si>
  <si>
    <t>ELEC0872</t>
  </si>
  <si>
    <t>ELEC0873</t>
  </si>
  <si>
    <t>ELEC0874</t>
  </si>
  <si>
    <t>ELEC0875</t>
  </si>
  <si>
    <t>ELEC0876</t>
  </si>
  <si>
    <t>ELEC0877</t>
  </si>
  <si>
    <t>ELEC0878</t>
  </si>
  <si>
    <t>ELEC0879</t>
  </si>
  <si>
    <t>ELEC0880</t>
  </si>
  <si>
    <t>Vivaan Kapoor</t>
  </si>
  <si>
    <t>ELEC0881</t>
  </si>
  <si>
    <t>ELEC0882</t>
  </si>
  <si>
    <t>ELEC0883</t>
  </si>
  <si>
    <t>ELEC0884</t>
  </si>
  <si>
    <t>ELEC0885</t>
  </si>
  <si>
    <t>Aarav Verma</t>
  </si>
  <si>
    <t>ELEC0886</t>
  </si>
  <si>
    <t>ELEC0887</t>
  </si>
  <si>
    <t>ELEC0888</t>
  </si>
  <si>
    <t>ELEC0889</t>
  </si>
  <si>
    <t>ELEC0890</t>
  </si>
  <si>
    <t>ELEC0891</t>
  </si>
  <si>
    <t>ELEC0892</t>
  </si>
  <si>
    <t>ELEC0893</t>
  </si>
  <si>
    <t>ELEC0894</t>
  </si>
  <si>
    <t>ELEC0895</t>
  </si>
  <si>
    <t>ELEC0896</t>
  </si>
  <si>
    <t>ELEC0897</t>
  </si>
  <si>
    <t>ELEC0898</t>
  </si>
  <si>
    <t>ELEC0899</t>
  </si>
  <si>
    <t>ELEC0900</t>
  </si>
  <si>
    <t>ELEC0901</t>
  </si>
  <si>
    <t>ELEC0902</t>
  </si>
  <si>
    <t>ELEC0903</t>
  </si>
  <si>
    <t>ELEC0904</t>
  </si>
  <si>
    <t>ELEC0905</t>
  </si>
  <si>
    <t>ELEC0906</t>
  </si>
  <si>
    <t>ELEC0907</t>
  </si>
  <si>
    <t>ELEC0908</t>
  </si>
  <si>
    <t>ELEC0909</t>
  </si>
  <si>
    <t>ELEC0910</t>
  </si>
  <si>
    <t>ELEC0911</t>
  </si>
  <si>
    <t>ELEC0912</t>
  </si>
  <si>
    <t>ELEC0913</t>
  </si>
  <si>
    <t>ELEC0914</t>
  </si>
  <si>
    <t>ELEC0915</t>
  </si>
  <si>
    <t>ELEC0916</t>
  </si>
  <si>
    <t>ELEC0917</t>
  </si>
  <si>
    <t>Pooja Chauhan</t>
  </si>
  <si>
    <t>ELEC0918</t>
  </si>
  <si>
    <t>ELEC0919</t>
  </si>
  <si>
    <t>ELEC0920</t>
  </si>
  <si>
    <t>ELEC0921</t>
  </si>
  <si>
    <t>ELEC0922</t>
  </si>
  <si>
    <t>ELEC0923</t>
  </si>
  <si>
    <t>ELEC0924</t>
  </si>
  <si>
    <t>ELEC0925</t>
  </si>
  <si>
    <t>ELEC0926</t>
  </si>
  <si>
    <t>ELEC0927</t>
  </si>
  <si>
    <t>ELEC0928</t>
  </si>
  <si>
    <t>ELEC0929</t>
  </si>
  <si>
    <t>ELEC0930</t>
  </si>
  <si>
    <t>ELEC0931</t>
  </si>
  <si>
    <t>ELEC0932</t>
  </si>
  <si>
    <t>ELEC0933</t>
  </si>
  <si>
    <t>ELEC0934</t>
  </si>
  <si>
    <t>Isha Mistry</t>
  </si>
  <si>
    <t>ELEC0935</t>
  </si>
  <si>
    <t>ELEC0936</t>
  </si>
  <si>
    <t>ELEC0937</t>
  </si>
  <si>
    <t>ELEC0938</t>
  </si>
  <si>
    <t>ELEC0939</t>
  </si>
  <si>
    <t>ELEC0940</t>
  </si>
  <si>
    <t>ELEC0941</t>
  </si>
  <si>
    <t>ELEC0942</t>
  </si>
  <si>
    <t>ELEC0943</t>
  </si>
  <si>
    <t>ELEC0944</t>
  </si>
  <si>
    <t>ELEC0945</t>
  </si>
  <si>
    <t>ELEC0946</t>
  </si>
  <si>
    <t>ELEC0947</t>
  </si>
  <si>
    <t>ELEC0948</t>
  </si>
  <si>
    <t>ELEC0949</t>
  </si>
  <si>
    <t>ELEC0950</t>
  </si>
  <si>
    <t>ELEC0951</t>
  </si>
  <si>
    <t>ELEC0952</t>
  </si>
  <si>
    <t>ELEC0953</t>
  </si>
  <si>
    <t>ELEC0954</t>
  </si>
  <si>
    <t>ELEC0955</t>
  </si>
  <si>
    <t>ELEC0956</t>
  </si>
  <si>
    <t>ELEC0957</t>
  </si>
  <si>
    <t>ELEC0958</t>
  </si>
  <si>
    <t>ELEC0959</t>
  </si>
  <si>
    <t>ELEC0960</t>
  </si>
  <si>
    <t>ELEC0961</t>
  </si>
  <si>
    <t>ELEC0962</t>
  </si>
  <si>
    <t>ELEC0963</t>
  </si>
  <si>
    <t>ELEC0964</t>
  </si>
  <si>
    <t>ELEC0965</t>
  </si>
  <si>
    <t>Simran Patel</t>
  </si>
  <si>
    <t>ELEC0966</t>
  </si>
  <si>
    <t>ELEC0967</t>
  </si>
  <si>
    <t>ELEC0968</t>
  </si>
  <si>
    <t>ELEC0969</t>
  </si>
  <si>
    <t>ELEC0970</t>
  </si>
  <si>
    <t>ELEC0971</t>
  </si>
  <si>
    <t>ELEC0972</t>
  </si>
  <si>
    <t>ELEC0973</t>
  </si>
  <si>
    <t>ELEC0974</t>
  </si>
  <si>
    <t>ELEC0975</t>
  </si>
  <si>
    <t>ELEC0976</t>
  </si>
  <si>
    <t>ELEC0977</t>
  </si>
  <si>
    <t>ELEC0978</t>
  </si>
  <si>
    <t>Pooja Mehta</t>
  </si>
  <si>
    <t>ELEC0979</t>
  </si>
  <si>
    <t>ELEC0980</t>
  </si>
  <si>
    <t>ELEC0981</t>
  </si>
  <si>
    <t>ELEC0982</t>
  </si>
  <si>
    <t>ELEC0983</t>
  </si>
  <si>
    <t>ELEC0984</t>
  </si>
  <si>
    <t>ELEC0985</t>
  </si>
  <si>
    <t>ELEC0986</t>
  </si>
  <si>
    <t>ELEC0987</t>
  </si>
  <si>
    <t>ELEC0988</t>
  </si>
  <si>
    <t>ELEC0989</t>
  </si>
  <si>
    <t>ELEC0990</t>
  </si>
  <si>
    <t>ELEC0991</t>
  </si>
  <si>
    <t>ELEC0992</t>
  </si>
  <si>
    <t>ELEC0993</t>
  </si>
  <si>
    <t>ELEC0994</t>
  </si>
  <si>
    <t>ELEC0995</t>
  </si>
  <si>
    <t>ELEC0996</t>
  </si>
  <si>
    <t>ELEC0997</t>
  </si>
  <si>
    <t>ELEC0998</t>
  </si>
  <si>
    <t>ELEC0999</t>
  </si>
  <si>
    <t>ELEC1000</t>
  </si>
  <si>
    <t>Count of Customer ID</t>
  </si>
  <si>
    <t>Row Labels</t>
  </si>
  <si>
    <t>Grand Total</t>
  </si>
  <si>
    <t>Jan</t>
  </si>
  <si>
    <t>Feb</t>
  </si>
  <si>
    <t>Mar</t>
  </si>
  <si>
    <t>Apr</t>
  </si>
  <si>
    <t>May</t>
  </si>
  <si>
    <t>Jun</t>
  </si>
  <si>
    <t>Jul</t>
  </si>
  <si>
    <t>Aug</t>
  </si>
  <si>
    <t>Sep</t>
  </si>
  <si>
    <t>Oct</t>
  </si>
  <si>
    <t>Nov</t>
  </si>
  <si>
    <t>Dec</t>
  </si>
  <si>
    <t>Sum of Fees</t>
  </si>
  <si>
    <t>Average of Rating Out of 5</t>
  </si>
  <si>
    <t>Count of Customer Name</t>
  </si>
  <si>
    <t>Count of Status</t>
  </si>
  <si>
    <t>Count of Service Type</t>
  </si>
  <si>
    <t>Average of Days to Complete</t>
  </si>
  <si>
    <t>Max of Days to Complete</t>
  </si>
  <si>
    <t>Sum of Profit</t>
  </si>
  <si>
    <t>Max of Profit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</si>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</sst>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0"/>
    <numFmt numFmtId="166" formatCode="#,##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 fontId="0" fillId="0" borderId="0" xfId="0" applyNumberFormat="1"/>
    <xf numFmtId="165" fontId="0" fillId="0" borderId="0" xfId="0" applyNumberFormat="1"/>
    <xf numFmtId="166" fontId="0" fillId="0" borderId="0" xfId="0" applyNumberFormat="1"/>
    <xf numFmtId="10" fontId="0" fillId="0" borderId="0" xfId="0" applyNumberFormat="1"/>
  </cellXfs>
  <cellStyles count="1">
    <cellStyle name="Normal" xfId="0" builtinId="0"/>
  </cellStyles>
  <dxfs count="324">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64"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font>
        <b/>
        <color theme="1"/>
      </font>
      <border>
        <bottom style="thin">
          <color theme="4"/>
        </bottom>
        <vertical/>
        <horizontal/>
      </border>
    </dxf>
    <dxf>
      <font>
        <color theme="1"/>
      </font>
      <fill>
        <patternFill>
          <bgColor rgb="FF05FF76"/>
        </patternFill>
      </fill>
      <border>
        <left style="thin">
          <color theme="4"/>
        </left>
        <right style="thin">
          <color theme="4"/>
        </right>
        <top style="thin">
          <color theme="4"/>
        </top>
        <bottom style="thin">
          <color theme="4"/>
        </bottom>
        <vertical/>
        <horizontal/>
      </border>
    </dxf>
    <dxf>
      <fill>
        <patternFill>
          <bgColor rgb="FF00B050"/>
        </patternFill>
      </fill>
    </dxf>
  </dxfs>
  <tableStyles count="2" defaultTableStyle="TableStyleMedium9" defaultPivotStyle="PivotStyleLight16">
    <tableStyle name="Slicer Style 1" pivot="0" table="0" count="1" xr9:uid="{DCB49E79-9A2E-4E80-9EAD-BA0BD56A28E3}">
      <tableStyleElement type="headerRow" dxfId="323"/>
    </tableStyle>
    <tableStyle name="SlicerStyleDark1 2" pivot="0" table="0" count="10" xr9:uid="{F0EC24DC-8778-4B62-BD13-58337397F6E8}">
      <tableStyleElement type="wholeTable" dxfId="322"/>
      <tableStyleElement type="headerRow" dxfId="321"/>
    </tableStyle>
  </tableStyles>
  <colors>
    <mruColors>
      <color rgb="FF119343"/>
      <color rgb="FF05FF7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B05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19343"/>
            </a:solidFill>
            <a:round/>
          </a:ln>
          <a:effectLst/>
        </c:spPr>
        <c:marker>
          <c:symbol val="none"/>
        </c:marker>
      </c:pivotFmt>
      <c:pivotFmt>
        <c:idx val="4"/>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19343"/>
            </a:solidFill>
            <a:round/>
          </a:ln>
          <a:effectLst/>
        </c:spPr>
        <c:marker>
          <c:symbol val="none"/>
        </c:marker>
      </c:pivotFmt>
      <c:pivotFmt>
        <c:idx val="6"/>
        <c:spPr>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119343"/>
            </a:solidFill>
            <a:round/>
          </a:ln>
          <a:effectLst/>
        </c:spPr>
        <c:marker>
          <c:symbol val="none"/>
        </c:marker>
      </c:pivotFmt>
    </c:pivotFmts>
    <c:plotArea>
      <c:layout>
        <c:manualLayout>
          <c:layoutTarget val="inner"/>
          <c:xMode val="edge"/>
          <c:yMode val="edge"/>
          <c:x val="0.12960564304461941"/>
          <c:y val="6.8840405365995908E-2"/>
          <c:w val="0.86514085739282576"/>
          <c:h val="0.80626239428404778"/>
        </c:manualLayout>
      </c:layout>
      <c:lineChart>
        <c:grouping val="stacked"/>
        <c:varyColors val="0"/>
        <c:ser>
          <c:idx val="0"/>
          <c:order val="0"/>
          <c:tx>
            <c:strRef>
              <c:f>Table!$C$52</c:f>
              <c:strCache>
                <c:ptCount val="1"/>
                <c:pt idx="0">
                  <c:v>Total</c:v>
                </c:pt>
              </c:strCache>
            </c:strRef>
          </c:tx>
          <c:spPr>
            <a:ln w="28575" cap="rnd">
              <a:solidFill>
                <a:srgbClr val="119343"/>
              </a:solidFill>
              <a:round/>
            </a:ln>
            <a:effectLst/>
          </c:spPr>
          <c:marker>
            <c:symbol val="none"/>
          </c:marker>
          <c:dPt>
            <c:idx val="1"/>
            <c:marker>
              <c:symbol val="none"/>
            </c:marker>
            <c:bubble3D val="0"/>
            <c:extLst>
              <c:ext xmlns:c16="http://schemas.microsoft.com/office/drawing/2014/chart" uri="{C3380CC4-5D6E-409C-BE32-E72D297353CC}">
                <c16:uniqueId val="{00000000-166D-45EB-BAFB-91DB931B9047}"/>
              </c:ext>
            </c:extLst>
          </c:dPt>
          <c:cat>
            <c:strRef>
              <c:f>Table!$B$53:$B$65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Table!$C$53:$C$65</c:f>
              <c:numCache>
                <c:formatCode>0</c:formatCode>
                <c:ptCount val="12"/>
                <c:pt idx="0">
                  <c:v>84</c:v>
                </c:pt>
                <c:pt idx="1">
                  <c:v>83</c:v>
                </c:pt>
                <c:pt idx="2">
                  <c:v>81</c:v>
                </c:pt>
                <c:pt idx="3">
                  <c:v>88</c:v>
                </c:pt>
                <c:pt idx="4">
                  <c:v>82</c:v>
                </c:pt>
                <c:pt idx="5">
                  <c:v>79</c:v>
                </c:pt>
                <c:pt idx="6">
                  <c:v>98</c:v>
                </c:pt>
                <c:pt idx="7">
                  <c:v>94</c:v>
                </c:pt>
                <c:pt idx="8">
                  <c:v>63</c:v>
                </c:pt>
                <c:pt idx="9">
                  <c:v>82</c:v>
                </c:pt>
                <c:pt idx="10">
                  <c:v>88</c:v>
                </c:pt>
                <c:pt idx="11">
                  <c:v>78</c:v>
                </c:pt>
              </c:numCache>
            </c:numRef>
          </c:val>
          <c:smooth val="0"/>
          <c:extLst>
            <c:ext xmlns:c16="http://schemas.microsoft.com/office/drawing/2014/chart" uri="{C3380CC4-5D6E-409C-BE32-E72D297353CC}">
              <c16:uniqueId val="{00000001-166D-45EB-BAFB-91DB931B9047}"/>
            </c:ext>
          </c:extLst>
        </c:ser>
        <c:dLbls>
          <c:showLegendKey val="0"/>
          <c:showVal val="0"/>
          <c:showCatName val="0"/>
          <c:showSerName val="0"/>
          <c:showPercent val="0"/>
          <c:showBubbleSize val="0"/>
        </c:dLbls>
        <c:smooth val="0"/>
        <c:axId val="2029255264"/>
        <c:axId val="2029278304"/>
      </c:lineChart>
      <c:catAx>
        <c:axId val="20292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78304"/>
        <c:crosses val="autoZero"/>
        <c:auto val="1"/>
        <c:lblAlgn val="ctr"/>
        <c:lblOffset val="100"/>
        <c:noMultiLvlLbl val="0"/>
      </c:catAx>
      <c:valAx>
        <c:axId val="20292783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55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60665966191246"/>
          <c:y val="3.8560411311053984E-2"/>
          <c:w val="0.56619726627479805"/>
          <c:h val="0.88347043701799488"/>
        </c:manualLayout>
      </c:layout>
      <c:barChart>
        <c:barDir val="bar"/>
        <c:grouping val="clustered"/>
        <c:varyColors val="0"/>
        <c:ser>
          <c:idx val="0"/>
          <c:order val="0"/>
          <c:tx>
            <c:strRef>
              <c:f>Table!$C$68</c:f>
              <c:strCache>
                <c:ptCount val="1"/>
                <c:pt idx="0">
                  <c:v>Total</c:v>
                </c:pt>
              </c:strCache>
            </c:strRef>
          </c:tx>
          <c:spPr>
            <a:solidFill>
              <a:srgbClr val="00B050"/>
            </a:solidFill>
            <a:ln>
              <a:noFill/>
            </a:ln>
            <a:effectLst/>
          </c:spPr>
          <c:invertIfNegative val="0"/>
          <c:cat>
            <c:strRef>
              <c:f>Table!$B$69:$B$79</c:f>
              <c:strCache>
                <c:ptCount val="10"/>
                <c:pt idx="0">
                  <c:v>Ahmedabad</c:v>
                </c:pt>
                <c:pt idx="1">
                  <c:v>Bhavnagar</c:v>
                </c:pt>
                <c:pt idx="2">
                  <c:v>Indore</c:v>
                </c:pt>
                <c:pt idx="3">
                  <c:v>Jaipur</c:v>
                </c:pt>
                <c:pt idx="4">
                  <c:v>Junagadh</c:v>
                </c:pt>
                <c:pt idx="5">
                  <c:v>Mumbai</c:v>
                </c:pt>
                <c:pt idx="6">
                  <c:v>Pune</c:v>
                </c:pt>
                <c:pt idx="7">
                  <c:v>Rajkot</c:v>
                </c:pt>
                <c:pt idx="8">
                  <c:v>Surat</c:v>
                </c:pt>
                <c:pt idx="9">
                  <c:v>Vadodara</c:v>
                </c:pt>
              </c:strCache>
            </c:strRef>
          </c:cat>
          <c:val>
            <c:numRef>
              <c:f>Table!$C$69:$C$79</c:f>
              <c:numCache>
                <c:formatCode>0</c:formatCode>
                <c:ptCount val="10"/>
                <c:pt idx="0">
                  <c:v>92</c:v>
                </c:pt>
                <c:pt idx="1">
                  <c:v>103</c:v>
                </c:pt>
                <c:pt idx="2">
                  <c:v>98</c:v>
                </c:pt>
                <c:pt idx="3">
                  <c:v>104</c:v>
                </c:pt>
                <c:pt idx="4">
                  <c:v>90</c:v>
                </c:pt>
                <c:pt idx="5">
                  <c:v>103</c:v>
                </c:pt>
                <c:pt idx="6">
                  <c:v>108</c:v>
                </c:pt>
                <c:pt idx="7">
                  <c:v>99</c:v>
                </c:pt>
                <c:pt idx="8">
                  <c:v>101</c:v>
                </c:pt>
                <c:pt idx="9">
                  <c:v>102</c:v>
                </c:pt>
              </c:numCache>
            </c:numRef>
          </c:val>
          <c:extLst>
            <c:ext xmlns:c16="http://schemas.microsoft.com/office/drawing/2014/chart" uri="{C3380CC4-5D6E-409C-BE32-E72D297353CC}">
              <c16:uniqueId val="{00000000-AE2E-4515-929D-3DF8939751F6}"/>
            </c:ext>
          </c:extLst>
        </c:ser>
        <c:dLbls>
          <c:showLegendKey val="0"/>
          <c:showVal val="0"/>
          <c:showCatName val="0"/>
          <c:showSerName val="0"/>
          <c:showPercent val="0"/>
          <c:showBubbleSize val="0"/>
        </c:dLbls>
        <c:gapWidth val="182"/>
        <c:axId val="2029226944"/>
        <c:axId val="2029230784"/>
      </c:barChart>
      <c:catAx>
        <c:axId val="20292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30784"/>
        <c:crosses val="autoZero"/>
        <c:auto val="1"/>
        <c:lblAlgn val="ctr"/>
        <c:lblOffset val="100"/>
        <c:noMultiLvlLbl val="0"/>
      </c:catAx>
      <c:valAx>
        <c:axId val="20292307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2"/>
        <c:spPr>
          <a:solidFill>
            <a:srgbClr val="00B0F0"/>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7"/>
        <c:spPr>
          <a:solidFill>
            <a:srgbClr val="00B0F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1"/>
        <c:spPr>
          <a:solidFill>
            <a:srgbClr val="00B0F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5"/>
        <c:spPr>
          <a:solidFill>
            <a:srgbClr val="00B0F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rgbClr val="11934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Lst>
        </c:dLbl>
      </c:pivotFmt>
      <c:pivotFmt>
        <c:idx val="19"/>
        <c:spPr>
          <a:solidFill>
            <a:srgbClr val="00B0F0"/>
          </a:solidFill>
          <a:ln w="19050">
            <a:solidFill>
              <a:schemeClr val="lt1"/>
            </a:solidFill>
          </a:ln>
          <a:effectLst/>
        </c:spPr>
      </c:pivotFmt>
    </c:pivotFmts>
    <c:plotArea>
      <c:layout/>
      <c:pieChart>
        <c:varyColors val="1"/>
        <c:ser>
          <c:idx val="0"/>
          <c:order val="0"/>
          <c:tx>
            <c:strRef>
              <c:f>Table!$C$84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B39-4881-AE8D-D9257956F23B}"/>
              </c:ext>
            </c:extLst>
          </c:dPt>
          <c:dPt>
            <c:idx val="1"/>
            <c:bubble3D val="0"/>
            <c:spPr>
              <a:solidFill>
                <a:srgbClr val="119343"/>
              </a:solidFill>
              <a:ln w="19050">
                <a:solidFill>
                  <a:schemeClr val="lt1"/>
                </a:solidFill>
              </a:ln>
              <a:effectLst/>
            </c:spPr>
            <c:extLst>
              <c:ext xmlns:c16="http://schemas.microsoft.com/office/drawing/2014/chart" uri="{C3380CC4-5D6E-409C-BE32-E72D297353CC}">
                <c16:uniqueId val="{00000003-FB39-4881-AE8D-D9257956F23B}"/>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B39-4881-AE8D-D9257956F23B}"/>
              </c:ext>
            </c:extLst>
          </c:dPt>
          <c:dLbls>
            <c:dLbl>
              <c:idx val="1"/>
              <c:showLegendKey val="0"/>
              <c:showVal val="1"/>
              <c:showCatName val="1"/>
              <c:showSerName val="0"/>
              <c:showPercent val="0"/>
              <c:showBubbleSize val="0"/>
              <c:extLst>
                <c:ext xmlns:c15="http://schemas.microsoft.com/office/drawing/2012/chart" uri="{CE6537A1-D6FC-4f65-9D91-7224C49458BB}">
                  <c15:layout>
                    <c:manualLayout>
                      <c:w val="0.23472222222222222"/>
                      <c:h val="0.18402777777777779"/>
                    </c:manualLayout>
                  </c15:layout>
                </c:ext>
                <c:ext xmlns:c16="http://schemas.microsoft.com/office/drawing/2014/chart" uri="{C3380CC4-5D6E-409C-BE32-E72D297353CC}">
                  <c16:uniqueId val="{00000003-FB39-4881-AE8D-D9257956F23B}"/>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Table!$B$85:$B$88</c:f>
              <c:strCache>
                <c:ptCount val="3"/>
                <c:pt idx="0">
                  <c:v>Cancelled</c:v>
                </c:pt>
                <c:pt idx="1">
                  <c:v>Completed</c:v>
                </c:pt>
                <c:pt idx="2">
                  <c:v>Pending</c:v>
                </c:pt>
              </c:strCache>
            </c:strRef>
          </c:cat>
          <c:val>
            <c:numRef>
              <c:f>Table!$C$85:$C$88</c:f>
              <c:numCache>
                <c:formatCode>0.00%</c:formatCode>
                <c:ptCount val="3"/>
                <c:pt idx="0">
                  <c:v>0.33800000000000002</c:v>
                </c:pt>
                <c:pt idx="1">
                  <c:v>0.33300000000000002</c:v>
                </c:pt>
                <c:pt idx="2">
                  <c:v>0.32900000000000001</c:v>
                </c:pt>
              </c:numCache>
            </c:numRef>
          </c:val>
          <c:extLst>
            <c:ext xmlns:c16="http://schemas.microsoft.com/office/drawing/2014/chart" uri="{C3380CC4-5D6E-409C-BE32-E72D297353CC}">
              <c16:uniqueId val="{00000006-FB39-4881-AE8D-D9257956F2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[Electric_Service_Data.xlsx]Table!PivotTable7</c:name>
    <c:fmtId val="19"/>
  </c:pivotSource>
  <c:chart>
    <c:autoTitleDeleted val="1"/>
    <c:pivotFmts>
      <c:pivotFmt>
        <c:idx val="0"/>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Table!$C$93</c:f>
              <c:strCache>
                <c:ptCount val="1"/>
                <c:pt idx="0">
                  <c:v>Total</c:v>
                </c:pt>
              </c:strCache>
            </c:strRef>
          </c:tx>
          <c:spPr>
            <a:solidFill>
              <a:srgbClr val="119343"/>
            </a:solidFill>
            <a:ln>
              <a:noFill/>
            </a:ln>
            <a:effectLst/>
          </c:spPr>
          <c:invertIfNegative val="0"/>
          <c:cat>
            <c:strRef>
              <c:f>Table!$B$94:$B$104</c:f>
              <c:strCache>
                <c:ptCount val="10"/>
                <c:pt idx="0">
                  <c:v>AC Installation</c:v>
                </c:pt>
                <c:pt idx="1">
                  <c:v>Fan Repair</c:v>
                </c:pt>
                <c:pt idx="2">
                  <c:v>Home Automation</c:v>
                </c:pt>
                <c:pt idx="3">
                  <c:v>Inverter Repair</c:v>
                </c:pt>
                <c:pt idx="4">
                  <c:v>Lighting Installation</c:v>
                </c:pt>
                <c:pt idx="5">
                  <c:v>Meter Installation</c:v>
                </c:pt>
                <c:pt idx="6">
                  <c:v>Power Backup Setup</c:v>
                </c:pt>
                <c:pt idx="7">
                  <c:v>Solar Panel Service</c:v>
                </c:pt>
                <c:pt idx="8">
                  <c:v>Switchboard Repair</c:v>
                </c:pt>
                <c:pt idx="9">
                  <c:v>Wiring Repair</c:v>
                </c:pt>
              </c:strCache>
            </c:strRef>
          </c:cat>
          <c:val>
            <c:numRef>
              <c:f>Table!$C$94:$C$104</c:f>
              <c:numCache>
                <c:formatCode>0</c:formatCode>
                <c:ptCount val="10"/>
                <c:pt idx="0">
                  <c:v>89</c:v>
                </c:pt>
                <c:pt idx="1">
                  <c:v>116</c:v>
                </c:pt>
                <c:pt idx="2">
                  <c:v>106</c:v>
                </c:pt>
                <c:pt idx="3">
                  <c:v>94</c:v>
                </c:pt>
                <c:pt idx="4">
                  <c:v>104</c:v>
                </c:pt>
                <c:pt idx="5">
                  <c:v>108</c:v>
                </c:pt>
                <c:pt idx="6">
                  <c:v>101</c:v>
                </c:pt>
                <c:pt idx="7">
                  <c:v>98</c:v>
                </c:pt>
                <c:pt idx="8">
                  <c:v>91</c:v>
                </c:pt>
                <c:pt idx="9">
                  <c:v>93</c:v>
                </c:pt>
              </c:numCache>
            </c:numRef>
          </c:val>
          <c:extLst>
            <c:ext xmlns:c16="http://schemas.microsoft.com/office/drawing/2014/chart" uri="{C3380CC4-5D6E-409C-BE32-E72D297353CC}">
              <c16:uniqueId val="{00000000-9464-4138-AB4A-9FEE780A43F4}"/>
            </c:ext>
          </c:extLst>
        </c:ser>
        <c:dLbls>
          <c:showLegendKey val="0"/>
          <c:showVal val="0"/>
          <c:showCatName val="0"/>
          <c:showSerName val="0"/>
          <c:showPercent val="0"/>
          <c:showBubbleSize val="0"/>
        </c:dLbls>
        <c:gapWidth val="219"/>
        <c:overlap val="-27"/>
        <c:axId val="2029227904"/>
        <c:axId val="2029248544"/>
      </c:barChart>
      <c:catAx>
        <c:axId val="2029227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48544"/>
        <c:crosses val="autoZero"/>
        <c:auto val="1"/>
        <c:lblAlgn val="ctr"/>
        <c:lblOffset val="100"/>
        <c:noMultiLvlLbl val="0"/>
      </c:catAx>
      <c:valAx>
        <c:axId val="202924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2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19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9161617070307"/>
          <c:y val="2.4691358024691357E-2"/>
          <c:w val="0.70285883312471664"/>
          <c:h val="0.91555983279867792"/>
        </c:manualLayout>
      </c:layout>
      <c:barChart>
        <c:barDir val="bar"/>
        <c:grouping val="clustered"/>
        <c:varyColors val="0"/>
        <c:ser>
          <c:idx val="0"/>
          <c:order val="0"/>
          <c:tx>
            <c:strRef>
              <c:f>Table!$C$145</c:f>
              <c:strCache>
                <c:ptCount val="1"/>
                <c:pt idx="0">
                  <c:v>Total</c:v>
                </c:pt>
              </c:strCache>
            </c:strRef>
          </c:tx>
          <c:spPr>
            <a:solidFill>
              <a:srgbClr val="119343"/>
            </a:solidFill>
            <a:ln>
              <a:noFill/>
            </a:ln>
            <a:effectLst/>
          </c:spPr>
          <c:invertIfNegative val="0"/>
          <c:cat>
            <c:strRef>
              <c:f>Table!$B$146:$B$156</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Table!$C$146:$C$156</c:f>
              <c:numCache>
                <c:formatCode>0</c:formatCode>
                <c:ptCount val="10"/>
                <c:pt idx="0">
                  <c:v>106</c:v>
                </c:pt>
                <c:pt idx="1">
                  <c:v>99</c:v>
                </c:pt>
                <c:pt idx="2">
                  <c:v>88</c:v>
                </c:pt>
                <c:pt idx="3">
                  <c:v>116</c:v>
                </c:pt>
                <c:pt idx="4">
                  <c:v>104</c:v>
                </c:pt>
                <c:pt idx="5">
                  <c:v>103</c:v>
                </c:pt>
                <c:pt idx="6">
                  <c:v>94</c:v>
                </c:pt>
                <c:pt idx="7">
                  <c:v>112</c:v>
                </c:pt>
                <c:pt idx="8">
                  <c:v>99</c:v>
                </c:pt>
                <c:pt idx="9">
                  <c:v>79</c:v>
                </c:pt>
              </c:numCache>
            </c:numRef>
          </c:val>
          <c:extLst>
            <c:ext xmlns:c16="http://schemas.microsoft.com/office/drawing/2014/chart" uri="{C3380CC4-5D6E-409C-BE32-E72D297353CC}">
              <c16:uniqueId val="{00000000-37E2-41D7-A22C-F545A7B2387E}"/>
            </c:ext>
          </c:extLst>
        </c:ser>
        <c:dLbls>
          <c:showLegendKey val="0"/>
          <c:showVal val="0"/>
          <c:showCatName val="0"/>
          <c:showSerName val="0"/>
          <c:showPercent val="0"/>
          <c:showBubbleSize val="0"/>
        </c:dLbls>
        <c:gapWidth val="182"/>
        <c:axId val="1829933968"/>
        <c:axId val="1829942128"/>
      </c:barChart>
      <c:catAx>
        <c:axId val="18299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829942128"/>
        <c:crosses val="autoZero"/>
        <c:auto val="1"/>
        <c:lblAlgn val="ctr"/>
        <c:lblOffset val="100"/>
        <c:noMultiLvlLbl val="0"/>
      </c:catAx>
      <c:valAx>
        <c:axId val="1829942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82993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[Electric_Service_Data.xlsx]Table!PivotTable11</c:name>
    <c:fmtId val="3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1193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Table!$C$162</c:f>
              <c:strCache>
                <c:ptCount val="1"/>
                <c:pt idx="0">
                  <c:v>Total</c:v>
                </c:pt>
              </c:strCache>
            </c:strRef>
          </c:tx>
          <c:spPr>
            <a:ln w="28575" cap="rnd">
              <a:solidFill>
                <a:schemeClr val="accent1"/>
              </a:solidFill>
              <a:round/>
            </a:ln>
            <a:effectLst/>
          </c:spPr>
          <c:marker>
            <c:symbol val="none"/>
          </c:marker>
          <c:cat>
            <c:strRef>
              <c:f>Table!$B$163:$B$173</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Table!$C$163:$C$173</c:f>
              <c:numCache>
                <c:formatCode>0</c:formatCode>
                <c:ptCount val="10"/>
                <c:pt idx="0">
                  <c:v>175368</c:v>
                </c:pt>
                <c:pt idx="1">
                  <c:v>166560</c:v>
                </c:pt>
                <c:pt idx="2">
                  <c:v>139773</c:v>
                </c:pt>
                <c:pt idx="3">
                  <c:v>195890</c:v>
                </c:pt>
                <c:pt idx="4">
                  <c:v>164167</c:v>
                </c:pt>
                <c:pt idx="5">
                  <c:v>183431</c:v>
                </c:pt>
                <c:pt idx="6">
                  <c:v>148528</c:v>
                </c:pt>
                <c:pt idx="7">
                  <c:v>185980</c:v>
                </c:pt>
                <c:pt idx="8">
                  <c:v>153355</c:v>
                </c:pt>
                <c:pt idx="9">
                  <c:v>136482</c:v>
                </c:pt>
              </c:numCache>
            </c:numRef>
          </c:val>
          <c:smooth val="0"/>
          <c:extLst>
            <c:ext xmlns:c16="http://schemas.microsoft.com/office/drawing/2014/chart" uri="{C3380CC4-5D6E-409C-BE32-E72D297353CC}">
              <c16:uniqueId val="{00000001-8BD3-43A2-80A7-91273B0E6537}"/>
            </c:ext>
          </c:extLst>
        </c:ser>
        <c:dLbls>
          <c:showLegendKey val="0"/>
          <c:showVal val="0"/>
          <c:showCatName val="0"/>
          <c:showSerName val="0"/>
          <c:showPercent val="0"/>
          <c:showBubbleSize val="0"/>
        </c:dLbls>
        <c:smooth val="0"/>
        <c:axId val="258750992"/>
        <c:axId val="258744272"/>
      </c:lineChart>
      <c:catAx>
        <c:axId val="2587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58744272"/>
        <c:crosses val="autoZero"/>
        <c:auto val="1"/>
        <c:lblAlgn val="ctr"/>
        <c:lblOffset val="100"/>
        <c:noMultiLvlLbl val="0"/>
      </c:catAx>
      <c:valAx>
        <c:axId val="258744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5875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Table!$B$181</c:f>
              <c:strCache>
                <c:ptCount val="1"/>
                <c:pt idx="0">
                  <c:v>Total</c:v>
                </c:pt>
              </c:strCache>
            </c:strRef>
          </c:tx>
          <c:spPr>
            <a:solidFill>
              <a:schemeClr val="accent1"/>
            </a:solidFill>
            <a:ln>
              <a:noFill/>
            </a:ln>
            <a:effectLst/>
          </c:spPr>
          <c:invertIfNegative val="0"/>
          <c:cat>
            <c:strRef>
              <c:f>Table!$A$182:$A$192</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Table!$B$182:$B$192</c:f>
              <c:numCache>
                <c:formatCode>0</c:formatCode>
                <c:ptCount val="10"/>
                <c:pt idx="0">
                  <c:v>560518</c:v>
                </c:pt>
                <c:pt idx="1">
                  <c:v>533971</c:v>
                </c:pt>
                <c:pt idx="2">
                  <c:v>465749</c:v>
                </c:pt>
                <c:pt idx="3">
                  <c:v>640750</c:v>
                </c:pt>
                <c:pt idx="4">
                  <c:v>533428</c:v>
                </c:pt>
                <c:pt idx="5">
                  <c:v>560182</c:v>
                </c:pt>
                <c:pt idx="6">
                  <c:v>483041</c:v>
                </c:pt>
                <c:pt idx="7">
                  <c:v>618592</c:v>
                </c:pt>
                <c:pt idx="8">
                  <c:v>528778</c:v>
                </c:pt>
                <c:pt idx="9">
                  <c:v>458158</c:v>
                </c:pt>
              </c:numCache>
            </c:numRef>
          </c:val>
          <c:extLst>
            <c:ext xmlns:c16="http://schemas.microsoft.com/office/drawing/2014/chart" uri="{C3380CC4-5D6E-409C-BE32-E72D297353CC}">
              <c16:uniqueId val="{00000000-CF55-4467-BDD6-FD33DE616416}"/>
            </c:ext>
          </c:extLst>
        </c:ser>
        <c:dLbls>
          <c:showLegendKey val="0"/>
          <c:showVal val="0"/>
          <c:showCatName val="0"/>
          <c:showSerName val="0"/>
          <c:showPercent val="0"/>
          <c:showBubbleSize val="0"/>
        </c:dLbls>
        <c:gapWidth val="219"/>
        <c:overlap val="-27"/>
        <c:axId val="2029282624"/>
        <c:axId val="2029258624"/>
      </c:barChart>
      <c:catAx>
        <c:axId val="2029282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58624"/>
        <c:crosses val="autoZero"/>
        <c:auto val="1"/>
        <c:lblAlgn val="ctr"/>
        <c:lblOffset val="100"/>
        <c:noMultiLvlLbl val="0"/>
      </c:catAx>
      <c:valAx>
        <c:axId val="2029258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02928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[Electric_Service_Data.xlsx]Table!PivotTable11</c:name>
    <c:fmtId val="29"/>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5.862740227752606E-2"/>
          <c:y val="8.0445544554455448E-2"/>
          <c:w val="0.85288587217334966"/>
          <c:h val="0.72040032743431826"/>
        </c:manualLayout>
      </c:layout>
      <c:bar3DChart>
        <c:barDir val="col"/>
        <c:grouping val="standard"/>
        <c:varyColors val="0"/>
        <c:ser>
          <c:idx val="0"/>
          <c:order val="0"/>
          <c:tx>
            <c:strRef>
              <c:f>Table!$C$162</c:f>
              <c:strCache>
                <c:ptCount val="1"/>
                <c:pt idx="0">
                  <c:v>Total</c:v>
                </c:pt>
              </c:strCache>
            </c:strRef>
          </c:tx>
          <c:invertIfNegative val="0"/>
          <c:cat>
            <c:strRef>
              <c:f>Table!$B$163:$B$173</c:f>
              <c:strCache>
                <c:ptCount val="10"/>
                <c:pt idx="0">
                  <c:v>Amit Sharma</c:v>
                </c:pt>
                <c:pt idx="1">
                  <c:v>Deepak Joshi</c:v>
                </c:pt>
                <c:pt idx="2">
                  <c:v>Harsh Desai</c:v>
                </c:pt>
                <c:pt idx="3">
                  <c:v>Kunal Mehta</c:v>
                </c:pt>
                <c:pt idx="4">
                  <c:v>Manoj Gupta</c:v>
                </c:pt>
                <c:pt idx="5">
                  <c:v>Nilesh Shah</c:v>
                </c:pt>
                <c:pt idx="6">
                  <c:v>Rajesh Patel</c:v>
                </c:pt>
                <c:pt idx="7">
                  <c:v>Ravi Verma</c:v>
                </c:pt>
                <c:pt idx="8">
                  <c:v>Suresh Rao</c:v>
                </c:pt>
                <c:pt idx="9">
                  <c:v>Vikas Singh</c:v>
                </c:pt>
              </c:strCache>
            </c:strRef>
          </c:cat>
          <c:val>
            <c:numRef>
              <c:f>Table!$C$163:$C$173</c:f>
              <c:numCache>
                <c:formatCode>0</c:formatCode>
                <c:ptCount val="10"/>
                <c:pt idx="0">
                  <c:v>175368</c:v>
                </c:pt>
                <c:pt idx="1">
                  <c:v>166560</c:v>
                </c:pt>
                <c:pt idx="2">
                  <c:v>139773</c:v>
                </c:pt>
                <c:pt idx="3">
                  <c:v>195890</c:v>
                </c:pt>
                <c:pt idx="4">
                  <c:v>164167</c:v>
                </c:pt>
                <c:pt idx="5">
                  <c:v>183431</c:v>
                </c:pt>
                <c:pt idx="6">
                  <c:v>148528</c:v>
                </c:pt>
                <c:pt idx="7">
                  <c:v>185980</c:v>
                </c:pt>
                <c:pt idx="8">
                  <c:v>153355</c:v>
                </c:pt>
                <c:pt idx="9">
                  <c:v>136482</c:v>
                </c:pt>
              </c:numCache>
            </c:numRef>
          </c:val>
          <c:extLst>
            <c:ext xmlns:c16="http://schemas.microsoft.com/office/drawing/2014/chart" uri="{C3380CC4-5D6E-409C-BE32-E72D297353CC}">
              <c16:uniqueId val="{00000003-B0C0-441F-8585-7B1887293317}"/>
            </c:ext>
          </c:extLst>
        </c:ser>
        <c:dLbls>
          <c:showLegendKey val="0"/>
          <c:showVal val="0"/>
          <c:showCatName val="0"/>
          <c:showSerName val="0"/>
          <c:showPercent val="0"/>
          <c:showBubbleSize val="0"/>
        </c:dLbls>
        <c:gapWidth val="150"/>
        <c:shape val="box"/>
        <c:axId val="308061824"/>
        <c:axId val="308071904"/>
        <c:axId val="200838016"/>
      </c:bar3DChart>
      <c:catAx>
        <c:axId val="30806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71904"/>
        <c:crosses val="autoZero"/>
        <c:auto val="1"/>
        <c:lblAlgn val="ctr"/>
        <c:lblOffset val="100"/>
        <c:noMultiLvlLbl val="0"/>
      </c:catAx>
      <c:valAx>
        <c:axId val="30807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61824"/>
        <c:crosses val="autoZero"/>
        <c:crossBetween val="between"/>
      </c:valAx>
      <c:serAx>
        <c:axId val="2008380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71904"/>
        <c:crosses val="autoZero"/>
      </c:serAx>
    </c:plotArea>
    <c:plotVisOnly val="1"/>
    <c:dispBlanksAs val="gap"/>
    <c:showDLblsOverMax val="0"/>
    <c:extLst/>
  </c:chart>
  <c:txPr>
    <a:bodyPr/>
    <a:lstStyle/>
    <a:p>
      <a:pPr>
        <a:defRPr/>
      </a:pPr>
      <a:endParaRPr lang="en-US"/>
    </a:p>
  </c:txPr>
  <c:printSettings>
    <c:headerFooter/>
    <c:pageMargins b="0.75" l="0.7" r="0.7" t="0.75" header="0.3" footer="0.3"/>
    <c:pageSetup orientation="portrait"/>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Table!$B$247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Table!$A$248:$A$258</c:f>
              <c:strCache>
                <c:ptCount val="10"/>
                <c:pt idx="0">
                  <c:v>AC Installation</c:v>
                </c:pt>
                <c:pt idx="1">
                  <c:v>Fan Repair</c:v>
                </c:pt>
                <c:pt idx="2">
                  <c:v>Home Automation</c:v>
                </c:pt>
                <c:pt idx="3">
                  <c:v>Inverter Repair</c:v>
                </c:pt>
                <c:pt idx="4">
                  <c:v>Lighting Installation</c:v>
                </c:pt>
                <c:pt idx="5">
                  <c:v>Meter Installation</c:v>
                </c:pt>
                <c:pt idx="6">
                  <c:v>Power Backup Setup</c:v>
                </c:pt>
                <c:pt idx="7">
                  <c:v>Solar Panel Service</c:v>
                </c:pt>
                <c:pt idx="8">
                  <c:v>Switchboard Repair</c:v>
                </c:pt>
                <c:pt idx="9">
                  <c:v>Wiring Repair</c:v>
                </c:pt>
              </c:strCache>
            </c:strRef>
          </c:cat>
          <c:val>
            <c:numRef>
              <c:f>Table!$B$248:$B$258</c:f>
              <c:numCache>
                <c:formatCode>0</c:formatCode>
                <c:ptCount val="10"/>
                <c:pt idx="0">
                  <c:v>156692</c:v>
                </c:pt>
                <c:pt idx="1">
                  <c:v>195048</c:v>
                </c:pt>
                <c:pt idx="2">
                  <c:v>182659</c:v>
                </c:pt>
                <c:pt idx="3">
                  <c:v>153512</c:v>
                </c:pt>
                <c:pt idx="4">
                  <c:v>172255</c:v>
                </c:pt>
                <c:pt idx="5">
                  <c:v>165771</c:v>
                </c:pt>
                <c:pt idx="6">
                  <c:v>155334</c:v>
                </c:pt>
                <c:pt idx="7">
                  <c:v>152893</c:v>
                </c:pt>
                <c:pt idx="8">
                  <c:v>157701</c:v>
                </c:pt>
                <c:pt idx="9">
                  <c:v>157669</c:v>
                </c:pt>
              </c:numCache>
            </c:numRef>
          </c:val>
          <c:extLst>
            <c:ext xmlns:c16="http://schemas.microsoft.com/office/drawing/2014/chart" uri="{C3380CC4-5D6E-409C-BE32-E72D297353CC}">
              <c16:uniqueId val="{00000000-064D-4D40-999C-7F11AD5F2D01}"/>
            </c:ext>
          </c:extLst>
        </c:ser>
        <c:dLbls>
          <c:showLegendKey val="0"/>
          <c:showVal val="0"/>
          <c:showCatName val="0"/>
          <c:showSerName val="0"/>
          <c:showPercent val="0"/>
          <c:showBubbleSize val="0"/>
        </c:dLbls>
        <c:gapWidth val="182"/>
        <c:axId val="258740912"/>
        <c:axId val="258752432"/>
      </c:barChart>
      <c:catAx>
        <c:axId val="25874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52432"/>
        <c:crosses val="autoZero"/>
        <c:auto val="1"/>
        <c:lblAlgn val="ctr"/>
        <c:lblOffset val="100"/>
        <c:noMultiLvlLbl val="0"/>
      </c:catAx>
      <c:valAx>
        <c:axId val="258752432"/>
        <c:scaling>
          <c:orientation val="minMax"/>
        </c:scaling>
        <c:delete val="1"/>
        <c:axPos val="b"/>
        <c:numFmt formatCode="0" sourceLinked="1"/>
        <c:majorTickMark val="none"/>
        <c:minorTickMark val="none"/>
        <c:tickLblPos val="nextTo"/>
        <c:crossAx val="2587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[Electric_Service_Data.xlsx]Table!PivotTable17</c:name>
    <c:fmtId val="3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Table!$B$262</c:f>
              <c:strCache>
                <c:ptCount val="1"/>
                <c:pt idx="0">
                  <c:v>Total</c:v>
                </c:pt>
              </c:strCache>
            </c:strRef>
          </c:tx>
          <c:spPr>
            <a:solidFill>
              <a:schemeClr val="accent1"/>
            </a:solidFill>
            <a:ln>
              <a:noFill/>
            </a:ln>
            <a:effectLst/>
            <a:sp3d/>
          </c:spPr>
          <c:invertIfNegative val="0"/>
          <c:cat>
            <c:strRef>
              <c:f>Table!$A$263:$A$273</c:f>
              <c:strCache>
                <c:ptCount val="10"/>
                <c:pt idx="0">
                  <c:v>Ahmedabad</c:v>
                </c:pt>
                <c:pt idx="1">
                  <c:v>Bhavnagar</c:v>
                </c:pt>
                <c:pt idx="2">
                  <c:v>Indore</c:v>
                </c:pt>
                <c:pt idx="3">
                  <c:v>Jaipur</c:v>
                </c:pt>
                <c:pt idx="4">
                  <c:v>Junagadh</c:v>
                </c:pt>
                <c:pt idx="5">
                  <c:v>Mumbai</c:v>
                </c:pt>
                <c:pt idx="6">
                  <c:v>Pune</c:v>
                </c:pt>
                <c:pt idx="7">
                  <c:v>Rajkot</c:v>
                </c:pt>
                <c:pt idx="8">
                  <c:v>Surat</c:v>
                </c:pt>
                <c:pt idx="9">
                  <c:v>Vadodara</c:v>
                </c:pt>
              </c:strCache>
            </c:strRef>
          </c:cat>
          <c:val>
            <c:numRef>
              <c:f>Table!$B$263:$B$273</c:f>
              <c:numCache>
                <c:formatCode>"₹"\ #,##0</c:formatCode>
                <c:ptCount val="10"/>
                <c:pt idx="0">
                  <c:v>153441</c:v>
                </c:pt>
                <c:pt idx="1">
                  <c:v>167125</c:v>
                </c:pt>
                <c:pt idx="2">
                  <c:v>162739</c:v>
                </c:pt>
                <c:pt idx="3">
                  <c:v>175987</c:v>
                </c:pt>
                <c:pt idx="4">
                  <c:v>156229</c:v>
                </c:pt>
                <c:pt idx="5">
                  <c:v>168812</c:v>
                </c:pt>
                <c:pt idx="6">
                  <c:v>172927</c:v>
                </c:pt>
                <c:pt idx="7">
                  <c:v>163345</c:v>
                </c:pt>
                <c:pt idx="8">
                  <c:v>165953</c:v>
                </c:pt>
                <c:pt idx="9">
                  <c:v>162976</c:v>
                </c:pt>
              </c:numCache>
            </c:numRef>
          </c:val>
          <c:extLst>
            <c:ext xmlns:c16="http://schemas.microsoft.com/office/drawing/2014/chart" uri="{C3380CC4-5D6E-409C-BE32-E72D297353CC}">
              <c16:uniqueId val="{00000000-0D43-460E-A23E-1ABBA7EC570E}"/>
            </c:ext>
          </c:extLst>
        </c:ser>
        <c:dLbls>
          <c:showLegendKey val="0"/>
          <c:showVal val="0"/>
          <c:showCatName val="0"/>
          <c:showSerName val="0"/>
          <c:showPercent val="0"/>
          <c:showBubbleSize val="0"/>
        </c:dLbls>
        <c:gapWidth val="150"/>
        <c:shape val="box"/>
        <c:axId val="308052224"/>
        <c:axId val="308026784"/>
        <c:axId val="0"/>
      </c:bar3DChart>
      <c:catAx>
        <c:axId val="30805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8026784"/>
        <c:crosses val="autoZero"/>
        <c:auto val="1"/>
        <c:lblAlgn val="ctr"/>
        <c:lblOffset val="100"/>
        <c:noMultiLvlLbl val="0"/>
      </c:catAx>
      <c:valAx>
        <c:axId val="308026784"/>
        <c:scaling>
          <c:orientation val="minMax"/>
        </c:scaling>
        <c:delete val="0"/>
        <c:axPos val="l"/>
        <c:majorGridlines>
          <c:spPr>
            <a:ln w="9525" cap="flat" cmpd="sng" algn="ctr">
              <a:no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80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rofit!A1"/><Relationship Id="rId7" Type="http://schemas.openxmlformats.org/officeDocument/2006/relationships/chart" Target="../charts/chart4.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rofit!A1"/><Relationship Id="rId7" Type="http://schemas.openxmlformats.org/officeDocument/2006/relationships/chart" Target="../charts/chart5.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Profit!A1"/><Relationship Id="rId7" Type="http://schemas.openxmlformats.org/officeDocument/2006/relationships/chart" Target="../charts/chart8.xml"/><Relationship Id="rId2" Type="http://schemas.openxmlformats.org/officeDocument/2006/relationships/hyperlink" Target="#Employee!A1"/><Relationship Id="rId1" Type="http://schemas.openxmlformats.org/officeDocument/2006/relationships/hyperlink" Target="#'Overview '!A1"/><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AA13E4FE-2DD6-4F5E-93BC-919F6E8AF15C}"/>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53BA522A-8C31-4521-BA69-B040BEA02195}"/>
            </a:ext>
          </a:extLst>
        </xdr:cNvPr>
        <xdr:cNvSpPr/>
      </xdr:nvSpPr>
      <xdr:spPr>
        <a:xfrm>
          <a:off x="114300" y="50800"/>
          <a:ext cx="11506200" cy="60960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0F57D5E4-EE7D-4454-9689-D535CD60660C}"/>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84157A3D-3DBD-4810-8198-85015C521C60}"/>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949181A7-E100-4599-B9B2-F542C9A3F210}"/>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D77A3D9A-C253-4A82-8908-97FDD2EC132D}"/>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2B035CA5-1177-49BA-99DE-0CA2E012BA50}"/>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A5DB3039-D523-4F84-AE81-6C6BFA94C5BA}"/>
            </a:ext>
          </a:extLst>
        </xdr:cNvPr>
        <xdr:cNvSpPr txBox="1"/>
      </xdr:nvSpPr>
      <xdr:spPr>
        <a:xfrm>
          <a:off x="3327400" y="76200"/>
          <a:ext cx="4267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CDC18C66-11EB-4533-8B5A-E6212C0ED78B}"/>
            </a:ext>
          </a:extLst>
        </xdr:cNvPr>
        <xdr:cNvSpPr txBox="1"/>
      </xdr:nvSpPr>
      <xdr:spPr>
        <a:xfrm>
          <a:off x="292100" y="2636520"/>
          <a:ext cx="1168400" cy="3784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45CC8764-BDD5-4E17-8371-1AFAA3C8A21A}"/>
            </a:ext>
          </a:extLst>
        </xdr:cNvPr>
        <xdr:cNvSpPr txBox="1"/>
      </xdr:nvSpPr>
      <xdr:spPr>
        <a:xfrm>
          <a:off x="292100" y="3695700"/>
          <a:ext cx="88900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5763E480-DE60-4526-B23E-91BD4B7253D9}"/>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68D232A9-1BC5-4D54-8985-80929C643082}"/>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Table!C16">
      <xdr:nvSpPr>
        <xdr:cNvPr id="14" name="Rectangle: Rounded Corners 13">
          <a:extLst>
            <a:ext uri="{FF2B5EF4-FFF2-40B4-BE49-F238E27FC236}">
              <a16:creationId xmlns:a16="http://schemas.microsoft.com/office/drawing/2014/main" id="{9AE17028-D040-4816-914F-A71650FF561E}"/>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A6B649-9E0A-4106-8A8E-F367E9E72912}" type="TxLink">
            <a:rPr lang="en-US" sz="2400" b="1" i="0" u="none" strike="noStrike">
              <a:solidFill>
                <a:srgbClr val="000000"/>
              </a:solidFill>
              <a:latin typeface="Calibri"/>
              <a:cs typeface="Calibri"/>
            </a:rPr>
            <a:t>1000</a:t>
          </a:fld>
          <a:endParaRPr lang="en-IN" sz="2400" b="1"/>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62B565AF-EAE2-431A-8530-E492B41DCD66}"/>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7FF5FD35-1895-4EB0-810B-FDCA2843E18B}"/>
            </a:ext>
          </a:extLst>
        </xdr:cNvPr>
        <xdr:cNvSpPr/>
      </xdr:nvSpPr>
      <xdr:spPr>
        <a:xfrm>
          <a:off x="12115800" y="2032000"/>
          <a:ext cx="1651000" cy="520700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16E4891E-CBB0-4F46-B504-8BFDCAE0D807}"/>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FB8C2219-709F-4CEF-A932-6F980E181F82}"/>
            </a:ext>
          </a:extLst>
        </xdr:cNvPr>
        <xdr:cNvSpPr/>
      </xdr:nvSpPr>
      <xdr:spPr>
        <a:xfrm>
          <a:off x="8055186" y="2062480"/>
          <a:ext cx="3534834" cy="532892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76200</xdr:colOff>
      <xdr:row>13</xdr:row>
      <xdr:rowOff>0</xdr:rowOff>
    </xdr:from>
    <xdr:to>
      <xdr:col>7</xdr:col>
      <xdr:colOff>444500</xdr:colOff>
      <xdr:row>24</xdr:row>
      <xdr:rowOff>101600</xdr:rowOff>
    </xdr:to>
    <xdr:sp macro="" textlink="">
      <xdr:nvSpPr>
        <xdr:cNvPr id="19" name="Rectangle: Rounded Corners 18">
          <a:extLst>
            <a:ext uri="{FF2B5EF4-FFF2-40B4-BE49-F238E27FC236}">
              <a16:creationId xmlns:a16="http://schemas.microsoft.com/office/drawing/2014/main" id="{DF0C8F71-4866-4F0E-978F-807C5F615915}"/>
            </a:ext>
          </a:extLst>
        </xdr:cNvPr>
        <xdr:cNvSpPr/>
      </xdr:nvSpPr>
      <xdr:spPr>
        <a:xfrm>
          <a:off x="2514600" y="2377440"/>
          <a:ext cx="2197100"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20" name="Rectangle: Rounded Corners 19">
          <a:extLst>
            <a:ext uri="{FF2B5EF4-FFF2-40B4-BE49-F238E27FC236}">
              <a16:creationId xmlns:a16="http://schemas.microsoft.com/office/drawing/2014/main" id="{6B4EF79E-8A2F-4B99-82B6-E63CC1722682}"/>
            </a:ext>
          </a:extLst>
        </xdr:cNvPr>
        <xdr:cNvSpPr/>
      </xdr:nvSpPr>
      <xdr:spPr>
        <a:xfrm>
          <a:off x="2459566" y="4818380"/>
          <a:ext cx="5189220" cy="2270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414866</xdr:colOff>
      <xdr:row>5</xdr:row>
      <xdr:rowOff>114300</xdr:rowOff>
    </xdr:from>
    <xdr:to>
      <xdr:col>13</xdr:col>
      <xdr:colOff>97366</xdr:colOff>
      <xdr:row>10</xdr:row>
      <xdr:rowOff>25400</xdr:rowOff>
    </xdr:to>
    <xdr:sp macro="" textlink="Table!C33">
      <xdr:nvSpPr>
        <xdr:cNvPr id="21" name="Rectangle: Rounded Corners 20">
          <a:extLst>
            <a:ext uri="{FF2B5EF4-FFF2-40B4-BE49-F238E27FC236}">
              <a16:creationId xmlns:a16="http://schemas.microsoft.com/office/drawing/2014/main" id="{F9566BC2-1010-42C7-93E5-16E2D32A4EB5}"/>
            </a:ext>
          </a:extLst>
        </xdr:cNvPr>
        <xdr:cNvSpPr/>
      </xdr:nvSpPr>
      <xdr:spPr>
        <a:xfrm>
          <a:off x="5901266" y="1028700"/>
          <a:ext cx="212852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95260F0-3D9A-4EFC-B43B-95E2CBFDBB56}" type="TxLink">
            <a:rPr lang="en-US" sz="2400" b="1" i="0" u="none" strike="noStrike">
              <a:solidFill>
                <a:srgbClr val="000000"/>
              </a:solidFill>
              <a:latin typeface="Calibri"/>
              <a:cs typeface="Calibri"/>
            </a:rPr>
            <a:pPr algn="ctr"/>
            <a:t>₹ 53,83,167</a:t>
          </a:fld>
          <a:endParaRPr lang="en-IN"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D49">
      <xdr:nvSpPr>
        <xdr:cNvPr id="22" name="Rectangle: Rounded Corners 21">
          <a:extLst>
            <a:ext uri="{FF2B5EF4-FFF2-40B4-BE49-F238E27FC236}">
              <a16:creationId xmlns:a16="http://schemas.microsoft.com/office/drawing/2014/main" id="{C0058F41-5CBA-432F-9FC9-1C2A12499211}"/>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642FACE-6DBD-46F1-8D41-01A1562451B2}" type="TxLink">
            <a:rPr lang="en-US" sz="2400" b="1" i="0" u="none" strike="noStrike">
              <a:solidFill>
                <a:srgbClr val="000000"/>
              </a:solidFill>
              <a:latin typeface="Calibri"/>
              <a:cs typeface="Calibri"/>
            </a:rPr>
            <a:pPr algn="ctr"/>
            <a:t>3.7</a:t>
          </a:fld>
          <a:endParaRPr lang="en-IN" sz="2400" b="1"/>
        </a:p>
      </xdr:txBody>
    </xdr:sp>
    <xdr:clientData/>
  </xdr:twoCellAnchor>
  <xdr:twoCellAnchor>
    <xdr:from>
      <xdr:col>4</xdr:col>
      <xdr:colOff>584200</xdr:colOff>
      <xdr:row>5</xdr:row>
      <xdr:rowOff>0</xdr:rowOff>
    </xdr:from>
    <xdr:to>
      <xdr:col>8</xdr:col>
      <xdr:colOff>50800</xdr:colOff>
      <xdr:row>7</xdr:row>
      <xdr:rowOff>0</xdr:rowOff>
    </xdr:to>
    <xdr:sp macro="" textlink="">
      <xdr:nvSpPr>
        <xdr:cNvPr id="23" name="TextBox 22">
          <a:extLst>
            <a:ext uri="{FF2B5EF4-FFF2-40B4-BE49-F238E27FC236}">
              <a16:creationId xmlns:a16="http://schemas.microsoft.com/office/drawing/2014/main" id="{97BF072D-BE50-4770-BB39-1266FEB47EA4}"/>
            </a:ext>
          </a:extLst>
        </xdr:cNvPr>
        <xdr:cNvSpPr txBox="1"/>
      </xdr:nvSpPr>
      <xdr:spPr>
        <a:xfrm>
          <a:off x="3022600" y="914400"/>
          <a:ext cx="19050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Service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mc:Choice xmlns:a14="http://schemas.microsoft.com/office/drawing/2010/main" Requires="a14">
        <xdr:graphicFrame macro="">
          <xdr:nvGraphicFramePr>
            <xdr:cNvPr id="24" name="Months (Date) 1">
              <a:extLst>
                <a:ext uri="{FF2B5EF4-FFF2-40B4-BE49-F238E27FC236}">
                  <a16:creationId xmlns:a16="http://schemas.microsoft.com/office/drawing/2014/main" id="{6B94CF32-F1AE-4985-B50F-65718C7D415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165100</xdr:rowOff>
    </xdr:from>
    <xdr:to>
      <xdr:col>13</xdr:col>
      <xdr:colOff>228600</xdr:colOff>
      <xdr:row>7</xdr:row>
      <xdr:rowOff>0</xdr:rowOff>
    </xdr:to>
    <xdr:sp macro="" textlink="">
      <xdr:nvSpPr>
        <xdr:cNvPr id="25" name="TextBox 24">
          <a:extLst>
            <a:ext uri="{FF2B5EF4-FFF2-40B4-BE49-F238E27FC236}">
              <a16:creationId xmlns:a16="http://schemas.microsoft.com/office/drawing/2014/main" id="{E0F86FA5-DD88-4F19-82C5-4BD356AE41F3}"/>
            </a:ext>
          </a:extLst>
        </xdr:cNvPr>
        <xdr:cNvSpPr txBox="1"/>
      </xdr:nvSpPr>
      <xdr:spPr>
        <a:xfrm>
          <a:off x="5918200" y="896620"/>
          <a:ext cx="2242820" cy="383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Revenue </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6" name="TextBox 25">
          <a:extLst>
            <a:ext uri="{FF2B5EF4-FFF2-40B4-BE49-F238E27FC236}">
              <a16:creationId xmlns:a16="http://schemas.microsoft.com/office/drawing/2014/main" id="{6CB3DD56-362D-4E16-ACA0-AD4198FA6F5B}"/>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Rating </a:t>
          </a:r>
          <a:endParaRPr lang="en-IN" sz="2400" b="0"/>
        </a:p>
      </xdr:txBody>
    </xdr:sp>
    <xdr:clientData/>
  </xdr:twoCellAnchor>
  <xdr:twoCellAnchor>
    <xdr:from>
      <xdr:col>4</xdr:col>
      <xdr:colOff>21166</xdr:colOff>
      <xdr:row>26</xdr:row>
      <xdr:rowOff>152400</xdr:rowOff>
    </xdr:from>
    <xdr:to>
      <xdr:col>12</xdr:col>
      <xdr:colOff>215900</xdr:colOff>
      <xdr:row>37</xdr:row>
      <xdr:rowOff>127000</xdr:rowOff>
    </xdr:to>
    <xdr:graphicFrame macro="">
      <xdr:nvGraphicFramePr>
        <xdr:cNvPr id="27" name="Chart 26">
          <a:extLst>
            <a:ext uri="{FF2B5EF4-FFF2-40B4-BE49-F238E27FC236}">
              <a16:creationId xmlns:a16="http://schemas.microsoft.com/office/drawing/2014/main" id="{4346B431-A0BA-4622-984E-1F34006E5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122766</xdr:colOff>
      <xdr:row>12</xdr:row>
      <xdr:rowOff>38100</xdr:rowOff>
    </xdr:from>
    <xdr:to>
      <xdr:col>18</xdr:col>
      <xdr:colOff>495300</xdr:colOff>
      <xdr:row>40</xdr:row>
      <xdr:rowOff>0</xdr:rowOff>
    </xdr:to>
    <xdr:graphicFrame macro="">
      <xdr:nvGraphicFramePr>
        <xdr:cNvPr id="28" name="Chart 27">
          <a:extLst>
            <a:ext uri="{FF2B5EF4-FFF2-40B4-BE49-F238E27FC236}">
              <a16:creationId xmlns:a16="http://schemas.microsoft.com/office/drawing/2014/main" id="{B14BB12F-D363-4C8B-8B09-F5F85E122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376766</xdr:colOff>
      <xdr:row>13</xdr:row>
      <xdr:rowOff>25400</xdr:rowOff>
    </xdr:from>
    <xdr:to>
      <xdr:col>12</xdr:col>
      <xdr:colOff>122766</xdr:colOff>
      <xdr:row>24</xdr:row>
      <xdr:rowOff>127000</xdr:rowOff>
    </xdr:to>
    <xdr:sp macro="" textlink="">
      <xdr:nvSpPr>
        <xdr:cNvPr id="29" name="Rectangle: Rounded Corners 28">
          <a:extLst>
            <a:ext uri="{FF2B5EF4-FFF2-40B4-BE49-F238E27FC236}">
              <a16:creationId xmlns:a16="http://schemas.microsoft.com/office/drawing/2014/main" id="{1CCACD9C-E997-4CA8-9935-6967131F118E}"/>
            </a:ext>
          </a:extLst>
        </xdr:cNvPr>
        <xdr:cNvSpPr/>
      </xdr:nvSpPr>
      <xdr:spPr>
        <a:xfrm>
          <a:off x="5253566" y="2402840"/>
          <a:ext cx="2192020"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38100</xdr:colOff>
      <xdr:row>10</xdr:row>
      <xdr:rowOff>114300</xdr:rowOff>
    </xdr:from>
    <xdr:to>
      <xdr:col>9</xdr:col>
      <xdr:colOff>342900</xdr:colOff>
      <xdr:row>26</xdr:row>
      <xdr:rowOff>12700</xdr:rowOff>
    </xdr:to>
    <xdr:graphicFrame macro="">
      <xdr:nvGraphicFramePr>
        <xdr:cNvPr id="30" name="Chart 29">
          <a:extLst>
            <a:ext uri="{FF2B5EF4-FFF2-40B4-BE49-F238E27FC236}">
              <a16:creationId xmlns:a16="http://schemas.microsoft.com/office/drawing/2014/main" id="{E1025FEE-C474-4F85-9F2A-7B3B69256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376766</xdr:colOff>
      <xdr:row>13</xdr:row>
      <xdr:rowOff>127000</xdr:rowOff>
    </xdr:from>
    <xdr:to>
      <xdr:col>12</xdr:col>
      <xdr:colOff>76200</xdr:colOff>
      <xdr:row>23</xdr:row>
      <xdr:rowOff>165100</xdr:rowOff>
    </xdr:to>
    <xdr:graphicFrame macro="">
      <xdr:nvGraphicFramePr>
        <xdr:cNvPr id="31" name="Chart 30">
          <a:extLst>
            <a:ext uri="{FF2B5EF4-FFF2-40B4-BE49-F238E27FC236}">
              <a16:creationId xmlns:a16="http://schemas.microsoft.com/office/drawing/2014/main" id="{A869D5AF-28EB-470D-8015-76ABAD313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342900</xdr:colOff>
      <xdr:row>0</xdr:row>
      <xdr:rowOff>139700</xdr:rowOff>
    </xdr:from>
    <xdr:to>
      <xdr:col>6</xdr:col>
      <xdr:colOff>127000</xdr:colOff>
      <xdr:row>3</xdr:row>
      <xdr:rowOff>0</xdr:rowOff>
    </xdr:to>
    <xdr:pic>
      <xdr:nvPicPr>
        <xdr:cNvPr id="33" name="Graphic 32" descr="Lightning bolt with solid fill">
          <a:extLst>
            <a:ext uri="{FF2B5EF4-FFF2-40B4-BE49-F238E27FC236}">
              <a16:creationId xmlns:a16="http://schemas.microsoft.com/office/drawing/2014/main" id="{3DE29CE7-C64B-6B06-5DA2-1865A882C7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90900" y="139700"/>
          <a:ext cx="393700" cy="39370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34" name="Graphic 33" descr="Lightning bolt with solid fill">
          <a:extLst>
            <a:ext uri="{FF2B5EF4-FFF2-40B4-BE49-F238E27FC236}">
              <a16:creationId xmlns:a16="http://schemas.microsoft.com/office/drawing/2014/main" id="{CDAF5129-B839-4B8D-A933-5B3CBF37A9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50100" y="139700"/>
          <a:ext cx="393700" cy="393700"/>
        </a:xfrm>
        <a:prstGeom prst="rect">
          <a:avLst/>
        </a:prstGeom>
      </xdr:spPr>
    </xdr:pic>
    <xdr:clientData/>
  </xdr:twoCellAnchor>
  <xdr:twoCellAnchor editAs="oneCell">
    <xdr:from>
      <xdr:col>19</xdr:col>
      <xdr:colOff>515620</xdr:colOff>
      <xdr:row>33</xdr:row>
      <xdr:rowOff>81280</xdr:rowOff>
    </xdr:from>
    <xdr:to>
      <xdr:col>22</xdr:col>
      <xdr:colOff>381000</xdr:colOff>
      <xdr:row>40</xdr:row>
      <xdr:rowOff>114300</xdr:rowOff>
    </xdr:to>
    <mc:AlternateContent xmlns:mc="http://schemas.openxmlformats.org/markup-compatibility/2006">
      <mc:Choice xmlns:a14="http://schemas.microsoft.com/office/drawing/2010/main" Requires="a14">
        <xdr:graphicFrame macro="">
          <xdr:nvGraphicFramePr>
            <xdr:cNvPr id="35" name="Status">
              <a:extLst>
                <a:ext uri="{FF2B5EF4-FFF2-40B4-BE49-F238E27FC236}">
                  <a16:creationId xmlns:a16="http://schemas.microsoft.com/office/drawing/2014/main" id="{CE6BE678-BFAC-4DC7-94D6-A5C426ECD4B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110720" y="5948680"/>
              <a:ext cx="1694180" cy="127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25400</xdr:colOff>
      <xdr:row>0</xdr:row>
      <xdr:rowOff>88900</xdr:rowOff>
    </xdr:from>
    <xdr:to>
      <xdr:col>22</xdr:col>
      <xdr:colOff>339725</xdr:colOff>
      <xdr:row>11</xdr:row>
      <xdr:rowOff>50799</xdr:rowOff>
    </xdr:to>
    <xdr:pic>
      <xdr:nvPicPr>
        <xdr:cNvPr id="37" name="Picture 36">
          <a:extLst>
            <a:ext uri="{FF2B5EF4-FFF2-40B4-BE49-F238E27FC236}">
              <a16:creationId xmlns:a16="http://schemas.microsoft.com/office/drawing/2014/main" id="{C7E4886C-996E-E042-CB0D-AB3CCE54C6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620500" y="88900"/>
          <a:ext cx="2143125" cy="191769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13</xdr:col>
      <xdr:colOff>574886</xdr:colOff>
      <xdr:row>11</xdr:row>
      <xdr:rowOff>106680</xdr:rowOff>
    </xdr:from>
    <xdr:to>
      <xdr:col>18</xdr:col>
      <xdr:colOff>312420</xdr:colOff>
      <xdr:row>13</xdr:row>
      <xdr:rowOff>127000</xdr:rowOff>
    </xdr:to>
    <xdr:sp macro="" textlink="">
      <xdr:nvSpPr>
        <xdr:cNvPr id="38" name="TextBox 37">
          <a:extLst>
            <a:ext uri="{FF2B5EF4-FFF2-40B4-BE49-F238E27FC236}">
              <a16:creationId xmlns:a16="http://schemas.microsoft.com/office/drawing/2014/main" id="{10EE9FE3-A1D5-4B83-B5CC-592C73148EFC}"/>
            </a:ext>
          </a:extLst>
        </xdr:cNvPr>
        <xdr:cNvSpPr txBox="1"/>
      </xdr:nvSpPr>
      <xdr:spPr>
        <a:xfrm>
          <a:off x="8512386" y="206248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City</a:t>
          </a:r>
          <a:endParaRPr lang="en-IN" sz="1600" b="1"/>
        </a:p>
      </xdr:txBody>
    </xdr:sp>
    <xdr:clientData/>
  </xdr:twoCellAnchor>
  <xdr:twoCellAnchor>
    <xdr:from>
      <xdr:col>5</xdr:col>
      <xdr:colOff>508000</xdr:colOff>
      <xdr:row>26</xdr:row>
      <xdr:rowOff>38100</xdr:rowOff>
    </xdr:from>
    <xdr:to>
      <xdr:col>10</xdr:col>
      <xdr:colOff>232834</xdr:colOff>
      <xdr:row>28</xdr:row>
      <xdr:rowOff>58420</xdr:rowOff>
    </xdr:to>
    <xdr:sp macro="" textlink="">
      <xdr:nvSpPr>
        <xdr:cNvPr id="39" name="TextBox 38">
          <a:extLst>
            <a:ext uri="{FF2B5EF4-FFF2-40B4-BE49-F238E27FC236}">
              <a16:creationId xmlns:a16="http://schemas.microsoft.com/office/drawing/2014/main" id="{472D6297-C0BE-4748-8DDC-05BFE242D17D}"/>
            </a:ext>
          </a:extLst>
        </xdr:cNvPr>
        <xdr:cNvSpPr txBox="1"/>
      </xdr:nvSpPr>
      <xdr:spPr>
        <a:xfrm>
          <a:off x="3556000" y="466090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Month </a:t>
          </a:r>
          <a:endParaRPr lang="en-IN" sz="1600" b="1"/>
        </a:p>
      </xdr:txBody>
    </xdr:sp>
    <xdr:clientData/>
  </xdr:twoCellAnchor>
  <xdr:twoCellAnchor>
    <xdr:from>
      <xdr:col>8</xdr:col>
      <xdr:colOff>508000</xdr:colOff>
      <xdr:row>12</xdr:row>
      <xdr:rowOff>50800</xdr:rowOff>
    </xdr:from>
    <xdr:to>
      <xdr:col>13</xdr:col>
      <xdr:colOff>232834</xdr:colOff>
      <xdr:row>14</xdr:row>
      <xdr:rowOff>71120</xdr:rowOff>
    </xdr:to>
    <xdr:sp macro="" textlink="">
      <xdr:nvSpPr>
        <xdr:cNvPr id="40" name="TextBox 39">
          <a:extLst>
            <a:ext uri="{FF2B5EF4-FFF2-40B4-BE49-F238E27FC236}">
              <a16:creationId xmlns:a16="http://schemas.microsoft.com/office/drawing/2014/main" id="{2D53BC2D-7CED-4177-8E7F-BCB254C4D49E}"/>
            </a:ext>
          </a:extLst>
        </xdr:cNvPr>
        <xdr:cNvSpPr txBox="1"/>
      </xdr:nvSpPr>
      <xdr:spPr>
        <a:xfrm>
          <a:off x="5384800" y="2184400"/>
          <a:ext cx="2785534"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Customer By service </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60507E69-BDD8-489A-A9EE-6E2A49306DB8}"/>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DCF76560-2453-4A5C-9480-5393D71610CA}"/>
            </a:ext>
          </a:extLst>
        </xdr:cNvPr>
        <xdr:cNvSpPr/>
      </xdr:nvSpPr>
      <xdr:spPr>
        <a:xfrm>
          <a:off x="114300" y="50800"/>
          <a:ext cx="11501120" cy="62484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917FEEB3-3D36-4BC5-8ED6-BC9AFD09F10A}"/>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8D014F9B-3A4D-4EA4-9547-813922CBE0CA}"/>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60DE8DF0-DF93-4612-8732-C55821967B47}"/>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893E928F-905B-4720-959D-01A2F71E11E5}"/>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549177D2-81C0-4A32-A489-51664676DFAD}"/>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FE396267-6CEF-44F3-9A21-B9B6077ADF98}"/>
            </a:ext>
          </a:extLst>
        </xdr:cNvPr>
        <xdr:cNvSpPr txBox="1"/>
      </xdr:nvSpPr>
      <xdr:spPr>
        <a:xfrm>
          <a:off x="3327400" y="76200"/>
          <a:ext cx="426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3A3F9D64-ECD9-4EA3-BC13-A21C9080546C}"/>
            </a:ext>
          </a:extLst>
        </xdr:cNvPr>
        <xdr:cNvSpPr txBox="1"/>
      </xdr:nvSpPr>
      <xdr:spPr>
        <a:xfrm>
          <a:off x="292100" y="2636520"/>
          <a:ext cx="1168400" cy="37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3DEA1E91-0064-49D4-894E-2CC1055F868A}"/>
            </a:ext>
          </a:extLst>
        </xdr:cNvPr>
        <xdr:cNvSpPr txBox="1"/>
      </xdr:nvSpPr>
      <xdr:spPr>
        <a:xfrm>
          <a:off x="292100" y="3695700"/>
          <a:ext cx="889000" cy="3276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F9271026-1FBB-490F-95B7-1B1B3AEDCFA7}"/>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80E711F4-BAA1-4B5B-A0BB-865244CBDA4D}"/>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
      <xdr:nvSpPr>
        <xdr:cNvPr id="14" name="Rectangle: Rounded Corners 13">
          <a:extLst>
            <a:ext uri="{FF2B5EF4-FFF2-40B4-BE49-F238E27FC236}">
              <a16:creationId xmlns:a16="http://schemas.microsoft.com/office/drawing/2014/main" id="{A403F16E-40E4-4964-AC6F-6293C188DED0}"/>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t>10</a:t>
          </a:r>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B5F967F7-5054-48E2-AAE1-E4F25DCC60A2}"/>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71BBFB85-D131-4125-8CDD-2C66A395E904}"/>
            </a:ext>
          </a:extLst>
        </xdr:cNvPr>
        <xdr:cNvSpPr/>
      </xdr:nvSpPr>
      <xdr:spPr>
        <a:xfrm>
          <a:off x="12110720" y="2087880"/>
          <a:ext cx="1651000" cy="535432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16DE66BA-83E3-4F1E-AC42-DE36E9FF880C}"/>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3A0A9BEF-DA88-4E97-B2D2-7FC82DECD69C}"/>
            </a:ext>
          </a:extLst>
        </xdr:cNvPr>
        <xdr:cNvSpPr/>
      </xdr:nvSpPr>
      <xdr:spPr>
        <a:xfrm>
          <a:off x="8055186" y="2062480"/>
          <a:ext cx="3534834" cy="532892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19" name="Rectangle: Rounded Corners 18">
          <a:extLst>
            <a:ext uri="{FF2B5EF4-FFF2-40B4-BE49-F238E27FC236}">
              <a16:creationId xmlns:a16="http://schemas.microsoft.com/office/drawing/2014/main" id="{9F850BAB-44DC-4D7D-8024-564267CD1FA2}"/>
            </a:ext>
          </a:extLst>
        </xdr:cNvPr>
        <xdr:cNvSpPr/>
      </xdr:nvSpPr>
      <xdr:spPr>
        <a:xfrm>
          <a:off x="2459566" y="4818380"/>
          <a:ext cx="5189220" cy="2270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364066</xdr:colOff>
      <xdr:row>5</xdr:row>
      <xdr:rowOff>101600</xdr:rowOff>
    </xdr:from>
    <xdr:to>
      <xdr:col>13</xdr:col>
      <xdr:colOff>46566</xdr:colOff>
      <xdr:row>10</xdr:row>
      <xdr:rowOff>12700</xdr:rowOff>
    </xdr:to>
    <xdr:sp macro="" textlink="Table!C140">
      <xdr:nvSpPr>
        <xdr:cNvPr id="20" name="Rectangle: Rounded Corners 19">
          <a:extLst>
            <a:ext uri="{FF2B5EF4-FFF2-40B4-BE49-F238E27FC236}">
              <a16:creationId xmlns:a16="http://schemas.microsoft.com/office/drawing/2014/main" id="{5BF4E891-8326-460A-ADD2-5D05ABD35B06}"/>
            </a:ext>
          </a:extLst>
        </xdr:cNvPr>
        <xdr:cNvSpPr/>
      </xdr:nvSpPr>
      <xdr:spPr>
        <a:xfrm>
          <a:off x="5850466" y="1016000"/>
          <a:ext cx="212852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4456483-9F19-4FB7-A100-369E0566C0D0}" type="TxLink">
            <a:rPr lang="en-US" sz="2400" b="1" i="0" u="none" strike="noStrike">
              <a:solidFill>
                <a:srgbClr val="000000"/>
              </a:solidFill>
              <a:latin typeface="Calibri"/>
              <a:cs typeface="Calibri"/>
            </a:rPr>
            <a:t>15</a:t>
          </a:fld>
          <a:endParaRPr lang="en-US"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C110">
      <xdr:nvSpPr>
        <xdr:cNvPr id="21" name="Rectangle: Rounded Corners 20">
          <a:extLst>
            <a:ext uri="{FF2B5EF4-FFF2-40B4-BE49-F238E27FC236}">
              <a16:creationId xmlns:a16="http://schemas.microsoft.com/office/drawing/2014/main" id="{D00252CC-3158-42AB-A241-1CCB5EB03885}"/>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97CECFE-707B-4818-B184-D5174F83D5FB}" type="TxLink">
            <a:rPr lang="en-US" sz="2400" b="1" i="0" u="none" strike="noStrike">
              <a:solidFill>
                <a:srgbClr val="000000"/>
              </a:solidFill>
              <a:latin typeface="Calibri"/>
              <a:cs typeface="Calibri"/>
            </a:rPr>
            <a:t>7</a:t>
          </a:fld>
          <a:endParaRPr lang="en-IN" sz="2400" b="1" i="0" u="none" strike="noStrike">
            <a:solidFill>
              <a:srgbClr val="000000"/>
            </a:solidFill>
            <a:latin typeface="Calibri"/>
            <a:cs typeface="Calibri"/>
          </a:endParaRPr>
        </a:p>
      </xdr:txBody>
    </xdr:sp>
    <xdr:clientData/>
  </xdr:twoCellAnchor>
  <xdr:twoCellAnchor>
    <xdr:from>
      <xdr:col>4</xdr:col>
      <xdr:colOff>393700</xdr:colOff>
      <xdr:row>5</xdr:row>
      <xdr:rowOff>0</xdr:rowOff>
    </xdr:from>
    <xdr:to>
      <xdr:col>8</xdr:col>
      <xdr:colOff>292100</xdr:colOff>
      <xdr:row>7</xdr:row>
      <xdr:rowOff>25400</xdr:rowOff>
    </xdr:to>
    <xdr:sp macro="" textlink="">
      <xdr:nvSpPr>
        <xdr:cNvPr id="22" name="TextBox 21">
          <a:extLst>
            <a:ext uri="{FF2B5EF4-FFF2-40B4-BE49-F238E27FC236}">
              <a16:creationId xmlns:a16="http://schemas.microsoft.com/office/drawing/2014/main" id="{43168299-8857-48D7-8ACA-BCA245112409}"/>
            </a:ext>
          </a:extLst>
        </xdr:cNvPr>
        <xdr:cNvSpPr txBox="1"/>
      </xdr:nvSpPr>
      <xdr:spPr>
        <a:xfrm>
          <a:off x="2832100" y="914400"/>
          <a:ext cx="2336800" cy="391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Employee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mc:Choice xmlns:a14="http://schemas.microsoft.com/office/drawing/2010/main" Requires="a14">
        <xdr:graphicFrame macro="">
          <xdr:nvGraphicFramePr>
            <xdr:cNvPr id="23" name="Months (Date) 3">
              <a:extLst>
                <a:ext uri="{FF2B5EF4-FFF2-40B4-BE49-F238E27FC236}">
                  <a16:creationId xmlns:a16="http://schemas.microsoft.com/office/drawing/2014/main" id="{68D674CD-F668-4C52-BB40-B61903F6A10B}"/>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127000</xdr:rowOff>
    </xdr:from>
    <xdr:to>
      <xdr:col>13</xdr:col>
      <xdr:colOff>228600</xdr:colOff>
      <xdr:row>6</xdr:row>
      <xdr:rowOff>165100</xdr:rowOff>
    </xdr:to>
    <xdr:sp macro="" textlink="">
      <xdr:nvSpPr>
        <xdr:cNvPr id="24" name="TextBox 23">
          <a:extLst>
            <a:ext uri="{FF2B5EF4-FFF2-40B4-BE49-F238E27FC236}">
              <a16:creationId xmlns:a16="http://schemas.microsoft.com/office/drawing/2014/main" id="{221271A1-9FD9-4AB6-8D8D-2C8B601DE268}"/>
            </a:ext>
          </a:extLst>
        </xdr:cNvPr>
        <xdr:cNvSpPr txBox="1"/>
      </xdr:nvSpPr>
      <xdr:spPr>
        <a:xfrm>
          <a:off x="5918200" y="858520"/>
          <a:ext cx="22428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0"/>
            <a:t> </a:t>
          </a:r>
          <a:r>
            <a:rPr lang="en-US" sz="2400" b="0">
              <a:solidFill>
                <a:schemeClr val="dk1"/>
              </a:solidFill>
              <a:effectLst/>
              <a:latin typeface="+mn-lt"/>
              <a:ea typeface="+mn-ea"/>
              <a:cs typeface="+mn-cs"/>
            </a:rPr>
            <a:t>Max</a:t>
          </a:r>
          <a:r>
            <a:rPr lang="en-US" sz="2400" b="0" baseline="0">
              <a:solidFill>
                <a:schemeClr val="dk1"/>
              </a:solidFill>
              <a:effectLst/>
              <a:latin typeface="+mn-lt"/>
              <a:ea typeface="+mn-ea"/>
              <a:cs typeface="+mn-cs"/>
            </a:rPr>
            <a:t> Day</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5" name="TextBox 24">
          <a:extLst>
            <a:ext uri="{FF2B5EF4-FFF2-40B4-BE49-F238E27FC236}">
              <a16:creationId xmlns:a16="http://schemas.microsoft.com/office/drawing/2014/main" id="{632A1349-2D3C-4486-9697-4EBEA310CB65}"/>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Time</a:t>
          </a:r>
          <a:endParaRPr lang="en-IN" sz="2400" b="0"/>
        </a:p>
      </xdr:txBody>
    </xdr:sp>
    <xdr:clientData/>
  </xdr:twoCellAnchor>
  <xdr:twoCellAnchor>
    <xdr:from>
      <xdr:col>4</xdr:col>
      <xdr:colOff>190500</xdr:colOff>
      <xdr:row>13</xdr:row>
      <xdr:rowOff>25400</xdr:rowOff>
    </xdr:from>
    <xdr:to>
      <xdr:col>12</xdr:col>
      <xdr:colOff>287866</xdr:colOff>
      <xdr:row>24</xdr:row>
      <xdr:rowOff>127000</xdr:rowOff>
    </xdr:to>
    <xdr:sp macro="" textlink="">
      <xdr:nvSpPr>
        <xdr:cNvPr id="26" name="Rectangle: Rounded Corners 25">
          <a:extLst>
            <a:ext uri="{FF2B5EF4-FFF2-40B4-BE49-F238E27FC236}">
              <a16:creationId xmlns:a16="http://schemas.microsoft.com/office/drawing/2014/main" id="{B7186001-0264-42A5-AF34-53C42836A9DC}"/>
            </a:ext>
          </a:extLst>
        </xdr:cNvPr>
        <xdr:cNvSpPr/>
      </xdr:nvSpPr>
      <xdr:spPr>
        <a:xfrm>
          <a:off x="2628900" y="2402840"/>
          <a:ext cx="4981786" cy="21132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342900</xdr:colOff>
      <xdr:row>0</xdr:row>
      <xdr:rowOff>139700</xdr:rowOff>
    </xdr:from>
    <xdr:to>
      <xdr:col>6</xdr:col>
      <xdr:colOff>127000</xdr:colOff>
      <xdr:row>3</xdr:row>
      <xdr:rowOff>0</xdr:rowOff>
    </xdr:to>
    <xdr:pic>
      <xdr:nvPicPr>
        <xdr:cNvPr id="27" name="Graphic 26" descr="Lightning bolt with solid fill">
          <a:extLst>
            <a:ext uri="{FF2B5EF4-FFF2-40B4-BE49-F238E27FC236}">
              <a16:creationId xmlns:a16="http://schemas.microsoft.com/office/drawing/2014/main" id="{8255C7D6-D21E-4755-BFDC-113CB76503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90900" y="139700"/>
          <a:ext cx="393700" cy="40894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28" name="Graphic 27" descr="Lightning bolt with solid fill">
          <a:extLst>
            <a:ext uri="{FF2B5EF4-FFF2-40B4-BE49-F238E27FC236}">
              <a16:creationId xmlns:a16="http://schemas.microsoft.com/office/drawing/2014/main" id="{FCC95F96-E23F-4769-B85D-011CBE1D404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145020" y="139700"/>
          <a:ext cx="393700" cy="408940"/>
        </a:xfrm>
        <a:prstGeom prst="rect">
          <a:avLst/>
        </a:prstGeom>
      </xdr:spPr>
    </xdr:pic>
    <xdr:clientData/>
  </xdr:twoCellAnchor>
  <xdr:twoCellAnchor editAs="oneCell">
    <xdr:from>
      <xdr:col>19</xdr:col>
      <xdr:colOff>515620</xdr:colOff>
      <xdr:row>33</xdr:row>
      <xdr:rowOff>81280</xdr:rowOff>
    </xdr:from>
    <xdr:to>
      <xdr:col>22</xdr:col>
      <xdr:colOff>381000</xdr:colOff>
      <xdr:row>40</xdr:row>
      <xdr:rowOff>114300</xdr:rowOff>
    </xdr:to>
    <mc:AlternateContent xmlns:mc="http://schemas.openxmlformats.org/markup-compatibility/2006">
      <mc:Choice xmlns:a14="http://schemas.microsoft.com/office/drawing/2010/main" Requires="a14">
        <xdr:graphicFrame macro="">
          <xdr:nvGraphicFramePr>
            <xdr:cNvPr id="29" name="Status 2">
              <a:extLst>
                <a:ext uri="{FF2B5EF4-FFF2-40B4-BE49-F238E27FC236}">
                  <a16:creationId xmlns:a16="http://schemas.microsoft.com/office/drawing/2014/main" id="{E9C6D4BC-0B4F-47A4-BC91-33593F89FB85}"/>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2110720" y="5948680"/>
              <a:ext cx="1694180" cy="127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25400</xdr:colOff>
      <xdr:row>0</xdr:row>
      <xdr:rowOff>88900</xdr:rowOff>
    </xdr:from>
    <xdr:to>
      <xdr:col>22</xdr:col>
      <xdr:colOff>339725</xdr:colOff>
      <xdr:row>11</xdr:row>
      <xdr:rowOff>50799</xdr:rowOff>
    </xdr:to>
    <xdr:pic>
      <xdr:nvPicPr>
        <xdr:cNvPr id="30" name="Picture 29">
          <a:extLst>
            <a:ext uri="{FF2B5EF4-FFF2-40B4-BE49-F238E27FC236}">
              <a16:creationId xmlns:a16="http://schemas.microsoft.com/office/drawing/2014/main" id="{AB263918-5E8F-48C8-B67C-E1588DB5190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15420" y="88900"/>
          <a:ext cx="2143125" cy="197357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13</xdr:col>
      <xdr:colOff>122766</xdr:colOff>
      <xdr:row>12</xdr:row>
      <xdr:rowOff>152400</xdr:rowOff>
    </xdr:from>
    <xdr:to>
      <xdr:col>18</xdr:col>
      <xdr:colOff>431800</xdr:colOff>
      <xdr:row>40</xdr:row>
      <xdr:rowOff>38100</xdr:rowOff>
    </xdr:to>
    <xdr:graphicFrame macro="">
      <xdr:nvGraphicFramePr>
        <xdr:cNvPr id="31" name="Chart 30">
          <a:extLst>
            <a:ext uri="{FF2B5EF4-FFF2-40B4-BE49-F238E27FC236}">
              <a16:creationId xmlns:a16="http://schemas.microsoft.com/office/drawing/2014/main" id="{B8CA8CD6-E86A-43D2-AFDD-382B2FF66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21166</xdr:colOff>
      <xdr:row>27</xdr:row>
      <xdr:rowOff>17780</xdr:rowOff>
    </xdr:from>
    <xdr:to>
      <xdr:col>12</xdr:col>
      <xdr:colOff>228600</xdr:colOff>
      <xdr:row>38</xdr:row>
      <xdr:rowOff>114300</xdr:rowOff>
    </xdr:to>
    <xdr:graphicFrame macro="">
      <xdr:nvGraphicFramePr>
        <xdr:cNvPr id="32" name="Chart 31">
          <a:extLst>
            <a:ext uri="{FF2B5EF4-FFF2-40B4-BE49-F238E27FC236}">
              <a16:creationId xmlns:a16="http://schemas.microsoft.com/office/drawing/2014/main" id="{9B48B883-49C8-4505-AB0E-39E58E14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266700</xdr:colOff>
      <xdr:row>13</xdr:row>
      <xdr:rowOff>139700</xdr:rowOff>
    </xdr:from>
    <xdr:to>
      <xdr:col>12</xdr:col>
      <xdr:colOff>215900</xdr:colOff>
      <xdr:row>24</xdr:row>
      <xdr:rowOff>152400</xdr:rowOff>
    </xdr:to>
    <xdr:graphicFrame macro="">
      <xdr:nvGraphicFramePr>
        <xdr:cNvPr id="33" name="Chart 32">
          <a:extLst>
            <a:ext uri="{FF2B5EF4-FFF2-40B4-BE49-F238E27FC236}">
              <a16:creationId xmlns:a16="http://schemas.microsoft.com/office/drawing/2014/main" id="{843402EB-F59A-45D1-B81A-158177FD6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8466</xdr:colOff>
      <xdr:row>11</xdr:row>
      <xdr:rowOff>76200</xdr:rowOff>
    </xdr:from>
    <xdr:to>
      <xdr:col>18</xdr:col>
      <xdr:colOff>355600</xdr:colOff>
      <xdr:row>14</xdr:row>
      <xdr:rowOff>38100</xdr:rowOff>
    </xdr:to>
    <xdr:sp macro="" textlink="">
      <xdr:nvSpPr>
        <xdr:cNvPr id="34" name="TextBox 33">
          <a:extLst>
            <a:ext uri="{FF2B5EF4-FFF2-40B4-BE49-F238E27FC236}">
              <a16:creationId xmlns:a16="http://schemas.microsoft.com/office/drawing/2014/main" id="{BCA039B9-7D58-41D9-AB7D-4671ED6A03C5}"/>
            </a:ext>
          </a:extLst>
        </xdr:cNvPr>
        <xdr:cNvSpPr txBox="1"/>
      </xdr:nvSpPr>
      <xdr:spPr>
        <a:xfrm>
          <a:off x="8550486" y="2087880"/>
          <a:ext cx="2785534"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Emp by </a:t>
          </a:r>
          <a:r>
            <a:rPr lang="en-US" sz="1600" b="1">
              <a:solidFill>
                <a:schemeClr val="dk1"/>
              </a:solidFill>
              <a:effectLst/>
              <a:latin typeface="+mn-lt"/>
              <a:ea typeface="+mn-ea"/>
              <a:cs typeface="+mn-cs"/>
            </a:rPr>
            <a:t>Customer </a:t>
          </a:r>
          <a:endParaRPr lang="en-IN" sz="1600" b="1"/>
        </a:p>
      </xdr:txBody>
    </xdr:sp>
    <xdr:clientData/>
  </xdr:twoCellAnchor>
  <xdr:twoCellAnchor>
    <xdr:from>
      <xdr:col>5</xdr:col>
      <xdr:colOff>503766</xdr:colOff>
      <xdr:row>12</xdr:row>
      <xdr:rowOff>0</xdr:rowOff>
    </xdr:from>
    <xdr:to>
      <xdr:col>10</xdr:col>
      <xdr:colOff>228600</xdr:colOff>
      <xdr:row>14</xdr:row>
      <xdr:rowOff>139700</xdr:rowOff>
    </xdr:to>
    <xdr:sp macro="" textlink="">
      <xdr:nvSpPr>
        <xdr:cNvPr id="35" name="TextBox 34">
          <a:extLst>
            <a:ext uri="{FF2B5EF4-FFF2-40B4-BE49-F238E27FC236}">
              <a16:creationId xmlns:a16="http://schemas.microsoft.com/office/drawing/2014/main" id="{EAC0A4F6-987B-43CC-9CB3-A38D10604BD8}"/>
            </a:ext>
          </a:extLst>
        </xdr:cNvPr>
        <xdr:cNvSpPr txBox="1"/>
      </xdr:nvSpPr>
      <xdr:spPr>
        <a:xfrm>
          <a:off x="3551766" y="2194560"/>
          <a:ext cx="2780454" cy="50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Emp by</a:t>
          </a:r>
          <a:r>
            <a:rPr lang="en-US" sz="1600" b="1" baseline="0"/>
            <a:t> fees</a:t>
          </a:r>
          <a:r>
            <a:rPr lang="en-US" sz="1600" b="1">
              <a:solidFill>
                <a:schemeClr val="dk1"/>
              </a:solidFill>
              <a:effectLst/>
              <a:latin typeface="+mn-lt"/>
              <a:ea typeface="+mn-ea"/>
              <a:cs typeface="+mn-cs"/>
            </a:rPr>
            <a:t> </a:t>
          </a:r>
          <a:endParaRPr lang="en-IN" sz="16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0.16944</cdr:x>
      <cdr:y>0</cdr:y>
    </cdr:from>
    <cdr:to>
      <cdr:x>0.71595</cdr:x>
      <cdr:y>0.13985</cdr:y>
    </cdr:to>
    <cdr:sp macro="" textlink="">
      <cdr:nvSpPr>
        <cdr:cNvPr id="2" name="TextBox 38">
          <a:extLst xmlns:a="http://schemas.openxmlformats.org/drawingml/2006/main">
            <a:ext uri="{FF2B5EF4-FFF2-40B4-BE49-F238E27FC236}">
              <a16:creationId xmlns:a16="http://schemas.microsoft.com/office/drawing/2014/main" id="{A82824B9-B203-45F7-AA91-87380775E34F}"/>
            </a:ext>
          </a:extLst>
        </cdr:cNvPr>
        <cdr:cNvSpPr txBox="1"/>
      </cdr:nvSpPr>
      <cdr:spPr>
        <a:xfrm xmlns:a="http://schemas.openxmlformats.org/drawingml/2006/main">
          <a:off x="863600" y="0"/>
          <a:ext cx="2785534" cy="2870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600" b="1"/>
            <a:t> Emp by </a:t>
          </a:r>
          <a:r>
            <a:rPr lang="en-US" sz="1600" b="1">
              <a:solidFill>
                <a:schemeClr val="dk1"/>
              </a:solidFill>
              <a:effectLst/>
              <a:latin typeface="+mn-lt"/>
              <a:ea typeface="+mn-ea"/>
              <a:cs typeface="+mn-cs"/>
            </a:rPr>
            <a:t>Day</a:t>
          </a:r>
          <a:endParaRPr lang="en-IN" sz="16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8466</xdr:colOff>
      <xdr:row>0</xdr:row>
      <xdr:rowOff>0</xdr:rowOff>
    </xdr:from>
    <xdr:to>
      <xdr:col>22</xdr:col>
      <xdr:colOff>422123</xdr:colOff>
      <xdr:row>41</xdr:row>
      <xdr:rowOff>145143</xdr:rowOff>
    </xdr:to>
    <xdr:sp macro="" textlink="">
      <xdr:nvSpPr>
        <xdr:cNvPr id="2" name="Rectangle 1">
          <a:extLst>
            <a:ext uri="{FF2B5EF4-FFF2-40B4-BE49-F238E27FC236}">
              <a16:creationId xmlns:a16="http://schemas.microsoft.com/office/drawing/2014/main" id="{F04FFA3B-5C91-45B5-A28F-CC7CCC532F70}"/>
            </a:ext>
          </a:extLst>
        </xdr:cNvPr>
        <xdr:cNvSpPr/>
      </xdr:nvSpPr>
      <xdr:spPr>
        <a:xfrm>
          <a:off x="8466" y="0"/>
          <a:ext cx="13832477" cy="764322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50800</xdr:rowOff>
    </xdr:from>
    <xdr:to>
      <xdr:col>19</xdr:col>
      <xdr:colOff>25400</xdr:colOff>
      <xdr:row>3</xdr:row>
      <xdr:rowOff>127000</xdr:rowOff>
    </xdr:to>
    <xdr:sp macro="" textlink="">
      <xdr:nvSpPr>
        <xdr:cNvPr id="3" name="Rectangle 2">
          <a:extLst>
            <a:ext uri="{FF2B5EF4-FFF2-40B4-BE49-F238E27FC236}">
              <a16:creationId xmlns:a16="http://schemas.microsoft.com/office/drawing/2014/main" id="{704E5E99-6A0F-45ED-8549-C09E3F0E9871}"/>
            </a:ext>
          </a:extLst>
        </xdr:cNvPr>
        <xdr:cNvSpPr/>
      </xdr:nvSpPr>
      <xdr:spPr>
        <a:xfrm>
          <a:off x="114300" y="50800"/>
          <a:ext cx="11501120" cy="624840"/>
        </a:xfrm>
        <a:prstGeom prst="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127000</xdr:rowOff>
    </xdr:from>
    <xdr:to>
      <xdr:col>3</xdr:col>
      <xdr:colOff>25400</xdr:colOff>
      <xdr:row>41</xdr:row>
      <xdr:rowOff>76200</xdr:rowOff>
    </xdr:to>
    <xdr:sp macro="" textlink="">
      <xdr:nvSpPr>
        <xdr:cNvPr id="4" name="Rectangle: Rounded Corners 3">
          <a:extLst>
            <a:ext uri="{FF2B5EF4-FFF2-40B4-BE49-F238E27FC236}">
              <a16:creationId xmlns:a16="http://schemas.microsoft.com/office/drawing/2014/main" id="{9D1E13A7-2055-4905-B36C-CC31468ABEC8}"/>
            </a:ext>
          </a:extLst>
        </xdr:cNvPr>
        <xdr:cNvSpPr/>
      </xdr:nvSpPr>
      <xdr:spPr>
        <a:xfrm>
          <a:off x="0" y="858520"/>
          <a:ext cx="1854200" cy="671576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114301</xdr:colOff>
      <xdr:row>7</xdr:row>
      <xdr:rowOff>143001</xdr:rowOff>
    </xdr:from>
    <xdr:to>
      <xdr:col>2</xdr:col>
      <xdr:colOff>593525</xdr:colOff>
      <xdr:row>11</xdr:row>
      <xdr:rowOff>126994</xdr:rowOff>
    </xdr:to>
    <xdr:sp macro="" textlink="">
      <xdr:nvSpPr>
        <xdr:cNvPr id="5" name="Flowchart: Off-page Connector 6">
          <a:hlinkClick xmlns:r="http://schemas.openxmlformats.org/officeDocument/2006/relationships" r:id="rId1"/>
          <a:extLst>
            <a:ext uri="{FF2B5EF4-FFF2-40B4-BE49-F238E27FC236}">
              <a16:creationId xmlns:a16="http://schemas.microsoft.com/office/drawing/2014/main" id="{B7E98EAE-2B2F-4AD4-A50E-830340BBB339}"/>
            </a:ext>
          </a:extLst>
        </xdr:cNvPr>
        <xdr:cNvSpPr/>
      </xdr:nvSpPr>
      <xdr:spPr>
        <a:xfrm>
          <a:off x="114301" y="1423161"/>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13</xdr:row>
      <xdr:rowOff>139700</xdr:rowOff>
    </xdr:from>
    <xdr:to>
      <xdr:col>2</xdr:col>
      <xdr:colOff>580824</xdr:colOff>
      <xdr:row>17</xdr:row>
      <xdr:rowOff>123693</xdr:rowOff>
    </xdr:to>
    <xdr:sp macro="" textlink="">
      <xdr:nvSpPr>
        <xdr:cNvPr id="6" name="Flowchart: Off-page Connector 6">
          <a:hlinkClick xmlns:r="http://schemas.openxmlformats.org/officeDocument/2006/relationships" r:id="rId2"/>
          <a:extLst>
            <a:ext uri="{FF2B5EF4-FFF2-40B4-BE49-F238E27FC236}">
              <a16:creationId xmlns:a16="http://schemas.microsoft.com/office/drawing/2014/main" id="{5F8F6B76-3317-4B08-9C70-5D80FEFF54DE}"/>
            </a:ext>
          </a:extLst>
        </xdr:cNvPr>
        <xdr:cNvSpPr/>
      </xdr:nvSpPr>
      <xdr:spPr>
        <a:xfrm>
          <a:off x="101600" y="251714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chemeClr val="bg1"/>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19</xdr:row>
      <xdr:rowOff>101600</xdr:rowOff>
    </xdr:from>
    <xdr:to>
      <xdr:col>2</xdr:col>
      <xdr:colOff>580824</xdr:colOff>
      <xdr:row>23</xdr:row>
      <xdr:rowOff>85593</xdr:rowOff>
    </xdr:to>
    <xdr:sp macro="" textlink="">
      <xdr:nvSpPr>
        <xdr:cNvPr id="7" name="Flowchart: Off-page Connector 6">
          <a:hlinkClick xmlns:r="http://schemas.openxmlformats.org/officeDocument/2006/relationships" r:id="rId3"/>
          <a:extLst>
            <a:ext uri="{FF2B5EF4-FFF2-40B4-BE49-F238E27FC236}">
              <a16:creationId xmlns:a16="http://schemas.microsoft.com/office/drawing/2014/main" id="{44DCFB8F-05DE-4AA1-AB4B-9DD60E62E911}"/>
            </a:ext>
          </a:extLst>
        </xdr:cNvPr>
        <xdr:cNvSpPr/>
      </xdr:nvSpPr>
      <xdr:spPr>
        <a:xfrm>
          <a:off x="101600" y="3576320"/>
          <a:ext cx="1698424" cy="715513"/>
        </a:xfrm>
        <a:custGeom>
          <a:avLst/>
          <a:gdLst>
            <a:gd name="csX0" fmla="*/ 0 w 10000"/>
            <a:gd name="csY0" fmla="*/ 0 h 10000"/>
            <a:gd name="csX1" fmla="*/ 10000 w 10000"/>
            <a:gd name="csY1" fmla="*/ 0 h 10000"/>
            <a:gd name="csX2" fmla="*/ 10000 w 10000"/>
            <a:gd name="csY2" fmla="*/ 8000 h 10000"/>
            <a:gd name="csX3" fmla="*/ 5000 w 10000"/>
            <a:gd name="csY3" fmla="*/ 10000 h 10000"/>
            <a:gd name="csX4" fmla="*/ 0 w 10000"/>
            <a:gd name="csY4" fmla="*/ 8000 h 10000"/>
            <a:gd name="csX5" fmla="*/ 0 w 10000"/>
            <a:gd name="csY5" fmla="*/ 0 h 10000"/>
            <a:gd name="csX0" fmla="*/ 0 w 16633"/>
            <a:gd name="csY0" fmla="*/ 0 h 10000"/>
            <a:gd name="csX1" fmla="*/ 10000 w 16633"/>
            <a:gd name="csY1" fmla="*/ 0 h 10000"/>
            <a:gd name="csX2" fmla="*/ 16633 w 16633"/>
            <a:gd name="csY2" fmla="*/ 4580 h 10000"/>
            <a:gd name="csX3" fmla="*/ 5000 w 16633"/>
            <a:gd name="csY3" fmla="*/ 10000 h 10000"/>
            <a:gd name="csX4" fmla="*/ 0 w 16633"/>
            <a:gd name="csY4" fmla="*/ 8000 h 10000"/>
            <a:gd name="csX5" fmla="*/ 0 w 16633"/>
            <a:gd name="csY5" fmla="*/ 0 h 10000"/>
            <a:gd name="csX0" fmla="*/ 0 w 16633"/>
            <a:gd name="csY0" fmla="*/ 0 h 8756"/>
            <a:gd name="csX1" fmla="*/ 10000 w 16633"/>
            <a:gd name="csY1" fmla="*/ 0 h 8756"/>
            <a:gd name="csX2" fmla="*/ 16633 w 16633"/>
            <a:gd name="csY2" fmla="*/ 4580 h 8756"/>
            <a:gd name="csX3" fmla="*/ 10079 w 16633"/>
            <a:gd name="csY3" fmla="*/ 8756 h 8756"/>
            <a:gd name="csX4" fmla="*/ 0 w 16633"/>
            <a:gd name="csY4" fmla="*/ 8000 h 8756"/>
            <a:gd name="csX5" fmla="*/ 0 w 16633"/>
            <a:gd name="csY5" fmla="*/ 0 h 8756"/>
            <a:gd name="csX0" fmla="*/ 0 w 10000"/>
            <a:gd name="csY0" fmla="*/ 0 h 9137"/>
            <a:gd name="csX1" fmla="*/ 6012 w 10000"/>
            <a:gd name="csY1" fmla="*/ 0 h 9137"/>
            <a:gd name="csX2" fmla="*/ 10000 w 10000"/>
            <a:gd name="csY2" fmla="*/ 5231 h 9137"/>
            <a:gd name="csX3" fmla="*/ 6060 w 10000"/>
            <a:gd name="csY3" fmla="*/ 8816 h 9137"/>
            <a:gd name="csX4" fmla="*/ 0 w 10000"/>
            <a:gd name="csY4" fmla="*/ 9137 h 9137"/>
            <a:gd name="csX5" fmla="*/ 0 w 10000"/>
            <a:gd name="csY5" fmla="*/ 0 h 9137"/>
            <a:gd name="csX0" fmla="*/ 0 w 10000"/>
            <a:gd name="csY0" fmla="*/ 0 h 10186"/>
            <a:gd name="csX1" fmla="*/ 6012 w 10000"/>
            <a:gd name="csY1" fmla="*/ 0 h 10186"/>
            <a:gd name="csX2" fmla="*/ 10000 w 10000"/>
            <a:gd name="csY2" fmla="*/ 5725 h 10186"/>
            <a:gd name="csX3" fmla="*/ 6091 w 10000"/>
            <a:gd name="csY3" fmla="*/ 10186 h 10186"/>
            <a:gd name="csX4" fmla="*/ 0 w 10000"/>
            <a:gd name="csY4" fmla="*/ 10000 h 10186"/>
            <a:gd name="csX5" fmla="*/ 0 w 10000"/>
            <a:gd name="csY5" fmla="*/ 0 h 10186"/>
            <a:gd name="csX0" fmla="*/ 0 w 8193"/>
            <a:gd name="csY0" fmla="*/ 0 h 10186"/>
            <a:gd name="csX1" fmla="*/ 6012 w 8193"/>
            <a:gd name="csY1" fmla="*/ 0 h 10186"/>
            <a:gd name="csX2" fmla="*/ 8193 w 8193"/>
            <a:gd name="csY2" fmla="*/ 5167 h 10186"/>
            <a:gd name="csX3" fmla="*/ 6091 w 8193"/>
            <a:gd name="csY3" fmla="*/ 10186 h 10186"/>
            <a:gd name="csX4" fmla="*/ 0 w 8193"/>
            <a:gd name="csY4" fmla="*/ 10000 h 10186"/>
            <a:gd name="csX5" fmla="*/ 0 w 8193"/>
            <a:gd name="csY5" fmla="*/ 0 h 10186"/>
            <a:gd name="csX0" fmla="*/ 0 w 9011"/>
            <a:gd name="csY0" fmla="*/ 0 h 10000"/>
            <a:gd name="csX1" fmla="*/ 7338 w 9011"/>
            <a:gd name="csY1" fmla="*/ 0 h 10000"/>
            <a:gd name="csX2" fmla="*/ 9011 w 9011"/>
            <a:gd name="csY2" fmla="*/ 4525 h 10000"/>
            <a:gd name="csX3" fmla="*/ 7434 w 9011"/>
            <a:gd name="csY3" fmla="*/ 10000 h 10000"/>
            <a:gd name="csX4" fmla="*/ 0 w 9011"/>
            <a:gd name="csY4" fmla="*/ 9817 h 10000"/>
            <a:gd name="csX5" fmla="*/ 0 w 9011"/>
            <a:gd name="csY5" fmla="*/ 0 h 10000"/>
          </a:gdLst>
          <a:ahLst/>
          <a:cxnLst>
            <a:cxn ang="0">
              <a:pos x="csX0" y="csY0"/>
            </a:cxn>
            <a:cxn ang="0">
              <a:pos x="csX1" y="csY1"/>
            </a:cxn>
            <a:cxn ang="0">
              <a:pos x="csX2" y="csY2"/>
            </a:cxn>
            <a:cxn ang="0">
              <a:pos x="csX3" y="csY3"/>
            </a:cxn>
            <a:cxn ang="0">
              <a:pos x="csX4" y="csY4"/>
            </a:cxn>
            <a:cxn ang="0">
              <a:pos x="csX5" y="csY5"/>
            </a:cxn>
          </a:cxnLst>
          <a:rect l="l" t="t" r="r" b="b"/>
          <a:pathLst>
            <a:path w="9011" h="10000">
              <a:moveTo>
                <a:pt x="0" y="0"/>
              </a:moveTo>
              <a:lnTo>
                <a:pt x="7338" y="0"/>
              </a:lnTo>
              <a:lnTo>
                <a:pt x="9011" y="4525"/>
              </a:lnTo>
              <a:lnTo>
                <a:pt x="7434" y="10000"/>
              </a:lnTo>
              <a:lnTo>
                <a:pt x="0" y="9817"/>
              </a:lnTo>
              <a:lnTo>
                <a:pt x="0" y="0"/>
              </a:lnTo>
              <a:close/>
            </a:path>
          </a:pathLst>
        </a:custGeom>
        <a:solidFill>
          <a:srgbClr val="119343"/>
        </a:solidFill>
        <a:ln>
          <a:solidFill>
            <a:schemeClr val="bg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8</xdr:row>
      <xdr:rowOff>114300</xdr:rowOff>
    </xdr:from>
    <xdr:to>
      <xdr:col>2</xdr:col>
      <xdr:colOff>304800</xdr:colOff>
      <xdr:row>10</xdr:row>
      <xdr:rowOff>63500</xdr:rowOff>
    </xdr:to>
    <xdr:sp macro="" textlink="">
      <xdr:nvSpPr>
        <xdr:cNvPr id="8" name="TextBox 7">
          <a:hlinkClick xmlns:r="http://schemas.openxmlformats.org/officeDocument/2006/relationships" r:id="rId1"/>
          <a:extLst>
            <a:ext uri="{FF2B5EF4-FFF2-40B4-BE49-F238E27FC236}">
              <a16:creationId xmlns:a16="http://schemas.microsoft.com/office/drawing/2014/main" id="{8871B57D-1AB3-476D-A971-CC011AFBCBD1}"/>
            </a:ext>
          </a:extLst>
        </xdr:cNvPr>
        <xdr:cNvSpPr txBox="1"/>
      </xdr:nvSpPr>
      <xdr:spPr>
        <a:xfrm>
          <a:off x="304800" y="1577340"/>
          <a:ext cx="12192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Overview</a:t>
          </a:r>
        </a:p>
      </xdr:txBody>
    </xdr:sp>
    <xdr:clientData/>
  </xdr:twoCellAnchor>
  <xdr:twoCellAnchor>
    <xdr:from>
      <xdr:col>5</xdr:col>
      <xdr:colOff>279400</xdr:colOff>
      <xdr:row>0</xdr:row>
      <xdr:rowOff>76200</xdr:rowOff>
    </xdr:from>
    <xdr:to>
      <xdr:col>12</xdr:col>
      <xdr:colOff>266700</xdr:colOff>
      <xdr:row>2</xdr:row>
      <xdr:rowOff>76200</xdr:rowOff>
    </xdr:to>
    <xdr:sp macro="" textlink="">
      <xdr:nvSpPr>
        <xdr:cNvPr id="9" name="TextBox 8">
          <a:extLst>
            <a:ext uri="{FF2B5EF4-FFF2-40B4-BE49-F238E27FC236}">
              <a16:creationId xmlns:a16="http://schemas.microsoft.com/office/drawing/2014/main" id="{995DCF2C-A93C-4428-9E50-6D124AE3B19A}"/>
            </a:ext>
          </a:extLst>
        </xdr:cNvPr>
        <xdr:cNvSpPr txBox="1"/>
      </xdr:nvSpPr>
      <xdr:spPr>
        <a:xfrm>
          <a:off x="3327400" y="76200"/>
          <a:ext cx="426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chemeClr val="bg1"/>
              </a:solidFill>
              <a:effectLst/>
              <a:latin typeface="+mn-lt"/>
              <a:ea typeface="+mn-ea"/>
              <a:cs typeface="+mn-cs"/>
            </a:rPr>
            <a:t>Lorem Ipsum Electric Service</a:t>
          </a:r>
          <a:endParaRPr lang="en-IN" sz="2000" b="1" baseline="0">
            <a:solidFill>
              <a:schemeClr val="bg1"/>
            </a:solidFill>
          </a:endParaRPr>
        </a:p>
      </xdr:txBody>
    </xdr:sp>
    <xdr:clientData/>
  </xdr:twoCellAnchor>
  <xdr:twoCellAnchor>
    <xdr:from>
      <xdr:col>0</xdr:col>
      <xdr:colOff>292100</xdr:colOff>
      <xdr:row>14</xdr:row>
      <xdr:rowOff>76200</xdr:rowOff>
    </xdr:from>
    <xdr:to>
      <xdr:col>2</xdr:col>
      <xdr:colOff>241300</xdr:colOff>
      <xdr:row>16</xdr:row>
      <xdr:rowOff>88900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D5C1BA5B-3111-49F3-A1F9-50AB29F5A400}"/>
            </a:ext>
          </a:extLst>
        </xdr:cNvPr>
        <xdr:cNvSpPr txBox="1"/>
      </xdr:nvSpPr>
      <xdr:spPr>
        <a:xfrm>
          <a:off x="292100" y="2636520"/>
          <a:ext cx="1168400" cy="37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Employee</a:t>
          </a:r>
        </a:p>
      </xdr:txBody>
    </xdr:sp>
    <xdr:clientData/>
  </xdr:twoCellAnchor>
  <xdr:twoCellAnchor>
    <xdr:from>
      <xdr:col>0</xdr:col>
      <xdr:colOff>292100</xdr:colOff>
      <xdr:row>20</xdr:row>
      <xdr:rowOff>38100</xdr:rowOff>
    </xdr:from>
    <xdr:to>
      <xdr:col>1</xdr:col>
      <xdr:colOff>571500</xdr:colOff>
      <xdr:row>22</xdr:row>
      <xdr:rowOff>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A920E923-67F5-4E58-A653-AEFB71FB7FAD}"/>
            </a:ext>
          </a:extLst>
        </xdr:cNvPr>
        <xdr:cNvSpPr txBox="1"/>
      </xdr:nvSpPr>
      <xdr:spPr>
        <a:xfrm>
          <a:off x="292100" y="3695700"/>
          <a:ext cx="889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Profit</a:t>
          </a:r>
        </a:p>
      </xdr:txBody>
    </xdr:sp>
    <xdr:clientData/>
  </xdr:twoCellAnchor>
  <xdr:twoCellAnchor>
    <xdr:from>
      <xdr:col>4</xdr:col>
      <xdr:colOff>368300</xdr:colOff>
      <xdr:row>5</xdr:row>
      <xdr:rowOff>63500</xdr:rowOff>
    </xdr:from>
    <xdr:to>
      <xdr:col>8</xdr:col>
      <xdr:colOff>63500</xdr:colOff>
      <xdr:row>9</xdr:row>
      <xdr:rowOff>152400</xdr:rowOff>
    </xdr:to>
    <xdr:sp macro="" textlink="">
      <xdr:nvSpPr>
        <xdr:cNvPr id="12" name="Rectangle: Rounded Corners 11">
          <a:extLst>
            <a:ext uri="{FF2B5EF4-FFF2-40B4-BE49-F238E27FC236}">
              <a16:creationId xmlns:a16="http://schemas.microsoft.com/office/drawing/2014/main" id="{9AFB6832-9EA2-48B3-B8FC-2B0409128900}"/>
            </a:ext>
          </a:extLst>
        </xdr:cNvPr>
        <xdr:cNvSpPr/>
      </xdr:nvSpPr>
      <xdr:spPr>
        <a:xfrm>
          <a:off x="2806700" y="9779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262466</xdr:colOff>
      <xdr:row>5</xdr:row>
      <xdr:rowOff>76200</xdr:rowOff>
    </xdr:from>
    <xdr:to>
      <xdr:col>12</xdr:col>
      <xdr:colOff>554566</xdr:colOff>
      <xdr:row>9</xdr:row>
      <xdr:rowOff>165100</xdr:rowOff>
    </xdr:to>
    <xdr:sp macro="" textlink="">
      <xdr:nvSpPr>
        <xdr:cNvPr id="13" name="Rectangle: Rounded Corners 12">
          <a:extLst>
            <a:ext uri="{FF2B5EF4-FFF2-40B4-BE49-F238E27FC236}">
              <a16:creationId xmlns:a16="http://schemas.microsoft.com/office/drawing/2014/main" id="{5471494E-F85E-4475-A0EB-6E4589057D52}"/>
            </a:ext>
          </a:extLst>
        </xdr:cNvPr>
        <xdr:cNvSpPr/>
      </xdr:nvSpPr>
      <xdr:spPr>
        <a:xfrm>
          <a:off x="5748866" y="990600"/>
          <a:ext cx="212852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444500</xdr:colOff>
      <xdr:row>5</xdr:row>
      <xdr:rowOff>101600</xdr:rowOff>
    </xdr:from>
    <xdr:to>
      <xdr:col>8</xdr:col>
      <xdr:colOff>139700</xdr:colOff>
      <xdr:row>10</xdr:row>
      <xdr:rowOff>12700</xdr:rowOff>
    </xdr:to>
    <xdr:sp macro="" textlink="Table!C209">
      <xdr:nvSpPr>
        <xdr:cNvPr id="14" name="Rectangle: Rounded Corners 13">
          <a:extLst>
            <a:ext uri="{FF2B5EF4-FFF2-40B4-BE49-F238E27FC236}">
              <a16:creationId xmlns:a16="http://schemas.microsoft.com/office/drawing/2014/main" id="{485F10D2-62F5-4CE1-A551-A6654D09FFFB}"/>
            </a:ext>
          </a:extLst>
        </xdr:cNvPr>
        <xdr:cNvSpPr/>
      </xdr:nvSpPr>
      <xdr:spPr>
        <a:xfrm>
          <a:off x="2882900" y="10160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DD891F3-133C-47F2-B352-80C302CB0E3C}" type="TxLink">
            <a:rPr lang="en-US" sz="2400" b="1" i="0" u="none" strike="noStrike">
              <a:solidFill>
                <a:srgbClr val="000000"/>
              </a:solidFill>
              <a:latin typeface="Calibri"/>
              <a:cs typeface="Calibri"/>
            </a:rPr>
            <a:t>₹ 16,49,534</a:t>
          </a:fld>
          <a:endParaRPr lang="en-IN" sz="2400" b="1"/>
        </a:p>
      </xdr:txBody>
    </xdr:sp>
    <xdr:clientData/>
  </xdr:twoCellAnchor>
  <xdr:twoCellAnchor>
    <xdr:from>
      <xdr:col>14</xdr:col>
      <xdr:colOff>300566</xdr:colOff>
      <xdr:row>5</xdr:row>
      <xdr:rowOff>76200</xdr:rowOff>
    </xdr:from>
    <xdr:to>
      <xdr:col>17</xdr:col>
      <xdr:colOff>605366</xdr:colOff>
      <xdr:row>9</xdr:row>
      <xdr:rowOff>165100</xdr:rowOff>
    </xdr:to>
    <xdr:sp macro="" textlink="">
      <xdr:nvSpPr>
        <xdr:cNvPr id="15" name="Rectangle: Rounded Corners 14">
          <a:extLst>
            <a:ext uri="{FF2B5EF4-FFF2-40B4-BE49-F238E27FC236}">
              <a16:creationId xmlns:a16="http://schemas.microsoft.com/office/drawing/2014/main" id="{B28907ED-48B6-4226-8CEE-561E762CCE80}"/>
            </a:ext>
          </a:extLst>
        </xdr:cNvPr>
        <xdr:cNvSpPr/>
      </xdr:nvSpPr>
      <xdr:spPr>
        <a:xfrm>
          <a:off x="8842586" y="990600"/>
          <a:ext cx="2133600" cy="820420"/>
        </a:xfrm>
        <a:prstGeom prst="roundRect">
          <a:avLst/>
        </a:prstGeom>
        <a:solidFill>
          <a:srgbClr val="119343"/>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520700</xdr:colOff>
      <xdr:row>11</xdr:row>
      <xdr:rowOff>76200</xdr:rowOff>
    </xdr:from>
    <xdr:to>
      <xdr:col>22</xdr:col>
      <xdr:colOff>342900</xdr:colOff>
      <xdr:row>40</xdr:row>
      <xdr:rowOff>127000</xdr:rowOff>
    </xdr:to>
    <xdr:sp macro="" textlink="">
      <xdr:nvSpPr>
        <xdr:cNvPr id="16" name="Rectangle: Rounded Corners 15">
          <a:extLst>
            <a:ext uri="{FF2B5EF4-FFF2-40B4-BE49-F238E27FC236}">
              <a16:creationId xmlns:a16="http://schemas.microsoft.com/office/drawing/2014/main" id="{61933B52-1964-42DF-969C-39B700C29833}"/>
            </a:ext>
          </a:extLst>
        </xdr:cNvPr>
        <xdr:cNvSpPr/>
      </xdr:nvSpPr>
      <xdr:spPr>
        <a:xfrm>
          <a:off x="12110720" y="2087880"/>
          <a:ext cx="1651000" cy="535432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110066</xdr:colOff>
      <xdr:row>11</xdr:row>
      <xdr:rowOff>101600</xdr:rowOff>
    </xdr:from>
    <xdr:to>
      <xdr:col>18</xdr:col>
      <xdr:colOff>355600</xdr:colOff>
      <xdr:row>39</xdr:row>
      <xdr:rowOff>139700</xdr:rowOff>
    </xdr:to>
    <xdr:sp macro="" textlink="">
      <xdr:nvSpPr>
        <xdr:cNvPr id="17" name="Rectangle: Rounded Corners 16">
          <a:extLst>
            <a:ext uri="{FF2B5EF4-FFF2-40B4-BE49-F238E27FC236}">
              <a16:creationId xmlns:a16="http://schemas.microsoft.com/office/drawing/2014/main" id="{3D50628E-A85C-489A-AA40-4D24FD35473E}"/>
            </a:ext>
          </a:extLst>
        </xdr:cNvPr>
        <xdr:cNvSpPr/>
      </xdr:nvSpPr>
      <xdr:spPr>
        <a:xfrm>
          <a:off x="8042486" y="2113280"/>
          <a:ext cx="3293534" cy="5158740"/>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122766</xdr:colOff>
      <xdr:row>11</xdr:row>
      <xdr:rowOff>50800</xdr:rowOff>
    </xdr:from>
    <xdr:to>
      <xdr:col>19</xdr:col>
      <xdr:colOff>0</xdr:colOff>
      <xdr:row>40</xdr:row>
      <xdr:rowOff>76200</xdr:rowOff>
    </xdr:to>
    <xdr:sp macro="" textlink="">
      <xdr:nvSpPr>
        <xdr:cNvPr id="18" name="Rectangle: Rounded Corners 17">
          <a:extLst>
            <a:ext uri="{FF2B5EF4-FFF2-40B4-BE49-F238E27FC236}">
              <a16:creationId xmlns:a16="http://schemas.microsoft.com/office/drawing/2014/main" id="{FD7B17B4-B87A-4529-B47A-52B1ACEE516E}"/>
            </a:ext>
          </a:extLst>
        </xdr:cNvPr>
        <xdr:cNvSpPr/>
      </xdr:nvSpPr>
      <xdr:spPr>
        <a:xfrm>
          <a:off x="8060266" y="2006600"/>
          <a:ext cx="3534834" cy="51816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21166</xdr:colOff>
      <xdr:row>26</xdr:row>
      <xdr:rowOff>63500</xdr:rowOff>
    </xdr:from>
    <xdr:to>
      <xdr:col>12</xdr:col>
      <xdr:colOff>325966</xdr:colOff>
      <xdr:row>38</xdr:row>
      <xdr:rowOff>139700</xdr:rowOff>
    </xdr:to>
    <xdr:sp macro="" textlink="">
      <xdr:nvSpPr>
        <xdr:cNvPr id="20" name="Rectangle: Rounded Corners 19">
          <a:extLst>
            <a:ext uri="{FF2B5EF4-FFF2-40B4-BE49-F238E27FC236}">
              <a16:creationId xmlns:a16="http://schemas.microsoft.com/office/drawing/2014/main" id="{C2AE4178-2A49-4DF0-84E1-E51D9E159F1A}"/>
            </a:ext>
          </a:extLst>
        </xdr:cNvPr>
        <xdr:cNvSpPr/>
      </xdr:nvSpPr>
      <xdr:spPr>
        <a:xfrm>
          <a:off x="2459566" y="4686300"/>
          <a:ext cx="5194300" cy="22098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364066</xdr:colOff>
      <xdr:row>5</xdr:row>
      <xdr:rowOff>101600</xdr:rowOff>
    </xdr:from>
    <xdr:to>
      <xdr:col>13</xdr:col>
      <xdr:colOff>46566</xdr:colOff>
      <xdr:row>10</xdr:row>
      <xdr:rowOff>12700</xdr:rowOff>
    </xdr:to>
    <xdr:sp macro="" textlink="Table!C225">
      <xdr:nvSpPr>
        <xdr:cNvPr id="21" name="Rectangle: Rounded Corners 20">
          <a:extLst>
            <a:ext uri="{FF2B5EF4-FFF2-40B4-BE49-F238E27FC236}">
              <a16:creationId xmlns:a16="http://schemas.microsoft.com/office/drawing/2014/main" id="{FBC49F63-E5FA-42C8-9D65-3A9235E4480E}"/>
            </a:ext>
          </a:extLst>
        </xdr:cNvPr>
        <xdr:cNvSpPr/>
      </xdr:nvSpPr>
      <xdr:spPr>
        <a:xfrm>
          <a:off x="5850466" y="990600"/>
          <a:ext cx="2133600" cy="8001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620E160-D8B4-4E14-890E-81831937A810}" type="TxLink">
            <a:rPr lang="en-US" sz="2400" b="1" i="0" u="none" strike="noStrike">
              <a:solidFill>
                <a:srgbClr val="000000"/>
              </a:solidFill>
              <a:latin typeface="Calibri"/>
              <a:cs typeface="Calibri"/>
            </a:rPr>
            <a:t>₹ 2,998</a:t>
          </a:fld>
          <a:endParaRPr lang="en-US" sz="2400" b="1"/>
        </a:p>
      </xdr:txBody>
    </xdr:sp>
    <xdr:clientData/>
  </xdr:twoCellAnchor>
  <xdr:twoCellAnchor>
    <xdr:from>
      <xdr:col>14</xdr:col>
      <xdr:colOff>452966</xdr:colOff>
      <xdr:row>5</xdr:row>
      <xdr:rowOff>127000</xdr:rowOff>
    </xdr:from>
    <xdr:to>
      <xdr:col>18</xdr:col>
      <xdr:colOff>148166</xdr:colOff>
      <xdr:row>10</xdr:row>
      <xdr:rowOff>38100</xdr:rowOff>
    </xdr:to>
    <xdr:sp macro="" textlink="Table!C242">
      <xdr:nvSpPr>
        <xdr:cNvPr id="22" name="Rectangle: Rounded Corners 21">
          <a:extLst>
            <a:ext uri="{FF2B5EF4-FFF2-40B4-BE49-F238E27FC236}">
              <a16:creationId xmlns:a16="http://schemas.microsoft.com/office/drawing/2014/main" id="{C553812E-2624-4948-A0FC-93A3F40C3CEB}"/>
            </a:ext>
          </a:extLst>
        </xdr:cNvPr>
        <xdr:cNvSpPr/>
      </xdr:nvSpPr>
      <xdr:spPr>
        <a:xfrm>
          <a:off x="8994986" y="1041400"/>
          <a:ext cx="2133600" cy="825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13A3992-292D-493E-B297-4FF9DF9D9A22}" type="TxLink">
            <a:rPr lang="en-US" sz="2400" b="1" i="0" u="none" strike="noStrike">
              <a:solidFill>
                <a:srgbClr val="000000"/>
              </a:solidFill>
              <a:latin typeface="Calibri"/>
              <a:cs typeface="Calibri"/>
            </a:rPr>
            <a:t>₹ 1,650</a:t>
          </a:fld>
          <a:endParaRPr lang="en-IN" sz="2400" b="1" i="0" u="none" strike="noStrike">
            <a:solidFill>
              <a:srgbClr val="000000"/>
            </a:solidFill>
            <a:latin typeface="Calibri"/>
            <a:cs typeface="Calibri"/>
          </a:endParaRPr>
        </a:p>
      </xdr:txBody>
    </xdr:sp>
    <xdr:clientData/>
  </xdr:twoCellAnchor>
  <xdr:twoCellAnchor>
    <xdr:from>
      <xdr:col>4</xdr:col>
      <xdr:colOff>393700</xdr:colOff>
      <xdr:row>5</xdr:row>
      <xdr:rowOff>0</xdr:rowOff>
    </xdr:from>
    <xdr:to>
      <xdr:col>8</xdr:col>
      <xdr:colOff>292100</xdr:colOff>
      <xdr:row>7</xdr:row>
      <xdr:rowOff>25400</xdr:rowOff>
    </xdr:to>
    <xdr:sp macro="" textlink="">
      <xdr:nvSpPr>
        <xdr:cNvPr id="23" name="TextBox 22">
          <a:extLst>
            <a:ext uri="{FF2B5EF4-FFF2-40B4-BE49-F238E27FC236}">
              <a16:creationId xmlns:a16="http://schemas.microsoft.com/office/drawing/2014/main" id="{10FE484C-8711-47CF-8D7E-F23766551089}"/>
            </a:ext>
          </a:extLst>
        </xdr:cNvPr>
        <xdr:cNvSpPr txBox="1"/>
      </xdr:nvSpPr>
      <xdr:spPr>
        <a:xfrm>
          <a:off x="2832100" y="889000"/>
          <a:ext cx="2336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a:t>Total </a:t>
          </a:r>
          <a:r>
            <a:rPr lang="en-US" sz="2400" b="0"/>
            <a:t>Profit </a:t>
          </a:r>
          <a:endParaRPr lang="en-IN" sz="2400" b="0"/>
        </a:p>
      </xdr:txBody>
    </xdr:sp>
    <xdr:clientData/>
  </xdr:twoCellAnchor>
  <xdr:twoCellAnchor editAs="oneCell">
    <xdr:from>
      <xdr:col>19</xdr:col>
      <xdr:colOff>546100</xdr:colOff>
      <xdr:row>12</xdr:row>
      <xdr:rowOff>88900</xdr:rowOff>
    </xdr:from>
    <xdr:to>
      <xdr:col>22</xdr:col>
      <xdr:colOff>406400</xdr:colOff>
      <xdr:row>33</xdr:row>
      <xdr:rowOff>0</xdr:rowOff>
    </xdr:to>
    <mc:AlternateContent xmlns:mc="http://schemas.openxmlformats.org/markup-compatibility/2006">
      <mc:Choice xmlns:a14="http://schemas.microsoft.com/office/drawing/2010/main" Requires="a14">
        <xdr:graphicFrame macro="">
          <xdr:nvGraphicFramePr>
            <xdr:cNvPr id="24" name="Months (Date) 2">
              <a:extLst>
                <a:ext uri="{FF2B5EF4-FFF2-40B4-BE49-F238E27FC236}">
                  <a16:creationId xmlns:a16="http://schemas.microsoft.com/office/drawing/2014/main" id="{A590AC60-DB3E-4D7B-B718-AFDDD6C7635A}"/>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dr:sp macro="" textlink="">
          <xdr:nvSpPr>
            <xdr:cNvPr id="0" name=""/>
            <xdr:cNvSpPr>
              <a:spLocks noTextEdit="1"/>
            </xdr:cNvSpPr>
          </xdr:nvSpPr>
          <xdr:spPr>
            <a:xfrm>
              <a:off x="12141200" y="2222500"/>
              <a:ext cx="1689100" cy="364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431800</xdr:colOff>
      <xdr:row>4</xdr:row>
      <xdr:rowOff>127000</xdr:rowOff>
    </xdr:from>
    <xdr:to>
      <xdr:col>13</xdr:col>
      <xdr:colOff>228600</xdr:colOff>
      <xdr:row>6</xdr:row>
      <xdr:rowOff>165100</xdr:rowOff>
    </xdr:to>
    <xdr:sp macro="" textlink="">
      <xdr:nvSpPr>
        <xdr:cNvPr id="25" name="TextBox 24">
          <a:extLst>
            <a:ext uri="{FF2B5EF4-FFF2-40B4-BE49-F238E27FC236}">
              <a16:creationId xmlns:a16="http://schemas.microsoft.com/office/drawing/2014/main" id="{3A6A8910-5AC8-4614-9B81-8D281B3955EF}"/>
            </a:ext>
          </a:extLst>
        </xdr:cNvPr>
        <xdr:cNvSpPr txBox="1"/>
      </xdr:nvSpPr>
      <xdr:spPr>
        <a:xfrm>
          <a:off x="5918200" y="838200"/>
          <a:ext cx="22479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0"/>
            <a:t> </a:t>
          </a:r>
          <a:r>
            <a:rPr lang="en-US" sz="2400" b="0">
              <a:solidFill>
                <a:schemeClr val="dk1"/>
              </a:solidFill>
              <a:effectLst/>
              <a:latin typeface="+mn-lt"/>
              <a:ea typeface="+mn-ea"/>
              <a:cs typeface="+mn-cs"/>
            </a:rPr>
            <a:t>Max</a:t>
          </a:r>
          <a:r>
            <a:rPr lang="en-US" sz="2400" b="0" baseline="0">
              <a:solidFill>
                <a:schemeClr val="dk1"/>
              </a:solidFill>
              <a:effectLst/>
              <a:latin typeface="+mn-lt"/>
              <a:ea typeface="+mn-ea"/>
              <a:cs typeface="+mn-cs"/>
            </a:rPr>
            <a:t> Profit</a:t>
          </a:r>
          <a:endParaRPr lang="en-IN" sz="2400" b="0"/>
        </a:p>
      </xdr:txBody>
    </xdr:sp>
    <xdr:clientData/>
  </xdr:twoCellAnchor>
  <xdr:twoCellAnchor>
    <xdr:from>
      <xdr:col>14</xdr:col>
      <xdr:colOff>482600</xdr:colOff>
      <xdr:row>5</xdr:row>
      <xdr:rowOff>0</xdr:rowOff>
    </xdr:from>
    <xdr:to>
      <xdr:col>18</xdr:col>
      <xdr:colOff>292100</xdr:colOff>
      <xdr:row>7</xdr:row>
      <xdr:rowOff>101600</xdr:rowOff>
    </xdr:to>
    <xdr:sp macro="" textlink="">
      <xdr:nvSpPr>
        <xdr:cNvPr id="26" name="TextBox 25">
          <a:extLst>
            <a:ext uri="{FF2B5EF4-FFF2-40B4-BE49-F238E27FC236}">
              <a16:creationId xmlns:a16="http://schemas.microsoft.com/office/drawing/2014/main" id="{DA844F25-5B2F-48B4-B7BC-F6EFABC3F2B6}"/>
            </a:ext>
          </a:extLst>
        </xdr:cNvPr>
        <xdr:cNvSpPr txBox="1"/>
      </xdr:nvSpPr>
      <xdr:spPr>
        <a:xfrm>
          <a:off x="9024620" y="914400"/>
          <a:ext cx="224790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t>Average Profit</a:t>
          </a:r>
          <a:endParaRPr lang="en-IN" sz="2400" b="0"/>
        </a:p>
      </xdr:txBody>
    </xdr:sp>
    <xdr:clientData/>
  </xdr:twoCellAnchor>
  <xdr:twoCellAnchor>
    <xdr:from>
      <xdr:col>4</xdr:col>
      <xdr:colOff>190500</xdr:colOff>
      <xdr:row>13</xdr:row>
      <xdr:rowOff>25400</xdr:rowOff>
    </xdr:from>
    <xdr:to>
      <xdr:col>12</xdr:col>
      <xdr:colOff>287866</xdr:colOff>
      <xdr:row>24</xdr:row>
      <xdr:rowOff>127000</xdr:rowOff>
    </xdr:to>
    <xdr:sp macro="" textlink="">
      <xdr:nvSpPr>
        <xdr:cNvPr id="29" name="Rectangle: Rounded Corners 28">
          <a:extLst>
            <a:ext uri="{FF2B5EF4-FFF2-40B4-BE49-F238E27FC236}">
              <a16:creationId xmlns:a16="http://schemas.microsoft.com/office/drawing/2014/main" id="{A0569BE7-C844-46E2-9C0D-4C174BD3BE42}"/>
            </a:ext>
          </a:extLst>
        </xdr:cNvPr>
        <xdr:cNvSpPr/>
      </xdr:nvSpPr>
      <xdr:spPr>
        <a:xfrm>
          <a:off x="2628900" y="2336800"/>
          <a:ext cx="4986866" cy="20574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342900</xdr:colOff>
      <xdr:row>0</xdr:row>
      <xdr:rowOff>139700</xdr:rowOff>
    </xdr:from>
    <xdr:to>
      <xdr:col>6</xdr:col>
      <xdr:colOff>127000</xdr:colOff>
      <xdr:row>3</xdr:row>
      <xdr:rowOff>0</xdr:rowOff>
    </xdr:to>
    <xdr:pic>
      <xdr:nvPicPr>
        <xdr:cNvPr id="32" name="Graphic 31" descr="Lightning bolt with solid fill">
          <a:extLst>
            <a:ext uri="{FF2B5EF4-FFF2-40B4-BE49-F238E27FC236}">
              <a16:creationId xmlns:a16="http://schemas.microsoft.com/office/drawing/2014/main" id="{7E42C205-187F-4637-9DBC-2A1C54E8F42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90900" y="139700"/>
          <a:ext cx="393700" cy="408940"/>
        </a:xfrm>
        <a:prstGeom prst="rect">
          <a:avLst/>
        </a:prstGeom>
      </xdr:spPr>
    </xdr:pic>
    <xdr:clientData/>
  </xdr:twoCellAnchor>
  <xdr:twoCellAnchor editAs="oneCell">
    <xdr:from>
      <xdr:col>11</xdr:col>
      <xdr:colOff>431800</xdr:colOff>
      <xdr:row>0</xdr:row>
      <xdr:rowOff>139700</xdr:rowOff>
    </xdr:from>
    <xdr:to>
      <xdr:col>12</xdr:col>
      <xdr:colOff>215900</xdr:colOff>
      <xdr:row>3</xdr:row>
      <xdr:rowOff>0</xdr:rowOff>
    </xdr:to>
    <xdr:pic>
      <xdr:nvPicPr>
        <xdr:cNvPr id="33" name="Graphic 32" descr="Lightning bolt with solid fill">
          <a:extLst>
            <a:ext uri="{FF2B5EF4-FFF2-40B4-BE49-F238E27FC236}">
              <a16:creationId xmlns:a16="http://schemas.microsoft.com/office/drawing/2014/main" id="{01441D3F-37BB-4C4E-B30F-85ECE539D8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145020" y="139700"/>
          <a:ext cx="393700" cy="408940"/>
        </a:xfrm>
        <a:prstGeom prst="rect">
          <a:avLst/>
        </a:prstGeom>
      </xdr:spPr>
    </xdr:pic>
    <xdr:clientData/>
  </xdr:twoCellAnchor>
  <xdr:twoCellAnchor editAs="oneCell">
    <xdr:from>
      <xdr:col>19</xdr:col>
      <xdr:colOff>25400</xdr:colOff>
      <xdr:row>0</xdr:row>
      <xdr:rowOff>88900</xdr:rowOff>
    </xdr:from>
    <xdr:to>
      <xdr:col>22</xdr:col>
      <xdr:colOff>339725</xdr:colOff>
      <xdr:row>11</xdr:row>
      <xdr:rowOff>50799</xdr:rowOff>
    </xdr:to>
    <xdr:pic>
      <xdr:nvPicPr>
        <xdr:cNvPr id="35" name="Picture 34">
          <a:extLst>
            <a:ext uri="{FF2B5EF4-FFF2-40B4-BE49-F238E27FC236}">
              <a16:creationId xmlns:a16="http://schemas.microsoft.com/office/drawing/2014/main" id="{EADFE483-C11B-41F7-A288-C3C864FF3B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15420" y="88900"/>
          <a:ext cx="2143125" cy="197357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152400</xdr:colOff>
      <xdr:row>26</xdr:row>
      <xdr:rowOff>101600</xdr:rowOff>
    </xdr:from>
    <xdr:to>
      <xdr:col>12</xdr:col>
      <xdr:colOff>419100</xdr:colOff>
      <xdr:row>38</xdr:row>
      <xdr:rowOff>101600</xdr:rowOff>
    </xdr:to>
    <xdr:graphicFrame macro="">
      <xdr:nvGraphicFramePr>
        <xdr:cNvPr id="37" name="Chart 36">
          <a:extLst>
            <a:ext uri="{FF2B5EF4-FFF2-40B4-BE49-F238E27FC236}">
              <a16:creationId xmlns:a16="http://schemas.microsoft.com/office/drawing/2014/main" id="{9FA22F0E-048A-4D56-85E5-1D8E01421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8466</xdr:colOff>
      <xdr:row>11</xdr:row>
      <xdr:rowOff>76200</xdr:rowOff>
    </xdr:from>
    <xdr:to>
      <xdr:col>18</xdr:col>
      <xdr:colOff>355600</xdr:colOff>
      <xdr:row>14</xdr:row>
      <xdr:rowOff>38100</xdr:rowOff>
    </xdr:to>
    <xdr:sp macro="" textlink="">
      <xdr:nvSpPr>
        <xdr:cNvPr id="39" name="TextBox 38">
          <a:extLst>
            <a:ext uri="{FF2B5EF4-FFF2-40B4-BE49-F238E27FC236}">
              <a16:creationId xmlns:a16="http://schemas.microsoft.com/office/drawing/2014/main" id="{A82824B9-B203-45F7-AA91-87380775E34F}"/>
            </a:ext>
          </a:extLst>
        </xdr:cNvPr>
        <xdr:cNvSpPr txBox="1"/>
      </xdr:nvSpPr>
      <xdr:spPr>
        <a:xfrm>
          <a:off x="8555566" y="2032000"/>
          <a:ext cx="278553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Profit</a:t>
          </a:r>
          <a:r>
            <a:rPr lang="en-US" sz="1600" b="1" baseline="0"/>
            <a:t> By Service </a:t>
          </a:r>
          <a:endParaRPr lang="en-IN" sz="1600" b="1"/>
        </a:p>
      </xdr:txBody>
    </xdr:sp>
    <xdr:clientData/>
  </xdr:twoCellAnchor>
  <xdr:twoCellAnchor>
    <xdr:from>
      <xdr:col>5</xdr:col>
      <xdr:colOff>503766</xdr:colOff>
      <xdr:row>12</xdr:row>
      <xdr:rowOff>0</xdr:rowOff>
    </xdr:from>
    <xdr:to>
      <xdr:col>10</xdr:col>
      <xdr:colOff>228600</xdr:colOff>
      <xdr:row>14</xdr:row>
      <xdr:rowOff>139700</xdr:rowOff>
    </xdr:to>
    <xdr:sp macro="" textlink="">
      <xdr:nvSpPr>
        <xdr:cNvPr id="40" name="TextBox 39">
          <a:extLst>
            <a:ext uri="{FF2B5EF4-FFF2-40B4-BE49-F238E27FC236}">
              <a16:creationId xmlns:a16="http://schemas.microsoft.com/office/drawing/2014/main" id="{ED1CC5D1-1073-4F81-9AE4-3D83D5906DC2}"/>
            </a:ext>
          </a:extLst>
        </xdr:cNvPr>
        <xdr:cNvSpPr txBox="1"/>
      </xdr:nvSpPr>
      <xdr:spPr>
        <a:xfrm>
          <a:off x="3551766" y="2133600"/>
          <a:ext cx="278553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 Profit</a:t>
          </a:r>
          <a:r>
            <a:rPr lang="en-US" sz="1600" b="1" baseline="0"/>
            <a:t> By City</a:t>
          </a:r>
          <a:endParaRPr lang="en-IN" sz="1600" b="1"/>
        </a:p>
      </xdr:txBody>
    </xdr:sp>
    <xdr:clientData/>
  </xdr:twoCellAnchor>
  <xdr:twoCellAnchor>
    <xdr:from>
      <xdr:col>13</xdr:col>
      <xdr:colOff>186267</xdr:colOff>
      <xdr:row>14</xdr:row>
      <xdr:rowOff>12700</xdr:rowOff>
    </xdr:from>
    <xdr:to>
      <xdr:col>18</xdr:col>
      <xdr:colOff>444501</xdr:colOff>
      <xdr:row>39</xdr:row>
      <xdr:rowOff>38100</xdr:rowOff>
    </xdr:to>
    <xdr:graphicFrame macro="">
      <xdr:nvGraphicFramePr>
        <xdr:cNvPr id="41" name="Chart 40">
          <a:extLst>
            <a:ext uri="{FF2B5EF4-FFF2-40B4-BE49-F238E27FC236}">
              <a16:creationId xmlns:a16="http://schemas.microsoft.com/office/drawing/2014/main" id="{4DACED01-F845-4B89-9E9B-D32B21C5C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304800</xdr:colOff>
      <xdr:row>14</xdr:row>
      <xdr:rowOff>101600</xdr:rowOff>
    </xdr:from>
    <xdr:to>
      <xdr:col>11</xdr:col>
      <xdr:colOff>596900</xdr:colOff>
      <xdr:row>23</xdr:row>
      <xdr:rowOff>152400</xdr:rowOff>
    </xdr:to>
    <xdr:graphicFrame macro="">
      <xdr:nvGraphicFramePr>
        <xdr:cNvPr id="42" name="Chart 41">
          <a:extLst>
            <a:ext uri="{FF2B5EF4-FFF2-40B4-BE49-F238E27FC236}">
              <a16:creationId xmlns:a16="http://schemas.microsoft.com/office/drawing/2014/main" id="{C032A750-6F57-4A66-972E-E37CCE13A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0.16944</cdr:x>
      <cdr:y>0</cdr:y>
    </cdr:from>
    <cdr:to>
      <cdr:x>0.71595</cdr:x>
      <cdr:y>0.13985</cdr:y>
    </cdr:to>
    <cdr:sp macro="" textlink="">
      <cdr:nvSpPr>
        <cdr:cNvPr id="2" name="TextBox 38">
          <a:extLst xmlns:a="http://schemas.openxmlformats.org/drawingml/2006/main">
            <a:ext uri="{FF2B5EF4-FFF2-40B4-BE49-F238E27FC236}">
              <a16:creationId xmlns:a16="http://schemas.microsoft.com/office/drawing/2014/main" id="{A82824B9-B203-45F7-AA91-87380775E34F}"/>
            </a:ext>
          </a:extLst>
        </cdr:cNvPr>
        <cdr:cNvSpPr txBox="1"/>
      </cdr:nvSpPr>
      <cdr:spPr>
        <a:xfrm xmlns:a="http://schemas.openxmlformats.org/drawingml/2006/main">
          <a:off x="863600" y="0"/>
          <a:ext cx="2785534" cy="2870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600" b="1"/>
            <a:t>Profit</a:t>
          </a:r>
          <a:r>
            <a:rPr lang="en-US" sz="1600" b="1" baseline="0"/>
            <a:t> By Employee </a:t>
          </a:r>
          <a:endParaRPr lang="en-IN" sz="16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6.706484374998" createdVersion="8" refreshedVersion="8" minRefreshableVersion="3" recordCount="1000" xr:uid="{401A0456-7B89-4CA8-AB98-D3E402AB063F}">
  <cacheSource type="worksheet">
    <worksheetSource ref="A1:P1001" sheet="Electric Service Data"/>
  </cacheSource>
  <cacheFields count="18">
    <cacheField name="Customer ID" numFmtId="0">
      <sharedItems/>
    </cacheField>
    <cacheField name="Customer Name" numFmtId="0">
      <sharedItems/>
    </cacheField>
    <cacheField name="City" numFmtId="0">
      <sharedItems count="10">
        <s v="Junagadh"/>
        <s v="Jaipur"/>
        <s v="Ahmedabad"/>
        <s v="Bhavnagar"/>
        <s v="Indore"/>
        <s v="Pune"/>
        <s v="Vadodara"/>
        <s v="Surat"/>
        <s v="Mumbai"/>
        <s v="Rajkot"/>
      </sharedItems>
    </cacheField>
    <cacheField name="Age" numFmtId="0">
      <sharedItems containsSemiMixedTypes="0" containsString="0" containsNumber="1" containsInteger="1" minValue="21" maxValue="65"/>
    </cacheField>
    <cacheField name="Service Type" numFmtId="0">
      <sharedItems count="10">
        <s v="Meter Installation"/>
        <s v="Wiring Repair"/>
        <s v="Solar Panel Service"/>
        <s v="Home Automation"/>
        <s v="Switchboard Repair"/>
        <s v="Lighting Installation"/>
        <s v="Power Backup Setup"/>
        <s v="Fan Repair"/>
        <s v="Inverter Repair"/>
        <s v="AC Installation"/>
      </sharedItems>
    </cacheField>
    <cacheField name="Reason" numFmtId="0">
      <sharedItems/>
    </cacheField>
    <cacheField name="Employee Name" numFmtId="0">
      <sharedItems count="10">
        <s v="Amit Sharma"/>
        <s v="Vikas Singh"/>
        <s v="Suresh Rao"/>
        <s v="Rajesh Patel"/>
        <s v="Nilesh Shah"/>
        <s v="Ravi Verma"/>
        <s v="Harsh Desai"/>
        <s v="Manoj Gupta"/>
        <s v="Deepak Joshi"/>
        <s v="Kunal Mehta"/>
      </sharedItems>
    </cacheField>
    <cacheField name="Fees" numFmtId="0">
      <sharedItems containsSemiMixedTypes="0" containsString="0" containsNumber="1" containsInteger="1" minValue="774" maxValue="9948" count="938">
        <n v="8476"/>
        <n v="9226"/>
        <n v="2854"/>
        <n v="8558"/>
        <n v="3783"/>
        <n v="4468"/>
        <n v="8223"/>
        <n v="5125"/>
        <n v="7115"/>
        <n v="2796"/>
        <n v="2815"/>
        <n v="2955"/>
        <n v="2898"/>
        <n v="3137"/>
        <n v="4893"/>
        <n v="2851"/>
        <n v="7356"/>
        <n v="6893"/>
        <n v="4949"/>
        <n v="2432"/>
        <n v="4768"/>
        <n v="2483"/>
        <n v="4021"/>
        <n v="8475"/>
        <n v="7156"/>
        <n v="4214"/>
        <n v="2883"/>
        <n v="5730"/>
        <n v="8581"/>
        <n v="5832"/>
        <n v="6571"/>
        <n v="2446"/>
        <n v="5308"/>
        <n v="4540"/>
        <n v="3224"/>
        <n v="3993"/>
        <n v="7622"/>
        <n v="4364"/>
        <n v="7423"/>
        <n v="2007"/>
        <n v="3302"/>
        <n v="3563"/>
        <n v="5003"/>
        <n v="2504"/>
        <n v="5767"/>
        <n v="4631"/>
        <n v="4720"/>
        <n v="6351"/>
        <n v="4247"/>
        <n v="4484"/>
        <n v="7321"/>
        <n v="3955"/>
        <n v="7646"/>
        <n v="7401"/>
        <n v="7134"/>
        <n v="4830"/>
        <n v="4664"/>
        <n v="6976"/>
        <n v="7363"/>
        <n v="4174"/>
        <n v="9049"/>
        <n v="3233"/>
        <n v="6566"/>
        <n v="3669"/>
        <n v="8116"/>
        <n v="3690"/>
        <n v="1955"/>
        <n v="5427"/>
        <n v="3318"/>
        <n v="7145"/>
        <n v="3622"/>
        <n v="7914"/>
        <n v="5774"/>
        <n v="3402"/>
        <n v="3460"/>
        <n v="3074"/>
        <n v="5566"/>
        <n v="9231"/>
        <n v="4888"/>
        <n v="2360"/>
        <n v="4714"/>
        <n v="5208"/>
        <n v="2404"/>
        <n v="2457"/>
        <n v="5509"/>
        <n v="7379"/>
        <n v="7637"/>
        <n v="7116"/>
        <n v="4226"/>
        <n v="3099"/>
        <n v="4065"/>
        <n v="7185"/>
        <n v="2227"/>
        <n v="8404"/>
        <n v="6153"/>
        <n v="3562"/>
        <n v="4798"/>
        <n v="2579"/>
        <n v="3462"/>
        <n v="5915"/>
        <n v="8351"/>
        <n v="6266"/>
        <n v="5334"/>
        <n v="8268"/>
        <n v="7600"/>
        <n v="5727"/>
        <n v="7841"/>
        <n v="1493"/>
        <n v="5997"/>
        <n v="6555"/>
        <n v="4675"/>
        <n v="3608"/>
        <n v="5995"/>
        <n v="5622"/>
        <n v="3209"/>
        <n v="7770"/>
        <n v="2947"/>
        <n v="8591"/>
        <n v="7642"/>
        <n v="2188"/>
        <n v="6345"/>
        <n v="3759"/>
        <n v="8786"/>
        <n v="6347"/>
        <n v="7570"/>
        <n v="8933"/>
        <n v="4803"/>
        <n v="4792"/>
        <n v="2888"/>
        <n v="2617"/>
        <n v="7780"/>
        <n v="3078"/>
        <n v="4372"/>
        <n v="7174"/>
        <n v="3408"/>
        <n v="6888"/>
        <n v="6105"/>
        <n v="2530"/>
        <n v="4505"/>
        <n v="4242"/>
        <n v="6371"/>
        <n v="4535"/>
        <n v="9625"/>
        <n v="5478"/>
        <n v="5247"/>
        <n v="8294"/>
        <n v="4212"/>
        <n v="5744"/>
        <n v="4269"/>
        <n v="5928"/>
        <n v="1661"/>
        <n v="8158"/>
        <n v="8653"/>
        <n v="9325"/>
        <n v="4713"/>
        <n v="8128"/>
        <n v="5398"/>
        <n v="7603"/>
        <n v="4851"/>
        <n v="5929"/>
        <n v="4285"/>
        <n v="4403"/>
        <n v="6942"/>
        <n v="5797"/>
        <n v="8390"/>
        <n v="4750"/>
        <n v="6074"/>
        <n v="3284"/>
        <n v="7731"/>
        <n v="5348"/>
        <n v="8146"/>
        <n v="2996"/>
        <n v="8020"/>
        <n v="5295"/>
        <n v="8114"/>
        <n v="6572"/>
        <n v="5558"/>
        <n v="8378"/>
        <n v="3817"/>
        <n v="7485"/>
        <n v="2600"/>
        <n v="3882"/>
        <n v="5736"/>
        <n v="7553"/>
        <n v="7477"/>
        <n v="6352"/>
        <n v="7039"/>
        <n v="4829"/>
        <n v="3876"/>
        <n v="8608"/>
        <n v="4409"/>
        <n v="5590"/>
        <n v="4443"/>
        <n v="3245"/>
        <n v="8212"/>
        <n v="2751"/>
        <n v="3520"/>
        <n v="6987"/>
        <n v="8655"/>
        <n v="6161"/>
        <n v="7933"/>
        <n v="6633"/>
        <n v="3424"/>
        <n v="3110"/>
        <n v="6098"/>
        <n v="4417"/>
        <n v="9513"/>
        <n v="5543"/>
        <n v="6408"/>
        <n v="2142"/>
        <n v="8039"/>
        <n v="3648"/>
        <n v="4981"/>
        <n v="5961"/>
        <n v="7217"/>
        <n v="4156"/>
        <n v="3369"/>
        <n v="8708"/>
        <n v="8177"/>
        <n v="4659"/>
        <n v="7276"/>
        <n v="3342"/>
        <n v="5704"/>
        <n v="6807"/>
        <n v="4188"/>
        <n v="5458"/>
        <n v="2407"/>
        <n v="8107"/>
        <n v="2609"/>
        <n v="5922"/>
        <n v="8968"/>
        <n v="7069"/>
        <n v="3911"/>
        <n v="2686"/>
        <n v="5415"/>
        <n v="3344"/>
        <n v="4711"/>
        <n v="1101"/>
        <n v="4406"/>
        <n v="3801"/>
        <n v="6467"/>
        <n v="4401"/>
        <n v="2217"/>
        <n v="3432"/>
        <n v="1821"/>
        <n v="7694"/>
        <n v="2277"/>
        <n v="3241"/>
        <n v="8096"/>
        <n v="6432"/>
        <n v="8208"/>
        <n v="5998"/>
        <n v="8896"/>
        <n v="7456"/>
        <n v="5249"/>
        <n v="3679"/>
        <n v="3734"/>
        <n v="7567"/>
        <n v="5948"/>
        <n v="1773"/>
        <n v="5386"/>
        <n v="5255"/>
        <n v="6290"/>
        <n v="7566"/>
        <n v="3874"/>
        <n v="2342"/>
        <n v="1142"/>
        <n v="5865"/>
        <n v="3498"/>
        <n v="4950"/>
        <n v="7390"/>
        <n v="6020"/>
        <n v="4317"/>
        <n v="4258"/>
        <n v="2063"/>
        <n v="7052"/>
        <n v="3900"/>
        <n v="8564"/>
        <n v="1710"/>
        <n v="4849"/>
        <n v="3244"/>
        <n v="4189"/>
        <n v="3267"/>
        <n v="6597"/>
        <n v="8680"/>
        <n v="5350"/>
        <n v="7123"/>
        <n v="5574"/>
        <n v="6694"/>
        <n v="7495"/>
        <n v="4488"/>
        <n v="6216"/>
        <n v="4234"/>
        <n v="6519"/>
        <n v="5299"/>
        <n v="3117"/>
        <n v="8753"/>
        <n v="5476"/>
        <n v="6570"/>
        <n v="7765"/>
        <n v="5164"/>
        <n v="1685"/>
        <n v="5760"/>
        <n v="6846"/>
        <n v="4046"/>
        <n v="5785"/>
        <n v="6084"/>
        <n v="6426"/>
        <n v="3737"/>
        <n v="2497"/>
        <n v="6593"/>
        <n v="4276"/>
        <n v="5514"/>
        <n v="7234"/>
        <n v="6874"/>
        <n v="2519"/>
        <n v="3803"/>
        <n v="7076"/>
        <n v="4560"/>
        <n v="3818"/>
        <n v="774"/>
        <n v="5653"/>
        <n v="1345"/>
        <n v="3253"/>
        <n v="6656"/>
        <n v="5277"/>
        <n v="7783"/>
        <n v="4549"/>
        <n v="4730"/>
        <n v="7513"/>
        <n v="2057"/>
        <n v="2115"/>
        <n v="8248"/>
        <n v="3673"/>
        <n v="7004"/>
        <n v="5400"/>
        <n v="6548"/>
        <n v="7003"/>
        <n v="7811"/>
        <n v="4415"/>
        <n v="9089"/>
        <n v="6063"/>
        <n v="8911"/>
        <n v="2942"/>
        <n v="2099"/>
        <n v="9515"/>
        <n v="6751"/>
        <n v="7957"/>
        <n v="3208"/>
        <n v="6825"/>
        <n v="4586"/>
        <n v="1873"/>
        <n v="2433"/>
        <n v="2756"/>
        <n v="5970"/>
        <n v="1880"/>
        <n v="2525"/>
        <n v="2489"/>
        <n v="6060"/>
        <n v="6835"/>
        <n v="4583"/>
        <n v="8472"/>
        <n v="7837"/>
        <n v="4944"/>
        <n v="6409"/>
        <n v="8934"/>
        <n v="3682"/>
        <n v="6099"/>
        <n v="6662"/>
        <n v="2695"/>
        <n v="4845"/>
        <n v="3365"/>
        <n v="4313"/>
        <n v="3552"/>
        <n v="4498"/>
        <n v="3195"/>
        <n v="5560"/>
        <n v="5462"/>
        <n v="5035"/>
        <n v="7552"/>
        <n v="4538"/>
        <n v="4627"/>
        <n v="8976"/>
        <n v="3430"/>
        <n v="4596"/>
        <n v="6900"/>
        <n v="6108"/>
        <n v="8199"/>
        <n v="5124"/>
        <n v="3909"/>
        <n v="4995"/>
        <n v="5278"/>
        <n v="7075"/>
        <n v="1971"/>
        <n v="8542"/>
        <n v="4479"/>
        <n v="5330"/>
        <n v="4623"/>
        <n v="9126"/>
        <n v="6253"/>
        <n v="6359"/>
        <n v="8876"/>
        <n v="7599"/>
        <n v="7153"/>
        <n v="1247"/>
        <n v="3889"/>
        <n v="5177"/>
        <n v="5516"/>
        <n v="5545"/>
        <n v="3004"/>
        <n v="6719"/>
        <n v="2753"/>
        <n v="2149"/>
        <n v="1994"/>
        <n v="4490"/>
        <n v="2861"/>
        <n v="5467"/>
        <n v="1508"/>
        <n v="4108"/>
        <n v="2914"/>
        <n v="8617"/>
        <n v="8299"/>
        <n v="1998"/>
        <n v="8005"/>
        <n v="5199"/>
        <n v="4437"/>
        <n v="9179"/>
        <n v="5772"/>
        <n v="6045"/>
        <n v="5493"/>
        <n v="7594"/>
        <n v="3700"/>
        <n v="7059"/>
        <n v="5328"/>
        <n v="5526"/>
        <n v="2346"/>
        <n v="3198"/>
        <n v="7893"/>
        <n v="4333"/>
        <n v="3429"/>
        <n v="5042"/>
        <n v="7257"/>
        <n v="9696"/>
        <n v="4152"/>
        <n v="5381"/>
        <n v="5108"/>
        <n v="7007"/>
        <n v="4817"/>
        <n v="8275"/>
        <n v="2320"/>
        <n v="3968"/>
        <n v="2496"/>
        <n v="7760"/>
        <n v="8051"/>
        <n v="6882"/>
        <n v="9476"/>
        <n v="6362"/>
        <n v="3543"/>
        <n v="6716"/>
        <n v="2607"/>
        <n v="3536"/>
        <n v="6864"/>
        <n v="4018"/>
        <n v="5026"/>
        <n v="3935"/>
        <n v="7359"/>
        <n v="6645"/>
        <n v="2439"/>
        <n v="3378"/>
        <n v="4732"/>
        <n v="5466"/>
        <n v="2344"/>
        <n v="2592"/>
        <n v="6804"/>
        <n v="2006"/>
        <n v="6709"/>
        <n v="2568"/>
        <n v="3019"/>
        <n v="6439"/>
        <n v="4620"/>
        <n v="5881"/>
        <n v="9155"/>
        <n v="3255"/>
        <n v="6952"/>
        <n v="8805"/>
        <n v="7479"/>
        <n v="4684"/>
        <n v="3270"/>
        <n v="6030"/>
        <n v="1847"/>
        <n v="6739"/>
        <n v="7474"/>
        <n v="7983"/>
        <n v="4643"/>
        <n v="6399"/>
        <n v="8084"/>
        <n v="5034"/>
        <n v="6361"/>
        <n v="5155"/>
        <n v="4793"/>
        <n v="6782"/>
        <n v="7551"/>
        <n v="4007"/>
        <n v="7801"/>
        <n v="6185"/>
        <n v="8750"/>
        <n v="3899"/>
        <n v="8505"/>
        <n v="6223"/>
        <n v="2595"/>
        <n v="3335"/>
        <n v="3641"/>
        <n v="7383"/>
        <n v="6940"/>
        <n v="6241"/>
        <n v="1711"/>
        <n v="4107"/>
        <n v="6058"/>
        <n v="6321"/>
        <n v="5434"/>
        <n v="3865"/>
        <n v="1481"/>
        <n v="7929"/>
        <n v="2808"/>
        <n v="3691"/>
        <n v="2273"/>
        <n v="7699"/>
        <n v="2571"/>
        <n v="1226"/>
        <n v="3010"/>
        <n v="7428"/>
        <n v="9060"/>
        <n v="6260"/>
        <n v="7047"/>
        <n v="4288"/>
        <n v="1405"/>
        <n v="7293"/>
        <n v="3179"/>
        <n v="6002"/>
        <n v="6193"/>
        <n v="3170"/>
        <n v="3782"/>
        <n v="5377"/>
        <n v="6306"/>
        <n v="6064"/>
        <n v="4619"/>
        <n v="6752"/>
        <n v="4300"/>
        <n v="8364"/>
        <n v="8433"/>
        <n v="5339"/>
        <n v="4080"/>
        <n v="8099"/>
        <n v="7254"/>
        <n v="2249"/>
        <n v="6289"/>
        <n v="1929"/>
        <n v="3282"/>
        <n v="1802"/>
        <n v="8356"/>
        <n v="2952"/>
        <n v="3670"/>
        <n v="6470"/>
        <n v="3711"/>
        <n v="3620"/>
        <n v="5013"/>
        <n v="7377"/>
        <n v="6031"/>
        <n v="6960"/>
        <n v="5728"/>
        <n v="1693"/>
        <n v="8124"/>
        <n v="7172"/>
        <n v="5129"/>
        <n v="3870"/>
        <n v="6445"/>
        <n v="4839"/>
        <n v="4918"/>
        <n v="3840"/>
        <n v="5317"/>
        <n v="5506"/>
        <n v="8043"/>
        <n v="4296"/>
        <n v="3006"/>
        <n v="5735"/>
        <n v="3825"/>
        <n v="8336"/>
        <n v="5197"/>
        <n v="5619"/>
        <n v="5117"/>
        <n v="4025"/>
        <n v="3272"/>
        <n v="5305"/>
        <n v="2366"/>
        <n v="8501"/>
        <n v="4456"/>
        <n v="5300"/>
        <n v="4416"/>
        <n v="8838"/>
        <n v="2123"/>
        <n v="5086"/>
        <n v="5502"/>
        <n v="7336"/>
        <n v="5395"/>
        <n v="8302"/>
        <n v="7575"/>
        <n v="3952"/>
        <n v="7202"/>
        <n v="5496"/>
        <n v="5818"/>
        <n v="7171"/>
        <n v="2630"/>
        <n v="4299"/>
        <n v="7998"/>
        <n v="5830"/>
        <n v="6304"/>
        <n v="3304"/>
        <n v="5345"/>
        <n v="4342"/>
        <n v="6895"/>
        <n v="869"/>
        <n v="8292"/>
        <n v="1776"/>
        <n v="1355"/>
        <n v="6968"/>
        <n v="2999"/>
        <n v="5553"/>
        <n v="3846"/>
        <n v="8220"/>
        <n v="8141"/>
        <n v="5453"/>
        <n v="4162"/>
        <n v="8464"/>
        <n v="5286"/>
        <n v="7489"/>
        <n v="5538"/>
        <n v="5762"/>
        <n v="4760"/>
        <n v="8578"/>
        <n v="7523"/>
        <n v="9759"/>
        <n v="2830"/>
        <n v="8382"/>
        <n v="5596"/>
        <n v="5761"/>
        <n v="3756"/>
        <n v="8349"/>
        <n v="7259"/>
        <n v="3236"/>
        <n v="4354"/>
        <n v="1436"/>
        <n v="7441"/>
        <n v="8265"/>
        <n v="8270"/>
        <n v="5708"/>
        <n v="1914"/>
        <n v="4350"/>
        <n v="8929"/>
        <n v="7021"/>
        <n v="4571"/>
        <n v="6167"/>
        <n v="4441"/>
        <n v="3943"/>
        <n v="5238"/>
        <n v="7025"/>
        <n v="8285"/>
        <n v="4921"/>
        <n v="9152"/>
        <n v="4482"/>
        <n v="2347"/>
        <n v="3778"/>
        <n v="4047"/>
        <n v="5953"/>
        <n v="8267"/>
        <n v="5064"/>
        <n v="8799"/>
        <n v="7959"/>
        <n v="3254"/>
        <n v="3830"/>
        <n v="2875"/>
        <n v="7756"/>
        <n v="3346"/>
        <n v="2241"/>
        <n v="1758"/>
        <n v="3214"/>
        <n v="4181"/>
        <n v="4451"/>
        <n v="3717"/>
        <n v="1916"/>
        <n v="8588"/>
        <n v="3743"/>
        <n v="6390"/>
        <n v="6073"/>
        <n v="7139"/>
        <n v="5075"/>
        <n v="5193"/>
        <n v="7484"/>
        <n v="3311"/>
        <n v="4186"/>
        <n v="8815"/>
        <n v="2679"/>
        <n v="4731"/>
        <n v="8450"/>
        <n v="6364"/>
        <n v="3475"/>
        <n v="6601"/>
        <n v="9205"/>
        <n v="2958"/>
        <n v="2198"/>
        <n v="5699"/>
        <n v="6245"/>
        <n v="6602"/>
        <n v="2643"/>
        <n v="5059"/>
        <n v="7871"/>
        <n v="2469"/>
        <n v="2146"/>
        <n v="5941"/>
        <n v="7330"/>
        <n v="8499"/>
        <n v="6114"/>
        <n v="7189"/>
        <n v="5960"/>
        <n v="2162"/>
        <n v="4895"/>
        <n v="4002"/>
        <n v="5725"/>
        <n v="2653"/>
        <n v="5460"/>
        <n v="8737"/>
        <n v="7736"/>
        <n v="8000"/>
        <n v="3978"/>
        <n v="4200"/>
        <n v="4734"/>
        <n v="7017"/>
        <n v="7704"/>
        <n v="8535"/>
        <n v="8280"/>
        <n v="2626"/>
        <n v="8072"/>
        <n v="6472"/>
        <n v="3903"/>
        <n v="6682"/>
        <n v="7673"/>
        <n v="3526"/>
        <n v="3026"/>
        <n v="8513"/>
        <n v="3880"/>
        <n v="5287"/>
        <n v="4054"/>
        <n v="6794"/>
        <n v="4323"/>
        <n v="3677"/>
        <n v="6955"/>
        <n v="4485"/>
        <n v="9802"/>
        <n v="1875"/>
        <n v="3755"/>
        <n v="6520"/>
        <n v="4633"/>
        <n v="6358"/>
        <n v="3965"/>
        <n v="7869"/>
        <n v="5845"/>
        <n v="8009"/>
        <n v="2441"/>
        <n v="6462"/>
        <n v="6303"/>
        <n v="7178"/>
        <n v="3996"/>
        <n v="5310"/>
        <n v="4780"/>
        <n v="3337"/>
        <n v="5065"/>
        <n v="6311"/>
        <n v="3740"/>
        <n v="2628"/>
        <n v="3294"/>
        <n v="6174"/>
        <n v="5374"/>
        <n v="4741"/>
        <n v="6403"/>
        <n v="6664"/>
        <n v="3251"/>
        <n v="4666"/>
        <n v="6567"/>
        <n v="3290"/>
        <n v="2355"/>
        <n v="6213"/>
        <n v="7508"/>
        <n v="8185"/>
        <n v="7233"/>
        <n v="7162"/>
        <n v="8682"/>
        <n v="6977"/>
        <n v="3250"/>
        <n v="7436"/>
        <n v="3732"/>
        <n v="7110"/>
        <n v="5505"/>
        <n v="2761"/>
        <n v="8790"/>
        <n v="3076"/>
        <n v="9228"/>
        <n v="1794"/>
        <n v="4305"/>
        <n v="3939"/>
        <n v="4967"/>
        <n v="6839"/>
        <n v="7183"/>
        <n v="6143"/>
        <n v="7299"/>
        <n v="4999"/>
        <n v="4270"/>
        <n v="6236"/>
        <n v="2412"/>
        <n v="3589"/>
        <n v="8290"/>
        <n v="2015"/>
        <n v="2055"/>
        <n v="2381"/>
        <n v="9219"/>
        <n v="3736"/>
        <n v="7422"/>
        <n v="3513"/>
        <n v="5539"/>
        <n v="7980"/>
        <n v="4426"/>
        <n v="4954"/>
        <n v="5482"/>
        <n v="3942"/>
        <n v="7247"/>
        <n v="9355"/>
        <n v="9948"/>
        <n v="6378"/>
        <n v="4430"/>
        <n v="6360"/>
        <n v="3582"/>
        <n v="4387"/>
        <n v="8024"/>
        <n v="8387"/>
        <n v="5229"/>
        <n v="4175"/>
        <n v="1441"/>
        <n v="8197"/>
        <n v="6901"/>
        <n v="4811"/>
        <n v="3188"/>
        <n v="5196"/>
        <n v="2880"/>
        <n v="6697"/>
        <n v="2208"/>
        <n v="3494"/>
        <n v="2082"/>
        <n v="5487"/>
        <n v="4133"/>
        <n v="5798"/>
        <n v="7230"/>
        <n v="1660"/>
        <n v="4208"/>
        <n v="9260"/>
        <n v="4316"/>
        <n v="6712"/>
        <n v="4827"/>
        <n v="5711"/>
        <n v="6429"/>
        <n v="8296"/>
        <n v="6226"/>
        <n v="4580"/>
        <n v="1860"/>
        <n v="5519"/>
        <n v="6723"/>
        <n v="5285"/>
        <n v="5524"/>
        <n v="4268"/>
        <n v="9285"/>
        <n v="2755"/>
        <n v="6316"/>
        <n v="6763"/>
        <n v="6808"/>
        <n v="5952"/>
        <n v="7650"/>
        <n v="8867"/>
        <n v="4638"/>
        <n v="6113"/>
        <n v="8137"/>
        <n v="2687"/>
        <n v="7332"/>
        <n v="1326"/>
        <n v="1653"/>
        <n v="4840"/>
        <n v="5805"/>
        <n v="2089"/>
        <n v="6410"/>
        <n v="6693"/>
        <n v="7045"/>
        <n v="7411"/>
        <n v="3698"/>
        <n v="5991"/>
        <n v="6515"/>
        <n v="2503"/>
        <n v="3106"/>
        <n v="4797"/>
        <n v="5529"/>
        <n v="9621"/>
        <n v="6559"/>
        <n v="7200"/>
        <n v="4187"/>
        <n v="1712"/>
        <n v="5031"/>
        <n v="2349"/>
        <n v="6110"/>
        <n v="2928"/>
        <n v="7882"/>
        <n v="5483"/>
        <n v="3833"/>
        <n v="9190"/>
        <n v="8918"/>
        <n v="9241"/>
        <n v="2975"/>
        <n v="7245"/>
        <n v="3228"/>
        <n v="4318"/>
        <n v="3610"/>
        <n v="3720"/>
        <n v="7147"/>
        <n v="5647"/>
        <n v="6696"/>
        <n v="7201"/>
        <n v="4099"/>
        <n v="3990"/>
        <n v="6107"/>
        <n v="5770"/>
        <n v="5128"/>
        <n v="5608"/>
        <n v="6801"/>
        <n v="9042"/>
      </sharedItems>
    </cacheField>
    <cacheField name="Spend" numFmtId="0">
      <sharedItems containsSemiMixedTypes="0" containsString="0" containsNumber="1" containsInteger="1" minValue="500" maxValue="6993"/>
    </cacheField>
    <cacheField name="Profit" numFmtId="0">
      <sharedItems containsSemiMixedTypes="0" containsString="0" containsNumber="1" containsInteger="1" minValue="206" maxValue="2998"/>
    </cacheField>
    <cacheField name="Payment Type" numFmtId="0">
      <sharedItems/>
    </cacheField>
    <cacheField name="Status" numFmtId="0">
      <sharedItems count="3">
        <s v="Completed"/>
        <s v="Cancelled"/>
        <s v="Pending"/>
      </sharedItems>
    </cacheField>
    <cacheField name="Days to Complete" numFmtId="0">
      <sharedItems containsSemiMixedTypes="0" containsString="0" containsNumber="1" containsInteger="1" minValue="0" maxValue="15" count="16">
        <n v="7"/>
        <n v="2"/>
        <n v="15"/>
        <n v="5"/>
        <n v="12"/>
        <n v="6"/>
        <n v="3"/>
        <n v="8"/>
        <n v="10"/>
        <n v="11"/>
        <n v="0"/>
        <n v="1"/>
        <n v="4"/>
        <n v="13"/>
        <n v="9"/>
        <n v="14"/>
      </sharedItems>
    </cacheField>
    <cacheField name="Review" numFmtId="0">
      <sharedItems count="11">
        <s v="Excellent service"/>
        <s v="Professional technician"/>
        <s v="Service cancelled"/>
        <s v="Issue resolved perfectly"/>
        <s v="Very quick response"/>
        <s v="Highly recommended"/>
        <s v="Average experience"/>
        <s v="Good support"/>
        <s v="Affordable pricing"/>
        <s v="Work completed on time"/>
        <s v="Satisfied with work"/>
      </sharedItems>
    </cacheField>
    <cacheField name="Date" numFmtId="14">
      <sharedItems containsSemiMixedTypes="0" containsNonDate="0" containsDate="1" containsString="0" minDate="2025-01-01T00:00:00" maxDate="2026-01-01T00:00:00" count="344">
        <d v="2025-12-09T00:00:00"/>
        <d v="2025-03-03T00:00:00"/>
        <d v="2025-11-23T00:00:00"/>
        <d v="2025-11-03T00:00:00"/>
        <d v="2025-11-02T00:00:00"/>
        <d v="2025-01-07T00:00:00"/>
        <d v="2025-02-22T00:00:00"/>
        <d v="2025-02-26T00:00:00"/>
        <d v="2025-12-27T00:00:00"/>
        <d v="2025-07-12T00:00:00"/>
        <d v="2025-01-05T00:00:00"/>
        <d v="2025-10-26T00:00:00"/>
        <d v="2025-04-13T00:00:00"/>
        <d v="2025-12-10T00:00:00"/>
        <d v="2025-09-23T00:00:00"/>
        <d v="2025-08-04T00:00:00"/>
        <d v="2025-07-28T00:00:00"/>
        <d v="2025-06-10T00:00:00"/>
        <d v="2025-12-18T00:00:00"/>
        <d v="2025-07-08T00:00:00"/>
        <d v="2025-08-16T00:00:00"/>
        <d v="2025-07-10T00:00:00"/>
        <d v="2025-06-21T00:00:00"/>
        <d v="2025-10-29T00:00:00"/>
        <d v="2025-01-18T00:00:00"/>
        <d v="2025-11-06T00:00:00"/>
        <d v="2025-07-31T00:00:00"/>
        <d v="2025-10-22T00:00:00"/>
        <d v="2025-06-19T00:00:00"/>
        <d v="2025-09-01T00:00:00"/>
        <d v="2025-12-25T00:00:00"/>
        <d v="2025-07-27T00:00:00"/>
        <d v="2025-06-29T00:00:00"/>
        <d v="2025-09-16T00:00:00"/>
        <d v="2025-03-08T00:00:00"/>
        <d v="2025-05-04T00:00:00"/>
        <d v="2025-03-12T00:00:00"/>
        <d v="2025-08-13T00:00:00"/>
        <d v="2025-07-01T00:00:00"/>
        <d v="2025-07-23T00:00:00"/>
        <d v="2025-01-12T00:00:00"/>
        <d v="2025-03-31T00:00:00"/>
        <d v="2025-01-24T00:00:00"/>
        <d v="2025-04-17T00:00:00"/>
        <d v="2025-07-05T00:00:00"/>
        <d v="2025-04-02T00:00:00"/>
        <d v="2025-11-07T00:00:00"/>
        <d v="2025-11-08T00:00:00"/>
        <d v="2025-09-07T00:00:00"/>
        <d v="2025-02-06T00:00:00"/>
        <d v="2025-09-20T00:00:00"/>
        <d v="2025-10-03T00:00:00"/>
        <d v="2025-03-25T00:00:00"/>
        <d v="2025-02-13T00:00:00"/>
        <d v="2025-03-11T00:00:00"/>
        <d v="2025-12-12T00:00:00"/>
        <d v="2025-01-15T00:00:00"/>
        <d v="2025-02-04T00:00:00"/>
        <d v="2025-12-15T00:00:00"/>
        <d v="2025-12-20T00:00:00"/>
        <d v="2025-01-26T00:00:00"/>
        <d v="2025-09-17T00:00:00"/>
        <d v="2025-11-13T00:00:00"/>
        <d v="2025-12-02T00:00:00"/>
        <d v="2025-06-13T00:00:00"/>
        <d v="2025-12-29T00:00:00"/>
        <d v="2025-10-28T00:00:00"/>
        <d v="2025-11-01T00:00:00"/>
        <d v="2025-01-17T00:00:00"/>
        <d v="2025-02-15T00:00:00"/>
        <d v="2025-08-06T00:00:00"/>
        <d v="2025-07-30T00:00:00"/>
        <d v="2025-12-16T00:00:00"/>
        <d v="2025-06-01T00:00:00"/>
        <d v="2025-07-15T00:00:00"/>
        <d v="2025-07-26T00:00:00"/>
        <d v="2025-08-15T00:00:00"/>
        <d v="2025-01-22T00:00:00"/>
        <d v="2025-04-04T00:00:00"/>
        <d v="2025-07-02T00:00:00"/>
        <d v="2025-02-21T00:00:00"/>
        <d v="2025-06-07T00:00:00"/>
        <d v="2025-08-19T00:00:00"/>
        <d v="2025-10-16T00:00:00"/>
        <d v="2025-06-24T00:00:00"/>
        <d v="2025-08-21T00:00:00"/>
        <d v="2025-07-06T00:00:00"/>
        <d v="2025-07-09T00:00:00"/>
        <d v="2025-06-16T00:00:00"/>
        <d v="2025-07-29T00:00:00"/>
        <d v="2025-03-01T00:00:00"/>
        <d v="2025-05-13T00:00:00"/>
        <d v="2025-06-02T00:00:00"/>
        <d v="2025-03-13T00:00:00"/>
        <d v="2025-08-28T00:00:00"/>
        <d v="2025-05-23T00:00:00"/>
        <d v="2025-10-14T00:00:00"/>
        <d v="2025-04-20T00:00:00"/>
        <d v="2025-02-16T00:00:00"/>
        <d v="2025-10-20T00:00:00"/>
        <d v="2025-08-12T00:00:00"/>
        <d v="2025-10-25T00:00:00"/>
        <d v="2025-05-06T00:00:00"/>
        <d v="2025-11-17T00:00:00"/>
        <d v="2025-07-25T00:00:00"/>
        <d v="2025-06-25T00:00:00"/>
        <d v="2025-11-28T00:00:00"/>
        <d v="2025-09-05T00:00:00"/>
        <d v="2025-03-14T00:00:00"/>
        <d v="2025-09-19T00:00:00"/>
        <d v="2025-12-14T00:00:00"/>
        <d v="2025-12-07T00:00:00"/>
        <d v="2025-10-23T00:00:00"/>
        <d v="2025-04-30T00:00:00"/>
        <d v="2025-03-15T00:00:00"/>
        <d v="2025-04-07T00:00:00"/>
        <d v="2025-07-14T00:00:00"/>
        <d v="2025-03-19T00:00:00"/>
        <d v="2025-08-27T00:00:00"/>
        <d v="2025-08-29T00:00:00"/>
        <d v="2025-01-21T00:00:00"/>
        <d v="2025-08-31T00:00:00"/>
        <d v="2025-02-01T00:00:00"/>
        <d v="2025-11-12T00:00:00"/>
        <d v="2025-04-23T00:00:00"/>
        <d v="2025-01-25T00:00:00"/>
        <d v="2025-01-27T00:00:00"/>
        <d v="2025-07-20T00:00:00"/>
        <d v="2025-09-10T00:00:00"/>
        <d v="2025-03-28T00:00:00"/>
        <d v="2025-08-02T00:00:00"/>
        <d v="2025-09-13T00:00:00"/>
        <d v="2025-09-18T00:00:00"/>
        <d v="2025-04-29T00:00:00"/>
        <d v="2025-04-01T00:00:00"/>
        <d v="2025-01-31T00:00:00"/>
        <d v="2025-06-05T00:00:00"/>
        <d v="2025-01-30T00:00:00"/>
        <d v="2025-07-04T00:00:00"/>
        <d v="2025-10-12T00:00:00"/>
        <d v="2025-03-04T00:00:00"/>
        <d v="2025-02-11T00:00:00"/>
        <d v="2025-08-03T00:00:00"/>
        <d v="2025-07-22T00:00:00"/>
        <d v="2025-08-25T00:00:00"/>
        <d v="2025-09-22T00:00:00"/>
        <d v="2025-10-17T00:00:00"/>
        <d v="2025-06-09T00:00:00"/>
        <d v="2025-11-25T00:00:00"/>
        <d v="2025-06-06T00:00:00"/>
        <d v="2025-03-10T00:00:00"/>
        <d v="2025-04-11T00:00:00"/>
        <d v="2025-02-25T00:00:00"/>
        <d v="2025-05-03T00:00:00"/>
        <d v="2025-05-18T00:00:00"/>
        <d v="2025-12-01T00:00:00"/>
        <d v="2025-11-14T00:00:00"/>
        <d v="2025-10-05T00:00:00"/>
        <d v="2025-08-14T00:00:00"/>
        <d v="2025-06-22T00:00:00"/>
        <d v="2025-09-21T00:00:00"/>
        <d v="2025-08-18T00:00:00"/>
        <d v="2025-10-04T00:00:00"/>
        <d v="2025-12-08T00:00:00"/>
        <d v="2025-08-30T00:00:00"/>
        <d v="2025-06-17T00:00:00"/>
        <d v="2025-10-18T00:00:00"/>
        <d v="2025-02-05T00:00:00"/>
        <d v="2025-08-20T00:00:00"/>
        <d v="2025-12-26T00:00:00"/>
        <d v="2025-07-16T00:00:00"/>
        <d v="2025-04-06T00:00:00"/>
        <d v="2025-11-05T00:00:00"/>
        <d v="2025-01-10T00:00:00"/>
        <d v="2025-10-01T00:00:00"/>
        <d v="2025-06-23T00:00:00"/>
        <d v="2025-10-07T00:00:00"/>
        <d v="2025-05-05T00:00:00"/>
        <d v="2025-06-18T00:00:00"/>
        <d v="2025-06-12T00:00:00"/>
        <d v="2025-06-27T00:00:00"/>
        <d v="2025-10-13T00:00:00"/>
        <d v="2025-05-08T00:00:00"/>
        <d v="2025-11-26T00:00:00"/>
        <d v="2025-07-18T00:00:00"/>
        <d v="2025-02-03T00:00:00"/>
        <d v="2025-11-20T00:00:00"/>
        <d v="2025-10-30T00:00:00"/>
        <d v="2025-07-24T00:00:00"/>
        <d v="2025-05-25T00:00:00"/>
        <d v="2025-03-07T00:00:00"/>
        <d v="2025-02-14T00:00:00"/>
        <d v="2025-09-08T00:00:00"/>
        <d v="2025-05-30T00:00:00"/>
        <d v="2025-09-06T00:00:00"/>
        <d v="2025-08-07T00:00:00"/>
        <d v="2025-05-24T00:00:00"/>
        <d v="2025-02-08T00:00:00"/>
        <d v="2025-05-01T00:00:00"/>
        <d v="2025-01-03T00:00:00"/>
        <d v="2025-01-13T00:00:00"/>
        <d v="2025-08-05T00:00:00"/>
        <d v="2025-04-26T00:00:00"/>
        <d v="2025-10-19T00:00:00"/>
        <d v="2025-12-24T00:00:00"/>
        <d v="2025-01-02T00:00:00"/>
        <d v="2025-11-09T00:00:00"/>
        <d v="2025-11-11T00:00:00"/>
        <d v="2025-08-24T00:00:00"/>
        <d v="2025-01-16T00:00:00"/>
        <d v="2025-05-28T00:00:00"/>
        <d v="2025-05-15T00:00:00"/>
        <d v="2025-03-24T00:00:00"/>
        <d v="2025-08-17T00:00:00"/>
        <d v="2025-04-24T00:00:00"/>
        <d v="2025-11-27T00:00:00"/>
        <d v="2025-06-26T00:00:00"/>
        <d v="2025-04-14T00:00:00"/>
        <d v="2025-11-16T00:00:00"/>
        <d v="2025-02-07T00:00:00"/>
        <d v="2025-04-22T00:00:00"/>
        <d v="2025-02-19T00:00:00"/>
        <d v="2025-03-22T00:00:00"/>
        <d v="2025-11-29T00:00:00"/>
        <d v="2025-09-14T00:00:00"/>
        <d v="2025-05-29T00:00:00"/>
        <d v="2025-01-06T00:00:00"/>
        <d v="2025-12-28T00:00:00"/>
        <d v="2025-06-03T00:00:00"/>
        <d v="2025-07-19T00:00:00"/>
        <d v="2025-09-09T00:00:00"/>
        <d v="2025-04-15T00:00:00"/>
        <d v="2025-06-15T00:00:00"/>
        <d v="2025-03-06T00:00:00"/>
        <d v="2025-06-04T00:00:00"/>
        <d v="2025-10-15T00:00:00"/>
        <d v="2025-12-19T00:00:00"/>
        <d v="2025-12-17T00:00:00"/>
        <d v="2025-05-26T00:00:00"/>
        <d v="2025-01-28T00:00:00"/>
        <d v="2025-10-06T00:00:00"/>
        <d v="2025-09-30T00:00:00"/>
        <d v="2025-11-22T00:00:00"/>
        <d v="2025-12-21T00:00:00"/>
        <d v="2025-08-10T00:00:00"/>
        <d v="2025-11-19T00:00:00"/>
        <d v="2025-05-31T00:00:00"/>
        <d v="2025-05-09T00:00:00"/>
        <d v="2025-05-17T00:00:00"/>
        <d v="2025-05-22T00:00:00"/>
        <d v="2025-08-23T00:00:00"/>
        <d v="2025-08-22T00:00:00"/>
        <d v="2025-03-21T00:00:00"/>
        <d v="2025-05-10T00:00:00"/>
        <d v="2025-10-31T00:00:00"/>
        <d v="2025-05-21T00:00:00"/>
        <d v="2025-04-08T00:00:00"/>
        <d v="2025-11-21T00:00:00"/>
        <d v="2025-04-10T00:00:00"/>
        <d v="2025-01-23T00:00:00"/>
        <d v="2025-12-23T00:00:00"/>
        <d v="2025-11-15T00:00:00"/>
        <d v="2025-06-11T00:00:00"/>
        <d v="2025-05-11T00:00:00"/>
        <d v="2025-03-16T00:00:00"/>
        <d v="2025-11-10T00:00:00"/>
        <d v="2025-01-20T00:00:00"/>
        <d v="2025-06-08T00:00:00"/>
        <d v="2025-04-09T00:00:00"/>
        <d v="2025-11-18T00:00:00"/>
        <d v="2025-01-04T00:00:00"/>
        <d v="2025-02-09T00:00:00"/>
        <d v="2025-02-28T00:00:00"/>
        <d v="2025-12-05T00:00:00"/>
        <d v="2025-05-02T00:00:00"/>
        <d v="2025-07-21T00:00:00"/>
        <d v="2025-06-14T00:00:00"/>
        <d v="2025-02-17T00:00:00"/>
        <d v="2025-11-04T00:00:00"/>
        <d v="2025-01-09T00:00:00"/>
        <d v="2025-03-17T00:00:00"/>
        <d v="2025-05-07T00:00:00"/>
        <d v="2025-03-18T00:00:00"/>
        <d v="2025-02-20T00:00:00"/>
        <d v="2025-12-11T00:00:00"/>
        <d v="2025-01-08T00:00:00"/>
        <d v="2025-09-12T00:00:00"/>
        <d v="2025-10-10T00:00:00"/>
        <d v="2025-09-11T00:00:00"/>
        <d v="2025-03-26T00:00:00"/>
        <d v="2025-12-31T00:00:00"/>
        <d v="2025-04-25T00:00:00"/>
        <d v="2025-07-11T00:00:00"/>
        <d v="2025-12-30T00:00:00"/>
        <d v="2025-05-12T00:00:00"/>
        <d v="2025-06-30T00:00:00"/>
        <d v="2025-04-21T00:00:00"/>
        <d v="2025-02-27T00:00:00"/>
        <d v="2025-01-01T00:00:00"/>
        <d v="2025-07-13T00:00:00"/>
        <d v="2025-04-05T00:00:00"/>
        <d v="2025-10-11T00:00:00"/>
        <d v="2025-02-10T00:00:00"/>
        <d v="2025-09-25T00:00:00"/>
        <d v="2025-03-02T00:00:00"/>
        <d v="2025-12-04T00:00:00"/>
        <d v="2025-04-12T00:00:00"/>
        <d v="2025-09-26T00:00:00"/>
        <d v="2025-05-14T00:00:00"/>
        <d v="2025-05-20T00:00:00"/>
        <d v="2025-03-09T00:00:00"/>
        <d v="2025-10-24T00:00:00"/>
        <d v="2025-09-03T00:00:00"/>
        <d v="2025-09-15T00:00:00"/>
        <d v="2025-10-21T00:00:00"/>
        <d v="2025-10-27T00:00:00"/>
        <d v="2025-04-16T00:00:00"/>
        <d v="2025-09-04T00:00:00"/>
        <d v="2025-01-29T00:00:00"/>
        <d v="2025-02-23T00:00:00"/>
        <d v="2025-06-20T00:00:00"/>
        <d v="2025-04-28T00:00:00"/>
        <d v="2025-05-16T00:00:00"/>
        <d v="2025-07-03T00:00:00"/>
        <d v="2025-11-24T00:00:00"/>
        <d v="2025-08-08T00:00:00"/>
        <d v="2025-06-28T00:00:00"/>
        <d v="2025-04-03T00:00:00"/>
        <d v="2025-10-08T00:00:00"/>
        <d v="2025-12-22T00:00:00"/>
        <d v="2025-04-18T00:00:00"/>
        <d v="2025-01-14T00:00:00"/>
        <d v="2025-02-02T00:00:00"/>
        <d v="2025-03-30T00:00:00"/>
        <d v="2025-02-18T00:00:00"/>
        <d v="2025-10-02T00:00:00"/>
        <d v="2025-08-26T00:00:00"/>
        <d v="2025-07-07T00:00:00"/>
        <d v="2025-09-27T00:00:00"/>
        <d v="2025-12-13T00:00:00"/>
        <d v="2025-03-29T00:00:00"/>
        <d v="2025-08-01T00:00:00"/>
        <d v="2025-03-27T00:00:00"/>
        <d v="2025-12-06T00:00:00"/>
      </sharedItems>
      <fieldGroup par="17"/>
    </cacheField>
    <cacheField name="Rating Out of 5" numFmtId="0">
      <sharedItems containsSemiMixedTypes="0" containsString="0" containsNumber="1" minValue="1" maxValue="5"/>
    </cacheField>
    <cacheField name="Days (Date)" numFmtId="0" databaseField="0">
      <fieldGroup base="14">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4">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476546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LEC0001"/>
    <s v="Rohan Sharma"/>
    <x v="0"/>
    <n v="36"/>
    <x v="0"/>
    <s v="New Connection"/>
    <x v="0"/>
    <x v="0"/>
    <n v="6043"/>
    <n v="2433"/>
    <s v="Cash"/>
    <x v="0"/>
    <x v="0"/>
    <x v="0"/>
    <x v="0"/>
    <n v="4.8"/>
  </r>
  <r>
    <s v="ELEC0002"/>
    <s v="Priya Joshi"/>
    <x v="1"/>
    <n v="59"/>
    <x v="1"/>
    <s v="Equipment Upgrade"/>
    <x v="1"/>
    <x v="1"/>
    <n v="6365"/>
    <n v="2861"/>
    <s v="Net Banking"/>
    <x v="1"/>
    <x v="0"/>
    <x v="1"/>
    <x v="1"/>
    <n v="4.2"/>
  </r>
  <r>
    <s v="ELEC0003"/>
    <s v="Pooja Mistry"/>
    <x v="2"/>
    <n v="31"/>
    <x v="2"/>
    <s v="Fuse Problem"/>
    <x v="2"/>
    <x v="2"/>
    <n v="1773"/>
    <n v="1081"/>
    <s v="Cash"/>
    <x v="0"/>
    <x v="1"/>
    <x v="2"/>
    <x v="2"/>
    <n v="1.7"/>
  </r>
  <r>
    <s v="ELEC0004"/>
    <s v="Jay Patel"/>
    <x v="3"/>
    <n v="43"/>
    <x v="3"/>
    <s v="Voltage Issue"/>
    <x v="3"/>
    <x v="3"/>
    <n v="6477"/>
    <n v="2081"/>
    <s v="Net Banking"/>
    <x v="2"/>
    <x v="2"/>
    <x v="3"/>
    <x v="3"/>
    <n v="4.3"/>
  </r>
  <r>
    <s v="ELEC0005"/>
    <s v="Neha Rao"/>
    <x v="4"/>
    <n v="44"/>
    <x v="3"/>
    <s v="Maintenance"/>
    <x v="0"/>
    <x v="4"/>
    <n v="875"/>
    <n v="2908"/>
    <s v="Cash"/>
    <x v="1"/>
    <x v="3"/>
    <x v="4"/>
    <x v="4"/>
    <n v="3.8"/>
  </r>
  <r>
    <s v="ELEC0006"/>
    <s v="Jay Mehta"/>
    <x v="5"/>
    <n v="61"/>
    <x v="4"/>
    <s v="New Connection"/>
    <x v="4"/>
    <x v="5"/>
    <n v="3410"/>
    <n v="1058"/>
    <s v="UPI"/>
    <x v="1"/>
    <x v="4"/>
    <x v="4"/>
    <x v="5"/>
    <n v="3.9"/>
  </r>
  <r>
    <s v="ELEC0007"/>
    <s v="Nidhi Shah"/>
    <x v="6"/>
    <n v="31"/>
    <x v="5"/>
    <s v="Routine Service"/>
    <x v="2"/>
    <x v="6"/>
    <n v="5742"/>
    <n v="2481"/>
    <s v="Cash"/>
    <x v="2"/>
    <x v="5"/>
    <x v="0"/>
    <x v="6"/>
    <n v="4"/>
  </r>
  <r>
    <s v="ELEC0008"/>
    <s v="Anjali Singh"/>
    <x v="0"/>
    <n v="25"/>
    <x v="0"/>
    <s v="Electrical Inspection"/>
    <x v="4"/>
    <x v="7"/>
    <n v="2241"/>
    <n v="2884"/>
    <s v="Credit Card"/>
    <x v="2"/>
    <x v="2"/>
    <x v="5"/>
    <x v="7"/>
    <n v="4.2"/>
  </r>
  <r>
    <s v="ELEC0009"/>
    <s v="Karan Joshi"/>
    <x v="1"/>
    <n v="55"/>
    <x v="6"/>
    <s v="Electrical Inspection"/>
    <x v="5"/>
    <x v="8"/>
    <n v="5280"/>
    <n v="1835"/>
    <s v="Cash"/>
    <x v="1"/>
    <x v="6"/>
    <x v="6"/>
    <x v="8"/>
    <n v="4.9000000000000004"/>
  </r>
  <r>
    <s v="ELEC0010"/>
    <s v="Vivaan Rao"/>
    <x v="7"/>
    <n v="30"/>
    <x v="7"/>
    <s v="Routine Service"/>
    <x v="6"/>
    <x v="9"/>
    <n v="1020"/>
    <n v="1776"/>
    <s v="Net Banking"/>
    <x v="0"/>
    <x v="7"/>
    <x v="6"/>
    <x v="9"/>
    <n v="3.2"/>
  </r>
  <r>
    <s v="ELEC0011"/>
    <s v="Aarav Pandya"/>
    <x v="7"/>
    <n v="64"/>
    <x v="8"/>
    <s v="Voltage Issue"/>
    <x v="4"/>
    <x v="10"/>
    <n v="1413"/>
    <n v="1402"/>
    <s v="Net Banking"/>
    <x v="0"/>
    <x v="7"/>
    <x v="0"/>
    <x v="10"/>
    <n v="3.6"/>
  </r>
  <r>
    <s v="ELEC0012"/>
    <s v="Rahul Kapoor"/>
    <x v="7"/>
    <n v="61"/>
    <x v="6"/>
    <s v="Equipment Upgrade"/>
    <x v="6"/>
    <x v="11"/>
    <n v="2129"/>
    <n v="826"/>
    <s v="Cash"/>
    <x v="0"/>
    <x v="6"/>
    <x v="6"/>
    <x v="11"/>
    <n v="3.7"/>
  </r>
  <r>
    <s v="ELEC0013"/>
    <s v="Amit Gupta"/>
    <x v="5"/>
    <n v="22"/>
    <x v="9"/>
    <s v="Fuse Problem"/>
    <x v="2"/>
    <x v="12"/>
    <n v="2461"/>
    <n v="437"/>
    <s v="Debit Card"/>
    <x v="1"/>
    <x v="8"/>
    <x v="4"/>
    <x v="12"/>
    <n v="4.0999999999999996"/>
  </r>
  <r>
    <s v="ELEC0014"/>
    <s v="Aditya Mistry"/>
    <x v="1"/>
    <n v="29"/>
    <x v="7"/>
    <s v="Emergency Repair"/>
    <x v="7"/>
    <x v="13"/>
    <n v="1852"/>
    <n v="1285"/>
    <s v="Net Banking"/>
    <x v="2"/>
    <x v="8"/>
    <x v="3"/>
    <x v="13"/>
    <n v="4.8"/>
  </r>
  <r>
    <s v="ELEC0015"/>
    <s v="Priya Shah"/>
    <x v="0"/>
    <n v="46"/>
    <x v="4"/>
    <s v="Emergency Repair"/>
    <x v="7"/>
    <x v="14"/>
    <n v="4198"/>
    <n v="695"/>
    <s v="Net Banking"/>
    <x v="2"/>
    <x v="1"/>
    <x v="7"/>
    <x v="14"/>
    <n v="4.2"/>
  </r>
  <r>
    <s v="ELEC0016"/>
    <s v="Nidhi Joshi"/>
    <x v="4"/>
    <n v="35"/>
    <x v="1"/>
    <s v="Power Failure"/>
    <x v="3"/>
    <x v="15"/>
    <n v="2375"/>
    <n v="476"/>
    <s v="Net Banking"/>
    <x v="2"/>
    <x v="1"/>
    <x v="2"/>
    <x v="15"/>
    <n v="2.7"/>
  </r>
  <r>
    <s v="ELEC0017"/>
    <s v="Sneha Mehta"/>
    <x v="5"/>
    <n v="34"/>
    <x v="8"/>
    <s v="New Connection"/>
    <x v="6"/>
    <x v="16"/>
    <n v="5220"/>
    <n v="2136"/>
    <s v="Cash"/>
    <x v="1"/>
    <x v="7"/>
    <x v="3"/>
    <x v="16"/>
    <n v="3.9"/>
  </r>
  <r>
    <s v="ELEC0018"/>
    <s v="Rohan Pandya"/>
    <x v="8"/>
    <n v="43"/>
    <x v="2"/>
    <s v="Routine Service"/>
    <x v="8"/>
    <x v="17"/>
    <n v="6472"/>
    <n v="421"/>
    <s v="Debit Card"/>
    <x v="0"/>
    <x v="9"/>
    <x v="4"/>
    <x v="17"/>
    <n v="3.6"/>
  </r>
  <r>
    <s v="ELEC0019"/>
    <s v="Anjali Mistry"/>
    <x v="7"/>
    <n v="36"/>
    <x v="0"/>
    <s v="Maintenance"/>
    <x v="7"/>
    <x v="18"/>
    <n v="4175"/>
    <n v="774"/>
    <s v="Cash"/>
    <x v="2"/>
    <x v="3"/>
    <x v="5"/>
    <x v="18"/>
    <n v="3.6"/>
  </r>
  <r>
    <s v="ELEC0020"/>
    <s v="Krishna Mistry"/>
    <x v="1"/>
    <n v="27"/>
    <x v="1"/>
    <s v="Equipment Upgrade"/>
    <x v="3"/>
    <x v="19"/>
    <n v="1264"/>
    <n v="1168"/>
    <s v="Debit Card"/>
    <x v="1"/>
    <x v="7"/>
    <x v="5"/>
    <x v="19"/>
    <n v="3.4"/>
  </r>
  <r>
    <s v="ELEC0021"/>
    <s v="Vivaan Verma"/>
    <x v="8"/>
    <n v="21"/>
    <x v="2"/>
    <s v="Voltage Issue"/>
    <x v="8"/>
    <x v="20"/>
    <n v="2836"/>
    <n v="1932"/>
    <s v="Debit Card"/>
    <x v="2"/>
    <x v="4"/>
    <x v="6"/>
    <x v="20"/>
    <n v="3.3"/>
  </r>
  <r>
    <s v="ELEC0022"/>
    <s v="Karan Joshi"/>
    <x v="0"/>
    <n v="34"/>
    <x v="1"/>
    <s v="Electrical Inspection"/>
    <x v="7"/>
    <x v="21"/>
    <n v="999"/>
    <n v="1484"/>
    <s v="Net Banking"/>
    <x v="0"/>
    <x v="8"/>
    <x v="5"/>
    <x v="21"/>
    <n v="4.5999999999999996"/>
  </r>
  <r>
    <s v="ELEC0023"/>
    <s v="Rahul Sharma"/>
    <x v="1"/>
    <n v="26"/>
    <x v="7"/>
    <s v="Power Failure"/>
    <x v="6"/>
    <x v="22"/>
    <n v="1056"/>
    <n v="2965"/>
    <s v="Net Banking"/>
    <x v="0"/>
    <x v="6"/>
    <x v="2"/>
    <x v="22"/>
    <n v="2.5"/>
  </r>
  <r>
    <s v="ELEC0024"/>
    <s v="Sneha Trivedi"/>
    <x v="4"/>
    <n v="23"/>
    <x v="3"/>
    <s v="Power Failure"/>
    <x v="5"/>
    <x v="23"/>
    <n v="5885"/>
    <n v="2590"/>
    <s v="Credit Card"/>
    <x v="1"/>
    <x v="5"/>
    <x v="8"/>
    <x v="23"/>
    <n v="5"/>
  </r>
  <r>
    <s v="ELEC0025"/>
    <s v="Sneha Mehta"/>
    <x v="8"/>
    <n v="29"/>
    <x v="6"/>
    <s v="Emergency Repair"/>
    <x v="4"/>
    <x v="24"/>
    <n v="6659"/>
    <n v="497"/>
    <s v="Cash"/>
    <x v="1"/>
    <x v="8"/>
    <x v="9"/>
    <x v="24"/>
    <n v="3.4"/>
  </r>
  <r>
    <s v="ELEC0026"/>
    <s v="Nidhi Joshi"/>
    <x v="1"/>
    <n v="37"/>
    <x v="7"/>
    <s v="Fuse Problem"/>
    <x v="0"/>
    <x v="25"/>
    <n v="2501"/>
    <n v="1713"/>
    <s v="Credit Card"/>
    <x v="1"/>
    <x v="7"/>
    <x v="6"/>
    <x v="25"/>
    <n v="4"/>
  </r>
  <r>
    <s v="ELEC0027"/>
    <s v="Amit Mistry"/>
    <x v="1"/>
    <n v="21"/>
    <x v="8"/>
    <s v="Voltage Issue"/>
    <x v="0"/>
    <x v="26"/>
    <n v="1600"/>
    <n v="1283"/>
    <s v="Credit Card"/>
    <x v="1"/>
    <x v="1"/>
    <x v="6"/>
    <x v="26"/>
    <n v="4.2"/>
  </r>
  <r>
    <s v="ELEC0028"/>
    <s v="Neha Trivedi"/>
    <x v="6"/>
    <n v="42"/>
    <x v="0"/>
    <s v="Voltage Issue"/>
    <x v="7"/>
    <x v="27"/>
    <n v="4502"/>
    <n v="1228"/>
    <s v="Debit Card"/>
    <x v="0"/>
    <x v="10"/>
    <x v="2"/>
    <x v="27"/>
    <n v="2.2000000000000002"/>
  </r>
  <r>
    <s v="ELEC0029"/>
    <s v="Pooja Sharma"/>
    <x v="2"/>
    <n v="42"/>
    <x v="7"/>
    <s v="Voltage Issue"/>
    <x v="9"/>
    <x v="28"/>
    <n v="6572"/>
    <n v="2009"/>
    <s v="Cash"/>
    <x v="0"/>
    <x v="0"/>
    <x v="6"/>
    <x v="25"/>
    <n v="3.2"/>
  </r>
  <r>
    <s v="ELEC0030"/>
    <s v="Aditya Chauhan"/>
    <x v="9"/>
    <n v="55"/>
    <x v="1"/>
    <s v="Fuse Problem"/>
    <x v="6"/>
    <x v="29"/>
    <n v="5026"/>
    <n v="806"/>
    <s v="Cash"/>
    <x v="1"/>
    <x v="11"/>
    <x v="8"/>
    <x v="28"/>
    <n v="3.6"/>
  </r>
  <r>
    <s v="ELEC0031"/>
    <s v="Simran Joshi"/>
    <x v="6"/>
    <n v="63"/>
    <x v="9"/>
    <s v="Fuse Problem"/>
    <x v="7"/>
    <x v="30"/>
    <n v="3829"/>
    <n v="2742"/>
    <s v="UPI"/>
    <x v="2"/>
    <x v="2"/>
    <x v="1"/>
    <x v="9"/>
    <n v="3.2"/>
  </r>
  <r>
    <s v="ELEC0032"/>
    <s v="Yash Sharma"/>
    <x v="9"/>
    <n v="42"/>
    <x v="2"/>
    <s v="Maintenance"/>
    <x v="2"/>
    <x v="31"/>
    <n v="1804"/>
    <n v="642"/>
    <s v="UPI"/>
    <x v="0"/>
    <x v="11"/>
    <x v="5"/>
    <x v="29"/>
    <n v="3.5"/>
  </r>
  <r>
    <s v="ELEC0033"/>
    <s v="Krishna Gupta"/>
    <x v="0"/>
    <n v="35"/>
    <x v="0"/>
    <s v="Short Circuit"/>
    <x v="1"/>
    <x v="32"/>
    <n v="3764"/>
    <n v="1544"/>
    <s v="Net Banking"/>
    <x v="1"/>
    <x v="1"/>
    <x v="8"/>
    <x v="30"/>
    <n v="3.9"/>
  </r>
  <r>
    <s v="ELEC0034"/>
    <s v="Jay Pandya"/>
    <x v="1"/>
    <n v="42"/>
    <x v="1"/>
    <s v="Power Failure"/>
    <x v="2"/>
    <x v="33"/>
    <n v="1962"/>
    <n v="2578"/>
    <s v="Cash"/>
    <x v="2"/>
    <x v="1"/>
    <x v="2"/>
    <x v="31"/>
    <n v="2.8"/>
  </r>
  <r>
    <s v="ELEC0035"/>
    <s v="Amit Singh"/>
    <x v="3"/>
    <n v="41"/>
    <x v="2"/>
    <s v="Electrical Inspection"/>
    <x v="7"/>
    <x v="34"/>
    <n v="1447"/>
    <n v="1777"/>
    <s v="Cash"/>
    <x v="1"/>
    <x v="11"/>
    <x v="2"/>
    <x v="15"/>
    <n v="1.6"/>
  </r>
  <r>
    <s v="ELEC0036"/>
    <s v="Yash Sharma"/>
    <x v="1"/>
    <n v="55"/>
    <x v="0"/>
    <s v="Fuse Problem"/>
    <x v="5"/>
    <x v="35"/>
    <n v="1073"/>
    <n v="2920"/>
    <s v="Cash"/>
    <x v="1"/>
    <x v="12"/>
    <x v="2"/>
    <x v="32"/>
    <n v="2.8"/>
  </r>
  <r>
    <s v="ELEC0037"/>
    <s v="Neha Kapoor"/>
    <x v="0"/>
    <n v="63"/>
    <x v="2"/>
    <s v="Fuse Problem"/>
    <x v="5"/>
    <x v="36"/>
    <n v="6211"/>
    <n v="1411"/>
    <s v="Debit Card"/>
    <x v="0"/>
    <x v="12"/>
    <x v="3"/>
    <x v="33"/>
    <n v="5"/>
  </r>
  <r>
    <s v="ELEC0038"/>
    <s v="Rahul Trivedi"/>
    <x v="4"/>
    <n v="40"/>
    <x v="2"/>
    <s v="Equipment Upgrade"/>
    <x v="3"/>
    <x v="37"/>
    <n v="2989"/>
    <n v="1375"/>
    <s v="Credit Card"/>
    <x v="1"/>
    <x v="13"/>
    <x v="9"/>
    <x v="34"/>
    <n v="4.5"/>
  </r>
  <r>
    <s v="ELEC0039"/>
    <s v="Krishna Desai"/>
    <x v="5"/>
    <n v="64"/>
    <x v="0"/>
    <s v="Equipment Upgrade"/>
    <x v="8"/>
    <x v="38"/>
    <n v="6528"/>
    <n v="895"/>
    <s v="Net Banking"/>
    <x v="0"/>
    <x v="3"/>
    <x v="6"/>
    <x v="35"/>
    <n v="4.8"/>
  </r>
  <r>
    <s v="ELEC0040"/>
    <s v="Anjali Patel"/>
    <x v="6"/>
    <n v="64"/>
    <x v="6"/>
    <s v="Maintenance"/>
    <x v="1"/>
    <x v="39"/>
    <n v="1707"/>
    <n v="300"/>
    <s v="Debit Card"/>
    <x v="0"/>
    <x v="7"/>
    <x v="9"/>
    <x v="36"/>
    <n v="4.3"/>
  </r>
  <r>
    <s v="ELEC0041"/>
    <s v="Yash Chauhan"/>
    <x v="4"/>
    <n v="33"/>
    <x v="2"/>
    <s v="Emergency Repair"/>
    <x v="5"/>
    <x v="40"/>
    <n v="2498"/>
    <n v="804"/>
    <s v="UPI"/>
    <x v="0"/>
    <x v="11"/>
    <x v="4"/>
    <x v="37"/>
    <n v="3.3"/>
  </r>
  <r>
    <s v="ELEC0042"/>
    <s v="Rahul Mistry"/>
    <x v="1"/>
    <n v="50"/>
    <x v="1"/>
    <s v="Equipment Upgrade"/>
    <x v="1"/>
    <x v="41"/>
    <n v="1494"/>
    <n v="2069"/>
    <s v="Net Banking"/>
    <x v="1"/>
    <x v="7"/>
    <x v="6"/>
    <x v="38"/>
    <n v="3.4"/>
  </r>
  <r>
    <s v="ELEC0043"/>
    <s v="Anjali Mistry"/>
    <x v="5"/>
    <n v="60"/>
    <x v="8"/>
    <s v="Routine Service"/>
    <x v="7"/>
    <x v="42"/>
    <n v="4152"/>
    <n v="851"/>
    <s v="UPI"/>
    <x v="2"/>
    <x v="7"/>
    <x v="5"/>
    <x v="39"/>
    <n v="4.7"/>
  </r>
  <r>
    <s v="ELEC0044"/>
    <s v="Pooja Mistry"/>
    <x v="1"/>
    <n v="52"/>
    <x v="0"/>
    <s v="Voltage Issue"/>
    <x v="8"/>
    <x v="43"/>
    <n v="1134"/>
    <n v="1370"/>
    <s v="Cash"/>
    <x v="1"/>
    <x v="5"/>
    <x v="7"/>
    <x v="40"/>
    <n v="4.5"/>
  </r>
  <r>
    <s v="ELEC0045"/>
    <s v="Karan Verma"/>
    <x v="6"/>
    <n v="45"/>
    <x v="7"/>
    <s v="Maintenance"/>
    <x v="0"/>
    <x v="44"/>
    <n v="3898"/>
    <n v="1869"/>
    <s v="UPI"/>
    <x v="0"/>
    <x v="7"/>
    <x v="3"/>
    <x v="41"/>
    <n v="3.1"/>
  </r>
  <r>
    <s v="ELEC0046"/>
    <s v="Yash Singh"/>
    <x v="4"/>
    <n v="65"/>
    <x v="1"/>
    <s v="Electrical Inspection"/>
    <x v="5"/>
    <x v="45"/>
    <n v="4407"/>
    <n v="224"/>
    <s v="Debit Card"/>
    <x v="2"/>
    <x v="1"/>
    <x v="2"/>
    <x v="42"/>
    <n v="2.8"/>
  </r>
  <r>
    <s v="ELEC0047"/>
    <s v="Nidhi Shah"/>
    <x v="1"/>
    <n v="59"/>
    <x v="0"/>
    <s v="Emergency Repair"/>
    <x v="1"/>
    <x v="46"/>
    <n v="2735"/>
    <n v="1985"/>
    <s v="Debit Card"/>
    <x v="0"/>
    <x v="0"/>
    <x v="7"/>
    <x v="25"/>
    <n v="4.9000000000000004"/>
  </r>
  <r>
    <s v="ELEC0048"/>
    <s v="Rahul Rao"/>
    <x v="5"/>
    <n v="29"/>
    <x v="3"/>
    <s v="Equipment Upgrade"/>
    <x v="3"/>
    <x v="47"/>
    <n v="3727"/>
    <n v="2624"/>
    <s v="Debit Card"/>
    <x v="0"/>
    <x v="11"/>
    <x v="4"/>
    <x v="43"/>
    <n v="4.0999999999999996"/>
  </r>
  <r>
    <s v="ELEC0049"/>
    <s v="Karan Rao"/>
    <x v="5"/>
    <n v="32"/>
    <x v="1"/>
    <s v="Voltage Issue"/>
    <x v="5"/>
    <x v="48"/>
    <n v="3181"/>
    <n v="1066"/>
    <s v="Debit Card"/>
    <x v="2"/>
    <x v="5"/>
    <x v="3"/>
    <x v="44"/>
    <n v="4.5999999999999996"/>
  </r>
  <r>
    <s v="ELEC0050"/>
    <s v="Pooja Rao"/>
    <x v="7"/>
    <n v="51"/>
    <x v="1"/>
    <s v="Equipment Upgrade"/>
    <x v="3"/>
    <x v="49"/>
    <n v="3366"/>
    <n v="1118"/>
    <s v="UPI"/>
    <x v="1"/>
    <x v="13"/>
    <x v="0"/>
    <x v="45"/>
    <n v="3"/>
  </r>
  <r>
    <s v="ELEC0051"/>
    <s v="Priya Rao"/>
    <x v="2"/>
    <n v="60"/>
    <x v="7"/>
    <s v="Maintenance"/>
    <x v="9"/>
    <x v="50"/>
    <n v="4379"/>
    <n v="2942"/>
    <s v="Credit Card"/>
    <x v="2"/>
    <x v="12"/>
    <x v="5"/>
    <x v="46"/>
    <n v="4.7"/>
  </r>
  <r>
    <s v="ELEC0052"/>
    <s v="Simran Verma"/>
    <x v="4"/>
    <n v="59"/>
    <x v="9"/>
    <s v="New Connection"/>
    <x v="2"/>
    <x v="51"/>
    <n v="1385"/>
    <n v="2570"/>
    <s v="Debit Card"/>
    <x v="0"/>
    <x v="3"/>
    <x v="9"/>
    <x v="47"/>
    <n v="3.1"/>
  </r>
  <r>
    <s v="ELEC0053"/>
    <s v="Jay Shah"/>
    <x v="6"/>
    <n v="25"/>
    <x v="3"/>
    <s v="Maintenance"/>
    <x v="0"/>
    <x v="52"/>
    <n v="6211"/>
    <n v="1435"/>
    <s v="Net Banking"/>
    <x v="2"/>
    <x v="12"/>
    <x v="2"/>
    <x v="48"/>
    <n v="1.4"/>
  </r>
  <r>
    <s v="ELEC0054"/>
    <s v="Vivaan Gupta"/>
    <x v="1"/>
    <n v="48"/>
    <x v="4"/>
    <s v="Power Failure"/>
    <x v="7"/>
    <x v="53"/>
    <n v="5804"/>
    <n v="1597"/>
    <s v="Debit Card"/>
    <x v="0"/>
    <x v="0"/>
    <x v="5"/>
    <x v="49"/>
    <n v="4.9000000000000004"/>
  </r>
  <r>
    <s v="ELEC0055"/>
    <s v="Simran Pandya"/>
    <x v="5"/>
    <n v="30"/>
    <x v="2"/>
    <s v="New Connection"/>
    <x v="7"/>
    <x v="54"/>
    <n v="5828"/>
    <n v="1306"/>
    <s v="Debit Card"/>
    <x v="2"/>
    <x v="2"/>
    <x v="6"/>
    <x v="50"/>
    <n v="4.0999999999999996"/>
  </r>
  <r>
    <s v="ELEC0056"/>
    <s v="Yash Rao"/>
    <x v="4"/>
    <n v="38"/>
    <x v="4"/>
    <s v="Maintenance"/>
    <x v="0"/>
    <x v="55"/>
    <n v="2784"/>
    <n v="2046"/>
    <s v="Debit Card"/>
    <x v="2"/>
    <x v="7"/>
    <x v="9"/>
    <x v="15"/>
    <n v="4.5"/>
  </r>
  <r>
    <s v="ELEC0057"/>
    <s v="Anjali Sharma"/>
    <x v="5"/>
    <n v="41"/>
    <x v="7"/>
    <s v="Emergency Repair"/>
    <x v="1"/>
    <x v="56"/>
    <n v="3406"/>
    <n v="1258"/>
    <s v="Credit Card"/>
    <x v="2"/>
    <x v="2"/>
    <x v="9"/>
    <x v="51"/>
    <n v="4"/>
  </r>
  <r>
    <s v="ELEC0058"/>
    <s v="Nidhi Sharma"/>
    <x v="1"/>
    <n v="33"/>
    <x v="9"/>
    <s v="Maintenance"/>
    <x v="5"/>
    <x v="57"/>
    <n v="4502"/>
    <n v="2474"/>
    <s v="Debit Card"/>
    <x v="0"/>
    <x v="4"/>
    <x v="5"/>
    <x v="52"/>
    <n v="4.7"/>
  </r>
  <r>
    <s v="ELEC0059"/>
    <s v="Krishna Mistry"/>
    <x v="2"/>
    <n v="26"/>
    <x v="6"/>
    <s v="Maintenance"/>
    <x v="5"/>
    <x v="58"/>
    <n v="6167"/>
    <n v="1196"/>
    <s v="Net Banking"/>
    <x v="1"/>
    <x v="8"/>
    <x v="7"/>
    <x v="53"/>
    <n v="3.6"/>
  </r>
  <r>
    <s v="ELEC0060"/>
    <s v="Isha Gupta"/>
    <x v="8"/>
    <n v="56"/>
    <x v="4"/>
    <s v="Fuse Problem"/>
    <x v="8"/>
    <x v="59"/>
    <n v="2719"/>
    <n v="1455"/>
    <s v="Cash"/>
    <x v="1"/>
    <x v="1"/>
    <x v="1"/>
    <x v="54"/>
    <n v="3.2"/>
  </r>
  <r>
    <s v="ELEC0061"/>
    <s v="Nidhi Mistry"/>
    <x v="9"/>
    <n v="33"/>
    <x v="0"/>
    <s v="Emergency Repair"/>
    <x v="2"/>
    <x v="60"/>
    <n v="6435"/>
    <n v="2614"/>
    <s v="Credit Card"/>
    <x v="2"/>
    <x v="12"/>
    <x v="2"/>
    <x v="55"/>
    <n v="2.4"/>
  </r>
  <r>
    <s v="ELEC0062"/>
    <s v="Rohan Rao"/>
    <x v="6"/>
    <n v="39"/>
    <x v="0"/>
    <s v="Fuse Problem"/>
    <x v="9"/>
    <x v="61"/>
    <n v="2976"/>
    <n v="257"/>
    <s v="Cash"/>
    <x v="1"/>
    <x v="6"/>
    <x v="8"/>
    <x v="56"/>
    <n v="4.7"/>
  </r>
  <r>
    <s v="ELEC0063"/>
    <s v="Nidhi Mehta"/>
    <x v="9"/>
    <n v="61"/>
    <x v="5"/>
    <s v="Power Failure"/>
    <x v="3"/>
    <x v="62"/>
    <n v="5202"/>
    <n v="1364"/>
    <s v="Cash"/>
    <x v="2"/>
    <x v="7"/>
    <x v="7"/>
    <x v="57"/>
    <n v="3.9"/>
  </r>
  <r>
    <s v="ELEC0064"/>
    <s v="Pooja Rao"/>
    <x v="5"/>
    <n v="28"/>
    <x v="9"/>
    <s v="Routine Service"/>
    <x v="8"/>
    <x v="63"/>
    <n v="1106"/>
    <n v="2563"/>
    <s v="Net Banking"/>
    <x v="0"/>
    <x v="11"/>
    <x v="10"/>
    <x v="58"/>
    <n v="3.9"/>
  </r>
  <r>
    <s v="ELEC0065"/>
    <s v="Neha Patel"/>
    <x v="6"/>
    <n v="28"/>
    <x v="8"/>
    <s v="Routine Service"/>
    <x v="6"/>
    <x v="64"/>
    <n v="5383"/>
    <n v="2733"/>
    <s v="Debit Card"/>
    <x v="0"/>
    <x v="14"/>
    <x v="3"/>
    <x v="59"/>
    <n v="3.5"/>
  </r>
  <r>
    <s v="ELEC0066"/>
    <s v="Neha Rao"/>
    <x v="4"/>
    <n v="48"/>
    <x v="6"/>
    <s v="Electrical Inspection"/>
    <x v="6"/>
    <x v="65"/>
    <n v="993"/>
    <n v="2697"/>
    <s v="UPI"/>
    <x v="0"/>
    <x v="10"/>
    <x v="2"/>
    <x v="23"/>
    <n v="2.7"/>
  </r>
  <r>
    <s v="ELEC0067"/>
    <s v="Pooja Pandya"/>
    <x v="7"/>
    <n v="31"/>
    <x v="0"/>
    <s v="New Connection"/>
    <x v="7"/>
    <x v="66"/>
    <n v="1114"/>
    <n v="841"/>
    <s v="Credit Card"/>
    <x v="1"/>
    <x v="7"/>
    <x v="9"/>
    <x v="60"/>
    <n v="5"/>
  </r>
  <r>
    <s v="ELEC0068"/>
    <s v="Vivaan Joshi"/>
    <x v="0"/>
    <n v="39"/>
    <x v="5"/>
    <s v="Power Failure"/>
    <x v="1"/>
    <x v="67"/>
    <n v="2667"/>
    <n v="2760"/>
    <s v="Cash"/>
    <x v="1"/>
    <x v="13"/>
    <x v="1"/>
    <x v="61"/>
    <n v="4.5"/>
  </r>
  <r>
    <s v="ELEC0069"/>
    <s v="Nidhi Joshi"/>
    <x v="9"/>
    <n v="38"/>
    <x v="7"/>
    <s v="Power Failure"/>
    <x v="3"/>
    <x v="68"/>
    <n v="1859"/>
    <n v="1459"/>
    <s v="Debit Card"/>
    <x v="2"/>
    <x v="15"/>
    <x v="9"/>
    <x v="62"/>
    <n v="3.2"/>
  </r>
  <r>
    <s v="ELEC0070"/>
    <s v="Rohan Desai"/>
    <x v="0"/>
    <n v="65"/>
    <x v="2"/>
    <s v="Voltage Issue"/>
    <x v="7"/>
    <x v="69"/>
    <n v="4923"/>
    <n v="2222"/>
    <s v="Credit Card"/>
    <x v="1"/>
    <x v="8"/>
    <x v="0"/>
    <x v="63"/>
    <n v="3.7"/>
  </r>
  <r>
    <s v="ELEC0071"/>
    <s v="Amit Mehta"/>
    <x v="2"/>
    <n v="26"/>
    <x v="0"/>
    <s v="Electrical Inspection"/>
    <x v="6"/>
    <x v="70"/>
    <n v="669"/>
    <n v="2953"/>
    <s v="Debit Card"/>
    <x v="1"/>
    <x v="8"/>
    <x v="0"/>
    <x v="64"/>
    <n v="3.2"/>
  </r>
  <r>
    <s v="ELEC0072"/>
    <s v="Isha Pandya"/>
    <x v="5"/>
    <n v="38"/>
    <x v="7"/>
    <s v="Electrical Inspection"/>
    <x v="5"/>
    <x v="71"/>
    <n v="5700"/>
    <n v="2214"/>
    <s v="Debit Card"/>
    <x v="2"/>
    <x v="6"/>
    <x v="2"/>
    <x v="65"/>
    <n v="2.6"/>
  </r>
  <r>
    <s v="ELEC0073"/>
    <s v="Anjali Gupta"/>
    <x v="7"/>
    <n v="31"/>
    <x v="4"/>
    <s v="Routine Service"/>
    <x v="8"/>
    <x v="72"/>
    <n v="2861"/>
    <n v="2913"/>
    <s v="Debit Card"/>
    <x v="1"/>
    <x v="12"/>
    <x v="2"/>
    <x v="66"/>
    <n v="2.5"/>
  </r>
  <r>
    <s v="ELEC0074"/>
    <s v="Aditya Gupta"/>
    <x v="0"/>
    <n v="41"/>
    <x v="9"/>
    <s v="Routine Service"/>
    <x v="7"/>
    <x v="73"/>
    <n v="509"/>
    <n v="2893"/>
    <s v="Cash"/>
    <x v="2"/>
    <x v="6"/>
    <x v="2"/>
    <x v="67"/>
    <n v="1.7"/>
  </r>
  <r>
    <s v="ELEC0075"/>
    <s v="Priya Kapoor"/>
    <x v="3"/>
    <n v="60"/>
    <x v="5"/>
    <s v="Emergency Repair"/>
    <x v="3"/>
    <x v="74"/>
    <n v="2167"/>
    <n v="1293"/>
    <s v="Debit Card"/>
    <x v="0"/>
    <x v="2"/>
    <x v="8"/>
    <x v="68"/>
    <n v="4"/>
  </r>
  <r>
    <s v="ELEC0076"/>
    <s v="Rohan Sharma"/>
    <x v="4"/>
    <n v="36"/>
    <x v="7"/>
    <s v="Voltage Issue"/>
    <x v="7"/>
    <x v="75"/>
    <n v="612"/>
    <n v="2462"/>
    <s v="Cash"/>
    <x v="1"/>
    <x v="12"/>
    <x v="4"/>
    <x v="1"/>
    <n v="3.6"/>
  </r>
  <r>
    <s v="ELEC0077"/>
    <s v="Karan Desai"/>
    <x v="0"/>
    <n v="53"/>
    <x v="6"/>
    <s v="Routine Service"/>
    <x v="8"/>
    <x v="76"/>
    <n v="4368"/>
    <n v="1198"/>
    <s v="Net Banking"/>
    <x v="2"/>
    <x v="6"/>
    <x v="3"/>
    <x v="69"/>
    <n v="4.3"/>
  </r>
  <r>
    <s v="ELEC0078"/>
    <s v="Isha Shah"/>
    <x v="9"/>
    <n v="25"/>
    <x v="6"/>
    <s v="Routine Service"/>
    <x v="4"/>
    <x v="77"/>
    <n v="6952"/>
    <n v="2279"/>
    <s v="Net Banking"/>
    <x v="0"/>
    <x v="11"/>
    <x v="8"/>
    <x v="70"/>
    <n v="4"/>
  </r>
  <r>
    <s v="ELEC0079"/>
    <s v="Riya Pandya"/>
    <x v="5"/>
    <n v="30"/>
    <x v="5"/>
    <s v="Equipment Upgrade"/>
    <x v="8"/>
    <x v="78"/>
    <n v="3327"/>
    <n v="1561"/>
    <s v="Credit Card"/>
    <x v="1"/>
    <x v="14"/>
    <x v="3"/>
    <x v="66"/>
    <n v="4.5999999999999996"/>
  </r>
  <r>
    <s v="ELEC0080"/>
    <s v="Priya Shah"/>
    <x v="6"/>
    <n v="57"/>
    <x v="2"/>
    <s v="Maintenance"/>
    <x v="5"/>
    <x v="79"/>
    <n v="857"/>
    <n v="1503"/>
    <s v="UPI"/>
    <x v="2"/>
    <x v="4"/>
    <x v="3"/>
    <x v="71"/>
    <n v="4.4000000000000004"/>
  </r>
  <r>
    <s v="ELEC0081"/>
    <s v="Meera Sharma"/>
    <x v="9"/>
    <n v="53"/>
    <x v="3"/>
    <s v="Fuse Problem"/>
    <x v="0"/>
    <x v="80"/>
    <n v="4106"/>
    <n v="608"/>
    <s v="Debit Card"/>
    <x v="0"/>
    <x v="7"/>
    <x v="0"/>
    <x v="16"/>
    <n v="3.6"/>
  </r>
  <r>
    <s v="ELEC0082"/>
    <s v="Karan Patel"/>
    <x v="5"/>
    <n v="37"/>
    <x v="4"/>
    <s v="Electrical Inspection"/>
    <x v="5"/>
    <x v="47"/>
    <n v="5823"/>
    <n v="528"/>
    <s v="Debit Card"/>
    <x v="1"/>
    <x v="3"/>
    <x v="2"/>
    <x v="72"/>
    <n v="2.8"/>
  </r>
  <r>
    <s v="ELEC0083"/>
    <s v="Anjali Pandya"/>
    <x v="5"/>
    <n v="55"/>
    <x v="1"/>
    <s v="Electrical Inspection"/>
    <x v="0"/>
    <x v="81"/>
    <n v="2423"/>
    <n v="2785"/>
    <s v="Debit Card"/>
    <x v="2"/>
    <x v="3"/>
    <x v="1"/>
    <x v="73"/>
    <n v="3.9"/>
  </r>
  <r>
    <s v="ELEC0084"/>
    <s v="Rohan Mistry"/>
    <x v="7"/>
    <n v="49"/>
    <x v="7"/>
    <s v="Voltage Issue"/>
    <x v="3"/>
    <x v="82"/>
    <n v="876"/>
    <n v="1528"/>
    <s v="Debit Card"/>
    <x v="0"/>
    <x v="3"/>
    <x v="7"/>
    <x v="74"/>
    <n v="4.9000000000000004"/>
  </r>
  <r>
    <s v="ELEC0085"/>
    <s v="Karan Joshi"/>
    <x v="1"/>
    <n v="47"/>
    <x v="3"/>
    <s v="New Connection"/>
    <x v="9"/>
    <x v="83"/>
    <n v="1934"/>
    <n v="523"/>
    <s v="UPI"/>
    <x v="1"/>
    <x v="0"/>
    <x v="9"/>
    <x v="14"/>
    <n v="4.5999999999999996"/>
  </r>
  <r>
    <s v="ELEC0086"/>
    <s v="Meera Chauhan"/>
    <x v="4"/>
    <n v="30"/>
    <x v="0"/>
    <s v="Emergency Repair"/>
    <x v="2"/>
    <x v="84"/>
    <n v="4264"/>
    <n v="1245"/>
    <s v="Net Banking"/>
    <x v="1"/>
    <x v="2"/>
    <x v="5"/>
    <x v="75"/>
    <n v="3.6"/>
  </r>
  <r>
    <s v="ELEC0087"/>
    <s v="Rahul Patel"/>
    <x v="5"/>
    <n v="43"/>
    <x v="3"/>
    <s v="Voltage Issue"/>
    <x v="5"/>
    <x v="85"/>
    <n v="6155"/>
    <n v="1224"/>
    <s v="Debit Card"/>
    <x v="1"/>
    <x v="3"/>
    <x v="1"/>
    <x v="76"/>
    <n v="4.7"/>
  </r>
  <r>
    <s v="ELEC0088"/>
    <s v="Rohan Joshi"/>
    <x v="8"/>
    <n v="57"/>
    <x v="4"/>
    <s v="Electrical Inspection"/>
    <x v="2"/>
    <x v="86"/>
    <n v="6228"/>
    <n v="1409"/>
    <s v="Cash"/>
    <x v="1"/>
    <x v="15"/>
    <x v="3"/>
    <x v="77"/>
    <n v="4.3"/>
  </r>
  <r>
    <s v="ELEC0089"/>
    <s v="Riya Rao"/>
    <x v="2"/>
    <n v="59"/>
    <x v="5"/>
    <s v="Voltage Issue"/>
    <x v="1"/>
    <x v="87"/>
    <n v="5473"/>
    <n v="1643"/>
    <s v="UPI"/>
    <x v="2"/>
    <x v="12"/>
    <x v="9"/>
    <x v="78"/>
    <n v="4.8"/>
  </r>
  <r>
    <s v="ELEC0090"/>
    <s v="Rohan Chauhan"/>
    <x v="2"/>
    <n v="40"/>
    <x v="5"/>
    <s v="Short Circuit"/>
    <x v="6"/>
    <x v="88"/>
    <n v="3488"/>
    <n v="738"/>
    <s v="UPI"/>
    <x v="2"/>
    <x v="3"/>
    <x v="7"/>
    <x v="79"/>
    <n v="3.1"/>
  </r>
  <r>
    <s v="ELEC0091"/>
    <s v="Priya Verma"/>
    <x v="1"/>
    <n v="44"/>
    <x v="8"/>
    <s v="Equipment Upgrade"/>
    <x v="2"/>
    <x v="89"/>
    <n v="1847"/>
    <n v="1252"/>
    <s v="Credit Card"/>
    <x v="0"/>
    <x v="6"/>
    <x v="2"/>
    <x v="47"/>
    <n v="2.2999999999999998"/>
  </r>
  <r>
    <s v="ELEC0092"/>
    <s v="Rohan Desai"/>
    <x v="7"/>
    <n v="30"/>
    <x v="0"/>
    <s v="Routine Service"/>
    <x v="7"/>
    <x v="90"/>
    <n v="3496"/>
    <n v="569"/>
    <s v="Cash"/>
    <x v="1"/>
    <x v="11"/>
    <x v="8"/>
    <x v="7"/>
    <n v="3"/>
  </r>
  <r>
    <s v="ELEC0093"/>
    <s v="Krishna Gupta"/>
    <x v="0"/>
    <n v="58"/>
    <x v="2"/>
    <s v="Fuse Problem"/>
    <x v="0"/>
    <x v="91"/>
    <n v="6028"/>
    <n v="1157"/>
    <s v="Net Banking"/>
    <x v="1"/>
    <x v="8"/>
    <x v="6"/>
    <x v="80"/>
    <n v="3.3"/>
  </r>
  <r>
    <s v="ELEC0094"/>
    <s v="Sneha Pandya"/>
    <x v="7"/>
    <n v="61"/>
    <x v="5"/>
    <s v="Voltage Issue"/>
    <x v="5"/>
    <x v="92"/>
    <n v="1455"/>
    <n v="772"/>
    <s v="Cash"/>
    <x v="2"/>
    <x v="11"/>
    <x v="8"/>
    <x v="81"/>
    <n v="3.8"/>
  </r>
  <r>
    <s v="ELEC0095"/>
    <s v="Rohan Joshi"/>
    <x v="1"/>
    <n v="29"/>
    <x v="2"/>
    <s v="Emergency Repair"/>
    <x v="4"/>
    <x v="93"/>
    <n v="5992"/>
    <n v="2412"/>
    <s v="Cash"/>
    <x v="2"/>
    <x v="4"/>
    <x v="10"/>
    <x v="82"/>
    <n v="4.9000000000000004"/>
  </r>
  <r>
    <s v="ELEC0096"/>
    <s v="Meera Trivedi"/>
    <x v="8"/>
    <n v="38"/>
    <x v="1"/>
    <s v="Fuse Problem"/>
    <x v="1"/>
    <x v="94"/>
    <n v="4132"/>
    <n v="2021"/>
    <s v="Credit Card"/>
    <x v="0"/>
    <x v="1"/>
    <x v="2"/>
    <x v="83"/>
    <n v="2.2999999999999998"/>
  </r>
  <r>
    <s v="ELEC0097"/>
    <s v="Nidhi Chauhan"/>
    <x v="3"/>
    <n v="24"/>
    <x v="2"/>
    <s v="Voltage Issue"/>
    <x v="1"/>
    <x v="95"/>
    <n v="1500"/>
    <n v="2062"/>
    <s v="Cash"/>
    <x v="1"/>
    <x v="12"/>
    <x v="9"/>
    <x v="84"/>
    <n v="3.5"/>
  </r>
  <r>
    <s v="ELEC0098"/>
    <s v="Anjali Joshi"/>
    <x v="9"/>
    <n v="57"/>
    <x v="0"/>
    <s v="Power Failure"/>
    <x v="7"/>
    <x v="96"/>
    <n v="2197"/>
    <n v="2601"/>
    <s v="UPI"/>
    <x v="2"/>
    <x v="15"/>
    <x v="1"/>
    <x v="39"/>
    <n v="3.3"/>
  </r>
  <r>
    <s v="ELEC0099"/>
    <s v="Amit Sharma"/>
    <x v="0"/>
    <n v="30"/>
    <x v="7"/>
    <s v="Equipment Upgrade"/>
    <x v="2"/>
    <x v="97"/>
    <n v="1929"/>
    <n v="650"/>
    <s v="Credit Card"/>
    <x v="1"/>
    <x v="11"/>
    <x v="10"/>
    <x v="85"/>
    <n v="4.5999999999999996"/>
  </r>
  <r>
    <s v="ELEC0100"/>
    <s v="Sneha Trivedi"/>
    <x v="3"/>
    <n v="22"/>
    <x v="7"/>
    <s v="Voltage Issue"/>
    <x v="3"/>
    <x v="98"/>
    <n v="1538"/>
    <n v="1924"/>
    <s v="Debit Card"/>
    <x v="1"/>
    <x v="4"/>
    <x v="4"/>
    <x v="69"/>
    <n v="4.5"/>
  </r>
  <r>
    <s v="ELEC0101"/>
    <s v="Simran Kapoor"/>
    <x v="4"/>
    <n v="27"/>
    <x v="5"/>
    <s v="Equipment Upgrade"/>
    <x v="1"/>
    <x v="99"/>
    <n v="5538"/>
    <n v="377"/>
    <s v="Debit Card"/>
    <x v="2"/>
    <x v="2"/>
    <x v="6"/>
    <x v="86"/>
    <n v="3.6"/>
  </r>
  <r>
    <s v="ELEC0102"/>
    <s v="Aarav Sharma"/>
    <x v="5"/>
    <n v="46"/>
    <x v="2"/>
    <s v="Power Failure"/>
    <x v="8"/>
    <x v="100"/>
    <n v="6335"/>
    <n v="2016"/>
    <s v="UPI"/>
    <x v="2"/>
    <x v="1"/>
    <x v="7"/>
    <x v="87"/>
    <n v="3.4"/>
  </r>
  <r>
    <s v="ELEC0103"/>
    <s v="Aditya Verma"/>
    <x v="0"/>
    <n v="60"/>
    <x v="3"/>
    <s v="Equipment Upgrade"/>
    <x v="4"/>
    <x v="101"/>
    <n v="3620"/>
    <n v="2646"/>
    <s v="Debit Card"/>
    <x v="1"/>
    <x v="7"/>
    <x v="6"/>
    <x v="88"/>
    <n v="4.8"/>
  </r>
  <r>
    <s v="ELEC0104"/>
    <s v="Rohan Mistry"/>
    <x v="7"/>
    <n v="62"/>
    <x v="8"/>
    <s v="Maintenance"/>
    <x v="5"/>
    <x v="102"/>
    <n v="4199"/>
    <n v="1135"/>
    <s v="Debit Card"/>
    <x v="1"/>
    <x v="15"/>
    <x v="5"/>
    <x v="89"/>
    <n v="4.9000000000000004"/>
  </r>
  <r>
    <s v="ELEC0105"/>
    <s v="Rohan Gupta"/>
    <x v="8"/>
    <n v="41"/>
    <x v="6"/>
    <s v="Fuse Problem"/>
    <x v="9"/>
    <x v="103"/>
    <n v="6126"/>
    <n v="2142"/>
    <s v="Debit Card"/>
    <x v="0"/>
    <x v="15"/>
    <x v="4"/>
    <x v="90"/>
    <n v="4.7"/>
  </r>
  <r>
    <s v="ELEC0106"/>
    <s v="Rohan Shah"/>
    <x v="3"/>
    <n v="29"/>
    <x v="8"/>
    <s v="Short Circuit"/>
    <x v="6"/>
    <x v="104"/>
    <n v="5100"/>
    <n v="2500"/>
    <s v="Debit Card"/>
    <x v="2"/>
    <x v="1"/>
    <x v="3"/>
    <x v="91"/>
    <n v="4.5"/>
  </r>
  <r>
    <s v="ELEC0107"/>
    <s v="Vivaan Mehta"/>
    <x v="4"/>
    <n v="40"/>
    <x v="4"/>
    <s v="Power Failure"/>
    <x v="6"/>
    <x v="105"/>
    <n v="4656"/>
    <n v="1071"/>
    <s v="Credit Card"/>
    <x v="2"/>
    <x v="7"/>
    <x v="1"/>
    <x v="92"/>
    <n v="3"/>
  </r>
  <r>
    <s v="ELEC0108"/>
    <s v="Nidhi Gupta"/>
    <x v="7"/>
    <n v="38"/>
    <x v="3"/>
    <s v="Maintenance"/>
    <x v="5"/>
    <x v="106"/>
    <n v="5095"/>
    <n v="2746"/>
    <s v="Net Banking"/>
    <x v="1"/>
    <x v="9"/>
    <x v="6"/>
    <x v="93"/>
    <n v="3.1"/>
  </r>
  <r>
    <s v="ELEC0109"/>
    <s v="Pooja Sharma"/>
    <x v="9"/>
    <n v="38"/>
    <x v="6"/>
    <s v="Fuse Problem"/>
    <x v="4"/>
    <x v="107"/>
    <n v="550"/>
    <n v="943"/>
    <s v="Debit Card"/>
    <x v="0"/>
    <x v="12"/>
    <x v="2"/>
    <x v="94"/>
    <n v="2.1"/>
  </r>
  <r>
    <s v="ELEC0110"/>
    <s v="Aditya Verma"/>
    <x v="2"/>
    <n v="26"/>
    <x v="8"/>
    <s v="Maintenance"/>
    <x v="5"/>
    <x v="108"/>
    <n v="3939"/>
    <n v="2058"/>
    <s v="Net Banking"/>
    <x v="1"/>
    <x v="5"/>
    <x v="8"/>
    <x v="95"/>
    <n v="3.4"/>
  </r>
  <r>
    <s v="ELEC0111"/>
    <s v="Amit Patel"/>
    <x v="2"/>
    <n v="30"/>
    <x v="7"/>
    <s v="Electrical Inspection"/>
    <x v="3"/>
    <x v="109"/>
    <n v="6021"/>
    <n v="534"/>
    <s v="Net Banking"/>
    <x v="0"/>
    <x v="9"/>
    <x v="3"/>
    <x v="96"/>
    <n v="3.4"/>
  </r>
  <r>
    <s v="ELEC0112"/>
    <s v="Krishna Singh"/>
    <x v="0"/>
    <n v="34"/>
    <x v="8"/>
    <s v="Power Failure"/>
    <x v="4"/>
    <x v="110"/>
    <n v="4021"/>
    <n v="654"/>
    <s v="Net Banking"/>
    <x v="2"/>
    <x v="9"/>
    <x v="9"/>
    <x v="71"/>
    <n v="3.8"/>
  </r>
  <r>
    <s v="ELEC0113"/>
    <s v="Neha Sharma"/>
    <x v="6"/>
    <n v="46"/>
    <x v="3"/>
    <s v="Short Circuit"/>
    <x v="3"/>
    <x v="111"/>
    <n v="2174"/>
    <n v="1434"/>
    <s v="Credit Card"/>
    <x v="1"/>
    <x v="11"/>
    <x v="2"/>
    <x v="97"/>
    <n v="1.5"/>
  </r>
  <r>
    <s v="ELEC0114"/>
    <s v="Anjali Patel"/>
    <x v="2"/>
    <n v="52"/>
    <x v="2"/>
    <s v="New Connection"/>
    <x v="9"/>
    <x v="112"/>
    <n v="3614"/>
    <n v="2381"/>
    <s v="Credit Card"/>
    <x v="2"/>
    <x v="14"/>
    <x v="6"/>
    <x v="29"/>
    <n v="3.8"/>
  </r>
  <r>
    <s v="ELEC0115"/>
    <s v="Aditya Singh"/>
    <x v="2"/>
    <n v="48"/>
    <x v="1"/>
    <s v="Emergency Repair"/>
    <x v="0"/>
    <x v="113"/>
    <n v="3064"/>
    <n v="2558"/>
    <s v="Cash"/>
    <x v="1"/>
    <x v="0"/>
    <x v="3"/>
    <x v="98"/>
    <n v="4.2"/>
  </r>
  <r>
    <s v="ELEC0116"/>
    <s v="Jay Sharma"/>
    <x v="3"/>
    <n v="31"/>
    <x v="3"/>
    <s v="Emergency Repair"/>
    <x v="4"/>
    <x v="114"/>
    <n v="1221"/>
    <n v="1988"/>
    <s v="Debit Card"/>
    <x v="2"/>
    <x v="12"/>
    <x v="3"/>
    <x v="99"/>
    <n v="4.3"/>
  </r>
  <r>
    <s v="ELEC0117"/>
    <s v="Isha Patel"/>
    <x v="8"/>
    <n v="40"/>
    <x v="4"/>
    <s v="Maintenance"/>
    <x v="4"/>
    <x v="115"/>
    <n v="6882"/>
    <n v="888"/>
    <s v="Net Banking"/>
    <x v="2"/>
    <x v="9"/>
    <x v="4"/>
    <x v="100"/>
    <n v="4"/>
  </r>
  <r>
    <s v="ELEC0118"/>
    <s v="Priya Chauhan"/>
    <x v="3"/>
    <n v="43"/>
    <x v="7"/>
    <s v="Maintenance"/>
    <x v="0"/>
    <x v="116"/>
    <n v="1699"/>
    <n v="1248"/>
    <s v="Cash"/>
    <x v="1"/>
    <x v="8"/>
    <x v="10"/>
    <x v="101"/>
    <n v="4.3"/>
  </r>
  <r>
    <s v="ELEC0119"/>
    <s v="Rahul Mistry"/>
    <x v="5"/>
    <n v="50"/>
    <x v="3"/>
    <s v="Electrical Inspection"/>
    <x v="8"/>
    <x v="117"/>
    <n v="6079"/>
    <n v="2512"/>
    <s v="Credit Card"/>
    <x v="0"/>
    <x v="8"/>
    <x v="7"/>
    <x v="102"/>
    <n v="3.4"/>
  </r>
  <r>
    <s v="ELEC0120"/>
    <s v="Karan Desai"/>
    <x v="7"/>
    <n v="51"/>
    <x v="5"/>
    <s v="Voltage Issue"/>
    <x v="2"/>
    <x v="72"/>
    <n v="5344"/>
    <n v="430"/>
    <s v="Debit Card"/>
    <x v="2"/>
    <x v="1"/>
    <x v="8"/>
    <x v="103"/>
    <n v="3.6"/>
  </r>
  <r>
    <s v="ELEC0121"/>
    <s v="Vivaan Sharma"/>
    <x v="3"/>
    <n v="39"/>
    <x v="9"/>
    <s v="Power Failure"/>
    <x v="6"/>
    <x v="118"/>
    <n v="5366"/>
    <n v="2276"/>
    <s v="Debit Card"/>
    <x v="2"/>
    <x v="8"/>
    <x v="6"/>
    <x v="104"/>
    <n v="3.5"/>
  </r>
  <r>
    <s v="ELEC0122"/>
    <s v="Riya Pandya"/>
    <x v="6"/>
    <n v="41"/>
    <x v="3"/>
    <s v="Emergency Repair"/>
    <x v="7"/>
    <x v="119"/>
    <n v="1735"/>
    <n v="453"/>
    <s v="Net Banking"/>
    <x v="2"/>
    <x v="13"/>
    <x v="7"/>
    <x v="105"/>
    <n v="3.6"/>
  </r>
  <r>
    <s v="ELEC0123"/>
    <s v="Rahul Sharma"/>
    <x v="6"/>
    <n v="49"/>
    <x v="5"/>
    <s v="Equipment Upgrade"/>
    <x v="7"/>
    <x v="120"/>
    <n v="5495"/>
    <n v="850"/>
    <s v="Debit Card"/>
    <x v="2"/>
    <x v="2"/>
    <x v="8"/>
    <x v="106"/>
    <n v="4"/>
  </r>
  <r>
    <s v="ELEC0124"/>
    <s v="Anjali Pandya"/>
    <x v="4"/>
    <n v="24"/>
    <x v="4"/>
    <s v="Power Failure"/>
    <x v="4"/>
    <x v="121"/>
    <n v="1274"/>
    <n v="2485"/>
    <s v="Net Banking"/>
    <x v="1"/>
    <x v="3"/>
    <x v="8"/>
    <x v="89"/>
    <n v="4.5999999999999996"/>
  </r>
  <r>
    <s v="ELEC0125"/>
    <s v="Karan Gupta"/>
    <x v="7"/>
    <n v="58"/>
    <x v="7"/>
    <s v="Fuse Problem"/>
    <x v="2"/>
    <x v="122"/>
    <n v="5874"/>
    <n v="2912"/>
    <s v="Net Banking"/>
    <x v="1"/>
    <x v="8"/>
    <x v="4"/>
    <x v="107"/>
    <n v="3.8"/>
  </r>
  <r>
    <s v="ELEC0126"/>
    <s v="Jay Pandya"/>
    <x v="3"/>
    <n v="29"/>
    <x v="8"/>
    <s v="Power Failure"/>
    <x v="5"/>
    <x v="123"/>
    <n v="4665"/>
    <n v="1682"/>
    <s v="Credit Card"/>
    <x v="0"/>
    <x v="3"/>
    <x v="10"/>
    <x v="108"/>
    <n v="3.7"/>
  </r>
  <r>
    <s v="ELEC0127"/>
    <s v="Meera Joshi"/>
    <x v="6"/>
    <n v="29"/>
    <x v="7"/>
    <s v="Power Failure"/>
    <x v="2"/>
    <x v="124"/>
    <n v="6956"/>
    <n v="614"/>
    <s v="Credit Card"/>
    <x v="0"/>
    <x v="14"/>
    <x v="6"/>
    <x v="109"/>
    <n v="4"/>
  </r>
  <r>
    <s v="ELEC0128"/>
    <s v="Amit Verma"/>
    <x v="4"/>
    <n v="45"/>
    <x v="7"/>
    <s v="New Connection"/>
    <x v="9"/>
    <x v="125"/>
    <n v="6175"/>
    <n v="2758"/>
    <s v="Debit Card"/>
    <x v="2"/>
    <x v="6"/>
    <x v="5"/>
    <x v="31"/>
    <n v="3.2"/>
  </r>
  <r>
    <s v="ELEC0129"/>
    <s v="Simran Pandya"/>
    <x v="6"/>
    <n v="49"/>
    <x v="3"/>
    <s v="Voltage Issue"/>
    <x v="8"/>
    <x v="126"/>
    <n v="2416"/>
    <n v="2387"/>
    <s v="Credit Card"/>
    <x v="1"/>
    <x v="13"/>
    <x v="5"/>
    <x v="103"/>
    <n v="3.2"/>
  </r>
  <r>
    <s v="ELEC0130"/>
    <s v="Riya Desai"/>
    <x v="5"/>
    <n v="39"/>
    <x v="2"/>
    <s v="Equipment Upgrade"/>
    <x v="7"/>
    <x v="127"/>
    <n v="3929"/>
    <n v="863"/>
    <s v="Credit Card"/>
    <x v="2"/>
    <x v="13"/>
    <x v="9"/>
    <x v="67"/>
    <n v="4.8"/>
  </r>
  <r>
    <s v="ELEC0131"/>
    <s v="Vivaan Pandya"/>
    <x v="5"/>
    <n v="44"/>
    <x v="8"/>
    <s v="Power Failure"/>
    <x v="7"/>
    <x v="128"/>
    <n v="1521"/>
    <n v="1367"/>
    <s v="Net Banking"/>
    <x v="0"/>
    <x v="6"/>
    <x v="8"/>
    <x v="110"/>
    <n v="4.5"/>
  </r>
  <r>
    <s v="ELEC0132"/>
    <s v="Karan Rao"/>
    <x v="8"/>
    <n v="26"/>
    <x v="0"/>
    <s v="Emergency Repair"/>
    <x v="4"/>
    <x v="129"/>
    <n v="718"/>
    <n v="1899"/>
    <s v="Debit Card"/>
    <x v="1"/>
    <x v="14"/>
    <x v="7"/>
    <x v="111"/>
    <n v="3.6"/>
  </r>
  <r>
    <s v="ELEC0133"/>
    <s v="Aditya Gupta"/>
    <x v="6"/>
    <n v="22"/>
    <x v="4"/>
    <s v="Power Failure"/>
    <x v="4"/>
    <x v="130"/>
    <n v="6982"/>
    <n v="798"/>
    <s v="UPI"/>
    <x v="2"/>
    <x v="3"/>
    <x v="5"/>
    <x v="112"/>
    <n v="4.9000000000000004"/>
  </r>
  <r>
    <s v="ELEC0134"/>
    <s v="Meera Desai"/>
    <x v="4"/>
    <n v="21"/>
    <x v="9"/>
    <s v="Short Circuit"/>
    <x v="2"/>
    <x v="131"/>
    <n v="2266"/>
    <n v="812"/>
    <s v="Debit Card"/>
    <x v="2"/>
    <x v="4"/>
    <x v="9"/>
    <x v="113"/>
    <n v="3.7"/>
  </r>
  <r>
    <s v="ELEC0135"/>
    <s v="Rohan Mistry"/>
    <x v="0"/>
    <n v="36"/>
    <x v="6"/>
    <s v="Power Failure"/>
    <x v="3"/>
    <x v="132"/>
    <n v="2453"/>
    <n v="1919"/>
    <s v="Cash"/>
    <x v="0"/>
    <x v="8"/>
    <x v="5"/>
    <x v="114"/>
    <n v="4.3"/>
  </r>
  <r>
    <s v="ELEC0136"/>
    <s v="Meera Trivedi"/>
    <x v="1"/>
    <n v="22"/>
    <x v="8"/>
    <s v="Electrical Inspection"/>
    <x v="1"/>
    <x v="133"/>
    <n v="6386"/>
    <n v="788"/>
    <s v="UPI"/>
    <x v="2"/>
    <x v="11"/>
    <x v="9"/>
    <x v="98"/>
    <n v="3.2"/>
  </r>
  <r>
    <s v="ELEC0137"/>
    <s v="Riya Singh"/>
    <x v="9"/>
    <n v="63"/>
    <x v="9"/>
    <s v="Equipment Upgrade"/>
    <x v="4"/>
    <x v="134"/>
    <n v="1054"/>
    <n v="2354"/>
    <s v="Cash"/>
    <x v="0"/>
    <x v="13"/>
    <x v="6"/>
    <x v="109"/>
    <n v="3.9"/>
  </r>
  <r>
    <s v="ELEC0138"/>
    <s v="Jay Rao"/>
    <x v="5"/>
    <n v="23"/>
    <x v="2"/>
    <s v="Fuse Problem"/>
    <x v="2"/>
    <x v="135"/>
    <n v="6622"/>
    <n v="266"/>
    <s v="Cash"/>
    <x v="2"/>
    <x v="1"/>
    <x v="7"/>
    <x v="115"/>
    <n v="3.6"/>
  </r>
  <r>
    <s v="ELEC0139"/>
    <s v="Riya Shah"/>
    <x v="3"/>
    <n v="29"/>
    <x v="1"/>
    <s v="Fuse Problem"/>
    <x v="7"/>
    <x v="136"/>
    <n v="3273"/>
    <n v="2832"/>
    <s v="Debit Card"/>
    <x v="0"/>
    <x v="13"/>
    <x v="5"/>
    <x v="116"/>
    <n v="3.2"/>
  </r>
  <r>
    <s v="ELEC0140"/>
    <s v="Rahul Mistry"/>
    <x v="9"/>
    <n v="25"/>
    <x v="5"/>
    <s v="Short Circuit"/>
    <x v="2"/>
    <x v="137"/>
    <n v="2151"/>
    <n v="379"/>
    <s v="Credit Card"/>
    <x v="2"/>
    <x v="2"/>
    <x v="0"/>
    <x v="117"/>
    <n v="4.4000000000000004"/>
  </r>
  <r>
    <s v="ELEC0141"/>
    <s v="Isha Singh"/>
    <x v="1"/>
    <n v="51"/>
    <x v="6"/>
    <s v="Short Circuit"/>
    <x v="1"/>
    <x v="138"/>
    <n v="2843"/>
    <n v="1662"/>
    <s v="Credit Card"/>
    <x v="2"/>
    <x v="10"/>
    <x v="2"/>
    <x v="35"/>
    <n v="2.4"/>
  </r>
  <r>
    <s v="ELEC0142"/>
    <s v="Pooja Patel"/>
    <x v="3"/>
    <n v="48"/>
    <x v="2"/>
    <s v="Emergency Repair"/>
    <x v="5"/>
    <x v="139"/>
    <n v="3277"/>
    <n v="965"/>
    <s v="Credit Card"/>
    <x v="1"/>
    <x v="7"/>
    <x v="7"/>
    <x v="52"/>
    <n v="4.5"/>
  </r>
  <r>
    <s v="ELEC0143"/>
    <s v="Aditya Shah"/>
    <x v="8"/>
    <n v="26"/>
    <x v="2"/>
    <s v="Electrical Inspection"/>
    <x v="9"/>
    <x v="140"/>
    <n v="4968"/>
    <n v="1403"/>
    <s v="Credit Card"/>
    <x v="1"/>
    <x v="1"/>
    <x v="7"/>
    <x v="118"/>
    <n v="4"/>
  </r>
  <r>
    <s v="ELEC0144"/>
    <s v="Neha Desai"/>
    <x v="4"/>
    <n v="48"/>
    <x v="7"/>
    <s v="Emergency Repair"/>
    <x v="4"/>
    <x v="141"/>
    <n v="4162"/>
    <n v="373"/>
    <s v="Debit Card"/>
    <x v="2"/>
    <x v="2"/>
    <x v="7"/>
    <x v="119"/>
    <n v="4.5999999999999996"/>
  </r>
  <r>
    <s v="ELEC0145"/>
    <s v="Pooja Pandya"/>
    <x v="2"/>
    <n v="25"/>
    <x v="2"/>
    <s v="Fuse Problem"/>
    <x v="7"/>
    <x v="142"/>
    <n v="6643"/>
    <n v="2982"/>
    <s v="Debit Card"/>
    <x v="1"/>
    <x v="11"/>
    <x v="10"/>
    <x v="17"/>
    <n v="4"/>
  </r>
  <r>
    <s v="ELEC0146"/>
    <s v="Vivaan Verma"/>
    <x v="7"/>
    <n v="36"/>
    <x v="4"/>
    <s v="Fuse Problem"/>
    <x v="5"/>
    <x v="143"/>
    <n v="5146"/>
    <n v="332"/>
    <s v="Credit Card"/>
    <x v="0"/>
    <x v="9"/>
    <x v="5"/>
    <x v="120"/>
    <n v="3.8"/>
  </r>
  <r>
    <s v="ELEC0147"/>
    <s v="Krishna Mistry"/>
    <x v="7"/>
    <n v="57"/>
    <x v="7"/>
    <s v="Equipment Upgrade"/>
    <x v="4"/>
    <x v="144"/>
    <n v="3760"/>
    <n v="1487"/>
    <s v="UPI"/>
    <x v="0"/>
    <x v="12"/>
    <x v="4"/>
    <x v="121"/>
    <n v="3.5"/>
  </r>
  <r>
    <s v="ELEC0148"/>
    <s v="Meera Kapoor"/>
    <x v="8"/>
    <n v="56"/>
    <x v="9"/>
    <s v="Voltage Issue"/>
    <x v="2"/>
    <x v="145"/>
    <n v="6267"/>
    <n v="2027"/>
    <s v="Debit Card"/>
    <x v="1"/>
    <x v="8"/>
    <x v="8"/>
    <x v="122"/>
    <n v="3.6"/>
  </r>
  <r>
    <s v="ELEC0149"/>
    <s v="Priya Patel"/>
    <x v="9"/>
    <n v="25"/>
    <x v="5"/>
    <s v="New Connection"/>
    <x v="8"/>
    <x v="146"/>
    <n v="1219"/>
    <n v="2993"/>
    <s v="Credit Card"/>
    <x v="2"/>
    <x v="1"/>
    <x v="2"/>
    <x v="123"/>
    <n v="2"/>
  </r>
  <r>
    <s v="ELEC0150"/>
    <s v="Aditya Kapoor"/>
    <x v="1"/>
    <n v="39"/>
    <x v="6"/>
    <s v="New Connection"/>
    <x v="9"/>
    <x v="147"/>
    <n v="3461"/>
    <n v="2283"/>
    <s v="Debit Card"/>
    <x v="1"/>
    <x v="12"/>
    <x v="10"/>
    <x v="11"/>
    <n v="4.8"/>
  </r>
  <r>
    <s v="ELEC0151"/>
    <s v="Aarav Gupta"/>
    <x v="1"/>
    <n v="57"/>
    <x v="4"/>
    <s v="Emergency Repair"/>
    <x v="7"/>
    <x v="148"/>
    <n v="1563"/>
    <n v="2706"/>
    <s v="Debit Card"/>
    <x v="0"/>
    <x v="10"/>
    <x v="2"/>
    <x v="113"/>
    <n v="2.6"/>
  </r>
  <r>
    <s v="ELEC0152"/>
    <s v="Meera Kapoor"/>
    <x v="8"/>
    <n v="47"/>
    <x v="3"/>
    <s v="Power Failure"/>
    <x v="9"/>
    <x v="149"/>
    <n v="3097"/>
    <n v="2831"/>
    <s v="UPI"/>
    <x v="2"/>
    <x v="7"/>
    <x v="6"/>
    <x v="124"/>
    <n v="3.1"/>
  </r>
  <r>
    <s v="ELEC0153"/>
    <s v="Nidhi Pandya"/>
    <x v="4"/>
    <n v="32"/>
    <x v="7"/>
    <s v="Routine Service"/>
    <x v="7"/>
    <x v="150"/>
    <n v="953"/>
    <n v="708"/>
    <s v="Credit Card"/>
    <x v="1"/>
    <x v="3"/>
    <x v="10"/>
    <x v="125"/>
    <n v="4.5"/>
  </r>
  <r>
    <s v="ELEC0154"/>
    <s v="Sneha Gupta"/>
    <x v="1"/>
    <n v="39"/>
    <x v="9"/>
    <s v="Voltage Issue"/>
    <x v="1"/>
    <x v="151"/>
    <n v="5702"/>
    <n v="2456"/>
    <s v="Net Banking"/>
    <x v="0"/>
    <x v="9"/>
    <x v="8"/>
    <x v="126"/>
    <n v="3.5"/>
  </r>
  <r>
    <s v="ELEC0155"/>
    <s v="Aditya Kapoor"/>
    <x v="9"/>
    <n v="58"/>
    <x v="3"/>
    <s v="New Connection"/>
    <x v="9"/>
    <x v="152"/>
    <n v="5896"/>
    <n v="2757"/>
    <s v="Cash"/>
    <x v="1"/>
    <x v="8"/>
    <x v="7"/>
    <x v="127"/>
    <n v="3.6"/>
  </r>
  <r>
    <s v="ELEC0156"/>
    <s v="Aarav Patel"/>
    <x v="2"/>
    <n v="62"/>
    <x v="3"/>
    <s v="Voltage Issue"/>
    <x v="1"/>
    <x v="153"/>
    <n v="6782"/>
    <n v="2543"/>
    <s v="Net Banking"/>
    <x v="2"/>
    <x v="9"/>
    <x v="0"/>
    <x v="128"/>
    <n v="3.8"/>
  </r>
  <r>
    <s v="ELEC0157"/>
    <s v="Neha Pandya"/>
    <x v="0"/>
    <n v="51"/>
    <x v="0"/>
    <s v="Routine Service"/>
    <x v="2"/>
    <x v="154"/>
    <n v="4215"/>
    <n v="498"/>
    <s v="Debit Card"/>
    <x v="1"/>
    <x v="6"/>
    <x v="5"/>
    <x v="129"/>
    <n v="3.9"/>
  </r>
  <r>
    <s v="ELEC0158"/>
    <s v="Krishna Joshi"/>
    <x v="3"/>
    <n v="59"/>
    <x v="7"/>
    <s v="Fuse Problem"/>
    <x v="4"/>
    <x v="155"/>
    <n v="6514"/>
    <n v="1614"/>
    <s v="Net Banking"/>
    <x v="1"/>
    <x v="11"/>
    <x v="2"/>
    <x v="130"/>
    <n v="1.8"/>
  </r>
  <r>
    <s v="ELEC0159"/>
    <s v="Nidhi Patel"/>
    <x v="3"/>
    <n v="36"/>
    <x v="5"/>
    <s v="Power Failure"/>
    <x v="2"/>
    <x v="156"/>
    <n v="4183"/>
    <n v="1215"/>
    <s v="Net Banking"/>
    <x v="1"/>
    <x v="11"/>
    <x v="8"/>
    <x v="131"/>
    <n v="4.8"/>
  </r>
  <r>
    <s v="ELEC0160"/>
    <s v="Yash Joshi"/>
    <x v="9"/>
    <n v="41"/>
    <x v="3"/>
    <s v="Fuse Problem"/>
    <x v="1"/>
    <x v="157"/>
    <n v="6751"/>
    <n v="852"/>
    <s v="Credit Card"/>
    <x v="0"/>
    <x v="14"/>
    <x v="5"/>
    <x v="35"/>
    <n v="3.5"/>
  </r>
  <r>
    <s v="ELEC0161"/>
    <s v="Meera Sharma"/>
    <x v="7"/>
    <n v="46"/>
    <x v="8"/>
    <s v="Emergency Repair"/>
    <x v="1"/>
    <x v="158"/>
    <n v="2262"/>
    <n v="2589"/>
    <s v="Net Banking"/>
    <x v="2"/>
    <x v="11"/>
    <x v="8"/>
    <x v="96"/>
    <n v="4.5"/>
  </r>
  <r>
    <s v="ELEC0162"/>
    <s v="Meera Mehta"/>
    <x v="1"/>
    <n v="21"/>
    <x v="9"/>
    <s v="Routine Service"/>
    <x v="9"/>
    <x v="37"/>
    <n v="2666"/>
    <n v="1698"/>
    <s v="Cash"/>
    <x v="0"/>
    <x v="5"/>
    <x v="0"/>
    <x v="132"/>
    <n v="3.7"/>
  </r>
  <r>
    <s v="ELEC0163"/>
    <s v="Riya Kapoor"/>
    <x v="6"/>
    <n v="44"/>
    <x v="8"/>
    <s v="Voltage Issue"/>
    <x v="0"/>
    <x v="159"/>
    <n v="3664"/>
    <n v="2265"/>
    <s v="Net Banking"/>
    <x v="0"/>
    <x v="14"/>
    <x v="8"/>
    <x v="133"/>
    <n v="4.5999999999999996"/>
  </r>
  <r>
    <s v="ELEC0164"/>
    <s v="Rohan Verma"/>
    <x v="7"/>
    <n v="46"/>
    <x v="4"/>
    <s v="Fuse Problem"/>
    <x v="7"/>
    <x v="160"/>
    <n v="3495"/>
    <n v="790"/>
    <s v="Cash"/>
    <x v="1"/>
    <x v="14"/>
    <x v="3"/>
    <x v="134"/>
    <n v="3.6"/>
  </r>
  <r>
    <s v="ELEC0165"/>
    <s v="Vivaan Sharma"/>
    <x v="9"/>
    <n v="42"/>
    <x v="5"/>
    <s v="Equipment Upgrade"/>
    <x v="8"/>
    <x v="161"/>
    <n v="1720"/>
    <n v="2683"/>
    <s v="Net Banking"/>
    <x v="0"/>
    <x v="11"/>
    <x v="2"/>
    <x v="29"/>
    <n v="1.8"/>
  </r>
  <r>
    <s v="ELEC0166"/>
    <s v="Anjali Verma"/>
    <x v="8"/>
    <n v="60"/>
    <x v="6"/>
    <s v="Electrical Inspection"/>
    <x v="4"/>
    <x v="162"/>
    <n v="4655"/>
    <n v="2287"/>
    <s v="Debit Card"/>
    <x v="0"/>
    <x v="4"/>
    <x v="9"/>
    <x v="135"/>
    <n v="4.0999999999999996"/>
  </r>
  <r>
    <s v="ELEC0167"/>
    <s v="Aarav Gupta"/>
    <x v="3"/>
    <n v="64"/>
    <x v="9"/>
    <s v="Routine Service"/>
    <x v="6"/>
    <x v="163"/>
    <n v="3020"/>
    <n v="2777"/>
    <s v="Net Banking"/>
    <x v="1"/>
    <x v="7"/>
    <x v="8"/>
    <x v="22"/>
    <n v="3.3"/>
  </r>
  <r>
    <s v="ELEC0168"/>
    <s v="Riya Joshi"/>
    <x v="2"/>
    <n v="58"/>
    <x v="5"/>
    <s v="New Connection"/>
    <x v="7"/>
    <x v="164"/>
    <n v="5652"/>
    <n v="2738"/>
    <s v="UPI"/>
    <x v="2"/>
    <x v="0"/>
    <x v="10"/>
    <x v="136"/>
    <n v="3.4"/>
  </r>
  <r>
    <s v="ELEC0169"/>
    <s v="Vivaan Trivedi"/>
    <x v="7"/>
    <n v="33"/>
    <x v="1"/>
    <s v="Emergency Repair"/>
    <x v="4"/>
    <x v="165"/>
    <n v="3930"/>
    <n v="820"/>
    <s v="Net Banking"/>
    <x v="0"/>
    <x v="12"/>
    <x v="3"/>
    <x v="66"/>
    <n v="4.3"/>
  </r>
  <r>
    <s v="ELEC0170"/>
    <s v="Meera Rao"/>
    <x v="2"/>
    <n v="29"/>
    <x v="8"/>
    <s v="Maintenance"/>
    <x v="7"/>
    <x v="166"/>
    <n v="3162"/>
    <n v="2912"/>
    <s v="Debit Card"/>
    <x v="1"/>
    <x v="0"/>
    <x v="7"/>
    <x v="112"/>
    <n v="4.9000000000000004"/>
  </r>
  <r>
    <s v="ELEC0171"/>
    <s v="Nidhi Gupta"/>
    <x v="1"/>
    <n v="43"/>
    <x v="6"/>
    <s v="Electrical Inspection"/>
    <x v="8"/>
    <x v="167"/>
    <n v="2075"/>
    <n v="1209"/>
    <s v="Credit Card"/>
    <x v="0"/>
    <x v="3"/>
    <x v="1"/>
    <x v="137"/>
    <n v="4.2"/>
  </r>
  <r>
    <s v="ELEC0172"/>
    <s v="Priya Shah"/>
    <x v="5"/>
    <n v="41"/>
    <x v="5"/>
    <s v="Fuse Problem"/>
    <x v="7"/>
    <x v="168"/>
    <n v="6411"/>
    <n v="1320"/>
    <s v="Debit Card"/>
    <x v="1"/>
    <x v="8"/>
    <x v="6"/>
    <x v="138"/>
    <n v="3.7"/>
  </r>
  <r>
    <s v="ELEC0173"/>
    <s v="Simran Mistry"/>
    <x v="9"/>
    <n v="39"/>
    <x v="1"/>
    <s v="Voltage Issue"/>
    <x v="0"/>
    <x v="169"/>
    <n v="3337"/>
    <n v="2011"/>
    <s v="UPI"/>
    <x v="0"/>
    <x v="4"/>
    <x v="5"/>
    <x v="139"/>
    <n v="4.2"/>
  </r>
  <r>
    <s v="ELEC0174"/>
    <s v="Nidhi Mehta"/>
    <x v="1"/>
    <n v="65"/>
    <x v="6"/>
    <s v="New Connection"/>
    <x v="0"/>
    <x v="170"/>
    <n v="5543"/>
    <n v="2603"/>
    <s v="UPI"/>
    <x v="1"/>
    <x v="11"/>
    <x v="6"/>
    <x v="140"/>
    <n v="3"/>
  </r>
  <r>
    <s v="ELEC0175"/>
    <s v="Vivaan Patel"/>
    <x v="8"/>
    <n v="42"/>
    <x v="5"/>
    <s v="Power Failure"/>
    <x v="9"/>
    <x v="171"/>
    <n v="542"/>
    <n v="2454"/>
    <s v="Debit Card"/>
    <x v="0"/>
    <x v="11"/>
    <x v="2"/>
    <x v="64"/>
    <n v="2.4"/>
  </r>
  <r>
    <s v="ELEC0176"/>
    <s v="Meera Pandya"/>
    <x v="6"/>
    <n v="39"/>
    <x v="4"/>
    <s v="Voltage Issue"/>
    <x v="3"/>
    <x v="58"/>
    <n v="6797"/>
    <n v="566"/>
    <s v="UPI"/>
    <x v="0"/>
    <x v="12"/>
    <x v="6"/>
    <x v="141"/>
    <n v="4.5999999999999996"/>
  </r>
  <r>
    <s v="ELEC0177"/>
    <s v="Yash Chauhan"/>
    <x v="9"/>
    <n v="23"/>
    <x v="2"/>
    <s v="Emergency Repair"/>
    <x v="9"/>
    <x v="172"/>
    <n v="6635"/>
    <n v="1385"/>
    <s v="Net Banking"/>
    <x v="1"/>
    <x v="10"/>
    <x v="2"/>
    <x v="142"/>
    <n v="1.2"/>
  </r>
  <r>
    <s v="ELEC0178"/>
    <s v="Amit Patel"/>
    <x v="3"/>
    <n v="39"/>
    <x v="5"/>
    <s v="Equipment Upgrade"/>
    <x v="7"/>
    <x v="173"/>
    <n v="4546"/>
    <n v="749"/>
    <s v="UPI"/>
    <x v="2"/>
    <x v="6"/>
    <x v="2"/>
    <x v="143"/>
    <n v="2.4"/>
  </r>
  <r>
    <s v="ELEC0179"/>
    <s v="Rohan Gupta"/>
    <x v="9"/>
    <n v="50"/>
    <x v="6"/>
    <s v="New Connection"/>
    <x v="3"/>
    <x v="174"/>
    <n v="6534"/>
    <n v="1580"/>
    <s v="Net Banking"/>
    <x v="0"/>
    <x v="8"/>
    <x v="1"/>
    <x v="144"/>
    <n v="4.8"/>
  </r>
  <r>
    <s v="ELEC0180"/>
    <s v="Jay Rao"/>
    <x v="8"/>
    <n v="53"/>
    <x v="4"/>
    <s v="Power Failure"/>
    <x v="5"/>
    <x v="175"/>
    <n v="5982"/>
    <n v="590"/>
    <s v="UPI"/>
    <x v="0"/>
    <x v="6"/>
    <x v="5"/>
    <x v="145"/>
    <n v="4.5"/>
  </r>
  <r>
    <s v="ELEC0181"/>
    <s v="Aarav Mehta"/>
    <x v="8"/>
    <n v="36"/>
    <x v="5"/>
    <s v="Voltage Issue"/>
    <x v="4"/>
    <x v="176"/>
    <n v="2973"/>
    <n v="2585"/>
    <s v="Credit Card"/>
    <x v="1"/>
    <x v="11"/>
    <x v="8"/>
    <x v="146"/>
    <n v="4.0999999999999996"/>
  </r>
  <r>
    <s v="ELEC0182"/>
    <s v="Sneha Sharma"/>
    <x v="7"/>
    <n v="50"/>
    <x v="6"/>
    <s v="New Connection"/>
    <x v="5"/>
    <x v="177"/>
    <n v="6120"/>
    <n v="2258"/>
    <s v="Cash"/>
    <x v="1"/>
    <x v="3"/>
    <x v="2"/>
    <x v="41"/>
    <n v="2.2999999999999998"/>
  </r>
  <r>
    <s v="ELEC0183"/>
    <s v="Neha Gupta"/>
    <x v="4"/>
    <n v="35"/>
    <x v="0"/>
    <s v="New Connection"/>
    <x v="8"/>
    <x v="178"/>
    <n v="1754"/>
    <n v="2063"/>
    <s v="Net Banking"/>
    <x v="1"/>
    <x v="8"/>
    <x v="7"/>
    <x v="130"/>
    <n v="4"/>
  </r>
  <r>
    <s v="ELEC0184"/>
    <s v="Meera Mistry"/>
    <x v="1"/>
    <n v="63"/>
    <x v="0"/>
    <s v="Maintenance"/>
    <x v="6"/>
    <x v="179"/>
    <n v="6950"/>
    <n v="535"/>
    <s v="Net Banking"/>
    <x v="0"/>
    <x v="14"/>
    <x v="7"/>
    <x v="147"/>
    <n v="3.7"/>
  </r>
  <r>
    <s v="ELEC0185"/>
    <s v="Rohan Sharma"/>
    <x v="1"/>
    <n v="53"/>
    <x v="0"/>
    <s v="Electrical Inspection"/>
    <x v="7"/>
    <x v="180"/>
    <n v="1727"/>
    <n v="873"/>
    <s v="UPI"/>
    <x v="1"/>
    <x v="14"/>
    <x v="5"/>
    <x v="148"/>
    <n v="3.4"/>
  </r>
  <r>
    <s v="ELEC0186"/>
    <s v="Riya Desai"/>
    <x v="7"/>
    <n v="53"/>
    <x v="5"/>
    <s v="Short Circuit"/>
    <x v="8"/>
    <x v="181"/>
    <n v="1580"/>
    <n v="2302"/>
    <s v="Debit Card"/>
    <x v="0"/>
    <x v="8"/>
    <x v="0"/>
    <x v="149"/>
    <n v="3.3"/>
  </r>
  <r>
    <s v="ELEC0187"/>
    <s v="Neha Shah"/>
    <x v="2"/>
    <n v="46"/>
    <x v="6"/>
    <s v="Short Circuit"/>
    <x v="1"/>
    <x v="182"/>
    <n v="5237"/>
    <n v="499"/>
    <s v="Cash"/>
    <x v="2"/>
    <x v="5"/>
    <x v="4"/>
    <x v="94"/>
    <n v="4.0999999999999996"/>
  </r>
  <r>
    <s v="ELEC0188"/>
    <s v="Aditya Chauhan"/>
    <x v="5"/>
    <n v="23"/>
    <x v="6"/>
    <s v="Routine Service"/>
    <x v="9"/>
    <x v="183"/>
    <n v="6799"/>
    <n v="754"/>
    <s v="Debit Card"/>
    <x v="2"/>
    <x v="4"/>
    <x v="3"/>
    <x v="110"/>
    <n v="4.7"/>
  </r>
  <r>
    <s v="ELEC0189"/>
    <s v="Krishna Rao"/>
    <x v="8"/>
    <n v="45"/>
    <x v="9"/>
    <s v="Equipment Upgrade"/>
    <x v="9"/>
    <x v="184"/>
    <n v="5853"/>
    <n v="1624"/>
    <s v="UPI"/>
    <x v="0"/>
    <x v="14"/>
    <x v="3"/>
    <x v="150"/>
    <n v="3.5"/>
  </r>
  <r>
    <s v="ELEC0190"/>
    <s v="Sneha Rao"/>
    <x v="2"/>
    <n v="22"/>
    <x v="6"/>
    <s v="Emergency Repair"/>
    <x v="7"/>
    <x v="185"/>
    <n v="3974"/>
    <n v="2378"/>
    <s v="Credit Card"/>
    <x v="2"/>
    <x v="12"/>
    <x v="1"/>
    <x v="36"/>
    <n v="4.5999999999999996"/>
  </r>
  <r>
    <s v="ELEC0191"/>
    <s v="Karan Mehta"/>
    <x v="6"/>
    <n v="28"/>
    <x v="1"/>
    <s v="Routine Service"/>
    <x v="6"/>
    <x v="186"/>
    <n v="6775"/>
    <n v="264"/>
    <s v="Cash"/>
    <x v="0"/>
    <x v="1"/>
    <x v="4"/>
    <x v="98"/>
    <n v="4.8"/>
  </r>
  <r>
    <s v="ELEC0192"/>
    <s v="Krishna Trivedi"/>
    <x v="2"/>
    <n v="36"/>
    <x v="1"/>
    <s v="Routine Service"/>
    <x v="8"/>
    <x v="187"/>
    <n v="2419"/>
    <n v="2410"/>
    <s v="Net Banking"/>
    <x v="1"/>
    <x v="15"/>
    <x v="0"/>
    <x v="151"/>
    <n v="3.7"/>
  </r>
  <r>
    <s v="ELEC0193"/>
    <s v="Neha Joshi"/>
    <x v="4"/>
    <n v="41"/>
    <x v="3"/>
    <s v="Electrical Inspection"/>
    <x v="4"/>
    <x v="188"/>
    <n v="2440"/>
    <n v="1436"/>
    <s v="UPI"/>
    <x v="0"/>
    <x v="3"/>
    <x v="2"/>
    <x v="152"/>
    <n v="1.4"/>
  </r>
  <r>
    <s v="ELEC0194"/>
    <s v="Yash Mehta"/>
    <x v="0"/>
    <n v="24"/>
    <x v="8"/>
    <s v="Electrical Inspection"/>
    <x v="9"/>
    <x v="189"/>
    <n v="5628"/>
    <n v="2980"/>
    <s v="Debit Card"/>
    <x v="0"/>
    <x v="7"/>
    <x v="0"/>
    <x v="153"/>
    <n v="4.5"/>
  </r>
  <r>
    <s v="ELEC0195"/>
    <s v="Isha Gupta"/>
    <x v="8"/>
    <n v="47"/>
    <x v="7"/>
    <s v="Voltage Issue"/>
    <x v="5"/>
    <x v="190"/>
    <n v="2006"/>
    <n v="2403"/>
    <s v="UPI"/>
    <x v="2"/>
    <x v="15"/>
    <x v="1"/>
    <x v="154"/>
    <n v="4.9000000000000004"/>
  </r>
  <r>
    <s v="ELEC0196"/>
    <s v="Krishna Chauhan"/>
    <x v="2"/>
    <n v="56"/>
    <x v="2"/>
    <s v="Routine Service"/>
    <x v="7"/>
    <x v="191"/>
    <n v="4841"/>
    <n v="749"/>
    <s v="Cash"/>
    <x v="2"/>
    <x v="3"/>
    <x v="1"/>
    <x v="93"/>
    <n v="3.1"/>
  </r>
  <r>
    <s v="ELEC0197"/>
    <s v="Krishna Rao"/>
    <x v="3"/>
    <n v="26"/>
    <x v="8"/>
    <s v="Maintenance"/>
    <x v="3"/>
    <x v="192"/>
    <n v="2699"/>
    <n v="1744"/>
    <s v="UPI"/>
    <x v="2"/>
    <x v="8"/>
    <x v="0"/>
    <x v="105"/>
    <n v="3"/>
  </r>
  <r>
    <s v="ELEC0198"/>
    <s v="Riya Shah"/>
    <x v="1"/>
    <n v="34"/>
    <x v="5"/>
    <s v="Maintenance"/>
    <x v="4"/>
    <x v="193"/>
    <n v="2983"/>
    <n v="262"/>
    <s v="UPI"/>
    <x v="0"/>
    <x v="12"/>
    <x v="4"/>
    <x v="155"/>
    <n v="4.9000000000000004"/>
  </r>
  <r>
    <s v="ELEC0199"/>
    <s v="Amit Shah"/>
    <x v="6"/>
    <n v="46"/>
    <x v="0"/>
    <s v="Equipment Upgrade"/>
    <x v="4"/>
    <x v="194"/>
    <n v="6853"/>
    <n v="1359"/>
    <s v="Credit Card"/>
    <x v="1"/>
    <x v="14"/>
    <x v="7"/>
    <x v="34"/>
    <n v="3.2"/>
  </r>
  <r>
    <s v="ELEC0200"/>
    <s v="Simran Kapoor"/>
    <x v="5"/>
    <n v="50"/>
    <x v="9"/>
    <s v="Emergency Repair"/>
    <x v="4"/>
    <x v="181"/>
    <n v="2164"/>
    <n v="1718"/>
    <s v="UPI"/>
    <x v="0"/>
    <x v="11"/>
    <x v="9"/>
    <x v="152"/>
    <n v="3.8"/>
  </r>
  <r>
    <s v="ELEC0201"/>
    <s v="Aarav Mehta"/>
    <x v="1"/>
    <n v="58"/>
    <x v="3"/>
    <s v="Routine Service"/>
    <x v="2"/>
    <x v="195"/>
    <n v="1748"/>
    <n v="1003"/>
    <s v="Debit Card"/>
    <x v="2"/>
    <x v="0"/>
    <x v="9"/>
    <x v="156"/>
    <n v="4"/>
  </r>
  <r>
    <s v="ELEC0202"/>
    <s v="Nidhi Pandya"/>
    <x v="3"/>
    <n v="37"/>
    <x v="5"/>
    <s v="Emergency Repair"/>
    <x v="8"/>
    <x v="196"/>
    <n v="1878"/>
    <n v="1642"/>
    <s v="UPI"/>
    <x v="0"/>
    <x v="4"/>
    <x v="6"/>
    <x v="93"/>
    <n v="3.3"/>
  </r>
  <r>
    <s v="ELEC0203"/>
    <s v="Nidhi Pandya"/>
    <x v="2"/>
    <n v="54"/>
    <x v="1"/>
    <s v="Power Failure"/>
    <x v="3"/>
    <x v="197"/>
    <n v="6761"/>
    <n v="226"/>
    <s v="UPI"/>
    <x v="0"/>
    <x v="15"/>
    <x v="1"/>
    <x v="157"/>
    <n v="3.6"/>
  </r>
  <r>
    <s v="ELEC0204"/>
    <s v="Aarav Joshi"/>
    <x v="1"/>
    <n v="50"/>
    <x v="4"/>
    <s v="Short Circuit"/>
    <x v="6"/>
    <x v="198"/>
    <n v="5724"/>
    <n v="2931"/>
    <s v="Debit Card"/>
    <x v="1"/>
    <x v="6"/>
    <x v="2"/>
    <x v="24"/>
    <n v="1.5"/>
  </r>
  <r>
    <s v="ELEC0205"/>
    <s v="Aarav Sharma"/>
    <x v="1"/>
    <n v="56"/>
    <x v="2"/>
    <s v="Short Circuit"/>
    <x v="3"/>
    <x v="199"/>
    <n v="4836"/>
    <n v="1325"/>
    <s v="Debit Card"/>
    <x v="1"/>
    <x v="3"/>
    <x v="0"/>
    <x v="158"/>
    <n v="4.5"/>
  </r>
  <r>
    <s v="ELEC0206"/>
    <s v="Rahul Patel"/>
    <x v="7"/>
    <n v="54"/>
    <x v="7"/>
    <s v="Maintenance"/>
    <x v="1"/>
    <x v="200"/>
    <n v="5577"/>
    <n v="2356"/>
    <s v="Cash"/>
    <x v="1"/>
    <x v="5"/>
    <x v="8"/>
    <x v="159"/>
    <n v="3.5"/>
  </r>
  <r>
    <s v="ELEC0207"/>
    <s v="Simran Singh"/>
    <x v="5"/>
    <n v="57"/>
    <x v="0"/>
    <s v="Maintenance"/>
    <x v="2"/>
    <x v="201"/>
    <n v="6103"/>
    <n v="530"/>
    <s v="Debit Card"/>
    <x v="2"/>
    <x v="15"/>
    <x v="0"/>
    <x v="160"/>
    <n v="3.5"/>
  </r>
  <r>
    <s v="ELEC0208"/>
    <s v="Jay Singh"/>
    <x v="1"/>
    <n v="51"/>
    <x v="1"/>
    <s v="Short Circuit"/>
    <x v="9"/>
    <x v="202"/>
    <n v="1177"/>
    <n v="2247"/>
    <s v="Cash"/>
    <x v="2"/>
    <x v="9"/>
    <x v="7"/>
    <x v="161"/>
    <n v="3.2"/>
  </r>
  <r>
    <s v="ELEC0209"/>
    <s v="Isha Chauhan"/>
    <x v="2"/>
    <n v="35"/>
    <x v="0"/>
    <s v="Electrical Inspection"/>
    <x v="8"/>
    <x v="203"/>
    <n v="2720"/>
    <n v="390"/>
    <s v="Net Banking"/>
    <x v="2"/>
    <x v="3"/>
    <x v="2"/>
    <x v="68"/>
    <n v="2.6"/>
  </r>
  <r>
    <s v="ELEC0210"/>
    <s v="Riya Pandya"/>
    <x v="2"/>
    <n v="32"/>
    <x v="4"/>
    <s v="Short Circuit"/>
    <x v="1"/>
    <x v="204"/>
    <n v="5308"/>
    <n v="790"/>
    <s v="Credit Card"/>
    <x v="2"/>
    <x v="4"/>
    <x v="3"/>
    <x v="162"/>
    <n v="4.3"/>
  </r>
  <r>
    <s v="ELEC0211"/>
    <s v="Rahul Trivedi"/>
    <x v="6"/>
    <n v="57"/>
    <x v="2"/>
    <s v="Equipment Upgrade"/>
    <x v="4"/>
    <x v="205"/>
    <n v="3644"/>
    <n v="773"/>
    <s v="Credit Card"/>
    <x v="2"/>
    <x v="4"/>
    <x v="4"/>
    <x v="31"/>
    <n v="3.3"/>
  </r>
  <r>
    <s v="ELEC0212"/>
    <s v="Vivaan Patel"/>
    <x v="8"/>
    <n v="35"/>
    <x v="9"/>
    <s v="Fuse Problem"/>
    <x v="6"/>
    <x v="206"/>
    <n v="6799"/>
    <n v="2714"/>
    <s v="Cash"/>
    <x v="0"/>
    <x v="6"/>
    <x v="2"/>
    <x v="163"/>
    <n v="2.5"/>
  </r>
  <r>
    <s v="ELEC0213"/>
    <s v="Pooja Mistry"/>
    <x v="5"/>
    <n v="52"/>
    <x v="0"/>
    <s v="Fuse Problem"/>
    <x v="7"/>
    <x v="207"/>
    <n v="3575"/>
    <n v="1968"/>
    <s v="Net Banking"/>
    <x v="1"/>
    <x v="8"/>
    <x v="3"/>
    <x v="164"/>
    <n v="3.5"/>
  </r>
  <r>
    <s v="ELEC0214"/>
    <s v="Neha Mistry"/>
    <x v="6"/>
    <n v="25"/>
    <x v="9"/>
    <s v="Voltage Issue"/>
    <x v="9"/>
    <x v="208"/>
    <n v="3612"/>
    <n v="2796"/>
    <s v="Cash"/>
    <x v="0"/>
    <x v="0"/>
    <x v="7"/>
    <x v="46"/>
    <n v="3.2"/>
  </r>
  <r>
    <s v="ELEC0215"/>
    <s v="Aditya Sharma"/>
    <x v="0"/>
    <n v="49"/>
    <x v="4"/>
    <s v="Voltage Issue"/>
    <x v="0"/>
    <x v="209"/>
    <n v="1585"/>
    <n v="557"/>
    <s v="Net Banking"/>
    <x v="0"/>
    <x v="7"/>
    <x v="6"/>
    <x v="165"/>
    <n v="3.1"/>
  </r>
  <r>
    <s v="ELEC0216"/>
    <s v="Yash Patel"/>
    <x v="2"/>
    <n v="26"/>
    <x v="4"/>
    <s v="Equipment Upgrade"/>
    <x v="0"/>
    <x v="210"/>
    <n v="5390"/>
    <n v="2649"/>
    <s v="Credit Card"/>
    <x v="1"/>
    <x v="15"/>
    <x v="3"/>
    <x v="166"/>
    <n v="4.4000000000000004"/>
  </r>
  <r>
    <s v="ELEC0217"/>
    <s v="Yash Singh"/>
    <x v="7"/>
    <n v="56"/>
    <x v="0"/>
    <s v="Electrical Inspection"/>
    <x v="7"/>
    <x v="211"/>
    <n v="1889"/>
    <n v="1759"/>
    <s v="Debit Card"/>
    <x v="0"/>
    <x v="3"/>
    <x v="8"/>
    <x v="167"/>
    <n v="4.5"/>
  </r>
  <r>
    <s v="ELEC0218"/>
    <s v="Karan Patel"/>
    <x v="9"/>
    <n v="48"/>
    <x v="6"/>
    <s v="Routine Service"/>
    <x v="2"/>
    <x v="212"/>
    <n v="4466"/>
    <n v="515"/>
    <s v="Net Banking"/>
    <x v="2"/>
    <x v="12"/>
    <x v="5"/>
    <x v="168"/>
    <n v="3.8"/>
  </r>
  <r>
    <s v="ELEC0219"/>
    <s v="Priya Desai"/>
    <x v="7"/>
    <n v="29"/>
    <x v="6"/>
    <s v="Short Circuit"/>
    <x v="5"/>
    <x v="213"/>
    <n v="3221"/>
    <n v="2740"/>
    <s v="Credit Card"/>
    <x v="1"/>
    <x v="15"/>
    <x v="7"/>
    <x v="92"/>
    <n v="3"/>
  </r>
  <r>
    <s v="ELEC0220"/>
    <s v="Yash Rao"/>
    <x v="4"/>
    <n v="29"/>
    <x v="6"/>
    <s v="Fuse Problem"/>
    <x v="6"/>
    <x v="214"/>
    <n v="6195"/>
    <n v="1022"/>
    <s v="Credit Card"/>
    <x v="0"/>
    <x v="6"/>
    <x v="3"/>
    <x v="169"/>
    <n v="4.7"/>
  </r>
  <r>
    <s v="ELEC0221"/>
    <s v="Meera Trivedi"/>
    <x v="6"/>
    <n v="41"/>
    <x v="2"/>
    <s v="Voltage Issue"/>
    <x v="5"/>
    <x v="215"/>
    <n v="3490"/>
    <n v="666"/>
    <s v="Net Banking"/>
    <x v="1"/>
    <x v="11"/>
    <x v="2"/>
    <x v="170"/>
    <n v="2.2000000000000002"/>
  </r>
  <r>
    <s v="ELEC0222"/>
    <s v="Rahul Pandya"/>
    <x v="1"/>
    <n v="22"/>
    <x v="5"/>
    <s v="Maintenance"/>
    <x v="8"/>
    <x v="216"/>
    <n v="2886"/>
    <n v="483"/>
    <s v="Debit Card"/>
    <x v="2"/>
    <x v="13"/>
    <x v="3"/>
    <x v="171"/>
    <n v="3.3"/>
  </r>
  <r>
    <s v="ELEC0223"/>
    <s v="Karan Pandya"/>
    <x v="0"/>
    <n v="36"/>
    <x v="6"/>
    <s v="New Connection"/>
    <x v="5"/>
    <x v="217"/>
    <n v="6964"/>
    <n v="1744"/>
    <s v="Debit Card"/>
    <x v="1"/>
    <x v="8"/>
    <x v="5"/>
    <x v="158"/>
    <n v="4.5"/>
  </r>
  <r>
    <s v="ELEC0224"/>
    <s v="Nidhi Kapoor"/>
    <x v="8"/>
    <n v="55"/>
    <x v="1"/>
    <s v="Fuse Problem"/>
    <x v="7"/>
    <x v="218"/>
    <n v="5364"/>
    <n v="2813"/>
    <s v="Credit Card"/>
    <x v="1"/>
    <x v="10"/>
    <x v="2"/>
    <x v="43"/>
    <n v="2.6"/>
  </r>
  <r>
    <s v="ELEC0225"/>
    <s v="Rahul Pandya"/>
    <x v="4"/>
    <n v="23"/>
    <x v="3"/>
    <s v="Routine Service"/>
    <x v="4"/>
    <x v="219"/>
    <n v="4026"/>
    <n v="633"/>
    <s v="Net Banking"/>
    <x v="2"/>
    <x v="3"/>
    <x v="1"/>
    <x v="0"/>
    <n v="3.4"/>
  </r>
  <r>
    <s v="ELEC0226"/>
    <s v="Nidhi Trivedi"/>
    <x v="4"/>
    <n v="35"/>
    <x v="5"/>
    <s v="Fuse Problem"/>
    <x v="5"/>
    <x v="220"/>
    <n v="4293"/>
    <n v="2983"/>
    <s v="Cash"/>
    <x v="0"/>
    <x v="14"/>
    <x v="10"/>
    <x v="55"/>
    <n v="4.2"/>
  </r>
  <r>
    <s v="ELEC0227"/>
    <s v="Meera Patel"/>
    <x v="0"/>
    <n v="47"/>
    <x v="9"/>
    <s v="Power Failure"/>
    <x v="9"/>
    <x v="55"/>
    <n v="3353"/>
    <n v="1477"/>
    <s v="Debit Card"/>
    <x v="2"/>
    <x v="13"/>
    <x v="1"/>
    <x v="91"/>
    <n v="3.6"/>
  </r>
  <r>
    <s v="ELEC0228"/>
    <s v="Simran Desai"/>
    <x v="7"/>
    <n v="49"/>
    <x v="5"/>
    <s v="Fuse Problem"/>
    <x v="0"/>
    <x v="221"/>
    <n v="2959"/>
    <n v="383"/>
    <s v="Cash"/>
    <x v="2"/>
    <x v="1"/>
    <x v="0"/>
    <x v="116"/>
    <n v="3.6"/>
  </r>
  <r>
    <s v="ELEC0229"/>
    <s v="Rahul Chauhan"/>
    <x v="6"/>
    <n v="54"/>
    <x v="7"/>
    <s v="Equipment Upgrade"/>
    <x v="9"/>
    <x v="222"/>
    <n v="3211"/>
    <n v="2493"/>
    <s v="UPI"/>
    <x v="0"/>
    <x v="7"/>
    <x v="1"/>
    <x v="172"/>
    <n v="4"/>
  </r>
  <r>
    <s v="ELEC0230"/>
    <s v="Rahul Pandya"/>
    <x v="8"/>
    <n v="46"/>
    <x v="1"/>
    <s v="Electrical Inspection"/>
    <x v="1"/>
    <x v="223"/>
    <n v="4182"/>
    <n v="2625"/>
    <s v="Credit Card"/>
    <x v="2"/>
    <x v="11"/>
    <x v="1"/>
    <x v="173"/>
    <n v="3"/>
  </r>
  <r>
    <s v="ELEC0231"/>
    <s v="Aditya Trivedi"/>
    <x v="7"/>
    <n v="55"/>
    <x v="7"/>
    <s v="Fuse Problem"/>
    <x v="4"/>
    <x v="224"/>
    <n v="2114"/>
    <n v="2074"/>
    <s v="Credit Card"/>
    <x v="2"/>
    <x v="9"/>
    <x v="5"/>
    <x v="174"/>
    <n v="3.5"/>
  </r>
  <r>
    <s v="ELEC0232"/>
    <s v="Amit Singh"/>
    <x v="4"/>
    <n v="46"/>
    <x v="3"/>
    <s v="Power Failure"/>
    <x v="4"/>
    <x v="225"/>
    <n v="3383"/>
    <n v="2075"/>
    <s v="Net Banking"/>
    <x v="1"/>
    <x v="15"/>
    <x v="8"/>
    <x v="15"/>
    <n v="3.4"/>
  </r>
  <r>
    <s v="ELEC0233"/>
    <s v="Aditya Pandya"/>
    <x v="9"/>
    <n v="41"/>
    <x v="9"/>
    <s v="Maintenance"/>
    <x v="2"/>
    <x v="226"/>
    <n v="1458"/>
    <n v="949"/>
    <s v="Debit Card"/>
    <x v="1"/>
    <x v="6"/>
    <x v="6"/>
    <x v="100"/>
    <n v="3.5"/>
  </r>
  <r>
    <s v="ELEC0234"/>
    <s v="Amit Verma"/>
    <x v="4"/>
    <n v="45"/>
    <x v="2"/>
    <s v="New Connection"/>
    <x v="8"/>
    <x v="227"/>
    <n v="5706"/>
    <n v="2401"/>
    <s v="UPI"/>
    <x v="2"/>
    <x v="9"/>
    <x v="10"/>
    <x v="175"/>
    <n v="4.3"/>
  </r>
  <r>
    <s v="ELEC0235"/>
    <s v="Meera Mehta"/>
    <x v="9"/>
    <n v="32"/>
    <x v="4"/>
    <s v="Emergency Repair"/>
    <x v="6"/>
    <x v="228"/>
    <n v="939"/>
    <n v="1670"/>
    <s v="UPI"/>
    <x v="0"/>
    <x v="6"/>
    <x v="2"/>
    <x v="176"/>
    <n v="1.9"/>
  </r>
  <r>
    <s v="ELEC0236"/>
    <s v="Jay Kapoor"/>
    <x v="1"/>
    <n v="62"/>
    <x v="5"/>
    <s v="Routine Service"/>
    <x v="8"/>
    <x v="229"/>
    <n v="3904"/>
    <n v="2018"/>
    <s v="UPI"/>
    <x v="1"/>
    <x v="1"/>
    <x v="9"/>
    <x v="152"/>
    <n v="3.6"/>
  </r>
  <r>
    <s v="ELEC0237"/>
    <s v="Neha Sharma"/>
    <x v="0"/>
    <n v="35"/>
    <x v="8"/>
    <s v="Voltage Issue"/>
    <x v="9"/>
    <x v="230"/>
    <n v="6895"/>
    <n v="2073"/>
    <s v="Net Banking"/>
    <x v="0"/>
    <x v="13"/>
    <x v="5"/>
    <x v="151"/>
    <n v="3.2"/>
  </r>
  <r>
    <s v="ELEC0238"/>
    <s v="Rohan Trivedi"/>
    <x v="7"/>
    <n v="38"/>
    <x v="8"/>
    <s v="Fuse Problem"/>
    <x v="7"/>
    <x v="231"/>
    <n v="6699"/>
    <n v="370"/>
    <s v="Debit Card"/>
    <x v="1"/>
    <x v="7"/>
    <x v="6"/>
    <x v="98"/>
    <n v="4.9000000000000004"/>
  </r>
  <r>
    <s v="ELEC0239"/>
    <s v="Rohan Shah"/>
    <x v="6"/>
    <n v="40"/>
    <x v="1"/>
    <s v="Emergency Repair"/>
    <x v="2"/>
    <x v="232"/>
    <n v="3355"/>
    <n v="556"/>
    <s v="Net Banking"/>
    <x v="1"/>
    <x v="1"/>
    <x v="1"/>
    <x v="177"/>
    <n v="4.0999999999999996"/>
  </r>
  <r>
    <s v="ELEC0240"/>
    <s v="Simran Rao"/>
    <x v="4"/>
    <n v="61"/>
    <x v="2"/>
    <s v="New Connection"/>
    <x v="6"/>
    <x v="233"/>
    <n v="1640"/>
    <n v="1046"/>
    <s v="Credit Card"/>
    <x v="0"/>
    <x v="13"/>
    <x v="0"/>
    <x v="170"/>
    <n v="4"/>
  </r>
  <r>
    <s v="ELEC0241"/>
    <s v="Nidhi Mehta"/>
    <x v="4"/>
    <n v="55"/>
    <x v="7"/>
    <s v="Fuse Problem"/>
    <x v="2"/>
    <x v="234"/>
    <n v="2870"/>
    <n v="2545"/>
    <s v="Cash"/>
    <x v="1"/>
    <x v="15"/>
    <x v="6"/>
    <x v="178"/>
    <n v="4.8"/>
  </r>
  <r>
    <s v="ELEC0242"/>
    <s v="Karan Mistry"/>
    <x v="8"/>
    <n v="24"/>
    <x v="6"/>
    <s v="New Connection"/>
    <x v="9"/>
    <x v="235"/>
    <n v="2545"/>
    <n v="799"/>
    <s v="Debit Card"/>
    <x v="0"/>
    <x v="15"/>
    <x v="1"/>
    <x v="179"/>
    <n v="4.0999999999999996"/>
  </r>
  <r>
    <s v="ELEC0243"/>
    <s v="Meera Verma"/>
    <x v="4"/>
    <n v="61"/>
    <x v="6"/>
    <s v="Routine Service"/>
    <x v="5"/>
    <x v="236"/>
    <n v="4202"/>
    <n v="509"/>
    <s v="Net Banking"/>
    <x v="2"/>
    <x v="2"/>
    <x v="4"/>
    <x v="180"/>
    <n v="3.5"/>
  </r>
  <r>
    <s v="ELEC0244"/>
    <s v="Pooja Shah"/>
    <x v="3"/>
    <n v="50"/>
    <x v="5"/>
    <s v="Fuse Problem"/>
    <x v="6"/>
    <x v="237"/>
    <n v="520"/>
    <n v="581"/>
    <s v="Net Banking"/>
    <x v="0"/>
    <x v="7"/>
    <x v="7"/>
    <x v="124"/>
    <n v="3"/>
  </r>
  <r>
    <s v="ELEC0245"/>
    <s v="Jay Joshi"/>
    <x v="8"/>
    <n v="34"/>
    <x v="5"/>
    <s v="Voltage Issue"/>
    <x v="4"/>
    <x v="238"/>
    <n v="2823"/>
    <n v="1583"/>
    <s v="Credit Card"/>
    <x v="0"/>
    <x v="6"/>
    <x v="9"/>
    <x v="181"/>
    <n v="4"/>
  </r>
  <r>
    <s v="ELEC0246"/>
    <s v="Vivaan Sharma"/>
    <x v="7"/>
    <n v="61"/>
    <x v="5"/>
    <s v="Short Circuit"/>
    <x v="0"/>
    <x v="239"/>
    <n v="1794"/>
    <n v="2007"/>
    <s v="UPI"/>
    <x v="0"/>
    <x v="0"/>
    <x v="1"/>
    <x v="182"/>
    <n v="3.8"/>
  </r>
  <r>
    <s v="ELEC0247"/>
    <s v="Neha Verma"/>
    <x v="0"/>
    <n v="26"/>
    <x v="4"/>
    <s v="Voltage Issue"/>
    <x v="0"/>
    <x v="240"/>
    <n v="3546"/>
    <n v="2921"/>
    <s v="Debit Card"/>
    <x v="0"/>
    <x v="11"/>
    <x v="2"/>
    <x v="183"/>
    <n v="1.7"/>
  </r>
  <r>
    <s v="ELEC0248"/>
    <s v="Neha Shah"/>
    <x v="6"/>
    <n v="48"/>
    <x v="9"/>
    <s v="Power Failure"/>
    <x v="3"/>
    <x v="241"/>
    <n v="2248"/>
    <n v="2153"/>
    <s v="Debit Card"/>
    <x v="2"/>
    <x v="8"/>
    <x v="1"/>
    <x v="184"/>
    <n v="4.0999999999999996"/>
  </r>
  <r>
    <s v="ELEC0249"/>
    <s v="Aarav Sharma"/>
    <x v="3"/>
    <n v="28"/>
    <x v="2"/>
    <s v="New Connection"/>
    <x v="8"/>
    <x v="242"/>
    <n v="1080"/>
    <n v="1137"/>
    <s v="Credit Card"/>
    <x v="0"/>
    <x v="4"/>
    <x v="4"/>
    <x v="142"/>
    <n v="3.2"/>
  </r>
  <r>
    <s v="ELEC0250"/>
    <s v="Simran Chauhan"/>
    <x v="0"/>
    <n v="29"/>
    <x v="2"/>
    <s v="New Connection"/>
    <x v="9"/>
    <x v="243"/>
    <n v="1060"/>
    <n v="2372"/>
    <s v="Credit Card"/>
    <x v="0"/>
    <x v="8"/>
    <x v="10"/>
    <x v="78"/>
    <n v="3.4"/>
  </r>
  <r>
    <s v="ELEC0251"/>
    <s v="Priya Pandya"/>
    <x v="9"/>
    <n v="47"/>
    <x v="3"/>
    <s v="Emergency Repair"/>
    <x v="1"/>
    <x v="244"/>
    <n v="1210"/>
    <n v="611"/>
    <s v="Credit Card"/>
    <x v="1"/>
    <x v="1"/>
    <x v="9"/>
    <x v="185"/>
    <n v="5"/>
  </r>
  <r>
    <s v="ELEC0252"/>
    <s v="Yash Gupta"/>
    <x v="9"/>
    <n v="36"/>
    <x v="6"/>
    <s v="Power Failure"/>
    <x v="1"/>
    <x v="245"/>
    <n v="5033"/>
    <n v="2661"/>
    <s v="Cash"/>
    <x v="0"/>
    <x v="8"/>
    <x v="8"/>
    <x v="185"/>
    <n v="3.8"/>
  </r>
  <r>
    <s v="ELEC0253"/>
    <s v="Neha Joshi"/>
    <x v="1"/>
    <n v="59"/>
    <x v="8"/>
    <s v="Maintenance"/>
    <x v="5"/>
    <x v="44"/>
    <n v="2921"/>
    <n v="2846"/>
    <s v="Debit Card"/>
    <x v="1"/>
    <x v="2"/>
    <x v="1"/>
    <x v="186"/>
    <n v="3.5"/>
  </r>
  <r>
    <s v="ELEC0254"/>
    <s v="Rohan Joshi"/>
    <x v="5"/>
    <n v="61"/>
    <x v="3"/>
    <s v="Power Failure"/>
    <x v="7"/>
    <x v="246"/>
    <n v="598"/>
    <n v="1679"/>
    <s v="Net Banking"/>
    <x v="0"/>
    <x v="11"/>
    <x v="2"/>
    <x v="187"/>
    <n v="1.7"/>
  </r>
  <r>
    <s v="ELEC0255"/>
    <s v="Yash Gupta"/>
    <x v="1"/>
    <n v="64"/>
    <x v="7"/>
    <s v="Emergency Repair"/>
    <x v="0"/>
    <x v="247"/>
    <n v="636"/>
    <n v="2605"/>
    <s v="Cash"/>
    <x v="0"/>
    <x v="3"/>
    <x v="1"/>
    <x v="188"/>
    <n v="4.0999999999999996"/>
  </r>
  <r>
    <s v="ELEC0256"/>
    <s v="Jay Kapoor"/>
    <x v="0"/>
    <n v="61"/>
    <x v="8"/>
    <s v="Routine Service"/>
    <x v="5"/>
    <x v="248"/>
    <n v="6249"/>
    <n v="1847"/>
    <s v="UPI"/>
    <x v="0"/>
    <x v="14"/>
    <x v="6"/>
    <x v="189"/>
    <n v="4.3"/>
  </r>
  <r>
    <s v="ELEC0257"/>
    <s v="Pooja Patel"/>
    <x v="0"/>
    <n v="26"/>
    <x v="8"/>
    <s v="Maintenance"/>
    <x v="9"/>
    <x v="249"/>
    <n v="4894"/>
    <n v="1538"/>
    <s v="Debit Card"/>
    <x v="0"/>
    <x v="9"/>
    <x v="4"/>
    <x v="190"/>
    <n v="3.7"/>
  </r>
  <r>
    <s v="ELEC0258"/>
    <s v="Sneha Sharma"/>
    <x v="6"/>
    <n v="26"/>
    <x v="2"/>
    <s v="Power Failure"/>
    <x v="8"/>
    <x v="250"/>
    <n v="5515"/>
    <n v="2693"/>
    <s v="Cash"/>
    <x v="1"/>
    <x v="9"/>
    <x v="10"/>
    <x v="191"/>
    <n v="4.5999999999999996"/>
  </r>
  <r>
    <s v="ELEC0259"/>
    <s v="Karan Shah"/>
    <x v="2"/>
    <n v="31"/>
    <x v="5"/>
    <s v="Fuse Problem"/>
    <x v="7"/>
    <x v="251"/>
    <n v="4737"/>
    <n v="1261"/>
    <s v="Cash"/>
    <x v="0"/>
    <x v="6"/>
    <x v="8"/>
    <x v="19"/>
    <n v="5"/>
  </r>
  <r>
    <s v="ELEC0260"/>
    <s v="Anjali Mistry"/>
    <x v="8"/>
    <n v="38"/>
    <x v="8"/>
    <s v="Power Failure"/>
    <x v="2"/>
    <x v="252"/>
    <n v="6335"/>
    <n v="2561"/>
    <s v="Credit Card"/>
    <x v="0"/>
    <x v="7"/>
    <x v="5"/>
    <x v="135"/>
    <n v="3.2"/>
  </r>
  <r>
    <s v="ELEC0261"/>
    <s v="Vivaan Desai"/>
    <x v="4"/>
    <n v="31"/>
    <x v="4"/>
    <s v="New Connection"/>
    <x v="2"/>
    <x v="253"/>
    <n v="6835"/>
    <n v="621"/>
    <s v="UPI"/>
    <x v="2"/>
    <x v="3"/>
    <x v="2"/>
    <x v="192"/>
    <n v="1.3"/>
  </r>
  <r>
    <s v="ELEC0262"/>
    <s v="Isha Sharma"/>
    <x v="2"/>
    <n v="21"/>
    <x v="0"/>
    <s v="Short Circuit"/>
    <x v="8"/>
    <x v="254"/>
    <n v="3481"/>
    <n v="1768"/>
    <s v="Net Banking"/>
    <x v="0"/>
    <x v="11"/>
    <x v="2"/>
    <x v="193"/>
    <n v="2.7"/>
  </r>
  <r>
    <s v="ELEC0263"/>
    <s v="Yash Joshi"/>
    <x v="3"/>
    <n v="36"/>
    <x v="2"/>
    <s v="Fuse Problem"/>
    <x v="2"/>
    <x v="255"/>
    <n v="1138"/>
    <n v="2541"/>
    <s v="UPI"/>
    <x v="2"/>
    <x v="14"/>
    <x v="0"/>
    <x v="194"/>
    <n v="4"/>
  </r>
  <r>
    <s v="ELEC0264"/>
    <s v="Isha Sharma"/>
    <x v="8"/>
    <n v="25"/>
    <x v="5"/>
    <s v="Voltage Issue"/>
    <x v="2"/>
    <x v="256"/>
    <n v="3181"/>
    <n v="553"/>
    <s v="Credit Card"/>
    <x v="0"/>
    <x v="11"/>
    <x v="7"/>
    <x v="110"/>
    <n v="3.5"/>
  </r>
  <r>
    <s v="ELEC0265"/>
    <s v="Riya Mistry"/>
    <x v="0"/>
    <n v="60"/>
    <x v="0"/>
    <s v="Emergency Repair"/>
    <x v="4"/>
    <x v="257"/>
    <n v="5347"/>
    <n v="2220"/>
    <s v="UPI"/>
    <x v="0"/>
    <x v="11"/>
    <x v="2"/>
    <x v="195"/>
    <n v="1.3"/>
  </r>
  <r>
    <s v="ELEC0266"/>
    <s v="Karan Sharma"/>
    <x v="8"/>
    <n v="22"/>
    <x v="0"/>
    <s v="Equipment Upgrade"/>
    <x v="4"/>
    <x v="258"/>
    <n v="5709"/>
    <n v="239"/>
    <s v="Debit Card"/>
    <x v="1"/>
    <x v="10"/>
    <x v="2"/>
    <x v="196"/>
    <n v="2.2000000000000002"/>
  </r>
  <r>
    <s v="ELEC0267"/>
    <s v="Neha Patel"/>
    <x v="6"/>
    <n v="54"/>
    <x v="0"/>
    <s v="Routine Service"/>
    <x v="8"/>
    <x v="259"/>
    <n v="990"/>
    <n v="783"/>
    <s v="Net Banking"/>
    <x v="2"/>
    <x v="1"/>
    <x v="0"/>
    <x v="173"/>
    <n v="3.9"/>
  </r>
  <r>
    <s v="ELEC0268"/>
    <s v="Yash Shah"/>
    <x v="3"/>
    <n v="50"/>
    <x v="9"/>
    <s v="Electrical Inspection"/>
    <x v="0"/>
    <x v="260"/>
    <n v="4640"/>
    <n v="746"/>
    <s v="Net Banking"/>
    <x v="0"/>
    <x v="0"/>
    <x v="4"/>
    <x v="197"/>
    <n v="4.4000000000000004"/>
  </r>
  <r>
    <s v="ELEC0269"/>
    <s v="Vivaan Singh"/>
    <x v="9"/>
    <n v="36"/>
    <x v="6"/>
    <s v="Voltage Issue"/>
    <x v="4"/>
    <x v="261"/>
    <n v="3719"/>
    <n v="1536"/>
    <s v="UPI"/>
    <x v="0"/>
    <x v="3"/>
    <x v="1"/>
    <x v="198"/>
    <n v="4.0999999999999996"/>
  </r>
  <r>
    <s v="ELEC0270"/>
    <s v="Karan Mistry"/>
    <x v="4"/>
    <n v="27"/>
    <x v="7"/>
    <s v="Power Failure"/>
    <x v="9"/>
    <x v="262"/>
    <n v="4182"/>
    <n v="2108"/>
    <s v="UPI"/>
    <x v="2"/>
    <x v="1"/>
    <x v="6"/>
    <x v="177"/>
    <n v="3.5"/>
  </r>
  <r>
    <s v="ELEC0271"/>
    <s v="Krishna Mehta"/>
    <x v="5"/>
    <n v="37"/>
    <x v="9"/>
    <s v="Power Failure"/>
    <x v="9"/>
    <x v="263"/>
    <n v="6120"/>
    <n v="1446"/>
    <s v="UPI"/>
    <x v="1"/>
    <x v="4"/>
    <x v="9"/>
    <x v="199"/>
    <n v="4.5"/>
  </r>
  <r>
    <s v="ELEC0272"/>
    <s v="Anjali Verma"/>
    <x v="7"/>
    <n v="36"/>
    <x v="4"/>
    <s v="Routine Service"/>
    <x v="7"/>
    <x v="264"/>
    <n v="901"/>
    <n v="2973"/>
    <s v="Debit Card"/>
    <x v="2"/>
    <x v="15"/>
    <x v="10"/>
    <x v="200"/>
    <n v="3.5"/>
  </r>
  <r>
    <s v="ELEC0273"/>
    <s v="Krishna Kapoor"/>
    <x v="1"/>
    <n v="36"/>
    <x v="9"/>
    <s v="Emergency Repair"/>
    <x v="0"/>
    <x v="265"/>
    <n v="1645"/>
    <n v="697"/>
    <s v="UPI"/>
    <x v="2"/>
    <x v="15"/>
    <x v="1"/>
    <x v="168"/>
    <n v="3.6"/>
  </r>
  <r>
    <s v="ELEC0274"/>
    <s v="Jay Gupta"/>
    <x v="7"/>
    <n v="58"/>
    <x v="3"/>
    <s v="Voltage Issue"/>
    <x v="0"/>
    <x v="266"/>
    <n v="678"/>
    <n v="464"/>
    <s v="Cash"/>
    <x v="1"/>
    <x v="9"/>
    <x v="5"/>
    <x v="183"/>
    <n v="3.7"/>
  </r>
  <r>
    <s v="ELEC0275"/>
    <s v="Anjali Patel"/>
    <x v="2"/>
    <n v="50"/>
    <x v="1"/>
    <s v="New Connection"/>
    <x v="6"/>
    <x v="267"/>
    <n v="4048"/>
    <n v="1817"/>
    <s v="Credit Card"/>
    <x v="1"/>
    <x v="0"/>
    <x v="3"/>
    <x v="201"/>
    <n v="3.3"/>
  </r>
  <r>
    <s v="ELEC0276"/>
    <s v="Priya Chauhan"/>
    <x v="9"/>
    <n v="38"/>
    <x v="6"/>
    <s v="Emergency Repair"/>
    <x v="9"/>
    <x v="268"/>
    <n v="783"/>
    <n v="2715"/>
    <s v="Debit Card"/>
    <x v="0"/>
    <x v="12"/>
    <x v="8"/>
    <x v="202"/>
    <n v="3.6"/>
  </r>
  <r>
    <s v="ELEC0277"/>
    <s v="Nidhi Desai"/>
    <x v="2"/>
    <n v="26"/>
    <x v="6"/>
    <s v="Routine Service"/>
    <x v="9"/>
    <x v="269"/>
    <n v="3934"/>
    <n v="1016"/>
    <s v="Net Banking"/>
    <x v="0"/>
    <x v="13"/>
    <x v="6"/>
    <x v="203"/>
    <n v="4.0999999999999996"/>
  </r>
  <r>
    <s v="ELEC0278"/>
    <s v="Aarav Singh"/>
    <x v="3"/>
    <n v="51"/>
    <x v="8"/>
    <s v="Emergency Repair"/>
    <x v="4"/>
    <x v="270"/>
    <n v="5133"/>
    <n v="2257"/>
    <s v="Credit Card"/>
    <x v="0"/>
    <x v="3"/>
    <x v="10"/>
    <x v="10"/>
    <n v="3.8"/>
  </r>
  <r>
    <s v="ELEC0279"/>
    <s v="Amit Joshi"/>
    <x v="2"/>
    <n v="38"/>
    <x v="1"/>
    <s v="Emergency Repair"/>
    <x v="7"/>
    <x v="271"/>
    <n v="3428"/>
    <n v="2592"/>
    <s v="UPI"/>
    <x v="2"/>
    <x v="11"/>
    <x v="2"/>
    <x v="1"/>
    <n v="1"/>
  </r>
  <r>
    <s v="ELEC0280"/>
    <s v="Sneha Mehta"/>
    <x v="1"/>
    <n v="24"/>
    <x v="0"/>
    <s v="Electrical Inspection"/>
    <x v="5"/>
    <x v="272"/>
    <n v="3406"/>
    <n v="911"/>
    <s v="Credit Card"/>
    <x v="0"/>
    <x v="8"/>
    <x v="7"/>
    <x v="204"/>
    <n v="4.4000000000000004"/>
  </r>
  <r>
    <s v="ELEC0281"/>
    <s v="Riya Sharma"/>
    <x v="3"/>
    <n v="57"/>
    <x v="3"/>
    <s v="New Connection"/>
    <x v="6"/>
    <x v="273"/>
    <n v="2042"/>
    <n v="2216"/>
    <s v="Cash"/>
    <x v="0"/>
    <x v="6"/>
    <x v="5"/>
    <x v="11"/>
    <n v="4.5"/>
  </r>
  <r>
    <s v="ELEC0282"/>
    <s v="Vivaan Joshi"/>
    <x v="4"/>
    <n v="35"/>
    <x v="1"/>
    <s v="Equipment Upgrade"/>
    <x v="8"/>
    <x v="274"/>
    <n v="505"/>
    <n v="1558"/>
    <s v="Credit Card"/>
    <x v="0"/>
    <x v="11"/>
    <x v="2"/>
    <x v="98"/>
    <n v="2.6"/>
  </r>
  <r>
    <s v="ELEC0283"/>
    <s v="Rahul Chauhan"/>
    <x v="3"/>
    <n v="24"/>
    <x v="1"/>
    <s v="New Connection"/>
    <x v="6"/>
    <x v="275"/>
    <n v="6272"/>
    <n v="780"/>
    <s v="Cash"/>
    <x v="0"/>
    <x v="15"/>
    <x v="6"/>
    <x v="89"/>
    <n v="4.0999999999999996"/>
  </r>
  <r>
    <s v="ELEC0284"/>
    <s v="Simran Shah"/>
    <x v="8"/>
    <n v="58"/>
    <x v="9"/>
    <s v="Fuse Problem"/>
    <x v="2"/>
    <x v="276"/>
    <n v="3142"/>
    <n v="758"/>
    <s v="Debit Card"/>
    <x v="1"/>
    <x v="3"/>
    <x v="2"/>
    <x v="124"/>
    <n v="1.6"/>
  </r>
  <r>
    <s v="ELEC0285"/>
    <s v="Anjali Verma"/>
    <x v="1"/>
    <n v="65"/>
    <x v="3"/>
    <s v="Fuse Problem"/>
    <x v="1"/>
    <x v="277"/>
    <n v="5952"/>
    <n v="2612"/>
    <s v="Credit Card"/>
    <x v="1"/>
    <x v="0"/>
    <x v="8"/>
    <x v="205"/>
    <n v="4.3"/>
  </r>
  <r>
    <s v="ELEC0286"/>
    <s v="Karan Verma"/>
    <x v="2"/>
    <n v="65"/>
    <x v="3"/>
    <s v="Routine Service"/>
    <x v="6"/>
    <x v="278"/>
    <n v="765"/>
    <n v="945"/>
    <s v="Net Banking"/>
    <x v="1"/>
    <x v="2"/>
    <x v="9"/>
    <x v="206"/>
    <n v="3.6"/>
  </r>
  <r>
    <s v="ELEC0287"/>
    <s v="Rohan Chauhan"/>
    <x v="5"/>
    <n v="30"/>
    <x v="4"/>
    <s v="Power Failure"/>
    <x v="1"/>
    <x v="279"/>
    <n v="3341"/>
    <n v="1508"/>
    <s v="Credit Card"/>
    <x v="2"/>
    <x v="2"/>
    <x v="4"/>
    <x v="207"/>
    <n v="4.4000000000000004"/>
  </r>
  <r>
    <s v="ELEC0288"/>
    <s v="Krishna Sharma"/>
    <x v="0"/>
    <n v="34"/>
    <x v="0"/>
    <s v="Power Failure"/>
    <x v="4"/>
    <x v="280"/>
    <n v="2602"/>
    <n v="642"/>
    <s v="Debit Card"/>
    <x v="2"/>
    <x v="11"/>
    <x v="3"/>
    <x v="54"/>
    <n v="4"/>
  </r>
  <r>
    <s v="ELEC0289"/>
    <s v="Rahul Chauhan"/>
    <x v="8"/>
    <n v="52"/>
    <x v="2"/>
    <s v="Fuse Problem"/>
    <x v="7"/>
    <x v="281"/>
    <n v="3574"/>
    <n v="615"/>
    <s v="UPI"/>
    <x v="1"/>
    <x v="13"/>
    <x v="9"/>
    <x v="42"/>
    <n v="4.7"/>
  </r>
  <r>
    <s v="ELEC0290"/>
    <s v="Rahul Desai"/>
    <x v="7"/>
    <n v="23"/>
    <x v="6"/>
    <s v="Short Circuit"/>
    <x v="4"/>
    <x v="282"/>
    <n v="2639"/>
    <n v="628"/>
    <s v="Cash"/>
    <x v="1"/>
    <x v="6"/>
    <x v="3"/>
    <x v="197"/>
    <n v="5"/>
  </r>
  <r>
    <s v="ELEC0291"/>
    <s v="Nidhi Chauhan"/>
    <x v="7"/>
    <n v="42"/>
    <x v="3"/>
    <s v="Electrical Inspection"/>
    <x v="8"/>
    <x v="283"/>
    <n v="6271"/>
    <n v="326"/>
    <s v="Debit Card"/>
    <x v="0"/>
    <x v="9"/>
    <x v="10"/>
    <x v="134"/>
    <n v="3.2"/>
  </r>
  <r>
    <s v="ELEC0292"/>
    <s v="Rahul Sharma"/>
    <x v="7"/>
    <n v="42"/>
    <x v="0"/>
    <s v="Maintenance"/>
    <x v="5"/>
    <x v="284"/>
    <n v="6211"/>
    <n v="2469"/>
    <s v="Credit Card"/>
    <x v="0"/>
    <x v="4"/>
    <x v="6"/>
    <x v="208"/>
    <n v="3.2"/>
  </r>
  <r>
    <s v="ELEC0293"/>
    <s v="Neha Joshi"/>
    <x v="7"/>
    <n v="24"/>
    <x v="2"/>
    <s v="Electrical Inspection"/>
    <x v="7"/>
    <x v="285"/>
    <n v="4521"/>
    <n v="829"/>
    <s v="Credit Card"/>
    <x v="2"/>
    <x v="11"/>
    <x v="3"/>
    <x v="30"/>
    <n v="4.4000000000000004"/>
  </r>
  <r>
    <s v="ELEC0294"/>
    <s v="Amit Desai"/>
    <x v="6"/>
    <n v="27"/>
    <x v="1"/>
    <s v="Maintenance"/>
    <x v="9"/>
    <x v="286"/>
    <n v="5728"/>
    <n v="1395"/>
    <s v="Credit Card"/>
    <x v="2"/>
    <x v="6"/>
    <x v="2"/>
    <x v="209"/>
    <n v="1.8"/>
  </r>
  <r>
    <s v="ELEC0295"/>
    <s v="Jay Desai"/>
    <x v="5"/>
    <n v="63"/>
    <x v="6"/>
    <s v="Power Failure"/>
    <x v="7"/>
    <x v="45"/>
    <n v="3674"/>
    <n v="957"/>
    <s v="Debit Card"/>
    <x v="2"/>
    <x v="0"/>
    <x v="7"/>
    <x v="210"/>
    <n v="4.5"/>
  </r>
  <r>
    <s v="ELEC0296"/>
    <s v="Vivaan Mehta"/>
    <x v="5"/>
    <n v="50"/>
    <x v="6"/>
    <s v="Maintenance"/>
    <x v="2"/>
    <x v="287"/>
    <n v="5122"/>
    <n v="452"/>
    <s v="Credit Card"/>
    <x v="2"/>
    <x v="4"/>
    <x v="4"/>
    <x v="196"/>
    <n v="3.3"/>
  </r>
  <r>
    <s v="ELEC0297"/>
    <s v="Nidhi Singh"/>
    <x v="4"/>
    <n v="35"/>
    <x v="8"/>
    <s v="Short Circuit"/>
    <x v="5"/>
    <x v="288"/>
    <n v="4780"/>
    <n v="1914"/>
    <s v="Net Banking"/>
    <x v="0"/>
    <x v="3"/>
    <x v="2"/>
    <x v="211"/>
    <n v="2.5"/>
  </r>
  <r>
    <s v="ELEC0298"/>
    <s v="Sneha Desai"/>
    <x v="0"/>
    <n v="26"/>
    <x v="2"/>
    <s v="Short Circuit"/>
    <x v="7"/>
    <x v="289"/>
    <n v="5179"/>
    <n v="2316"/>
    <s v="Cash"/>
    <x v="1"/>
    <x v="9"/>
    <x v="9"/>
    <x v="36"/>
    <n v="3.3"/>
  </r>
  <r>
    <s v="ELEC0299"/>
    <s v="Krishna Verma"/>
    <x v="9"/>
    <n v="34"/>
    <x v="0"/>
    <s v="New Connection"/>
    <x v="3"/>
    <x v="290"/>
    <n v="3968"/>
    <n v="520"/>
    <s v="UPI"/>
    <x v="0"/>
    <x v="6"/>
    <x v="2"/>
    <x v="11"/>
    <n v="1.9"/>
  </r>
  <r>
    <s v="ELEC0300"/>
    <s v="Amit Mehta"/>
    <x v="3"/>
    <n v="25"/>
    <x v="9"/>
    <s v="Routine Service"/>
    <x v="7"/>
    <x v="291"/>
    <n v="3755"/>
    <n v="2461"/>
    <s v="Cash"/>
    <x v="1"/>
    <x v="3"/>
    <x v="6"/>
    <x v="2"/>
    <n v="4.9000000000000004"/>
  </r>
  <r>
    <s v="ELEC0301"/>
    <s v="Amit Trivedi"/>
    <x v="1"/>
    <n v="47"/>
    <x v="9"/>
    <s v="Routine Service"/>
    <x v="9"/>
    <x v="292"/>
    <n v="1714"/>
    <n v="2520"/>
    <s v="Net Banking"/>
    <x v="1"/>
    <x v="13"/>
    <x v="4"/>
    <x v="91"/>
    <n v="3.1"/>
  </r>
  <r>
    <s v="ELEC0302"/>
    <s v="Rohan Mistry"/>
    <x v="0"/>
    <n v="55"/>
    <x v="4"/>
    <s v="Routine Service"/>
    <x v="2"/>
    <x v="293"/>
    <n v="3637"/>
    <n v="2882"/>
    <s v="UPI"/>
    <x v="0"/>
    <x v="8"/>
    <x v="5"/>
    <x v="138"/>
    <n v="3.8"/>
  </r>
  <r>
    <s v="ELEC0303"/>
    <s v="Pooja Singh"/>
    <x v="9"/>
    <n v="60"/>
    <x v="3"/>
    <s v="Routine Service"/>
    <x v="3"/>
    <x v="294"/>
    <n v="3742"/>
    <n v="1557"/>
    <s v="Credit Card"/>
    <x v="2"/>
    <x v="11"/>
    <x v="5"/>
    <x v="190"/>
    <n v="3.3"/>
  </r>
  <r>
    <s v="ELEC0304"/>
    <s v="Aarav Gupta"/>
    <x v="0"/>
    <n v="40"/>
    <x v="6"/>
    <s v="Emergency Repair"/>
    <x v="0"/>
    <x v="295"/>
    <n v="2367"/>
    <n v="750"/>
    <s v="Credit Card"/>
    <x v="1"/>
    <x v="4"/>
    <x v="5"/>
    <x v="212"/>
    <n v="4.5999999999999996"/>
  </r>
  <r>
    <s v="ELEC0305"/>
    <s v="Yash Trivedi"/>
    <x v="7"/>
    <n v="33"/>
    <x v="5"/>
    <s v="Maintenance"/>
    <x v="5"/>
    <x v="296"/>
    <n v="6569"/>
    <n v="2184"/>
    <s v="Net Banking"/>
    <x v="0"/>
    <x v="15"/>
    <x v="7"/>
    <x v="213"/>
    <n v="4"/>
  </r>
  <r>
    <s v="ELEC0306"/>
    <s v="Rahul Patel"/>
    <x v="0"/>
    <n v="53"/>
    <x v="2"/>
    <s v="New Connection"/>
    <x v="7"/>
    <x v="297"/>
    <n v="5158"/>
    <n v="318"/>
    <s v="UPI"/>
    <x v="1"/>
    <x v="2"/>
    <x v="1"/>
    <x v="214"/>
    <n v="4.5"/>
  </r>
  <r>
    <s v="ELEC0307"/>
    <s v="Vivaan Desai"/>
    <x v="2"/>
    <n v="44"/>
    <x v="0"/>
    <s v="Voltage Issue"/>
    <x v="4"/>
    <x v="298"/>
    <n v="4302"/>
    <n v="2268"/>
    <s v="Cash"/>
    <x v="1"/>
    <x v="2"/>
    <x v="4"/>
    <x v="215"/>
    <n v="4.0999999999999996"/>
  </r>
  <r>
    <s v="ELEC0308"/>
    <s v="Sneha Gupta"/>
    <x v="5"/>
    <n v="59"/>
    <x v="5"/>
    <s v="New Connection"/>
    <x v="8"/>
    <x v="299"/>
    <n v="5307"/>
    <n v="2458"/>
    <s v="Cash"/>
    <x v="0"/>
    <x v="6"/>
    <x v="8"/>
    <x v="174"/>
    <n v="3.8"/>
  </r>
  <r>
    <s v="ELEC0309"/>
    <s v="Neha Sharma"/>
    <x v="8"/>
    <n v="24"/>
    <x v="7"/>
    <s v="Electrical Inspection"/>
    <x v="1"/>
    <x v="300"/>
    <n v="2313"/>
    <n v="2851"/>
    <s v="Debit Card"/>
    <x v="2"/>
    <x v="12"/>
    <x v="8"/>
    <x v="216"/>
    <n v="3.6"/>
  </r>
  <r>
    <s v="ELEC0310"/>
    <s v="Isha Sharma"/>
    <x v="2"/>
    <n v="51"/>
    <x v="7"/>
    <s v="New Connection"/>
    <x v="6"/>
    <x v="301"/>
    <n v="569"/>
    <n v="1116"/>
    <s v="Credit Card"/>
    <x v="0"/>
    <x v="13"/>
    <x v="8"/>
    <x v="217"/>
    <n v="3.9"/>
  </r>
  <r>
    <s v="ELEC0311"/>
    <s v="Yash Chauhan"/>
    <x v="8"/>
    <n v="43"/>
    <x v="5"/>
    <s v="Voltage Issue"/>
    <x v="1"/>
    <x v="302"/>
    <n v="4323"/>
    <n v="1437"/>
    <s v="Net Banking"/>
    <x v="1"/>
    <x v="15"/>
    <x v="9"/>
    <x v="191"/>
    <n v="3.6"/>
  </r>
  <r>
    <s v="ELEC0312"/>
    <s v="Rohan Sharma"/>
    <x v="1"/>
    <n v="63"/>
    <x v="4"/>
    <s v="Equipment Upgrade"/>
    <x v="6"/>
    <x v="303"/>
    <n v="5489"/>
    <n v="1357"/>
    <s v="Credit Card"/>
    <x v="1"/>
    <x v="1"/>
    <x v="5"/>
    <x v="176"/>
    <n v="4.8"/>
  </r>
  <r>
    <s v="ELEC0313"/>
    <s v="Pooja Pandya"/>
    <x v="3"/>
    <n v="38"/>
    <x v="6"/>
    <s v="Voltage Issue"/>
    <x v="1"/>
    <x v="304"/>
    <n v="1728"/>
    <n v="2318"/>
    <s v="Debit Card"/>
    <x v="0"/>
    <x v="2"/>
    <x v="0"/>
    <x v="218"/>
    <n v="4.4000000000000004"/>
  </r>
  <r>
    <s v="ELEC0314"/>
    <s v="Anjali Pandya"/>
    <x v="9"/>
    <n v="22"/>
    <x v="5"/>
    <s v="Voltage Issue"/>
    <x v="2"/>
    <x v="305"/>
    <n v="3928"/>
    <n v="1857"/>
    <s v="Net Banking"/>
    <x v="2"/>
    <x v="11"/>
    <x v="9"/>
    <x v="219"/>
    <n v="4"/>
  </r>
  <r>
    <s v="ELEC0315"/>
    <s v="Priya Gupta"/>
    <x v="6"/>
    <n v="64"/>
    <x v="8"/>
    <s v="Emergency Repair"/>
    <x v="4"/>
    <x v="306"/>
    <n v="4655"/>
    <n v="1429"/>
    <s v="Credit Card"/>
    <x v="2"/>
    <x v="15"/>
    <x v="6"/>
    <x v="220"/>
    <n v="4.2"/>
  </r>
  <r>
    <s v="ELEC0316"/>
    <s v="Rohan Desai"/>
    <x v="9"/>
    <n v="37"/>
    <x v="8"/>
    <s v="New Connection"/>
    <x v="4"/>
    <x v="307"/>
    <n v="5861"/>
    <n v="565"/>
    <s v="Credit Card"/>
    <x v="2"/>
    <x v="12"/>
    <x v="8"/>
    <x v="16"/>
    <n v="3.7"/>
  </r>
  <r>
    <s v="ELEC0317"/>
    <s v="Simran Mehta"/>
    <x v="4"/>
    <n v="39"/>
    <x v="5"/>
    <s v="Power Failure"/>
    <x v="8"/>
    <x v="308"/>
    <n v="939"/>
    <n v="2798"/>
    <s v="UPI"/>
    <x v="1"/>
    <x v="8"/>
    <x v="4"/>
    <x v="221"/>
    <n v="4.3"/>
  </r>
  <r>
    <s v="ELEC0318"/>
    <s v="Isha Patel"/>
    <x v="8"/>
    <n v="54"/>
    <x v="6"/>
    <s v="Routine Service"/>
    <x v="3"/>
    <x v="309"/>
    <n v="1735"/>
    <n v="762"/>
    <s v="Net Banking"/>
    <x v="0"/>
    <x v="1"/>
    <x v="2"/>
    <x v="118"/>
    <n v="1.3"/>
  </r>
  <r>
    <s v="ELEC0319"/>
    <s v="Krishna Verma"/>
    <x v="3"/>
    <n v="32"/>
    <x v="9"/>
    <s v="Emergency Repair"/>
    <x v="4"/>
    <x v="310"/>
    <n v="5669"/>
    <n v="924"/>
    <s v="Credit Card"/>
    <x v="0"/>
    <x v="11"/>
    <x v="0"/>
    <x v="13"/>
    <n v="4"/>
  </r>
  <r>
    <s v="ELEC0320"/>
    <s v="Priya Mistry"/>
    <x v="9"/>
    <n v="57"/>
    <x v="7"/>
    <s v="Emergency Repair"/>
    <x v="0"/>
    <x v="311"/>
    <n v="1560"/>
    <n v="2716"/>
    <s v="Debit Card"/>
    <x v="1"/>
    <x v="0"/>
    <x v="3"/>
    <x v="85"/>
    <n v="3.4"/>
  </r>
  <r>
    <s v="ELEC0321"/>
    <s v="Jay Sharma"/>
    <x v="2"/>
    <n v="55"/>
    <x v="0"/>
    <s v="Fuse Problem"/>
    <x v="3"/>
    <x v="312"/>
    <n v="3139"/>
    <n v="2375"/>
    <s v="UPI"/>
    <x v="0"/>
    <x v="9"/>
    <x v="0"/>
    <x v="94"/>
    <n v="4.2"/>
  </r>
  <r>
    <s v="ELEC0322"/>
    <s v="Sneha Shah"/>
    <x v="3"/>
    <n v="40"/>
    <x v="7"/>
    <s v="Power Failure"/>
    <x v="5"/>
    <x v="313"/>
    <n v="4623"/>
    <n v="2611"/>
    <s v="Credit Card"/>
    <x v="0"/>
    <x v="1"/>
    <x v="0"/>
    <x v="222"/>
    <n v="4.4000000000000004"/>
  </r>
  <r>
    <s v="ELEC0323"/>
    <s v="Krishna Shah"/>
    <x v="1"/>
    <n v="59"/>
    <x v="8"/>
    <s v="Fuse Problem"/>
    <x v="5"/>
    <x v="314"/>
    <n v="6126"/>
    <n v="748"/>
    <s v="UPI"/>
    <x v="0"/>
    <x v="2"/>
    <x v="5"/>
    <x v="223"/>
    <n v="4"/>
  </r>
  <r>
    <s v="ELEC0324"/>
    <s v="Rahul Chauhan"/>
    <x v="8"/>
    <n v="22"/>
    <x v="0"/>
    <s v="Maintenance"/>
    <x v="9"/>
    <x v="315"/>
    <n v="2230"/>
    <n v="289"/>
    <s v="Cash"/>
    <x v="2"/>
    <x v="6"/>
    <x v="4"/>
    <x v="16"/>
    <n v="3.5"/>
  </r>
  <r>
    <s v="ELEC0325"/>
    <s v="Jay Chauhan"/>
    <x v="0"/>
    <n v="55"/>
    <x v="3"/>
    <s v="Short Circuit"/>
    <x v="6"/>
    <x v="316"/>
    <n v="892"/>
    <n v="2911"/>
    <s v="Cash"/>
    <x v="0"/>
    <x v="15"/>
    <x v="0"/>
    <x v="49"/>
    <n v="3.9"/>
  </r>
  <r>
    <s v="ELEC0326"/>
    <s v="Yash Desai"/>
    <x v="8"/>
    <n v="28"/>
    <x v="8"/>
    <s v="Voltage Issue"/>
    <x v="8"/>
    <x v="317"/>
    <n v="6249"/>
    <n v="827"/>
    <s v="Debit Card"/>
    <x v="2"/>
    <x v="9"/>
    <x v="0"/>
    <x v="224"/>
    <n v="4.9000000000000004"/>
  </r>
  <r>
    <s v="ELEC0327"/>
    <s v="Rohan Pandya"/>
    <x v="1"/>
    <n v="38"/>
    <x v="3"/>
    <s v="Electrical Inspection"/>
    <x v="9"/>
    <x v="318"/>
    <n v="3931"/>
    <n v="629"/>
    <s v="Cash"/>
    <x v="1"/>
    <x v="8"/>
    <x v="4"/>
    <x v="225"/>
    <n v="4.9000000000000004"/>
  </r>
  <r>
    <s v="ELEC0328"/>
    <s v="Rohan Desai"/>
    <x v="6"/>
    <n v="59"/>
    <x v="0"/>
    <s v="Voltage Issue"/>
    <x v="7"/>
    <x v="319"/>
    <n v="2152"/>
    <n v="1666"/>
    <s v="Net Banking"/>
    <x v="2"/>
    <x v="3"/>
    <x v="10"/>
    <x v="126"/>
    <n v="4.4000000000000004"/>
  </r>
  <r>
    <s v="ELEC0329"/>
    <s v="Meera Chauhan"/>
    <x v="6"/>
    <n v="65"/>
    <x v="5"/>
    <s v="Fuse Problem"/>
    <x v="1"/>
    <x v="320"/>
    <n v="522"/>
    <n v="252"/>
    <s v="Debit Card"/>
    <x v="0"/>
    <x v="2"/>
    <x v="4"/>
    <x v="226"/>
    <n v="4.7"/>
  </r>
  <r>
    <s v="ELEC0330"/>
    <s v="Karan Patel"/>
    <x v="1"/>
    <n v="25"/>
    <x v="9"/>
    <s v="Voltage Issue"/>
    <x v="1"/>
    <x v="321"/>
    <n v="4241"/>
    <n v="1412"/>
    <s v="Cash"/>
    <x v="1"/>
    <x v="11"/>
    <x v="4"/>
    <x v="58"/>
    <n v="3.3"/>
  </r>
  <r>
    <s v="ELEC0331"/>
    <s v="Neha Gupta"/>
    <x v="3"/>
    <n v="48"/>
    <x v="9"/>
    <s v="Power Failure"/>
    <x v="3"/>
    <x v="322"/>
    <n v="579"/>
    <n v="766"/>
    <s v="Debit Card"/>
    <x v="0"/>
    <x v="6"/>
    <x v="7"/>
    <x v="149"/>
    <n v="4"/>
  </r>
  <r>
    <s v="ELEC0332"/>
    <s v="Amit Mehta"/>
    <x v="7"/>
    <n v="44"/>
    <x v="4"/>
    <s v="New Connection"/>
    <x v="0"/>
    <x v="113"/>
    <n v="3783"/>
    <n v="1839"/>
    <s v="Debit Card"/>
    <x v="2"/>
    <x v="1"/>
    <x v="2"/>
    <x v="130"/>
    <n v="2.7"/>
  </r>
  <r>
    <s v="ELEC0333"/>
    <s v="Yash Pandya"/>
    <x v="9"/>
    <n v="28"/>
    <x v="7"/>
    <s v="Short Circuit"/>
    <x v="9"/>
    <x v="323"/>
    <n v="1349"/>
    <n v="1904"/>
    <s v="Debit Card"/>
    <x v="2"/>
    <x v="6"/>
    <x v="2"/>
    <x v="203"/>
    <n v="1"/>
  </r>
  <r>
    <s v="ELEC0334"/>
    <s v="Rahul Trivedi"/>
    <x v="8"/>
    <n v="43"/>
    <x v="3"/>
    <s v="Short Circuit"/>
    <x v="9"/>
    <x v="324"/>
    <n v="4457"/>
    <n v="2199"/>
    <s v="Cash"/>
    <x v="1"/>
    <x v="0"/>
    <x v="5"/>
    <x v="80"/>
    <n v="3.8"/>
  </r>
  <r>
    <s v="ELEC0335"/>
    <s v="Pooja Pandya"/>
    <x v="3"/>
    <n v="21"/>
    <x v="8"/>
    <s v="Electrical Inspection"/>
    <x v="6"/>
    <x v="325"/>
    <n v="2334"/>
    <n v="2943"/>
    <s v="Net Banking"/>
    <x v="0"/>
    <x v="12"/>
    <x v="2"/>
    <x v="227"/>
    <n v="1.3"/>
  </r>
  <r>
    <s v="ELEC0336"/>
    <s v="Rohan Singh"/>
    <x v="6"/>
    <n v="51"/>
    <x v="4"/>
    <s v="Routine Service"/>
    <x v="9"/>
    <x v="326"/>
    <n v="5073"/>
    <n v="2710"/>
    <s v="Debit Card"/>
    <x v="1"/>
    <x v="9"/>
    <x v="10"/>
    <x v="155"/>
    <n v="3.1"/>
  </r>
  <r>
    <s v="ELEC0337"/>
    <s v="Meera Rao"/>
    <x v="9"/>
    <n v="25"/>
    <x v="5"/>
    <s v="Fuse Problem"/>
    <x v="1"/>
    <x v="327"/>
    <n v="3210"/>
    <n v="1339"/>
    <s v="Debit Card"/>
    <x v="2"/>
    <x v="12"/>
    <x v="6"/>
    <x v="228"/>
    <n v="5"/>
  </r>
  <r>
    <s v="ELEC0338"/>
    <s v="Jay Rao"/>
    <x v="6"/>
    <n v="26"/>
    <x v="5"/>
    <s v="Emergency Repair"/>
    <x v="6"/>
    <x v="328"/>
    <n v="4170"/>
    <n v="560"/>
    <s v="Cash"/>
    <x v="1"/>
    <x v="6"/>
    <x v="2"/>
    <x v="133"/>
    <n v="1.6"/>
  </r>
  <r>
    <s v="ELEC0339"/>
    <s v="Meera Shah"/>
    <x v="2"/>
    <n v="27"/>
    <x v="2"/>
    <s v="Routine Service"/>
    <x v="3"/>
    <x v="329"/>
    <n v="5064"/>
    <n v="2449"/>
    <s v="Credit Card"/>
    <x v="2"/>
    <x v="1"/>
    <x v="9"/>
    <x v="23"/>
    <n v="3.4"/>
  </r>
  <r>
    <s v="ELEC0340"/>
    <s v="Isha Kapoor"/>
    <x v="6"/>
    <n v="62"/>
    <x v="5"/>
    <s v="Fuse Problem"/>
    <x v="4"/>
    <x v="330"/>
    <n v="944"/>
    <n v="1113"/>
    <s v="Net Banking"/>
    <x v="0"/>
    <x v="5"/>
    <x v="6"/>
    <x v="131"/>
    <n v="4.4000000000000004"/>
  </r>
  <r>
    <s v="ELEC0341"/>
    <s v="Meera Shah"/>
    <x v="3"/>
    <n v="49"/>
    <x v="9"/>
    <s v="Power Failure"/>
    <x v="1"/>
    <x v="331"/>
    <n v="517"/>
    <n v="1598"/>
    <s v="Net Banking"/>
    <x v="2"/>
    <x v="9"/>
    <x v="8"/>
    <x v="145"/>
    <n v="4.0999999999999996"/>
  </r>
  <r>
    <s v="ELEC0342"/>
    <s v="Simran Shah"/>
    <x v="7"/>
    <n v="23"/>
    <x v="7"/>
    <s v="Emergency Repair"/>
    <x v="9"/>
    <x v="332"/>
    <n v="6372"/>
    <n v="1876"/>
    <s v="Cash"/>
    <x v="0"/>
    <x v="8"/>
    <x v="1"/>
    <x v="180"/>
    <n v="3.7"/>
  </r>
  <r>
    <s v="ELEC0343"/>
    <s v="Jay Joshi"/>
    <x v="5"/>
    <n v="33"/>
    <x v="4"/>
    <s v="Power Failure"/>
    <x v="5"/>
    <x v="333"/>
    <n v="880"/>
    <n v="2793"/>
    <s v="Debit Card"/>
    <x v="1"/>
    <x v="8"/>
    <x v="4"/>
    <x v="225"/>
    <n v="3.1"/>
  </r>
  <r>
    <s v="ELEC0344"/>
    <s v="Riya Kapoor"/>
    <x v="9"/>
    <n v="52"/>
    <x v="1"/>
    <s v="Equipment Upgrade"/>
    <x v="3"/>
    <x v="334"/>
    <n v="5032"/>
    <n v="1972"/>
    <s v="Net Banking"/>
    <x v="1"/>
    <x v="7"/>
    <x v="6"/>
    <x v="229"/>
    <n v="3.9"/>
  </r>
  <r>
    <s v="ELEC0345"/>
    <s v="Rahul Shah"/>
    <x v="9"/>
    <n v="27"/>
    <x v="2"/>
    <s v="Electrical Inspection"/>
    <x v="6"/>
    <x v="335"/>
    <n v="3136"/>
    <n v="2264"/>
    <s v="UPI"/>
    <x v="1"/>
    <x v="6"/>
    <x v="2"/>
    <x v="100"/>
    <n v="1.3"/>
  </r>
  <r>
    <s v="ELEC0346"/>
    <s v="Pooja Singh"/>
    <x v="3"/>
    <n v="39"/>
    <x v="5"/>
    <s v="New Connection"/>
    <x v="9"/>
    <x v="336"/>
    <n v="3881"/>
    <n v="2667"/>
    <s v="Net Banking"/>
    <x v="0"/>
    <x v="4"/>
    <x v="6"/>
    <x v="41"/>
    <n v="3.7"/>
  </r>
  <r>
    <s v="ELEC0347"/>
    <s v="Anjali Shah"/>
    <x v="1"/>
    <n v="61"/>
    <x v="0"/>
    <s v="Maintenance"/>
    <x v="1"/>
    <x v="337"/>
    <n v="5613"/>
    <n v="1390"/>
    <s v="UPI"/>
    <x v="1"/>
    <x v="2"/>
    <x v="10"/>
    <x v="6"/>
    <n v="4.0999999999999996"/>
  </r>
  <r>
    <s v="ELEC0348"/>
    <s v="Isha Kapoor"/>
    <x v="3"/>
    <n v="28"/>
    <x v="4"/>
    <s v="Equipment Upgrade"/>
    <x v="8"/>
    <x v="338"/>
    <n v="5274"/>
    <n v="2537"/>
    <s v="Net Banking"/>
    <x v="1"/>
    <x v="3"/>
    <x v="2"/>
    <x v="90"/>
    <n v="1.5"/>
  </r>
  <r>
    <s v="ELEC0349"/>
    <s v="Neha Chauhan"/>
    <x v="8"/>
    <n v="21"/>
    <x v="8"/>
    <s v="Power Failure"/>
    <x v="3"/>
    <x v="339"/>
    <n v="3620"/>
    <n v="795"/>
    <s v="UPI"/>
    <x v="0"/>
    <x v="11"/>
    <x v="1"/>
    <x v="230"/>
    <n v="4.3"/>
  </r>
  <r>
    <s v="ELEC0350"/>
    <s v="Neha Pandya"/>
    <x v="0"/>
    <n v="30"/>
    <x v="1"/>
    <s v="Voltage Issue"/>
    <x v="1"/>
    <x v="340"/>
    <n v="6673"/>
    <n v="2416"/>
    <s v="Net Banking"/>
    <x v="1"/>
    <x v="15"/>
    <x v="5"/>
    <x v="172"/>
    <n v="4.9000000000000004"/>
  </r>
  <r>
    <s v="ELEC0351"/>
    <s v="Nidhi Rao"/>
    <x v="6"/>
    <n v="62"/>
    <x v="8"/>
    <s v="Routine Service"/>
    <x v="1"/>
    <x v="341"/>
    <n v="4685"/>
    <n v="1378"/>
    <s v="Debit Card"/>
    <x v="2"/>
    <x v="11"/>
    <x v="3"/>
    <x v="69"/>
    <n v="3.5"/>
  </r>
  <r>
    <s v="ELEC0352"/>
    <s v="Anjali Kapoor"/>
    <x v="2"/>
    <n v="21"/>
    <x v="6"/>
    <s v="Maintenance"/>
    <x v="6"/>
    <x v="342"/>
    <n v="6897"/>
    <n v="2014"/>
    <s v="Net Banking"/>
    <x v="2"/>
    <x v="2"/>
    <x v="7"/>
    <x v="231"/>
    <n v="4.5999999999999996"/>
  </r>
  <r>
    <s v="ELEC0353"/>
    <s v="Amit Joshi"/>
    <x v="6"/>
    <n v="39"/>
    <x v="5"/>
    <s v="New Connection"/>
    <x v="0"/>
    <x v="343"/>
    <n v="2031"/>
    <n v="911"/>
    <s v="Debit Card"/>
    <x v="2"/>
    <x v="1"/>
    <x v="3"/>
    <x v="214"/>
    <n v="4.7"/>
  </r>
  <r>
    <s v="ELEC0354"/>
    <s v="Pooja Kapoor"/>
    <x v="0"/>
    <n v="29"/>
    <x v="7"/>
    <s v="Electrical Inspection"/>
    <x v="2"/>
    <x v="344"/>
    <n v="546"/>
    <n v="1553"/>
    <s v="UPI"/>
    <x v="1"/>
    <x v="2"/>
    <x v="10"/>
    <x v="2"/>
    <n v="4.2"/>
  </r>
  <r>
    <s v="ELEC0355"/>
    <s v="Anjali Trivedi"/>
    <x v="2"/>
    <n v="61"/>
    <x v="3"/>
    <s v="Voltage Issue"/>
    <x v="8"/>
    <x v="345"/>
    <n v="6970"/>
    <n v="2545"/>
    <s v="UPI"/>
    <x v="1"/>
    <x v="1"/>
    <x v="7"/>
    <x v="232"/>
    <n v="3.6"/>
  </r>
  <r>
    <s v="ELEC0356"/>
    <s v="Rahul Kapoor"/>
    <x v="7"/>
    <n v="53"/>
    <x v="7"/>
    <s v="Routine Service"/>
    <x v="7"/>
    <x v="346"/>
    <n v="4899"/>
    <n v="1852"/>
    <s v="Credit Card"/>
    <x v="1"/>
    <x v="12"/>
    <x v="1"/>
    <x v="202"/>
    <n v="4.2"/>
  </r>
  <r>
    <s v="ELEC0357"/>
    <s v="Anjali Gupta"/>
    <x v="0"/>
    <n v="34"/>
    <x v="3"/>
    <s v="Equipment Upgrade"/>
    <x v="8"/>
    <x v="347"/>
    <n v="5098"/>
    <n v="2859"/>
    <s v="UPI"/>
    <x v="0"/>
    <x v="9"/>
    <x v="7"/>
    <x v="79"/>
    <n v="3.8"/>
  </r>
  <r>
    <s v="ELEC0358"/>
    <s v="Amit Chauhan"/>
    <x v="4"/>
    <n v="36"/>
    <x v="1"/>
    <s v="Fuse Problem"/>
    <x v="5"/>
    <x v="348"/>
    <n v="1428"/>
    <n v="1780"/>
    <s v="Net Banking"/>
    <x v="0"/>
    <x v="4"/>
    <x v="8"/>
    <x v="233"/>
    <n v="3.5"/>
  </r>
  <r>
    <s v="ELEC0359"/>
    <s v="Simran Kapoor"/>
    <x v="1"/>
    <n v="49"/>
    <x v="5"/>
    <s v="Short Circuit"/>
    <x v="2"/>
    <x v="349"/>
    <n v="5837"/>
    <n v="988"/>
    <s v="Net Banking"/>
    <x v="0"/>
    <x v="1"/>
    <x v="4"/>
    <x v="108"/>
    <n v="4.0999999999999996"/>
  </r>
  <r>
    <s v="ELEC0360"/>
    <s v="Nidhi Sharma"/>
    <x v="7"/>
    <n v="34"/>
    <x v="0"/>
    <s v="Routine Service"/>
    <x v="0"/>
    <x v="350"/>
    <n v="2184"/>
    <n v="2402"/>
    <s v="Cash"/>
    <x v="1"/>
    <x v="2"/>
    <x v="3"/>
    <x v="138"/>
    <n v="4.3"/>
  </r>
  <r>
    <s v="ELEC0361"/>
    <s v="Karan Sharma"/>
    <x v="5"/>
    <n v="42"/>
    <x v="1"/>
    <s v="Power Failure"/>
    <x v="0"/>
    <x v="351"/>
    <n v="944"/>
    <n v="929"/>
    <s v="UPI"/>
    <x v="2"/>
    <x v="14"/>
    <x v="4"/>
    <x v="19"/>
    <n v="3.2"/>
  </r>
  <r>
    <s v="ELEC0362"/>
    <s v="Pooja Singh"/>
    <x v="8"/>
    <n v="49"/>
    <x v="2"/>
    <s v="Routine Service"/>
    <x v="4"/>
    <x v="352"/>
    <n v="638"/>
    <n v="1795"/>
    <s v="Net Banking"/>
    <x v="2"/>
    <x v="14"/>
    <x v="0"/>
    <x v="140"/>
    <n v="3.3"/>
  </r>
  <r>
    <s v="ELEC0363"/>
    <s v="Aditya Mistry"/>
    <x v="4"/>
    <n v="23"/>
    <x v="9"/>
    <s v="Fuse Problem"/>
    <x v="7"/>
    <x v="353"/>
    <n v="1369"/>
    <n v="1387"/>
    <s v="Credit Card"/>
    <x v="0"/>
    <x v="3"/>
    <x v="9"/>
    <x v="234"/>
    <n v="4.5"/>
  </r>
  <r>
    <s v="ELEC0364"/>
    <s v="Krishna Singh"/>
    <x v="8"/>
    <n v="63"/>
    <x v="1"/>
    <s v="Emergency Repair"/>
    <x v="9"/>
    <x v="354"/>
    <n v="4870"/>
    <n v="1100"/>
    <s v="UPI"/>
    <x v="0"/>
    <x v="0"/>
    <x v="6"/>
    <x v="156"/>
    <n v="3.6"/>
  </r>
  <r>
    <s v="ELEC0365"/>
    <s v="Neha Pandya"/>
    <x v="3"/>
    <n v="21"/>
    <x v="8"/>
    <s v="Equipment Upgrade"/>
    <x v="9"/>
    <x v="355"/>
    <n v="1509"/>
    <n v="371"/>
    <s v="Net Banking"/>
    <x v="2"/>
    <x v="8"/>
    <x v="3"/>
    <x v="233"/>
    <n v="3.5"/>
  </r>
  <r>
    <s v="ELEC0366"/>
    <s v="Aditya Mehta"/>
    <x v="6"/>
    <n v="43"/>
    <x v="0"/>
    <s v="Routine Service"/>
    <x v="7"/>
    <x v="356"/>
    <n v="1666"/>
    <n v="859"/>
    <s v="Cash"/>
    <x v="0"/>
    <x v="8"/>
    <x v="8"/>
    <x v="81"/>
    <n v="3.2"/>
  </r>
  <r>
    <s v="ELEC0367"/>
    <s v="Rahul Pandya"/>
    <x v="4"/>
    <n v="24"/>
    <x v="8"/>
    <s v="Emergency Repair"/>
    <x v="7"/>
    <x v="357"/>
    <n v="1099"/>
    <n v="1390"/>
    <s v="Net Banking"/>
    <x v="0"/>
    <x v="3"/>
    <x v="4"/>
    <x v="198"/>
    <n v="4.5999999999999996"/>
  </r>
  <r>
    <s v="ELEC0368"/>
    <s v="Meera Gupta"/>
    <x v="3"/>
    <n v="29"/>
    <x v="0"/>
    <s v="Power Failure"/>
    <x v="2"/>
    <x v="358"/>
    <n v="5575"/>
    <n v="485"/>
    <s v="Debit Card"/>
    <x v="0"/>
    <x v="1"/>
    <x v="2"/>
    <x v="235"/>
    <n v="2.2000000000000002"/>
  </r>
  <r>
    <s v="ELEC0369"/>
    <s v="Anjali Trivedi"/>
    <x v="0"/>
    <n v="65"/>
    <x v="3"/>
    <s v="New Connection"/>
    <x v="6"/>
    <x v="359"/>
    <n v="5143"/>
    <n v="1692"/>
    <s v="Credit Card"/>
    <x v="2"/>
    <x v="0"/>
    <x v="10"/>
    <x v="3"/>
    <n v="4.5"/>
  </r>
  <r>
    <s v="ELEC0370"/>
    <s v="Sneha Mistry"/>
    <x v="6"/>
    <n v="62"/>
    <x v="2"/>
    <s v="Voltage Issue"/>
    <x v="4"/>
    <x v="360"/>
    <n v="1600"/>
    <n v="2983"/>
    <s v="Debit Card"/>
    <x v="1"/>
    <x v="2"/>
    <x v="5"/>
    <x v="236"/>
    <n v="3.7"/>
  </r>
  <r>
    <s v="ELEC0371"/>
    <s v="Simran Mistry"/>
    <x v="0"/>
    <n v="52"/>
    <x v="8"/>
    <s v="Power Failure"/>
    <x v="9"/>
    <x v="361"/>
    <n v="5788"/>
    <n v="2684"/>
    <s v="UPI"/>
    <x v="1"/>
    <x v="3"/>
    <x v="10"/>
    <x v="237"/>
    <n v="4.5"/>
  </r>
  <r>
    <s v="ELEC0372"/>
    <s v="Pooja Shah"/>
    <x v="7"/>
    <n v="25"/>
    <x v="1"/>
    <s v="Equipment Upgrade"/>
    <x v="3"/>
    <x v="362"/>
    <n v="5266"/>
    <n v="2571"/>
    <s v="Net Banking"/>
    <x v="0"/>
    <x v="8"/>
    <x v="1"/>
    <x v="73"/>
    <n v="4.2"/>
  </r>
  <r>
    <s v="ELEC0373"/>
    <s v="Pooja Kapoor"/>
    <x v="1"/>
    <n v="51"/>
    <x v="7"/>
    <s v="Fuse Problem"/>
    <x v="5"/>
    <x v="363"/>
    <n v="2329"/>
    <n v="2615"/>
    <s v="Net Banking"/>
    <x v="0"/>
    <x v="3"/>
    <x v="10"/>
    <x v="238"/>
    <n v="3.6"/>
  </r>
  <r>
    <s v="ELEC0374"/>
    <s v="Isha Patel"/>
    <x v="8"/>
    <n v="44"/>
    <x v="8"/>
    <s v="Short Circuit"/>
    <x v="1"/>
    <x v="364"/>
    <n v="5530"/>
    <n v="879"/>
    <s v="UPI"/>
    <x v="1"/>
    <x v="6"/>
    <x v="5"/>
    <x v="40"/>
    <n v="4.5999999999999996"/>
  </r>
  <r>
    <s v="ELEC0375"/>
    <s v="Riya Trivedi"/>
    <x v="9"/>
    <n v="51"/>
    <x v="4"/>
    <s v="Short Circuit"/>
    <x v="1"/>
    <x v="365"/>
    <n v="6737"/>
    <n v="2197"/>
    <s v="Cash"/>
    <x v="1"/>
    <x v="3"/>
    <x v="7"/>
    <x v="239"/>
    <n v="4.7"/>
  </r>
  <r>
    <s v="ELEC0376"/>
    <s v="Priya Kapoor"/>
    <x v="3"/>
    <n v="45"/>
    <x v="5"/>
    <s v="Emergency Repair"/>
    <x v="3"/>
    <x v="366"/>
    <n v="826"/>
    <n v="2856"/>
    <s v="Credit Card"/>
    <x v="2"/>
    <x v="4"/>
    <x v="6"/>
    <x v="224"/>
    <n v="4.3"/>
  </r>
  <r>
    <s v="ELEC0377"/>
    <s v="Pooja Trivedi"/>
    <x v="1"/>
    <n v="57"/>
    <x v="7"/>
    <s v="Routine Service"/>
    <x v="5"/>
    <x v="367"/>
    <n v="3492"/>
    <n v="2607"/>
    <s v="Credit Card"/>
    <x v="2"/>
    <x v="15"/>
    <x v="4"/>
    <x v="41"/>
    <n v="3.9"/>
  </r>
  <r>
    <s v="ELEC0378"/>
    <s v="Jay Chauhan"/>
    <x v="6"/>
    <n v="54"/>
    <x v="2"/>
    <s v="Fuse Problem"/>
    <x v="4"/>
    <x v="368"/>
    <n v="4488"/>
    <n v="2174"/>
    <s v="UPI"/>
    <x v="2"/>
    <x v="10"/>
    <x v="2"/>
    <x v="240"/>
    <n v="1.3"/>
  </r>
  <r>
    <s v="ELEC0379"/>
    <s v="Krishna Verma"/>
    <x v="6"/>
    <n v="25"/>
    <x v="8"/>
    <s v="Voltage Issue"/>
    <x v="1"/>
    <x v="369"/>
    <n v="1730"/>
    <n v="965"/>
    <s v="UPI"/>
    <x v="1"/>
    <x v="8"/>
    <x v="4"/>
    <x v="61"/>
    <n v="4.5999999999999996"/>
  </r>
  <r>
    <s v="ELEC0380"/>
    <s v="Yash Mistry"/>
    <x v="3"/>
    <n v="28"/>
    <x v="5"/>
    <s v="Emergency Repair"/>
    <x v="8"/>
    <x v="370"/>
    <n v="2226"/>
    <n v="2619"/>
    <s v="UPI"/>
    <x v="0"/>
    <x v="15"/>
    <x v="3"/>
    <x v="241"/>
    <n v="5"/>
  </r>
  <r>
    <s v="ELEC0381"/>
    <s v="Vivaan Verma"/>
    <x v="4"/>
    <n v="58"/>
    <x v="7"/>
    <s v="New Connection"/>
    <x v="7"/>
    <x v="371"/>
    <n v="821"/>
    <n v="2544"/>
    <s v="Net Banking"/>
    <x v="0"/>
    <x v="6"/>
    <x v="8"/>
    <x v="69"/>
    <n v="3.2"/>
  </r>
  <r>
    <s v="ELEC0382"/>
    <s v="Jay Trivedi"/>
    <x v="4"/>
    <n v="61"/>
    <x v="1"/>
    <s v="Voltage Issue"/>
    <x v="0"/>
    <x v="372"/>
    <n v="2274"/>
    <n v="2039"/>
    <s v="UPI"/>
    <x v="0"/>
    <x v="7"/>
    <x v="5"/>
    <x v="231"/>
    <n v="4.5999999999999996"/>
  </r>
  <r>
    <s v="ELEC0383"/>
    <s v="Yash Trivedi"/>
    <x v="9"/>
    <n v="58"/>
    <x v="7"/>
    <s v="Electrical Inspection"/>
    <x v="7"/>
    <x v="373"/>
    <n v="2666"/>
    <n v="886"/>
    <s v="Net Banking"/>
    <x v="0"/>
    <x v="5"/>
    <x v="5"/>
    <x v="242"/>
    <n v="3.3"/>
  </r>
  <r>
    <s v="ELEC0384"/>
    <s v="Aditya Joshi"/>
    <x v="8"/>
    <n v="45"/>
    <x v="7"/>
    <s v="Power Failure"/>
    <x v="3"/>
    <x v="374"/>
    <n v="2157"/>
    <n v="2341"/>
    <s v="Debit Card"/>
    <x v="2"/>
    <x v="12"/>
    <x v="2"/>
    <x v="103"/>
    <n v="1.3"/>
  </r>
  <r>
    <s v="ELEC0385"/>
    <s v="Karan Trivedi"/>
    <x v="7"/>
    <n v="32"/>
    <x v="5"/>
    <s v="Electrical Inspection"/>
    <x v="6"/>
    <x v="375"/>
    <n v="819"/>
    <n v="2376"/>
    <s v="UPI"/>
    <x v="1"/>
    <x v="1"/>
    <x v="4"/>
    <x v="243"/>
    <n v="4.7"/>
  </r>
  <r>
    <s v="ELEC0386"/>
    <s v="Amit Kapoor"/>
    <x v="2"/>
    <n v="64"/>
    <x v="2"/>
    <s v="Equipment Upgrade"/>
    <x v="5"/>
    <x v="232"/>
    <n v="3534"/>
    <n v="377"/>
    <s v="Debit Card"/>
    <x v="2"/>
    <x v="0"/>
    <x v="1"/>
    <x v="82"/>
    <n v="3.6"/>
  </r>
  <r>
    <s v="ELEC0387"/>
    <s v="Simran Trivedi"/>
    <x v="4"/>
    <n v="27"/>
    <x v="2"/>
    <s v="New Connection"/>
    <x v="2"/>
    <x v="376"/>
    <n v="4408"/>
    <n v="1152"/>
    <s v="Net Banking"/>
    <x v="1"/>
    <x v="10"/>
    <x v="2"/>
    <x v="244"/>
    <n v="2.8"/>
  </r>
  <r>
    <s v="ELEC0388"/>
    <s v="Nidhi Singh"/>
    <x v="0"/>
    <n v="33"/>
    <x v="1"/>
    <s v="Short Circuit"/>
    <x v="6"/>
    <x v="377"/>
    <n v="4780"/>
    <n v="682"/>
    <s v="Credit Card"/>
    <x v="0"/>
    <x v="0"/>
    <x v="1"/>
    <x v="46"/>
    <n v="3.1"/>
  </r>
  <r>
    <s v="ELEC0389"/>
    <s v="Yash Gupta"/>
    <x v="7"/>
    <n v="30"/>
    <x v="2"/>
    <s v="Electrical Inspection"/>
    <x v="2"/>
    <x v="378"/>
    <n v="2640"/>
    <n v="2395"/>
    <s v="Debit Card"/>
    <x v="2"/>
    <x v="5"/>
    <x v="9"/>
    <x v="242"/>
    <n v="4"/>
  </r>
  <r>
    <s v="ELEC0390"/>
    <s v="Priya Singh"/>
    <x v="1"/>
    <n v="56"/>
    <x v="5"/>
    <s v="New Connection"/>
    <x v="4"/>
    <x v="379"/>
    <n v="5080"/>
    <n v="2472"/>
    <s v="Debit Card"/>
    <x v="1"/>
    <x v="3"/>
    <x v="9"/>
    <x v="245"/>
    <n v="3.9"/>
  </r>
  <r>
    <s v="ELEC0391"/>
    <s v="Karan Rao"/>
    <x v="7"/>
    <n v="35"/>
    <x v="5"/>
    <s v="New Connection"/>
    <x v="0"/>
    <x v="380"/>
    <n v="2256"/>
    <n v="2282"/>
    <s v="Cash"/>
    <x v="0"/>
    <x v="5"/>
    <x v="6"/>
    <x v="108"/>
    <n v="4.3"/>
  </r>
  <r>
    <s v="ELEC0392"/>
    <s v="Rahul Singh"/>
    <x v="2"/>
    <n v="26"/>
    <x v="7"/>
    <s v="Emergency Repair"/>
    <x v="6"/>
    <x v="381"/>
    <n v="4066"/>
    <n v="561"/>
    <s v="Net Banking"/>
    <x v="2"/>
    <x v="12"/>
    <x v="7"/>
    <x v="246"/>
    <n v="3.7"/>
  </r>
  <r>
    <s v="ELEC0393"/>
    <s v="Vivaan Shah"/>
    <x v="8"/>
    <n v="46"/>
    <x v="3"/>
    <s v="Equipment Upgrade"/>
    <x v="2"/>
    <x v="382"/>
    <n v="6329"/>
    <n v="2647"/>
    <s v="Debit Card"/>
    <x v="1"/>
    <x v="13"/>
    <x v="10"/>
    <x v="229"/>
    <n v="4"/>
  </r>
  <r>
    <s v="ELEC0394"/>
    <s v="Krishna Sharma"/>
    <x v="6"/>
    <n v="63"/>
    <x v="8"/>
    <s v="Voltage Issue"/>
    <x v="1"/>
    <x v="383"/>
    <n v="775"/>
    <n v="2655"/>
    <s v="UPI"/>
    <x v="0"/>
    <x v="4"/>
    <x v="1"/>
    <x v="218"/>
    <n v="3.2"/>
  </r>
  <r>
    <s v="ELEC0395"/>
    <s v="Vivaan Gupta"/>
    <x v="6"/>
    <n v="62"/>
    <x v="1"/>
    <s v="New Connection"/>
    <x v="0"/>
    <x v="384"/>
    <n v="2760"/>
    <n v="1836"/>
    <s v="UPI"/>
    <x v="1"/>
    <x v="0"/>
    <x v="3"/>
    <x v="6"/>
    <n v="4.0999999999999996"/>
  </r>
  <r>
    <s v="ELEC0396"/>
    <s v="Isha Sharma"/>
    <x v="7"/>
    <n v="26"/>
    <x v="8"/>
    <s v="Voltage Issue"/>
    <x v="7"/>
    <x v="385"/>
    <n v="5275"/>
    <n v="1625"/>
    <s v="Net Banking"/>
    <x v="0"/>
    <x v="15"/>
    <x v="8"/>
    <x v="38"/>
    <n v="3.8"/>
  </r>
  <r>
    <s v="ELEC0397"/>
    <s v="Priya Desai"/>
    <x v="8"/>
    <n v="57"/>
    <x v="1"/>
    <s v="Voltage Issue"/>
    <x v="9"/>
    <x v="386"/>
    <n v="3835"/>
    <n v="2273"/>
    <s v="Credit Card"/>
    <x v="0"/>
    <x v="1"/>
    <x v="6"/>
    <x v="54"/>
    <n v="3.8"/>
  </r>
  <r>
    <s v="ELEC0398"/>
    <s v="Rohan Mistry"/>
    <x v="1"/>
    <n v="37"/>
    <x v="8"/>
    <s v="Electrical Inspection"/>
    <x v="2"/>
    <x v="387"/>
    <n v="6186"/>
    <n v="2013"/>
    <s v="UPI"/>
    <x v="1"/>
    <x v="12"/>
    <x v="2"/>
    <x v="209"/>
    <n v="1.9"/>
  </r>
  <r>
    <s v="ELEC0399"/>
    <s v="Anjali Mistry"/>
    <x v="5"/>
    <n v="64"/>
    <x v="5"/>
    <s v="Electrical Inspection"/>
    <x v="3"/>
    <x v="388"/>
    <n v="4448"/>
    <n v="676"/>
    <s v="UPI"/>
    <x v="0"/>
    <x v="0"/>
    <x v="1"/>
    <x v="118"/>
    <n v="3.6"/>
  </r>
  <r>
    <s v="ELEC0400"/>
    <s v="Anjali Singh"/>
    <x v="3"/>
    <n v="54"/>
    <x v="8"/>
    <s v="Short Circuit"/>
    <x v="2"/>
    <x v="389"/>
    <n v="2533"/>
    <n v="1376"/>
    <s v="Net Banking"/>
    <x v="1"/>
    <x v="9"/>
    <x v="7"/>
    <x v="8"/>
    <n v="4"/>
  </r>
  <r>
    <s v="ELEC0401"/>
    <s v="Rahul Desai"/>
    <x v="3"/>
    <n v="43"/>
    <x v="0"/>
    <s v="Electrical Inspection"/>
    <x v="2"/>
    <x v="390"/>
    <n v="1997"/>
    <n v="2998"/>
    <s v="UPI"/>
    <x v="2"/>
    <x v="11"/>
    <x v="2"/>
    <x v="247"/>
    <n v="2.1"/>
  </r>
  <r>
    <s v="ELEC0402"/>
    <s v="Sneha Shah"/>
    <x v="6"/>
    <n v="37"/>
    <x v="0"/>
    <s v="Maintenance"/>
    <x v="1"/>
    <x v="391"/>
    <n v="2545"/>
    <n v="2733"/>
    <s v="Cash"/>
    <x v="1"/>
    <x v="13"/>
    <x v="4"/>
    <x v="169"/>
    <n v="4.8"/>
  </r>
  <r>
    <s v="ELEC0403"/>
    <s v="Meera Trivedi"/>
    <x v="2"/>
    <n v="55"/>
    <x v="1"/>
    <s v="Emergency Repair"/>
    <x v="4"/>
    <x v="392"/>
    <n v="5584"/>
    <n v="1491"/>
    <s v="Debit Card"/>
    <x v="2"/>
    <x v="2"/>
    <x v="9"/>
    <x v="27"/>
    <n v="4.7"/>
  </r>
  <r>
    <s v="ELEC0404"/>
    <s v="Rahul Mistry"/>
    <x v="1"/>
    <n v="38"/>
    <x v="2"/>
    <s v="Maintenance"/>
    <x v="6"/>
    <x v="393"/>
    <n v="1550"/>
    <n v="421"/>
    <s v="Cash"/>
    <x v="1"/>
    <x v="0"/>
    <x v="5"/>
    <x v="86"/>
    <n v="4.9000000000000004"/>
  </r>
  <r>
    <s v="ELEC0405"/>
    <s v="Isha Gupta"/>
    <x v="8"/>
    <n v="64"/>
    <x v="7"/>
    <s v="Emergency Repair"/>
    <x v="0"/>
    <x v="394"/>
    <n v="6220"/>
    <n v="2322"/>
    <s v="UPI"/>
    <x v="2"/>
    <x v="4"/>
    <x v="0"/>
    <x v="207"/>
    <n v="4.9000000000000004"/>
  </r>
  <r>
    <s v="ELEC0406"/>
    <s v="Jay Trivedi"/>
    <x v="7"/>
    <n v="41"/>
    <x v="4"/>
    <s v="Electrical Inspection"/>
    <x v="2"/>
    <x v="395"/>
    <n v="2033"/>
    <n v="2446"/>
    <s v="Credit Card"/>
    <x v="1"/>
    <x v="3"/>
    <x v="5"/>
    <x v="21"/>
    <n v="4.7"/>
  </r>
  <r>
    <s v="ELEC0407"/>
    <s v="Simran Verma"/>
    <x v="5"/>
    <n v="48"/>
    <x v="0"/>
    <s v="Routine Service"/>
    <x v="4"/>
    <x v="396"/>
    <n v="3490"/>
    <n v="1840"/>
    <s v="Net Banking"/>
    <x v="2"/>
    <x v="6"/>
    <x v="9"/>
    <x v="109"/>
    <n v="4.4000000000000004"/>
  </r>
  <r>
    <s v="ELEC0408"/>
    <s v="Sneha Rao"/>
    <x v="7"/>
    <n v="38"/>
    <x v="0"/>
    <s v="Equipment Upgrade"/>
    <x v="5"/>
    <x v="397"/>
    <n v="3620"/>
    <n v="1003"/>
    <s v="Cash"/>
    <x v="1"/>
    <x v="4"/>
    <x v="10"/>
    <x v="230"/>
    <n v="4.7"/>
  </r>
  <r>
    <s v="ELEC0409"/>
    <s v="Rahul Singh"/>
    <x v="5"/>
    <n v="29"/>
    <x v="8"/>
    <s v="Equipment Upgrade"/>
    <x v="4"/>
    <x v="398"/>
    <n v="6933"/>
    <n v="2193"/>
    <s v="Debit Card"/>
    <x v="2"/>
    <x v="14"/>
    <x v="9"/>
    <x v="169"/>
    <n v="4.0999999999999996"/>
  </r>
  <r>
    <s v="ELEC0410"/>
    <s v="Rohan Shah"/>
    <x v="9"/>
    <n v="24"/>
    <x v="0"/>
    <s v="Voltage Issue"/>
    <x v="8"/>
    <x v="399"/>
    <n v="5659"/>
    <n v="594"/>
    <s v="Credit Card"/>
    <x v="1"/>
    <x v="5"/>
    <x v="8"/>
    <x v="170"/>
    <n v="4"/>
  </r>
  <r>
    <s v="ELEC0411"/>
    <s v="Nidhi Kapoor"/>
    <x v="0"/>
    <n v="43"/>
    <x v="1"/>
    <s v="Routine Service"/>
    <x v="0"/>
    <x v="400"/>
    <n v="3376"/>
    <n v="2983"/>
    <s v="Net Banking"/>
    <x v="2"/>
    <x v="11"/>
    <x v="2"/>
    <x v="159"/>
    <n v="2.6"/>
  </r>
  <r>
    <s v="ELEC0412"/>
    <s v="Nidhi Verma"/>
    <x v="0"/>
    <n v="43"/>
    <x v="4"/>
    <s v="Equipment Upgrade"/>
    <x v="8"/>
    <x v="401"/>
    <n v="6846"/>
    <n v="2030"/>
    <s v="Credit Card"/>
    <x v="1"/>
    <x v="6"/>
    <x v="2"/>
    <x v="51"/>
    <n v="2.4"/>
  </r>
  <r>
    <s v="ELEC0413"/>
    <s v="Krishna Pandya"/>
    <x v="9"/>
    <n v="31"/>
    <x v="4"/>
    <s v="Routine Service"/>
    <x v="6"/>
    <x v="186"/>
    <n v="5182"/>
    <n v="1857"/>
    <s v="Credit Card"/>
    <x v="0"/>
    <x v="1"/>
    <x v="4"/>
    <x v="44"/>
    <n v="4.0999999999999996"/>
  </r>
  <r>
    <s v="ELEC0414"/>
    <s v="Sneha Gupta"/>
    <x v="3"/>
    <n v="62"/>
    <x v="6"/>
    <s v="Voltage Issue"/>
    <x v="6"/>
    <x v="402"/>
    <n v="5780"/>
    <n v="1819"/>
    <s v="Net Banking"/>
    <x v="1"/>
    <x v="7"/>
    <x v="7"/>
    <x v="248"/>
    <n v="3.9"/>
  </r>
  <r>
    <s v="ELEC0415"/>
    <s v="Krishna Singh"/>
    <x v="9"/>
    <n v="32"/>
    <x v="1"/>
    <s v="New Connection"/>
    <x v="1"/>
    <x v="403"/>
    <n v="5923"/>
    <n v="1230"/>
    <s v="UPI"/>
    <x v="1"/>
    <x v="3"/>
    <x v="2"/>
    <x v="205"/>
    <n v="1.7"/>
  </r>
  <r>
    <s v="ELEC0416"/>
    <s v="Rahul Singh"/>
    <x v="7"/>
    <n v="27"/>
    <x v="9"/>
    <s v="Emergency Repair"/>
    <x v="7"/>
    <x v="404"/>
    <n v="940"/>
    <n v="307"/>
    <s v="Credit Card"/>
    <x v="2"/>
    <x v="14"/>
    <x v="4"/>
    <x v="238"/>
    <n v="3.1"/>
  </r>
  <r>
    <s v="ELEC0417"/>
    <s v="Amit Verma"/>
    <x v="7"/>
    <n v="62"/>
    <x v="2"/>
    <s v="Voltage Issue"/>
    <x v="1"/>
    <x v="405"/>
    <n v="2526"/>
    <n v="1363"/>
    <s v="UPI"/>
    <x v="2"/>
    <x v="6"/>
    <x v="10"/>
    <x v="249"/>
    <n v="3.7"/>
  </r>
  <r>
    <s v="ELEC0418"/>
    <s v="Aarav Sharma"/>
    <x v="3"/>
    <n v="41"/>
    <x v="5"/>
    <s v="Emergency Repair"/>
    <x v="7"/>
    <x v="406"/>
    <n v="2731"/>
    <n v="2446"/>
    <s v="Net Banking"/>
    <x v="1"/>
    <x v="4"/>
    <x v="6"/>
    <x v="250"/>
    <n v="3.9"/>
  </r>
  <r>
    <s v="ELEC0419"/>
    <s v="Amit Desai"/>
    <x v="4"/>
    <n v="48"/>
    <x v="8"/>
    <s v="Equipment Upgrade"/>
    <x v="2"/>
    <x v="407"/>
    <n v="3344"/>
    <n v="2172"/>
    <s v="Credit Card"/>
    <x v="0"/>
    <x v="13"/>
    <x v="4"/>
    <x v="157"/>
    <n v="4.3"/>
  </r>
  <r>
    <s v="ELEC0420"/>
    <s v="Simran Singh"/>
    <x v="0"/>
    <n v="30"/>
    <x v="6"/>
    <s v="Short Circuit"/>
    <x v="3"/>
    <x v="408"/>
    <n v="4787"/>
    <n v="758"/>
    <s v="Debit Card"/>
    <x v="0"/>
    <x v="7"/>
    <x v="6"/>
    <x v="251"/>
    <n v="4.5"/>
  </r>
  <r>
    <s v="ELEC0421"/>
    <s v="Meera Mehta"/>
    <x v="2"/>
    <n v="48"/>
    <x v="6"/>
    <s v="Electrical Inspection"/>
    <x v="1"/>
    <x v="409"/>
    <n v="559"/>
    <n v="2445"/>
    <s v="Debit Card"/>
    <x v="0"/>
    <x v="0"/>
    <x v="6"/>
    <x v="20"/>
    <n v="3.4"/>
  </r>
  <r>
    <s v="ELEC0422"/>
    <s v="Sneha Verma"/>
    <x v="8"/>
    <n v="45"/>
    <x v="0"/>
    <s v="Voltage Issue"/>
    <x v="0"/>
    <x v="410"/>
    <n v="3958"/>
    <n v="2761"/>
    <s v="Credit Card"/>
    <x v="0"/>
    <x v="13"/>
    <x v="9"/>
    <x v="252"/>
    <n v="4.0999999999999996"/>
  </r>
  <r>
    <s v="ELEC0423"/>
    <s v="Neha Pandya"/>
    <x v="1"/>
    <n v="38"/>
    <x v="2"/>
    <s v="Maintenance"/>
    <x v="0"/>
    <x v="411"/>
    <n v="1994"/>
    <n v="759"/>
    <s v="Debit Card"/>
    <x v="1"/>
    <x v="9"/>
    <x v="5"/>
    <x v="89"/>
    <n v="5"/>
  </r>
  <r>
    <s v="ELEC0424"/>
    <s v="Pooja Shah"/>
    <x v="4"/>
    <n v="52"/>
    <x v="0"/>
    <s v="Fuse Problem"/>
    <x v="3"/>
    <x v="412"/>
    <n v="1746"/>
    <n v="403"/>
    <s v="Cash"/>
    <x v="2"/>
    <x v="10"/>
    <x v="2"/>
    <x v="34"/>
    <n v="2.9"/>
  </r>
  <r>
    <s v="ELEC0425"/>
    <s v="Neha Mehta"/>
    <x v="9"/>
    <n v="49"/>
    <x v="1"/>
    <s v="Maintenance"/>
    <x v="0"/>
    <x v="413"/>
    <n v="1734"/>
    <n v="260"/>
    <s v="Debit Card"/>
    <x v="1"/>
    <x v="5"/>
    <x v="3"/>
    <x v="23"/>
    <n v="3.8"/>
  </r>
  <r>
    <s v="ELEC0426"/>
    <s v="Simran Desai"/>
    <x v="2"/>
    <n v="42"/>
    <x v="9"/>
    <s v="New Connection"/>
    <x v="3"/>
    <x v="414"/>
    <n v="2683"/>
    <n v="1807"/>
    <s v="Credit Card"/>
    <x v="0"/>
    <x v="7"/>
    <x v="10"/>
    <x v="76"/>
    <n v="3.4"/>
  </r>
  <r>
    <s v="ELEC0427"/>
    <s v="Jay Rao"/>
    <x v="2"/>
    <n v="28"/>
    <x v="0"/>
    <s v="Routine Service"/>
    <x v="8"/>
    <x v="415"/>
    <n v="2524"/>
    <n v="337"/>
    <s v="UPI"/>
    <x v="2"/>
    <x v="4"/>
    <x v="4"/>
    <x v="169"/>
    <n v="4.5"/>
  </r>
  <r>
    <s v="ELEC0428"/>
    <s v="Meera Singh"/>
    <x v="0"/>
    <n v="41"/>
    <x v="7"/>
    <s v="Short Circuit"/>
    <x v="7"/>
    <x v="416"/>
    <n v="4767"/>
    <n v="700"/>
    <s v="Credit Card"/>
    <x v="2"/>
    <x v="9"/>
    <x v="8"/>
    <x v="183"/>
    <n v="3"/>
  </r>
  <r>
    <s v="ELEC0429"/>
    <s v="Vivaan Rao"/>
    <x v="6"/>
    <n v="28"/>
    <x v="0"/>
    <s v="Routine Service"/>
    <x v="4"/>
    <x v="417"/>
    <n v="623"/>
    <n v="885"/>
    <s v="UPI"/>
    <x v="1"/>
    <x v="8"/>
    <x v="4"/>
    <x v="253"/>
    <n v="3.9"/>
  </r>
  <r>
    <s v="ELEC0430"/>
    <s v="Aarav Sharma"/>
    <x v="4"/>
    <n v="65"/>
    <x v="5"/>
    <s v="Electrical Inspection"/>
    <x v="9"/>
    <x v="418"/>
    <n v="3542"/>
    <n v="566"/>
    <s v="Net Banking"/>
    <x v="1"/>
    <x v="7"/>
    <x v="4"/>
    <x v="63"/>
    <n v="4.0999999999999996"/>
  </r>
  <r>
    <s v="ELEC0431"/>
    <s v="Anjali Chauhan"/>
    <x v="2"/>
    <n v="24"/>
    <x v="4"/>
    <s v="New Connection"/>
    <x v="7"/>
    <x v="36"/>
    <n v="6983"/>
    <n v="639"/>
    <s v="Credit Card"/>
    <x v="0"/>
    <x v="12"/>
    <x v="7"/>
    <x v="124"/>
    <n v="3"/>
  </r>
  <r>
    <s v="ELEC0432"/>
    <s v="Krishna Shah"/>
    <x v="6"/>
    <n v="22"/>
    <x v="2"/>
    <s v="Fuse Problem"/>
    <x v="9"/>
    <x v="419"/>
    <n v="2553"/>
    <n v="361"/>
    <s v="Net Banking"/>
    <x v="0"/>
    <x v="7"/>
    <x v="6"/>
    <x v="114"/>
    <n v="3.6"/>
  </r>
  <r>
    <s v="ELEC0433"/>
    <s v="Meera Joshi"/>
    <x v="4"/>
    <n v="32"/>
    <x v="8"/>
    <s v="Fuse Problem"/>
    <x v="4"/>
    <x v="420"/>
    <n v="6499"/>
    <n v="2118"/>
    <s v="UPI"/>
    <x v="1"/>
    <x v="15"/>
    <x v="9"/>
    <x v="248"/>
    <n v="3.2"/>
  </r>
  <r>
    <s v="ELEC0434"/>
    <s v="Aditya Kapoor"/>
    <x v="9"/>
    <n v="49"/>
    <x v="6"/>
    <s v="Voltage Issue"/>
    <x v="7"/>
    <x v="76"/>
    <n v="3507"/>
    <n v="2059"/>
    <s v="UPI"/>
    <x v="1"/>
    <x v="9"/>
    <x v="6"/>
    <x v="254"/>
    <n v="3.7"/>
  </r>
  <r>
    <s v="ELEC0435"/>
    <s v="Aarav Trivedi"/>
    <x v="3"/>
    <n v="60"/>
    <x v="0"/>
    <s v="Fuse Problem"/>
    <x v="0"/>
    <x v="421"/>
    <n v="5892"/>
    <n v="2407"/>
    <s v="Debit Card"/>
    <x v="1"/>
    <x v="12"/>
    <x v="6"/>
    <x v="40"/>
    <n v="3.5"/>
  </r>
  <r>
    <s v="ELEC0436"/>
    <s v="Nidhi Verma"/>
    <x v="4"/>
    <n v="39"/>
    <x v="4"/>
    <s v="Routine Service"/>
    <x v="4"/>
    <x v="422"/>
    <n v="1404"/>
    <n v="594"/>
    <s v="UPI"/>
    <x v="0"/>
    <x v="1"/>
    <x v="0"/>
    <x v="255"/>
    <n v="4.8"/>
  </r>
  <r>
    <s v="ELEC0437"/>
    <s v="Vivaan Joshi"/>
    <x v="7"/>
    <n v="52"/>
    <x v="0"/>
    <s v="Power Failure"/>
    <x v="3"/>
    <x v="423"/>
    <n v="5177"/>
    <n v="2828"/>
    <s v="Net Banking"/>
    <x v="2"/>
    <x v="9"/>
    <x v="5"/>
    <x v="256"/>
    <n v="4.2"/>
  </r>
  <r>
    <s v="ELEC0438"/>
    <s v="Riya Mehta"/>
    <x v="2"/>
    <n v="44"/>
    <x v="0"/>
    <s v="Electrical Inspection"/>
    <x v="0"/>
    <x v="150"/>
    <n v="607"/>
    <n v="1054"/>
    <s v="Cash"/>
    <x v="0"/>
    <x v="2"/>
    <x v="4"/>
    <x v="257"/>
    <n v="3.1"/>
  </r>
  <r>
    <s v="ELEC0439"/>
    <s v="Simran Kapoor"/>
    <x v="8"/>
    <n v="44"/>
    <x v="1"/>
    <s v="Electrical Inspection"/>
    <x v="2"/>
    <x v="424"/>
    <n v="4833"/>
    <n v="366"/>
    <s v="UPI"/>
    <x v="1"/>
    <x v="15"/>
    <x v="8"/>
    <x v="119"/>
    <n v="3.5"/>
  </r>
  <r>
    <s v="ELEC0440"/>
    <s v="Isha Patel"/>
    <x v="7"/>
    <n v="35"/>
    <x v="8"/>
    <s v="Routine Service"/>
    <x v="1"/>
    <x v="425"/>
    <n v="2082"/>
    <n v="2355"/>
    <s v="Net Banking"/>
    <x v="0"/>
    <x v="8"/>
    <x v="10"/>
    <x v="52"/>
    <n v="4"/>
  </r>
  <r>
    <s v="ELEC0441"/>
    <s v="Yash Shah"/>
    <x v="7"/>
    <n v="61"/>
    <x v="3"/>
    <s v="Fuse Problem"/>
    <x v="8"/>
    <x v="426"/>
    <n v="6255"/>
    <n v="2924"/>
    <s v="Net Banking"/>
    <x v="2"/>
    <x v="1"/>
    <x v="10"/>
    <x v="258"/>
    <n v="3.1"/>
  </r>
  <r>
    <s v="ELEC0442"/>
    <s v="Jay Kapoor"/>
    <x v="3"/>
    <n v="63"/>
    <x v="7"/>
    <s v="Equipment Upgrade"/>
    <x v="6"/>
    <x v="427"/>
    <n v="4129"/>
    <n v="1643"/>
    <s v="Credit Card"/>
    <x v="1"/>
    <x v="12"/>
    <x v="2"/>
    <x v="259"/>
    <n v="2.4"/>
  </r>
  <r>
    <s v="ELEC0443"/>
    <s v="Yash Mistry"/>
    <x v="8"/>
    <n v="41"/>
    <x v="3"/>
    <s v="Maintenance"/>
    <x v="6"/>
    <x v="428"/>
    <n v="4969"/>
    <n v="1076"/>
    <s v="Debit Card"/>
    <x v="0"/>
    <x v="14"/>
    <x v="8"/>
    <x v="78"/>
    <n v="3.5"/>
  </r>
  <r>
    <s v="ELEC0444"/>
    <s v="Krishna Singh"/>
    <x v="2"/>
    <n v="23"/>
    <x v="6"/>
    <s v="Electrical Inspection"/>
    <x v="3"/>
    <x v="429"/>
    <n v="4740"/>
    <n v="753"/>
    <s v="Credit Card"/>
    <x v="2"/>
    <x v="1"/>
    <x v="2"/>
    <x v="73"/>
    <n v="2.2999999999999998"/>
  </r>
  <r>
    <s v="ELEC0445"/>
    <s v="Sneha Joshi"/>
    <x v="3"/>
    <n v="22"/>
    <x v="6"/>
    <s v="Equipment Upgrade"/>
    <x v="7"/>
    <x v="430"/>
    <n v="5057"/>
    <n v="2537"/>
    <s v="Cash"/>
    <x v="2"/>
    <x v="11"/>
    <x v="2"/>
    <x v="260"/>
    <n v="2.9"/>
  </r>
  <r>
    <s v="ELEC0446"/>
    <s v="Krishna Gupta"/>
    <x v="9"/>
    <n v="29"/>
    <x v="6"/>
    <s v="Fuse Problem"/>
    <x v="6"/>
    <x v="431"/>
    <n v="2546"/>
    <n v="1154"/>
    <s v="Debit Card"/>
    <x v="2"/>
    <x v="3"/>
    <x v="4"/>
    <x v="7"/>
    <n v="4.5999999999999996"/>
  </r>
  <r>
    <s v="ELEC0447"/>
    <s v="Riya Chauhan"/>
    <x v="6"/>
    <n v="25"/>
    <x v="4"/>
    <s v="Emergency Repair"/>
    <x v="9"/>
    <x v="432"/>
    <n v="4499"/>
    <n v="2560"/>
    <s v="Credit Card"/>
    <x v="0"/>
    <x v="1"/>
    <x v="9"/>
    <x v="261"/>
    <n v="4.7"/>
  </r>
  <r>
    <s v="ELEC0448"/>
    <s v="Vivaan Shah"/>
    <x v="4"/>
    <n v="45"/>
    <x v="9"/>
    <s v="Short Circuit"/>
    <x v="4"/>
    <x v="433"/>
    <n v="3350"/>
    <n v="1978"/>
    <s v="Net Banking"/>
    <x v="0"/>
    <x v="15"/>
    <x v="4"/>
    <x v="183"/>
    <n v="4.9000000000000004"/>
  </r>
  <r>
    <s v="ELEC0449"/>
    <s v="Aarav Pandya"/>
    <x v="8"/>
    <n v="24"/>
    <x v="6"/>
    <s v="Equipment Upgrade"/>
    <x v="3"/>
    <x v="434"/>
    <n v="3115"/>
    <n v="2411"/>
    <s v="UPI"/>
    <x v="2"/>
    <x v="5"/>
    <x v="6"/>
    <x v="78"/>
    <n v="5"/>
  </r>
  <r>
    <s v="ELEC0450"/>
    <s v="Karan Sharma"/>
    <x v="8"/>
    <n v="49"/>
    <x v="3"/>
    <s v="Electrical Inspection"/>
    <x v="7"/>
    <x v="435"/>
    <n v="1237"/>
    <n v="1109"/>
    <s v="UPI"/>
    <x v="0"/>
    <x v="13"/>
    <x v="3"/>
    <x v="108"/>
    <n v="4.3"/>
  </r>
  <r>
    <s v="ELEC0451"/>
    <s v="Anjali Patel"/>
    <x v="5"/>
    <n v="57"/>
    <x v="1"/>
    <s v="Equipment Upgrade"/>
    <x v="5"/>
    <x v="436"/>
    <n v="2650"/>
    <n v="548"/>
    <s v="Debit Card"/>
    <x v="2"/>
    <x v="0"/>
    <x v="10"/>
    <x v="11"/>
    <n v="4"/>
  </r>
  <r>
    <s v="ELEC0452"/>
    <s v="Nidhi Joshi"/>
    <x v="5"/>
    <n v="46"/>
    <x v="3"/>
    <s v="Maintenance"/>
    <x v="7"/>
    <x v="437"/>
    <n v="5546"/>
    <n v="2347"/>
    <s v="Credit Card"/>
    <x v="1"/>
    <x v="1"/>
    <x v="8"/>
    <x v="110"/>
    <n v="3.9"/>
  </r>
  <r>
    <s v="ELEC0453"/>
    <s v="Riya Patel"/>
    <x v="7"/>
    <n v="63"/>
    <x v="2"/>
    <s v="Routine Service"/>
    <x v="4"/>
    <x v="438"/>
    <n v="3353"/>
    <n v="980"/>
    <s v="UPI"/>
    <x v="1"/>
    <x v="8"/>
    <x v="0"/>
    <x v="262"/>
    <n v="4.7"/>
  </r>
  <r>
    <s v="ELEC0454"/>
    <s v="Simran Trivedi"/>
    <x v="5"/>
    <n v="60"/>
    <x v="7"/>
    <s v="Emergency Repair"/>
    <x v="3"/>
    <x v="439"/>
    <n v="2412"/>
    <n v="1017"/>
    <s v="Cash"/>
    <x v="0"/>
    <x v="6"/>
    <x v="4"/>
    <x v="263"/>
    <n v="4.5"/>
  </r>
  <r>
    <s v="ELEC0455"/>
    <s v="Sneha Trivedi"/>
    <x v="9"/>
    <n v="39"/>
    <x v="1"/>
    <s v="Fuse Problem"/>
    <x v="0"/>
    <x v="440"/>
    <n v="2999"/>
    <n v="2043"/>
    <s v="UPI"/>
    <x v="1"/>
    <x v="5"/>
    <x v="1"/>
    <x v="264"/>
    <n v="4.5999999999999996"/>
  </r>
  <r>
    <s v="ELEC0456"/>
    <s v="Priya Kapoor"/>
    <x v="1"/>
    <n v="37"/>
    <x v="8"/>
    <s v="Emergency Repair"/>
    <x v="6"/>
    <x v="441"/>
    <n v="6479"/>
    <n v="778"/>
    <s v="Net Banking"/>
    <x v="0"/>
    <x v="9"/>
    <x v="0"/>
    <x v="154"/>
    <n v="3.1"/>
  </r>
  <r>
    <s v="ELEC0457"/>
    <s v="Isha Sharma"/>
    <x v="0"/>
    <n v="31"/>
    <x v="1"/>
    <s v="Voltage Issue"/>
    <x v="1"/>
    <x v="442"/>
    <n v="6965"/>
    <n v="2731"/>
    <s v="Debit Card"/>
    <x v="1"/>
    <x v="7"/>
    <x v="0"/>
    <x v="35"/>
    <n v="3.1"/>
  </r>
  <r>
    <s v="ELEC0458"/>
    <s v="Pooja Pandya"/>
    <x v="3"/>
    <n v="27"/>
    <x v="1"/>
    <s v="Voltage Issue"/>
    <x v="5"/>
    <x v="443"/>
    <n v="2393"/>
    <n v="1759"/>
    <s v="Debit Card"/>
    <x v="1"/>
    <x v="4"/>
    <x v="4"/>
    <x v="94"/>
    <n v="4.8"/>
  </r>
  <r>
    <s v="ELEC0459"/>
    <s v="Amit Kapoor"/>
    <x v="7"/>
    <n v="32"/>
    <x v="0"/>
    <s v="Equipment Upgrade"/>
    <x v="8"/>
    <x v="444"/>
    <n v="5093"/>
    <n v="288"/>
    <s v="Credit Card"/>
    <x v="2"/>
    <x v="2"/>
    <x v="6"/>
    <x v="256"/>
    <n v="3.3"/>
  </r>
  <r>
    <s v="ELEC0460"/>
    <s v="Meera Singh"/>
    <x v="9"/>
    <n v="22"/>
    <x v="4"/>
    <s v="Fuse Problem"/>
    <x v="4"/>
    <x v="432"/>
    <n v="5621"/>
    <n v="1438"/>
    <s v="Credit Card"/>
    <x v="1"/>
    <x v="14"/>
    <x v="8"/>
    <x v="265"/>
    <n v="4.5"/>
  </r>
  <r>
    <s v="ELEC0461"/>
    <s v="Jay Chauhan"/>
    <x v="2"/>
    <n v="56"/>
    <x v="6"/>
    <s v="Maintenance"/>
    <x v="9"/>
    <x v="445"/>
    <n v="3299"/>
    <n v="1809"/>
    <s v="Net Banking"/>
    <x v="0"/>
    <x v="1"/>
    <x v="3"/>
    <x v="266"/>
    <n v="4.7"/>
  </r>
  <r>
    <s v="ELEC0462"/>
    <s v="Sneha Singh"/>
    <x v="6"/>
    <n v="57"/>
    <x v="7"/>
    <s v="Routine Service"/>
    <x v="2"/>
    <x v="446"/>
    <n v="5459"/>
    <n v="1548"/>
    <s v="UPI"/>
    <x v="1"/>
    <x v="6"/>
    <x v="1"/>
    <x v="77"/>
    <n v="3.3"/>
  </r>
  <r>
    <s v="ELEC0463"/>
    <s v="Riya Kapoor"/>
    <x v="6"/>
    <n v="29"/>
    <x v="6"/>
    <s v="Equipment Upgrade"/>
    <x v="9"/>
    <x v="447"/>
    <n v="4023"/>
    <n v="794"/>
    <s v="Cash"/>
    <x v="1"/>
    <x v="8"/>
    <x v="10"/>
    <x v="11"/>
    <n v="3.8"/>
  </r>
  <r>
    <s v="ELEC0464"/>
    <s v="Nidhi Kapoor"/>
    <x v="7"/>
    <n v="32"/>
    <x v="4"/>
    <s v="New Connection"/>
    <x v="3"/>
    <x v="448"/>
    <n v="6770"/>
    <n v="1505"/>
    <s v="Credit Card"/>
    <x v="2"/>
    <x v="6"/>
    <x v="2"/>
    <x v="16"/>
    <n v="2.7"/>
  </r>
  <r>
    <s v="ELEC0465"/>
    <s v="Krishna Shah"/>
    <x v="0"/>
    <n v="30"/>
    <x v="0"/>
    <s v="Power Failure"/>
    <x v="9"/>
    <x v="449"/>
    <n v="2013"/>
    <n v="307"/>
    <s v="Net Banking"/>
    <x v="2"/>
    <x v="8"/>
    <x v="9"/>
    <x v="265"/>
    <n v="3.1"/>
  </r>
  <r>
    <s v="ELEC0466"/>
    <s v="Riya Trivedi"/>
    <x v="6"/>
    <n v="59"/>
    <x v="0"/>
    <s v="Maintenance"/>
    <x v="3"/>
    <x v="450"/>
    <n v="3443"/>
    <n v="525"/>
    <s v="Net Banking"/>
    <x v="2"/>
    <x v="7"/>
    <x v="10"/>
    <x v="141"/>
    <n v="4.3"/>
  </r>
  <r>
    <s v="ELEC0467"/>
    <s v="Meera Shah"/>
    <x v="3"/>
    <n v="32"/>
    <x v="2"/>
    <s v="Emergency Repair"/>
    <x v="8"/>
    <x v="451"/>
    <n v="1626"/>
    <n v="870"/>
    <s v="Credit Card"/>
    <x v="2"/>
    <x v="11"/>
    <x v="3"/>
    <x v="263"/>
    <n v="3.1"/>
  </r>
  <r>
    <s v="ELEC0468"/>
    <s v="Yash Joshi"/>
    <x v="6"/>
    <n v="34"/>
    <x v="9"/>
    <s v="New Connection"/>
    <x v="8"/>
    <x v="452"/>
    <n v="5554"/>
    <n v="2206"/>
    <s v="Debit Card"/>
    <x v="0"/>
    <x v="15"/>
    <x v="5"/>
    <x v="267"/>
    <n v="3.2"/>
  </r>
  <r>
    <s v="ELEC0469"/>
    <s v="Jay Mistry"/>
    <x v="2"/>
    <n v="59"/>
    <x v="2"/>
    <s v="Fuse Problem"/>
    <x v="5"/>
    <x v="453"/>
    <n v="5509"/>
    <n v="2542"/>
    <s v="Cash"/>
    <x v="2"/>
    <x v="14"/>
    <x v="0"/>
    <x v="268"/>
    <n v="4.0999999999999996"/>
  </r>
  <r>
    <s v="ELEC0470"/>
    <s v="Krishna Desai"/>
    <x v="2"/>
    <n v="36"/>
    <x v="8"/>
    <s v="Equipment Upgrade"/>
    <x v="5"/>
    <x v="454"/>
    <n v="6522"/>
    <n v="360"/>
    <s v="Credit Card"/>
    <x v="2"/>
    <x v="14"/>
    <x v="0"/>
    <x v="82"/>
    <n v="5"/>
  </r>
  <r>
    <s v="ELEC0471"/>
    <s v="Krishna Singh"/>
    <x v="0"/>
    <n v="39"/>
    <x v="5"/>
    <s v="New Connection"/>
    <x v="5"/>
    <x v="113"/>
    <n v="2911"/>
    <n v="2711"/>
    <s v="UPI"/>
    <x v="2"/>
    <x v="3"/>
    <x v="2"/>
    <x v="188"/>
    <n v="1.4"/>
  </r>
  <r>
    <s v="ELEC0472"/>
    <s v="Krishna Rao"/>
    <x v="5"/>
    <n v="26"/>
    <x v="8"/>
    <s v="Power Failure"/>
    <x v="9"/>
    <x v="455"/>
    <n v="6879"/>
    <n v="2597"/>
    <s v="UPI"/>
    <x v="1"/>
    <x v="3"/>
    <x v="2"/>
    <x v="170"/>
    <n v="2.2000000000000002"/>
  </r>
  <r>
    <s v="ELEC0473"/>
    <s v="Jay Singh"/>
    <x v="3"/>
    <n v="49"/>
    <x v="1"/>
    <s v="New Connection"/>
    <x v="8"/>
    <x v="456"/>
    <n v="5335"/>
    <n v="1027"/>
    <s v="Credit Card"/>
    <x v="1"/>
    <x v="10"/>
    <x v="2"/>
    <x v="239"/>
    <n v="1"/>
  </r>
  <r>
    <s v="ELEC0474"/>
    <s v="Rahul Shah"/>
    <x v="7"/>
    <n v="26"/>
    <x v="9"/>
    <s v="Emergency Repair"/>
    <x v="4"/>
    <x v="457"/>
    <n v="1198"/>
    <n v="2345"/>
    <s v="UPI"/>
    <x v="2"/>
    <x v="4"/>
    <x v="6"/>
    <x v="164"/>
    <n v="4.7"/>
  </r>
  <r>
    <s v="ELEC0475"/>
    <s v="Jay Kapoor"/>
    <x v="8"/>
    <n v="23"/>
    <x v="7"/>
    <s v="Fuse Problem"/>
    <x v="6"/>
    <x v="458"/>
    <n v="5902"/>
    <n v="814"/>
    <s v="Cash"/>
    <x v="2"/>
    <x v="6"/>
    <x v="10"/>
    <x v="189"/>
    <n v="4.7"/>
  </r>
  <r>
    <s v="ELEC0476"/>
    <s v="Yash Mehta"/>
    <x v="0"/>
    <n v="49"/>
    <x v="6"/>
    <s v="New Connection"/>
    <x v="0"/>
    <x v="459"/>
    <n v="1577"/>
    <n v="1030"/>
    <s v="Debit Card"/>
    <x v="1"/>
    <x v="13"/>
    <x v="8"/>
    <x v="155"/>
    <n v="3.6"/>
  </r>
  <r>
    <s v="ELEC0477"/>
    <s v="Meera Rao"/>
    <x v="5"/>
    <n v="55"/>
    <x v="1"/>
    <s v="Electrical Inspection"/>
    <x v="8"/>
    <x v="460"/>
    <n v="2448"/>
    <n v="1088"/>
    <s v="Debit Card"/>
    <x v="0"/>
    <x v="7"/>
    <x v="5"/>
    <x v="228"/>
    <n v="4.4000000000000004"/>
  </r>
  <r>
    <s v="ELEC0478"/>
    <s v="Aditya Trivedi"/>
    <x v="4"/>
    <n v="21"/>
    <x v="0"/>
    <s v="Equipment Upgrade"/>
    <x v="2"/>
    <x v="100"/>
    <n v="5577"/>
    <n v="2774"/>
    <s v="UPI"/>
    <x v="2"/>
    <x v="15"/>
    <x v="1"/>
    <x v="37"/>
    <n v="4.8"/>
  </r>
  <r>
    <s v="ELEC0479"/>
    <s v="Karan Sharma"/>
    <x v="3"/>
    <n v="23"/>
    <x v="7"/>
    <s v="Short Circuit"/>
    <x v="6"/>
    <x v="461"/>
    <n v="5442"/>
    <n v="1422"/>
    <s v="Debit Card"/>
    <x v="0"/>
    <x v="1"/>
    <x v="0"/>
    <x v="100"/>
    <n v="4.2"/>
  </r>
  <r>
    <s v="ELEC0480"/>
    <s v="Rahul Verma"/>
    <x v="0"/>
    <n v="60"/>
    <x v="3"/>
    <s v="Electrical Inspection"/>
    <x v="7"/>
    <x v="462"/>
    <n v="1953"/>
    <n v="2065"/>
    <s v="Credit Card"/>
    <x v="0"/>
    <x v="5"/>
    <x v="0"/>
    <x v="269"/>
    <n v="4.9000000000000004"/>
  </r>
  <r>
    <s v="ELEC0481"/>
    <s v="Anjali Gupta"/>
    <x v="8"/>
    <n v="25"/>
    <x v="2"/>
    <s v="Equipment Upgrade"/>
    <x v="0"/>
    <x v="463"/>
    <n v="2898"/>
    <n v="2128"/>
    <s v="Net Banking"/>
    <x v="2"/>
    <x v="4"/>
    <x v="8"/>
    <x v="165"/>
    <n v="4"/>
  </r>
  <r>
    <s v="ELEC0482"/>
    <s v="Yash Kapoor"/>
    <x v="6"/>
    <n v="65"/>
    <x v="0"/>
    <s v="Electrical Inspection"/>
    <x v="3"/>
    <x v="464"/>
    <n v="1395"/>
    <n v="2540"/>
    <s v="Debit Card"/>
    <x v="1"/>
    <x v="9"/>
    <x v="6"/>
    <x v="162"/>
    <n v="4.9000000000000004"/>
  </r>
  <r>
    <s v="ELEC0483"/>
    <s v="Amit Chauhan"/>
    <x v="0"/>
    <n v="48"/>
    <x v="3"/>
    <s v="Fuse Problem"/>
    <x v="2"/>
    <x v="465"/>
    <n v="4804"/>
    <n v="2555"/>
    <s v="Net Banking"/>
    <x v="2"/>
    <x v="1"/>
    <x v="2"/>
    <x v="101"/>
    <n v="1.8"/>
  </r>
  <r>
    <s v="ELEC0484"/>
    <s v="Riya Desai"/>
    <x v="1"/>
    <n v="61"/>
    <x v="5"/>
    <s v="Emergency Repair"/>
    <x v="9"/>
    <x v="466"/>
    <n v="5492"/>
    <n v="1153"/>
    <s v="Cash"/>
    <x v="2"/>
    <x v="12"/>
    <x v="0"/>
    <x v="204"/>
    <n v="4.7"/>
  </r>
  <r>
    <s v="ELEC0485"/>
    <s v="Krishna Pandya"/>
    <x v="7"/>
    <n v="34"/>
    <x v="3"/>
    <s v="Routine Service"/>
    <x v="5"/>
    <x v="467"/>
    <n v="872"/>
    <n v="1567"/>
    <s v="UPI"/>
    <x v="0"/>
    <x v="13"/>
    <x v="1"/>
    <x v="195"/>
    <n v="4.3"/>
  </r>
  <r>
    <s v="ELEC0486"/>
    <s v="Neha Mehta"/>
    <x v="7"/>
    <n v="40"/>
    <x v="6"/>
    <s v="Equipment Upgrade"/>
    <x v="7"/>
    <x v="468"/>
    <n v="3153"/>
    <n v="225"/>
    <s v="Net Banking"/>
    <x v="2"/>
    <x v="5"/>
    <x v="7"/>
    <x v="120"/>
    <n v="3.1"/>
  </r>
  <r>
    <s v="ELEC0487"/>
    <s v="Amit Sharma"/>
    <x v="9"/>
    <n v="33"/>
    <x v="4"/>
    <s v="Fuse Problem"/>
    <x v="8"/>
    <x v="469"/>
    <n v="4387"/>
    <n v="345"/>
    <s v="Debit Card"/>
    <x v="0"/>
    <x v="7"/>
    <x v="10"/>
    <x v="217"/>
    <n v="4.7"/>
  </r>
  <r>
    <s v="ELEC0488"/>
    <s v="Nidhi Chauhan"/>
    <x v="3"/>
    <n v="50"/>
    <x v="2"/>
    <s v="Short Circuit"/>
    <x v="7"/>
    <x v="470"/>
    <n v="2952"/>
    <n v="2514"/>
    <s v="Cash"/>
    <x v="0"/>
    <x v="5"/>
    <x v="6"/>
    <x v="270"/>
    <n v="4"/>
  </r>
  <r>
    <s v="ELEC0489"/>
    <s v="Priya Trivedi"/>
    <x v="3"/>
    <n v="43"/>
    <x v="9"/>
    <s v="New Connection"/>
    <x v="2"/>
    <x v="471"/>
    <n v="755"/>
    <n v="1589"/>
    <s v="UPI"/>
    <x v="2"/>
    <x v="3"/>
    <x v="2"/>
    <x v="271"/>
    <n v="2.5"/>
  </r>
  <r>
    <s v="ELEC0490"/>
    <s v="Riya Trivedi"/>
    <x v="8"/>
    <n v="32"/>
    <x v="3"/>
    <s v="Power Failure"/>
    <x v="2"/>
    <x v="299"/>
    <n v="6277"/>
    <n v="1488"/>
    <s v="Debit Card"/>
    <x v="2"/>
    <x v="3"/>
    <x v="3"/>
    <x v="24"/>
    <n v="3.2"/>
  </r>
  <r>
    <s v="ELEC0491"/>
    <s v="Sneha Gupta"/>
    <x v="5"/>
    <n v="40"/>
    <x v="0"/>
    <s v="Equipment Upgrade"/>
    <x v="2"/>
    <x v="472"/>
    <n v="1933"/>
    <n v="659"/>
    <s v="Debit Card"/>
    <x v="0"/>
    <x v="11"/>
    <x v="1"/>
    <x v="1"/>
    <n v="3.9"/>
  </r>
  <r>
    <s v="ELEC0492"/>
    <s v="Isha Sharma"/>
    <x v="5"/>
    <n v="53"/>
    <x v="7"/>
    <s v="Maintenance"/>
    <x v="4"/>
    <x v="473"/>
    <n v="4460"/>
    <n v="2344"/>
    <s v="Net Banking"/>
    <x v="2"/>
    <x v="5"/>
    <x v="10"/>
    <x v="231"/>
    <n v="3.6"/>
  </r>
  <r>
    <s v="ELEC0493"/>
    <s v="Karan Joshi"/>
    <x v="2"/>
    <n v="50"/>
    <x v="2"/>
    <s v="Equipment Upgrade"/>
    <x v="0"/>
    <x v="474"/>
    <n v="533"/>
    <n v="1473"/>
    <s v="Cash"/>
    <x v="2"/>
    <x v="3"/>
    <x v="2"/>
    <x v="188"/>
    <n v="1.4"/>
  </r>
  <r>
    <s v="ELEC0494"/>
    <s v="Anjali Desai"/>
    <x v="2"/>
    <n v="27"/>
    <x v="8"/>
    <s v="Voltage Issue"/>
    <x v="3"/>
    <x v="475"/>
    <n v="5231"/>
    <n v="1478"/>
    <s v="UPI"/>
    <x v="0"/>
    <x v="12"/>
    <x v="7"/>
    <x v="67"/>
    <n v="4"/>
  </r>
  <r>
    <s v="ELEC0495"/>
    <s v="Neha Mehta"/>
    <x v="1"/>
    <n v="41"/>
    <x v="5"/>
    <s v="Power Failure"/>
    <x v="2"/>
    <x v="476"/>
    <n v="1723"/>
    <n v="845"/>
    <s v="Net Banking"/>
    <x v="2"/>
    <x v="11"/>
    <x v="9"/>
    <x v="40"/>
    <n v="3.3"/>
  </r>
  <r>
    <s v="ELEC0496"/>
    <s v="Rohan Joshi"/>
    <x v="1"/>
    <n v="43"/>
    <x v="8"/>
    <s v="Fuse Problem"/>
    <x v="2"/>
    <x v="477"/>
    <n v="1659"/>
    <n v="1360"/>
    <s v="Net Banking"/>
    <x v="0"/>
    <x v="6"/>
    <x v="4"/>
    <x v="200"/>
    <n v="4.5"/>
  </r>
  <r>
    <s v="ELEC0497"/>
    <s v="Anjali Kapoor"/>
    <x v="5"/>
    <n v="24"/>
    <x v="7"/>
    <s v="Short Circuit"/>
    <x v="8"/>
    <x v="478"/>
    <n v="6033"/>
    <n v="406"/>
    <s v="Debit Card"/>
    <x v="2"/>
    <x v="11"/>
    <x v="4"/>
    <x v="202"/>
    <n v="4.7"/>
  </r>
  <r>
    <s v="ELEC0498"/>
    <s v="Rahul Shah"/>
    <x v="4"/>
    <n v="58"/>
    <x v="5"/>
    <s v="Electrical Inspection"/>
    <x v="4"/>
    <x v="479"/>
    <n v="3059"/>
    <n v="1561"/>
    <s v="Debit Card"/>
    <x v="0"/>
    <x v="4"/>
    <x v="6"/>
    <x v="80"/>
    <n v="3"/>
  </r>
  <r>
    <s v="ELEC0499"/>
    <s v="Riya Verma"/>
    <x v="7"/>
    <n v="65"/>
    <x v="5"/>
    <s v="Power Failure"/>
    <x v="8"/>
    <x v="480"/>
    <n v="3042"/>
    <n v="2839"/>
    <s v="UPI"/>
    <x v="1"/>
    <x v="7"/>
    <x v="5"/>
    <x v="272"/>
    <n v="3.5"/>
  </r>
  <r>
    <s v="ELEC0500"/>
    <s v="Karan Rao"/>
    <x v="4"/>
    <n v="37"/>
    <x v="4"/>
    <s v="Routine Service"/>
    <x v="9"/>
    <x v="481"/>
    <n v="6231"/>
    <n v="2924"/>
    <s v="Debit Card"/>
    <x v="1"/>
    <x v="15"/>
    <x v="7"/>
    <x v="41"/>
    <n v="3.7"/>
  </r>
  <r>
    <s v="ELEC0501"/>
    <s v="Aarav Patel"/>
    <x v="5"/>
    <n v="28"/>
    <x v="4"/>
    <s v="Emergency Repair"/>
    <x v="8"/>
    <x v="482"/>
    <n v="1899"/>
    <n v="1356"/>
    <s v="Net Banking"/>
    <x v="2"/>
    <x v="8"/>
    <x v="9"/>
    <x v="273"/>
    <n v="3.7"/>
  </r>
  <r>
    <s v="ELEC0502"/>
    <s v="Rohan Singh"/>
    <x v="7"/>
    <n v="41"/>
    <x v="8"/>
    <s v="Power Failure"/>
    <x v="2"/>
    <x v="483"/>
    <n v="4864"/>
    <n v="2088"/>
    <s v="UPI"/>
    <x v="0"/>
    <x v="0"/>
    <x v="1"/>
    <x v="99"/>
    <n v="4.0999999999999996"/>
  </r>
  <r>
    <s v="ELEC0503"/>
    <s v="Nidhi Verma"/>
    <x v="5"/>
    <n v="45"/>
    <x v="9"/>
    <s v="Fuse Problem"/>
    <x v="1"/>
    <x v="484"/>
    <n v="6185"/>
    <n v="2620"/>
    <s v="Net Banking"/>
    <x v="2"/>
    <x v="0"/>
    <x v="9"/>
    <x v="124"/>
    <n v="4.4000000000000004"/>
  </r>
  <r>
    <s v="ELEC0504"/>
    <s v="Sneha Verma"/>
    <x v="7"/>
    <n v="57"/>
    <x v="5"/>
    <s v="Power Failure"/>
    <x v="6"/>
    <x v="485"/>
    <n v="5383"/>
    <n v="2096"/>
    <s v="Credit Card"/>
    <x v="0"/>
    <x v="1"/>
    <x v="5"/>
    <x v="69"/>
    <n v="4.0999999999999996"/>
  </r>
  <r>
    <s v="ELEC0505"/>
    <s v="Jay Patel"/>
    <x v="4"/>
    <n v="27"/>
    <x v="3"/>
    <s v="Routine Service"/>
    <x v="4"/>
    <x v="270"/>
    <n v="4549"/>
    <n v="2841"/>
    <s v="Net Banking"/>
    <x v="0"/>
    <x v="1"/>
    <x v="1"/>
    <x v="140"/>
    <n v="3.9"/>
  </r>
  <r>
    <s v="ELEC0506"/>
    <s v="Aarav Mistry"/>
    <x v="9"/>
    <n v="63"/>
    <x v="7"/>
    <s v="Emergency Repair"/>
    <x v="7"/>
    <x v="486"/>
    <n v="2887"/>
    <n v="1797"/>
    <s v="Credit Card"/>
    <x v="0"/>
    <x v="7"/>
    <x v="1"/>
    <x v="80"/>
    <n v="3.2"/>
  </r>
  <r>
    <s v="ELEC0507"/>
    <s v="Neha Trivedi"/>
    <x v="0"/>
    <n v="48"/>
    <x v="4"/>
    <s v="Power Failure"/>
    <x v="6"/>
    <x v="487"/>
    <n v="566"/>
    <n v="2704"/>
    <s v="Credit Card"/>
    <x v="2"/>
    <x v="6"/>
    <x v="2"/>
    <x v="242"/>
    <n v="1.2"/>
  </r>
  <r>
    <s v="ELEC0508"/>
    <s v="Vivaan Gupta"/>
    <x v="1"/>
    <n v="24"/>
    <x v="1"/>
    <s v="Equipment Upgrade"/>
    <x v="4"/>
    <x v="411"/>
    <n v="1398"/>
    <n v="1355"/>
    <s v="Net Banking"/>
    <x v="2"/>
    <x v="11"/>
    <x v="2"/>
    <x v="250"/>
    <n v="2.5"/>
  </r>
  <r>
    <s v="ELEC0509"/>
    <s v="Jay Pandya"/>
    <x v="3"/>
    <n v="45"/>
    <x v="2"/>
    <s v="Routine Service"/>
    <x v="5"/>
    <x v="488"/>
    <n v="4965"/>
    <n v="1065"/>
    <s v="Net Banking"/>
    <x v="0"/>
    <x v="7"/>
    <x v="10"/>
    <x v="212"/>
    <n v="3.4"/>
  </r>
  <r>
    <s v="ELEC0510"/>
    <s v="Jay Rao"/>
    <x v="3"/>
    <n v="47"/>
    <x v="7"/>
    <s v="Voltage Issue"/>
    <x v="9"/>
    <x v="489"/>
    <n v="1600"/>
    <n v="247"/>
    <s v="Debit Card"/>
    <x v="1"/>
    <x v="11"/>
    <x v="10"/>
    <x v="68"/>
    <n v="4.2"/>
  </r>
  <r>
    <s v="ELEC0511"/>
    <s v="Karan Patel"/>
    <x v="9"/>
    <n v="62"/>
    <x v="2"/>
    <s v="Emergency Repair"/>
    <x v="6"/>
    <x v="490"/>
    <n v="3987"/>
    <n v="2752"/>
    <s v="Debit Card"/>
    <x v="2"/>
    <x v="14"/>
    <x v="3"/>
    <x v="70"/>
    <n v="4.9000000000000004"/>
  </r>
  <r>
    <s v="ELEC0512"/>
    <s v="Jay Gupta"/>
    <x v="6"/>
    <n v="32"/>
    <x v="2"/>
    <s v="Electrical Inspection"/>
    <x v="3"/>
    <x v="491"/>
    <n v="5234"/>
    <n v="2240"/>
    <s v="Debit Card"/>
    <x v="2"/>
    <x v="12"/>
    <x v="6"/>
    <x v="75"/>
    <n v="4.5"/>
  </r>
  <r>
    <s v="ELEC0513"/>
    <s v="Nidhi Trivedi"/>
    <x v="3"/>
    <n v="23"/>
    <x v="1"/>
    <s v="Electrical Inspection"/>
    <x v="8"/>
    <x v="492"/>
    <n v="6274"/>
    <n v="1709"/>
    <s v="Net Banking"/>
    <x v="2"/>
    <x v="7"/>
    <x v="4"/>
    <x v="89"/>
    <n v="4.5999999999999996"/>
  </r>
  <r>
    <s v="ELEC0514"/>
    <s v="Pooja Desai"/>
    <x v="1"/>
    <n v="26"/>
    <x v="8"/>
    <s v="Electrical Inspection"/>
    <x v="0"/>
    <x v="493"/>
    <n v="2508"/>
    <n v="2135"/>
    <s v="Net Banking"/>
    <x v="1"/>
    <x v="9"/>
    <x v="4"/>
    <x v="6"/>
    <n v="3.4"/>
  </r>
  <r>
    <s v="ELEC0515"/>
    <s v="Riya Mehta"/>
    <x v="4"/>
    <n v="24"/>
    <x v="4"/>
    <s v="Equipment Upgrade"/>
    <x v="3"/>
    <x v="494"/>
    <n v="4340"/>
    <n v="2059"/>
    <s v="Debit Card"/>
    <x v="1"/>
    <x v="7"/>
    <x v="9"/>
    <x v="217"/>
    <n v="3.7"/>
  </r>
  <r>
    <s v="ELEC0516"/>
    <s v="Simran Mistry"/>
    <x v="0"/>
    <n v="39"/>
    <x v="7"/>
    <s v="Short Circuit"/>
    <x v="6"/>
    <x v="495"/>
    <n v="6639"/>
    <n v="1445"/>
    <s v="Debit Card"/>
    <x v="1"/>
    <x v="8"/>
    <x v="8"/>
    <x v="164"/>
    <n v="3.2"/>
  </r>
  <r>
    <s v="ELEC0517"/>
    <s v="Riya Verma"/>
    <x v="4"/>
    <n v="24"/>
    <x v="6"/>
    <s v="Electrical Inspection"/>
    <x v="3"/>
    <x v="496"/>
    <n v="2849"/>
    <n v="2185"/>
    <s v="Credit Card"/>
    <x v="1"/>
    <x v="14"/>
    <x v="4"/>
    <x v="92"/>
    <n v="4.4000000000000004"/>
  </r>
  <r>
    <s v="ELEC0518"/>
    <s v="Karan Trivedi"/>
    <x v="0"/>
    <n v="38"/>
    <x v="6"/>
    <s v="Short Circuit"/>
    <x v="0"/>
    <x v="497"/>
    <n v="5446"/>
    <n v="915"/>
    <s v="Debit Card"/>
    <x v="2"/>
    <x v="3"/>
    <x v="2"/>
    <x v="216"/>
    <n v="1.5"/>
  </r>
  <r>
    <s v="ELEC0519"/>
    <s v="Simran Mistry"/>
    <x v="9"/>
    <n v="37"/>
    <x v="0"/>
    <s v="Emergency Repair"/>
    <x v="9"/>
    <x v="498"/>
    <n v="4820"/>
    <n v="335"/>
    <s v="UPI"/>
    <x v="2"/>
    <x v="1"/>
    <x v="10"/>
    <x v="274"/>
    <n v="4.7"/>
  </r>
  <r>
    <s v="ELEC0520"/>
    <s v="Meera Mistry"/>
    <x v="8"/>
    <n v="45"/>
    <x v="0"/>
    <s v="Emergency Repair"/>
    <x v="9"/>
    <x v="499"/>
    <n v="2227"/>
    <n v="2566"/>
    <s v="Credit Card"/>
    <x v="2"/>
    <x v="5"/>
    <x v="0"/>
    <x v="212"/>
    <n v="4.3"/>
  </r>
  <r>
    <s v="ELEC0521"/>
    <s v="Rohan Sharma"/>
    <x v="9"/>
    <n v="50"/>
    <x v="2"/>
    <s v="Emergency Repair"/>
    <x v="2"/>
    <x v="500"/>
    <n v="4401"/>
    <n v="2381"/>
    <s v="Credit Card"/>
    <x v="2"/>
    <x v="9"/>
    <x v="3"/>
    <x v="275"/>
    <n v="4.8"/>
  </r>
  <r>
    <s v="ELEC0522"/>
    <s v="Karan Kapoor"/>
    <x v="8"/>
    <n v="21"/>
    <x v="6"/>
    <s v="Emergency Repair"/>
    <x v="5"/>
    <x v="501"/>
    <n v="6058"/>
    <n v="1493"/>
    <s v="Cash"/>
    <x v="0"/>
    <x v="3"/>
    <x v="2"/>
    <x v="98"/>
    <n v="1.4"/>
  </r>
  <r>
    <s v="ELEC0523"/>
    <s v="Nidhi Pandya"/>
    <x v="3"/>
    <n v="48"/>
    <x v="3"/>
    <s v="Voltage Issue"/>
    <x v="4"/>
    <x v="502"/>
    <n v="2714"/>
    <n v="1293"/>
    <s v="Debit Card"/>
    <x v="1"/>
    <x v="3"/>
    <x v="9"/>
    <x v="121"/>
    <n v="4.5"/>
  </r>
  <r>
    <s v="ELEC0524"/>
    <s v="Sneha Shah"/>
    <x v="4"/>
    <n v="33"/>
    <x v="8"/>
    <s v="Fuse Problem"/>
    <x v="9"/>
    <x v="84"/>
    <n v="3066"/>
    <n v="2443"/>
    <s v="Debit Card"/>
    <x v="1"/>
    <x v="11"/>
    <x v="4"/>
    <x v="276"/>
    <n v="3.3"/>
  </r>
  <r>
    <s v="ELEC0525"/>
    <s v="Rohan Kapoor"/>
    <x v="7"/>
    <n v="64"/>
    <x v="5"/>
    <s v="Fuse Problem"/>
    <x v="1"/>
    <x v="503"/>
    <n v="6441"/>
    <n v="1360"/>
    <s v="Cash"/>
    <x v="0"/>
    <x v="11"/>
    <x v="0"/>
    <x v="157"/>
    <n v="3.1"/>
  </r>
  <r>
    <s v="ELEC0526"/>
    <s v="Vivaan Trivedi"/>
    <x v="6"/>
    <n v="59"/>
    <x v="9"/>
    <s v="Power Failure"/>
    <x v="0"/>
    <x v="504"/>
    <n v="5453"/>
    <n v="732"/>
    <s v="Cash"/>
    <x v="1"/>
    <x v="13"/>
    <x v="9"/>
    <x v="225"/>
    <n v="4.4000000000000004"/>
  </r>
  <r>
    <s v="ELEC0527"/>
    <s v="Rahul Mehta"/>
    <x v="0"/>
    <n v="50"/>
    <x v="9"/>
    <s v="Emergency Repair"/>
    <x v="2"/>
    <x v="505"/>
    <n v="6802"/>
    <n v="1948"/>
    <s v="UPI"/>
    <x v="0"/>
    <x v="9"/>
    <x v="7"/>
    <x v="258"/>
    <n v="3.4"/>
  </r>
  <r>
    <s v="ELEC0528"/>
    <s v="Aditya Mehta"/>
    <x v="2"/>
    <n v="45"/>
    <x v="2"/>
    <s v="Fuse Problem"/>
    <x v="3"/>
    <x v="506"/>
    <n v="2615"/>
    <n v="1284"/>
    <s v="Net Banking"/>
    <x v="0"/>
    <x v="1"/>
    <x v="5"/>
    <x v="179"/>
    <n v="3.3"/>
  </r>
  <r>
    <s v="ELEC0529"/>
    <s v="Jay Verma"/>
    <x v="5"/>
    <n v="27"/>
    <x v="7"/>
    <s v="Equipment Upgrade"/>
    <x v="5"/>
    <x v="42"/>
    <n v="2289"/>
    <n v="2714"/>
    <s v="Cash"/>
    <x v="2"/>
    <x v="2"/>
    <x v="5"/>
    <x v="103"/>
    <n v="3.6"/>
  </r>
  <r>
    <s v="ELEC0530"/>
    <s v="Vivaan Patel"/>
    <x v="7"/>
    <n v="57"/>
    <x v="6"/>
    <s v="Emergency Repair"/>
    <x v="3"/>
    <x v="260"/>
    <n v="4577"/>
    <n v="809"/>
    <s v="Debit Card"/>
    <x v="2"/>
    <x v="11"/>
    <x v="0"/>
    <x v="164"/>
    <n v="3.5"/>
  </r>
  <r>
    <s v="ELEC0531"/>
    <s v="Pooja Verma"/>
    <x v="3"/>
    <n v="46"/>
    <x v="3"/>
    <s v="Short Circuit"/>
    <x v="7"/>
    <x v="507"/>
    <n v="6296"/>
    <n v="2209"/>
    <s v="UPI"/>
    <x v="2"/>
    <x v="0"/>
    <x v="4"/>
    <x v="75"/>
    <n v="3.4"/>
  </r>
  <r>
    <s v="ELEC0532"/>
    <s v="Aarav Singh"/>
    <x v="5"/>
    <n v="28"/>
    <x v="3"/>
    <s v="Equipment Upgrade"/>
    <x v="4"/>
    <x v="508"/>
    <n v="3231"/>
    <n v="2992"/>
    <s v="Net Banking"/>
    <x v="1"/>
    <x v="11"/>
    <x v="4"/>
    <x v="59"/>
    <n v="4.8"/>
  </r>
  <r>
    <s v="ELEC0533"/>
    <s v="Anjali Patel"/>
    <x v="5"/>
    <n v="39"/>
    <x v="0"/>
    <s v="New Connection"/>
    <x v="7"/>
    <x v="509"/>
    <n v="822"/>
    <n v="1773"/>
    <s v="Credit Card"/>
    <x v="0"/>
    <x v="3"/>
    <x v="3"/>
    <x v="277"/>
    <n v="3.4"/>
  </r>
  <r>
    <s v="ELEC0534"/>
    <s v="Meera Patel"/>
    <x v="5"/>
    <n v="33"/>
    <x v="7"/>
    <s v="Short Circuit"/>
    <x v="1"/>
    <x v="510"/>
    <n v="707"/>
    <n v="2628"/>
    <s v="Credit Card"/>
    <x v="0"/>
    <x v="0"/>
    <x v="4"/>
    <x v="177"/>
    <n v="3.6"/>
  </r>
  <r>
    <s v="ELEC0535"/>
    <s v="Meera Kapoor"/>
    <x v="5"/>
    <n v="22"/>
    <x v="1"/>
    <s v="Fuse Problem"/>
    <x v="3"/>
    <x v="511"/>
    <n v="3266"/>
    <n v="375"/>
    <s v="Net Banking"/>
    <x v="0"/>
    <x v="12"/>
    <x v="6"/>
    <x v="217"/>
    <n v="4.4000000000000004"/>
  </r>
  <r>
    <s v="ELEC0536"/>
    <s v="Karan Shah"/>
    <x v="4"/>
    <n v="35"/>
    <x v="9"/>
    <s v="Short Circuit"/>
    <x v="9"/>
    <x v="512"/>
    <n v="4505"/>
    <n v="2878"/>
    <s v="UPI"/>
    <x v="1"/>
    <x v="2"/>
    <x v="9"/>
    <x v="204"/>
    <n v="3.5"/>
  </r>
  <r>
    <s v="ELEC0537"/>
    <s v="Karan Sharma"/>
    <x v="9"/>
    <n v="61"/>
    <x v="1"/>
    <s v="Voltage Issue"/>
    <x v="0"/>
    <x v="513"/>
    <n v="4237"/>
    <n v="2703"/>
    <s v="Cash"/>
    <x v="2"/>
    <x v="8"/>
    <x v="4"/>
    <x v="278"/>
    <n v="4"/>
  </r>
  <r>
    <s v="ELEC0538"/>
    <s v="Meera Trivedi"/>
    <x v="4"/>
    <n v="35"/>
    <x v="9"/>
    <s v="Maintenance"/>
    <x v="5"/>
    <x v="514"/>
    <n v="3263"/>
    <n v="2978"/>
    <s v="UPI"/>
    <x v="0"/>
    <x v="1"/>
    <x v="9"/>
    <x v="125"/>
    <n v="4.2"/>
  </r>
  <r>
    <s v="ELEC0539"/>
    <s v="Anjali Rao"/>
    <x v="6"/>
    <n v="23"/>
    <x v="3"/>
    <s v="New Connection"/>
    <x v="4"/>
    <x v="515"/>
    <n v="1017"/>
    <n v="694"/>
    <s v="Credit Card"/>
    <x v="2"/>
    <x v="13"/>
    <x v="3"/>
    <x v="192"/>
    <n v="3.7"/>
  </r>
  <r>
    <s v="ELEC0540"/>
    <s v="Nidhi Verma"/>
    <x v="5"/>
    <n v="36"/>
    <x v="3"/>
    <s v="Short Circuit"/>
    <x v="9"/>
    <x v="516"/>
    <n v="1318"/>
    <n v="2789"/>
    <s v="Debit Card"/>
    <x v="2"/>
    <x v="13"/>
    <x v="10"/>
    <x v="12"/>
    <n v="4.3"/>
  </r>
  <r>
    <s v="ELEC0541"/>
    <s v="Aditya Sharma"/>
    <x v="2"/>
    <n v="32"/>
    <x v="9"/>
    <s v="Electrical Inspection"/>
    <x v="2"/>
    <x v="517"/>
    <n v="3909"/>
    <n v="2149"/>
    <s v="Credit Card"/>
    <x v="0"/>
    <x v="12"/>
    <x v="10"/>
    <x v="34"/>
    <n v="3.9"/>
  </r>
  <r>
    <s v="ELEC0542"/>
    <s v="Isha Desai"/>
    <x v="8"/>
    <n v="36"/>
    <x v="7"/>
    <s v="Electrical Inspection"/>
    <x v="3"/>
    <x v="518"/>
    <n v="5384"/>
    <n v="937"/>
    <s v="Credit Card"/>
    <x v="0"/>
    <x v="8"/>
    <x v="4"/>
    <x v="279"/>
    <n v="4.3"/>
  </r>
  <r>
    <s v="ELEC0543"/>
    <s v="Simran Singh"/>
    <x v="2"/>
    <n v="56"/>
    <x v="0"/>
    <s v="Maintenance"/>
    <x v="0"/>
    <x v="519"/>
    <n v="4843"/>
    <n v="591"/>
    <s v="UPI"/>
    <x v="0"/>
    <x v="15"/>
    <x v="6"/>
    <x v="225"/>
    <n v="4.7"/>
  </r>
  <r>
    <s v="ELEC0544"/>
    <s v="Krishna Mistry"/>
    <x v="6"/>
    <n v="38"/>
    <x v="1"/>
    <s v="Maintenance"/>
    <x v="0"/>
    <x v="520"/>
    <n v="1722"/>
    <n v="2143"/>
    <s v="Credit Card"/>
    <x v="2"/>
    <x v="6"/>
    <x v="0"/>
    <x v="54"/>
    <n v="3.1"/>
  </r>
  <r>
    <s v="ELEC0545"/>
    <s v="Neha Joshi"/>
    <x v="8"/>
    <n v="37"/>
    <x v="4"/>
    <s v="Electrical Inspection"/>
    <x v="8"/>
    <x v="521"/>
    <n v="854"/>
    <n v="627"/>
    <s v="UPI"/>
    <x v="0"/>
    <x v="2"/>
    <x v="6"/>
    <x v="0"/>
    <n v="4.7"/>
  </r>
  <r>
    <s v="ELEC0546"/>
    <s v="Aarav Desai"/>
    <x v="1"/>
    <n v="28"/>
    <x v="9"/>
    <s v="Maintenance"/>
    <x v="8"/>
    <x v="522"/>
    <n v="5355"/>
    <n v="2574"/>
    <s v="Cash"/>
    <x v="0"/>
    <x v="12"/>
    <x v="7"/>
    <x v="72"/>
    <n v="3.8"/>
  </r>
  <r>
    <s v="ELEC0547"/>
    <s v="Anjali Joshi"/>
    <x v="7"/>
    <n v="36"/>
    <x v="2"/>
    <s v="Maintenance"/>
    <x v="5"/>
    <x v="523"/>
    <n v="2307"/>
    <n v="501"/>
    <s v="UPI"/>
    <x v="0"/>
    <x v="7"/>
    <x v="0"/>
    <x v="101"/>
    <n v="4.0999999999999996"/>
  </r>
  <r>
    <s v="ELEC0548"/>
    <s v="Priya Chauhan"/>
    <x v="4"/>
    <n v="50"/>
    <x v="7"/>
    <s v="Routine Service"/>
    <x v="4"/>
    <x v="524"/>
    <n v="1617"/>
    <n v="2074"/>
    <s v="UPI"/>
    <x v="2"/>
    <x v="9"/>
    <x v="7"/>
    <x v="210"/>
    <n v="3.4"/>
  </r>
  <r>
    <s v="ELEC0549"/>
    <s v="Anjali Verma"/>
    <x v="2"/>
    <n v="65"/>
    <x v="3"/>
    <s v="Short Circuit"/>
    <x v="2"/>
    <x v="525"/>
    <n v="1618"/>
    <n v="655"/>
    <s v="UPI"/>
    <x v="0"/>
    <x v="6"/>
    <x v="2"/>
    <x v="24"/>
    <n v="2.4"/>
  </r>
  <r>
    <s v="ELEC0550"/>
    <s v="Anjali Joshi"/>
    <x v="0"/>
    <n v="59"/>
    <x v="7"/>
    <s v="Electrical Inspection"/>
    <x v="9"/>
    <x v="526"/>
    <n v="5235"/>
    <n v="2464"/>
    <s v="Net Banking"/>
    <x v="1"/>
    <x v="10"/>
    <x v="2"/>
    <x v="184"/>
    <n v="1.7"/>
  </r>
  <r>
    <s v="ELEC0551"/>
    <s v="Meera Rao"/>
    <x v="6"/>
    <n v="58"/>
    <x v="5"/>
    <s v="Emergency Repair"/>
    <x v="2"/>
    <x v="527"/>
    <n v="618"/>
    <n v="1953"/>
    <s v="Debit Card"/>
    <x v="0"/>
    <x v="12"/>
    <x v="1"/>
    <x v="248"/>
    <n v="4.5999999999999996"/>
  </r>
  <r>
    <s v="ELEC0552"/>
    <s v="Riya Joshi"/>
    <x v="4"/>
    <n v="30"/>
    <x v="3"/>
    <s v="Short Circuit"/>
    <x v="5"/>
    <x v="528"/>
    <n v="862"/>
    <n v="364"/>
    <s v="Cash"/>
    <x v="2"/>
    <x v="3"/>
    <x v="2"/>
    <x v="280"/>
    <n v="2.6"/>
  </r>
  <r>
    <s v="ELEC0553"/>
    <s v="Yash Kapoor"/>
    <x v="8"/>
    <n v="51"/>
    <x v="9"/>
    <s v="Emergency Repair"/>
    <x v="8"/>
    <x v="529"/>
    <n v="2470"/>
    <n v="540"/>
    <s v="UPI"/>
    <x v="1"/>
    <x v="11"/>
    <x v="3"/>
    <x v="99"/>
    <n v="3.4"/>
  </r>
  <r>
    <s v="ELEC0554"/>
    <s v="Simran Mehta"/>
    <x v="6"/>
    <n v="62"/>
    <x v="9"/>
    <s v="Short Circuit"/>
    <x v="8"/>
    <x v="530"/>
    <n v="5980"/>
    <n v="1448"/>
    <s v="Cash"/>
    <x v="2"/>
    <x v="7"/>
    <x v="9"/>
    <x v="266"/>
    <n v="4.4000000000000004"/>
  </r>
  <r>
    <s v="ELEC0555"/>
    <s v="Krishna Desai"/>
    <x v="9"/>
    <n v="46"/>
    <x v="7"/>
    <s v="Fuse Problem"/>
    <x v="8"/>
    <x v="531"/>
    <n v="6266"/>
    <n v="2794"/>
    <s v="Credit Card"/>
    <x v="1"/>
    <x v="9"/>
    <x v="4"/>
    <x v="97"/>
    <n v="4"/>
  </r>
  <r>
    <s v="ELEC0556"/>
    <s v="Isha Sharma"/>
    <x v="0"/>
    <n v="48"/>
    <x v="6"/>
    <s v="Electrical Inspection"/>
    <x v="7"/>
    <x v="532"/>
    <n v="5212"/>
    <n v="1048"/>
    <s v="Cash"/>
    <x v="1"/>
    <x v="1"/>
    <x v="9"/>
    <x v="39"/>
    <n v="4.7"/>
  </r>
  <r>
    <s v="ELEC0557"/>
    <s v="Isha Chauhan"/>
    <x v="3"/>
    <n v="24"/>
    <x v="9"/>
    <s v="Routine Service"/>
    <x v="4"/>
    <x v="533"/>
    <n v="4312"/>
    <n v="2735"/>
    <s v="Net Banking"/>
    <x v="0"/>
    <x v="5"/>
    <x v="10"/>
    <x v="222"/>
    <n v="4.5999999999999996"/>
  </r>
  <r>
    <s v="ELEC0558"/>
    <s v="Aditya Kapoor"/>
    <x v="6"/>
    <n v="29"/>
    <x v="4"/>
    <s v="Maintenance"/>
    <x v="7"/>
    <x v="534"/>
    <n v="1430"/>
    <n v="2858"/>
    <s v="UPI"/>
    <x v="0"/>
    <x v="13"/>
    <x v="9"/>
    <x v="96"/>
    <n v="3.2"/>
  </r>
  <r>
    <s v="ELEC0559"/>
    <s v="Sneha Gupta"/>
    <x v="3"/>
    <n v="38"/>
    <x v="8"/>
    <s v="Routine Service"/>
    <x v="2"/>
    <x v="535"/>
    <n v="946"/>
    <n v="459"/>
    <s v="Net Banking"/>
    <x v="2"/>
    <x v="7"/>
    <x v="5"/>
    <x v="103"/>
    <n v="4.5"/>
  </r>
  <r>
    <s v="ELEC0560"/>
    <s v="Rohan Desai"/>
    <x v="1"/>
    <n v="64"/>
    <x v="8"/>
    <s v="Voltage Issue"/>
    <x v="8"/>
    <x v="536"/>
    <n v="5586"/>
    <n v="1707"/>
    <s v="Debit Card"/>
    <x v="0"/>
    <x v="4"/>
    <x v="4"/>
    <x v="195"/>
    <n v="3.5"/>
  </r>
  <r>
    <s v="ELEC0561"/>
    <s v="Aditya Patel"/>
    <x v="8"/>
    <n v="32"/>
    <x v="6"/>
    <s v="Power Failure"/>
    <x v="0"/>
    <x v="537"/>
    <n v="1849"/>
    <n v="1330"/>
    <s v="UPI"/>
    <x v="1"/>
    <x v="6"/>
    <x v="5"/>
    <x v="35"/>
    <n v="3.9"/>
  </r>
  <r>
    <s v="ELEC0562"/>
    <s v="Isha Pandya"/>
    <x v="2"/>
    <n v="39"/>
    <x v="2"/>
    <s v="Equipment Upgrade"/>
    <x v="9"/>
    <x v="538"/>
    <n v="4382"/>
    <n v="1620"/>
    <s v="UPI"/>
    <x v="1"/>
    <x v="4"/>
    <x v="0"/>
    <x v="281"/>
    <n v="3.1"/>
  </r>
  <r>
    <s v="ELEC0563"/>
    <s v="Aditya Sharma"/>
    <x v="6"/>
    <n v="54"/>
    <x v="4"/>
    <s v="Routine Service"/>
    <x v="6"/>
    <x v="539"/>
    <n v="3308"/>
    <n v="2885"/>
    <s v="Net Banking"/>
    <x v="0"/>
    <x v="5"/>
    <x v="5"/>
    <x v="18"/>
    <n v="3.2"/>
  </r>
  <r>
    <s v="ELEC0564"/>
    <s v="Nidhi Desai"/>
    <x v="5"/>
    <n v="40"/>
    <x v="3"/>
    <s v="New Connection"/>
    <x v="2"/>
    <x v="540"/>
    <n v="1906"/>
    <n v="1264"/>
    <s v="UPI"/>
    <x v="2"/>
    <x v="5"/>
    <x v="8"/>
    <x v="246"/>
    <n v="4.3"/>
  </r>
  <r>
    <s v="ELEC0565"/>
    <s v="Simran Mehta"/>
    <x v="5"/>
    <n v="31"/>
    <x v="3"/>
    <s v="New Connection"/>
    <x v="7"/>
    <x v="541"/>
    <n v="2836"/>
    <n v="946"/>
    <s v="UPI"/>
    <x v="2"/>
    <x v="3"/>
    <x v="2"/>
    <x v="60"/>
    <n v="1.4"/>
  </r>
  <r>
    <s v="ELEC0566"/>
    <s v="Rahul Joshi"/>
    <x v="7"/>
    <n v="23"/>
    <x v="4"/>
    <s v="Electrical Inspection"/>
    <x v="9"/>
    <x v="542"/>
    <n v="4111"/>
    <n v="1266"/>
    <s v="Cash"/>
    <x v="2"/>
    <x v="12"/>
    <x v="6"/>
    <x v="4"/>
    <n v="3.3"/>
  </r>
  <r>
    <s v="ELEC0567"/>
    <s v="Anjali Gupta"/>
    <x v="9"/>
    <n v="44"/>
    <x v="5"/>
    <s v="Equipment Upgrade"/>
    <x v="9"/>
    <x v="543"/>
    <n v="4871"/>
    <n v="1435"/>
    <s v="UPI"/>
    <x v="2"/>
    <x v="11"/>
    <x v="3"/>
    <x v="189"/>
    <n v="4.2"/>
  </r>
  <r>
    <s v="ELEC0568"/>
    <s v="Krishna Chauhan"/>
    <x v="3"/>
    <n v="30"/>
    <x v="1"/>
    <s v="Equipment Upgrade"/>
    <x v="7"/>
    <x v="544"/>
    <n v="3213"/>
    <n v="2851"/>
    <s v="UPI"/>
    <x v="1"/>
    <x v="7"/>
    <x v="8"/>
    <x v="282"/>
    <n v="3.7"/>
  </r>
  <r>
    <s v="ELEC0569"/>
    <s v="Riya Shah"/>
    <x v="5"/>
    <n v="42"/>
    <x v="9"/>
    <s v="Emergency Repair"/>
    <x v="3"/>
    <x v="545"/>
    <n v="1642"/>
    <n v="2977"/>
    <s v="Net Banking"/>
    <x v="2"/>
    <x v="3"/>
    <x v="0"/>
    <x v="209"/>
    <n v="3.8"/>
  </r>
  <r>
    <s v="ELEC0570"/>
    <s v="Sneha Desai"/>
    <x v="3"/>
    <n v="26"/>
    <x v="4"/>
    <s v="Short Circuit"/>
    <x v="6"/>
    <x v="546"/>
    <n v="5753"/>
    <n v="999"/>
    <s v="Cash"/>
    <x v="2"/>
    <x v="12"/>
    <x v="8"/>
    <x v="283"/>
    <n v="4.2"/>
  </r>
  <r>
    <s v="ELEC0571"/>
    <s v="Aditya Kapoor"/>
    <x v="5"/>
    <n v="64"/>
    <x v="9"/>
    <s v="Equipment Upgrade"/>
    <x v="5"/>
    <x v="547"/>
    <n v="2092"/>
    <n v="2208"/>
    <s v="Credit Card"/>
    <x v="1"/>
    <x v="8"/>
    <x v="6"/>
    <x v="43"/>
    <n v="3.1"/>
  </r>
  <r>
    <s v="ELEC0572"/>
    <s v="Jay Verma"/>
    <x v="8"/>
    <n v="44"/>
    <x v="2"/>
    <s v="Fuse Problem"/>
    <x v="3"/>
    <x v="192"/>
    <n v="2831"/>
    <n v="1612"/>
    <s v="UPI"/>
    <x v="2"/>
    <x v="7"/>
    <x v="6"/>
    <x v="233"/>
    <n v="4.4000000000000004"/>
  </r>
  <r>
    <s v="ELEC0573"/>
    <s v="Krishna Shah"/>
    <x v="8"/>
    <n v="49"/>
    <x v="6"/>
    <s v="New Connection"/>
    <x v="5"/>
    <x v="548"/>
    <n v="6468"/>
    <n v="1896"/>
    <s v="UPI"/>
    <x v="2"/>
    <x v="8"/>
    <x v="9"/>
    <x v="261"/>
    <n v="4.3"/>
  </r>
  <r>
    <s v="ELEC0574"/>
    <s v="Priya Mehta"/>
    <x v="5"/>
    <n v="54"/>
    <x v="4"/>
    <s v="Power Failure"/>
    <x v="6"/>
    <x v="549"/>
    <n v="6694"/>
    <n v="1739"/>
    <s v="UPI"/>
    <x v="1"/>
    <x v="0"/>
    <x v="8"/>
    <x v="213"/>
    <n v="4.7"/>
  </r>
  <r>
    <s v="ELEC0575"/>
    <s v="Nidhi Desai"/>
    <x v="4"/>
    <n v="29"/>
    <x v="0"/>
    <s v="New Connection"/>
    <x v="5"/>
    <x v="550"/>
    <n v="2871"/>
    <n v="2468"/>
    <s v="Credit Card"/>
    <x v="0"/>
    <x v="15"/>
    <x v="8"/>
    <x v="170"/>
    <n v="3"/>
  </r>
  <r>
    <s v="ELEC0576"/>
    <s v="Meera Kapoor"/>
    <x v="5"/>
    <n v="35"/>
    <x v="1"/>
    <s v="Short Circuit"/>
    <x v="9"/>
    <x v="551"/>
    <n v="2651"/>
    <n v="1429"/>
    <s v="Cash"/>
    <x v="2"/>
    <x v="3"/>
    <x v="2"/>
    <x v="214"/>
    <n v="1.8"/>
  </r>
  <r>
    <s v="ELEC0577"/>
    <s v="Neha Singh"/>
    <x v="9"/>
    <n v="52"/>
    <x v="0"/>
    <s v="Short Circuit"/>
    <x v="0"/>
    <x v="552"/>
    <n v="6764"/>
    <n v="1335"/>
    <s v="Net Banking"/>
    <x v="2"/>
    <x v="1"/>
    <x v="9"/>
    <x v="212"/>
    <n v="3.7"/>
  </r>
  <r>
    <s v="ELEC0578"/>
    <s v="Meera Trivedi"/>
    <x v="8"/>
    <n v="37"/>
    <x v="5"/>
    <s v="Power Failure"/>
    <x v="4"/>
    <x v="553"/>
    <n v="4698"/>
    <n v="2556"/>
    <s v="Cash"/>
    <x v="1"/>
    <x v="3"/>
    <x v="10"/>
    <x v="62"/>
    <n v="4.3"/>
  </r>
  <r>
    <s v="ELEC0579"/>
    <s v="Karan Gupta"/>
    <x v="5"/>
    <n v="65"/>
    <x v="7"/>
    <s v="Fuse Problem"/>
    <x v="9"/>
    <x v="554"/>
    <n v="933"/>
    <n v="1316"/>
    <s v="Credit Card"/>
    <x v="2"/>
    <x v="9"/>
    <x v="7"/>
    <x v="284"/>
    <n v="3.2"/>
  </r>
  <r>
    <s v="ELEC0580"/>
    <s v="Neha Kapoor"/>
    <x v="7"/>
    <n v="53"/>
    <x v="0"/>
    <s v="New Connection"/>
    <x v="0"/>
    <x v="555"/>
    <n v="5405"/>
    <n v="884"/>
    <s v="Credit Card"/>
    <x v="1"/>
    <x v="15"/>
    <x v="7"/>
    <x v="285"/>
    <n v="4.8"/>
  </r>
  <r>
    <s v="ELEC0581"/>
    <s v="Pooja Pandya"/>
    <x v="3"/>
    <n v="27"/>
    <x v="8"/>
    <s v="Electrical Inspection"/>
    <x v="4"/>
    <x v="556"/>
    <n v="1677"/>
    <n v="252"/>
    <s v="Debit Card"/>
    <x v="1"/>
    <x v="3"/>
    <x v="7"/>
    <x v="286"/>
    <n v="3.6"/>
  </r>
  <r>
    <s v="ELEC0582"/>
    <s v="Anjali Chauhan"/>
    <x v="9"/>
    <n v="27"/>
    <x v="0"/>
    <s v="New Connection"/>
    <x v="7"/>
    <x v="557"/>
    <n v="2311"/>
    <n v="971"/>
    <s v="Net Banking"/>
    <x v="0"/>
    <x v="14"/>
    <x v="9"/>
    <x v="165"/>
    <n v="3.9"/>
  </r>
  <r>
    <s v="ELEC0583"/>
    <s v="Nidhi Shah"/>
    <x v="1"/>
    <n v="65"/>
    <x v="9"/>
    <s v="Routine Service"/>
    <x v="8"/>
    <x v="558"/>
    <n v="1125"/>
    <n v="677"/>
    <s v="Credit Card"/>
    <x v="0"/>
    <x v="2"/>
    <x v="0"/>
    <x v="209"/>
    <n v="3.4"/>
  </r>
  <r>
    <s v="ELEC0584"/>
    <s v="Neha Shah"/>
    <x v="3"/>
    <n v="29"/>
    <x v="5"/>
    <s v="Electrical Inspection"/>
    <x v="7"/>
    <x v="559"/>
    <n v="6755"/>
    <n v="1601"/>
    <s v="UPI"/>
    <x v="1"/>
    <x v="3"/>
    <x v="0"/>
    <x v="287"/>
    <n v="3"/>
  </r>
  <r>
    <s v="ELEC0585"/>
    <s v="Karan Rao"/>
    <x v="9"/>
    <n v="65"/>
    <x v="0"/>
    <s v="Voltage Issue"/>
    <x v="9"/>
    <x v="560"/>
    <n v="2219"/>
    <n v="733"/>
    <s v="Cash"/>
    <x v="0"/>
    <x v="6"/>
    <x v="2"/>
    <x v="288"/>
    <n v="2.6"/>
  </r>
  <r>
    <s v="ELEC0586"/>
    <s v="Aditya Sharma"/>
    <x v="5"/>
    <n v="48"/>
    <x v="1"/>
    <s v="Maintenance"/>
    <x v="0"/>
    <x v="561"/>
    <n v="768"/>
    <n v="2902"/>
    <s v="Credit Card"/>
    <x v="2"/>
    <x v="11"/>
    <x v="5"/>
    <x v="181"/>
    <n v="3.9"/>
  </r>
  <r>
    <s v="ELEC0587"/>
    <s v="Vivaan Patel"/>
    <x v="0"/>
    <n v="63"/>
    <x v="1"/>
    <s v="Power Failure"/>
    <x v="0"/>
    <x v="562"/>
    <n v="5429"/>
    <n v="1041"/>
    <s v="Credit Card"/>
    <x v="0"/>
    <x v="12"/>
    <x v="10"/>
    <x v="74"/>
    <n v="4.2"/>
  </r>
  <r>
    <s v="ELEC0588"/>
    <s v="Aarav Patel"/>
    <x v="9"/>
    <n v="38"/>
    <x v="3"/>
    <s v="Fuse Problem"/>
    <x v="4"/>
    <x v="90"/>
    <n v="1815"/>
    <n v="2250"/>
    <s v="Net Banking"/>
    <x v="2"/>
    <x v="8"/>
    <x v="1"/>
    <x v="78"/>
    <n v="3.9"/>
  </r>
  <r>
    <s v="ELEC0589"/>
    <s v="Aditya Patel"/>
    <x v="4"/>
    <n v="21"/>
    <x v="8"/>
    <s v="Maintenance"/>
    <x v="1"/>
    <x v="563"/>
    <n v="2808"/>
    <n v="903"/>
    <s v="Cash"/>
    <x v="2"/>
    <x v="12"/>
    <x v="2"/>
    <x v="273"/>
    <n v="1.8"/>
  </r>
  <r>
    <s v="ELEC0590"/>
    <s v="Priya Chauhan"/>
    <x v="1"/>
    <n v="51"/>
    <x v="4"/>
    <s v="Electrical Inspection"/>
    <x v="9"/>
    <x v="432"/>
    <n v="4101"/>
    <n v="2958"/>
    <s v="Debit Card"/>
    <x v="1"/>
    <x v="11"/>
    <x v="2"/>
    <x v="64"/>
    <n v="2.7"/>
  </r>
  <r>
    <s v="ELEC0591"/>
    <s v="Yash Joshi"/>
    <x v="1"/>
    <n v="35"/>
    <x v="2"/>
    <s v="Power Failure"/>
    <x v="4"/>
    <x v="564"/>
    <n v="1512"/>
    <n v="2108"/>
    <s v="Credit Card"/>
    <x v="2"/>
    <x v="6"/>
    <x v="5"/>
    <x v="238"/>
    <n v="3.5"/>
  </r>
  <r>
    <s v="ELEC0592"/>
    <s v="Nidhi Shah"/>
    <x v="2"/>
    <n v="26"/>
    <x v="4"/>
    <s v="Emergency Repair"/>
    <x v="0"/>
    <x v="565"/>
    <n v="3652"/>
    <n v="1361"/>
    <s v="Debit Card"/>
    <x v="1"/>
    <x v="4"/>
    <x v="8"/>
    <x v="73"/>
    <n v="3.7"/>
  </r>
  <r>
    <s v="ELEC0593"/>
    <s v="Sneha Kapoor"/>
    <x v="8"/>
    <n v="39"/>
    <x v="2"/>
    <s v="Maintenance"/>
    <x v="0"/>
    <x v="566"/>
    <n v="4396"/>
    <n v="2981"/>
    <s v="Cash"/>
    <x v="1"/>
    <x v="11"/>
    <x v="5"/>
    <x v="142"/>
    <n v="3.7"/>
  </r>
  <r>
    <s v="ELEC0594"/>
    <s v="Jay Desai"/>
    <x v="1"/>
    <n v="63"/>
    <x v="9"/>
    <s v="Power Failure"/>
    <x v="9"/>
    <x v="287"/>
    <n v="3734"/>
    <n v="1840"/>
    <s v="Credit Card"/>
    <x v="2"/>
    <x v="1"/>
    <x v="10"/>
    <x v="226"/>
    <n v="4.4000000000000004"/>
  </r>
  <r>
    <s v="ELEC0595"/>
    <s v="Priya Gupta"/>
    <x v="6"/>
    <n v="59"/>
    <x v="2"/>
    <s v="Power Failure"/>
    <x v="1"/>
    <x v="508"/>
    <n v="3979"/>
    <n v="2244"/>
    <s v="Credit Card"/>
    <x v="0"/>
    <x v="4"/>
    <x v="9"/>
    <x v="108"/>
    <n v="3.6"/>
  </r>
  <r>
    <s v="ELEC0596"/>
    <s v="Jay Gupta"/>
    <x v="5"/>
    <n v="63"/>
    <x v="3"/>
    <s v="Routine Service"/>
    <x v="8"/>
    <x v="567"/>
    <n v="4689"/>
    <n v="1342"/>
    <s v="Credit Card"/>
    <x v="2"/>
    <x v="7"/>
    <x v="4"/>
    <x v="257"/>
    <n v="4.9000000000000004"/>
  </r>
  <r>
    <s v="ELEC0597"/>
    <s v="Meera Desai"/>
    <x v="6"/>
    <n v="61"/>
    <x v="7"/>
    <s v="Short Circuit"/>
    <x v="0"/>
    <x v="568"/>
    <n v="6544"/>
    <n v="416"/>
    <s v="Debit Card"/>
    <x v="2"/>
    <x v="7"/>
    <x v="0"/>
    <x v="289"/>
    <n v="4.8"/>
  </r>
  <r>
    <s v="ELEC0598"/>
    <s v="Amit Pandya"/>
    <x v="3"/>
    <n v="30"/>
    <x v="6"/>
    <s v="Electrical Inspection"/>
    <x v="6"/>
    <x v="558"/>
    <n v="1289"/>
    <n v="513"/>
    <s v="UPI"/>
    <x v="2"/>
    <x v="14"/>
    <x v="5"/>
    <x v="175"/>
    <n v="4.5"/>
  </r>
  <r>
    <s v="ELEC0599"/>
    <s v="Neha Pandya"/>
    <x v="5"/>
    <n v="52"/>
    <x v="8"/>
    <s v="Voltage Issue"/>
    <x v="7"/>
    <x v="569"/>
    <n v="3314"/>
    <n v="2414"/>
    <s v="Cash"/>
    <x v="0"/>
    <x v="13"/>
    <x v="0"/>
    <x v="290"/>
    <n v="4.8"/>
  </r>
  <r>
    <s v="ELEC0600"/>
    <s v="Jay Desai"/>
    <x v="3"/>
    <n v="45"/>
    <x v="5"/>
    <s v="Emergency Repair"/>
    <x v="3"/>
    <x v="570"/>
    <n v="769"/>
    <n v="924"/>
    <s v="UPI"/>
    <x v="2"/>
    <x v="15"/>
    <x v="8"/>
    <x v="291"/>
    <n v="4"/>
  </r>
  <r>
    <s v="ELEC0601"/>
    <s v="Meera Singh"/>
    <x v="9"/>
    <n v="40"/>
    <x v="2"/>
    <s v="Emergency Repair"/>
    <x v="0"/>
    <x v="571"/>
    <n v="5160"/>
    <n v="2964"/>
    <s v="Debit Card"/>
    <x v="0"/>
    <x v="14"/>
    <x v="6"/>
    <x v="292"/>
    <n v="3.8"/>
  </r>
  <r>
    <s v="ELEC0602"/>
    <s v="Meera Kapoor"/>
    <x v="9"/>
    <n v="53"/>
    <x v="1"/>
    <s v="Routine Service"/>
    <x v="2"/>
    <x v="572"/>
    <n v="4552"/>
    <n v="2620"/>
    <s v="Credit Card"/>
    <x v="0"/>
    <x v="12"/>
    <x v="2"/>
    <x v="293"/>
    <n v="2.5"/>
  </r>
  <r>
    <s v="ELEC0603"/>
    <s v="Neha Gupta"/>
    <x v="2"/>
    <n v="22"/>
    <x v="3"/>
    <s v="Short Circuit"/>
    <x v="9"/>
    <x v="573"/>
    <n v="3501"/>
    <n v="1628"/>
    <s v="Credit Card"/>
    <x v="1"/>
    <x v="8"/>
    <x v="0"/>
    <x v="119"/>
    <n v="4.9000000000000004"/>
  </r>
  <r>
    <s v="ELEC0604"/>
    <s v="Jay Patel"/>
    <x v="8"/>
    <n v="43"/>
    <x v="4"/>
    <s v="Routine Service"/>
    <x v="4"/>
    <x v="574"/>
    <n v="962"/>
    <n v="2908"/>
    <s v="Cash"/>
    <x v="0"/>
    <x v="12"/>
    <x v="8"/>
    <x v="101"/>
    <n v="3.8"/>
  </r>
  <r>
    <s v="ELEC0605"/>
    <s v="Aditya Rao"/>
    <x v="0"/>
    <n v="28"/>
    <x v="4"/>
    <s v="New Connection"/>
    <x v="3"/>
    <x v="575"/>
    <n v="4910"/>
    <n v="1535"/>
    <s v="Net Banking"/>
    <x v="0"/>
    <x v="9"/>
    <x v="3"/>
    <x v="223"/>
    <n v="3.1"/>
  </r>
  <r>
    <s v="ELEC0606"/>
    <s v="Yash Mehta"/>
    <x v="2"/>
    <n v="65"/>
    <x v="5"/>
    <s v="Electrical Inspection"/>
    <x v="3"/>
    <x v="576"/>
    <n v="3092"/>
    <n v="1747"/>
    <s v="Debit Card"/>
    <x v="1"/>
    <x v="5"/>
    <x v="9"/>
    <x v="10"/>
    <n v="4"/>
  </r>
  <r>
    <s v="ELEC0607"/>
    <s v="Rohan Shah"/>
    <x v="6"/>
    <n v="42"/>
    <x v="5"/>
    <s v="Equipment Upgrade"/>
    <x v="4"/>
    <x v="360"/>
    <n v="1865"/>
    <n v="2718"/>
    <s v="Cash"/>
    <x v="0"/>
    <x v="0"/>
    <x v="1"/>
    <x v="221"/>
    <n v="4.8"/>
  </r>
  <r>
    <s v="ELEC0608"/>
    <s v="Nidhi Joshi"/>
    <x v="0"/>
    <n v="37"/>
    <x v="1"/>
    <s v="Voltage Issue"/>
    <x v="6"/>
    <x v="577"/>
    <n v="3793"/>
    <n v="1125"/>
    <s v="Net Banking"/>
    <x v="2"/>
    <x v="1"/>
    <x v="9"/>
    <x v="223"/>
    <n v="4.8"/>
  </r>
  <r>
    <s v="ELEC0609"/>
    <s v="Anjali Mehta"/>
    <x v="7"/>
    <n v="57"/>
    <x v="8"/>
    <s v="Emergency Repair"/>
    <x v="5"/>
    <x v="578"/>
    <n v="2218"/>
    <n v="1622"/>
    <s v="Credit Card"/>
    <x v="2"/>
    <x v="9"/>
    <x v="8"/>
    <x v="235"/>
    <n v="4.9000000000000004"/>
  </r>
  <r>
    <s v="ELEC0610"/>
    <s v="Yash Pandya"/>
    <x v="1"/>
    <n v="41"/>
    <x v="0"/>
    <s v="Routine Service"/>
    <x v="5"/>
    <x v="579"/>
    <n v="2558"/>
    <n v="2759"/>
    <s v="Cash"/>
    <x v="0"/>
    <x v="9"/>
    <x v="6"/>
    <x v="89"/>
    <n v="4.9000000000000004"/>
  </r>
  <r>
    <s v="ELEC0611"/>
    <s v="Isha Rao"/>
    <x v="9"/>
    <n v="57"/>
    <x v="5"/>
    <s v="Maintenance"/>
    <x v="8"/>
    <x v="580"/>
    <n v="2694"/>
    <n v="2812"/>
    <s v="Cash"/>
    <x v="2"/>
    <x v="8"/>
    <x v="3"/>
    <x v="75"/>
    <n v="3.4"/>
  </r>
  <r>
    <s v="ELEC0612"/>
    <s v="Isha Joshi"/>
    <x v="3"/>
    <n v="50"/>
    <x v="7"/>
    <s v="Maintenance"/>
    <x v="9"/>
    <x v="581"/>
    <n v="6614"/>
    <n v="1429"/>
    <s v="UPI"/>
    <x v="0"/>
    <x v="0"/>
    <x v="7"/>
    <x v="247"/>
    <n v="4.9000000000000004"/>
  </r>
  <r>
    <s v="ELEC0613"/>
    <s v="Yash Mehta"/>
    <x v="0"/>
    <n v="62"/>
    <x v="7"/>
    <s v="Voltage Issue"/>
    <x v="6"/>
    <x v="582"/>
    <n v="2434"/>
    <n v="1862"/>
    <s v="UPI"/>
    <x v="2"/>
    <x v="6"/>
    <x v="1"/>
    <x v="83"/>
    <n v="4.5"/>
  </r>
  <r>
    <s v="ELEC0614"/>
    <s v="Neha Desai"/>
    <x v="5"/>
    <n v="56"/>
    <x v="2"/>
    <s v="Routine Service"/>
    <x v="3"/>
    <x v="583"/>
    <n v="2154"/>
    <n v="852"/>
    <s v="Net Banking"/>
    <x v="1"/>
    <x v="11"/>
    <x v="8"/>
    <x v="39"/>
    <n v="3.3"/>
  </r>
  <r>
    <s v="ELEC0615"/>
    <s v="Rahul Pandya"/>
    <x v="2"/>
    <n v="52"/>
    <x v="1"/>
    <s v="Short Circuit"/>
    <x v="0"/>
    <x v="584"/>
    <n v="3071"/>
    <n v="2664"/>
    <s v="Cash"/>
    <x v="2"/>
    <x v="1"/>
    <x v="3"/>
    <x v="128"/>
    <n v="3.7"/>
  </r>
  <r>
    <s v="ELEC0616"/>
    <s v="Jay Rao"/>
    <x v="9"/>
    <n v="36"/>
    <x v="9"/>
    <s v="Electrical Inspection"/>
    <x v="7"/>
    <x v="585"/>
    <n v="1488"/>
    <n v="2337"/>
    <s v="Debit Card"/>
    <x v="0"/>
    <x v="8"/>
    <x v="6"/>
    <x v="244"/>
    <n v="4.9000000000000004"/>
  </r>
  <r>
    <s v="ELEC0617"/>
    <s v="Aditya Joshi"/>
    <x v="4"/>
    <n v="28"/>
    <x v="4"/>
    <s v="Fuse Problem"/>
    <x v="6"/>
    <x v="586"/>
    <n v="6539"/>
    <n v="1797"/>
    <s v="UPI"/>
    <x v="2"/>
    <x v="4"/>
    <x v="1"/>
    <x v="29"/>
    <n v="4.9000000000000004"/>
  </r>
  <r>
    <s v="ELEC0618"/>
    <s v="Karan Patel"/>
    <x v="9"/>
    <n v="34"/>
    <x v="6"/>
    <s v="Emergency Repair"/>
    <x v="5"/>
    <x v="587"/>
    <n v="2583"/>
    <n v="2614"/>
    <s v="Cash"/>
    <x v="1"/>
    <x v="14"/>
    <x v="7"/>
    <x v="83"/>
    <n v="3.6"/>
  </r>
  <r>
    <s v="ELEC0619"/>
    <s v="Anjali Kapoor"/>
    <x v="8"/>
    <n v="51"/>
    <x v="0"/>
    <s v="Voltage Issue"/>
    <x v="9"/>
    <x v="588"/>
    <n v="3473"/>
    <n v="2146"/>
    <s v="Net Banking"/>
    <x v="0"/>
    <x v="15"/>
    <x v="8"/>
    <x v="240"/>
    <n v="4.5"/>
  </r>
  <r>
    <s v="ELEC0620"/>
    <s v="Vivaan Rao"/>
    <x v="2"/>
    <n v="65"/>
    <x v="0"/>
    <s v="Voltage Issue"/>
    <x v="7"/>
    <x v="589"/>
    <n v="3651"/>
    <n v="1466"/>
    <s v="Cash"/>
    <x v="1"/>
    <x v="4"/>
    <x v="7"/>
    <x v="2"/>
    <n v="4.5999999999999996"/>
  </r>
  <r>
    <s v="ELEC0621"/>
    <s v="Nidhi Rao"/>
    <x v="6"/>
    <n v="49"/>
    <x v="2"/>
    <s v="Short Circuit"/>
    <x v="5"/>
    <x v="590"/>
    <n v="2593"/>
    <n v="1432"/>
    <s v="UPI"/>
    <x v="1"/>
    <x v="15"/>
    <x v="1"/>
    <x v="275"/>
    <n v="3.9"/>
  </r>
  <r>
    <s v="ELEC0622"/>
    <s v="Rahul Chauhan"/>
    <x v="5"/>
    <n v="61"/>
    <x v="4"/>
    <s v="Routine Service"/>
    <x v="3"/>
    <x v="591"/>
    <n v="2744"/>
    <n v="528"/>
    <s v="Credit Card"/>
    <x v="1"/>
    <x v="7"/>
    <x v="5"/>
    <x v="211"/>
    <n v="3.3"/>
  </r>
  <r>
    <s v="ELEC0623"/>
    <s v="Yash Chauhan"/>
    <x v="7"/>
    <n v="31"/>
    <x v="6"/>
    <s v="Equipment Upgrade"/>
    <x v="0"/>
    <x v="592"/>
    <n v="3382"/>
    <n v="1923"/>
    <s v="Debit Card"/>
    <x v="2"/>
    <x v="15"/>
    <x v="6"/>
    <x v="150"/>
    <n v="3"/>
  </r>
  <r>
    <s v="ELEC0624"/>
    <s v="Aarav Mistry"/>
    <x v="2"/>
    <n v="62"/>
    <x v="7"/>
    <s v="Emergency Repair"/>
    <x v="9"/>
    <x v="593"/>
    <n v="525"/>
    <n v="1841"/>
    <s v="Cash"/>
    <x v="2"/>
    <x v="3"/>
    <x v="7"/>
    <x v="90"/>
    <n v="3.3"/>
  </r>
  <r>
    <s v="ELEC0625"/>
    <s v="Rohan Verma"/>
    <x v="6"/>
    <n v="54"/>
    <x v="7"/>
    <s v="Electrical Inspection"/>
    <x v="5"/>
    <x v="594"/>
    <n v="6993"/>
    <n v="1508"/>
    <s v="UPI"/>
    <x v="2"/>
    <x v="15"/>
    <x v="10"/>
    <x v="294"/>
    <n v="4.8"/>
  </r>
  <r>
    <s v="ELEC0626"/>
    <s v="Riya Rao"/>
    <x v="3"/>
    <n v="39"/>
    <x v="0"/>
    <s v="Power Failure"/>
    <x v="5"/>
    <x v="595"/>
    <n v="3511"/>
    <n v="945"/>
    <s v="Cash"/>
    <x v="2"/>
    <x v="0"/>
    <x v="9"/>
    <x v="295"/>
    <n v="3.6"/>
  </r>
  <r>
    <s v="ELEC0627"/>
    <s v="Aarav Chauhan"/>
    <x v="1"/>
    <n v="62"/>
    <x v="3"/>
    <s v="Maintenance"/>
    <x v="0"/>
    <x v="596"/>
    <n v="4288"/>
    <n v="1012"/>
    <s v="Debit Card"/>
    <x v="0"/>
    <x v="15"/>
    <x v="10"/>
    <x v="258"/>
    <n v="3.2"/>
  </r>
  <r>
    <s v="ELEC0628"/>
    <s v="Amit Singh"/>
    <x v="4"/>
    <n v="37"/>
    <x v="7"/>
    <s v="Power Failure"/>
    <x v="4"/>
    <x v="597"/>
    <n v="1893"/>
    <n v="2523"/>
    <s v="Debit Card"/>
    <x v="2"/>
    <x v="4"/>
    <x v="6"/>
    <x v="296"/>
    <n v="3.5"/>
  </r>
  <r>
    <s v="ELEC0629"/>
    <s v="Meera Patel"/>
    <x v="6"/>
    <n v="34"/>
    <x v="0"/>
    <s v="Voltage Issue"/>
    <x v="2"/>
    <x v="598"/>
    <n v="6614"/>
    <n v="2224"/>
    <s v="UPI"/>
    <x v="2"/>
    <x v="0"/>
    <x v="1"/>
    <x v="268"/>
    <n v="3.4"/>
  </r>
  <r>
    <s v="ELEC0630"/>
    <s v="Neha Shah"/>
    <x v="6"/>
    <n v="47"/>
    <x v="7"/>
    <s v="Routine Service"/>
    <x v="9"/>
    <x v="599"/>
    <n v="735"/>
    <n v="1388"/>
    <s v="Debit Card"/>
    <x v="0"/>
    <x v="11"/>
    <x v="2"/>
    <x v="188"/>
    <n v="1.2"/>
  </r>
  <r>
    <s v="ELEC0631"/>
    <s v="Sneha Gupta"/>
    <x v="4"/>
    <n v="64"/>
    <x v="5"/>
    <s v="Power Failure"/>
    <x v="3"/>
    <x v="600"/>
    <n v="4341"/>
    <n v="745"/>
    <s v="UPI"/>
    <x v="2"/>
    <x v="3"/>
    <x v="2"/>
    <x v="297"/>
    <n v="1.5"/>
  </r>
  <r>
    <s v="ELEC0632"/>
    <s v="Jay Shah"/>
    <x v="8"/>
    <n v="59"/>
    <x v="6"/>
    <s v="Power Failure"/>
    <x v="0"/>
    <x v="601"/>
    <n v="5062"/>
    <n v="440"/>
    <s v="Credit Card"/>
    <x v="2"/>
    <x v="2"/>
    <x v="1"/>
    <x v="136"/>
    <n v="4.4000000000000004"/>
  </r>
  <r>
    <s v="ELEC0633"/>
    <s v="Amit Pandya"/>
    <x v="4"/>
    <n v="23"/>
    <x v="1"/>
    <s v="Voltage Issue"/>
    <x v="7"/>
    <x v="602"/>
    <n v="5576"/>
    <n v="1760"/>
    <s v="Net Banking"/>
    <x v="0"/>
    <x v="0"/>
    <x v="7"/>
    <x v="0"/>
    <n v="4.7"/>
  </r>
  <r>
    <s v="ELEC0634"/>
    <s v="Vivaan Trivedi"/>
    <x v="9"/>
    <n v="37"/>
    <x v="7"/>
    <s v="Equipment Upgrade"/>
    <x v="8"/>
    <x v="603"/>
    <n v="3278"/>
    <n v="2117"/>
    <s v="UPI"/>
    <x v="0"/>
    <x v="5"/>
    <x v="6"/>
    <x v="207"/>
    <n v="3.7"/>
  </r>
  <r>
    <s v="ELEC0635"/>
    <s v="Pooja Patel"/>
    <x v="3"/>
    <n v="23"/>
    <x v="7"/>
    <s v="Emergency Repair"/>
    <x v="2"/>
    <x v="604"/>
    <n v="6626"/>
    <n v="1676"/>
    <s v="Net Banking"/>
    <x v="0"/>
    <x v="1"/>
    <x v="2"/>
    <x v="133"/>
    <n v="2"/>
  </r>
  <r>
    <s v="ELEC0636"/>
    <s v="Pooja Kapoor"/>
    <x v="3"/>
    <n v="48"/>
    <x v="7"/>
    <s v="Fuse Problem"/>
    <x v="8"/>
    <x v="605"/>
    <n v="6756"/>
    <n v="819"/>
    <s v="UPI"/>
    <x v="1"/>
    <x v="2"/>
    <x v="5"/>
    <x v="214"/>
    <n v="3.7"/>
  </r>
  <r>
    <s v="ELEC0637"/>
    <s v="Karan Sharma"/>
    <x v="6"/>
    <n v="32"/>
    <x v="1"/>
    <s v="Emergency Repair"/>
    <x v="2"/>
    <x v="606"/>
    <n v="1839"/>
    <n v="2113"/>
    <s v="Debit Card"/>
    <x v="0"/>
    <x v="2"/>
    <x v="5"/>
    <x v="298"/>
    <n v="3.9"/>
  </r>
  <r>
    <s v="ELEC0638"/>
    <s v="Simran Shah"/>
    <x v="1"/>
    <n v="52"/>
    <x v="5"/>
    <s v="Emergency Repair"/>
    <x v="0"/>
    <x v="607"/>
    <n v="6396"/>
    <n v="806"/>
    <s v="UPI"/>
    <x v="2"/>
    <x v="1"/>
    <x v="1"/>
    <x v="168"/>
    <n v="4.4000000000000004"/>
  </r>
  <r>
    <s v="ELEC0639"/>
    <s v="Rahul Shah"/>
    <x v="1"/>
    <n v="38"/>
    <x v="3"/>
    <s v="Electrical Inspection"/>
    <x v="1"/>
    <x v="608"/>
    <n v="5280"/>
    <n v="216"/>
    <s v="Cash"/>
    <x v="1"/>
    <x v="8"/>
    <x v="10"/>
    <x v="152"/>
    <n v="4.4000000000000004"/>
  </r>
  <r>
    <s v="ELEC0640"/>
    <s v="Sneha Mistry"/>
    <x v="5"/>
    <n v="64"/>
    <x v="9"/>
    <s v="Fuse Problem"/>
    <x v="3"/>
    <x v="609"/>
    <n v="2828"/>
    <n v="2990"/>
    <s v="Credit Card"/>
    <x v="1"/>
    <x v="10"/>
    <x v="2"/>
    <x v="94"/>
    <n v="2.8"/>
  </r>
  <r>
    <s v="ELEC0641"/>
    <s v="Riya Chauhan"/>
    <x v="7"/>
    <n v="41"/>
    <x v="7"/>
    <s v="Short Circuit"/>
    <x v="0"/>
    <x v="610"/>
    <n v="4270"/>
    <n v="2901"/>
    <s v="Cash"/>
    <x v="2"/>
    <x v="9"/>
    <x v="8"/>
    <x v="51"/>
    <n v="4.3"/>
  </r>
  <r>
    <s v="ELEC0642"/>
    <s v="Anjali Sharma"/>
    <x v="4"/>
    <n v="49"/>
    <x v="4"/>
    <s v="Electrical Inspection"/>
    <x v="9"/>
    <x v="611"/>
    <n v="2231"/>
    <n v="399"/>
    <s v="Cash"/>
    <x v="0"/>
    <x v="3"/>
    <x v="7"/>
    <x v="155"/>
    <n v="4.7"/>
  </r>
  <r>
    <s v="ELEC0643"/>
    <s v="Nidhi Trivedi"/>
    <x v="8"/>
    <n v="26"/>
    <x v="2"/>
    <s v="Voltage Issue"/>
    <x v="9"/>
    <x v="612"/>
    <n v="2466"/>
    <n v="1833"/>
    <s v="Debit Card"/>
    <x v="0"/>
    <x v="15"/>
    <x v="1"/>
    <x v="29"/>
    <n v="4.4000000000000004"/>
  </r>
  <r>
    <s v="ELEC0644"/>
    <s v="Jay Mehta"/>
    <x v="9"/>
    <n v="28"/>
    <x v="6"/>
    <s v="Emergency Repair"/>
    <x v="5"/>
    <x v="613"/>
    <n v="6528"/>
    <n v="1470"/>
    <s v="Credit Card"/>
    <x v="0"/>
    <x v="12"/>
    <x v="2"/>
    <x v="272"/>
    <n v="2.5"/>
  </r>
  <r>
    <s v="ELEC0645"/>
    <s v="Rohan Rao"/>
    <x v="3"/>
    <n v="53"/>
    <x v="0"/>
    <s v="Emergency Repair"/>
    <x v="8"/>
    <x v="614"/>
    <n v="3679"/>
    <n v="2151"/>
    <s v="Debit Card"/>
    <x v="0"/>
    <x v="8"/>
    <x v="3"/>
    <x v="299"/>
    <n v="3.2"/>
  </r>
  <r>
    <s v="ELEC0646"/>
    <s v="Simran Trivedi"/>
    <x v="9"/>
    <n v="48"/>
    <x v="2"/>
    <s v="Power Failure"/>
    <x v="3"/>
    <x v="615"/>
    <n v="4705"/>
    <n v="1599"/>
    <s v="UPI"/>
    <x v="2"/>
    <x v="3"/>
    <x v="2"/>
    <x v="261"/>
    <n v="1.3"/>
  </r>
  <r>
    <s v="ELEC0647"/>
    <s v="Meera Kapoor"/>
    <x v="1"/>
    <n v="26"/>
    <x v="6"/>
    <s v="Emergency Repair"/>
    <x v="5"/>
    <x v="616"/>
    <n v="1148"/>
    <n v="2156"/>
    <s v="Net Banking"/>
    <x v="0"/>
    <x v="6"/>
    <x v="8"/>
    <x v="233"/>
    <n v="4.5"/>
  </r>
  <r>
    <s v="ELEC0648"/>
    <s v="Yash Mehta"/>
    <x v="4"/>
    <n v="24"/>
    <x v="8"/>
    <s v="Power Failure"/>
    <x v="3"/>
    <x v="617"/>
    <n v="4705"/>
    <n v="640"/>
    <s v="Net Banking"/>
    <x v="1"/>
    <x v="0"/>
    <x v="4"/>
    <x v="57"/>
    <n v="3.3"/>
  </r>
  <r>
    <s v="ELEC0649"/>
    <s v="Pooja Gupta"/>
    <x v="0"/>
    <n v="58"/>
    <x v="9"/>
    <s v="Equipment Upgrade"/>
    <x v="3"/>
    <x v="618"/>
    <n v="1433"/>
    <n v="2909"/>
    <s v="Cash"/>
    <x v="1"/>
    <x v="13"/>
    <x v="10"/>
    <x v="263"/>
    <n v="4.5"/>
  </r>
  <r>
    <s v="ELEC0650"/>
    <s v="Aditya Singh"/>
    <x v="0"/>
    <n v="41"/>
    <x v="3"/>
    <s v="Emergency Repair"/>
    <x v="8"/>
    <x v="619"/>
    <n v="5610"/>
    <n v="1285"/>
    <s v="UPI"/>
    <x v="0"/>
    <x v="2"/>
    <x v="10"/>
    <x v="103"/>
    <n v="4.8"/>
  </r>
  <r>
    <s v="ELEC0651"/>
    <s v="Aditya Shah"/>
    <x v="4"/>
    <n v="37"/>
    <x v="9"/>
    <s v="Routine Service"/>
    <x v="7"/>
    <x v="620"/>
    <n v="646"/>
    <n v="223"/>
    <s v="Debit Card"/>
    <x v="1"/>
    <x v="11"/>
    <x v="10"/>
    <x v="213"/>
    <n v="4.5999999999999996"/>
  </r>
  <r>
    <s v="ELEC0652"/>
    <s v="Krishna Shah"/>
    <x v="8"/>
    <n v="63"/>
    <x v="3"/>
    <s v="Emergency Repair"/>
    <x v="2"/>
    <x v="621"/>
    <n v="5566"/>
    <n v="2726"/>
    <s v="Cash"/>
    <x v="1"/>
    <x v="9"/>
    <x v="3"/>
    <x v="97"/>
    <n v="4.5"/>
  </r>
  <r>
    <s v="ELEC0653"/>
    <s v="Karan Verma"/>
    <x v="2"/>
    <n v="33"/>
    <x v="9"/>
    <s v="Short Circuit"/>
    <x v="1"/>
    <x v="622"/>
    <n v="719"/>
    <n v="1057"/>
    <s v="Net Banking"/>
    <x v="1"/>
    <x v="6"/>
    <x v="1"/>
    <x v="300"/>
    <n v="3.8"/>
  </r>
  <r>
    <s v="ELEC0654"/>
    <s v="Priya Patel"/>
    <x v="0"/>
    <n v="50"/>
    <x v="7"/>
    <s v="Emergency Repair"/>
    <x v="5"/>
    <x v="623"/>
    <n v="678"/>
    <n v="677"/>
    <s v="Debit Card"/>
    <x v="2"/>
    <x v="6"/>
    <x v="5"/>
    <x v="131"/>
    <n v="3.8"/>
  </r>
  <r>
    <s v="ELEC0655"/>
    <s v="Aarav Rao"/>
    <x v="5"/>
    <n v="58"/>
    <x v="0"/>
    <s v="Maintenance"/>
    <x v="2"/>
    <x v="624"/>
    <n v="5164"/>
    <n v="1804"/>
    <s v="Debit Card"/>
    <x v="0"/>
    <x v="11"/>
    <x v="4"/>
    <x v="248"/>
    <n v="3.1"/>
  </r>
  <r>
    <s v="ELEC0656"/>
    <s v="Yash Rao"/>
    <x v="5"/>
    <n v="58"/>
    <x v="3"/>
    <s v="Equipment Upgrade"/>
    <x v="2"/>
    <x v="625"/>
    <n v="803"/>
    <n v="2196"/>
    <s v="Debit Card"/>
    <x v="0"/>
    <x v="14"/>
    <x v="9"/>
    <x v="48"/>
    <n v="4"/>
  </r>
  <r>
    <s v="ELEC0657"/>
    <s v="Sneha Shah"/>
    <x v="2"/>
    <n v="54"/>
    <x v="1"/>
    <s v="Routine Service"/>
    <x v="6"/>
    <x v="626"/>
    <n v="3087"/>
    <n v="2466"/>
    <s v="Cash"/>
    <x v="1"/>
    <x v="2"/>
    <x v="3"/>
    <x v="301"/>
    <n v="4.5"/>
  </r>
  <r>
    <s v="ELEC0658"/>
    <s v="Meera Trivedi"/>
    <x v="3"/>
    <n v="49"/>
    <x v="2"/>
    <s v="Short Circuit"/>
    <x v="9"/>
    <x v="627"/>
    <n v="2859"/>
    <n v="987"/>
    <s v="UPI"/>
    <x v="1"/>
    <x v="7"/>
    <x v="1"/>
    <x v="125"/>
    <n v="4.2"/>
  </r>
  <r>
    <s v="ELEC0659"/>
    <s v="Riya Chauhan"/>
    <x v="3"/>
    <n v="59"/>
    <x v="5"/>
    <s v="New Connection"/>
    <x v="2"/>
    <x v="628"/>
    <n v="6422"/>
    <n v="1798"/>
    <s v="Credit Card"/>
    <x v="2"/>
    <x v="3"/>
    <x v="2"/>
    <x v="99"/>
    <n v="1.4"/>
  </r>
  <r>
    <s v="ELEC0660"/>
    <s v="Meera Mistry"/>
    <x v="9"/>
    <n v="60"/>
    <x v="0"/>
    <s v="Voltage Issue"/>
    <x v="0"/>
    <x v="629"/>
    <n v="5964"/>
    <n v="2177"/>
    <s v="Debit Card"/>
    <x v="2"/>
    <x v="12"/>
    <x v="10"/>
    <x v="261"/>
    <n v="4.2"/>
  </r>
  <r>
    <s v="ELEC0661"/>
    <s v="Rohan Mistry"/>
    <x v="8"/>
    <n v="52"/>
    <x v="6"/>
    <s v="Maintenance"/>
    <x v="1"/>
    <x v="630"/>
    <n v="5061"/>
    <n v="392"/>
    <s v="Credit Card"/>
    <x v="2"/>
    <x v="1"/>
    <x v="2"/>
    <x v="256"/>
    <n v="2.5"/>
  </r>
  <r>
    <s v="ELEC0662"/>
    <s v="Rahul Verma"/>
    <x v="1"/>
    <n v="23"/>
    <x v="9"/>
    <s v="Fuse Problem"/>
    <x v="5"/>
    <x v="631"/>
    <n v="1433"/>
    <n v="2729"/>
    <s v="Credit Card"/>
    <x v="1"/>
    <x v="14"/>
    <x v="1"/>
    <x v="211"/>
    <n v="3.7"/>
  </r>
  <r>
    <s v="ELEC0663"/>
    <s v="Anjali Mistry"/>
    <x v="3"/>
    <n v="23"/>
    <x v="8"/>
    <s v="Voltage Issue"/>
    <x v="9"/>
    <x v="632"/>
    <n v="6153"/>
    <n v="2311"/>
    <s v="Debit Card"/>
    <x v="2"/>
    <x v="1"/>
    <x v="0"/>
    <x v="50"/>
    <n v="3.7"/>
  </r>
  <r>
    <s v="ELEC0664"/>
    <s v="Rohan Patel"/>
    <x v="4"/>
    <n v="60"/>
    <x v="9"/>
    <s v="Equipment Upgrade"/>
    <x v="3"/>
    <x v="633"/>
    <n v="4655"/>
    <n v="631"/>
    <s v="UPI"/>
    <x v="2"/>
    <x v="1"/>
    <x v="1"/>
    <x v="35"/>
    <n v="4.5999999999999996"/>
  </r>
  <r>
    <s v="ELEC0665"/>
    <s v="Neha Shah"/>
    <x v="5"/>
    <n v="53"/>
    <x v="5"/>
    <s v="Power Failure"/>
    <x v="9"/>
    <x v="634"/>
    <n v="5800"/>
    <n v="1689"/>
    <s v="Debit Card"/>
    <x v="2"/>
    <x v="6"/>
    <x v="4"/>
    <x v="58"/>
    <n v="4.2"/>
  </r>
  <r>
    <s v="ELEC0666"/>
    <s v="Yash Mistry"/>
    <x v="2"/>
    <n v="36"/>
    <x v="5"/>
    <s v="Fuse Problem"/>
    <x v="2"/>
    <x v="635"/>
    <n v="4637"/>
    <n v="901"/>
    <s v="UPI"/>
    <x v="1"/>
    <x v="5"/>
    <x v="3"/>
    <x v="243"/>
    <n v="4.5"/>
  </r>
  <r>
    <s v="ELEC0667"/>
    <s v="Karan Mistry"/>
    <x v="1"/>
    <n v="47"/>
    <x v="0"/>
    <s v="New Connection"/>
    <x v="5"/>
    <x v="636"/>
    <n v="3886"/>
    <n v="1876"/>
    <s v="Credit Card"/>
    <x v="2"/>
    <x v="12"/>
    <x v="2"/>
    <x v="110"/>
    <n v="2.8"/>
  </r>
  <r>
    <s v="ELEC0668"/>
    <s v="Aarav Desai"/>
    <x v="9"/>
    <n v="21"/>
    <x v="8"/>
    <s v="Power Failure"/>
    <x v="0"/>
    <x v="637"/>
    <n v="3271"/>
    <n v="1489"/>
    <s v="Cash"/>
    <x v="1"/>
    <x v="13"/>
    <x v="10"/>
    <x v="173"/>
    <n v="4.3"/>
  </r>
  <r>
    <s v="ELEC0669"/>
    <s v="Jay Mistry"/>
    <x v="2"/>
    <n v="63"/>
    <x v="7"/>
    <s v="Electrical Inspection"/>
    <x v="3"/>
    <x v="638"/>
    <n v="5674"/>
    <n v="2904"/>
    <s v="Debit Card"/>
    <x v="2"/>
    <x v="1"/>
    <x v="2"/>
    <x v="302"/>
    <n v="1.3"/>
  </r>
  <r>
    <s v="ELEC0670"/>
    <s v="Nidhi Rao"/>
    <x v="0"/>
    <n v="41"/>
    <x v="4"/>
    <s v="Short Circuit"/>
    <x v="2"/>
    <x v="639"/>
    <n v="4823"/>
    <n v="2700"/>
    <s v="Debit Card"/>
    <x v="1"/>
    <x v="3"/>
    <x v="2"/>
    <x v="212"/>
    <n v="1.4"/>
  </r>
  <r>
    <s v="ELEC0671"/>
    <s v="Priya Chauhan"/>
    <x v="1"/>
    <n v="60"/>
    <x v="3"/>
    <s v="Emergency Repair"/>
    <x v="4"/>
    <x v="640"/>
    <n v="6902"/>
    <n v="2857"/>
    <s v="Cash"/>
    <x v="0"/>
    <x v="12"/>
    <x v="8"/>
    <x v="298"/>
    <n v="3.4"/>
  </r>
  <r>
    <s v="ELEC0672"/>
    <s v="Nidhi Gupta"/>
    <x v="8"/>
    <n v="29"/>
    <x v="8"/>
    <s v="Equipment Upgrade"/>
    <x v="2"/>
    <x v="641"/>
    <n v="2250"/>
    <n v="580"/>
    <s v="UPI"/>
    <x v="0"/>
    <x v="3"/>
    <x v="6"/>
    <x v="272"/>
    <n v="3.9"/>
  </r>
  <r>
    <s v="ELEC0673"/>
    <s v="Aarav Sharma"/>
    <x v="1"/>
    <n v="58"/>
    <x v="6"/>
    <s v="Maintenance"/>
    <x v="2"/>
    <x v="642"/>
    <n v="6451"/>
    <n v="1931"/>
    <s v="Credit Card"/>
    <x v="1"/>
    <x v="10"/>
    <x v="2"/>
    <x v="303"/>
    <n v="1.7"/>
  </r>
  <r>
    <s v="ELEC0674"/>
    <s v="Pooja Pandya"/>
    <x v="1"/>
    <n v="43"/>
    <x v="9"/>
    <s v="Short Circuit"/>
    <x v="0"/>
    <x v="643"/>
    <n v="4176"/>
    <n v="1420"/>
    <s v="UPI"/>
    <x v="2"/>
    <x v="11"/>
    <x v="5"/>
    <x v="38"/>
    <n v="4.3"/>
  </r>
  <r>
    <s v="ELEC0675"/>
    <s v="Riya Trivedi"/>
    <x v="1"/>
    <n v="59"/>
    <x v="0"/>
    <s v="Fuse Problem"/>
    <x v="2"/>
    <x v="644"/>
    <n v="2830"/>
    <n v="2931"/>
    <s v="UPI"/>
    <x v="2"/>
    <x v="4"/>
    <x v="9"/>
    <x v="304"/>
    <n v="3.9"/>
  </r>
  <r>
    <s v="ELEC0676"/>
    <s v="Jay Kapoor"/>
    <x v="6"/>
    <n v="27"/>
    <x v="4"/>
    <s v="Equipment Upgrade"/>
    <x v="6"/>
    <x v="645"/>
    <n v="2077"/>
    <n v="1679"/>
    <s v="Cash"/>
    <x v="2"/>
    <x v="6"/>
    <x v="3"/>
    <x v="272"/>
    <n v="3.6"/>
  </r>
  <r>
    <s v="ELEC0677"/>
    <s v="Aditya Sharma"/>
    <x v="8"/>
    <n v="29"/>
    <x v="5"/>
    <s v="Maintenance"/>
    <x v="8"/>
    <x v="15"/>
    <n v="1139"/>
    <n v="1712"/>
    <s v="Net Banking"/>
    <x v="0"/>
    <x v="0"/>
    <x v="9"/>
    <x v="305"/>
    <n v="3.8"/>
  </r>
  <r>
    <s v="ELEC0678"/>
    <s v="Jay Rao"/>
    <x v="0"/>
    <n v="58"/>
    <x v="5"/>
    <s v="Routine Service"/>
    <x v="8"/>
    <x v="646"/>
    <n v="6144"/>
    <n v="2205"/>
    <s v="Net Banking"/>
    <x v="2"/>
    <x v="0"/>
    <x v="10"/>
    <x v="35"/>
    <n v="4.5999999999999996"/>
  </r>
  <r>
    <s v="ELEC0679"/>
    <s v="Karan Desai"/>
    <x v="5"/>
    <n v="29"/>
    <x v="8"/>
    <s v="Equipment Upgrade"/>
    <x v="0"/>
    <x v="647"/>
    <n v="6189"/>
    <n v="1070"/>
    <s v="Credit Card"/>
    <x v="1"/>
    <x v="11"/>
    <x v="10"/>
    <x v="111"/>
    <n v="3.1"/>
  </r>
  <r>
    <s v="ELEC0680"/>
    <s v="Rohan Trivedi"/>
    <x v="8"/>
    <n v="28"/>
    <x v="9"/>
    <s v="Fuse Problem"/>
    <x v="6"/>
    <x v="648"/>
    <n v="2872"/>
    <n v="364"/>
    <s v="Credit Card"/>
    <x v="1"/>
    <x v="1"/>
    <x v="7"/>
    <x v="41"/>
    <n v="4.9000000000000004"/>
  </r>
  <r>
    <s v="ELEC0681"/>
    <s v="Neha Mehta"/>
    <x v="5"/>
    <n v="22"/>
    <x v="7"/>
    <s v="New Connection"/>
    <x v="6"/>
    <x v="649"/>
    <n v="3955"/>
    <n v="399"/>
    <s v="UPI"/>
    <x v="0"/>
    <x v="1"/>
    <x v="2"/>
    <x v="291"/>
    <n v="1.8"/>
  </r>
  <r>
    <s v="ELEC0682"/>
    <s v="Rahul Rao"/>
    <x v="5"/>
    <n v="21"/>
    <x v="9"/>
    <s v="Equipment Upgrade"/>
    <x v="4"/>
    <x v="650"/>
    <n v="1053"/>
    <n v="383"/>
    <s v="Debit Card"/>
    <x v="0"/>
    <x v="8"/>
    <x v="8"/>
    <x v="52"/>
    <n v="3.3"/>
  </r>
  <r>
    <s v="ELEC0683"/>
    <s v="Anjali Mistry"/>
    <x v="8"/>
    <n v="51"/>
    <x v="3"/>
    <s v="New Connection"/>
    <x v="9"/>
    <x v="651"/>
    <n v="4635"/>
    <n v="2806"/>
    <s v="Credit Card"/>
    <x v="1"/>
    <x v="7"/>
    <x v="5"/>
    <x v="291"/>
    <n v="4.4000000000000004"/>
  </r>
  <r>
    <s v="ELEC0684"/>
    <s v="Aditya Mistry"/>
    <x v="4"/>
    <n v="63"/>
    <x v="3"/>
    <s v="Routine Service"/>
    <x v="5"/>
    <x v="88"/>
    <n v="2407"/>
    <n v="1819"/>
    <s v="Cash"/>
    <x v="0"/>
    <x v="11"/>
    <x v="5"/>
    <x v="36"/>
    <n v="4.7"/>
  </r>
  <r>
    <s v="ELEC0685"/>
    <s v="Rahul Shah"/>
    <x v="2"/>
    <n v="57"/>
    <x v="6"/>
    <s v="Equipment Upgrade"/>
    <x v="0"/>
    <x v="652"/>
    <n v="5774"/>
    <n v="2491"/>
    <s v="Cash"/>
    <x v="1"/>
    <x v="8"/>
    <x v="6"/>
    <x v="276"/>
    <n v="3.9"/>
  </r>
  <r>
    <s v="ELEC0686"/>
    <s v="Riya Kapoor"/>
    <x v="6"/>
    <n v="51"/>
    <x v="8"/>
    <s v="Short Circuit"/>
    <x v="0"/>
    <x v="653"/>
    <n v="5892"/>
    <n v="2378"/>
    <s v="UPI"/>
    <x v="1"/>
    <x v="11"/>
    <x v="8"/>
    <x v="138"/>
    <n v="3.2"/>
  </r>
  <r>
    <s v="ELEC0687"/>
    <s v="Riya Desai"/>
    <x v="7"/>
    <n v="55"/>
    <x v="3"/>
    <s v="Fuse Problem"/>
    <x v="5"/>
    <x v="654"/>
    <n v="5324"/>
    <n v="384"/>
    <s v="Debit Card"/>
    <x v="1"/>
    <x v="2"/>
    <x v="0"/>
    <x v="29"/>
    <n v="4.4000000000000004"/>
  </r>
  <r>
    <s v="ELEC0688"/>
    <s v="Rahul Singh"/>
    <x v="2"/>
    <n v="54"/>
    <x v="4"/>
    <s v="Routine Service"/>
    <x v="2"/>
    <x v="655"/>
    <n v="1245"/>
    <n v="669"/>
    <s v="Credit Card"/>
    <x v="1"/>
    <x v="12"/>
    <x v="2"/>
    <x v="162"/>
    <n v="1.2"/>
  </r>
  <r>
    <s v="ELEC0689"/>
    <s v="Karan Verma"/>
    <x v="0"/>
    <n v="26"/>
    <x v="7"/>
    <s v="Voltage Issue"/>
    <x v="5"/>
    <x v="483"/>
    <n v="6059"/>
    <n v="893"/>
    <s v="Cash"/>
    <x v="1"/>
    <x v="5"/>
    <x v="10"/>
    <x v="74"/>
    <n v="4.7"/>
  </r>
  <r>
    <s v="ELEC0690"/>
    <s v="Neha Singh"/>
    <x v="7"/>
    <n v="41"/>
    <x v="7"/>
    <s v="Routine Service"/>
    <x v="4"/>
    <x v="656"/>
    <n v="2612"/>
    <n v="1738"/>
    <s v="UPI"/>
    <x v="0"/>
    <x v="10"/>
    <x v="2"/>
    <x v="217"/>
    <n v="2.6"/>
  </r>
  <r>
    <s v="ELEC0691"/>
    <s v="Sneha Mistry"/>
    <x v="4"/>
    <n v="58"/>
    <x v="0"/>
    <s v="Emergency Repair"/>
    <x v="7"/>
    <x v="657"/>
    <n v="6663"/>
    <n v="2266"/>
    <s v="Credit Card"/>
    <x v="2"/>
    <x v="1"/>
    <x v="8"/>
    <x v="306"/>
    <n v="3"/>
  </r>
  <r>
    <s v="ELEC0692"/>
    <s v="Krishna Kapoor"/>
    <x v="8"/>
    <n v="25"/>
    <x v="5"/>
    <s v="Short Circuit"/>
    <x v="5"/>
    <x v="303"/>
    <n v="5689"/>
    <n v="1157"/>
    <s v="Net Banking"/>
    <x v="0"/>
    <x v="10"/>
    <x v="2"/>
    <x v="72"/>
    <n v="1.6"/>
  </r>
  <r>
    <s v="ELEC0693"/>
    <s v="Riya Pandya"/>
    <x v="7"/>
    <n v="36"/>
    <x v="8"/>
    <s v="New Connection"/>
    <x v="2"/>
    <x v="658"/>
    <n v="5155"/>
    <n v="1866"/>
    <s v="UPI"/>
    <x v="0"/>
    <x v="15"/>
    <x v="6"/>
    <x v="307"/>
    <n v="4.0999999999999996"/>
  </r>
  <r>
    <s v="ELEC0694"/>
    <s v="Simran Kapoor"/>
    <x v="9"/>
    <n v="36"/>
    <x v="8"/>
    <s v="Routine Service"/>
    <x v="7"/>
    <x v="659"/>
    <n v="4200"/>
    <n v="371"/>
    <s v="UPI"/>
    <x v="0"/>
    <x v="7"/>
    <x v="9"/>
    <x v="62"/>
    <n v="3.8"/>
  </r>
  <r>
    <s v="ELEC0695"/>
    <s v="Aarav Sharma"/>
    <x v="5"/>
    <n v="38"/>
    <x v="3"/>
    <s v="Voltage Issue"/>
    <x v="5"/>
    <x v="660"/>
    <n v="3378"/>
    <n v="2789"/>
    <s v="Cash"/>
    <x v="1"/>
    <x v="15"/>
    <x v="6"/>
    <x v="236"/>
    <n v="3.9"/>
  </r>
  <r>
    <s v="ELEC0696"/>
    <s v="Rahul Shah"/>
    <x v="1"/>
    <n v="57"/>
    <x v="9"/>
    <s v="Voltage Issue"/>
    <x v="0"/>
    <x v="661"/>
    <n v="3738"/>
    <n v="703"/>
    <s v="Debit Card"/>
    <x v="2"/>
    <x v="4"/>
    <x v="6"/>
    <x v="201"/>
    <n v="4"/>
  </r>
  <r>
    <s v="ELEC0697"/>
    <s v="Priya Trivedi"/>
    <x v="1"/>
    <n v="41"/>
    <x v="4"/>
    <s v="Voltage Issue"/>
    <x v="8"/>
    <x v="662"/>
    <n v="2736"/>
    <n v="1207"/>
    <s v="Debit Card"/>
    <x v="1"/>
    <x v="5"/>
    <x v="7"/>
    <x v="78"/>
    <n v="4.9000000000000004"/>
  </r>
  <r>
    <s v="ELEC0698"/>
    <s v="Amit Gupta"/>
    <x v="2"/>
    <n v="65"/>
    <x v="7"/>
    <s v="Short Circuit"/>
    <x v="6"/>
    <x v="479"/>
    <n v="4403"/>
    <n v="217"/>
    <s v="Debit Card"/>
    <x v="1"/>
    <x v="3"/>
    <x v="2"/>
    <x v="277"/>
    <n v="1.8"/>
  </r>
  <r>
    <s v="ELEC0699"/>
    <s v="Nidhi Chauhan"/>
    <x v="5"/>
    <n v="46"/>
    <x v="8"/>
    <s v="Power Failure"/>
    <x v="0"/>
    <x v="663"/>
    <n v="4912"/>
    <n v="326"/>
    <s v="Cash"/>
    <x v="2"/>
    <x v="3"/>
    <x v="2"/>
    <x v="116"/>
    <n v="2.5"/>
  </r>
  <r>
    <s v="ELEC0700"/>
    <s v="Simran Rao"/>
    <x v="8"/>
    <n v="59"/>
    <x v="4"/>
    <s v="Routine Service"/>
    <x v="9"/>
    <x v="664"/>
    <n v="6791"/>
    <n v="234"/>
    <s v="Cash"/>
    <x v="1"/>
    <x v="5"/>
    <x v="1"/>
    <x v="174"/>
    <n v="3.6"/>
  </r>
  <r>
    <s v="ELEC0701"/>
    <s v="Sneha Shah"/>
    <x v="2"/>
    <n v="38"/>
    <x v="4"/>
    <s v="Maintenance"/>
    <x v="0"/>
    <x v="665"/>
    <n v="5525"/>
    <n v="2760"/>
    <s v="Debit Card"/>
    <x v="0"/>
    <x v="4"/>
    <x v="1"/>
    <x v="57"/>
    <n v="3.5"/>
  </r>
  <r>
    <s v="ELEC0702"/>
    <s v="Simran Sharma"/>
    <x v="0"/>
    <n v="52"/>
    <x v="3"/>
    <s v="Maintenance"/>
    <x v="3"/>
    <x v="666"/>
    <n v="2106"/>
    <n v="2815"/>
    <s v="Net Banking"/>
    <x v="1"/>
    <x v="15"/>
    <x v="8"/>
    <x v="232"/>
    <n v="4.3"/>
  </r>
  <r>
    <s v="ELEC0703"/>
    <s v="Meera Verma"/>
    <x v="1"/>
    <n v="33"/>
    <x v="3"/>
    <s v="Electrical Inspection"/>
    <x v="6"/>
    <x v="82"/>
    <n v="1937"/>
    <n v="467"/>
    <s v="Credit Card"/>
    <x v="2"/>
    <x v="4"/>
    <x v="4"/>
    <x v="95"/>
    <n v="4.2"/>
  </r>
  <r>
    <s v="ELEC0704"/>
    <s v="Riya Rao"/>
    <x v="6"/>
    <n v="54"/>
    <x v="6"/>
    <s v="Maintenance"/>
    <x v="3"/>
    <x v="667"/>
    <n v="6176"/>
    <n v="2976"/>
    <s v="Cash"/>
    <x v="2"/>
    <x v="3"/>
    <x v="6"/>
    <x v="128"/>
    <n v="4.5999999999999996"/>
  </r>
  <r>
    <s v="ELEC0705"/>
    <s v="Yash Pandya"/>
    <x v="2"/>
    <n v="41"/>
    <x v="2"/>
    <s v="Routine Service"/>
    <x v="2"/>
    <x v="668"/>
    <n v="1497"/>
    <n v="2985"/>
    <s v="Cash"/>
    <x v="2"/>
    <x v="7"/>
    <x v="7"/>
    <x v="33"/>
    <n v="3.9"/>
  </r>
  <r>
    <s v="ELEC0706"/>
    <s v="Sneha Sharma"/>
    <x v="0"/>
    <n v="47"/>
    <x v="8"/>
    <s v="Emergency Repair"/>
    <x v="4"/>
    <x v="669"/>
    <n v="542"/>
    <n v="1805"/>
    <s v="UPI"/>
    <x v="2"/>
    <x v="1"/>
    <x v="9"/>
    <x v="248"/>
    <n v="3.7"/>
  </r>
  <r>
    <s v="ELEC0707"/>
    <s v="Yash Patel"/>
    <x v="6"/>
    <n v="33"/>
    <x v="7"/>
    <s v="Fuse Problem"/>
    <x v="2"/>
    <x v="670"/>
    <n v="1014"/>
    <n v="2764"/>
    <s v="Cash"/>
    <x v="2"/>
    <x v="11"/>
    <x v="5"/>
    <x v="224"/>
    <n v="3.9"/>
  </r>
  <r>
    <s v="ELEC0708"/>
    <s v="Riya Mistry"/>
    <x v="3"/>
    <n v="37"/>
    <x v="0"/>
    <s v="Power Failure"/>
    <x v="8"/>
    <x v="671"/>
    <n v="2452"/>
    <n v="1595"/>
    <s v="UPI"/>
    <x v="1"/>
    <x v="15"/>
    <x v="7"/>
    <x v="308"/>
    <n v="3.7"/>
  </r>
  <r>
    <s v="ELEC0709"/>
    <s v="Aditya Mistry"/>
    <x v="4"/>
    <n v="60"/>
    <x v="5"/>
    <s v="Power Failure"/>
    <x v="8"/>
    <x v="672"/>
    <n v="5242"/>
    <n v="711"/>
    <s v="Credit Card"/>
    <x v="2"/>
    <x v="11"/>
    <x v="0"/>
    <x v="277"/>
    <n v="4.0999999999999996"/>
  </r>
  <r>
    <s v="ELEC0710"/>
    <s v="Aditya Mistry"/>
    <x v="9"/>
    <n v="24"/>
    <x v="5"/>
    <s v="Short Circuit"/>
    <x v="2"/>
    <x v="673"/>
    <n v="5503"/>
    <n v="2764"/>
    <s v="Cash"/>
    <x v="2"/>
    <x v="1"/>
    <x v="0"/>
    <x v="25"/>
    <n v="3.7"/>
  </r>
  <r>
    <s v="ELEC0711"/>
    <s v="Neha Rao"/>
    <x v="8"/>
    <n v="46"/>
    <x v="9"/>
    <s v="Electrical Inspection"/>
    <x v="5"/>
    <x v="674"/>
    <n v="2409"/>
    <n v="2655"/>
    <s v="Debit Card"/>
    <x v="2"/>
    <x v="8"/>
    <x v="0"/>
    <x v="309"/>
    <n v="4.5999999999999996"/>
  </r>
  <r>
    <s v="ELEC0712"/>
    <s v="Krishna Mistry"/>
    <x v="8"/>
    <n v="60"/>
    <x v="3"/>
    <s v="Power Failure"/>
    <x v="4"/>
    <x v="675"/>
    <n v="5832"/>
    <n v="2967"/>
    <s v="Net Banking"/>
    <x v="0"/>
    <x v="7"/>
    <x v="6"/>
    <x v="152"/>
    <n v="5"/>
  </r>
  <r>
    <s v="ELEC0713"/>
    <s v="Priya Patel"/>
    <x v="7"/>
    <n v="21"/>
    <x v="3"/>
    <s v="Power Failure"/>
    <x v="6"/>
    <x v="676"/>
    <n v="6966"/>
    <n v="993"/>
    <s v="Net Banking"/>
    <x v="0"/>
    <x v="11"/>
    <x v="2"/>
    <x v="25"/>
    <n v="2.1"/>
  </r>
  <r>
    <s v="ELEC0714"/>
    <s v="Pooja Gupta"/>
    <x v="8"/>
    <n v="51"/>
    <x v="3"/>
    <s v="Emergency Repair"/>
    <x v="9"/>
    <x v="677"/>
    <n v="2491"/>
    <n v="763"/>
    <s v="Net Banking"/>
    <x v="2"/>
    <x v="11"/>
    <x v="10"/>
    <x v="22"/>
    <n v="3.8"/>
  </r>
  <r>
    <s v="ELEC0715"/>
    <s v="Yash Kapoor"/>
    <x v="3"/>
    <n v="40"/>
    <x v="3"/>
    <s v="Equipment Upgrade"/>
    <x v="9"/>
    <x v="678"/>
    <n v="1707"/>
    <n v="2123"/>
    <s v="Cash"/>
    <x v="1"/>
    <x v="5"/>
    <x v="8"/>
    <x v="206"/>
    <n v="4.3"/>
  </r>
  <r>
    <s v="ELEC0716"/>
    <s v="Isha Trivedi"/>
    <x v="9"/>
    <n v="24"/>
    <x v="0"/>
    <s v="Equipment Upgrade"/>
    <x v="7"/>
    <x v="679"/>
    <n v="947"/>
    <n v="1928"/>
    <s v="Credit Card"/>
    <x v="0"/>
    <x v="12"/>
    <x v="1"/>
    <x v="12"/>
    <n v="3.3"/>
  </r>
  <r>
    <s v="ELEC0717"/>
    <s v="Priya Pandya"/>
    <x v="5"/>
    <n v="65"/>
    <x v="5"/>
    <s v="Electrical Inspection"/>
    <x v="4"/>
    <x v="680"/>
    <n v="5238"/>
    <n v="2518"/>
    <s v="Debit Card"/>
    <x v="0"/>
    <x v="12"/>
    <x v="2"/>
    <x v="290"/>
    <n v="1.7"/>
  </r>
  <r>
    <s v="ELEC0718"/>
    <s v="Anjali Verma"/>
    <x v="7"/>
    <n v="50"/>
    <x v="1"/>
    <s v="Emergency Repair"/>
    <x v="1"/>
    <x v="681"/>
    <n v="530"/>
    <n v="2816"/>
    <s v="UPI"/>
    <x v="0"/>
    <x v="12"/>
    <x v="5"/>
    <x v="0"/>
    <n v="4.9000000000000004"/>
  </r>
  <r>
    <s v="ELEC0719"/>
    <s v="Sneha Desai"/>
    <x v="3"/>
    <n v="45"/>
    <x v="0"/>
    <s v="Routine Service"/>
    <x v="9"/>
    <x v="682"/>
    <n v="555"/>
    <n v="1686"/>
    <s v="Cash"/>
    <x v="2"/>
    <x v="5"/>
    <x v="0"/>
    <x v="20"/>
    <n v="4.2"/>
  </r>
  <r>
    <s v="ELEC0720"/>
    <s v="Karan Mehta"/>
    <x v="5"/>
    <n v="33"/>
    <x v="3"/>
    <s v="Fuse Problem"/>
    <x v="3"/>
    <x v="683"/>
    <n v="743"/>
    <n v="1015"/>
    <s v="UPI"/>
    <x v="1"/>
    <x v="6"/>
    <x v="1"/>
    <x v="46"/>
    <n v="3.4"/>
  </r>
  <r>
    <s v="ELEC0721"/>
    <s v="Anjali Rao"/>
    <x v="1"/>
    <n v="36"/>
    <x v="7"/>
    <s v="Maintenance"/>
    <x v="3"/>
    <x v="684"/>
    <n v="1942"/>
    <n v="1272"/>
    <s v="UPI"/>
    <x v="1"/>
    <x v="10"/>
    <x v="2"/>
    <x v="207"/>
    <n v="2.6"/>
  </r>
  <r>
    <s v="ELEC0722"/>
    <s v="Jay Pandya"/>
    <x v="7"/>
    <n v="42"/>
    <x v="0"/>
    <s v="Voltage Issue"/>
    <x v="8"/>
    <x v="685"/>
    <n v="2467"/>
    <n v="1714"/>
    <s v="Net Banking"/>
    <x v="0"/>
    <x v="9"/>
    <x v="10"/>
    <x v="106"/>
    <n v="4.5"/>
  </r>
  <r>
    <s v="ELEC0723"/>
    <s v="Yash Chauhan"/>
    <x v="7"/>
    <n v="28"/>
    <x v="7"/>
    <s v="New Connection"/>
    <x v="1"/>
    <x v="686"/>
    <n v="2070"/>
    <n v="2381"/>
    <s v="Debit Card"/>
    <x v="0"/>
    <x v="5"/>
    <x v="7"/>
    <x v="103"/>
    <n v="3.9"/>
  </r>
  <r>
    <s v="ELEC0724"/>
    <s v="Sneha Chauhan"/>
    <x v="2"/>
    <n v="60"/>
    <x v="3"/>
    <s v="Maintenance"/>
    <x v="7"/>
    <x v="687"/>
    <n v="2909"/>
    <n v="808"/>
    <s v="Net Banking"/>
    <x v="2"/>
    <x v="11"/>
    <x v="8"/>
    <x v="54"/>
    <n v="3.1"/>
  </r>
  <r>
    <s v="ELEC0725"/>
    <s v="Riya Chauhan"/>
    <x v="5"/>
    <n v="34"/>
    <x v="9"/>
    <s v="Emergency Repair"/>
    <x v="6"/>
    <x v="688"/>
    <n v="1031"/>
    <n v="885"/>
    <s v="Debit Card"/>
    <x v="0"/>
    <x v="13"/>
    <x v="6"/>
    <x v="58"/>
    <n v="3.6"/>
  </r>
  <r>
    <s v="ELEC0726"/>
    <s v="Isha Desai"/>
    <x v="9"/>
    <n v="41"/>
    <x v="4"/>
    <s v="Equipment Upgrade"/>
    <x v="8"/>
    <x v="689"/>
    <n v="6362"/>
    <n v="2226"/>
    <s v="Net Banking"/>
    <x v="1"/>
    <x v="8"/>
    <x v="3"/>
    <x v="310"/>
    <n v="3.2"/>
  </r>
  <r>
    <s v="ELEC0727"/>
    <s v="Vivaan Joshi"/>
    <x v="6"/>
    <n v="33"/>
    <x v="5"/>
    <s v="Maintenance"/>
    <x v="5"/>
    <x v="690"/>
    <n v="2290"/>
    <n v="1453"/>
    <s v="Credit Card"/>
    <x v="0"/>
    <x v="0"/>
    <x v="9"/>
    <x v="142"/>
    <n v="4"/>
  </r>
  <r>
    <s v="ELEC0728"/>
    <s v="Pooja Kapoor"/>
    <x v="7"/>
    <n v="29"/>
    <x v="9"/>
    <s v="Voltage Issue"/>
    <x v="8"/>
    <x v="691"/>
    <n v="4750"/>
    <n v="1640"/>
    <s v="Net Banking"/>
    <x v="1"/>
    <x v="11"/>
    <x v="5"/>
    <x v="311"/>
    <n v="3.7"/>
  </r>
  <r>
    <s v="ELEC0729"/>
    <s v="Anjali Singh"/>
    <x v="5"/>
    <n v="50"/>
    <x v="2"/>
    <s v="Routine Service"/>
    <x v="4"/>
    <x v="692"/>
    <n v="4575"/>
    <n v="1498"/>
    <s v="UPI"/>
    <x v="0"/>
    <x v="11"/>
    <x v="10"/>
    <x v="175"/>
    <n v="4.8"/>
  </r>
  <r>
    <s v="ELEC0730"/>
    <s v="Pooja Pandya"/>
    <x v="7"/>
    <n v="43"/>
    <x v="9"/>
    <s v="Voltage Issue"/>
    <x v="7"/>
    <x v="693"/>
    <n v="4700"/>
    <n v="2439"/>
    <s v="Cash"/>
    <x v="2"/>
    <x v="13"/>
    <x v="8"/>
    <x v="100"/>
    <n v="4.4000000000000004"/>
  </r>
  <r>
    <s v="ELEC0731"/>
    <s v="Rohan Patel"/>
    <x v="3"/>
    <n v="23"/>
    <x v="8"/>
    <s v="Maintenance"/>
    <x v="4"/>
    <x v="694"/>
    <n v="2110"/>
    <n v="2965"/>
    <s v="Net Banking"/>
    <x v="1"/>
    <x v="3"/>
    <x v="8"/>
    <x v="101"/>
    <n v="3.5"/>
  </r>
  <r>
    <s v="ELEC0732"/>
    <s v="Karan Rao"/>
    <x v="1"/>
    <n v="37"/>
    <x v="1"/>
    <s v="Voltage Issue"/>
    <x v="2"/>
    <x v="695"/>
    <n v="3339"/>
    <n v="1854"/>
    <s v="Cash"/>
    <x v="0"/>
    <x v="12"/>
    <x v="2"/>
    <x v="189"/>
    <n v="1.7"/>
  </r>
  <r>
    <s v="ELEC0733"/>
    <s v="Meera Pandya"/>
    <x v="1"/>
    <n v="30"/>
    <x v="2"/>
    <s v="Maintenance"/>
    <x v="1"/>
    <x v="696"/>
    <n v="6425"/>
    <n v="1059"/>
    <s v="Debit Card"/>
    <x v="1"/>
    <x v="14"/>
    <x v="9"/>
    <x v="312"/>
    <n v="3.6"/>
  </r>
  <r>
    <s v="ELEC0734"/>
    <s v="Krishna Gupta"/>
    <x v="7"/>
    <n v="41"/>
    <x v="0"/>
    <s v="Routine Service"/>
    <x v="5"/>
    <x v="146"/>
    <n v="2216"/>
    <n v="1996"/>
    <s v="UPI"/>
    <x v="1"/>
    <x v="14"/>
    <x v="0"/>
    <x v="140"/>
    <n v="4.5999999999999996"/>
  </r>
  <r>
    <s v="ELEC0735"/>
    <s v="Riya Rao"/>
    <x v="9"/>
    <n v="40"/>
    <x v="1"/>
    <s v="Emergency Repair"/>
    <x v="4"/>
    <x v="238"/>
    <n v="3283"/>
    <n v="1123"/>
    <s v="Net Banking"/>
    <x v="0"/>
    <x v="9"/>
    <x v="3"/>
    <x v="154"/>
    <n v="4.0999999999999996"/>
  </r>
  <r>
    <s v="ELEC0736"/>
    <s v="Neha Gupta"/>
    <x v="4"/>
    <n v="22"/>
    <x v="3"/>
    <s v="Short Circuit"/>
    <x v="9"/>
    <x v="697"/>
    <n v="1759"/>
    <n v="1552"/>
    <s v="Net Banking"/>
    <x v="0"/>
    <x v="13"/>
    <x v="9"/>
    <x v="153"/>
    <n v="3.4"/>
  </r>
  <r>
    <s v="ELEC0737"/>
    <s v="Jay Singh"/>
    <x v="6"/>
    <n v="46"/>
    <x v="9"/>
    <s v="Equipment Upgrade"/>
    <x v="5"/>
    <x v="698"/>
    <n v="2042"/>
    <n v="2144"/>
    <s v="Credit Card"/>
    <x v="2"/>
    <x v="8"/>
    <x v="5"/>
    <x v="310"/>
    <n v="3.7"/>
  </r>
  <r>
    <s v="ELEC0738"/>
    <s v="Aditya Verma"/>
    <x v="7"/>
    <n v="64"/>
    <x v="8"/>
    <s v="New Connection"/>
    <x v="3"/>
    <x v="699"/>
    <n v="6144"/>
    <n v="2671"/>
    <s v="Debit Card"/>
    <x v="0"/>
    <x v="6"/>
    <x v="1"/>
    <x v="293"/>
    <n v="3"/>
  </r>
  <r>
    <s v="ELEC0739"/>
    <s v="Neha Joshi"/>
    <x v="6"/>
    <n v="39"/>
    <x v="8"/>
    <s v="Power Failure"/>
    <x v="8"/>
    <x v="700"/>
    <n v="970"/>
    <n v="1709"/>
    <s v="Debit Card"/>
    <x v="0"/>
    <x v="6"/>
    <x v="7"/>
    <x v="101"/>
    <n v="3.6"/>
  </r>
  <r>
    <s v="ELEC0740"/>
    <s v="Rahul Patel"/>
    <x v="9"/>
    <n v="55"/>
    <x v="2"/>
    <s v="Emergency Repair"/>
    <x v="0"/>
    <x v="701"/>
    <n v="3686"/>
    <n v="1045"/>
    <s v="Debit Card"/>
    <x v="0"/>
    <x v="12"/>
    <x v="8"/>
    <x v="313"/>
    <n v="4.3"/>
  </r>
  <r>
    <s v="ELEC0741"/>
    <s v="Rahul Trivedi"/>
    <x v="4"/>
    <n v="40"/>
    <x v="3"/>
    <s v="Maintenance"/>
    <x v="7"/>
    <x v="702"/>
    <n v="6371"/>
    <n v="2079"/>
    <s v="Cash"/>
    <x v="1"/>
    <x v="11"/>
    <x v="10"/>
    <x v="280"/>
    <n v="4.2"/>
  </r>
  <r>
    <s v="ELEC0742"/>
    <s v="Jay Trivedi"/>
    <x v="6"/>
    <n v="54"/>
    <x v="4"/>
    <s v="Electrical Inspection"/>
    <x v="8"/>
    <x v="703"/>
    <n v="4269"/>
    <n v="2095"/>
    <s v="Debit Card"/>
    <x v="0"/>
    <x v="4"/>
    <x v="4"/>
    <x v="130"/>
    <n v="3.7"/>
  </r>
  <r>
    <s v="ELEC0743"/>
    <s v="Simran Shah"/>
    <x v="0"/>
    <n v="46"/>
    <x v="3"/>
    <s v="New Connection"/>
    <x v="5"/>
    <x v="704"/>
    <n v="2540"/>
    <n v="935"/>
    <s v="Debit Card"/>
    <x v="1"/>
    <x v="3"/>
    <x v="2"/>
    <x v="13"/>
    <n v="1.1000000000000001"/>
  </r>
  <r>
    <s v="ELEC0744"/>
    <s v="Jay Chauhan"/>
    <x v="9"/>
    <n v="65"/>
    <x v="3"/>
    <s v="Power Failure"/>
    <x v="5"/>
    <x v="705"/>
    <n v="6223"/>
    <n v="378"/>
    <s v="Net Banking"/>
    <x v="2"/>
    <x v="15"/>
    <x v="10"/>
    <x v="81"/>
    <n v="4.5"/>
  </r>
  <r>
    <s v="ELEC0745"/>
    <s v="Neha Pandya"/>
    <x v="7"/>
    <n v="65"/>
    <x v="0"/>
    <s v="Emergency Repair"/>
    <x v="5"/>
    <x v="706"/>
    <n v="6741"/>
    <n v="2464"/>
    <s v="Net Banking"/>
    <x v="1"/>
    <x v="5"/>
    <x v="4"/>
    <x v="43"/>
    <n v="3.5"/>
  </r>
  <r>
    <s v="ELEC0746"/>
    <s v="Anjali Singh"/>
    <x v="5"/>
    <n v="31"/>
    <x v="6"/>
    <s v="Maintenance"/>
    <x v="7"/>
    <x v="707"/>
    <n v="865"/>
    <n v="2093"/>
    <s v="Credit Card"/>
    <x v="0"/>
    <x v="9"/>
    <x v="5"/>
    <x v="106"/>
    <n v="3.2"/>
  </r>
  <r>
    <s v="ELEC0747"/>
    <s v="Jay Rao"/>
    <x v="6"/>
    <n v="46"/>
    <x v="1"/>
    <s v="Short Circuit"/>
    <x v="2"/>
    <x v="708"/>
    <n v="1439"/>
    <n v="759"/>
    <s v="Debit Card"/>
    <x v="1"/>
    <x v="4"/>
    <x v="5"/>
    <x v="146"/>
    <n v="3.2"/>
  </r>
  <r>
    <s v="ELEC0748"/>
    <s v="Aditya Patel"/>
    <x v="1"/>
    <n v="63"/>
    <x v="0"/>
    <s v="Emergency Repair"/>
    <x v="9"/>
    <x v="709"/>
    <n v="4356"/>
    <n v="1343"/>
    <s v="Cash"/>
    <x v="0"/>
    <x v="6"/>
    <x v="0"/>
    <x v="146"/>
    <n v="4.5"/>
  </r>
  <r>
    <s v="ELEC0749"/>
    <s v="Rahul Mehta"/>
    <x v="7"/>
    <n v="55"/>
    <x v="2"/>
    <s v="New Connection"/>
    <x v="0"/>
    <x v="710"/>
    <n v="6000"/>
    <n v="245"/>
    <s v="UPI"/>
    <x v="2"/>
    <x v="6"/>
    <x v="5"/>
    <x v="81"/>
    <n v="4.3"/>
  </r>
  <r>
    <s v="ELEC0750"/>
    <s v="Priya Shah"/>
    <x v="2"/>
    <n v="64"/>
    <x v="8"/>
    <s v="Maintenance"/>
    <x v="8"/>
    <x v="711"/>
    <n v="6207"/>
    <n v="395"/>
    <s v="Cash"/>
    <x v="0"/>
    <x v="13"/>
    <x v="6"/>
    <x v="303"/>
    <n v="3.9"/>
  </r>
  <r>
    <s v="ELEC0751"/>
    <s v="Jay Shah"/>
    <x v="0"/>
    <n v="49"/>
    <x v="1"/>
    <s v="Electrical Inspection"/>
    <x v="3"/>
    <x v="712"/>
    <n v="898"/>
    <n v="1745"/>
    <s v="UPI"/>
    <x v="0"/>
    <x v="2"/>
    <x v="1"/>
    <x v="201"/>
    <n v="3.5"/>
  </r>
  <r>
    <s v="ELEC0752"/>
    <s v="Priya Patel"/>
    <x v="2"/>
    <n v="47"/>
    <x v="1"/>
    <s v="Short Circuit"/>
    <x v="4"/>
    <x v="713"/>
    <n v="2074"/>
    <n v="2985"/>
    <s v="UPI"/>
    <x v="1"/>
    <x v="12"/>
    <x v="4"/>
    <x v="133"/>
    <n v="4.9000000000000004"/>
  </r>
  <r>
    <s v="ELEC0753"/>
    <s v="Rahul Sharma"/>
    <x v="8"/>
    <n v="53"/>
    <x v="9"/>
    <s v="Fuse Problem"/>
    <x v="4"/>
    <x v="714"/>
    <n v="5104"/>
    <n v="2767"/>
    <s v="Debit Card"/>
    <x v="2"/>
    <x v="12"/>
    <x v="6"/>
    <x v="165"/>
    <n v="4.4000000000000004"/>
  </r>
  <r>
    <s v="ELEC0754"/>
    <s v="Rohan Joshi"/>
    <x v="6"/>
    <n v="27"/>
    <x v="4"/>
    <s v="Fuse Problem"/>
    <x v="9"/>
    <x v="715"/>
    <n v="622"/>
    <n v="1847"/>
    <s v="Debit Card"/>
    <x v="1"/>
    <x v="11"/>
    <x v="3"/>
    <x v="314"/>
    <n v="3.5"/>
  </r>
  <r>
    <s v="ELEC0755"/>
    <s v="Sneha Patel"/>
    <x v="0"/>
    <n v="62"/>
    <x v="3"/>
    <s v="Fuse Problem"/>
    <x v="3"/>
    <x v="716"/>
    <n v="1051"/>
    <n v="1095"/>
    <s v="Cash"/>
    <x v="2"/>
    <x v="13"/>
    <x v="9"/>
    <x v="198"/>
    <n v="4.7"/>
  </r>
  <r>
    <s v="ELEC0756"/>
    <s v="Nidhi Mistry"/>
    <x v="4"/>
    <n v="31"/>
    <x v="6"/>
    <s v="Power Failure"/>
    <x v="6"/>
    <x v="717"/>
    <n v="3157"/>
    <n v="2784"/>
    <s v="UPI"/>
    <x v="2"/>
    <x v="9"/>
    <x v="10"/>
    <x v="306"/>
    <n v="4.7"/>
  </r>
  <r>
    <s v="ELEC0757"/>
    <s v="Anjali Rao"/>
    <x v="5"/>
    <n v="25"/>
    <x v="4"/>
    <s v="Short Circuit"/>
    <x v="6"/>
    <x v="718"/>
    <n v="5292"/>
    <n v="2038"/>
    <s v="Net Banking"/>
    <x v="2"/>
    <x v="9"/>
    <x v="1"/>
    <x v="88"/>
    <n v="4.5"/>
  </r>
  <r>
    <s v="ELEC0758"/>
    <s v="Aarav Joshi"/>
    <x v="2"/>
    <n v="60"/>
    <x v="9"/>
    <s v="Voltage Issue"/>
    <x v="1"/>
    <x v="719"/>
    <n v="6544"/>
    <n v="1955"/>
    <s v="UPI"/>
    <x v="0"/>
    <x v="8"/>
    <x v="4"/>
    <x v="315"/>
    <n v="4"/>
  </r>
  <r>
    <s v="ELEC0759"/>
    <s v="Simran Desai"/>
    <x v="0"/>
    <n v="33"/>
    <x v="7"/>
    <s v="Routine Service"/>
    <x v="1"/>
    <x v="720"/>
    <n v="5759"/>
    <n v="355"/>
    <s v="Credit Card"/>
    <x v="2"/>
    <x v="4"/>
    <x v="9"/>
    <x v="303"/>
    <n v="3.9"/>
  </r>
  <r>
    <s v="ELEC0760"/>
    <s v="Karan Mehta"/>
    <x v="3"/>
    <n v="62"/>
    <x v="1"/>
    <s v="Equipment Upgrade"/>
    <x v="5"/>
    <x v="721"/>
    <n v="5808"/>
    <n v="1381"/>
    <s v="UPI"/>
    <x v="2"/>
    <x v="12"/>
    <x v="7"/>
    <x v="100"/>
    <n v="3.2"/>
  </r>
  <r>
    <s v="ELEC0761"/>
    <s v="Priya Kapoor"/>
    <x v="2"/>
    <n v="63"/>
    <x v="0"/>
    <s v="Maintenance"/>
    <x v="6"/>
    <x v="722"/>
    <n v="3625"/>
    <n v="2335"/>
    <s v="Debit Card"/>
    <x v="1"/>
    <x v="7"/>
    <x v="0"/>
    <x v="147"/>
    <n v="3.7"/>
  </r>
  <r>
    <s v="ELEC0762"/>
    <s v="Aditya Joshi"/>
    <x v="2"/>
    <n v="61"/>
    <x v="7"/>
    <s v="Maintenance"/>
    <x v="9"/>
    <x v="723"/>
    <n v="1251"/>
    <n v="911"/>
    <s v="Net Banking"/>
    <x v="1"/>
    <x v="15"/>
    <x v="1"/>
    <x v="188"/>
    <n v="3.3"/>
  </r>
  <r>
    <s v="ELEC0763"/>
    <s v="Aditya Singh"/>
    <x v="5"/>
    <n v="40"/>
    <x v="7"/>
    <s v="Maintenance"/>
    <x v="1"/>
    <x v="724"/>
    <n v="3973"/>
    <n v="922"/>
    <s v="Debit Card"/>
    <x v="0"/>
    <x v="3"/>
    <x v="8"/>
    <x v="316"/>
    <n v="5"/>
  </r>
  <r>
    <s v="ELEC0764"/>
    <s v="Priya Mehta"/>
    <x v="5"/>
    <n v="26"/>
    <x v="4"/>
    <s v="Routine Service"/>
    <x v="5"/>
    <x v="725"/>
    <n v="1874"/>
    <n v="2128"/>
    <s v="UPI"/>
    <x v="2"/>
    <x v="14"/>
    <x v="9"/>
    <x v="227"/>
    <n v="4.3"/>
  </r>
  <r>
    <s v="ELEC0765"/>
    <s v="Meera Sharma"/>
    <x v="8"/>
    <n v="48"/>
    <x v="9"/>
    <s v="Voltage Issue"/>
    <x v="6"/>
    <x v="726"/>
    <n v="4900"/>
    <n v="825"/>
    <s v="Debit Card"/>
    <x v="0"/>
    <x v="6"/>
    <x v="8"/>
    <x v="96"/>
    <n v="4.8"/>
  </r>
  <r>
    <s v="ELEC0766"/>
    <s v="Neha Desai"/>
    <x v="0"/>
    <n v="45"/>
    <x v="8"/>
    <s v="Electrical Inspection"/>
    <x v="8"/>
    <x v="727"/>
    <n v="1089"/>
    <n v="1564"/>
    <s v="UPI"/>
    <x v="0"/>
    <x v="7"/>
    <x v="1"/>
    <x v="116"/>
    <n v="3.8"/>
  </r>
  <r>
    <s v="ELEC0767"/>
    <s v="Aarav Sharma"/>
    <x v="1"/>
    <n v="44"/>
    <x v="5"/>
    <s v="Routine Service"/>
    <x v="5"/>
    <x v="728"/>
    <n v="3732"/>
    <n v="1728"/>
    <s v="Debit Card"/>
    <x v="0"/>
    <x v="3"/>
    <x v="9"/>
    <x v="29"/>
    <n v="5"/>
  </r>
  <r>
    <s v="ELEC0768"/>
    <s v="Vivaan Chauhan"/>
    <x v="7"/>
    <n v="45"/>
    <x v="3"/>
    <s v="New Connection"/>
    <x v="1"/>
    <x v="729"/>
    <n v="6750"/>
    <n v="1987"/>
    <s v="Net Banking"/>
    <x v="0"/>
    <x v="3"/>
    <x v="2"/>
    <x v="54"/>
    <n v="1.2"/>
  </r>
  <r>
    <s v="ELEC0769"/>
    <s v="Meera Pandya"/>
    <x v="3"/>
    <n v="65"/>
    <x v="1"/>
    <s v="Routine Service"/>
    <x v="5"/>
    <x v="730"/>
    <n v="6526"/>
    <n v="1210"/>
    <s v="Cash"/>
    <x v="1"/>
    <x v="11"/>
    <x v="7"/>
    <x v="317"/>
    <n v="4.9000000000000004"/>
  </r>
  <r>
    <s v="ELEC0770"/>
    <s v="Karan Mehta"/>
    <x v="4"/>
    <n v="50"/>
    <x v="7"/>
    <s v="Voltage Issue"/>
    <x v="1"/>
    <x v="731"/>
    <n v="5432"/>
    <n v="2568"/>
    <s v="Cash"/>
    <x v="2"/>
    <x v="11"/>
    <x v="2"/>
    <x v="286"/>
    <n v="2.5"/>
  </r>
  <r>
    <s v="ELEC0771"/>
    <s v="Aditya Pandya"/>
    <x v="8"/>
    <n v="46"/>
    <x v="3"/>
    <s v="Power Failure"/>
    <x v="7"/>
    <x v="732"/>
    <n v="2046"/>
    <n v="1932"/>
    <s v="Credit Card"/>
    <x v="1"/>
    <x v="0"/>
    <x v="8"/>
    <x v="318"/>
    <n v="3.8"/>
  </r>
  <r>
    <s v="ELEC0772"/>
    <s v="Isha Kapoor"/>
    <x v="8"/>
    <n v="58"/>
    <x v="6"/>
    <s v="Routine Service"/>
    <x v="0"/>
    <x v="733"/>
    <n v="1395"/>
    <n v="2805"/>
    <s v="Credit Card"/>
    <x v="2"/>
    <x v="13"/>
    <x v="7"/>
    <x v="319"/>
    <n v="3"/>
  </r>
  <r>
    <s v="ELEC0773"/>
    <s v="Priya Chauhan"/>
    <x v="8"/>
    <n v="65"/>
    <x v="6"/>
    <s v="Short Circuit"/>
    <x v="9"/>
    <x v="734"/>
    <n v="4528"/>
    <n v="206"/>
    <s v="Debit Card"/>
    <x v="0"/>
    <x v="13"/>
    <x v="3"/>
    <x v="320"/>
    <n v="4.9000000000000004"/>
  </r>
  <r>
    <s v="ELEC0774"/>
    <s v="Neha Shah"/>
    <x v="8"/>
    <n v="31"/>
    <x v="7"/>
    <s v="Fuse Problem"/>
    <x v="9"/>
    <x v="735"/>
    <n v="6267"/>
    <n v="750"/>
    <s v="Debit Card"/>
    <x v="1"/>
    <x v="6"/>
    <x v="6"/>
    <x v="273"/>
    <n v="3.5"/>
  </r>
  <r>
    <s v="ELEC0775"/>
    <s v="Riya Rao"/>
    <x v="6"/>
    <n v="32"/>
    <x v="0"/>
    <s v="Short Circuit"/>
    <x v="9"/>
    <x v="736"/>
    <n v="6719"/>
    <n v="985"/>
    <s v="Net Banking"/>
    <x v="2"/>
    <x v="2"/>
    <x v="3"/>
    <x v="64"/>
    <n v="4.3"/>
  </r>
  <r>
    <s v="ELEC0776"/>
    <s v="Rohan Rao"/>
    <x v="9"/>
    <n v="26"/>
    <x v="6"/>
    <s v="Power Failure"/>
    <x v="5"/>
    <x v="2"/>
    <n v="1521"/>
    <n v="1333"/>
    <s v="Debit Card"/>
    <x v="2"/>
    <x v="11"/>
    <x v="9"/>
    <x v="262"/>
    <n v="4.8"/>
  </r>
  <r>
    <s v="ELEC0777"/>
    <s v="Meera Pandya"/>
    <x v="7"/>
    <n v="21"/>
    <x v="1"/>
    <s v="Voltage Issue"/>
    <x v="3"/>
    <x v="737"/>
    <n v="5950"/>
    <n v="2585"/>
    <s v="Net Banking"/>
    <x v="1"/>
    <x v="11"/>
    <x v="4"/>
    <x v="299"/>
    <n v="4.7"/>
  </r>
  <r>
    <s v="ELEC0778"/>
    <s v="Aarav Singh"/>
    <x v="4"/>
    <n v="54"/>
    <x v="6"/>
    <s v="Emergency Repair"/>
    <x v="8"/>
    <x v="738"/>
    <n v="6700"/>
    <n v="1580"/>
    <s v="Credit Card"/>
    <x v="2"/>
    <x v="5"/>
    <x v="7"/>
    <x v="151"/>
    <n v="3.9"/>
  </r>
  <r>
    <s v="ELEC0779"/>
    <s v="Anjali Rao"/>
    <x v="6"/>
    <n v="44"/>
    <x v="2"/>
    <s v="Routine Service"/>
    <x v="6"/>
    <x v="739"/>
    <n v="968"/>
    <n v="1658"/>
    <s v="Debit Card"/>
    <x v="2"/>
    <x v="10"/>
    <x v="2"/>
    <x v="321"/>
    <n v="1.2"/>
  </r>
  <r>
    <s v="ELEC0780"/>
    <s v="Jay Shah"/>
    <x v="9"/>
    <n v="22"/>
    <x v="3"/>
    <s v="Power Failure"/>
    <x v="7"/>
    <x v="502"/>
    <n v="2789"/>
    <n v="1218"/>
    <s v="Debit Card"/>
    <x v="2"/>
    <x v="8"/>
    <x v="5"/>
    <x v="195"/>
    <n v="3.4"/>
  </r>
  <r>
    <s v="ELEC0781"/>
    <s v="Priya Sharma"/>
    <x v="3"/>
    <n v="22"/>
    <x v="4"/>
    <s v="Short Circuit"/>
    <x v="4"/>
    <x v="740"/>
    <n v="6053"/>
    <n v="2019"/>
    <s v="Cash"/>
    <x v="1"/>
    <x v="7"/>
    <x v="3"/>
    <x v="140"/>
    <n v="3.5"/>
  </r>
  <r>
    <s v="ELEC0782"/>
    <s v="Simran Singh"/>
    <x v="5"/>
    <n v="63"/>
    <x v="9"/>
    <s v="Routine Service"/>
    <x v="2"/>
    <x v="741"/>
    <n v="5473"/>
    <n v="999"/>
    <s v="Net Banking"/>
    <x v="1"/>
    <x v="15"/>
    <x v="6"/>
    <x v="104"/>
    <n v="3.6"/>
  </r>
  <r>
    <s v="ELEC0783"/>
    <s v="Vivaan Verma"/>
    <x v="5"/>
    <n v="26"/>
    <x v="6"/>
    <s v="Equipment Upgrade"/>
    <x v="8"/>
    <x v="742"/>
    <n v="1876"/>
    <n v="2027"/>
    <s v="Net Banking"/>
    <x v="0"/>
    <x v="6"/>
    <x v="2"/>
    <x v="189"/>
    <n v="2"/>
  </r>
  <r>
    <s v="ELEC0784"/>
    <s v="Sneha Joshi"/>
    <x v="6"/>
    <n v="31"/>
    <x v="9"/>
    <s v="Power Failure"/>
    <x v="5"/>
    <x v="743"/>
    <n v="6363"/>
    <n v="319"/>
    <s v="Credit Card"/>
    <x v="1"/>
    <x v="2"/>
    <x v="7"/>
    <x v="253"/>
    <n v="4.7"/>
  </r>
  <r>
    <s v="ELEC0785"/>
    <s v="Sneha Shah"/>
    <x v="0"/>
    <n v="63"/>
    <x v="5"/>
    <s v="Power Failure"/>
    <x v="9"/>
    <x v="744"/>
    <n v="4878"/>
    <n v="2795"/>
    <s v="Net Banking"/>
    <x v="1"/>
    <x v="1"/>
    <x v="7"/>
    <x v="302"/>
    <n v="3.5"/>
  </r>
  <r>
    <s v="ELEC0786"/>
    <s v="Amit Patel"/>
    <x v="3"/>
    <n v="45"/>
    <x v="2"/>
    <s v="Equipment Upgrade"/>
    <x v="5"/>
    <x v="745"/>
    <n v="2411"/>
    <n v="1115"/>
    <s v="Cash"/>
    <x v="2"/>
    <x v="3"/>
    <x v="4"/>
    <x v="322"/>
    <n v="4.5999999999999996"/>
  </r>
  <r>
    <s v="ELEC0787"/>
    <s v="Anjali Shah"/>
    <x v="4"/>
    <n v="33"/>
    <x v="9"/>
    <s v="Electrical Inspection"/>
    <x v="4"/>
    <x v="746"/>
    <n v="1543"/>
    <n v="1483"/>
    <s v="Credit Card"/>
    <x v="1"/>
    <x v="12"/>
    <x v="2"/>
    <x v="263"/>
    <n v="1.7"/>
  </r>
  <r>
    <s v="ELEC0788"/>
    <s v="Vivaan Trivedi"/>
    <x v="1"/>
    <n v="33"/>
    <x v="2"/>
    <s v="Routine Service"/>
    <x v="4"/>
    <x v="747"/>
    <n v="6818"/>
    <n v="1695"/>
    <s v="Net Banking"/>
    <x v="1"/>
    <x v="2"/>
    <x v="10"/>
    <x v="245"/>
    <n v="3.9"/>
  </r>
  <r>
    <s v="ELEC0789"/>
    <s v="Riya Joshi"/>
    <x v="7"/>
    <n v="46"/>
    <x v="1"/>
    <s v="Equipment Upgrade"/>
    <x v="8"/>
    <x v="748"/>
    <n v="3088"/>
    <n v="792"/>
    <s v="Debit Card"/>
    <x v="1"/>
    <x v="3"/>
    <x v="1"/>
    <x v="118"/>
    <n v="4.5"/>
  </r>
  <r>
    <s v="ELEC0790"/>
    <s v="Karan Trivedi"/>
    <x v="0"/>
    <n v="30"/>
    <x v="1"/>
    <s v="Electrical Inspection"/>
    <x v="4"/>
    <x v="749"/>
    <n v="3030"/>
    <n v="2257"/>
    <s v="Net Banking"/>
    <x v="2"/>
    <x v="10"/>
    <x v="2"/>
    <x v="323"/>
    <n v="1.9"/>
  </r>
  <r>
    <s v="ELEC0791"/>
    <s v="Meera Pandya"/>
    <x v="6"/>
    <n v="52"/>
    <x v="6"/>
    <s v="Routine Service"/>
    <x v="3"/>
    <x v="750"/>
    <n v="3229"/>
    <n v="825"/>
    <s v="Cash"/>
    <x v="1"/>
    <x v="12"/>
    <x v="1"/>
    <x v="195"/>
    <n v="4.5"/>
  </r>
  <r>
    <s v="ELEC0792"/>
    <s v="Rahul Rao"/>
    <x v="5"/>
    <n v="46"/>
    <x v="6"/>
    <s v="New Connection"/>
    <x v="3"/>
    <x v="751"/>
    <n v="4988"/>
    <n v="1806"/>
    <s v="Debit Card"/>
    <x v="0"/>
    <x v="9"/>
    <x v="5"/>
    <x v="53"/>
    <n v="4.5999999999999996"/>
  </r>
  <r>
    <s v="ELEC0793"/>
    <s v="Jay Patel"/>
    <x v="1"/>
    <n v="39"/>
    <x v="6"/>
    <s v="Maintenance"/>
    <x v="7"/>
    <x v="752"/>
    <n v="3725"/>
    <n v="598"/>
    <s v="Credit Card"/>
    <x v="1"/>
    <x v="13"/>
    <x v="9"/>
    <x v="305"/>
    <n v="3.6"/>
  </r>
  <r>
    <s v="ELEC0794"/>
    <s v="Krishna Pandya"/>
    <x v="9"/>
    <n v="57"/>
    <x v="7"/>
    <s v="Emergency Repair"/>
    <x v="8"/>
    <x v="753"/>
    <n v="2884"/>
    <n v="793"/>
    <s v="Cash"/>
    <x v="2"/>
    <x v="13"/>
    <x v="1"/>
    <x v="38"/>
    <n v="4.3"/>
  </r>
  <r>
    <s v="ELEC0795"/>
    <s v="Simran Shah"/>
    <x v="4"/>
    <n v="27"/>
    <x v="7"/>
    <s v="Routine Service"/>
    <x v="5"/>
    <x v="754"/>
    <n v="6066"/>
    <n v="889"/>
    <s v="Debit Card"/>
    <x v="1"/>
    <x v="10"/>
    <x v="2"/>
    <x v="16"/>
    <n v="2.2000000000000002"/>
  </r>
  <r>
    <s v="ELEC0796"/>
    <s v="Rahul Sharma"/>
    <x v="7"/>
    <n v="53"/>
    <x v="4"/>
    <s v="Electrical Inspection"/>
    <x v="5"/>
    <x v="755"/>
    <n v="1717"/>
    <n v="2768"/>
    <s v="UPI"/>
    <x v="1"/>
    <x v="12"/>
    <x v="0"/>
    <x v="271"/>
    <n v="4.8"/>
  </r>
  <r>
    <s v="ELEC0797"/>
    <s v="Jay Desai"/>
    <x v="0"/>
    <n v="65"/>
    <x v="3"/>
    <s v="New Connection"/>
    <x v="5"/>
    <x v="756"/>
    <n v="6855"/>
    <n v="2947"/>
    <s v="Debit Card"/>
    <x v="2"/>
    <x v="13"/>
    <x v="5"/>
    <x v="25"/>
    <n v="4.4000000000000004"/>
  </r>
  <r>
    <s v="ELEC0798"/>
    <s v="Pooja Pandya"/>
    <x v="5"/>
    <n v="44"/>
    <x v="1"/>
    <s v="Power Failure"/>
    <x v="0"/>
    <x v="757"/>
    <n v="1176"/>
    <n v="699"/>
    <s v="Cash"/>
    <x v="0"/>
    <x v="9"/>
    <x v="6"/>
    <x v="324"/>
    <n v="3.5"/>
  </r>
  <r>
    <s v="ELEC0799"/>
    <s v="Riya Trivedi"/>
    <x v="4"/>
    <n v="51"/>
    <x v="6"/>
    <s v="Power Failure"/>
    <x v="6"/>
    <x v="758"/>
    <n v="1983"/>
    <n v="1772"/>
    <s v="Net Banking"/>
    <x v="2"/>
    <x v="9"/>
    <x v="3"/>
    <x v="100"/>
    <n v="3.8"/>
  </r>
  <r>
    <s v="ELEC0800"/>
    <s v="Karan Patel"/>
    <x v="3"/>
    <n v="25"/>
    <x v="8"/>
    <s v="New Connection"/>
    <x v="5"/>
    <x v="759"/>
    <n v="6240"/>
    <n v="280"/>
    <s v="Debit Card"/>
    <x v="2"/>
    <x v="15"/>
    <x v="6"/>
    <x v="325"/>
    <n v="3"/>
  </r>
  <r>
    <s v="ELEC0801"/>
    <s v="Aditya Kapoor"/>
    <x v="4"/>
    <n v="55"/>
    <x v="9"/>
    <s v="Maintenance"/>
    <x v="0"/>
    <x v="760"/>
    <n v="1980"/>
    <n v="2653"/>
    <s v="Credit Card"/>
    <x v="1"/>
    <x v="11"/>
    <x v="6"/>
    <x v="243"/>
    <n v="3.8"/>
  </r>
  <r>
    <s v="ELEC0802"/>
    <s v="Rohan Sharma"/>
    <x v="9"/>
    <n v="57"/>
    <x v="0"/>
    <s v="New Connection"/>
    <x v="0"/>
    <x v="761"/>
    <n v="5107"/>
    <n v="1251"/>
    <s v="Cash"/>
    <x v="2"/>
    <x v="10"/>
    <x v="2"/>
    <x v="326"/>
    <n v="1.3"/>
  </r>
  <r>
    <s v="ELEC0803"/>
    <s v="Isha Mehta"/>
    <x v="3"/>
    <n v="55"/>
    <x v="7"/>
    <s v="Routine Service"/>
    <x v="3"/>
    <x v="762"/>
    <n v="2534"/>
    <n v="1431"/>
    <s v="Net Banking"/>
    <x v="1"/>
    <x v="14"/>
    <x v="8"/>
    <x v="116"/>
    <n v="3.5"/>
  </r>
  <r>
    <s v="ELEC0804"/>
    <s v="Krishna Verma"/>
    <x v="4"/>
    <n v="52"/>
    <x v="4"/>
    <s v="Equipment Upgrade"/>
    <x v="4"/>
    <x v="763"/>
    <n v="5465"/>
    <n v="2404"/>
    <s v="Cash"/>
    <x v="1"/>
    <x v="4"/>
    <x v="4"/>
    <x v="164"/>
    <n v="4.2"/>
  </r>
  <r>
    <s v="ELEC0805"/>
    <s v="Sneha Sharma"/>
    <x v="6"/>
    <n v="30"/>
    <x v="6"/>
    <s v="Maintenance"/>
    <x v="9"/>
    <x v="437"/>
    <n v="5432"/>
    <n v="2461"/>
    <s v="Net Banking"/>
    <x v="1"/>
    <x v="5"/>
    <x v="8"/>
    <x v="327"/>
    <n v="5"/>
  </r>
  <r>
    <s v="ELEC0806"/>
    <s v="Yash Patel"/>
    <x v="1"/>
    <n v="37"/>
    <x v="6"/>
    <s v="Routine Service"/>
    <x v="9"/>
    <x v="764"/>
    <n v="3777"/>
    <n v="2068"/>
    <s v="UPI"/>
    <x v="2"/>
    <x v="3"/>
    <x v="3"/>
    <x v="70"/>
    <n v="3.6"/>
  </r>
  <r>
    <s v="ELEC0807"/>
    <s v="Nidhi Joshi"/>
    <x v="7"/>
    <n v="61"/>
    <x v="6"/>
    <s v="Maintenance"/>
    <x v="4"/>
    <x v="765"/>
    <n v="5117"/>
    <n v="2892"/>
    <s v="Debit Card"/>
    <x v="1"/>
    <x v="14"/>
    <x v="9"/>
    <x v="318"/>
    <n v="3.4"/>
  </r>
  <r>
    <s v="ELEC0808"/>
    <s v="Karan Gupta"/>
    <x v="8"/>
    <n v="45"/>
    <x v="1"/>
    <s v="Electrical Inspection"/>
    <x v="1"/>
    <x v="766"/>
    <n v="1135"/>
    <n v="1306"/>
    <s v="Cash"/>
    <x v="2"/>
    <x v="1"/>
    <x v="6"/>
    <x v="328"/>
    <n v="3"/>
  </r>
  <r>
    <s v="ELEC0809"/>
    <s v="Anjali Pandya"/>
    <x v="7"/>
    <n v="44"/>
    <x v="4"/>
    <s v="Voltage Issue"/>
    <x v="9"/>
    <x v="63"/>
    <n v="2349"/>
    <n v="1320"/>
    <s v="Cash"/>
    <x v="1"/>
    <x v="0"/>
    <x v="1"/>
    <x v="239"/>
    <n v="3.6"/>
  </r>
  <r>
    <s v="ELEC0810"/>
    <s v="Rohan Verma"/>
    <x v="1"/>
    <n v="40"/>
    <x v="3"/>
    <s v="Emergency Repair"/>
    <x v="0"/>
    <x v="767"/>
    <n v="4833"/>
    <n v="1629"/>
    <s v="Credit Card"/>
    <x v="1"/>
    <x v="15"/>
    <x v="8"/>
    <x v="207"/>
    <n v="3.1"/>
  </r>
  <r>
    <s v="ELEC0811"/>
    <s v="Amit Patel"/>
    <x v="2"/>
    <n v="31"/>
    <x v="4"/>
    <s v="Routine Service"/>
    <x v="9"/>
    <x v="768"/>
    <n v="3327"/>
    <n v="2976"/>
    <s v="Net Banking"/>
    <x v="0"/>
    <x v="12"/>
    <x v="2"/>
    <x v="201"/>
    <n v="1.6"/>
  </r>
  <r>
    <s v="ELEC0812"/>
    <s v="Jay Desai"/>
    <x v="4"/>
    <n v="29"/>
    <x v="6"/>
    <s v="Short Circuit"/>
    <x v="7"/>
    <x v="769"/>
    <n v="6342"/>
    <n v="836"/>
    <s v="Credit Card"/>
    <x v="2"/>
    <x v="6"/>
    <x v="3"/>
    <x v="266"/>
    <n v="4.4000000000000004"/>
  </r>
  <r>
    <s v="ELEC0813"/>
    <s v="Vivaan Chauhan"/>
    <x v="3"/>
    <n v="36"/>
    <x v="3"/>
    <s v="Routine Service"/>
    <x v="8"/>
    <x v="770"/>
    <n v="1999"/>
    <n v="1997"/>
    <s v="Credit Card"/>
    <x v="0"/>
    <x v="6"/>
    <x v="2"/>
    <x v="199"/>
    <n v="2.7"/>
  </r>
  <r>
    <s v="ELEC0814"/>
    <s v="Pooja Singh"/>
    <x v="1"/>
    <n v="35"/>
    <x v="6"/>
    <s v="Power Failure"/>
    <x v="2"/>
    <x v="771"/>
    <n v="3830"/>
    <n v="1480"/>
    <s v="UPI"/>
    <x v="2"/>
    <x v="9"/>
    <x v="4"/>
    <x v="329"/>
    <n v="4.2"/>
  </r>
  <r>
    <s v="ELEC0815"/>
    <s v="Aditya Verma"/>
    <x v="4"/>
    <n v="24"/>
    <x v="9"/>
    <s v="Voltage Issue"/>
    <x v="7"/>
    <x v="772"/>
    <n v="4537"/>
    <n v="243"/>
    <s v="Net Banking"/>
    <x v="0"/>
    <x v="6"/>
    <x v="2"/>
    <x v="238"/>
    <n v="2.2999999999999998"/>
  </r>
  <r>
    <s v="ELEC0816"/>
    <s v="Karan Desai"/>
    <x v="5"/>
    <n v="53"/>
    <x v="8"/>
    <s v="Power Failure"/>
    <x v="5"/>
    <x v="773"/>
    <n v="613"/>
    <n v="2724"/>
    <s v="Net Banking"/>
    <x v="0"/>
    <x v="15"/>
    <x v="0"/>
    <x v="74"/>
    <n v="3.7"/>
  </r>
  <r>
    <s v="ELEC0817"/>
    <s v="Simran Joshi"/>
    <x v="1"/>
    <n v="64"/>
    <x v="3"/>
    <s v="Short Circuit"/>
    <x v="6"/>
    <x v="774"/>
    <n v="4175"/>
    <n v="890"/>
    <s v="UPI"/>
    <x v="0"/>
    <x v="2"/>
    <x v="6"/>
    <x v="191"/>
    <n v="3.8"/>
  </r>
  <r>
    <s v="ELEC0818"/>
    <s v="Aditya Gupta"/>
    <x v="9"/>
    <n v="53"/>
    <x v="4"/>
    <s v="Short Circuit"/>
    <x v="5"/>
    <x v="775"/>
    <n v="4559"/>
    <n v="1752"/>
    <s v="UPI"/>
    <x v="1"/>
    <x v="1"/>
    <x v="7"/>
    <x v="198"/>
    <n v="4.9000000000000004"/>
  </r>
  <r>
    <s v="ELEC0819"/>
    <s v="Nidhi Rao"/>
    <x v="7"/>
    <n v="39"/>
    <x v="6"/>
    <s v="Emergency Repair"/>
    <x v="2"/>
    <x v="776"/>
    <n v="2668"/>
    <n v="1072"/>
    <s v="UPI"/>
    <x v="0"/>
    <x v="9"/>
    <x v="9"/>
    <x v="80"/>
    <n v="3"/>
  </r>
  <r>
    <s v="ELEC0820"/>
    <s v="Neha Chauhan"/>
    <x v="1"/>
    <n v="23"/>
    <x v="5"/>
    <s v="Electrical Inspection"/>
    <x v="8"/>
    <x v="777"/>
    <n v="971"/>
    <n v="1657"/>
    <s v="Credit Card"/>
    <x v="0"/>
    <x v="7"/>
    <x v="7"/>
    <x v="237"/>
    <n v="3.7"/>
  </r>
  <r>
    <s v="ELEC0821"/>
    <s v="Rohan Sharma"/>
    <x v="3"/>
    <n v="32"/>
    <x v="2"/>
    <s v="Fuse Problem"/>
    <x v="3"/>
    <x v="778"/>
    <n v="1330"/>
    <n v="1964"/>
    <s v="UPI"/>
    <x v="0"/>
    <x v="1"/>
    <x v="6"/>
    <x v="288"/>
    <n v="3.7"/>
  </r>
  <r>
    <s v="ELEC0822"/>
    <s v="Yash Patel"/>
    <x v="5"/>
    <n v="21"/>
    <x v="7"/>
    <s v="Voltage Issue"/>
    <x v="1"/>
    <x v="779"/>
    <n v="4355"/>
    <n v="1819"/>
    <s v="Net Banking"/>
    <x v="0"/>
    <x v="5"/>
    <x v="3"/>
    <x v="311"/>
    <n v="3.9"/>
  </r>
  <r>
    <s v="ELEC0823"/>
    <s v="Pooja Patel"/>
    <x v="5"/>
    <n v="63"/>
    <x v="5"/>
    <s v="New Connection"/>
    <x v="9"/>
    <x v="780"/>
    <n v="3397"/>
    <n v="1977"/>
    <s v="UPI"/>
    <x v="2"/>
    <x v="2"/>
    <x v="1"/>
    <x v="238"/>
    <n v="3.9"/>
  </r>
  <r>
    <s v="ELEC0824"/>
    <s v="Neha Sharma"/>
    <x v="9"/>
    <n v="46"/>
    <x v="2"/>
    <s v="Fuse Problem"/>
    <x v="3"/>
    <x v="781"/>
    <n v="1813"/>
    <n v="2928"/>
    <s v="Debit Card"/>
    <x v="1"/>
    <x v="7"/>
    <x v="8"/>
    <x v="330"/>
    <n v="4.5"/>
  </r>
  <r>
    <s v="ELEC0825"/>
    <s v="Meera Kapoor"/>
    <x v="5"/>
    <n v="64"/>
    <x v="7"/>
    <s v="Fuse Problem"/>
    <x v="5"/>
    <x v="782"/>
    <n v="4611"/>
    <n v="1792"/>
    <s v="UPI"/>
    <x v="0"/>
    <x v="1"/>
    <x v="0"/>
    <x v="238"/>
    <n v="3.4"/>
  </r>
  <r>
    <s v="ELEC0826"/>
    <s v="Simran Kapoor"/>
    <x v="2"/>
    <n v="64"/>
    <x v="0"/>
    <s v="Short Circuit"/>
    <x v="4"/>
    <x v="783"/>
    <n v="4019"/>
    <n v="2645"/>
    <s v="Credit Card"/>
    <x v="2"/>
    <x v="0"/>
    <x v="5"/>
    <x v="194"/>
    <n v="4.4000000000000004"/>
  </r>
  <r>
    <s v="ELEC0827"/>
    <s v="Meera Patel"/>
    <x v="8"/>
    <n v="36"/>
    <x v="3"/>
    <s v="New Connection"/>
    <x v="7"/>
    <x v="784"/>
    <n v="2030"/>
    <n v="1221"/>
    <s v="UPI"/>
    <x v="2"/>
    <x v="1"/>
    <x v="8"/>
    <x v="109"/>
    <n v="4.3"/>
  </r>
  <r>
    <s v="ELEC0828"/>
    <s v="Yash Joshi"/>
    <x v="5"/>
    <n v="27"/>
    <x v="8"/>
    <s v="Electrical Inspection"/>
    <x v="9"/>
    <x v="785"/>
    <n v="2045"/>
    <n v="2621"/>
    <s v="UPI"/>
    <x v="0"/>
    <x v="6"/>
    <x v="1"/>
    <x v="182"/>
    <n v="3.5"/>
  </r>
  <r>
    <s v="ELEC0829"/>
    <s v="Jay Sharma"/>
    <x v="0"/>
    <n v="33"/>
    <x v="7"/>
    <s v="Routine Service"/>
    <x v="3"/>
    <x v="786"/>
    <n v="5550"/>
    <n v="1017"/>
    <s v="Net Banking"/>
    <x v="1"/>
    <x v="11"/>
    <x v="3"/>
    <x v="10"/>
    <n v="3.1"/>
  </r>
  <r>
    <s v="ELEC0830"/>
    <s v="Neha Shah"/>
    <x v="6"/>
    <n v="35"/>
    <x v="4"/>
    <s v="Routine Service"/>
    <x v="8"/>
    <x v="787"/>
    <n v="1002"/>
    <n v="2288"/>
    <s v="Credit Card"/>
    <x v="1"/>
    <x v="11"/>
    <x v="8"/>
    <x v="45"/>
    <n v="4.7"/>
  </r>
  <r>
    <s v="ELEC0831"/>
    <s v="Simran Mehta"/>
    <x v="3"/>
    <n v="47"/>
    <x v="0"/>
    <s v="Fuse Problem"/>
    <x v="3"/>
    <x v="788"/>
    <n v="1988"/>
    <n v="367"/>
    <s v="Credit Card"/>
    <x v="1"/>
    <x v="9"/>
    <x v="7"/>
    <x v="179"/>
    <n v="4.9000000000000004"/>
  </r>
  <r>
    <s v="ELEC0832"/>
    <s v="Meera Mehta"/>
    <x v="4"/>
    <n v="27"/>
    <x v="2"/>
    <s v="New Connection"/>
    <x v="2"/>
    <x v="789"/>
    <n v="4524"/>
    <n v="1689"/>
    <s v="Cash"/>
    <x v="0"/>
    <x v="1"/>
    <x v="4"/>
    <x v="113"/>
    <n v="4.3"/>
  </r>
  <r>
    <s v="ELEC0833"/>
    <s v="Nidhi Mistry"/>
    <x v="9"/>
    <n v="42"/>
    <x v="4"/>
    <s v="Fuse Problem"/>
    <x v="6"/>
    <x v="790"/>
    <n v="4832"/>
    <n v="2676"/>
    <s v="Net Banking"/>
    <x v="2"/>
    <x v="9"/>
    <x v="8"/>
    <x v="152"/>
    <n v="4.0999999999999996"/>
  </r>
  <r>
    <s v="ELEC0834"/>
    <s v="Jay Patel"/>
    <x v="7"/>
    <n v="29"/>
    <x v="3"/>
    <s v="Power Failure"/>
    <x v="3"/>
    <x v="791"/>
    <n v="5305"/>
    <n v="2880"/>
    <s v="Cash"/>
    <x v="1"/>
    <x v="12"/>
    <x v="5"/>
    <x v="331"/>
    <n v="3.7"/>
  </r>
  <r>
    <s v="ELEC0835"/>
    <s v="Nidhi Trivedi"/>
    <x v="3"/>
    <n v="40"/>
    <x v="5"/>
    <s v="Maintenance"/>
    <x v="7"/>
    <x v="792"/>
    <n v="6404"/>
    <n v="829"/>
    <s v="Credit Card"/>
    <x v="1"/>
    <x v="12"/>
    <x v="3"/>
    <x v="332"/>
    <n v="3.4"/>
  </r>
  <r>
    <s v="ELEC0836"/>
    <s v="Nidhi Gupta"/>
    <x v="3"/>
    <n v="49"/>
    <x v="9"/>
    <s v="Routine Service"/>
    <x v="0"/>
    <x v="140"/>
    <n v="4455"/>
    <n v="1916"/>
    <s v="Net Banking"/>
    <x v="1"/>
    <x v="14"/>
    <x v="0"/>
    <x v="333"/>
    <n v="5"/>
  </r>
  <r>
    <s v="ELEC0837"/>
    <s v="Pooja Shah"/>
    <x v="9"/>
    <n v="39"/>
    <x v="1"/>
    <s v="Electrical Inspection"/>
    <x v="3"/>
    <x v="793"/>
    <n v="6183"/>
    <n v="979"/>
    <s v="Net Banking"/>
    <x v="2"/>
    <x v="0"/>
    <x v="5"/>
    <x v="228"/>
    <n v="3.7"/>
  </r>
  <r>
    <s v="ELEC0838"/>
    <s v="Isha Patel"/>
    <x v="9"/>
    <n v="49"/>
    <x v="8"/>
    <s v="Routine Service"/>
    <x v="7"/>
    <x v="794"/>
    <n v="6884"/>
    <n v="1798"/>
    <s v="Cash"/>
    <x v="2"/>
    <x v="3"/>
    <x v="1"/>
    <x v="78"/>
    <n v="3.6"/>
  </r>
  <r>
    <s v="ELEC0839"/>
    <s v="Rahul Trivedi"/>
    <x v="6"/>
    <n v="58"/>
    <x v="1"/>
    <s v="Equipment Upgrade"/>
    <x v="8"/>
    <x v="795"/>
    <n v="4627"/>
    <n v="2350"/>
    <s v="Credit Card"/>
    <x v="0"/>
    <x v="15"/>
    <x v="1"/>
    <x v="55"/>
    <n v="3.6"/>
  </r>
  <r>
    <s v="ELEC0840"/>
    <s v="Nidhi Patel"/>
    <x v="9"/>
    <n v="35"/>
    <x v="1"/>
    <s v="Equipment Upgrade"/>
    <x v="1"/>
    <x v="796"/>
    <n v="2890"/>
    <n v="360"/>
    <s v="Credit Card"/>
    <x v="2"/>
    <x v="2"/>
    <x v="8"/>
    <x v="332"/>
    <n v="4.3"/>
  </r>
  <r>
    <s v="ELEC0841"/>
    <s v="Vivaan Pandya"/>
    <x v="6"/>
    <n v="34"/>
    <x v="8"/>
    <s v="Power Failure"/>
    <x v="3"/>
    <x v="797"/>
    <n v="5813"/>
    <n v="1623"/>
    <s v="Net Banking"/>
    <x v="2"/>
    <x v="5"/>
    <x v="7"/>
    <x v="68"/>
    <n v="3.1"/>
  </r>
  <r>
    <s v="ELEC0842"/>
    <s v="Pooja Shah"/>
    <x v="9"/>
    <n v="47"/>
    <x v="3"/>
    <s v="Voltage Issue"/>
    <x v="4"/>
    <x v="798"/>
    <n v="969"/>
    <n v="2763"/>
    <s v="Credit Card"/>
    <x v="0"/>
    <x v="15"/>
    <x v="7"/>
    <x v="179"/>
    <n v="4.2"/>
  </r>
  <r>
    <s v="ELEC0843"/>
    <s v="Rahul Mehta"/>
    <x v="2"/>
    <n v="55"/>
    <x v="3"/>
    <s v="Power Failure"/>
    <x v="5"/>
    <x v="799"/>
    <n v="5856"/>
    <n v="1254"/>
    <s v="Net Banking"/>
    <x v="2"/>
    <x v="3"/>
    <x v="2"/>
    <x v="52"/>
    <n v="1.3"/>
  </r>
  <r>
    <s v="ELEC0844"/>
    <s v="Priya Rao"/>
    <x v="5"/>
    <n v="35"/>
    <x v="4"/>
    <s v="Voltage Issue"/>
    <x v="1"/>
    <x v="581"/>
    <n v="5264"/>
    <n v="2779"/>
    <s v="Debit Card"/>
    <x v="2"/>
    <x v="13"/>
    <x v="3"/>
    <x v="334"/>
    <n v="3.7"/>
  </r>
  <r>
    <s v="ELEC0845"/>
    <s v="Sneha Shah"/>
    <x v="8"/>
    <n v="44"/>
    <x v="7"/>
    <s v="Emergency Repair"/>
    <x v="0"/>
    <x v="800"/>
    <n v="4562"/>
    <n v="943"/>
    <s v="Net Banking"/>
    <x v="0"/>
    <x v="15"/>
    <x v="10"/>
    <x v="117"/>
    <n v="3.9"/>
  </r>
  <r>
    <s v="ELEC0846"/>
    <s v="Meera Shah"/>
    <x v="9"/>
    <n v="62"/>
    <x v="6"/>
    <s v="Short Circuit"/>
    <x v="2"/>
    <x v="801"/>
    <n v="1834"/>
    <n v="927"/>
    <s v="Cash"/>
    <x v="2"/>
    <x v="9"/>
    <x v="9"/>
    <x v="335"/>
    <n v="5"/>
  </r>
  <r>
    <s v="ELEC0847"/>
    <s v="Karan Patel"/>
    <x v="8"/>
    <n v="36"/>
    <x v="5"/>
    <s v="Routine Service"/>
    <x v="0"/>
    <x v="802"/>
    <n v="6433"/>
    <n v="2357"/>
    <s v="Cash"/>
    <x v="1"/>
    <x v="13"/>
    <x v="0"/>
    <x v="276"/>
    <n v="3"/>
  </r>
  <r>
    <s v="ELEC0848"/>
    <s v="Jay Singh"/>
    <x v="2"/>
    <n v="28"/>
    <x v="1"/>
    <s v="Short Circuit"/>
    <x v="9"/>
    <x v="803"/>
    <n v="2534"/>
    <n v="542"/>
    <s v="Cash"/>
    <x v="0"/>
    <x v="9"/>
    <x v="9"/>
    <x v="189"/>
    <n v="4.9000000000000004"/>
  </r>
  <r>
    <s v="ELEC0849"/>
    <s v="Rohan Kapoor"/>
    <x v="3"/>
    <n v="26"/>
    <x v="0"/>
    <s v="New Connection"/>
    <x v="8"/>
    <x v="804"/>
    <n v="6723"/>
    <n v="2505"/>
    <s v="Credit Card"/>
    <x v="0"/>
    <x v="11"/>
    <x v="2"/>
    <x v="323"/>
    <n v="2.1"/>
  </r>
  <r>
    <s v="ELEC0850"/>
    <s v="Meera Verma"/>
    <x v="6"/>
    <n v="24"/>
    <x v="8"/>
    <s v="Voltage Issue"/>
    <x v="7"/>
    <x v="805"/>
    <n v="1508"/>
    <n v="286"/>
    <s v="Cash"/>
    <x v="1"/>
    <x v="1"/>
    <x v="6"/>
    <x v="113"/>
    <n v="4"/>
  </r>
  <r>
    <s v="ELEC0851"/>
    <s v="Isha Chauhan"/>
    <x v="8"/>
    <n v="30"/>
    <x v="1"/>
    <s v="Maintenance"/>
    <x v="3"/>
    <x v="806"/>
    <n v="2356"/>
    <n v="1949"/>
    <s v="Debit Card"/>
    <x v="2"/>
    <x v="5"/>
    <x v="8"/>
    <x v="220"/>
    <n v="3.5"/>
  </r>
  <r>
    <s v="ELEC0852"/>
    <s v="Rohan Desai"/>
    <x v="9"/>
    <n v="28"/>
    <x v="0"/>
    <s v="Power Failure"/>
    <x v="2"/>
    <x v="807"/>
    <n v="3427"/>
    <n v="512"/>
    <s v="Cash"/>
    <x v="2"/>
    <x v="1"/>
    <x v="7"/>
    <x v="240"/>
    <n v="4.8"/>
  </r>
  <r>
    <s v="ELEC0853"/>
    <s v="Amit Verma"/>
    <x v="9"/>
    <n v="48"/>
    <x v="8"/>
    <s v="Fuse Problem"/>
    <x v="6"/>
    <x v="808"/>
    <n v="1985"/>
    <n v="2982"/>
    <s v="Credit Card"/>
    <x v="0"/>
    <x v="2"/>
    <x v="8"/>
    <x v="251"/>
    <n v="3.3"/>
  </r>
  <r>
    <s v="ELEC0854"/>
    <s v="Simran Chauhan"/>
    <x v="7"/>
    <n v="38"/>
    <x v="5"/>
    <s v="Fuse Problem"/>
    <x v="2"/>
    <x v="809"/>
    <n v="6327"/>
    <n v="512"/>
    <s v="UPI"/>
    <x v="2"/>
    <x v="15"/>
    <x v="10"/>
    <x v="235"/>
    <n v="4.2"/>
  </r>
  <r>
    <s v="ELEC0855"/>
    <s v="Anjali Verma"/>
    <x v="8"/>
    <n v="49"/>
    <x v="5"/>
    <s v="Power Failure"/>
    <x v="0"/>
    <x v="810"/>
    <n v="5233"/>
    <n v="1950"/>
    <s v="Cash"/>
    <x v="2"/>
    <x v="1"/>
    <x v="2"/>
    <x v="92"/>
    <n v="2.7"/>
  </r>
  <r>
    <s v="ELEC0856"/>
    <s v="Anjali Verma"/>
    <x v="9"/>
    <n v="45"/>
    <x v="4"/>
    <s v="Fuse Problem"/>
    <x v="8"/>
    <x v="811"/>
    <n v="3972"/>
    <n v="2171"/>
    <s v="Credit Card"/>
    <x v="0"/>
    <x v="0"/>
    <x v="9"/>
    <x v="321"/>
    <n v="3.2"/>
  </r>
  <r>
    <s v="ELEC0857"/>
    <s v="Karan Mistry"/>
    <x v="6"/>
    <n v="45"/>
    <x v="2"/>
    <s v="Equipment Upgrade"/>
    <x v="8"/>
    <x v="812"/>
    <n v="4913"/>
    <n v="2386"/>
    <s v="Cash"/>
    <x v="2"/>
    <x v="14"/>
    <x v="1"/>
    <x v="246"/>
    <n v="3.4"/>
  </r>
  <r>
    <s v="ELEC0858"/>
    <s v="Riya Shah"/>
    <x v="8"/>
    <n v="54"/>
    <x v="3"/>
    <s v="Maintenance"/>
    <x v="0"/>
    <x v="516"/>
    <n v="2426"/>
    <n v="1681"/>
    <s v="Net Banking"/>
    <x v="0"/>
    <x v="15"/>
    <x v="0"/>
    <x v="185"/>
    <n v="5"/>
  </r>
  <r>
    <s v="ELEC0859"/>
    <s v="Meera Verma"/>
    <x v="7"/>
    <n v="24"/>
    <x v="4"/>
    <s v="Fuse Problem"/>
    <x v="9"/>
    <x v="813"/>
    <n v="2914"/>
    <n v="2085"/>
    <s v="UPI"/>
    <x v="2"/>
    <x v="15"/>
    <x v="6"/>
    <x v="9"/>
    <n v="4.0999999999999996"/>
  </r>
  <r>
    <s v="ELEC0860"/>
    <s v="Priya Rao"/>
    <x v="6"/>
    <n v="24"/>
    <x v="7"/>
    <s v="Power Failure"/>
    <x v="9"/>
    <x v="506"/>
    <n v="3592"/>
    <n v="307"/>
    <s v="Cash"/>
    <x v="1"/>
    <x v="0"/>
    <x v="7"/>
    <x v="283"/>
    <n v="3.4"/>
  </r>
  <r>
    <s v="ELEC0861"/>
    <s v="Riya Patel"/>
    <x v="5"/>
    <n v="59"/>
    <x v="7"/>
    <s v="Short Circuit"/>
    <x v="9"/>
    <x v="814"/>
    <n v="3492"/>
    <n v="778"/>
    <s v="Debit Card"/>
    <x v="1"/>
    <x v="1"/>
    <x v="0"/>
    <x v="233"/>
    <n v="3.3"/>
  </r>
  <r>
    <s v="ELEC0862"/>
    <s v="Karan Mistry"/>
    <x v="9"/>
    <n v="51"/>
    <x v="7"/>
    <s v="Equipment Upgrade"/>
    <x v="2"/>
    <x v="815"/>
    <n v="4351"/>
    <n v="1885"/>
    <s v="Cash"/>
    <x v="1"/>
    <x v="7"/>
    <x v="0"/>
    <x v="126"/>
    <n v="4.5999999999999996"/>
  </r>
  <r>
    <s v="ELEC0863"/>
    <s v="Karan Sharma"/>
    <x v="2"/>
    <n v="59"/>
    <x v="7"/>
    <s v="Equipment Upgrade"/>
    <x v="9"/>
    <x v="816"/>
    <n v="589"/>
    <n v="1823"/>
    <s v="Credit Card"/>
    <x v="1"/>
    <x v="9"/>
    <x v="5"/>
    <x v="168"/>
    <n v="4.5"/>
  </r>
  <r>
    <s v="ELEC0864"/>
    <s v="Riya Kapoor"/>
    <x v="0"/>
    <n v="35"/>
    <x v="2"/>
    <s v="New Connection"/>
    <x v="2"/>
    <x v="817"/>
    <n v="1253"/>
    <n v="2336"/>
    <s v="Net Banking"/>
    <x v="2"/>
    <x v="6"/>
    <x v="1"/>
    <x v="144"/>
    <n v="3.8"/>
  </r>
  <r>
    <s v="ELEC0865"/>
    <s v="Vivaan Joshi"/>
    <x v="8"/>
    <n v="32"/>
    <x v="8"/>
    <s v="Electrical Inspection"/>
    <x v="0"/>
    <x v="818"/>
    <n v="6172"/>
    <n v="2118"/>
    <s v="UPI"/>
    <x v="2"/>
    <x v="9"/>
    <x v="3"/>
    <x v="184"/>
    <n v="3.8"/>
  </r>
  <r>
    <s v="ELEC0866"/>
    <s v="Vivaan Mistry"/>
    <x v="3"/>
    <n v="62"/>
    <x v="2"/>
    <s v="Maintenance"/>
    <x v="2"/>
    <x v="819"/>
    <n v="1388"/>
    <n v="627"/>
    <s v="UPI"/>
    <x v="0"/>
    <x v="8"/>
    <x v="7"/>
    <x v="274"/>
    <n v="4.5"/>
  </r>
  <r>
    <s v="ELEC0867"/>
    <s v="Neha Verma"/>
    <x v="1"/>
    <n v="27"/>
    <x v="9"/>
    <s v="Maintenance"/>
    <x v="6"/>
    <x v="820"/>
    <n v="589"/>
    <n v="1466"/>
    <s v="Credit Card"/>
    <x v="2"/>
    <x v="12"/>
    <x v="0"/>
    <x v="215"/>
    <n v="3.8"/>
  </r>
  <r>
    <s v="ELEC0868"/>
    <s v="Aditya Trivedi"/>
    <x v="4"/>
    <n v="23"/>
    <x v="3"/>
    <s v="Emergency Repair"/>
    <x v="3"/>
    <x v="821"/>
    <n v="893"/>
    <n v="1488"/>
    <s v="Credit Card"/>
    <x v="1"/>
    <x v="3"/>
    <x v="0"/>
    <x v="74"/>
    <n v="4.2"/>
  </r>
  <r>
    <s v="ELEC0869"/>
    <s v="Jay Kapoor"/>
    <x v="6"/>
    <n v="41"/>
    <x v="2"/>
    <s v="Fuse Problem"/>
    <x v="9"/>
    <x v="822"/>
    <n v="6256"/>
    <n v="2963"/>
    <s v="Net Banking"/>
    <x v="0"/>
    <x v="0"/>
    <x v="6"/>
    <x v="214"/>
    <n v="3.6"/>
  </r>
  <r>
    <s v="ELEC0870"/>
    <s v="Karan Sharma"/>
    <x v="4"/>
    <n v="45"/>
    <x v="5"/>
    <s v="Electrical Inspection"/>
    <x v="3"/>
    <x v="823"/>
    <n v="2876"/>
    <n v="860"/>
    <s v="Cash"/>
    <x v="0"/>
    <x v="7"/>
    <x v="4"/>
    <x v="319"/>
    <n v="3.7"/>
  </r>
  <r>
    <s v="ELEC0871"/>
    <s v="Sneha Chauhan"/>
    <x v="6"/>
    <n v="64"/>
    <x v="7"/>
    <s v="New Connection"/>
    <x v="7"/>
    <x v="824"/>
    <n v="4729"/>
    <n v="2693"/>
    <s v="UPI"/>
    <x v="2"/>
    <x v="2"/>
    <x v="7"/>
    <x v="113"/>
    <n v="3.2"/>
  </r>
  <r>
    <s v="ELEC0872"/>
    <s v="Anjali Mehta"/>
    <x v="3"/>
    <n v="60"/>
    <x v="2"/>
    <s v="Short Circuit"/>
    <x v="5"/>
    <x v="825"/>
    <n v="2458"/>
    <n v="1055"/>
    <s v="UPI"/>
    <x v="1"/>
    <x v="12"/>
    <x v="2"/>
    <x v="317"/>
    <n v="2.8"/>
  </r>
  <r>
    <s v="ELEC0873"/>
    <s v="Riya Pandya"/>
    <x v="5"/>
    <n v="27"/>
    <x v="1"/>
    <s v="New Connection"/>
    <x v="2"/>
    <x v="826"/>
    <n v="4982"/>
    <n v="557"/>
    <s v="Credit Card"/>
    <x v="2"/>
    <x v="7"/>
    <x v="7"/>
    <x v="334"/>
    <n v="4.9000000000000004"/>
  </r>
  <r>
    <s v="ELEC0874"/>
    <s v="Rahul Patel"/>
    <x v="0"/>
    <n v="57"/>
    <x v="4"/>
    <s v="Fuse Problem"/>
    <x v="0"/>
    <x v="819"/>
    <n v="1082"/>
    <n v="933"/>
    <s v="Credit Card"/>
    <x v="1"/>
    <x v="7"/>
    <x v="8"/>
    <x v="62"/>
    <n v="4.5"/>
  </r>
  <r>
    <s v="ELEC0875"/>
    <s v="Krishna Pandya"/>
    <x v="9"/>
    <n v="28"/>
    <x v="3"/>
    <s v="Emergency Repair"/>
    <x v="3"/>
    <x v="158"/>
    <n v="3477"/>
    <n v="1374"/>
    <s v="UPI"/>
    <x v="0"/>
    <x v="15"/>
    <x v="9"/>
    <x v="266"/>
    <n v="3.6"/>
  </r>
  <r>
    <s v="ELEC0876"/>
    <s v="Krishna Gupta"/>
    <x v="1"/>
    <n v="60"/>
    <x v="4"/>
    <s v="Fuse Problem"/>
    <x v="0"/>
    <x v="827"/>
    <n v="6088"/>
    <n v="1892"/>
    <s v="Cash"/>
    <x v="1"/>
    <x v="3"/>
    <x v="0"/>
    <x v="19"/>
    <n v="4.0999999999999996"/>
  </r>
  <r>
    <s v="ELEC0877"/>
    <s v="Sneha Shah"/>
    <x v="1"/>
    <n v="21"/>
    <x v="7"/>
    <s v="Power Failure"/>
    <x v="2"/>
    <x v="828"/>
    <n v="3578"/>
    <n v="848"/>
    <s v="Debit Card"/>
    <x v="2"/>
    <x v="15"/>
    <x v="4"/>
    <x v="170"/>
    <n v="3.8"/>
  </r>
  <r>
    <s v="ELEC0878"/>
    <s v="Krishna Pandya"/>
    <x v="7"/>
    <n v="43"/>
    <x v="5"/>
    <s v="Emergency Repair"/>
    <x v="7"/>
    <x v="829"/>
    <n v="4308"/>
    <n v="646"/>
    <s v="Debit Card"/>
    <x v="1"/>
    <x v="4"/>
    <x v="4"/>
    <x v="309"/>
    <n v="4.7"/>
  </r>
  <r>
    <s v="ELEC0879"/>
    <s v="Priya Singh"/>
    <x v="3"/>
    <n v="25"/>
    <x v="4"/>
    <s v="Fuse Problem"/>
    <x v="6"/>
    <x v="626"/>
    <n v="4483"/>
    <n v="1070"/>
    <s v="Debit Card"/>
    <x v="1"/>
    <x v="7"/>
    <x v="4"/>
    <x v="105"/>
    <n v="4"/>
  </r>
  <r>
    <s v="ELEC0880"/>
    <s v="Vivaan Kapoor"/>
    <x v="9"/>
    <n v="51"/>
    <x v="7"/>
    <s v="Maintenance"/>
    <x v="4"/>
    <x v="830"/>
    <n v="5154"/>
    <n v="328"/>
    <s v="Credit Card"/>
    <x v="0"/>
    <x v="6"/>
    <x v="2"/>
    <x v="151"/>
    <n v="1.9"/>
  </r>
  <r>
    <s v="ELEC0881"/>
    <s v="Yash Desai"/>
    <x v="6"/>
    <n v="24"/>
    <x v="0"/>
    <s v="Short Circuit"/>
    <x v="5"/>
    <x v="831"/>
    <n v="2710"/>
    <n v="1232"/>
    <s v="Credit Card"/>
    <x v="2"/>
    <x v="1"/>
    <x v="10"/>
    <x v="295"/>
    <n v="4.7"/>
  </r>
  <r>
    <s v="ELEC0882"/>
    <s v="Jay Patel"/>
    <x v="0"/>
    <n v="49"/>
    <x v="2"/>
    <s v="Equipment Upgrade"/>
    <x v="1"/>
    <x v="832"/>
    <n v="5985"/>
    <n v="1262"/>
    <s v="Credit Card"/>
    <x v="1"/>
    <x v="11"/>
    <x v="4"/>
    <x v="279"/>
    <n v="3.9"/>
  </r>
  <r>
    <s v="ELEC0883"/>
    <s v="Neha Verma"/>
    <x v="6"/>
    <n v="43"/>
    <x v="2"/>
    <s v="Emergency Repair"/>
    <x v="8"/>
    <x v="147"/>
    <n v="4886"/>
    <n v="858"/>
    <s v="Net Banking"/>
    <x v="0"/>
    <x v="6"/>
    <x v="2"/>
    <x v="294"/>
    <n v="2.8"/>
  </r>
  <r>
    <s v="ELEC0884"/>
    <s v="Jay Rao"/>
    <x v="2"/>
    <n v="56"/>
    <x v="3"/>
    <s v="Maintenance"/>
    <x v="0"/>
    <x v="833"/>
    <n v="6420"/>
    <n v="2935"/>
    <s v="Credit Card"/>
    <x v="0"/>
    <x v="6"/>
    <x v="7"/>
    <x v="42"/>
    <n v="3.4"/>
  </r>
  <r>
    <s v="ELEC0885"/>
    <s v="Aarav Verma"/>
    <x v="5"/>
    <n v="30"/>
    <x v="5"/>
    <s v="Fuse Problem"/>
    <x v="0"/>
    <x v="834"/>
    <n v="6988"/>
    <n v="2960"/>
    <s v="UPI"/>
    <x v="2"/>
    <x v="14"/>
    <x v="0"/>
    <x v="167"/>
    <n v="3.6"/>
  </r>
  <r>
    <s v="ELEC0886"/>
    <s v="Krishna Pandya"/>
    <x v="4"/>
    <n v="27"/>
    <x v="1"/>
    <s v="Maintenance"/>
    <x v="1"/>
    <x v="835"/>
    <n v="3942"/>
    <n v="2436"/>
    <s v="Credit Card"/>
    <x v="1"/>
    <x v="8"/>
    <x v="3"/>
    <x v="231"/>
    <n v="4.0999999999999996"/>
  </r>
  <r>
    <s v="ELEC0887"/>
    <s v="Priya Joshi"/>
    <x v="4"/>
    <n v="21"/>
    <x v="4"/>
    <s v="Fuse Problem"/>
    <x v="3"/>
    <x v="836"/>
    <n v="2973"/>
    <n v="1457"/>
    <s v="Debit Card"/>
    <x v="1"/>
    <x v="15"/>
    <x v="4"/>
    <x v="259"/>
    <n v="3.7"/>
  </r>
  <r>
    <s v="ELEC0888"/>
    <s v="Krishna Singh"/>
    <x v="8"/>
    <n v="43"/>
    <x v="4"/>
    <s v="Equipment Upgrade"/>
    <x v="5"/>
    <x v="837"/>
    <n v="4785"/>
    <n v="1575"/>
    <s v="Credit Card"/>
    <x v="1"/>
    <x v="6"/>
    <x v="5"/>
    <x v="234"/>
    <n v="3.9"/>
  </r>
  <r>
    <s v="ELEC0889"/>
    <s v="Rahul Kapoor"/>
    <x v="4"/>
    <n v="31"/>
    <x v="8"/>
    <s v="Routine Service"/>
    <x v="5"/>
    <x v="584"/>
    <n v="2834"/>
    <n v="2901"/>
    <s v="Net Banking"/>
    <x v="0"/>
    <x v="0"/>
    <x v="8"/>
    <x v="7"/>
    <n v="3.3"/>
  </r>
  <r>
    <s v="ELEC0890"/>
    <s v="Rohan Patel"/>
    <x v="7"/>
    <n v="26"/>
    <x v="1"/>
    <s v="Electrical Inspection"/>
    <x v="5"/>
    <x v="838"/>
    <n v="1349"/>
    <n v="2233"/>
    <s v="Debit Card"/>
    <x v="2"/>
    <x v="8"/>
    <x v="6"/>
    <x v="279"/>
    <n v="4.8"/>
  </r>
  <r>
    <s v="ELEC0891"/>
    <s v="Isha Trivedi"/>
    <x v="2"/>
    <n v="63"/>
    <x v="6"/>
    <s v="Routine Service"/>
    <x v="1"/>
    <x v="839"/>
    <n v="2325"/>
    <n v="2062"/>
    <s v="Cash"/>
    <x v="2"/>
    <x v="1"/>
    <x v="1"/>
    <x v="46"/>
    <n v="3.8"/>
  </r>
  <r>
    <s v="ELEC0892"/>
    <s v="Simran Mistry"/>
    <x v="5"/>
    <n v="47"/>
    <x v="2"/>
    <s v="Short Circuit"/>
    <x v="4"/>
    <x v="840"/>
    <n v="6907"/>
    <n v="1117"/>
    <s v="Debit Card"/>
    <x v="1"/>
    <x v="3"/>
    <x v="8"/>
    <x v="116"/>
    <n v="4.3"/>
  </r>
  <r>
    <s v="ELEC0893"/>
    <s v="Sneha Sharma"/>
    <x v="8"/>
    <n v="23"/>
    <x v="1"/>
    <s v="Short Circuit"/>
    <x v="9"/>
    <x v="217"/>
    <n v="6975"/>
    <n v="1733"/>
    <s v="Credit Card"/>
    <x v="0"/>
    <x v="14"/>
    <x v="9"/>
    <x v="205"/>
    <n v="4.9000000000000004"/>
  </r>
  <r>
    <s v="ELEC0894"/>
    <s v="Rahul Trivedi"/>
    <x v="8"/>
    <n v="36"/>
    <x v="8"/>
    <s v="Routine Service"/>
    <x v="1"/>
    <x v="841"/>
    <n v="5548"/>
    <n v="2839"/>
    <s v="UPI"/>
    <x v="0"/>
    <x v="11"/>
    <x v="9"/>
    <x v="258"/>
    <n v="3.8"/>
  </r>
  <r>
    <s v="ELEC0895"/>
    <s v="Jay Shah"/>
    <x v="9"/>
    <n v="46"/>
    <x v="4"/>
    <s v="Equipment Upgrade"/>
    <x v="9"/>
    <x v="842"/>
    <n v="4083"/>
    <n v="1146"/>
    <s v="Cash"/>
    <x v="2"/>
    <x v="13"/>
    <x v="10"/>
    <x v="122"/>
    <n v="4.3"/>
  </r>
  <r>
    <s v="ELEC0896"/>
    <s v="Riya Mistry"/>
    <x v="8"/>
    <n v="61"/>
    <x v="6"/>
    <s v="Equipment Upgrade"/>
    <x v="9"/>
    <x v="843"/>
    <n v="3141"/>
    <n v="1034"/>
    <s v="Net Banking"/>
    <x v="0"/>
    <x v="11"/>
    <x v="3"/>
    <x v="80"/>
    <n v="4.2"/>
  </r>
  <r>
    <s v="ELEC0897"/>
    <s v="Karan Sharma"/>
    <x v="4"/>
    <n v="55"/>
    <x v="9"/>
    <s v="Electrical Inspection"/>
    <x v="5"/>
    <x v="844"/>
    <n v="707"/>
    <n v="734"/>
    <s v="Credit Card"/>
    <x v="0"/>
    <x v="3"/>
    <x v="2"/>
    <x v="174"/>
    <n v="1.3"/>
  </r>
  <r>
    <s v="ELEC0898"/>
    <s v="Rahul Joshi"/>
    <x v="6"/>
    <n v="40"/>
    <x v="0"/>
    <s v="Equipment Upgrade"/>
    <x v="1"/>
    <x v="845"/>
    <n v="6449"/>
    <n v="1748"/>
    <s v="Cash"/>
    <x v="2"/>
    <x v="9"/>
    <x v="0"/>
    <x v="102"/>
    <n v="4.2"/>
  </r>
  <r>
    <s v="ELEC0899"/>
    <s v="Karan Pandya"/>
    <x v="2"/>
    <n v="61"/>
    <x v="3"/>
    <s v="Power Failure"/>
    <x v="0"/>
    <x v="846"/>
    <n v="4261"/>
    <n v="2640"/>
    <s v="UPI"/>
    <x v="1"/>
    <x v="6"/>
    <x v="8"/>
    <x v="42"/>
    <n v="5"/>
  </r>
  <r>
    <s v="ELEC0900"/>
    <s v="Aditya Patel"/>
    <x v="5"/>
    <n v="44"/>
    <x v="0"/>
    <s v="Routine Service"/>
    <x v="0"/>
    <x v="847"/>
    <n v="4522"/>
    <n v="289"/>
    <s v="Debit Card"/>
    <x v="0"/>
    <x v="7"/>
    <x v="4"/>
    <x v="138"/>
    <n v="4.2"/>
  </r>
  <r>
    <s v="ELEC0901"/>
    <s v="Jay Chauhan"/>
    <x v="3"/>
    <n v="61"/>
    <x v="5"/>
    <s v="New Connection"/>
    <x v="9"/>
    <x v="848"/>
    <n v="2947"/>
    <n v="241"/>
    <s v="Net Banking"/>
    <x v="0"/>
    <x v="3"/>
    <x v="2"/>
    <x v="31"/>
    <n v="2.5"/>
  </r>
  <r>
    <s v="ELEC0902"/>
    <s v="Vivaan Patel"/>
    <x v="3"/>
    <n v="43"/>
    <x v="5"/>
    <s v="Electrical Inspection"/>
    <x v="6"/>
    <x v="849"/>
    <n v="4976"/>
    <n v="220"/>
    <s v="UPI"/>
    <x v="1"/>
    <x v="4"/>
    <x v="8"/>
    <x v="262"/>
    <n v="4.9000000000000004"/>
  </r>
  <r>
    <s v="ELEC0903"/>
    <s v="Amit Sharma"/>
    <x v="1"/>
    <n v="22"/>
    <x v="8"/>
    <s v="Equipment Upgrade"/>
    <x v="9"/>
    <x v="762"/>
    <n v="2271"/>
    <n v="1694"/>
    <s v="UPI"/>
    <x v="2"/>
    <x v="12"/>
    <x v="0"/>
    <x v="148"/>
    <n v="3.7"/>
  </r>
  <r>
    <s v="ELEC0904"/>
    <s v="Sneha Patel"/>
    <x v="9"/>
    <n v="38"/>
    <x v="6"/>
    <s v="Emergency Repair"/>
    <x v="1"/>
    <x v="850"/>
    <n v="1253"/>
    <n v="1627"/>
    <s v="Debit Card"/>
    <x v="1"/>
    <x v="9"/>
    <x v="8"/>
    <x v="137"/>
    <n v="3.5"/>
  </r>
  <r>
    <s v="ELEC0905"/>
    <s v="Yash Kapoor"/>
    <x v="8"/>
    <n v="33"/>
    <x v="6"/>
    <s v="New Connection"/>
    <x v="1"/>
    <x v="485"/>
    <n v="6128"/>
    <n v="1351"/>
    <s v="Net Banking"/>
    <x v="1"/>
    <x v="10"/>
    <x v="2"/>
    <x v="11"/>
    <n v="2.1"/>
  </r>
  <r>
    <s v="ELEC0906"/>
    <s v="Neha Verma"/>
    <x v="6"/>
    <n v="52"/>
    <x v="2"/>
    <s v="Emergency Repair"/>
    <x v="5"/>
    <x v="851"/>
    <n v="5385"/>
    <n v="1312"/>
    <s v="Debit Card"/>
    <x v="0"/>
    <x v="8"/>
    <x v="4"/>
    <x v="32"/>
    <n v="3.9"/>
  </r>
  <r>
    <s v="ELEC0907"/>
    <s v="Yash Joshi"/>
    <x v="4"/>
    <n v="43"/>
    <x v="4"/>
    <s v="Power Failure"/>
    <x v="8"/>
    <x v="852"/>
    <n v="1870"/>
    <n v="338"/>
    <s v="Debit Card"/>
    <x v="0"/>
    <x v="1"/>
    <x v="2"/>
    <x v="115"/>
    <n v="1.2"/>
  </r>
  <r>
    <s v="ELEC0908"/>
    <s v="Neha Trivedi"/>
    <x v="1"/>
    <n v="43"/>
    <x v="2"/>
    <s v="Short Circuit"/>
    <x v="0"/>
    <x v="853"/>
    <n v="1973"/>
    <n v="1521"/>
    <s v="Cash"/>
    <x v="2"/>
    <x v="6"/>
    <x v="7"/>
    <x v="336"/>
    <n v="3.7"/>
  </r>
  <r>
    <s v="ELEC0909"/>
    <s v="Priya Pandya"/>
    <x v="3"/>
    <n v="44"/>
    <x v="7"/>
    <s v="Fuse Problem"/>
    <x v="0"/>
    <x v="854"/>
    <n v="578"/>
    <n v="1504"/>
    <s v="Debit Card"/>
    <x v="1"/>
    <x v="4"/>
    <x v="7"/>
    <x v="129"/>
    <n v="4.5"/>
  </r>
  <r>
    <s v="ELEC0910"/>
    <s v="Riya Mistry"/>
    <x v="3"/>
    <n v="35"/>
    <x v="8"/>
    <s v="Power Failure"/>
    <x v="5"/>
    <x v="855"/>
    <n v="2823"/>
    <n v="2664"/>
    <s v="Credit Card"/>
    <x v="2"/>
    <x v="12"/>
    <x v="4"/>
    <x v="261"/>
    <n v="4.8"/>
  </r>
  <r>
    <s v="ELEC0911"/>
    <s v="Amit Chauhan"/>
    <x v="7"/>
    <n v="57"/>
    <x v="2"/>
    <s v="Routine Service"/>
    <x v="4"/>
    <x v="856"/>
    <n v="3122"/>
    <n v="1011"/>
    <s v="Cash"/>
    <x v="2"/>
    <x v="13"/>
    <x v="5"/>
    <x v="337"/>
    <n v="4.3"/>
  </r>
  <r>
    <s v="ELEC0912"/>
    <s v="Pooja Singh"/>
    <x v="7"/>
    <n v="28"/>
    <x v="5"/>
    <s v="New Connection"/>
    <x v="6"/>
    <x v="857"/>
    <n v="3177"/>
    <n v="2621"/>
    <s v="Cash"/>
    <x v="1"/>
    <x v="8"/>
    <x v="0"/>
    <x v="338"/>
    <n v="4.0999999999999996"/>
  </r>
  <r>
    <s v="ELEC0913"/>
    <s v="Riya Sharma"/>
    <x v="5"/>
    <n v="39"/>
    <x v="7"/>
    <s v="Routine Service"/>
    <x v="3"/>
    <x v="858"/>
    <n v="4870"/>
    <n v="2360"/>
    <s v="Debit Card"/>
    <x v="1"/>
    <x v="9"/>
    <x v="0"/>
    <x v="146"/>
    <n v="4.7"/>
  </r>
  <r>
    <s v="ELEC0914"/>
    <s v="Rohan Rao"/>
    <x v="8"/>
    <n v="40"/>
    <x v="6"/>
    <s v="Fuse Problem"/>
    <x v="4"/>
    <x v="806"/>
    <n v="3779"/>
    <n v="526"/>
    <s v="Cash"/>
    <x v="1"/>
    <x v="5"/>
    <x v="5"/>
    <x v="196"/>
    <n v="4.7"/>
  </r>
  <r>
    <s v="ELEC0915"/>
    <s v="Jay Mehta"/>
    <x v="5"/>
    <n v="52"/>
    <x v="9"/>
    <s v="Fuse Problem"/>
    <x v="6"/>
    <x v="859"/>
    <n v="1341"/>
    <n v="319"/>
    <s v="Cash"/>
    <x v="0"/>
    <x v="15"/>
    <x v="0"/>
    <x v="209"/>
    <n v="3.3"/>
  </r>
  <r>
    <s v="ELEC0916"/>
    <s v="Anjali Rao"/>
    <x v="8"/>
    <n v="35"/>
    <x v="7"/>
    <s v="Power Failure"/>
    <x v="1"/>
    <x v="629"/>
    <n v="6431"/>
    <n v="1710"/>
    <s v="Cash"/>
    <x v="2"/>
    <x v="14"/>
    <x v="0"/>
    <x v="285"/>
    <n v="3.7"/>
  </r>
  <r>
    <s v="ELEC0917"/>
    <s v="Pooja Chauhan"/>
    <x v="2"/>
    <n v="28"/>
    <x v="1"/>
    <s v="Voltage Issue"/>
    <x v="0"/>
    <x v="860"/>
    <n v="2660"/>
    <n v="1548"/>
    <s v="UPI"/>
    <x v="1"/>
    <x v="13"/>
    <x v="3"/>
    <x v="244"/>
    <n v="4.7"/>
  </r>
  <r>
    <s v="ELEC0918"/>
    <s v="Karan Trivedi"/>
    <x v="5"/>
    <n v="28"/>
    <x v="7"/>
    <s v="Fuse Problem"/>
    <x v="9"/>
    <x v="861"/>
    <n v="6668"/>
    <n v="2592"/>
    <s v="Debit Card"/>
    <x v="0"/>
    <x v="6"/>
    <x v="2"/>
    <x v="321"/>
    <n v="1.4"/>
  </r>
  <r>
    <s v="ELEC0919"/>
    <s v="Rohan Kapoor"/>
    <x v="1"/>
    <n v="36"/>
    <x v="3"/>
    <s v="Emergency Repair"/>
    <x v="8"/>
    <x v="862"/>
    <n v="2798"/>
    <n v="1518"/>
    <s v="Credit Card"/>
    <x v="1"/>
    <x v="7"/>
    <x v="1"/>
    <x v="88"/>
    <n v="4.9000000000000004"/>
  </r>
  <r>
    <s v="ELEC0920"/>
    <s v="Neha Shah"/>
    <x v="7"/>
    <n v="43"/>
    <x v="8"/>
    <s v="Maintenance"/>
    <x v="1"/>
    <x v="863"/>
    <n v="6193"/>
    <n v="519"/>
    <s v="Cash"/>
    <x v="0"/>
    <x v="7"/>
    <x v="0"/>
    <x v="272"/>
    <n v="4.8"/>
  </r>
  <r>
    <s v="ELEC0921"/>
    <s v="Priya Desai"/>
    <x v="8"/>
    <n v="33"/>
    <x v="5"/>
    <s v="Power Failure"/>
    <x v="4"/>
    <x v="864"/>
    <n v="2209"/>
    <n v="2618"/>
    <s v="Debit Card"/>
    <x v="0"/>
    <x v="14"/>
    <x v="7"/>
    <x v="29"/>
    <n v="3.6"/>
  </r>
  <r>
    <s v="ELEC0922"/>
    <s v="Karan Rao"/>
    <x v="1"/>
    <n v="27"/>
    <x v="7"/>
    <s v="Maintenance"/>
    <x v="4"/>
    <x v="865"/>
    <n v="3658"/>
    <n v="2053"/>
    <s v="Debit Card"/>
    <x v="2"/>
    <x v="12"/>
    <x v="2"/>
    <x v="115"/>
    <n v="1.6"/>
  </r>
  <r>
    <s v="ELEC0923"/>
    <s v="Priya Patel"/>
    <x v="0"/>
    <n v="48"/>
    <x v="7"/>
    <s v="Voltage Issue"/>
    <x v="6"/>
    <x v="866"/>
    <n v="5811"/>
    <n v="618"/>
    <s v="UPI"/>
    <x v="1"/>
    <x v="2"/>
    <x v="4"/>
    <x v="86"/>
    <n v="4.8"/>
  </r>
  <r>
    <s v="ELEC0924"/>
    <s v="Aarav Chauhan"/>
    <x v="5"/>
    <n v="32"/>
    <x v="6"/>
    <s v="Short Circuit"/>
    <x v="8"/>
    <x v="867"/>
    <n v="5922"/>
    <n v="2374"/>
    <s v="Cash"/>
    <x v="2"/>
    <x v="3"/>
    <x v="4"/>
    <x v="10"/>
    <n v="3.4"/>
  </r>
  <r>
    <s v="ELEC0925"/>
    <s v="Simran Singh"/>
    <x v="6"/>
    <n v="30"/>
    <x v="2"/>
    <s v="Equipment Upgrade"/>
    <x v="5"/>
    <x v="868"/>
    <n v="4660"/>
    <n v="1566"/>
    <s v="Cash"/>
    <x v="0"/>
    <x v="3"/>
    <x v="7"/>
    <x v="61"/>
    <n v="3.9"/>
  </r>
  <r>
    <s v="ELEC0926"/>
    <s v="Jay Shah"/>
    <x v="8"/>
    <n v="33"/>
    <x v="6"/>
    <s v="Maintenance"/>
    <x v="5"/>
    <x v="869"/>
    <n v="1947"/>
    <n v="2633"/>
    <s v="Debit Card"/>
    <x v="1"/>
    <x v="8"/>
    <x v="5"/>
    <x v="229"/>
    <n v="3.5"/>
  </r>
  <r>
    <s v="ELEC0927"/>
    <s v="Rohan Pandya"/>
    <x v="2"/>
    <n v="62"/>
    <x v="0"/>
    <s v="Power Failure"/>
    <x v="1"/>
    <x v="870"/>
    <n v="1443"/>
    <n v="417"/>
    <s v="UPI"/>
    <x v="1"/>
    <x v="12"/>
    <x v="2"/>
    <x v="269"/>
    <n v="2.2000000000000002"/>
  </r>
  <r>
    <s v="ELEC0928"/>
    <s v="Aditya Kapoor"/>
    <x v="7"/>
    <n v="38"/>
    <x v="0"/>
    <s v="Electrical Inspection"/>
    <x v="5"/>
    <x v="871"/>
    <n v="3710"/>
    <n v="1809"/>
    <s v="UPI"/>
    <x v="0"/>
    <x v="4"/>
    <x v="8"/>
    <x v="32"/>
    <n v="5"/>
  </r>
  <r>
    <s v="ELEC0929"/>
    <s v="Rahul Mistry"/>
    <x v="6"/>
    <n v="43"/>
    <x v="6"/>
    <s v="Electrical Inspection"/>
    <x v="2"/>
    <x v="872"/>
    <n v="6511"/>
    <n v="212"/>
    <s v="Credit Card"/>
    <x v="0"/>
    <x v="14"/>
    <x v="9"/>
    <x v="169"/>
    <n v="4.5999999999999996"/>
  </r>
  <r>
    <s v="ELEC0930"/>
    <s v="Sneha Verma"/>
    <x v="3"/>
    <n v="64"/>
    <x v="9"/>
    <s v="New Connection"/>
    <x v="9"/>
    <x v="873"/>
    <n v="3221"/>
    <n v="2064"/>
    <s v="Credit Card"/>
    <x v="1"/>
    <x v="11"/>
    <x v="5"/>
    <x v="242"/>
    <n v="4.9000000000000004"/>
  </r>
  <r>
    <s v="ELEC0931"/>
    <s v="Aarav Verma"/>
    <x v="0"/>
    <n v="25"/>
    <x v="7"/>
    <s v="Short Circuit"/>
    <x v="6"/>
    <x v="874"/>
    <n v="3384"/>
    <n v="2140"/>
    <s v="Cash"/>
    <x v="1"/>
    <x v="7"/>
    <x v="1"/>
    <x v="244"/>
    <n v="4"/>
  </r>
  <r>
    <s v="ELEC0932"/>
    <s v="Vivaan Rao"/>
    <x v="2"/>
    <n v="57"/>
    <x v="6"/>
    <s v="Maintenance"/>
    <x v="7"/>
    <x v="580"/>
    <n v="4621"/>
    <n v="885"/>
    <s v="Credit Card"/>
    <x v="0"/>
    <x v="13"/>
    <x v="4"/>
    <x v="260"/>
    <n v="3.2"/>
  </r>
  <r>
    <s v="ELEC0933"/>
    <s v="Anjali Desai"/>
    <x v="5"/>
    <n v="43"/>
    <x v="8"/>
    <s v="Voltage Issue"/>
    <x v="8"/>
    <x v="875"/>
    <n v="2576"/>
    <n v="1692"/>
    <s v="Credit Card"/>
    <x v="0"/>
    <x v="15"/>
    <x v="7"/>
    <x v="162"/>
    <n v="4.2"/>
  </r>
  <r>
    <s v="ELEC0934"/>
    <s v="Isha Mistry"/>
    <x v="4"/>
    <n v="51"/>
    <x v="9"/>
    <s v="Voltage Issue"/>
    <x v="7"/>
    <x v="876"/>
    <n v="6465"/>
    <n v="2820"/>
    <s v="UPI"/>
    <x v="1"/>
    <x v="0"/>
    <x v="1"/>
    <x v="279"/>
    <n v="3.7"/>
  </r>
  <r>
    <s v="ELEC0935"/>
    <s v="Simran Desai"/>
    <x v="2"/>
    <n v="36"/>
    <x v="3"/>
    <s v="Routine Service"/>
    <x v="4"/>
    <x v="877"/>
    <n v="2190"/>
    <n v="565"/>
    <s v="Net Banking"/>
    <x v="0"/>
    <x v="0"/>
    <x v="4"/>
    <x v="159"/>
    <n v="4.8"/>
  </r>
  <r>
    <s v="ELEC0936"/>
    <s v="Krishna Chauhan"/>
    <x v="1"/>
    <n v="32"/>
    <x v="6"/>
    <s v="Fuse Problem"/>
    <x v="4"/>
    <x v="878"/>
    <n v="3703"/>
    <n v="2613"/>
    <s v="Cash"/>
    <x v="0"/>
    <x v="3"/>
    <x v="8"/>
    <x v="10"/>
    <n v="3.3"/>
  </r>
  <r>
    <s v="ELEC0937"/>
    <s v="Riya Kapoor"/>
    <x v="3"/>
    <n v="60"/>
    <x v="9"/>
    <s v="Routine Service"/>
    <x v="8"/>
    <x v="879"/>
    <n v="5142"/>
    <n v="1621"/>
    <s v="UPI"/>
    <x v="2"/>
    <x v="11"/>
    <x v="5"/>
    <x v="94"/>
    <n v="3.9"/>
  </r>
  <r>
    <s v="ELEC0938"/>
    <s v="Krishna Pandya"/>
    <x v="9"/>
    <n v="54"/>
    <x v="6"/>
    <s v="Electrical Inspection"/>
    <x v="7"/>
    <x v="880"/>
    <n v="5942"/>
    <n v="866"/>
    <s v="Cash"/>
    <x v="2"/>
    <x v="3"/>
    <x v="4"/>
    <x v="154"/>
    <n v="4.9000000000000004"/>
  </r>
  <r>
    <s v="ELEC0939"/>
    <s v="Krishna Sharma"/>
    <x v="6"/>
    <n v="39"/>
    <x v="3"/>
    <s v="Power Failure"/>
    <x v="3"/>
    <x v="881"/>
    <n v="4500"/>
    <n v="1452"/>
    <s v="Credit Card"/>
    <x v="2"/>
    <x v="5"/>
    <x v="0"/>
    <x v="236"/>
    <n v="3"/>
  </r>
  <r>
    <s v="ELEC0940"/>
    <s v="Karan Gupta"/>
    <x v="0"/>
    <n v="53"/>
    <x v="8"/>
    <s v="New Connection"/>
    <x v="0"/>
    <x v="882"/>
    <n v="6342"/>
    <n v="1308"/>
    <s v="Net Banking"/>
    <x v="1"/>
    <x v="4"/>
    <x v="1"/>
    <x v="339"/>
    <n v="3.1"/>
  </r>
  <r>
    <s v="ELEC0941"/>
    <s v="Aditya Mehta"/>
    <x v="6"/>
    <n v="23"/>
    <x v="5"/>
    <s v="Fuse Problem"/>
    <x v="1"/>
    <x v="883"/>
    <n v="6058"/>
    <n v="2809"/>
    <s v="Credit Card"/>
    <x v="0"/>
    <x v="0"/>
    <x v="4"/>
    <x v="60"/>
    <n v="4.4000000000000004"/>
  </r>
  <r>
    <s v="ELEC0942"/>
    <s v="Amit Mehta"/>
    <x v="9"/>
    <n v="57"/>
    <x v="2"/>
    <s v="Fuse Problem"/>
    <x v="6"/>
    <x v="884"/>
    <n v="1640"/>
    <n v="2998"/>
    <s v="Net Banking"/>
    <x v="2"/>
    <x v="3"/>
    <x v="10"/>
    <x v="340"/>
    <n v="4.7"/>
  </r>
  <r>
    <s v="ELEC0943"/>
    <s v="Priya Mehta"/>
    <x v="0"/>
    <n v="26"/>
    <x v="6"/>
    <s v="Electrical Inspection"/>
    <x v="8"/>
    <x v="229"/>
    <n v="4971"/>
    <n v="951"/>
    <s v="UPI"/>
    <x v="1"/>
    <x v="2"/>
    <x v="3"/>
    <x v="182"/>
    <n v="5"/>
  </r>
  <r>
    <s v="ELEC0944"/>
    <s v="Isha Desai"/>
    <x v="3"/>
    <n v="53"/>
    <x v="4"/>
    <s v="Emergency Repair"/>
    <x v="4"/>
    <x v="885"/>
    <n v="4003"/>
    <n v="2110"/>
    <s v="Net Banking"/>
    <x v="0"/>
    <x v="0"/>
    <x v="5"/>
    <x v="118"/>
    <n v="4.7"/>
  </r>
  <r>
    <s v="ELEC0945"/>
    <s v="Aarav Mistry"/>
    <x v="8"/>
    <n v="26"/>
    <x v="7"/>
    <s v="Electrical Inspection"/>
    <x v="2"/>
    <x v="886"/>
    <n v="6944"/>
    <n v="1193"/>
    <s v="Net Banking"/>
    <x v="2"/>
    <x v="5"/>
    <x v="10"/>
    <x v="9"/>
    <n v="3.1"/>
  </r>
  <r>
    <s v="ELEC0946"/>
    <s v="Riya Chauhan"/>
    <x v="0"/>
    <n v="24"/>
    <x v="2"/>
    <s v="New Connection"/>
    <x v="5"/>
    <x v="789"/>
    <n v="5989"/>
    <n v="224"/>
    <s v="Cash"/>
    <x v="1"/>
    <x v="13"/>
    <x v="6"/>
    <x v="191"/>
    <n v="3.8"/>
  </r>
  <r>
    <s v="ELEC0947"/>
    <s v="Aditya Sharma"/>
    <x v="0"/>
    <n v="62"/>
    <x v="9"/>
    <s v="Fuse Problem"/>
    <x v="6"/>
    <x v="887"/>
    <n v="1297"/>
    <n v="1390"/>
    <s v="Cash"/>
    <x v="0"/>
    <x v="4"/>
    <x v="7"/>
    <x v="82"/>
    <n v="3.5"/>
  </r>
  <r>
    <s v="ELEC0948"/>
    <s v="Riya Pandya"/>
    <x v="1"/>
    <n v="24"/>
    <x v="0"/>
    <s v="Equipment Upgrade"/>
    <x v="9"/>
    <x v="888"/>
    <n v="5104"/>
    <n v="2228"/>
    <s v="Credit Card"/>
    <x v="1"/>
    <x v="2"/>
    <x v="10"/>
    <x v="64"/>
    <n v="4.4000000000000004"/>
  </r>
  <r>
    <s v="ELEC0949"/>
    <s v="Aarav Mistry"/>
    <x v="5"/>
    <n v="60"/>
    <x v="0"/>
    <s v="Power Failure"/>
    <x v="0"/>
    <x v="889"/>
    <n v="500"/>
    <n v="826"/>
    <s v="UPI"/>
    <x v="0"/>
    <x v="1"/>
    <x v="6"/>
    <x v="245"/>
    <n v="3.2"/>
  </r>
  <r>
    <s v="ELEC0950"/>
    <s v="Priya Patel"/>
    <x v="5"/>
    <n v="22"/>
    <x v="8"/>
    <s v="Emergency Repair"/>
    <x v="5"/>
    <x v="890"/>
    <n v="955"/>
    <n v="698"/>
    <s v="Net Banking"/>
    <x v="2"/>
    <x v="7"/>
    <x v="10"/>
    <x v="279"/>
    <n v="4.5999999999999996"/>
  </r>
  <r>
    <s v="ELEC0951"/>
    <s v="Pooja Rao"/>
    <x v="4"/>
    <n v="64"/>
    <x v="5"/>
    <s v="Electrical Inspection"/>
    <x v="0"/>
    <x v="891"/>
    <n v="4041"/>
    <n v="799"/>
    <s v="UPI"/>
    <x v="1"/>
    <x v="6"/>
    <x v="10"/>
    <x v="328"/>
    <n v="4.3"/>
  </r>
  <r>
    <s v="ELEC0952"/>
    <s v="Rahul Kapoor"/>
    <x v="1"/>
    <n v="33"/>
    <x v="5"/>
    <s v="Emergency Repair"/>
    <x v="2"/>
    <x v="892"/>
    <n v="2871"/>
    <n v="2934"/>
    <s v="Credit Card"/>
    <x v="0"/>
    <x v="8"/>
    <x v="5"/>
    <x v="19"/>
    <n v="4.0999999999999996"/>
  </r>
  <r>
    <s v="ELEC0953"/>
    <s v="Jay Singh"/>
    <x v="7"/>
    <n v="50"/>
    <x v="2"/>
    <s v="Routine Service"/>
    <x v="9"/>
    <x v="893"/>
    <n v="729"/>
    <n v="1360"/>
    <s v="Net Banking"/>
    <x v="1"/>
    <x v="8"/>
    <x v="3"/>
    <x v="134"/>
    <n v="3"/>
  </r>
  <r>
    <s v="ELEC0954"/>
    <s v="Neha Sharma"/>
    <x v="4"/>
    <n v="49"/>
    <x v="1"/>
    <s v="Fuse Problem"/>
    <x v="9"/>
    <x v="894"/>
    <n v="4333"/>
    <n v="2077"/>
    <s v="Net Banking"/>
    <x v="1"/>
    <x v="6"/>
    <x v="7"/>
    <x v="141"/>
    <n v="4"/>
  </r>
  <r>
    <s v="ELEC0955"/>
    <s v="Priya Gupta"/>
    <x v="1"/>
    <n v="45"/>
    <x v="8"/>
    <s v="Power Failure"/>
    <x v="9"/>
    <x v="895"/>
    <n v="5873"/>
    <n v="820"/>
    <s v="Debit Card"/>
    <x v="1"/>
    <x v="4"/>
    <x v="9"/>
    <x v="49"/>
    <n v="4.5"/>
  </r>
  <r>
    <s v="ELEC0956"/>
    <s v="Karan Mehta"/>
    <x v="0"/>
    <n v="46"/>
    <x v="9"/>
    <s v="Emergency Repair"/>
    <x v="5"/>
    <x v="896"/>
    <n v="4364"/>
    <n v="2681"/>
    <s v="Net Banking"/>
    <x v="0"/>
    <x v="8"/>
    <x v="6"/>
    <x v="25"/>
    <n v="3.6"/>
  </r>
  <r>
    <s v="ELEC0957"/>
    <s v="Pooja Verma"/>
    <x v="3"/>
    <n v="58"/>
    <x v="3"/>
    <s v="Fuse Problem"/>
    <x v="6"/>
    <x v="897"/>
    <n v="5558"/>
    <n v="1853"/>
    <s v="Cash"/>
    <x v="1"/>
    <x v="11"/>
    <x v="10"/>
    <x v="119"/>
    <n v="3.8"/>
  </r>
  <r>
    <s v="ELEC0958"/>
    <s v="Rohan Desai"/>
    <x v="5"/>
    <n v="41"/>
    <x v="0"/>
    <s v="Maintenance"/>
    <x v="0"/>
    <x v="898"/>
    <n v="1925"/>
    <n v="1773"/>
    <s v="Net Banking"/>
    <x v="1"/>
    <x v="0"/>
    <x v="4"/>
    <x v="24"/>
    <n v="4.5999999999999996"/>
  </r>
  <r>
    <s v="ELEC0959"/>
    <s v="Pooja Patel"/>
    <x v="2"/>
    <n v="25"/>
    <x v="5"/>
    <s v="Fuse Problem"/>
    <x v="6"/>
    <x v="899"/>
    <n v="5671"/>
    <n v="320"/>
    <s v="Debit Card"/>
    <x v="1"/>
    <x v="1"/>
    <x v="2"/>
    <x v="258"/>
    <n v="2.5"/>
  </r>
  <r>
    <s v="ELEC0960"/>
    <s v="Jay Verma"/>
    <x v="4"/>
    <n v="56"/>
    <x v="0"/>
    <s v="Maintenance"/>
    <x v="2"/>
    <x v="900"/>
    <n v="4523"/>
    <n v="1992"/>
    <s v="Debit Card"/>
    <x v="0"/>
    <x v="12"/>
    <x v="1"/>
    <x v="62"/>
    <n v="3.7"/>
  </r>
  <r>
    <s v="ELEC0961"/>
    <s v="Isha Mistry"/>
    <x v="6"/>
    <n v="26"/>
    <x v="3"/>
    <s v="Short Circuit"/>
    <x v="0"/>
    <x v="901"/>
    <n v="2167"/>
    <n v="336"/>
    <s v="Debit Card"/>
    <x v="2"/>
    <x v="2"/>
    <x v="0"/>
    <x v="203"/>
    <n v="4.4000000000000004"/>
  </r>
  <r>
    <s v="ELEC0962"/>
    <s v="Riya Kapoor"/>
    <x v="7"/>
    <n v="42"/>
    <x v="7"/>
    <s v="Equipment Upgrade"/>
    <x v="8"/>
    <x v="902"/>
    <n v="2057"/>
    <n v="1049"/>
    <s v="Credit Card"/>
    <x v="1"/>
    <x v="7"/>
    <x v="6"/>
    <x v="216"/>
    <n v="4"/>
  </r>
  <r>
    <s v="ELEC0963"/>
    <s v="Amit Chauhan"/>
    <x v="1"/>
    <n v="29"/>
    <x v="9"/>
    <s v="Emergency Repair"/>
    <x v="5"/>
    <x v="58"/>
    <n v="5623"/>
    <n v="1740"/>
    <s v="UPI"/>
    <x v="2"/>
    <x v="12"/>
    <x v="2"/>
    <x v="240"/>
    <n v="2.2999999999999998"/>
  </r>
  <r>
    <s v="ELEC0964"/>
    <s v="Isha Mehta"/>
    <x v="7"/>
    <n v="28"/>
    <x v="5"/>
    <s v="Maintenance"/>
    <x v="3"/>
    <x v="106"/>
    <n v="5427"/>
    <n v="2414"/>
    <s v="Debit Card"/>
    <x v="1"/>
    <x v="12"/>
    <x v="8"/>
    <x v="160"/>
    <n v="3.9"/>
  </r>
  <r>
    <s v="ELEC0965"/>
    <s v="Simran Patel"/>
    <x v="9"/>
    <n v="39"/>
    <x v="9"/>
    <s v="Equipment Upgrade"/>
    <x v="6"/>
    <x v="903"/>
    <n v="2477"/>
    <n v="2320"/>
    <s v="Debit Card"/>
    <x v="1"/>
    <x v="12"/>
    <x v="2"/>
    <x v="128"/>
    <n v="1.2"/>
  </r>
  <r>
    <s v="ELEC0966"/>
    <s v="Amit Sharma"/>
    <x v="1"/>
    <n v="65"/>
    <x v="9"/>
    <s v="Electrical Inspection"/>
    <x v="8"/>
    <x v="904"/>
    <n v="2654"/>
    <n v="2875"/>
    <s v="UPI"/>
    <x v="2"/>
    <x v="5"/>
    <x v="3"/>
    <x v="185"/>
    <n v="3.3"/>
  </r>
  <r>
    <s v="ELEC0967"/>
    <s v="Anjali Chauhan"/>
    <x v="2"/>
    <n v="29"/>
    <x v="0"/>
    <s v="Equipment Upgrade"/>
    <x v="4"/>
    <x v="905"/>
    <n v="6704"/>
    <n v="2917"/>
    <s v="Debit Card"/>
    <x v="1"/>
    <x v="10"/>
    <x v="2"/>
    <x v="47"/>
    <n v="1.5"/>
  </r>
  <r>
    <s v="ELEC0968"/>
    <s v="Aditya Mistry"/>
    <x v="4"/>
    <n v="60"/>
    <x v="1"/>
    <s v="Fuse Problem"/>
    <x v="0"/>
    <x v="906"/>
    <n v="3909"/>
    <n v="2650"/>
    <s v="Debit Card"/>
    <x v="2"/>
    <x v="2"/>
    <x v="4"/>
    <x v="192"/>
    <n v="4.7"/>
  </r>
  <r>
    <s v="ELEC0969"/>
    <s v="Karan Mehta"/>
    <x v="2"/>
    <n v="27"/>
    <x v="1"/>
    <s v="Emergency Repair"/>
    <x v="7"/>
    <x v="81"/>
    <n v="2345"/>
    <n v="2863"/>
    <s v="Cash"/>
    <x v="2"/>
    <x v="7"/>
    <x v="8"/>
    <x v="229"/>
    <n v="4.5"/>
  </r>
  <r>
    <s v="ELEC0970"/>
    <s v="Vivaan Sharma"/>
    <x v="6"/>
    <n v="55"/>
    <x v="3"/>
    <s v="Routine Service"/>
    <x v="3"/>
    <x v="907"/>
    <n v="5026"/>
    <n v="2174"/>
    <s v="UPI"/>
    <x v="2"/>
    <x v="13"/>
    <x v="3"/>
    <x v="40"/>
    <n v="3.2"/>
  </r>
  <r>
    <s v="ELEC0971"/>
    <s v="Yash Shah"/>
    <x v="8"/>
    <n v="56"/>
    <x v="7"/>
    <s v="Power Failure"/>
    <x v="8"/>
    <x v="908"/>
    <n v="1466"/>
    <n v="2721"/>
    <s v="UPI"/>
    <x v="0"/>
    <x v="1"/>
    <x v="2"/>
    <x v="270"/>
    <n v="1.3"/>
  </r>
  <r>
    <s v="ELEC0972"/>
    <s v="Anjali Singh"/>
    <x v="2"/>
    <n v="36"/>
    <x v="0"/>
    <s v="Power Failure"/>
    <x v="6"/>
    <x v="909"/>
    <n v="582"/>
    <n v="1130"/>
    <s v="Cash"/>
    <x v="1"/>
    <x v="13"/>
    <x v="6"/>
    <x v="271"/>
    <n v="3.8"/>
  </r>
  <r>
    <s v="ELEC0973"/>
    <s v="Aarav Rao"/>
    <x v="6"/>
    <n v="24"/>
    <x v="9"/>
    <s v="Short Circuit"/>
    <x v="9"/>
    <x v="910"/>
    <n v="4092"/>
    <n v="939"/>
    <s v="UPI"/>
    <x v="1"/>
    <x v="5"/>
    <x v="7"/>
    <x v="25"/>
    <n v="3.7"/>
  </r>
  <r>
    <s v="ELEC0974"/>
    <s v="Neha Verma"/>
    <x v="4"/>
    <n v="46"/>
    <x v="5"/>
    <s v="Power Failure"/>
    <x v="0"/>
    <x v="911"/>
    <n v="1125"/>
    <n v="1224"/>
    <s v="Credit Card"/>
    <x v="1"/>
    <x v="11"/>
    <x v="2"/>
    <x v="227"/>
    <n v="2.8"/>
  </r>
  <r>
    <s v="ELEC0975"/>
    <s v="Sneha Desai"/>
    <x v="0"/>
    <n v="44"/>
    <x v="8"/>
    <s v="Voltage Issue"/>
    <x v="1"/>
    <x v="912"/>
    <n v="4815"/>
    <n v="1295"/>
    <s v="Cash"/>
    <x v="1"/>
    <x v="14"/>
    <x v="6"/>
    <x v="110"/>
    <n v="4.5999999999999996"/>
  </r>
  <r>
    <s v="ELEC0976"/>
    <s v="Simran Chauhan"/>
    <x v="8"/>
    <n v="60"/>
    <x v="5"/>
    <s v="Voltage Issue"/>
    <x v="0"/>
    <x v="913"/>
    <n v="2167"/>
    <n v="761"/>
    <s v="Net Banking"/>
    <x v="0"/>
    <x v="14"/>
    <x v="1"/>
    <x v="9"/>
    <n v="3.4"/>
  </r>
  <r>
    <s v="ELEC0977"/>
    <s v="Priya Patel"/>
    <x v="3"/>
    <n v="30"/>
    <x v="1"/>
    <s v="Maintenance"/>
    <x v="8"/>
    <x v="914"/>
    <n v="5824"/>
    <n v="2058"/>
    <s v="Cash"/>
    <x v="0"/>
    <x v="10"/>
    <x v="2"/>
    <x v="98"/>
    <n v="1.2"/>
  </r>
  <r>
    <s v="ELEC0978"/>
    <s v="Pooja Mehta"/>
    <x v="4"/>
    <n v="45"/>
    <x v="6"/>
    <s v="Power Failure"/>
    <x v="3"/>
    <x v="915"/>
    <n v="2786"/>
    <n v="2697"/>
    <s v="Debit Card"/>
    <x v="1"/>
    <x v="11"/>
    <x v="3"/>
    <x v="341"/>
    <n v="4.3"/>
  </r>
  <r>
    <s v="ELEC0979"/>
    <s v="Vivaan Joshi"/>
    <x v="6"/>
    <n v="45"/>
    <x v="7"/>
    <s v="Routine Service"/>
    <x v="7"/>
    <x v="916"/>
    <n v="928"/>
    <n v="2905"/>
    <s v="Net Banking"/>
    <x v="1"/>
    <x v="14"/>
    <x v="7"/>
    <x v="168"/>
    <n v="3.1"/>
  </r>
  <r>
    <s v="ELEC0980"/>
    <s v="Anjali Chauhan"/>
    <x v="0"/>
    <n v="58"/>
    <x v="0"/>
    <s v="Short Circuit"/>
    <x v="4"/>
    <x v="917"/>
    <n v="6445"/>
    <n v="2745"/>
    <s v="Net Banking"/>
    <x v="2"/>
    <x v="0"/>
    <x v="0"/>
    <x v="190"/>
    <n v="4.8"/>
  </r>
  <r>
    <s v="ELEC0981"/>
    <s v="Jay Shah"/>
    <x v="0"/>
    <n v="55"/>
    <x v="5"/>
    <s v="Routine Service"/>
    <x v="6"/>
    <x v="918"/>
    <n v="6391"/>
    <n v="2527"/>
    <s v="Debit Card"/>
    <x v="0"/>
    <x v="3"/>
    <x v="10"/>
    <x v="37"/>
    <n v="4"/>
  </r>
  <r>
    <s v="ELEC0982"/>
    <s v="Sneha Verma"/>
    <x v="2"/>
    <n v="38"/>
    <x v="6"/>
    <s v="Power Failure"/>
    <x v="1"/>
    <x v="919"/>
    <n v="6818"/>
    <n v="2423"/>
    <s v="Net Banking"/>
    <x v="1"/>
    <x v="8"/>
    <x v="3"/>
    <x v="277"/>
    <n v="3.5"/>
  </r>
  <r>
    <s v="ELEC0983"/>
    <s v="Pooja Gupta"/>
    <x v="0"/>
    <n v="63"/>
    <x v="6"/>
    <s v="Electrical Inspection"/>
    <x v="3"/>
    <x v="920"/>
    <n v="1518"/>
    <n v="1457"/>
    <s v="Debit Card"/>
    <x v="0"/>
    <x v="5"/>
    <x v="8"/>
    <x v="199"/>
    <n v="3.5"/>
  </r>
  <r>
    <s v="ELEC0984"/>
    <s v="Krishna Sharma"/>
    <x v="5"/>
    <n v="21"/>
    <x v="5"/>
    <s v="Short Circuit"/>
    <x v="4"/>
    <x v="921"/>
    <n v="4433"/>
    <n v="2812"/>
    <s v="Net Banking"/>
    <x v="0"/>
    <x v="12"/>
    <x v="3"/>
    <x v="313"/>
    <n v="3.6"/>
  </r>
  <r>
    <s v="ELEC0985"/>
    <s v="Aditya Mehta"/>
    <x v="4"/>
    <n v="56"/>
    <x v="4"/>
    <s v="Power Failure"/>
    <x v="8"/>
    <x v="922"/>
    <n v="1972"/>
    <n v="1256"/>
    <s v="UPI"/>
    <x v="1"/>
    <x v="3"/>
    <x v="8"/>
    <x v="29"/>
    <n v="3.9"/>
  </r>
  <r>
    <s v="ELEC0986"/>
    <s v="Sneha Pandya"/>
    <x v="9"/>
    <n v="30"/>
    <x v="3"/>
    <s v="Short Circuit"/>
    <x v="1"/>
    <x v="923"/>
    <n v="1437"/>
    <n v="2881"/>
    <s v="Net Banking"/>
    <x v="1"/>
    <x v="9"/>
    <x v="6"/>
    <x v="92"/>
    <n v="4.5999999999999996"/>
  </r>
  <r>
    <s v="ELEC0987"/>
    <s v="Anjali Sharma"/>
    <x v="1"/>
    <n v="35"/>
    <x v="1"/>
    <s v="Voltage Issue"/>
    <x v="2"/>
    <x v="924"/>
    <n v="632"/>
    <n v="2978"/>
    <s v="Cash"/>
    <x v="2"/>
    <x v="15"/>
    <x v="7"/>
    <x v="96"/>
    <n v="4.4000000000000004"/>
  </r>
  <r>
    <s v="ELEC0988"/>
    <s v="Amit Joshi"/>
    <x v="3"/>
    <n v="27"/>
    <x v="9"/>
    <s v="Equipment Upgrade"/>
    <x v="8"/>
    <x v="925"/>
    <n v="1427"/>
    <n v="2293"/>
    <s v="Credit Card"/>
    <x v="0"/>
    <x v="12"/>
    <x v="7"/>
    <x v="85"/>
    <n v="4.0999999999999996"/>
  </r>
  <r>
    <s v="ELEC0989"/>
    <s v="Yash Patel"/>
    <x v="8"/>
    <n v="39"/>
    <x v="7"/>
    <s v="Short Circuit"/>
    <x v="4"/>
    <x v="926"/>
    <n v="5472"/>
    <n v="1675"/>
    <s v="Credit Card"/>
    <x v="1"/>
    <x v="0"/>
    <x v="7"/>
    <x v="342"/>
    <n v="4.2"/>
  </r>
  <r>
    <s v="ELEC0990"/>
    <s v="Amit Sharma"/>
    <x v="9"/>
    <n v="44"/>
    <x v="1"/>
    <s v="Voltage Issue"/>
    <x v="9"/>
    <x v="927"/>
    <n v="5343"/>
    <n v="304"/>
    <s v="Net Banking"/>
    <x v="1"/>
    <x v="12"/>
    <x v="7"/>
    <x v="304"/>
    <n v="4.5"/>
  </r>
  <r>
    <s v="ELEC0991"/>
    <s v="Riya Shah"/>
    <x v="3"/>
    <n v="34"/>
    <x v="2"/>
    <s v="Electrical Inspection"/>
    <x v="3"/>
    <x v="928"/>
    <n v="5882"/>
    <n v="814"/>
    <s v="UPI"/>
    <x v="0"/>
    <x v="9"/>
    <x v="4"/>
    <x v="250"/>
    <n v="3.3"/>
  </r>
  <r>
    <s v="ELEC0992"/>
    <s v="Riya Kapoor"/>
    <x v="4"/>
    <n v="61"/>
    <x v="8"/>
    <s v="Routine Service"/>
    <x v="7"/>
    <x v="929"/>
    <n v="6505"/>
    <n v="696"/>
    <s v="Debit Card"/>
    <x v="1"/>
    <x v="14"/>
    <x v="0"/>
    <x v="343"/>
    <n v="3.6"/>
  </r>
  <r>
    <s v="ELEC0993"/>
    <s v="Isha Kapoor"/>
    <x v="5"/>
    <n v="41"/>
    <x v="6"/>
    <s v="Maintenance"/>
    <x v="6"/>
    <x v="930"/>
    <n v="2900"/>
    <n v="1199"/>
    <s v="Debit Card"/>
    <x v="2"/>
    <x v="13"/>
    <x v="7"/>
    <x v="45"/>
    <n v="3.4"/>
  </r>
  <r>
    <s v="ELEC0994"/>
    <s v="Anjali Shah"/>
    <x v="7"/>
    <n v="65"/>
    <x v="0"/>
    <s v="Emergency Repair"/>
    <x v="5"/>
    <x v="931"/>
    <n v="3464"/>
    <n v="526"/>
    <s v="Debit Card"/>
    <x v="2"/>
    <x v="14"/>
    <x v="4"/>
    <x v="303"/>
    <n v="3.7"/>
  </r>
  <r>
    <s v="ELEC0995"/>
    <s v="Amit Joshi"/>
    <x v="5"/>
    <n v="47"/>
    <x v="0"/>
    <s v="Electrical Inspection"/>
    <x v="9"/>
    <x v="932"/>
    <n v="4904"/>
    <n v="1203"/>
    <s v="UPI"/>
    <x v="1"/>
    <x v="0"/>
    <x v="9"/>
    <x v="305"/>
    <n v="3.7"/>
  </r>
  <r>
    <s v="ELEC0996"/>
    <s v="Amit Mehta"/>
    <x v="0"/>
    <n v="42"/>
    <x v="4"/>
    <s v="Power Failure"/>
    <x v="0"/>
    <x v="933"/>
    <n v="3846"/>
    <n v="1924"/>
    <s v="UPI"/>
    <x v="2"/>
    <x v="6"/>
    <x v="9"/>
    <x v="75"/>
    <n v="3.6"/>
  </r>
  <r>
    <s v="ELEC0997"/>
    <s v="Rahul Chauhan"/>
    <x v="5"/>
    <n v="21"/>
    <x v="7"/>
    <s v="Power Failure"/>
    <x v="5"/>
    <x v="934"/>
    <n v="2657"/>
    <n v="2471"/>
    <s v="Cash"/>
    <x v="2"/>
    <x v="7"/>
    <x v="4"/>
    <x v="236"/>
    <n v="4.9000000000000004"/>
  </r>
  <r>
    <s v="ELEC0998"/>
    <s v="Yash Sharma"/>
    <x v="9"/>
    <n v="25"/>
    <x v="7"/>
    <s v="Equipment Upgrade"/>
    <x v="7"/>
    <x v="935"/>
    <n v="3679"/>
    <n v="1929"/>
    <s v="Credit Card"/>
    <x v="1"/>
    <x v="0"/>
    <x v="6"/>
    <x v="92"/>
    <n v="3.3"/>
  </r>
  <r>
    <s v="ELEC0999"/>
    <s v="Rohan Gupta"/>
    <x v="3"/>
    <n v="58"/>
    <x v="3"/>
    <s v="Electrical Inspection"/>
    <x v="0"/>
    <x v="936"/>
    <n v="6416"/>
    <n v="385"/>
    <s v="Debit Card"/>
    <x v="0"/>
    <x v="2"/>
    <x v="7"/>
    <x v="330"/>
    <n v="4.3"/>
  </r>
  <r>
    <s v="ELEC1000"/>
    <s v="Krishna Shah"/>
    <x v="8"/>
    <n v="39"/>
    <x v="5"/>
    <s v="New Connection"/>
    <x v="9"/>
    <x v="937"/>
    <n v="6428"/>
    <n v="2614"/>
    <s v="UPI"/>
    <x v="2"/>
    <x v="12"/>
    <x v="2"/>
    <x v="17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E80CA1-D7B1-4BDD-8E30-078A904C9D0F}" name="PivotTable19"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location ref="A290:B301"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ofit" fld="9" baseField="0" baseItem="0"/>
  </dataFields>
  <formats count="2">
    <format dxfId="82">
      <pivotArea dataOnly="0" labelOnly="1" outline="0" axis="axisValues" fieldPosition="0"/>
    </format>
    <format dxfId="83">
      <pivotArea outline="0" collapsedLevelsAreSubtotals="1" fieldPosition="0"/>
    </format>
  </format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73510-010E-4595-929A-6686219F591A}" name="PivotTable18"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276:B287" firstHeaderRow="1" firstDataRow="1" firstDataCol="1"/>
  <pivotFields count="18">
    <pivotField showAll="0"/>
    <pivotField showAll="0"/>
    <pivotField axis="axisRow"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Sum of Profit" fld="9" baseField="0" baseItem="0" numFmtId="164"/>
  </dataFields>
  <formats count="2">
    <format dxfId="84">
      <pivotArea dataOnly="0" labelOnly="1" outline="0" axis="axisValues" fieldPosition="0"/>
    </format>
    <format dxfId="85">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80909D-C731-4694-9520-F2449C92A6CE}" name="PivotTable17"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262:B273" firstHeaderRow="1" firstDataRow="1" firstDataCol="1"/>
  <pivotFields count="18">
    <pivotField showAll="0"/>
    <pivotField showAll="0"/>
    <pivotField axis="axisRow"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Sum of Profit" fld="9" baseField="0" baseItem="0" numFmtId="164"/>
  </dataFields>
  <formats count="2">
    <format dxfId="127">
      <pivotArea dataOnly="0" labelOnly="1" outline="0" axis="axisValues" fieldPosition="0"/>
    </format>
    <format dxfId="116">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223791-D966-44AD-9710-DA940912860E}" name="PivotTable16"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247:B258"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axis="axisRow"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i>
    <i>
      <x v="1"/>
    </i>
    <i>
      <x v="2"/>
    </i>
    <i>
      <x v="3"/>
    </i>
    <i>
      <x v="4"/>
    </i>
    <i>
      <x v="5"/>
    </i>
    <i>
      <x v="6"/>
    </i>
    <i>
      <x v="7"/>
    </i>
    <i>
      <x v="8"/>
    </i>
    <i>
      <x v="9"/>
    </i>
    <i t="grand">
      <x/>
    </i>
  </rowItems>
  <colItems count="1">
    <i/>
  </colItems>
  <dataFields count="1">
    <dataField name="Sum of Profit" fld="9" baseField="0" baseItem="0"/>
  </dataFields>
  <formats count="2">
    <format dxfId="136">
      <pivotArea dataOnly="0" labelOnly="1" outline="0" axis="axisValues" fieldPosition="0"/>
    </format>
    <format dxfId="137">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1B563-C79B-45E1-AFC3-E6DA80B907C6}"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29:B242"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Profit" fld="9" subtotal="average" baseField="17" baseItem="1"/>
  </dataFields>
  <formats count="2">
    <format dxfId="294">
      <pivotArea dataOnly="0" labelOnly="1" outline="0" axis="axisValues" fieldPosition="0"/>
    </format>
    <format dxfId="2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329EA-50C5-4BF6-A9FA-785C6BE40775}"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12:B225"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Max of Profit" fld="9" subtotal="max" baseField="17" baseItem="6"/>
  </dataFields>
  <formats count="2">
    <format dxfId="296">
      <pivotArea dataOnly="0" labelOnly="1" outline="0" axis="axisValues" fieldPosition="0"/>
    </format>
    <format dxfId="2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AF82DD-B625-443A-9731-D8FE1722E31C}"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96:B209"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items count="11">
        <item x="0"/>
        <item x="8"/>
        <item x="6"/>
        <item x="9"/>
        <item x="7"/>
        <item x="4"/>
        <item x="3"/>
        <item x="5"/>
        <item x="2"/>
        <item x="1"/>
        <item t="default"/>
      </items>
    </pivotField>
    <pivotField showAll="0">
      <items count="939">
        <item x="320"/>
        <item x="620"/>
        <item x="237"/>
        <item x="266"/>
        <item x="528"/>
        <item x="404"/>
        <item x="889"/>
        <item x="322"/>
        <item x="623"/>
        <item x="535"/>
        <item x="650"/>
        <item x="844"/>
        <item x="521"/>
        <item x="107"/>
        <item x="417"/>
        <item x="890"/>
        <item x="859"/>
        <item x="150"/>
        <item x="301"/>
        <item x="570"/>
        <item x="278"/>
        <item x="515"/>
        <item x="909"/>
        <item x="683"/>
        <item x="259"/>
        <item x="622"/>
        <item x="805"/>
        <item x="558"/>
        <item x="244"/>
        <item x="489"/>
        <item x="870"/>
        <item x="351"/>
        <item x="757"/>
        <item x="355"/>
        <item x="655"/>
        <item x="688"/>
        <item x="556"/>
        <item x="66"/>
        <item x="393"/>
        <item x="413"/>
        <item x="422"/>
        <item x="474"/>
        <item x="39"/>
        <item x="819"/>
        <item x="820"/>
        <item x="330"/>
        <item x="274"/>
        <item x="854"/>
        <item x="893"/>
        <item x="344"/>
        <item x="331"/>
        <item x="599"/>
        <item x="209"/>
        <item x="716"/>
        <item x="412"/>
        <item x="723"/>
        <item x="119"/>
        <item x="708"/>
        <item x="852"/>
        <item x="242"/>
        <item x="92"/>
        <item x="682"/>
        <item x="554"/>
        <item x="525"/>
        <item x="246"/>
        <item x="449"/>
        <item x="265"/>
        <item x="471"/>
        <item x="435"/>
        <item x="669"/>
        <item x="911"/>
        <item x="788"/>
        <item x="79"/>
        <item x="593"/>
        <item x="821"/>
        <item x="82"/>
        <item x="226"/>
        <item x="816"/>
        <item x="19"/>
        <item x="352"/>
        <item x="467"/>
        <item x="766"/>
        <item x="31"/>
        <item x="83"/>
        <item x="715"/>
        <item x="21"/>
        <item x="357"/>
        <item x="451"/>
        <item x="309"/>
        <item x="901"/>
        <item x="43"/>
        <item x="315"/>
        <item x="356"/>
        <item x="137"/>
        <item x="476"/>
        <item x="527"/>
        <item x="97"/>
        <item x="472"/>
        <item x="509"/>
        <item x="180"/>
        <item x="459"/>
        <item x="228"/>
        <item x="129"/>
        <item x="739"/>
        <item x="777"/>
        <item x="611"/>
        <item x="712"/>
        <item x="727"/>
        <item x="700"/>
        <item x="233"/>
        <item x="887"/>
        <item x="369"/>
        <item x="195"/>
        <item x="411"/>
        <item x="877"/>
        <item x="353"/>
        <item x="801"/>
        <item x="9"/>
        <item x="523"/>
        <item x="10"/>
        <item x="641"/>
        <item x="15"/>
        <item x="2"/>
        <item x="415"/>
        <item x="679"/>
        <item x="850"/>
        <item x="26"/>
        <item x="128"/>
        <item x="12"/>
        <item x="419"/>
        <item x="913"/>
        <item x="343"/>
        <item x="116"/>
        <item x="560"/>
        <item x="11"/>
        <item x="707"/>
        <item x="920"/>
        <item x="171"/>
        <item x="625"/>
        <item x="409"/>
        <item x="583"/>
        <item x="529"/>
        <item x="477"/>
        <item x="746"/>
        <item x="75"/>
        <item x="803"/>
        <item x="131"/>
        <item x="89"/>
        <item x="902"/>
        <item x="203"/>
        <item x="295"/>
        <item x="13"/>
        <item x="540"/>
        <item x="537"/>
        <item x="848"/>
        <item x="375"/>
        <item x="436"/>
        <item x="348"/>
        <item x="114"/>
        <item x="684"/>
        <item x="34"/>
        <item x="922"/>
        <item x="61"/>
        <item x="648"/>
        <item x="247"/>
        <item x="280"/>
        <item x="193"/>
        <item x="796"/>
        <item x="784"/>
        <item x="323"/>
        <item x="677"/>
        <item x="482"/>
        <item x="282"/>
        <item x="487"/>
        <item x="591"/>
        <item x="557"/>
        <item x="167"/>
        <item x="787"/>
        <item x="778"/>
        <item x="40"/>
        <item x="616"/>
        <item x="697"/>
        <item x="68"/>
        <item x="510"/>
        <item x="773"/>
        <item x="221"/>
        <item x="235"/>
        <item x="681"/>
        <item x="371"/>
        <item x="216"/>
        <item x="468"/>
        <item x="73"/>
        <item x="134"/>
        <item x="202"/>
        <item x="439"/>
        <item x="383"/>
        <item x="243"/>
        <item x="74"/>
        <item x="98"/>
        <item x="704"/>
        <item x="853"/>
        <item x="268"/>
        <item x="825"/>
        <item x="196"/>
        <item x="745"/>
        <item x="460"/>
        <item x="457"/>
        <item x="373"/>
        <item x="95"/>
        <item x="41"/>
        <item x="838"/>
        <item x="817"/>
        <item x="111"/>
        <item x="924"/>
        <item x="564"/>
        <item x="70"/>
        <item x="511"/>
        <item x="211"/>
        <item x="63"/>
        <item x="561"/>
        <item x="333"/>
        <item x="753"/>
        <item x="255"/>
        <item x="366"/>
        <item x="65"/>
        <item x="524"/>
        <item x="898"/>
        <item x="431"/>
        <item x="563"/>
        <item x="687"/>
        <item x="925"/>
        <item x="798"/>
        <item x="256"/>
        <item x="823"/>
        <item x="308"/>
        <item x="776"/>
        <item x="690"/>
        <item x="758"/>
        <item x="645"/>
        <item x="121"/>
        <item x="670"/>
        <item x="541"/>
        <item x="4"/>
        <item x="239"/>
        <item x="316"/>
        <item x="178"/>
        <item x="319"/>
        <item x="585"/>
        <item x="678"/>
        <item x="916"/>
        <item x="578"/>
        <item x="627"/>
        <item x="520"/>
        <item x="574"/>
        <item x="264"/>
        <item x="188"/>
        <item x="748"/>
        <item x="181"/>
        <item x="405"/>
        <item x="506"/>
        <item x="276"/>
        <item x="742"/>
        <item x="389"/>
        <item x="232"/>
        <item x="464"/>
        <item x="807"/>
        <item x="831"/>
        <item x="662"/>
        <item x="606"/>
        <item x="51"/>
        <item x="762"/>
        <item x="450"/>
        <item x="732"/>
        <item x="931"/>
        <item x="35"/>
        <item x="770"/>
        <item x="725"/>
        <item x="502"/>
        <item x="462"/>
        <item x="22"/>
        <item x="590"/>
        <item x="304"/>
        <item x="671"/>
        <item x="750"/>
        <item x="90"/>
        <item x="551"/>
        <item x="930"/>
        <item x="516"/>
        <item x="418"/>
        <item x="856"/>
        <item x="443"/>
        <item x="215"/>
        <item x="631"/>
        <item x="59"/>
        <item x="843"/>
        <item x="685"/>
        <item x="698"/>
        <item x="908"/>
        <item x="224"/>
        <item x="281"/>
        <item x="733"/>
        <item x="860"/>
        <item x="146"/>
        <item x="25"/>
        <item x="88"/>
        <item x="292"/>
        <item x="139"/>
        <item x="48"/>
        <item x="273"/>
        <item x="875"/>
        <item x="148"/>
        <item x="814"/>
        <item x="311"/>
        <item x="160"/>
        <item x="534"/>
        <item x="582"/>
        <item x="612"/>
        <item x="547"/>
        <item x="806"/>
        <item x="372"/>
        <item x="862"/>
        <item x="272"/>
        <item x="923"/>
        <item x="752"/>
        <item x="438"/>
        <item x="618"/>
        <item x="656"/>
        <item x="649"/>
        <item x="37"/>
        <item x="132"/>
        <item x="839"/>
        <item x="241"/>
        <item x="161"/>
        <item x="238"/>
        <item x="190"/>
        <item x="339"/>
        <item x="597"/>
        <item x="205"/>
        <item x="828"/>
        <item x="836"/>
        <item x="425"/>
        <item x="661"/>
        <item x="192"/>
        <item x="686"/>
        <item x="595"/>
        <item x="5"/>
        <item x="395"/>
        <item x="668"/>
        <item x="49"/>
        <item x="755"/>
        <item x="290"/>
        <item x="414"/>
        <item x="374"/>
        <item x="138"/>
        <item x="141"/>
        <item x="380"/>
        <item x="33"/>
        <item x="327"/>
        <item x="318"/>
        <item x="659"/>
        <item x="869"/>
        <item x="360"/>
        <item x="350"/>
        <item x="384"/>
        <item x="545"/>
        <item x="479"/>
        <item x="397"/>
        <item x="381"/>
        <item x="45"/>
        <item x="760"/>
        <item x="884"/>
        <item x="493"/>
        <item x="219"/>
        <item x="56"/>
        <item x="785"/>
        <item x="110"/>
        <item x="486"/>
        <item x="236"/>
        <item x="154"/>
        <item x="80"/>
        <item x="46"/>
        <item x="328"/>
        <item x="701"/>
        <item x="469"/>
        <item x="734"/>
        <item x="781"/>
        <item x="165"/>
        <item x="637"/>
        <item x="20"/>
        <item x="772"/>
        <item x="127"/>
        <item x="499"/>
        <item x="903"/>
        <item x="96"/>
        <item x="126"/>
        <item x="847"/>
        <item x="447"/>
        <item x="864"/>
        <item x="187"/>
        <item x="55"/>
        <item x="576"/>
        <item x="891"/>
        <item x="370"/>
        <item x="279"/>
        <item x="158"/>
        <item x="78"/>
        <item x="14"/>
        <item x="724"/>
        <item x="577"/>
        <item x="666"/>
        <item x="363"/>
        <item x="18"/>
        <item x="269"/>
        <item x="829"/>
        <item x="808"/>
        <item x="212"/>
        <item x="390"/>
        <item x="813"/>
        <item x="42"/>
        <item x="565"/>
        <item x="463"/>
        <item x="910"/>
        <item x="496"/>
        <item x="378"/>
        <item x="440"/>
        <item x="713"/>
        <item x="674"/>
        <item x="774"/>
        <item x="694"/>
        <item x="600"/>
        <item x="445"/>
        <item x="589"/>
        <item x="388"/>
        <item x="7"/>
        <item x="934"/>
        <item x="573"/>
        <item x="498"/>
        <item x="300"/>
        <item x="406"/>
        <item x="695"/>
        <item x="849"/>
        <item x="587"/>
        <item x="424"/>
        <item x="81"/>
        <item x="842"/>
        <item x="663"/>
        <item x="144"/>
        <item x="254"/>
        <item x="261"/>
        <item x="325"/>
        <item x="391"/>
        <item x="873"/>
        <item x="633"/>
        <item x="749"/>
        <item x="173"/>
        <item x="294"/>
        <item x="596"/>
        <item x="592"/>
        <item x="32"/>
        <item x="771"/>
        <item x="579"/>
        <item x="433"/>
        <item x="396"/>
        <item x="102"/>
        <item x="550"/>
        <item x="617"/>
        <item x="169"/>
        <item x="285"/>
        <item x="780"/>
        <item x="542"/>
        <item x="444"/>
        <item x="260"/>
        <item x="603"/>
        <item x="156"/>
        <item x="335"/>
        <item x="234"/>
        <item x="67"/>
        <item x="519"/>
        <item x="630"/>
        <item x="225"/>
        <item x="728"/>
        <item x="377"/>
        <item x="470"/>
        <item x="416"/>
        <item x="297"/>
        <item x="143"/>
        <item x="830"/>
        <item x="915"/>
        <item x="855"/>
        <item x="429"/>
        <item x="608"/>
        <item x="601"/>
        <item x="800"/>
        <item x="580"/>
        <item x="84"/>
        <item x="312"/>
        <item x="407"/>
        <item x="871"/>
        <item x="874"/>
        <item x="434"/>
        <item x="904"/>
        <item x="635"/>
        <item x="826"/>
        <item x="207"/>
        <item x="408"/>
        <item x="626"/>
        <item x="176"/>
        <item x="376"/>
        <item x="76"/>
        <item x="287"/>
        <item x="191"/>
        <item x="643"/>
        <item x="935"/>
        <item x="588"/>
        <item x="113"/>
        <item x="927"/>
        <item x="321"/>
        <item x="709"/>
        <item x="222"/>
        <item x="654"/>
        <item x="865"/>
        <item x="726"/>
        <item x="105"/>
        <item x="569"/>
        <item x="27"/>
        <item x="584"/>
        <item x="182"/>
        <item x="147"/>
        <item x="302"/>
        <item x="644"/>
        <item x="636"/>
        <item x="44"/>
        <item x="933"/>
        <item x="427"/>
        <item x="72"/>
        <item x="305"/>
        <item x="163"/>
        <item x="857"/>
        <item x="892"/>
        <item x="609"/>
        <item x="614"/>
        <item x="29"/>
        <item x="764"/>
        <item x="267"/>
        <item x="480"/>
        <item x="99"/>
        <item x="229"/>
        <item x="149"/>
        <item x="159"/>
        <item x="717"/>
        <item x="258"/>
        <item x="881"/>
        <item x="672"/>
        <item x="722"/>
        <item x="213"/>
        <item x="354"/>
        <item x="899"/>
        <item x="112"/>
        <item x="108"/>
        <item x="251"/>
        <item x="538"/>
        <item x="271"/>
        <item x="488"/>
        <item x="567"/>
        <item x="428"/>
        <item x="517"/>
        <item x="358"/>
        <item x="341"/>
        <item x="544"/>
        <item x="692"/>
        <item x="166"/>
        <item x="306"/>
        <item x="204"/>
        <item x="367"/>
        <item x="136"/>
        <item x="932"/>
        <item x="386"/>
        <item x="912"/>
        <item x="885"/>
        <item x="720"/>
        <item x="811"/>
        <item x="94"/>
        <item x="199"/>
        <item x="660"/>
        <item x="779"/>
        <item x="504"/>
        <item x="539"/>
        <item x="789"/>
        <item x="291"/>
        <item x="508"/>
        <item x="868"/>
        <item x="815"/>
        <item x="514"/>
        <item x="710"/>
        <item x="399"/>
        <item x="532"/>
        <item x="101"/>
        <item x="555"/>
        <item x="262"/>
        <item x="768"/>
        <item x="615"/>
        <item x="543"/>
        <item x="775"/>
        <item x="878"/>
        <item x="518"/>
        <item x="120"/>
        <item x="123"/>
        <item x="47"/>
        <item x="185"/>
        <item x="761"/>
        <item x="400"/>
        <item x="837"/>
        <item x="497"/>
        <item x="456"/>
        <item x="703"/>
        <item x="140"/>
        <item x="835"/>
        <item x="691"/>
        <item x="494"/>
        <item x="782"/>
        <item x="208"/>
        <item x="364"/>
        <item x="894"/>
        <item x="307"/>
        <item x="866"/>
        <item x="249"/>
        <item x="478"/>
        <item x="575"/>
        <item x="767"/>
        <item x="240"/>
        <item x="562"/>
        <item x="741"/>
        <item x="900"/>
        <item x="293"/>
        <item x="759"/>
        <item x="336"/>
        <item x="109"/>
        <item x="906"/>
        <item x="62"/>
        <item x="786"/>
        <item x="298"/>
        <item x="30"/>
        <item x="175"/>
        <item x="310"/>
        <item x="283"/>
        <item x="705"/>
        <item x="711"/>
        <item x="201"/>
        <item x="466"/>
        <item x="324"/>
        <item x="368"/>
        <item x="783"/>
        <item x="743"/>
        <item x="895"/>
        <item x="288"/>
        <item x="928"/>
        <item x="851"/>
        <item x="475"/>
        <item x="863"/>
        <item x="458"/>
        <item x="410"/>
        <item x="872"/>
        <item x="490"/>
        <item x="346"/>
        <item x="546"/>
        <item x="879"/>
        <item x="500"/>
        <item x="751"/>
        <item x="936"/>
        <item x="473"/>
        <item x="223"/>
        <item x="880"/>
        <item x="349"/>
        <item x="359"/>
        <item x="809"/>
        <item x="303"/>
        <item x="461"/>
        <item x="314"/>
        <item x="454"/>
        <item x="135"/>
        <item x="17"/>
        <item x="619"/>
        <item x="385"/>
        <item x="846"/>
        <item x="513"/>
        <item x="162"/>
        <item x="483"/>
        <item x="754"/>
        <item x="568"/>
        <item x="624"/>
        <item x="57"/>
        <item x="795"/>
        <item x="197"/>
        <item x="337"/>
        <item x="334"/>
        <item x="446"/>
        <item x="735"/>
        <item x="658"/>
        <item x="664"/>
        <item x="186"/>
        <item x="896"/>
        <item x="533"/>
        <item x="275"/>
        <item x="432"/>
        <item x="231"/>
        <item x="392"/>
        <item x="317"/>
        <item x="799"/>
        <item x="8"/>
        <item x="87"/>
        <item x="286"/>
        <item x="54"/>
        <item x="693"/>
        <item x="69"/>
        <item x="926"/>
        <item x="403"/>
        <item x="24"/>
        <item x="793"/>
        <item x="610"/>
        <item x="572"/>
        <item x="133"/>
        <item x="769"/>
        <item x="810"/>
        <item x="91"/>
        <item x="721"/>
        <item x="907"/>
        <item x="929"/>
        <item x="607"/>
        <item x="214"/>
        <item x="858"/>
        <item x="792"/>
        <item x="313"/>
        <item x="921"/>
        <item x="832"/>
        <item x="553"/>
        <item x="441"/>
        <item x="647"/>
        <item x="220"/>
        <item x="536"/>
        <item x="812"/>
        <item x="50"/>
        <item x="718"/>
        <item x="888"/>
        <item x="602"/>
        <item x="16"/>
        <item x="465"/>
        <item x="58"/>
        <item x="566"/>
        <item x="85"/>
        <item x="512"/>
        <item x="270"/>
        <item x="53"/>
        <item x="897"/>
        <item x="824"/>
        <item x="38"/>
        <item x="530"/>
        <item x="797"/>
        <item x="651"/>
        <item x="253"/>
        <item x="491"/>
        <item x="184"/>
        <item x="485"/>
        <item x="696"/>
        <item x="179"/>
        <item x="634"/>
        <item x="289"/>
        <item x="790"/>
        <item x="329"/>
        <item x="639"/>
        <item x="501"/>
        <item x="379"/>
        <item x="183"/>
        <item x="263"/>
        <item x="257"/>
        <item x="124"/>
        <item x="605"/>
        <item x="430"/>
        <item x="402"/>
        <item x="104"/>
        <item x="157"/>
        <item x="36"/>
        <item x="86"/>
        <item x="118"/>
        <item x="52"/>
        <item x="882"/>
        <item x="744"/>
        <item x="245"/>
        <item x="526"/>
        <item x="736"/>
        <item x="168"/>
        <item x="730"/>
        <item x="680"/>
        <item x="452"/>
        <item x="299"/>
        <item x="115"/>
        <item x="130"/>
        <item x="326"/>
        <item x="503"/>
        <item x="338"/>
        <item x="362"/>
        <item x="106"/>
        <item x="763"/>
        <item x="714"/>
        <item x="914"/>
        <item x="437"/>
        <item x="71"/>
        <item x="522"/>
        <item x="200"/>
        <item x="347"/>
        <item x="676"/>
        <item x="827"/>
        <item x="492"/>
        <item x="613"/>
        <item x="731"/>
        <item x="423"/>
        <item x="765"/>
        <item x="172"/>
        <item x="840"/>
        <item x="210"/>
        <item x="581"/>
        <item x="453"/>
        <item x="740"/>
        <item x="495"/>
        <item x="248"/>
        <item x="552"/>
        <item x="227"/>
        <item x="174"/>
        <item x="64"/>
        <item x="571"/>
        <item x="155"/>
        <item x="886"/>
        <item x="629"/>
        <item x="170"/>
        <item x="151"/>
        <item x="218"/>
        <item x="791"/>
        <item x="845"/>
        <item x="387"/>
        <item x="250"/>
        <item x="194"/>
        <item x="628"/>
        <item x="6"/>
        <item x="332"/>
        <item x="652"/>
        <item x="673"/>
        <item x="103"/>
        <item x="653"/>
        <item x="448"/>
        <item x="738"/>
        <item x="665"/>
        <item x="818"/>
        <item x="621"/>
        <item x="145"/>
        <item x="867"/>
        <item x="421"/>
        <item x="604"/>
        <item x="586"/>
        <item x="646"/>
        <item x="100"/>
        <item x="559"/>
        <item x="548"/>
        <item x="177"/>
        <item x="642"/>
        <item x="841"/>
        <item x="164"/>
        <item x="93"/>
        <item x="549"/>
        <item x="702"/>
        <item x="632"/>
        <item x="361"/>
        <item x="23"/>
        <item x="0"/>
        <item x="719"/>
        <item x="594"/>
        <item x="507"/>
        <item x="747"/>
        <item x="737"/>
        <item x="394"/>
        <item x="3"/>
        <item x="277"/>
        <item x="638"/>
        <item x="28"/>
        <item x="689"/>
        <item x="117"/>
        <item x="189"/>
        <item x="420"/>
        <item x="152"/>
        <item x="198"/>
        <item x="284"/>
        <item x="794"/>
        <item x="217"/>
        <item x="729"/>
        <item x="505"/>
        <item x="296"/>
        <item x="122"/>
        <item x="802"/>
        <item x="675"/>
        <item x="484"/>
        <item x="699"/>
        <item x="598"/>
        <item x="883"/>
        <item x="401"/>
        <item x="252"/>
        <item x="342"/>
        <item x="918"/>
        <item x="657"/>
        <item x="125"/>
        <item x="365"/>
        <item x="230"/>
        <item x="382"/>
        <item x="937"/>
        <item x="60"/>
        <item x="531"/>
        <item x="340"/>
        <item x="398"/>
        <item x="667"/>
        <item x="481"/>
        <item x="426"/>
        <item x="917"/>
        <item x="706"/>
        <item x="822"/>
        <item x="1"/>
        <item x="804"/>
        <item x="77"/>
        <item x="919"/>
        <item x="861"/>
        <item x="876"/>
        <item x="153"/>
        <item x="833"/>
        <item x="455"/>
        <item x="206"/>
        <item x="345"/>
        <item x="905"/>
        <item x="142"/>
        <item x="442"/>
        <item x="640"/>
        <item x="756"/>
        <item x="834"/>
        <item t="default"/>
      </items>
    </pivotField>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2">
    <format dxfId="298">
      <pivotArea dataOnly="0" labelOnly="1" outline="0" axis="axisValues" fieldPosition="0"/>
    </format>
    <format dxfId="2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07C131-21C3-4183-BAD7-33482314339D}"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81:B192"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dataField="1" showAll="0"/>
    <pivotField showAll="0"/>
    <pivotField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Fees" fld="7" baseField="0" baseItem="0"/>
  </dataFields>
  <formats count="2">
    <format dxfId="300">
      <pivotArea dataOnly="0" labelOnly="1" outline="0" axis="axisValues" fieldPosition="0"/>
    </format>
    <format dxfId="301">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3A7C03-BCFE-4BB6-B4A0-F5084CA38C26}"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162:C173"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pivotField showAll="0"/>
    <pivotField dataField="1"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items count="12">
        <item x="8"/>
        <item x="6"/>
        <item x="0"/>
        <item x="7"/>
        <item x="5"/>
        <item x="3"/>
        <item x="1"/>
        <item x="10"/>
        <item x="2"/>
        <item x="4"/>
        <item x="9"/>
        <item t="default"/>
      </items>
    </pivotField>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ofit" fld="9" baseField="0" baseItem="0"/>
  </dataFields>
  <formats count="2">
    <format dxfId="302">
      <pivotArea dataOnly="0" labelOnly="1" outline="0" axis="axisValues" fieldPosition="0"/>
    </format>
    <format dxfId="303">
      <pivotArea outline="0" collapsedLevelsAreSubtotals="1" fieldPosition="0"/>
    </format>
  </formats>
  <chartFormats count="2">
    <chartFormat chart="31" format="8"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A8A128-4FA1-4AD9-A849-8564B7D348B8}"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145:C156" firstHeaderRow="1" firstDataRow="1" firstDataCol="1"/>
  <pivotFields count="18">
    <pivotField showAll="0"/>
    <pivotField dataField="1"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axis="axisRow" showAll="0">
      <items count="11">
        <item x="0"/>
        <item x="8"/>
        <item x="6"/>
        <item x="9"/>
        <item x="7"/>
        <item x="4"/>
        <item x="3"/>
        <item x="5"/>
        <item x="2"/>
        <item x="1"/>
        <item t="default"/>
      </items>
    </pivotField>
    <pivotField showAll="0"/>
    <pivotField showAll="0"/>
    <pivotField showAll="0"/>
    <pivotField showAll="0"/>
    <pivotField showAll="0">
      <items count="4">
        <item x="1"/>
        <item x="0"/>
        <item x="2"/>
        <item t="default"/>
      </items>
    </pivotField>
    <pivotField showAll="0">
      <items count="17">
        <item x="10"/>
        <item x="11"/>
        <item x="1"/>
        <item x="6"/>
        <item x="12"/>
        <item x="3"/>
        <item x="5"/>
        <item x="0"/>
        <item x="7"/>
        <item x="14"/>
        <item x="8"/>
        <item x="9"/>
        <item x="4"/>
        <item x="13"/>
        <item x="15"/>
        <item x="2"/>
        <item t="default"/>
      </items>
    </pivotField>
    <pivotField showAll="0">
      <items count="12">
        <item x="8"/>
        <item x="6"/>
        <item x="0"/>
        <item x="7"/>
        <item x="5"/>
        <item x="3"/>
        <item x="1"/>
        <item x="10"/>
        <item x="2"/>
        <item x="4"/>
        <item x="9"/>
        <item t="default"/>
      </items>
    </pivotField>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Count of Customer Name" fld="1" subtotal="count" baseField="0" baseItem="0"/>
  </dataFields>
  <formats count="2">
    <format dxfId="304">
      <pivotArea dataOnly="0" labelOnly="1" outline="0" axis="axisValues" fieldPosition="0"/>
    </format>
    <format dxfId="305">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F5AD2A-A14B-4614-A68E-9D88B9AAC9FD}"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7:B140"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Max of Days to Complete" fld="12" subtotal="max" baseField="17" baseItem="1"/>
  </dataFields>
  <formats count="2">
    <format dxfId="306">
      <pivotArea dataOnly="0" labelOnly="1" outline="0" axis="axisValues" fieldPosition="0"/>
    </format>
    <format dxfId="3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C468E7-6FEF-4E09-A4F2-24CDE0A4C0D8}"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8:B121"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7">
        <item x="10"/>
        <item x="11"/>
        <item x="1"/>
        <item x="6"/>
        <item x="12"/>
        <item x="3"/>
        <item x="5"/>
        <item x="0"/>
        <item x="7"/>
        <item x="14"/>
        <item x="8"/>
        <item x="9"/>
        <item x="4"/>
        <item x="13"/>
        <item x="15"/>
        <item x="2"/>
        <item t="default"/>
      </items>
    </pivotField>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Days to Complete" fld="12" subtotal="average" baseField="0" baseItem="0"/>
  </dataFields>
  <formats count="2">
    <format dxfId="308">
      <pivotArea dataOnly="0" labelOnly="1" outline="0" axis="axisValues" fieldPosition="0"/>
    </format>
    <format dxfId="3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42B589-51FD-4C70-A64F-E15899C76C5A}"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93:C104"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axis="axisRow" dataField="1" showAll="0">
      <items count="11">
        <item x="9"/>
        <item x="7"/>
        <item x="3"/>
        <item x="8"/>
        <item x="5"/>
        <item x="0"/>
        <item x="6"/>
        <item x="2"/>
        <item x="4"/>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i>
    <i>
      <x v="1"/>
    </i>
    <i>
      <x v="2"/>
    </i>
    <i>
      <x v="3"/>
    </i>
    <i>
      <x v="4"/>
    </i>
    <i>
      <x v="5"/>
    </i>
    <i>
      <x v="6"/>
    </i>
    <i>
      <x v="7"/>
    </i>
    <i>
      <x v="8"/>
    </i>
    <i>
      <x v="9"/>
    </i>
    <i t="grand">
      <x/>
    </i>
  </rowItems>
  <colItems count="1">
    <i/>
  </colItems>
  <dataFields count="1">
    <dataField name="Count of Service Type" fld="4" subtotal="count" baseField="0" baseItem="0"/>
  </dataFields>
  <formats count="2">
    <format dxfId="310">
      <pivotArea dataOnly="0" labelOnly="1" outline="0" axis="axisValues" fieldPosition="0"/>
    </format>
    <format dxfId="311">
      <pivotArea outline="0" collapsedLevelsAreSubtotals="1"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1C6FAD-15A1-4594-AE77-319BE685A4B0}"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4:C88" firstHeaderRow="1" firstDataRow="1" firstDataCol="1"/>
  <pivotFields count="18">
    <pivotField showAll="0"/>
    <pivotField showAll="0"/>
    <pivotField showAll="0">
      <items count="11">
        <item x="2"/>
        <item x="3"/>
        <item x="4"/>
        <item x="1"/>
        <item x="0"/>
        <item x="8"/>
        <item x="5"/>
        <item x="9"/>
        <item x="7"/>
        <item x="6"/>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Items count="1">
    <i/>
  </colItems>
  <dataFields count="1">
    <dataField name="Count of Status" fld="11" subtotal="count" baseField="0" baseItem="0" numFmtId="10">
      <extLst>
        <ext xmlns:x14="http://schemas.microsoft.com/office/spreadsheetml/2009/9/main" uri="{E15A36E0-9728-4e99-A89B-3F7291B0FE68}">
          <x14:dataField pivotShowAs="percentOfParentRow"/>
        </ext>
      </extLst>
    </dataField>
  </dataFields>
  <formats count="3">
    <format dxfId="313">
      <pivotArea dataOnly="0" labelOnly="1" outline="0" axis="axisValues" fieldPosition="0"/>
    </format>
    <format dxfId="314">
      <pivotArea outline="0" collapsedLevelsAreSubtotals="1" fieldPosition="0"/>
    </format>
    <format dxfId="312">
      <pivotArea outline="0" fieldPosition="0">
        <references count="1">
          <reference field="4294967294" count="1">
            <x v="0"/>
          </reference>
        </references>
      </pivotArea>
    </format>
  </formats>
  <chartFormats count="4">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1" count="1" selected="0">
            <x v="0"/>
          </reference>
        </references>
      </pivotArea>
    </chartFormat>
    <chartFormat chart="11" format="18">
      <pivotArea type="data" outline="0" fieldPosition="0">
        <references count="2">
          <reference field="4294967294" count="1" selected="0">
            <x v="0"/>
          </reference>
          <reference field="11" count="1" selected="0">
            <x v="1"/>
          </reference>
        </references>
      </pivotArea>
    </chartFormat>
    <chartFormat chart="11" format="1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0AE0A8-79C6-4A97-80DD-47BFAEFDC75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8:C79" firstHeaderRow="1" firstDataRow="1" firstDataCol="1"/>
  <pivotFields count="18">
    <pivotField showAll="0"/>
    <pivotField dataField="1" showAll="0"/>
    <pivotField axis="axisRow" showAll="0">
      <items count="11">
        <item x="2"/>
        <item x="3"/>
        <item x="4"/>
        <item x="1"/>
        <item x="0"/>
        <item x="8"/>
        <item x="5"/>
        <item x="9"/>
        <item x="7"/>
        <item x="6"/>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1"/>
    </i>
    <i>
      <x v="2"/>
    </i>
    <i>
      <x v="3"/>
    </i>
    <i>
      <x v="4"/>
    </i>
    <i>
      <x v="5"/>
    </i>
    <i>
      <x v="6"/>
    </i>
    <i>
      <x v="7"/>
    </i>
    <i>
      <x v="8"/>
    </i>
    <i>
      <x v="9"/>
    </i>
    <i t="grand">
      <x/>
    </i>
  </rowItems>
  <colItems count="1">
    <i/>
  </colItems>
  <dataFields count="1">
    <dataField name="Count of Customer Name" fld="1" subtotal="count" baseField="0" baseItem="0"/>
  </dataFields>
  <formats count="2">
    <format dxfId="315">
      <pivotArea dataOnly="0" labelOnly="1" outline="0" axis="axisValues" fieldPosition="0"/>
    </format>
    <format dxfId="316">
      <pivotArea outline="0" collapsedLevelsAreSubtotals="1"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0D5636-6009-4D71-99F0-57901FC7DC0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2:C65" firstHeaderRow="1" firstDataRow="1"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Customer Name" fld="1" subtotal="count" baseField="0" baseItem="0" numFmtId="1"/>
  </dataFields>
  <formats count="2">
    <format dxfId="317">
      <pivotArea dataOnly="0" labelOnly="1" outline="0" axis="axisValues" fieldPosition="0"/>
    </format>
    <format dxfId="318">
      <pivotArea outline="0" collapsedLevelsAreSubtotals="1" fieldPosition="0"/>
    </format>
  </formats>
  <chartFormats count="2">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088ED6-A6B7-4D8C-A604-519BB6D8D61A}"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4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Average of Rating Out of 5" fld="15" subtotal="average" baseField="17" baseItem="5" numFmtId="165"/>
  </dataFields>
  <formats count="2">
    <format dxfId="319">
      <pivotArea dataOnly="0" labelOnly="1" outline="0" axis="axisValues" fieldPosition="0"/>
    </format>
    <format dxfId="3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17FB362-66B1-43AB-BC4D-509303FFA45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Fe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5C0975E-0014-4953-8F4B-B485562A0A68}"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345">
        <item x="298"/>
        <item x="205"/>
        <item x="199"/>
        <item x="270"/>
        <item x="10"/>
        <item x="226"/>
        <item x="5"/>
        <item x="285"/>
        <item x="279"/>
        <item x="173"/>
        <item x="40"/>
        <item x="200"/>
        <item x="331"/>
        <item x="56"/>
        <item x="209"/>
        <item x="68"/>
        <item x="24"/>
        <item x="266"/>
        <item x="120"/>
        <item x="77"/>
        <item x="259"/>
        <item x="42"/>
        <item x="125"/>
        <item x="60"/>
        <item x="126"/>
        <item x="239"/>
        <item x="318"/>
        <item x="137"/>
        <item x="135"/>
        <item x="122"/>
        <item x="332"/>
        <item x="185"/>
        <item x="57"/>
        <item x="167"/>
        <item x="49"/>
        <item x="219"/>
        <item x="197"/>
        <item x="271"/>
        <item x="302"/>
        <item x="141"/>
        <item x="53"/>
        <item x="191"/>
        <item x="69"/>
        <item x="98"/>
        <item x="277"/>
        <item x="334"/>
        <item x="221"/>
        <item x="283"/>
        <item x="80"/>
        <item x="6"/>
        <item x="319"/>
        <item x="152"/>
        <item x="7"/>
        <item x="297"/>
        <item x="272"/>
        <item x="90"/>
        <item x="304"/>
        <item x="1"/>
        <item x="140"/>
        <item x="233"/>
        <item x="190"/>
        <item x="34"/>
        <item x="310"/>
        <item x="150"/>
        <item x="54"/>
        <item x="36"/>
        <item x="93"/>
        <item x="108"/>
        <item x="114"/>
        <item x="264"/>
        <item x="280"/>
        <item x="282"/>
        <item x="117"/>
        <item x="252"/>
        <item x="222"/>
        <item x="212"/>
        <item x="52"/>
        <item x="289"/>
        <item x="342"/>
        <item x="129"/>
        <item x="340"/>
        <item x="333"/>
        <item x="41"/>
        <item x="134"/>
        <item x="45"/>
        <item x="327"/>
        <item x="78"/>
        <item x="300"/>
        <item x="171"/>
        <item x="115"/>
        <item x="256"/>
        <item x="268"/>
        <item x="258"/>
        <item x="151"/>
        <item x="306"/>
        <item x="12"/>
        <item x="217"/>
        <item x="231"/>
        <item x="316"/>
        <item x="43"/>
        <item x="330"/>
        <item x="97"/>
        <item x="296"/>
        <item x="220"/>
        <item x="124"/>
        <item x="214"/>
        <item x="291"/>
        <item x="202"/>
        <item x="321"/>
        <item x="133"/>
        <item x="113"/>
        <item x="198"/>
        <item x="274"/>
        <item x="153"/>
        <item x="35"/>
        <item x="177"/>
        <item x="102"/>
        <item x="281"/>
        <item x="182"/>
        <item x="247"/>
        <item x="253"/>
        <item x="263"/>
        <item x="294"/>
        <item x="91"/>
        <item x="308"/>
        <item x="211"/>
        <item x="322"/>
        <item x="248"/>
        <item x="154"/>
        <item x="309"/>
        <item x="255"/>
        <item x="249"/>
        <item x="95"/>
        <item x="196"/>
        <item x="189"/>
        <item x="238"/>
        <item x="210"/>
        <item x="225"/>
        <item x="193"/>
        <item x="246"/>
        <item x="73"/>
        <item x="92"/>
        <item x="228"/>
        <item x="234"/>
        <item x="136"/>
        <item x="149"/>
        <item x="81"/>
        <item x="267"/>
        <item x="147"/>
        <item x="17"/>
        <item x="262"/>
        <item x="179"/>
        <item x="64"/>
        <item x="276"/>
        <item x="232"/>
        <item x="88"/>
        <item x="165"/>
        <item x="178"/>
        <item x="28"/>
        <item x="320"/>
        <item x="22"/>
        <item x="159"/>
        <item x="175"/>
        <item x="84"/>
        <item x="105"/>
        <item x="216"/>
        <item x="180"/>
        <item x="326"/>
        <item x="32"/>
        <item x="295"/>
        <item x="38"/>
        <item x="79"/>
        <item x="323"/>
        <item x="138"/>
        <item x="44"/>
        <item x="86"/>
        <item x="337"/>
        <item x="19"/>
        <item x="87"/>
        <item x="21"/>
        <item x="292"/>
        <item x="9"/>
        <item x="299"/>
        <item x="116"/>
        <item x="74"/>
        <item x="170"/>
        <item x="184"/>
        <item x="229"/>
        <item x="127"/>
        <item x="275"/>
        <item x="143"/>
        <item x="39"/>
        <item x="188"/>
        <item x="104"/>
        <item x="75"/>
        <item x="31"/>
        <item x="16"/>
        <item x="89"/>
        <item x="71"/>
        <item x="26"/>
        <item x="341"/>
        <item x="130"/>
        <item x="142"/>
        <item x="15"/>
        <item x="201"/>
        <item x="70"/>
        <item x="195"/>
        <item x="325"/>
        <item x="244"/>
        <item x="100"/>
        <item x="37"/>
        <item x="158"/>
        <item x="76"/>
        <item x="20"/>
        <item x="213"/>
        <item x="161"/>
        <item x="82"/>
        <item x="168"/>
        <item x="85"/>
        <item x="251"/>
        <item x="250"/>
        <item x="208"/>
        <item x="144"/>
        <item x="336"/>
        <item x="118"/>
        <item x="94"/>
        <item x="119"/>
        <item x="164"/>
        <item x="121"/>
        <item x="29"/>
        <item x="312"/>
        <item x="317"/>
        <item x="107"/>
        <item x="194"/>
        <item x="48"/>
        <item x="192"/>
        <item x="230"/>
        <item x="128"/>
        <item x="288"/>
        <item x="286"/>
        <item x="131"/>
        <item x="224"/>
        <item x="313"/>
        <item x="33"/>
        <item x="61"/>
        <item x="132"/>
        <item x="109"/>
        <item x="50"/>
        <item x="160"/>
        <item x="145"/>
        <item x="14"/>
        <item x="303"/>
        <item x="307"/>
        <item x="338"/>
        <item x="241"/>
        <item x="174"/>
        <item x="335"/>
        <item x="51"/>
        <item x="162"/>
        <item x="157"/>
        <item x="240"/>
        <item x="176"/>
        <item x="328"/>
        <item x="287"/>
        <item x="301"/>
        <item x="139"/>
        <item x="181"/>
        <item x="96"/>
        <item x="235"/>
        <item x="83"/>
        <item x="146"/>
        <item x="166"/>
        <item x="203"/>
        <item x="99"/>
        <item x="314"/>
        <item x="27"/>
        <item x="112"/>
        <item x="311"/>
        <item x="101"/>
        <item x="11"/>
        <item x="315"/>
        <item x="66"/>
        <item x="23"/>
        <item x="187"/>
        <item x="254"/>
        <item x="67"/>
        <item x="4"/>
        <item x="3"/>
        <item x="278"/>
        <item x="172"/>
        <item x="25"/>
        <item x="46"/>
        <item x="47"/>
        <item x="206"/>
        <item x="265"/>
        <item x="207"/>
        <item x="123"/>
        <item x="62"/>
        <item x="156"/>
        <item x="261"/>
        <item x="218"/>
        <item x="103"/>
        <item x="269"/>
        <item x="245"/>
        <item x="186"/>
        <item x="257"/>
        <item x="242"/>
        <item x="2"/>
        <item x="324"/>
        <item x="148"/>
        <item x="183"/>
        <item x="215"/>
        <item x="106"/>
        <item x="223"/>
        <item x="155"/>
        <item x="63"/>
        <item x="305"/>
        <item x="273"/>
        <item x="343"/>
        <item x="111"/>
        <item x="163"/>
        <item x="0"/>
        <item x="13"/>
        <item x="284"/>
        <item x="55"/>
        <item x="339"/>
        <item x="110"/>
        <item x="58"/>
        <item x="72"/>
        <item x="237"/>
        <item x="18"/>
        <item x="236"/>
        <item x="59"/>
        <item x="243"/>
        <item x="329"/>
        <item x="260"/>
        <item x="204"/>
        <item x="30"/>
        <item x="169"/>
        <item x="8"/>
        <item x="227"/>
        <item x="65"/>
        <item x="293"/>
        <item x="29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59D37C0-60CC-4B6E-9226-78F374D133C7}" sourceName="Months (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47654659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D1515F-F6BA-4CB5-8E7C-3ABA263593BF}" sourceName="Statu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s>
  <data>
    <tabular pivotCacheId="47654659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7A41BF06-66CF-477B-A8A4-7B2D3D496912}" cache="Slicer_Months__Date" caption="Months (Date)" style="SlicerStyleDark1 2" rowHeight="234950"/>
  <slicer name="Status" xr10:uid="{14D22994-A0ED-4CC8-9C17-FE2BF0B0418B}" cache="Slicer_Status" caption="Status" style="SlicerStyleDark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3" xr10:uid="{5D07611C-C4EA-4838-B6DA-7AA5B40E1657}" cache="Slicer_Months__Date" caption="Months (Date)" style="SlicerStyleDark1 2" rowHeight="234950"/>
  <slicer name="Status 2" xr10:uid="{AF5B7797-1006-4895-A79F-AAF96E6E931A}" cache="Slicer_Status" caption="Status" style="SlicerStyleDark1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2" xr10:uid="{80C40D14-CAB8-4540-BEC6-D00644A8CBA7}" cache="Slicer_Months__Date" caption="Months (Date)"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E1" workbookViewId="0">
      <selection activeCell="R21" sqref="R21"/>
    </sheetView>
  </sheetViews>
  <sheetFormatPr defaultRowHeight="14.4" x14ac:dyDescent="0.3"/>
  <cols>
    <col min="1" max="1" width="15" customWidth="1"/>
    <col min="2" max="2" width="19" customWidth="1"/>
    <col min="3" max="3" width="13" customWidth="1"/>
    <col min="4" max="4" width="7" customWidth="1"/>
    <col min="5" max="6" width="25" customWidth="1"/>
    <col min="7" max="7" width="17" customWidth="1"/>
    <col min="8" max="8" width="8" customWidth="1"/>
    <col min="9" max="9" width="9" customWidth="1"/>
    <col min="10" max="10" width="10" customWidth="1"/>
    <col min="11" max="11" width="16" customWidth="1"/>
    <col min="12" max="12" width="13" customWidth="1"/>
    <col min="13" max="13" width="20" customWidth="1"/>
    <col min="14" max="14" width="28" customWidth="1"/>
    <col min="15" max="15" width="14" customWidth="1"/>
  </cols>
  <sheetData>
    <row r="1" spans="1:16" x14ac:dyDescent="0.3">
      <c r="A1" s="1" t="s">
        <v>0</v>
      </c>
      <c r="B1" s="1" t="s">
        <v>1</v>
      </c>
      <c r="C1" s="1" t="s">
        <v>2</v>
      </c>
      <c r="D1" s="1" t="s">
        <v>3</v>
      </c>
      <c r="E1" s="1" t="s">
        <v>4</v>
      </c>
      <c r="F1" s="1" t="s">
        <v>5</v>
      </c>
      <c r="G1" s="2" t="s">
        <v>6</v>
      </c>
      <c r="H1" s="1" t="s">
        <v>7</v>
      </c>
      <c r="I1" s="1" t="s">
        <v>8</v>
      </c>
      <c r="J1" s="2" t="s">
        <v>9</v>
      </c>
      <c r="K1" s="1" t="s">
        <v>10</v>
      </c>
      <c r="L1" s="1" t="s">
        <v>11</v>
      </c>
      <c r="M1" s="1" t="s">
        <v>12</v>
      </c>
      <c r="N1" s="1" t="s">
        <v>13</v>
      </c>
      <c r="O1" s="1" t="s">
        <v>14</v>
      </c>
      <c r="P1" t="s">
        <v>15</v>
      </c>
    </row>
    <row r="2" spans="1:16" x14ac:dyDescent="0.3">
      <c r="A2" t="s">
        <v>16</v>
      </c>
      <c r="B2" t="s">
        <v>17</v>
      </c>
      <c r="C2" t="s">
        <v>18</v>
      </c>
      <c r="D2">
        <v>36</v>
      </c>
      <c r="E2" t="s">
        <v>19</v>
      </c>
      <c r="F2" t="s">
        <v>20</v>
      </c>
      <c r="G2" t="s">
        <v>21</v>
      </c>
      <c r="H2">
        <v>8476</v>
      </c>
      <c r="I2">
        <v>6043</v>
      </c>
      <c r="J2">
        <v>2433</v>
      </c>
      <c r="K2" t="s">
        <v>22</v>
      </c>
      <c r="L2" t="s">
        <v>23</v>
      </c>
      <c r="M2">
        <v>7</v>
      </c>
      <c r="N2" t="s">
        <v>24</v>
      </c>
      <c r="O2" s="6">
        <f ca="1">RANDBETWEEN(DATE(2025,1,1),DATE(2025,12,31))</f>
        <v>45763</v>
      </c>
      <c r="P2">
        <v>4.8</v>
      </c>
    </row>
    <row r="3" spans="1:16" x14ac:dyDescent="0.3">
      <c r="A3" t="s">
        <v>25</v>
      </c>
      <c r="B3" t="s">
        <v>26</v>
      </c>
      <c r="C3" t="s">
        <v>27</v>
      </c>
      <c r="D3">
        <v>59</v>
      </c>
      <c r="E3" t="s">
        <v>28</v>
      </c>
      <c r="F3" t="s">
        <v>29</v>
      </c>
      <c r="G3" t="s">
        <v>30</v>
      </c>
      <c r="H3">
        <v>9226</v>
      </c>
      <c r="I3">
        <v>6365</v>
      </c>
      <c r="J3">
        <v>2861</v>
      </c>
      <c r="K3" t="s">
        <v>31</v>
      </c>
      <c r="L3" t="s">
        <v>32</v>
      </c>
      <c r="M3">
        <v>7</v>
      </c>
      <c r="N3" t="s">
        <v>33</v>
      </c>
      <c r="O3" s="6">
        <f t="shared" ref="O3:O66" ca="1" si="0">RANDBETWEEN(DATE(2025,1,1),DATE(2025,12,31))</f>
        <v>45920</v>
      </c>
      <c r="P3">
        <v>4.2</v>
      </c>
    </row>
    <row r="4" spans="1:16" x14ac:dyDescent="0.3">
      <c r="A4" t="s">
        <v>34</v>
      </c>
      <c r="B4" t="s">
        <v>35</v>
      </c>
      <c r="C4" t="s">
        <v>36</v>
      </c>
      <c r="D4">
        <v>31</v>
      </c>
      <c r="E4" t="s">
        <v>37</v>
      </c>
      <c r="F4" t="s">
        <v>38</v>
      </c>
      <c r="G4" t="s">
        <v>39</v>
      </c>
      <c r="H4">
        <v>2854</v>
      </c>
      <c r="I4">
        <v>1773</v>
      </c>
      <c r="J4">
        <v>1081</v>
      </c>
      <c r="K4" t="s">
        <v>22</v>
      </c>
      <c r="L4" t="s">
        <v>23</v>
      </c>
      <c r="M4">
        <v>2</v>
      </c>
      <c r="N4" t="s">
        <v>40</v>
      </c>
      <c r="O4" s="6">
        <f t="shared" ca="1" si="0"/>
        <v>45998</v>
      </c>
      <c r="P4">
        <v>1.7</v>
      </c>
    </row>
    <row r="5" spans="1:16" x14ac:dyDescent="0.3">
      <c r="A5" t="s">
        <v>41</v>
      </c>
      <c r="B5" t="s">
        <v>42</v>
      </c>
      <c r="C5" t="s">
        <v>43</v>
      </c>
      <c r="D5">
        <v>43</v>
      </c>
      <c r="E5" t="s">
        <v>44</v>
      </c>
      <c r="F5" t="s">
        <v>45</v>
      </c>
      <c r="G5" t="s">
        <v>46</v>
      </c>
      <c r="H5">
        <v>8558</v>
      </c>
      <c r="I5">
        <v>6477</v>
      </c>
      <c r="J5">
        <v>2081</v>
      </c>
      <c r="K5" t="s">
        <v>31</v>
      </c>
      <c r="L5" t="s">
        <v>47</v>
      </c>
      <c r="M5">
        <v>15</v>
      </c>
      <c r="N5" t="s">
        <v>48</v>
      </c>
      <c r="O5" s="6">
        <f t="shared" ca="1" si="0"/>
        <v>45915</v>
      </c>
      <c r="P5">
        <v>4.3</v>
      </c>
    </row>
    <row r="6" spans="1:16" x14ac:dyDescent="0.3">
      <c r="A6" t="s">
        <v>49</v>
      </c>
      <c r="B6" t="s">
        <v>50</v>
      </c>
      <c r="C6" t="s">
        <v>51</v>
      </c>
      <c r="D6">
        <v>44</v>
      </c>
      <c r="E6" t="s">
        <v>44</v>
      </c>
      <c r="F6" t="s">
        <v>52</v>
      </c>
      <c r="G6" t="s">
        <v>21</v>
      </c>
      <c r="H6">
        <v>3783</v>
      </c>
      <c r="I6">
        <v>875</v>
      </c>
      <c r="J6">
        <v>2908</v>
      </c>
      <c r="K6" t="s">
        <v>22</v>
      </c>
      <c r="L6" t="s">
        <v>32</v>
      </c>
      <c r="M6">
        <v>5</v>
      </c>
      <c r="N6" t="s">
        <v>53</v>
      </c>
      <c r="O6" s="6">
        <f t="shared" ca="1" si="0"/>
        <v>45933</v>
      </c>
      <c r="P6">
        <v>3.8</v>
      </c>
    </row>
    <row r="7" spans="1:16" x14ac:dyDescent="0.3">
      <c r="A7" t="s">
        <v>54</v>
      </c>
      <c r="B7" t="s">
        <v>55</v>
      </c>
      <c r="C7" t="s">
        <v>56</v>
      </c>
      <c r="D7">
        <v>61</v>
      </c>
      <c r="E7" t="s">
        <v>57</v>
      </c>
      <c r="F7" t="s">
        <v>20</v>
      </c>
      <c r="G7" t="s">
        <v>58</v>
      </c>
      <c r="H7">
        <v>4468</v>
      </c>
      <c r="I7">
        <v>3410</v>
      </c>
      <c r="J7">
        <v>1058</v>
      </c>
      <c r="K7" t="s">
        <v>59</v>
      </c>
      <c r="L7" t="s">
        <v>32</v>
      </c>
      <c r="M7">
        <v>12</v>
      </c>
      <c r="N7" t="s">
        <v>53</v>
      </c>
      <c r="O7" s="6">
        <f t="shared" ca="1" si="0"/>
        <v>45917</v>
      </c>
      <c r="P7">
        <v>3.9</v>
      </c>
    </row>
    <row r="8" spans="1:16" x14ac:dyDescent="0.3">
      <c r="A8" t="s">
        <v>60</v>
      </c>
      <c r="B8" t="s">
        <v>61</v>
      </c>
      <c r="C8" t="s">
        <v>62</v>
      </c>
      <c r="D8">
        <v>31</v>
      </c>
      <c r="E8" t="s">
        <v>63</v>
      </c>
      <c r="F8" t="s">
        <v>64</v>
      </c>
      <c r="G8" t="s">
        <v>39</v>
      </c>
      <c r="H8">
        <v>8223</v>
      </c>
      <c r="I8">
        <v>5742</v>
      </c>
      <c r="J8">
        <v>2481</v>
      </c>
      <c r="K8" t="s">
        <v>22</v>
      </c>
      <c r="L8" t="s">
        <v>47</v>
      </c>
      <c r="M8">
        <v>6</v>
      </c>
      <c r="N8" t="s">
        <v>24</v>
      </c>
      <c r="O8" s="6">
        <f t="shared" ca="1" si="0"/>
        <v>45828</v>
      </c>
      <c r="P8">
        <v>4</v>
      </c>
    </row>
    <row r="9" spans="1:16" x14ac:dyDescent="0.3">
      <c r="A9" t="s">
        <v>65</v>
      </c>
      <c r="B9" t="s">
        <v>66</v>
      </c>
      <c r="C9" t="s">
        <v>18</v>
      </c>
      <c r="D9">
        <v>25</v>
      </c>
      <c r="E9" t="s">
        <v>19</v>
      </c>
      <c r="F9" t="s">
        <v>67</v>
      </c>
      <c r="G9" t="s">
        <v>58</v>
      </c>
      <c r="H9">
        <v>5125</v>
      </c>
      <c r="I9">
        <v>2241</v>
      </c>
      <c r="J9">
        <v>2884</v>
      </c>
      <c r="K9" t="s">
        <v>68</v>
      </c>
      <c r="L9" t="s">
        <v>47</v>
      </c>
      <c r="M9">
        <v>15</v>
      </c>
      <c r="N9" t="s">
        <v>69</v>
      </c>
      <c r="O9" s="6">
        <f t="shared" ca="1" si="0"/>
        <v>45785</v>
      </c>
      <c r="P9">
        <v>4.2</v>
      </c>
    </row>
    <row r="10" spans="1:16" x14ac:dyDescent="0.3">
      <c r="A10" t="s">
        <v>70</v>
      </c>
      <c r="B10" t="s">
        <v>71</v>
      </c>
      <c r="C10" t="s">
        <v>27</v>
      </c>
      <c r="D10">
        <v>55</v>
      </c>
      <c r="E10" t="s">
        <v>72</v>
      </c>
      <c r="F10" t="s">
        <v>67</v>
      </c>
      <c r="G10" t="s">
        <v>73</v>
      </c>
      <c r="H10">
        <v>7115</v>
      </c>
      <c r="I10">
        <v>5280</v>
      </c>
      <c r="J10">
        <v>1835</v>
      </c>
      <c r="K10" t="s">
        <v>22</v>
      </c>
      <c r="L10" t="s">
        <v>32</v>
      </c>
      <c r="M10">
        <v>3</v>
      </c>
      <c r="N10" t="s">
        <v>74</v>
      </c>
      <c r="O10" s="6">
        <f t="shared" ca="1" si="0"/>
        <v>45781</v>
      </c>
      <c r="P10">
        <v>4.9000000000000004</v>
      </c>
    </row>
    <row r="11" spans="1:16" x14ac:dyDescent="0.3">
      <c r="A11" t="s">
        <v>75</v>
      </c>
      <c r="B11" t="s">
        <v>76</v>
      </c>
      <c r="C11" t="s">
        <v>77</v>
      </c>
      <c r="D11">
        <v>30</v>
      </c>
      <c r="E11" t="s">
        <v>78</v>
      </c>
      <c r="F11" t="s">
        <v>64</v>
      </c>
      <c r="G11" t="s">
        <v>79</v>
      </c>
      <c r="H11">
        <v>2796</v>
      </c>
      <c r="I11">
        <v>1020</v>
      </c>
      <c r="J11">
        <v>1776</v>
      </c>
      <c r="K11" t="s">
        <v>31</v>
      </c>
      <c r="L11" t="s">
        <v>23</v>
      </c>
      <c r="M11">
        <v>8</v>
      </c>
      <c r="N11" t="s">
        <v>74</v>
      </c>
      <c r="O11" s="6">
        <f t="shared" ca="1" si="0"/>
        <v>45764</v>
      </c>
      <c r="P11">
        <v>3.2</v>
      </c>
    </row>
    <row r="12" spans="1:16" x14ac:dyDescent="0.3">
      <c r="A12" t="s">
        <v>80</v>
      </c>
      <c r="B12" t="s">
        <v>81</v>
      </c>
      <c r="C12" t="s">
        <v>77</v>
      </c>
      <c r="D12">
        <v>64</v>
      </c>
      <c r="E12" t="s">
        <v>82</v>
      </c>
      <c r="F12" t="s">
        <v>45</v>
      </c>
      <c r="G12" t="s">
        <v>58</v>
      </c>
      <c r="H12">
        <v>2815</v>
      </c>
      <c r="I12">
        <v>1413</v>
      </c>
      <c r="J12">
        <v>1402</v>
      </c>
      <c r="K12" t="s">
        <v>31</v>
      </c>
      <c r="L12" t="s">
        <v>23</v>
      </c>
      <c r="M12">
        <v>8</v>
      </c>
      <c r="N12" t="s">
        <v>24</v>
      </c>
      <c r="O12" s="6">
        <f t="shared" ca="1" si="0"/>
        <v>45974</v>
      </c>
      <c r="P12">
        <v>3.6</v>
      </c>
    </row>
    <row r="13" spans="1:16" x14ac:dyDescent="0.3">
      <c r="A13" t="s">
        <v>83</v>
      </c>
      <c r="B13" t="s">
        <v>84</v>
      </c>
      <c r="C13" t="s">
        <v>77</v>
      </c>
      <c r="D13">
        <v>61</v>
      </c>
      <c r="E13" t="s">
        <v>72</v>
      </c>
      <c r="F13" t="s">
        <v>29</v>
      </c>
      <c r="G13" t="s">
        <v>79</v>
      </c>
      <c r="H13">
        <v>2955</v>
      </c>
      <c r="I13">
        <v>2129</v>
      </c>
      <c r="J13">
        <v>826</v>
      </c>
      <c r="K13" t="s">
        <v>22</v>
      </c>
      <c r="L13" t="s">
        <v>23</v>
      </c>
      <c r="M13">
        <v>3</v>
      </c>
      <c r="N13" t="s">
        <v>74</v>
      </c>
      <c r="O13" s="6">
        <f t="shared" ca="1" si="0"/>
        <v>45784</v>
      </c>
      <c r="P13">
        <v>3.7</v>
      </c>
    </row>
    <row r="14" spans="1:16" x14ac:dyDescent="0.3">
      <c r="A14" t="s">
        <v>85</v>
      </c>
      <c r="B14" t="s">
        <v>86</v>
      </c>
      <c r="C14" t="s">
        <v>56</v>
      </c>
      <c r="D14">
        <v>22</v>
      </c>
      <c r="E14" t="s">
        <v>87</v>
      </c>
      <c r="F14" t="s">
        <v>38</v>
      </c>
      <c r="G14" t="s">
        <v>39</v>
      </c>
      <c r="H14">
        <v>2898</v>
      </c>
      <c r="I14">
        <v>2461</v>
      </c>
      <c r="J14">
        <v>437</v>
      </c>
      <c r="K14" t="s">
        <v>88</v>
      </c>
      <c r="L14" t="s">
        <v>32</v>
      </c>
      <c r="M14">
        <v>10</v>
      </c>
      <c r="N14" t="s">
        <v>53</v>
      </c>
      <c r="O14" s="6">
        <f t="shared" ca="1" si="0"/>
        <v>45773</v>
      </c>
      <c r="P14">
        <v>4.0999999999999996</v>
      </c>
    </row>
    <row r="15" spans="1:16" x14ac:dyDescent="0.3">
      <c r="A15" t="s">
        <v>89</v>
      </c>
      <c r="B15" t="s">
        <v>90</v>
      </c>
      <c r="C15" t="s">
        <v>27</v>
      </c>
      <c r="D15">
        <v>29</v>
      </c>
      <c r="E15" t="s">
        <v>78</v>
      </c>
      <c r="F15" t="s">
        <v>91</v>
      </c>
      <c r="G15" t="s">
        <v>92</v>
      </c>
      <c r="H15">
        <v>3137</v>
      </c>
      <c r="I15">
        <v>1852</v>
      </c>
      <c r="J15">
        <v>1285</v>
      </c>
      <c r="K15" t="s">
        <v>31</v>
      </c>
      <c r="L15" t="s">
        <v>47</v>
      </c>
      <c r="M15">
        <v>10</v>
      </c>
      <c r="N15" t="s">
        <v>48</v>
      </c>
      <c r="O15" s="6">
        <f t="shared" ca="1" si="0"/>
        <v>45677</v>
      </c>
      <c r="P15">
        <v>4.8</v>
      </c>
    </row>
    <row r="16" spans="1:16" x14ac:dyDescent="0.3">
      <c r="A16" t="s">
        <v>93</v>
      </c>
      <c r="B16" t="s">
        <v>94</v>
      </c>
      <c r="C16" t="s">
        <v>18</v>
      </c>
      <c r="D16">
        <v>46</v>
      </c>
      <c r="E16" t="s">
        <v>57</v>
      </c>
      <c r="F16" t="s">
        <v>91</v>
      </c>
      <c r="G16" t="s">
        <v>92</v>
      </c>
      <c r="H16">
        <v>4893</v>
      </c>
      <c r="I16">
        <v>4198</v>
      </c>
      <c r="J16">
        <v>695</v>
      </c>
      <c r="K16" t="s">
        <v>31</v>
      </c>
      <c r="L16" t="s">
        <v>47</v>
      </c>
      <c r="M16">
        <v>2</v>
      </c>
      <c r="N16" t="s">
        <v>95</v>
      </c>
      <c r="O16" s="6">
        <f t="shared" ca="1" si="0"/>
        <v>45765</v>
      </c>
      <c r="P16">
        <v>4.2</v>
      </c>
    </row>
    <row r="17" spans="1:16" x14ac:dyDescent="0.3">
      <c r="A17" t="s">
        <v>96</v>
      </c>
      <c r="B17" t="s">
        <v>97</v>
      </c>
      <c r="C17" t="s">
        <v>51</v>
      </c>
      <c r="D17">
        <v>35</v>
      </c>
      <c r="E17" t="s">
        <v>28</v>
      </c>
      <c r="F17" t="s">
        <v>98</v>
      </c>
      <c r="G17" t="s">
        <v>46</v>
      </c>
      <c r="H17">
        <v>2851</v>
      </c>
      <c r="I17">
        <v>2375</v>
      </c>
      <c r="J17">
        <v>476</v>
      </c>
      <c r="K17" t="s">
        <v>31</v>
      </c>
      <c r="L17" t="s">
        <v>47</v>
      </c>
      <c r="M17">
        <v>2</v>
      </c>
      <c r="N17" t="s">
        <v>40</v>
      </c>
      <c r="O17" s="6">
        <f t="shared" ca="1" si="0"/>
        <v>45924</v>
      </c>
      <c r="P17">
        <v>2.7</v>
      </c>
    </row>
    <row r="18" spans="1:16" x14ac:dyDescent="0.3">
      <c r="A18" t="s">
        <v>99</v>
      </c>
      <c r="B18" t="s">
        <v>100</v>
      </c>
      <c r="C18" t="s">
        <v>56</v>
      </c>
      <c r="D18">
        <v>34</v>
      </c>
      <c r="E18" t="s">
        <v>82</v>
      </c>
      <c r="F18" t="s">
        <v>20</v>
      </c>
      <c r="G18" t="s">
        <v>79</v>
      </c>
      <c r="H18">
        <v>7356</v>
      </c>
      <c r="I18">
        <v>5220</v>
      </c>
      <c r="J18">
        <v>2136</v>
      </c>
      <c r="K18" t="s">
        <v>22</v>
      </c>
      <c r="L18" t="s">
        <v>32</v>
      </c>
      <c r="M18">
        <v>8</v>
      </c>
      <c r="N18" t="s">
        <v>48</v>
      </c>
      <c r="O18" s="6">
        <f t="shared" ca="1" si="0"/>
        <v>45758</v>
      </c>
      <c r="P18">
        <v>3.9</v>
      </c>
    </row>
    <row r="19" spans="1:16" x14ac:dyDescent="0.3">
      <c r="A19" t="s">
        <v>101</v>
      </c>
      <c r="B19" t="s">
        <v>102</v>
      </c>
      <c r="C19" t="s">
        <v>103</v>
      </c>
      <c r="D19">
        <v>43</v>
      </c>
      <c r="E19" t="s">
        <v>37</v>
      </c>
      <c r="F19" t="s">
        <v>64</v>
      </c>
      <c r="G19" t="s">
        <v>104</v>
      </c>
      <c r="H19">
        <v>6893</v>
      </c>
      <c r="I19">
        <v>6472</v>
      </c>
      <c r="J19">
        <v>421</v>
      </c>
      <c r="K19" t="s">
        <v>88</v>
      </c>
      <c r="L19" t="s">
        <v>23</v>
      </c>
      <c r="M19">
        <v>11</v>
      </c>
      <c r="N19" t="s">
        <v>53</v>
      </c>
      <c r="O19" s="6">
        <f t="shared" ca="1" si="0"/>
        <v>45974</v>
      </c>
      <c r="P19">
        <v>3.6</v>
      </c>
    </row>
    <row r="20" spans="1:16" x14ac:dyDescent="0.3">
      <c r="A20" t="s">
        <v>105</v>
      </c>
      <c r="B20" t="s">
        <v>106</v>
      </c>
      <c r="C20" t="s">
        <v>77</v>
      </c>
      <c r="D20">
        <v>36</v>
      </c>
      <c r="E20" t="s">
        <v>19</v>
      </c>
      <c r="F20" t="s">
        <v>52</v>
      </c>
      <c r="G20" t="s">
        <v>92</v>
      </c>
      <c r="H20">
        <v>4949</v>
      </c>
      <c r="I20">
        <v>4175</v>
      </c>
      <c r="J20">
        <v>774</v>
      </c>
      <c r="K20" t="s">
        <v>22</v>
      </c>
      <c r="L20" t="s">
        <v>47</v>
      </c>
      <c r="M20">
        <v>5</v>
      </c>
      <c r="N20" t="s">
        <v>69</v>
      </c>
      <c r="O20" s="6">
        <f t="shared" ca="1" si="0"/>
        <v>45814</v>
      </c>
      <c r="P20">
        <v>3.6</v>
      </c>
    </row>
    <row r="21" spans="1:16" x14ac:dyDescent="0.3">
      <c r="A21" t="s">
        <v>107</v>
      </c>
      <c r="B21" t="s">
        <v>108</v>
      </c>
      <c r="C21" t="s">
        <v>27</v>
      </c>
      <c r="D21">
        <v>27</v>
      </c>
      <c r="E21" t="s">
        <v>28</v>
      </c>
      <c r="F21" t="s">
        <v>29</v>
      </c>
      <c r="G21" t="s">
        <v>46</v>
      </c>
      <c r="H21">
        <v>2432</v>
      </c>
      <c r="I21">
        <v>1264</v>
      </c>
      <c r="J21">
        <v>1168</v>
      </c>
      <c r="K21" t="s">
        <v>88</v>
      </c>
      <c r="L21" t="s">
        <v>32</v>
      </c>
      <c r="M21">
        <v>8</v>
      </c>
      <c r="N21" t="s">
        <v>69</v>
      </c>
      <c r="O21" s="6">
        <f t="shared" ca="1" si="0"/>
        <v>45880</v>
      </c>
      <c r="P21">
        <v>3.4</v>
      </c>
    </row>
    <row r="22" spans="1:16" x14ac:dyDescent="0.3">
      <c r="A22" t="s">
        <v>109</v>
      </c>
      <c r="B22" t="s">
        <v>110</v>
      </c>
      <c r="C22" t="s">
        <v>103</v>
      </c>
      <c r="D22">
        <v>21</v>
      </c>
      <c r="E22" t="s">
        <v>37</v>
      </c>
      <c r="F22" t="s">
        <v>45</v>
      </c>
      <c r="G22" t="s">
        <v>104</v>
      </c>
      <c r="H22">
        <v>4768</v>
      </c>
      <c r="I22">
        <v>2836</v>
      </c>
      <c r="J22">
        <v>1932</v>
      </c>
      <c r="K22" t="s">
        <v>88</v>
      </c>
      <c r="L22" t="s">
        <v>47</v>
      </c>
      <c r="M22">
        <v>12</v>
      </c>
      <c r="N22" t="s">
        <v>74</v>
      </c>
      <c r="O22" s="6">
        <f t="shared" ca="1" si="0"/>
        <v>45982</v>
      </c>
      <c r="P22">
        <v>3.3</v>
      </c>
    </row>
    <row r="23" spans="1:16" x14ac:dyDescent="0.3">
      <c r="A23" t="s">
        <v>111</v>
      </c>
      <c r="B23" t="s">
        <v>71</v>
      </c>
      <c r="C23" t="s">
        <v>18</v>
      </c>
      <c r="D23">
        <v>34</v>
      </c>
      <c r="E23" t="s">
        <v>28</v>
      </c>
      <c r="F23" t="s">
        <v>67</v>
      </c>
      <c r="G23" t="s">
        <v>92</v>
      </c>
      <c r="H23">
        <v>2483</v>
      </c>
      <c r="I23">
        <v>999</v>
      </c>
      <c r="J23">
        <v>1484</v>
      </c>
      <c r="K23" t="s">
        <v>31</v>
      </c>
      <c r="L23" t="s">
        <v>23</v>
      </c>
      <c r="M23">
        <v>10</v>
      </c>
      <c r="N23" t="s">
        <v>69</v>
      </c>
      <c r="O23" s="6">
        <f t="shared" ca="1" si="0"/>
        <v>45689</v>
      </c>
      <c r="P23">
        <v>4.5999999999999996</v>
      </c>
    </row>
    <row r="24" spans="1:16" x14ac:dyDescent="0.3">
      <c r="A24" t="s">
        <v>112</v>
      </c>
      <c r="B24" t="s">
        <v>113</v>
      </c>
      <c r="C24" t="s">
        <v>27</v>
      </c>
      <c r="D24">
        <v>26</v>
      </c>
      <c r="E24" t="s">
        <v>78</v>
      </c>
      <c r="F24" t="s">
        <v>98</v>
      </c>
      <c r="G24" t="s">
        <v>79</v>
      </c>
      <c r="H24">
        <v>4021</v>
      </c>
      <c r="I24">
        <v>1056</v>
      </c>
      <c r="J24">
        <v>2965</v>
      </c>
      <c r="K24" t="s">
        <v>31</v>
      </c>
      <c r="L24" t="s">
        <v>23</v>
      </c>
      <c r="M24">
        <v>3</v>
      </c>
      <c r="N24" t="s">
        <v>40</v>
      </c>
      <c r="O24" s="6">
        <f t="shared" ca="1" si="0"/>
        <v>45680</v>
      </c>
      <c r="P24">
        <v>2.5</v>
      </c>
    </row>
    <row r="25" spans="1:16" x14ac:dyDescent="0.3">
      <c r="A25" t="s">
        <v>114</v>
      </c>
      <c r="B25" t="s">
        <v>115</v>
      </c>
      <c r="C25" t="s">
        <v>51</v>
      </c>
      <c r="D25">
        <v>23</v>
      </c>
      <c r="E25" t="s">
        <v>44</v>
      </c>
      <c r="F25" t="s">
        <v>98</v>
      </c>
      <c r="G25" t="s">
        <v>73</v>
      </c>
      <c r="H25">
        <v>8475</v>
      </c>
      <c r="I25">
        <v>5885</v>
      </c>
      <c r="J25">
        <v>2590</v>
      </c>
      <c r="K25" t="s">
        <v>68</v>
      </c>
      <c r="L25" t="s">
        <v>32</v>
      </c>
      <c r="M25">
        <v>6</v>
      </c>
      <c r="N25" t="s">
        <v>116</v>
      </c>
      <c r="O25" s="6">
        <f t="shared" ca="1" si="0"/>
        <v>45779</v>
      </c>
      <c r="P25">
        <v>5</v>
      </c>
    </row>
    <row r="26" spans="1:16" x14ac:dyDescent="0.3">
      <c r="A26" t="s">
        <v>117</v>
      </c>
      <c r="B26" t="s">
        <v>100</v>
      </c>
      <c r="C26" t="s">
        <v>103</v>
      </c>
      <c r="D26">
        <v>29</v>
      </c>
      <c r="E26" t="s">
        <v>72</v>
      </c>
      <c r="F26" t="s">
        <v>91</v>
      </c>
      <c r="G26" t="s">
        <v>58</v>
      </c>
      <c r="H26">
        <v>7156</v>
      </c>
      <c r="I26">
        <v>6659</v>
      </c>
      <c r="J26">
        <v>497</v>
      </c>
      <c r="K26" t="s">
        <v>22</v>
      </c>
      <c r="L26" t="s">
        <v>32</v>
      </c>
      <c r="M26">
        <v>10</v>
      </c>
      <c r="N26" t="s">
        <v>118</v>
      </c>
      <c r="O26" s="6">
        <f t="shared" ca="1" si="0"/>
        <v>45964</v>
      </c>
      <c r="P26">
        <v>3.4</v>
      </c>
    </row>
    <row r="27" spans="1:16" x14ac:dyDescent="0.3">
      <c r="A27" t="s">
        <v>119</v>
      </c>
      <c r="B27" t="s">
        <v>97</v>
      </c>
      <c r="C27" t="s">
        <v>27</v>
      </c>
      <c r="D27">
        <v>37</v>
      </c>
      <c r="E27" t="s">
        <v>78</v>
      </c>
      <c r="F27" t="s">
        <v>38</v>
      </c>
      <c r="G27" t="s">
        <v>21</v>
      </c>
      <c r="H27">
        <v>4214</v>
      </c>
      <c r="I27">
        <v>2501</v>
      </c>
      <c r="J27">
        <v>1713</v>
      </c>
      <c r="K27" t="s">
        <v>68</v>
      </c>
      <c r="L27" t="s">
        <v>32</v>
      </c>
      <c r="M27">
        <v>8</v>
      </c>
      <c r="N27" t="s">
        <v>74</v>
      </c>
      <c r="O27" s="6">
        <f t="shared" ca="1" si="0"/>
        <v>45765</v>
      </c>
      <c r="P27">
        <v>4</v>
      </c>
    </row>
    <row r="28" spans="1:16" x14ac:dyDescent="0.3">
      <c r="A28" t="s">
        <v>120</v>
      </c>
      <c r="B28" t="s">
        <v>121</v>
      </c>
      <c r="C28" t="s">
        <v>27</v>
      </c>
      <c r="D28">
        <v>21</v>
      </c>
      <c r="E28" t="s">
        <v>82</v>
      </c>
      <c r="F28" t="s">
        <v>45</v>
      </c>
      <c r="G28" t="s">
        <v>21</v>
      </c>
      <c r="H28">
        <v>2883</v>
      </c>
      <c r="I28">
        <v>1600</v>
      </c>
      <c r="J28">
        <v>1283</v>
      </c>
      <c r="K28" t="s">
        <v>68</v>
      </c>
      <c r="L28" t="s">
        <v>32</v>
      </c>
      <c r="M28">
        <v>2</v>
      </c>
      <c r="N28" t="s">
        <v>74</v>
      </c>
      <c r="O28" s="6">
        <f t="shared" ca="1" si="0"/>
        <v>45803</v>
      </c>
      <c r="P28">
        <v>4.2</v>
      </c>
    </row>
    <row r="29" spans="1:16" x14ac:dyDescent="0.3">
      <c r="A29" t="s">
        <v>122</v>
      </c>
      <c r="B29" t="s">
        <v>123</v>
      </c>
      <c r="C29" t="s">
        <v>62</v>
      </c>
      <c r="D29">
        <v>42</v>
      </c>
      <c r="E29" t="s">
        <v>19</v>
      </c>
      <c r="F29" t="s">
        <v>45</v>
      </c>
      <c r="G29" t="s">
        <v>92</v>
      </c>
      <c r="H29">
        <v>5730</v>
      </c>
      <c r="I29">
        <v>4502</v>
      </c>
      <c r="J29">
        <v>1228</v>
      </c>
      <c r="K29" t="s">
        <v>88</v>
      </c>
      <c r="L29" t="s">
        <v>23</v>
      </c>
      <c r="M29">
        <v>0</v>
      </c>
      <c r="N29" t="s">
        <v>40</v>
      </c>
      <c r="O29" s="6">
        <f t="shared" ca="1" si="0"/>
        <v>45730</v>
      </c>
      <c r="P29">
        <v>2.2000000000000002</v>
      </c>
    </row>
    <row r="30" spans="1:16" x14ac:dyDescent="0.3">
      <c r="A30" t="s">
        <v>124</v>
      </c>
      <c r="B30" t="s">
        <v>125</v>
      </c>
      <c r="C30" t="s">
        <v>36</v>
      </c>
      <c r="D30">
        <v>42</v>
      </c>
      <c r="E30" t="s">
        <v>78</v>
      </c>
      <c r="F30" t="s">
        <v>45</v>
      </c>
      <c r="G30" t="s">
        <v>126</v>
      </c>
      <c r="H30">
        <v>8581</v>
      </c>
      <c r="I30">
        <v>6572</v>
      </c>
      <c r="J30">
        <v>2009</v>
      </c>
      <c r="K30" t="s">
        <v>22</v>
      </c>
      <c r="L30" t="s">
        <v>23</v>
      </c>
      <c r="M30">
        <v>7</v>
      </c>
      <c r="N30" t="s">
        <v>74</v>
      </c>
      <c r="O30" s="6">
        <f t="shared" ca="1" si="0"/>
        <v>45812</v>
      </c>
      <c r="P30">
        <v>3.2</v>
      </c>
    </row>
    <row r="31" spans="1:16" x14ac:dyDescent="0.3">
      <c r="A31" t="s">
        <v>127</v>
      </c>
      <c r="B31" t="s">
        <v>128</v>
      </c>
      <c r="C31" t="s">
        <v>129</v>
      </c>
      <c r="D31">
        <v>55</v>
      </c>
      <c r="E31" t="s">
        <v>28</v>
      </c>
      <c r="F31" t="s">
        <v>38</v>
      </c>
      <c r="G31" t="s">
        <v>79</v>
      </c>
      <c r="H31">
        <v>5832</v>
      </c>
      <c r="I31">
        <v>5026</v>
      </c>
      <c r="J31">
        <v>806</v>
      </c>
      <c r="K31" t="s">
        <v>22</v>
      </c>
      <c r="L31" t="s">
        <v>32</v>
      </c>
      <c r="M31">
        <v>1</v>
      </c>
      <c r="N31" t="s">
        <v>116</v>
      </c>
      <c r="O31" s="6">
        <f t="shared" ca="1" si="0"/>
        <v>45687</v>
      </c>
      <c r="P31">
        <v>3.6</v>
      </c>
    </row>
    <row r="32" spans="1:16" x14ac:dyDescent="0.3">
      <c r="A32" t="s">
        <v>130</v>
      </c>
      <c r="B32" t="s">
        <v>131</v>
      </c>
      <c r="C32" t="s">
        <v>62</v>
      </c>
      <c r="D32">
        <v>63</v>
      </c>
      <c r="E32" t="s">
        <v>87</v>
      </c>
      <c r="F32" t="s">
        <v>38</v>
      </c>
      <c r="G32" t="s">
        <v>92</v>
      </c>
      <c r="H32">
        <v>6571</v>
      </c>
      <c r="I32">
        <v>3829</v>
      </c>
      <c r="J32">
        <v>2742</v>
      </c>
      <c r="K32" t="s">
        <v>59</v>
      </c>
      <c r="L32" t="s">
        <v>47</v>
      </c>
      <c r="M32">
        <v>15</v>
      </c>
      <c r="N32" t="s">
        <v>33</v>
      </c>
      <c r="O32" s="6">
        <f t="shared" ca="1" si="0"/>
        <v>45811</v>
      </c>
      <c r="P32">
        <v>3.2</v>
      </c>
    </row>
    <row r="33" spans="1:16" x14ac:dyDescent="0.3">
      <c r="A33" t="s">
        <v>132</v>
      </c>
      <c r="B33" t="s">
        <v>133</v>
      </c>
      <c r="C33" t="s">
        <v>129</v>
      </c>
      <c r="D33">
        <v>42</v>
      </c>
      <c r="E33" t="s">
        <v>37</v>
      </c>
      <c r="F33" t="s">
        <v>52</v>
      </c>
      <c r="G33" t="s">
        <v>39</v>
      </c>
      <c r="H33">
        <v>2446</v>
      </c>
      <c r="I33">
        <v>1804</v>
      </c>
      <c r="J33">
        <v>642</v>
      </c>
      <c r="K33" t="s">
        <v>59</v>
      </c>
      <c r="L33" t="s">
        <v>23</v>
      </c>
      <c r="M33">
        <v>1</v>
      </c>
      <c r="N33" t="s">
        <v>69</v>
      </c>
      <c r="O33" s="6">
        <f t="shared" ca="1" si="0"/>
        <v>45765</v>
      </c>
      <c r="P33">
        <v>3.5</v>
      </c>
    </row>
    <row r="34" spans="1:16" x14ac:dyDescent="0.3">
      <c r="A34" t="s">
        <v>134</v>
      </c>
      <c r="B34" t="s">
        <v>135</v>
      </c>
      <c r="C34" t="s">
        <v>18</v>
      </c>
      <c r="D34">
        <v>35</v>
      </c>
      <c r="E34" t="s">
        <v>19</v>
      </c>
      <c r="F34" t="s">
        <v>136</v>
      </c>
      <c r="G34" t="s">
        <v>30</v>
      </c>
      <c r="H34">
        <v>5308</v>
      </c>
      <c r="I34">
        <v>3764</v>
      </c>
      <c r="J34">
        <v>1544</v>
      </c>
      <c r="K34" t="s">
        <v>31</v>
      </c>
      <c r="L34" t="s">
        <v>32</v>
      </c>
      <c r="M34">
        <v>2</v>
      </c>
      <c r="N34" t="s">
        <v>116</v>
      </c>
      <c r="O34" s="6">
        <f t="shared" ca="1" si="0"/>
        <v>45675</v>
      </c>
      <c r="P34">
        <v>3.9</v>
      </c>
    </row>
    <row r="35" spans="1:16" x14ac:dyDescent="0.3">
      <c r="A35" t="s">
        <v>137</v>
      </c>
      <c r="B35" t="s">
        <v>138</v>
      </c>
      <c r="C35" t="s">
        <v>27</v>
      </c>
      <c r="D35">
        <v>42</v>
      </c>
      <c r="E35" t="s">
        <v>28</v>
      </c>
      <c r="F35" t="s">
        <v>98</v>
      </c>
      <c r="G35" t="s">
        <v>39</v>
      </c>
      <c r="H35">
        <v>4540</v>
      </c>
      <c r="I35">
        <v>1962</v>
      </c>
      <c r="J35">
        <v>2578</v>
      </c>
      <c r="K35" t="s">
        <v>22</v>
      </c>
      <c r="L35" t="s">
        <v>47</v>
      </c>
      <c r="M35">
        <v>2</v>
      </c>
      <c r="N35" t="s">
        <v>40</v>
      </c>
      <c r="O35" s="6">
        <f t="shared" ca="1" si="0"/>
        <v>45831</v>
      </c>
      <c r="P35">
        <v>2.8</v>
      </c>
    </row>
    <row r="36" spans="1:16" x14ac:dyDescent="0.3">
      <c r="A36" t="s">
        <v>139</v>
      </c>
      <c r="B36" t="s">
        <v>140</v>
      </c>
      <c r="C36" t="s">
        <v>43</v>
      </c>
      <c r="D36">
        <v>41</v>
      </c>
      <c r="E36" t="s">
        <v>37</v>
      </c>
      <c r="F36" t="s">
        <v>67</v>
      </c>
      <c r="G36" t="s">
        <v>92</v>
      </c>
      <c r="H36">
        <v>3224</v>
      </c>
      <c r="I36">
        <v>1447</v>
      </c>
      <c r="J36">
        <v>1777</v>
      </c>
      <c r="K36" t="s">
        <v>22</v>
      </c>
      <c r="L36" t="s">
        <v>32</v>
      </c>
      <c r="M36">
        <v>1</v>
      </c>
      <c r="N36" t="s">
        <v>40</v>
      </c>
      <c r="O36" s="6">
        <f t="shared" ca="1" si="0"/>
        <v>46004</v>
      </c>
      <c r="P36">
        <v>1.6</v>
      </c>
    </row>
    <row r="37" spans="1:16" x14ac:dyDescent="0.3">
      <c r="A37" t="s">
        <v>141</v>
      </c>
      <c r="B37" t="s">
        <v>133</v>
      </c>
      <c r="C37" t="s">
        <v>27</v>
      </c>
      <c r="D37">
        <v>55</v>
      </c>
      <c r="E37" t="s">
        <v>19</v>
      </c>
      <c r="F37" t="s">
        <v>38</v>
      </c>
      <c r="G37" t="s">
        <v>73</v>
      </c>
      <c r="H37">
        <v>3993</v>
      </c>
      <c r="I37">
        <v>1073</v>
      </c>
      <c r="J37">
        <v>2920</v>
      </c>
      <c r="K37" t="s">
        <v>22</v>
      </c>
      <c r="L37" t="s">
        <v>32</v>
      </c>
      <c r="M37">
        <v>4</v>
      </c>
      <c r="N37" t="s">
        <v>40</v>
      </c>
      <c r="O37" s="6">
        <f t="shared" ca="1" si="0"/>
        <v>45737</v>
      </c>
      <c r="P37">
        <v>2.8</v>
      </c>
    </row>
    <row r="38" spans="1:16" x14ac:dyDescent="0.3">
      <c r="A38" t="s">
        <v>142</v>
      </c>
      <c r="B38" t="s">
        <v>143</v>
      </c>
      <c r="C38" t="s">
        <v>18</v>
      </c>
      <c r="D38">
        <v>63</v>
      </c>
      <c r="E38" t="s">
        <v>37</v>
      </c>
      <c r="F38" t="s">
        <v>38</v>
      </c>
      <c r="G38" t="s">
        <v>73</v>
      </c>
      <c r="H38">
        <v>7622</v>
      </c>
      <c r="I38">
        <v>6211</v>
      </c>
      <c r="J38">
        <v>1411</v>
      </c>
      <c r="K38" t="s">
        <v>88</v>
      </c>
      <c r="L38" t="s">
        <v>23</v>
      </c>
      <c r="M38">
        <v>4</v>
      </c>
      <c r="N38" t="s">
        <v>48</v>
      </c>
      <c r="O38" s="6">
        <f t="shared" ca="1" si="0"/>
        <v>46014</v>
      </c>
      <c r="P38">
        <v>5</v>
      </c>
    </row>
    <row r="39" spans="1:16" x14ac:dyDescent="0.3">
      <c r="A39" t="s">
        <v>144</v>
      </c>
      <c r="B39" t="s">
        <v>145</v>
      </c>
      <c r="C39" t="s">
        <v>51</v>
      </c>
      <c r="D39">
        <v>40</v>
      </c>
      <c r="E39" t="s">
        <v>37</v>
      </c>
      <c r="F39" t="s">
        <v>29</v>
      </c>
      <c r="G39" t="s">
        <v>46</v>
      </c>
      <c r="H39">
        <v>4364</v>
      </c>
      <c r="I39">
        <v>2989</v>
      </c>
      <c r="J39">
        <v>1375</v>
      </c>
      <c r="K39" t="s">
        <v>68</v>
      </c>
      <c r="L39" t="s">
        <v>32</v>
      </c>
      <c r="M39">
        <v>13</v>
      </c>
      <c r="N39" t="s">
        <v>118</v>
      </c>
      <c r="O39" s="6">
        <f t="shared" ca="1" si="0"/>
        <v>45946</v>
      </c>
      <c r="P39">
        <v>4.5</v>
      </c>
    </row>
    <row r="40" spans="1:16" x14ac:dyDescent="0.3">
      <c r="A40" t="s">
        <v>146</v>
      </c>
      <c r="B40" t="s">
        <v>147</v>
      </c>
      <c r="C40" t="s">
        <v>56</v>
      </c>
      <c r="D40">
        <v>64</v>
      </c>
      <c r="E40" t="s">
        <v>19</v>
      </c>
      <c r="F40" t="s">
        <v>29</v>
      </c>
      <c r="G40" t="s">
        <v>104</v>
      </c>
      <c r="H40">
        <v>7423</v>
      </c>
      <c r="I40">
        <v>6528</v>
      </c>
      <c r="J40">
        <v>895</v>
      </c>
      <c r="K40" t="s">
        <v>31</v>
      </c>
      <c r="L40" t="s">
        <v>23</v>
      </c>
      <c r="M40">
        <v>5</v>
      </c>
      <c r="N40" t="s">
        <v>74</v>
      </c>
      <c r="O40" s="6">
        <f t="shared" ca="1" si="0"/>
        <v>45774</v>
      </c>
      <c r="P40">
        <v>4.8</v>
      </c>
    </row>
    <row r="41" spans="1:16" x14ac:dyDescent="0.3">
      <c r="A41" t="s">
        <v>148</v>
      </c>
      <c r="B41" t="s">
        <v>149</v>
      </c>
      <c r="C41" t="s">
        <v>62</v>
      </c>
      <c r="D41">
        <v>64</v>
      </c>
      <c r="E41" t="s">
        <v>72</v>
      </c>
      <c r="F41" t="s">
        <v>52</v>
      </c>
      <c r="G41" t="s">
        <v>30</v>
      </c>
      <c r="H41">
        <v>2007</v>
      </c>
      <c r="I41">
        <v>1707</v>
      </c>
      <c r="J41">
        <v>300</v>
      </c>
      <c r="K41" t="s">
        <v>88</v>
      </c>
      <c r="L41" t="s">
        <v>23</v>
      </c>
      <c r="M41">
        <v>8</v>
      </c>
      <c r="N41" t="s">
        <v>118</v>
      </c>
      <c r="O41" s="6">
        <f t="shared" ca="1" si="0"/>
        <v>45886</v>
      </c>
      <c r="P41">
        <v>4.3</v>
      </c>
    </row>
    <row r="42" spans="1:16" x14ac:dyDescent="0.3">
      <c r="A42" t="s">
        <v>150</v>
      </c>
      <c r="B42" t="s">
        <v>151</v>
      </c>
      <c r="C42" t="s">
        <v>51</v>
      </c>
      <c r="D42">
        <v>33</v>
      </c>
      <c r="E42" t="s">
        <v>37</v>
      </c>
      <c r="F42" t="s">
        <v>91</v>
      </c>
      <c r="G42" t="s">
        <v>73</v>
      </c>
      <c r="H42">
        <v>3302</v>
      </c>
      <c r="I42">
        <v>2498</v>
      </c>
      <c r="J42">
        <v>804</v>
      </c>
      <c r="K42" t="s">
        <v>59</v>
      </c>
      <c r="L42" t="s">
        <v>23</v>
      </c>
      <c r="M42">
        <v>1</v>
      </c>
      <c r="N42" t="s">
        <v>53</v>
      </c>
      <c r="O42" s="6">
        <f t="shared" ca="1" si="0"/>
        <v>45882</v>
      </c>
      <c r="P42">
        <v>3.3</v>
      </c>
    </row>
    <row r="43" spans="1:16" x14ac:dyDescent="0.3">
      <c r="A43" t="s">
        <v>152</v>
      </c>
      <c r="B43" t="s">
        <v>153</v>
      </c>
      <c r="C43" t="s">
        <v>27</v>
      </c>
      <c r="D43">
        <v>50</v>
      </c>
      <c r="E43" t="s">
        <v>28</v>
      </c>
      <c r="F43" t="s">
        <v>29</v>
      </c>
      <c r="G43" t="s">
        <v>30</v>
      </c>
      <c r="H43">
        <v>3563</v>
      </c>
      <c r="I43">
        <v>1494</v>
      </c>
      <c r="J43">
        <v>2069</v>
      </c>
      <c r="K43" t="s">
        <v>31</v>
      </c>
      <c r="L43" t="s">
        <v>32</v>
      </c>
      <c r="M43">
        <v>8</v>
      </c>
      <c r="N43" t="s">
        <v>74</v>
      </c>
      <c r="O43" s="6">
        <f t="shared" ca="1" si="0"/>
        <v>45902</v>
      </c>
      <c r="P43">
        <v>3.4</v>
      </c>
    </row>
    <row r="44" spans="1:16" x14ac:dyDescent="0.3">
      <c r="A44" t="s">
        <v>154</v>
      </c>
      <c r="B44" t="s">
        <v>106</v>
      </c>
      <c r="C44" t="s">
        <v>56</v>
      </c>
      <c r="D44">
        <v>60</v>
      </c>
      <c r="E44" t="s">
        <v>82</v>
      </c>
      <c r="F44" t="s">
        <v>64</v>
      </c>
      <c r="G44" t="s">
        <v>92</v>
      </c>
      <c r="H44">
        <v>5003</v>
      </c>
      <c r="I44">
        <v>4152</v>
      </c>
      <c r="J44">
        <v>851</v>
      </c>
      <c r="K44" t="s">
        <v>59</v>
      </c>
      <c r="L44" t="s">
        <v>47</v>
      </c>
      <c r="M44">
        <v>8</v>
      </c>
      <c r="N44" t="s">
        <v>69</v>
      </c>
      <c r="O44" s="6">
        <f t="shared" ca="1" si="0"/>
        <v>45709</v>
      </c>
      <c r="P44">
        <v>4.7</v>
      </c>
    </row>
    <row r="45" spans="1:16" x14ac:dyDescent="0.3">
      <c r="A45" t="s">
        <v>155</v>
      </c>
      <c r="B45" t="s">
        <v>35</v>
      </c>
      <c r="C45" t="s">
        <v>27</v>
      </c>
      <c r="D45">
        <v>52</v>
      </c>
      <c r="E45" t="s">
        <v>19</v>
      </c>
      <c r="F45" t="s">
        <v>45</v>
      </c>
      <c r="G45" t="s">
        <v>104</v>
      </c>
      <c r="H45">
        <v>2504</v>
      </c>
      <c r="I45">
        <v>1134</v>
      </c>
      <c r="J45">
        <v>1370</v>
      </c>
      <c r="K45" t="s">
        <v>22</v>
      </c>
      <c r="L45" t="s">
        <v>32</v>
      </c>
      <c r="M45">
        <v>6</v>
      </c>
      <c r="N45" t="s">
        <v>95</v>
      </c>
      <c r="O45" s="6">
        <f t="shared" ca="1" si="0"/>
        <v>45722</v>
      </c>
      <c r="P45">
        <v>4.5</v>
      </c>
    </row>
    <row r="46" spans="1:16" x14ac:dyDescent="0.3">
      <c r="A46" t="s">
        <v>156</v>
      </c>
      <c r="B46" t="s">
        <v>157</v>
      </c>
      <c r="C46" t="s">
        <v>62</v>
      </c>
      <c r="D46">
        <v>45</v>
      </c>
      <c r="E46" t="s">
        <v>78</v>
      </c>
      <c r="F46" t="s">
        <v>52</v>
      </c>
      <c r="G46" t="s">
        <v>21</v>
      </c>
      <c r="H46">
        <v>5767</v>
      </c>
      <c r="I46">
        <v>3898</v>
      </c>
      <c r="J46">
        <v>1869</v>
      </c>
      <c r="K46" t="s">
        <v>59</v>
      </c>
      <c r="L46" t="s">
        <v>23</v>
      </c>
      <c r="M46">
        <v>8</v>
      </c>
      <c r="N46" t="s">
        <v>48</v>
      </c>
      <c r="O46" s="6">
        <f t="shared" ca="1" si="0"/>
        <v>45711</v>
      </c>
      <c r="P46">
        <v>3.1</v>
      </c>
    </row>
    <row r="47" spans="1:16" x14ac:dyDescent="0.3">
      <c r="A47" t="s">
        <v>158</v>
      </c>
      <c r="B47" t="s">
        <v>159</v>
      </c>
      <c r="C47" t="s">
        <v>51</v>
      </c>
      <c r="D47">
        <v>65</v>
      </c>
      <c r="E47" t="s">
        <v>28</v>
      </c>
      <c r="F47" t="s">
        <v>67</v>
      </c>
      <c r="G47" t="s">
        <v>73</v>
      </c>
      <c r="H47">
        <v>4631</v>
      </c>
      <c r="I47">
        <v>4407</v>
      </c>
      <c r="J47">
        <v>224</v>
      </c>
      <c r="K47" t="s">
        <v>88</v>
      </c>
      <c r="L47" t="s">
        <v>47</v>
      </c>
      <c r="M47">
        <v>2</v>
      </c>
      <c r="N47" t="s">
        <v>40</v>
      </c>
      <c r="O47" s="6">
        <f t="shared" ca="1" si="0"/>
        <v>45868</v>
      </c>
      <c r="P47">
        <v>2.8</v>
      </c>
    </row>
    <row r="48" spans="1:16" x14ac:dyDescent="0.3">
      <c r="A48" t="s">
        <v>160</v>
      </c>
      <c r="B48" t="s">
        <v>61</v>
      </c>
      <c r="C48" t="s">
        <v>27</v>
      </c>
      <c r="D48">
        <v>59</v>
      </c>
      <c r="E48" t="s">
        <v>19</v>
      </c>
      <c r="F48" t="s">
        <v>91</v>
      </c>
      <c r="G48" t="s">
        <v>30</v>
      </c>
      <c r="H48">
        <v>4720</v>
      </c>
      <c r="I48">
        <v>2735</v>
      </c>
      <c r="J48">
        <v>1985</v>
      </c>
      <c r="K48" t="s">
        <v>88</v>
      </c>
      <c r="L48" t="s">
        <v>23</v>
      </c>
      <c r="M48">
        <v>7</v>
      </c>
      <c r="N48" t="s">
        <v>95</v>
      </c>
      <c r="O48" s="6">
        <f t="shared" ca="1" si="0"/>
        <v>45735</v>
      </c>
      <c r="P48">
        <v>4.9000000000000004</v>
      </c>
    </row>
    <row r="49" spans="1:16" x14ac:dyDescent="0.3">
      <c r="A49" t="s">
        <v>161</v>
      </c>
      <c r="B49" t="s">
        <v>162</v>
      </c>
      <c r="C49" t="s">
        <v>56</v>
      </c>
      <c r="D49">
        <v>29</v>
      </c>
      <c r="E49" t="s">
        <v>44</v>
      </c>
      <c r="F49" t="s">
        <v>29</v>
      </c>
      <c r="G49" t="s">
        <v>46</v>
      </c>
      <c r="H49">
        <v>6351</v>
      </c>
      <c r="I49">
        <v>3727</v>
      </c>
      <c r="J49">
        <v>2624</v>
      </c>
      <c r="K49" t="s">
        <v>88</v>
      </c>
      <c r="L49" t="s">
        <v>23</v>
      </c>
      <c r="M49">
        <v>1</v>
      </c>
      <c r="N49" t="s">
        <v>53</v>
      </c>
      <c r="O49" s="6">
        <f t="shared" ca="1" si="0"/>
        <v>45862</v>
      </c>
      <c r="P49">
        <v>4.0999999999999996</v>
      </c>
    </row>
    <row r="50" spans="1:16" x14ac:dyDescent="0.3">
      <c r="A50" t="s">
        <v>163</v>
      </c>
      <c r="B50" t="s">
        <v>164</v>
      </c>
      <c r="C50" t="s">
        <v>56</v>
      </c>
      <c r="D50">
        <v>32</v>
      </c>
      <c r="E50" t="s">
        <v>28</v>
      </c>
      <c r="F50" t="s">
        <v>45</v>
      </c>
      <c r="G50" t="s">
        <v>73</v>
      </c>
      <c r="H50">
        <v>4247</v>
      </c>
      <c r="I50">
        <v>3181</v>
      </c>
      <c r="J50">
        <v>1066</v>
      </c>
      <c r="K50" t="s">
        <v>88</v>
      </c>
      <c r="L50" t="s">
        <v>47</v>
      </c>
      <c r="M50">
        <v>6</v>
      </c>
      <c r="N50" t="s">
        <v>48</v>
      </c>
      <c r="O50" s="6">
        <f t="shared" ca="1" si="0"/>
        <v>46009</v>
      </c>
      <c r="P50">
        <v>4.5999999999999996</v>
      </c>
    </row>
    <row r="51" spans="1:16" x14ac:dyDescent="0.3">
      <c r="A51" t="s">
        <v>165</v>
      </c>
      <c r="B51" t="s">
        <v>166</v>
      </c>
      <c r="C51" t="s">
        <v>77</v>
      </c>
      <c r="D51">
        <v>51</v>
      </c>
      <c r="E51" t="s">
        <v>28</v>
      </c>
      <c r="F51" t="s">
        <v>29</v>
      </c>
      <c r="G51" t="s">
        <v>46</v>
      </c>
      <c r="H51">
        <v>4484</v>
      </c>
      <c r="I51">
        <v>3366</v>
      </c>
      <c r="J51">
        <v>1118</v>
      </c>
      <c r="K51" t="s">
        <v>59</v>
      </c>
      <c r="L51" t="s">
        <v>32</v>
      </c>
      <c r="M51">
        <v>13</v>
      </c>
      <c r="N51" t="s">
        <v>24</v>
      </c>
      <c r="O51" s="6">
        <f t="shared" ca="1" si="0"/>
        <v>46018</v>
      </c>
      <c r="P51">
        <v>3</v>
      </c>
    </row>
    <row r="52" spans="1:16" x14ac:dyDescent="0.3">
      <c r="A52" t="s">
        <v>167</v>
      </c>
      <c r="B52" t="s">
        <v>168</v>
      </c>
      <c r="C52" t="s">
        <v>36</v>
      </c>
      <c r="D52">
        <v>60</v>
      </c>
      <c r="E52" t="s">
        <v>78</v>
      </c>
      <c r="F52" t="s">
        <v>52</v>
      </c>
      <c r="G52" t="s">
        <v>126</v>
      </c>
      <c r="H52">
        <v>7321</v>
      </c>
      <c r="I52">
        <v>4379</v>
      </c>
      <c r="J52">
        <v>2942</v>
      </c>
      <c r="K52" t="s">
        <v>68</v>
      </c>
      <c r="L52" t="s">
        <v>47</v>
      </c>
      <c r="M52">
        <v>4</v>
      </c>
      <c r="N52" t="s">
        <v>69</v>
      </c>
      <c r="O52" s="6">
        <f t="shared" ca="1" si="0"/>
        <v>45933</v>
      </c>
      <c r="P52">
        <v>4.7</v>
      </c>
    </row>
    <row r="53" spans="1:16" x14ac:dyDescent="0.3">
      <c r="A53" t="s">
        <v>169</v>
      </c>
      <c r="B53" t="s">
        <v>170</v>
      </c>
      <c r="C53" t="s">
        <v>51</v>
      </c>
      <c r="D53">
        <v>59</v>
      </c>
      <c r="E53" t="s">
        <v>87</v>
      </c>
      <c r="F53" t="s">
        <v>20</v>
      </c>
      <c r="G53" t="s">
        <v>39</v>
      </c>
      <c r="H53">
        <v>3955</v>
      </c>
      <c r="I53">
        <v>1385</v>
      </c>
      <c r="J53">
        <v>2570</v>
      </c>
      <c r="K53" t="s">
        <v>88</v>
      </c>
      <c r="L53" t="s">
        <v>23</v>
      </c>
      <c r="M53">
        <v>5</v>
      </c>
      <c r="N53" t="s">
        <v>118</v>
      </c>
      <c r="O53" s="6">
        <f t="shared" ca="1" si="0"/>
        <v>45662</v>
      </c>
      <c r="P53">
        <v>3.1</v>
      </c>
    </row>
    <row r="54" spans="1:16" x14ac:dyDescent="0.3">
      <c r="A54" t="s">
        <v>171</v>
      </c>
      <c r="B54" t="s">
        <v>172</v>
      </c>
      <c r="C54" t="s">
        <v>62</v>
      </c>
      <c r="D54">
        <v>25</v>
      </c>
      <c r="E54" t="s">
        <v>44</v>
      </c>
      <c r="F54" t="s">
        <v>52</v>
      </c>
      <c r="G54" t="s">
        <v>21</v>
      </c>
      <c r="H54">
        <v>7646</v>
      </c>
      <c r="I54">
        <v>6211</v>
      </c>
      <c r="J54">
        <v>1435</v>
      </c>
      <c r="K54" t="s">
        <v>31</v>
      </c>
      <c r="L54" t="s">
        <v>47</v>
      </c>
      <c r="M54">
        <v>4</v>
      </c>
      <c r="N54" t="s">
        <v>40</v>
      </c>
      <c r="O54" s="6">
        <f t="shared" ca="1" si="0"/>
        <v>45901</v>
      </c>
      <c r="P54">
        <v>1.4</v>
      </c>
    </row>
    <row r="55" spans="1:16" x14ac:dyDescent="0.3">
      <c r="A55" t="s">
        <v>173</v>
      </c>
      <c r="B55" t="s">
        <v>174</v>
      </c>
      <c r="C55" t="s">
        <v>27</v>
      </c>
      <c r="D55">
        <v>48</v>
      </c>
      <c r="E55" t="s">
        <v>57</v>
      </c>
      <c r="F55" t="s">
        <v>98</v>
      </c>
      <c r="G55" t="s">
        <v>92</v>
      </c>
      <c r="H55">
        <v>7401</v>
      </c>
      <c r="I55">
        <v>5804</v>
      </c>
      <c r="J55">
        <v>1597</v>
      </c>
      <c r="K55" t="s">
        <v>88</v>
      </c>
      <c r="L55" t="s">
        <v>23</v>
      </c>
      <c r="M55">
        <v>7</v>
      </c>
      <c r="N55" t="s">
        <v>69</v>
      </c>
      <c r="O55" s="6">
        <f t="shared" ca="1" si="0"/>
        <v>45985</v>
      </c>
      <c r="P55">
        <v>4.9000000000000004</v>
      </c>
    </row>
    <row r="56" spans="1:16" x14ac:dyDescent="0.3">
      <c r="A56" t="s">
        <v>175</v>
      </c>
      <c r="B56" t="s">
        <v>176</v>
      </c>
      <c r="C56" t="s">
        <v>56</v>
      </c>
      <c r="D56">
        <v>30</v>
      </c>
      <c r="E56" t="s">
        <v>37</v>
      </c>
      <c r="F56" t="s">
        <v>20</v>
      </c>
      <c r="G56" t="s">
        <v>92</v>
      </c>
      <c r="H56">
        <v>7134</v>
      </c>
      <c r="I56">
        <v>5828</v>
      </c>
      <c r="J56">
        <v>1306</v>
      </c>
      <c r="K56" t="s">
        <v>88</v>
      </c>
      <c r="L56" t="s">
        <v>47</v>
      </c>
      <c r="M56">
        <v>15</v>
      </c>
      <c r="N56" t="s">
        <v>74</v>
      </c>
      <c r="O56" s="6">
        <f t="shared" ca="1" si="0"/>
        <v>45853</v>
      </c>
      <c r="P56">
        <v>4.0999999999999996</v>
      </c>
    </row>
    <row r="57" spans="1:16" x14ac:dyDescent="0.3">
      <c r="A57" t="s">
        <v>177</v>
      </c>
      <c r="B57" t="s">
        <v>178</v>
      </c>
      <c r="C57" t="s">
        <v>51</v>
      </c>
      <c r="D57">
        <v>38</v>
      </c>
      <c r="E57" t="s">
        <v>57</v>
      </c>
      <c r="F57" t="s">
        <v>52</v>
      </c>
      <c r="G57" t="s">
        <v>21</v>
      </c>
      <c r="H57">
        <v>4830</v>
      </c>
      <c r="I57">
        <v>2784</v>
      </c>
      <c r="J57">
        <v>2046</v>
      </c>
      <c r="K57" t="s">
        <v>88</v>
      </c>
      <c r="L57" t="s">
        <v>47</v>
      </c>
      <c r="M57">
        <v>8</v>
      </c>
      <c r="N57" t="s">
        <v>118</v>
      </c>
      <c r="O57" s="6">
        <f t="shared" ca="1" si="0"/>
        <v>45679</v>
      </c>
      <c r="P57">
        <v>4.5</v>
      </c>
    </row>
    <row r="58" spans="1:16" x14ac:dyDescent="0.3">
      <c r="A58" t="s">
        <v>179</v>
      </c>
      <c r="B58" t="s">
        <v>180</v>
      </c>
      <c r="C58" t="s">
        <v>56</v>
      </c>
      <c r="D58">
        <v>41</v>
      </c>
      <c r="E58" t="s">
        <v>78</v>
      </c>
      <c r="F58" t="s">
        <v>91</v>
      </c>
      <c r="G58" t="s">
        <v>30</v>
      </c>
      <c r="H58">
        <v>4664</v>
      </c>
      <c r="I58">
        <v>3406</v>
      </c>
      <c r="J58">
        <v>1258</v>
      </c>
      <c r="K58" t="s">
        <v>68</v>
      </c>
      <c r="L58" t="s">
        <v>47</v>
      </c>
      <c r="M58">
        <v>15</v>
      </c>
      <c r="N58" t="s">
        <v>118</v>
      </c>
      <c r="O58" s="6">
        <f t="shared" ca="1" si="0"/>
        <v>45776</v>
      </c>
      <c r="P58">
        <v>4</v>
      </c>
    </row>
    <row r="59" spans="1:16" x14ac:dyDescent="0.3">
      <c r="A59" t="s">
        <v>181</v>
      </c>
      <c r="B59" t="s">
        <v>182</v>
      </c>
      <c r="C59" t="s">
        <v>27</v>
      </c>
      <c r="D59">
        <v>33</v>
      </c>
      <c r="E59" t="s">
        <v>87</v>
      </c>
      <c r="F59" t="s">
        <v>52</v>
      </c>
      <c r="G59" t="s">
        <v>73</v>
      </c>
      <c r="H59">
        <v>6976</v>
      </c>
      <c r="I59">
        <v>4502</v>
      </c>
      <c r="J59">
        <v>2474</v>
      </c>
      <c r="K59" t="s">
        <v>88</v>
      </c>
      <c r="L59" t="s">
        <v>23</v>
      </c>
      <c r="M59">
        <v>12</v>
      </c>
      <c r="N59" t="s">
        <v>69</v>
      </c>
      <c r="O59" s="6">
        <f t="shared" ca="1" si="0"/>
        <v>45846</v>
      </c>
      <c r="P59">
        <v>4.7</v>
      </c>
    </row>
    <row r="60" spans="1:16" x14ac:dyDescent="0.3">
      <c r="A60" t="s">
        <v>183</v>
      </c>
      <c r="B60" t="s">
        <v>108</v>
      </c>
      <c r="C60" t="s">
        <v>36</v>
      </c>
      <c r="D60">
        <v>26</v>
      </c>
      <c r="E60" t="s">
        <v>72</v>
      </c>
      <c r="F60" t="s">
        <v>52</v>
      </c>
      <c r="G60" t="s">
        <v>73</v>
      </c>
      <c r="H60">
        <v>7363</v>
      </c>
      <c r="I60">
        <v>6167</v>
      </c>
      <c r="J60">
        <v>1196</v>
      </c>
      <c r="K60" t="s">
        <v>31</v>
      </c>
      <c r="L60" t="s">
        <v>32</v>
      </c>
      <c r="M60">
        <v>10</v>
      </c>
      <c r="N60" t="s">
        <v>95</v>
      </c>
      <c r="O60" s="6">
        <f t="shared" ca="1" si="0"/>
        <v>45981</v>
      </c>
      <c r="P60">
        <v>3.6</v>
      </c>
    </row>
    <row r="61" spans="1:16" x14ac:dyDescent="0.3">
      <c r="A61" t="s">
        <v>184</v>
      </c>
      <c r="B61" t="s">
        <v>185</v>
      </c>
      <c r="C61" t="s">
        <v>103</v>
      </c>
      <c r="D61">
        <v>56</v>
      </c>
      <c r="E61" t="s">
        <v>57</v>
      </c>
      <c r="F61" t="s">
        <v>38</v>
      </c>
      <c r="G61" t="s">
        <v>104</v>
      </c>
      <c r="H61">
        <v>4174</v>
      </c>
      <c r="I61">
        <v>2719</v>
      </c>
      <c r="J61">
        <v>1455</v>
      </c>
      <c r="K61" t="s">
        <v>22</v>
      </c>
      <c r="L61" t="s">
        <v>32</v>
      </c>
      <c r="M61">
        <v>2</v>
      </c>
      <c r="N61" t="s">
        <v>33</v>
      </c>
      <c r="O61" s="6">
        <f t="shared" ca="1" si="0"/>
        <v>45760</v>
      </c>
      <c r="P61">
        <v>3.2</v>
      </c>
    </row>
    <row r="62" spans="1:16" x14ac:dyDescent="0.3">
      <c r="A62" t="s">
        <v>186</v>
      </c>
      <c r="B62" t="s">
        <v>187</v>
      </c>
      <c r="C62" t="s">
        <v>129</v>
      </c>
      <c r="D62">
        <v>33</v>
      </c>
      <c r="E62" t="s">
        <v>19</v>
      </c>
      <c r="F62" t="s">
        <v>91</v>
      </c>
      <c r="G62" t="s">
        <v>39</v>
      </c>
      <c r="H62">
        <v>9049</v>
      </c>
      <c r="I62">
        <v>6435</v>
      </c>
      <c r="J62">
        <v>2614</v>
      </c>
      <c r="K62" t="s">
        <v>68</v>
      </c>
      <c r="L62" t="s">
        <v>47</v>
      </c>
      <c r="M62">
        <v>4</v>
      </c>
      <c r="N62" t="s">
        <v>40</v>
      </c>
      <c r="O62" s="6">
        <f t="shared" ca="1" si="0"/>
        <v>45814</v>
      </c>
      <c r="P62">
        <v>2.4</v>
      </c>
    </row>
    <row r="63" spans="1:16" x14ac:dyDescent="0.3">
      <c r="A63" t="s">
        <v>188</v>
      </c>
      <c r="B63" t="s">
        <v>189</v>
      </c>
      <c r="C63" t="s">
        <v>62</v>
      </c>
      <c r="D63">
        <v>39</v>
      </c>
      <c r="E63" t="s">
        <v>19</v>
      </c>
      <c r="F63" t="s">
        <v>38</v>
      </c>
      <c r="G63" t="s">
        <v>126</v>
      </c>
      <c r="H63">
        <v>3233</v>
      </c>
      <c r="I63">
        <v>2976</v>
      </c>
      <c r="J63">
        <v>257</v>
      </c>
      <c r="K63" t="s">
        <v>22</v>
      </c>
      <c r="L63" t="s">
        <v>32</v>
      </c>
      <c r="M63">
        <v>3</v>
      </c>
      <c r="N63" t="s">
        <v>116</v>
      </c>
      <c r="O63" s="6">
        <f t="shared" ca="1" si="0"/>
        <v>45845</v>
      </c>
      <c r="P63">
        <v>4.7</v>
      </c>
    </row>
    <row r="64" spans="1:16" x14ac:dyDescent="0.3">
      <c r="A64" t="s">
        <v>190</v>
      </c>
      <c r="B64" t="s">
        <v>191</v>
      </c>
      <c r="C64" t="s">
        <v>129</v>
      </c>
      <c r="D64">
        <v>61</v>
      </c>
      <c r="E64" t="s">
        <v>63</v>
      </c>
      <c r="F64" t="s">
        <v>98</v>
      </c>
      <c r="G64" t="s">
        <v>46</v>
      </c>
      <c r="H64">
        <v>6566</v>
      </c>
      <c r="I64">
        <v>5202</v>
      </c>
      <c r="J64">
        <v>1364</v>
      </c>
      <c r="K64" t="s">
        <v>22</v>
      </c>
      <c r="L64" t="s">
        <v>47</v>
      </c>
      <c r="M64">
        <v>8</v>
      </c>
      <c r="N64" t="s">
        <v>95</v>
      </c>
      <c r="O64" s="6">
        <f t="shared" ca="1" si="0"/>
        <v>45846</v>
      </c>
      <c r="P64">
        <v>3.9</v>
      </c>
    </row>
    <row r="65" spans="1:16" x14ac:dyDescent="0.3">
      <c r="A65" t="s">
        <v>192</v>
      </c>
      <c r="B65" t="s">
        <v>166</v>
      </c>
      <c r="C65" t="s">
        <v>56</v>
      </c>
      <c r="D65">
        <v>28</v>
      </c>
      <c r="E65" t="s">
        <v>87</v>
      </c>
      <c r="F65" t="s">
        <v>64</v>
      </c>
      <c r="G65" t="s">
        <v>104</v>
      </c>
      <c r="H65">
        <v>3669</v>
      </c>
      <c r="I65">
        <v>1106</v>
      </c>
      <c r="J65">
        <v>2563</v>
      </c>
      <c r="K65" t="s">
        <v>31</v>
      </c>
      <c r="L65" t="s">
        <v>23</v>
      </c>
      <c r="M65">
        <v>1</v>
      </c>
      <c r="N65" t="s">
        <v>193</v>
      </c>
      <c r="O65" s="6">
        <f t="shared" ca="1" si="0"/>
        <v>45708</v>
      </c>
      <c r="P65">
        <v>3.9</v>
      </c>
    </row>
    <row r="66" spans="1:16" x14ac:dyDescent="0.3">
      <c r="A66" t="s">
        <v>194</v>
      </c>
      <c r="B66" t="s">
        <v>195</v>
      </c>
      <c r="C66" t="s">
        <v>62</v>
      </c>
      <c r="D66">
        <v>28</v>
      </c>
      <c r="E66" t="s">
        <v>82</v>
      </c>
      <c r="F66" t="s">
        <v>64</v>
      </c>
      <c r="G66" t="s">
        <v>79</v>
      </c>
      <c r="H66">
        <v>8116</v>
      </c>
      <c r="I66">
        <v>5383</v>
      </c>
      <c r="J66">
        <v>2733</v>
      </c>
      <c r="K66" t="s">
        <v>88</v>
      </c>
      <c r="L66" t="s">
        <v>23</v>
      </c>
      <c r="M66">
        <v>9</v>
      </c>
      <c r="N66" t="s">
        <v>48</v>
      </c>
      <c r="O66" s="6">
        <f t="shared" ca="1" si="0"/>
        <v>45981</v>
      </c>
      <c r="P66">
        <v>3.5</v>
      </c>
    </row>
    <row r="67" spans="1:16" x14ac:dyDescent="0.3">
      <c r="A67" t="s">
        <v>196</v>
      </c>
      <c r="B67" t="s">
        <v>50</v>
      </c>
      <c r="C67" t="s">
        <v>51</v>
      </c>
      <c r="D67">
        <v>48</v>
      </c>
      <c r="E67" t="s">
        <v>72</v>
      </c>
      <c r="F67" t="s">
        <v>67</v>
      </c>
      <c r="G67" t="s">
        <v>79</v>
      </c>
      <c r="H67">
        <v>3690</v>
      </c>
      <c r="I67">
        <v>993</v>
      </c>
      <c r="J67">
        <v>2697</v>
      </c>
      <c r="K67" t="s">
        <v>59</v>
      </c>
      <c r="L67" t="s">
        <v>23</v>
      </c>
      <c r="M67">
        <v>0</v>
      </c>
      <c r="N67" t="s">
        <v>40</v>
      </c>
      <c r="O67" s="6">
        <f t="shared" ref="O67:O130" ca="1" si="1">RANDBETWEEN(DATE(2025,1,1),DATE(2025,12,31))</f>
        <v>45803</v>
      </c>
      <c r="P67">
        <v>2.7</v>
      </c>
    </row>
    <row r="68" spans="1:16" x14ac:dyDescent="0.3">
      <c r="A68" t="s">
        <v>197</v>
      </c>
      <c r="B68" t="s">
        <v>198</v>
      </c>
      <c r="C68" t="s">
        <v>77</v>
      </c>
      <c r="D68">
        <v>31</v>
      </c>
      <c r="E68" t="s">
        <v>19</v>
      </c>
      <c r="F68" t="s">
        <v>20</v>
      </c>
      <c r="G68" t="s">
        <v>92</v>
      </c>
      <c r="H68">
        <v>1955</v>
      </c>
      <c r="I68">
        <v>1114</v>
      </c>
      <c r="J68">
        <v>841</v>
      </c>
      <c r="K68" t="s">
        <v>68</v>
      </c>
      <c r="L68" t="s">
        <v>32</v>
      </c>
      <c r="M68">
        <v>8</v>
      </c>
      <c r="N68" t="s">
        <v>118</v>
      </c>
      <c r="O68" s="6">
        <f t="shared" ca="1" si="1"/>
        <v>45682</v>
      </c>
      <c r="P68">
        <v>5</v>
      </c>
    </row>
    <row r="69" spans="1:16" x14ac:dyDescent="0.3">
      <c r="A69" t="s">
        <v>199</v>
      </c>
      <c r="B69" t="s">
        <v>200</v>
      </c>
      <c r="C69" t="s">
        <v>18</v>
      </c>
      <c r="D69">
        <v>39</v>
      </c>
      <c r="E69" t="s">
        <v>63</v>
      </c>
      <c r="F69" t="s">
        <v>98</v>
      </c>
      <c r="G69" t="s">
        <v>30</v>
      </c>
      <c r="H69">
        <v>5427</v>
      </c>
      <c r="I69">
        <v>2667</v>
      </c>
      <c r="J69">
        <v>2760</v>
      </c>
      <c r="K69" t="s">
        <v>22</v>
      </c>
      <c r="L69" t="s">
        <v>32</v>
      </c>
      <c r="M69">
        <v>13</v>
      </c>
      <c r="N69" t="s">
        <v>33</v>
      </c>
      <c r="O69" s="6">
        <f t="shared" ca="1" si="1"/>
        <v>45972</v>
      </c>
      <c r="P69">
        <v>4.5</v>
      </c>
    </row>
    <row r="70" spans="1:16" x14ac:dyDescent="0.3">
      <c r="A70" t="s">
        <v>201</v>
      </c>
      <c r="B70" t="s">
        <v>97</v>
      </c>
      <c r="C70" t="s">
        <v>129</v>
      </c>
      <c r="D70">
        <v>38</v>
      </c>
      <c r="E70" t="s">
        <v>78</v>
      </c>
      <c r="F70" t="s">
        <v>98</v>
      </c>
      <c r="G70" t="s">
        <v>46</v>
      </c>
      <c r="H70">
        <v>3318</v>
      </c>
      <c r="I70">
        <v>1859</v>
      </c>
      <c r="J70">
        <v>1459</v>
      </c>
      <c r="K70" t="s">
        <v>88</v>
      </c>
      <c r="L70" t="s">
        <v>47</v>
      </c>
      <c r="M70">
        <v>14</v>
      </c>
      <c r="N70" t="s">
        <v>118</v>
      </c>
      <c r="O70" s="6">
        <f t="shared" ca="1" si="1"/>
        <v>45962</v>
      </c>
      <c r="P70">
        <v>3.2</v>
      </c>
    </row>
    <row r="71" spans="1:16" x14ac:dyDescent="0.3">
      <c r="A71" t="s">
        <v>202</v>
      </c>
      <c r="B71" t="s">
        <v>203</v>
      </c>
      <c r="C71" t="s">
        <v>18</v>
      </c>
      <c r="D71">
        <v>65</v>
      </c>
      <c r="E71" t="s">
        <v>37</v>
      </c>
      <c r="F71" t="s">
        <v>45</v>
      </c>
      <c r="G71" t="s">
        <v>92</v>
      </c>
      <c r="H71">
        <v>7145</v>
      </c>
      <c r="I71">
        <v>4923</v>
      </c>
      <c r="J71">
        <v>2222</v>
      </c>
      <c r="K71" t="s">
        <v>68</v>
      </c>
      <c r="L71" t="s">
        <v>32</v>
      </c>
      <c r="M71">
        <v>10</v>
      </c>
      <c r="N71" t="s">
        <v>24</v>
      </c>
      <c r="O71" s="6">
        <f t="shared" ca="1" si="1"/>
        <v>45669</v>
      </c>
      <c r="P71">
        <v>3.7</v>
      </c>
    </row>
    <row r="72" spans="1:16" x14ac:dyDescent="0.3">
      <c r="A72" t="s">
        <v>204</v>
      </c>
      <c r="B72" t="s">
        <v>205</v>
      </c>
      <c r="C72" t="s">
        <v>36</v>
      </c>
      <c r="D72">
        <v>26</v>
      </c>
      <c r="E72" t="s">
        <v>19</v>
      </c>
      <c r="F72" t="s">
        <v>67</v>
      </c>
      <c r="G72" t="s">
        <v>79</v>
      </c>
      <c r="H72">
        <v>3622</v>
      </c>
      <c r="I72">
        <v>669</v>
      </c>
      <c r="J72">
        <v>2953</v>
      </c>
      <c r="K72" t="s">
        <v>88</v>
      </c>
      <c r="L72" t="s">
        <v>32</v>
      </c>
      <c r="M72">
        <v>10</v>
      </c>
      <c r="N72" t="s">
        <v>24</v>
      </c>
      <c r="O72" s="6">
        <f t="shared" ca="1" si="1"/>
        <v>45976</v>
      </c>
      <c r="P72">
        <v>3.2</v>
      </c>
    </row>
    <row r="73" spans="1:16" x14ac:dyDescent="0.3">
      <c r="A73" t="s">
        <v>206</v>
      </c>
      <c r="B73" t="s">
        <v>207</v>
      </c>
      <c r="C73" t="s">
        <v>56</v>
      </c>
      <c r="D73">
        <v>38</v>
      </c>
      <c r="E73" t="s">
        <v>78</v>
      </c>
      <c r="F73" t="s">
        <v>67</v>
      </c>
      <c r="G73" t="s">
        <v>73</v>
      </c>
      <c r="H73">
        <v>7914</v>
      </c>
      <c r="I73">
        <v>5700</v>
      </c>
      <c r="J73">
        <v>2214</v>
      </c>
      <c r="K73" t="s">
        <v>88</v>
      </c>
      <c r="L73" t="s">
        <v>47</v>
      </c>
      <c r="M73">
        <v>3</v>
      </c>
      <c r="N73" t="s">
        <v>40</v>
      </c>
      <c r="O73" s="6">
        <f t="shared" ca="1" si="1"/>
        <v>45943</v>
      </c>
      <c r="P73">
        <v>2.6</v>
      </c>
    </row>
    <row r="74" spans="1:16" x14ac:dyDescent="0.3">
      <c r="A74" t="s">
        <v>208</v>
      </c>
      <c r="B74" t="s">
        <v>209</v>
      </c>
      <c r="C74" t="s">
        <v>77</v>
      </c>
      <c r="D74">
        <v>31</v>
      </c>
      <c r="E74" t="s">
        <v>57</v>
      </c>
      <c r="F74" t="s">
        <v>64</v>
      </c>
      <c r="G74" t="s">
        <v>104</v>
      </c>
      <c r="H74">
        <v>5774</v>
      </c>
      <c r="I74">
        <v>2861</v>
      </c>
      <c r="J74">
        <v>2913</v>
      </c>
      <c r="K74" t="s">
        <v>88</v>
      </c>
      <c r="L74" t="s">
        <v>32</v>
      </c>
      <c r="M74">
        <v>4</v>
      </c>
      <c r="N74" t="s">
        <v>40</v>
      </c>
      <c r="O74" s="6">
        <f t="shared" ca="1" si="1"/>
        <v>45907</v>
      </c>
      <c r="P74">
        <v>2.5</v>
      </c>
    </row>
    <row r="75" spans="1:16" x14ac:dyDescent="0.3">
      <c r="A75" t="s">
        <v>210</v>
      </c>
      <c r="B75" t="s">
        <v>211</v>
      </c>
      <c r="C75" t="s">
        <v>18</v>
      </c>
      <c r="D75">
        <v>41</v>
      </c>
      <c r="E75" t="s">
        <v>87</v>
      </c>
      <c r="F75" t="s">
        <v>64</v>
      </c>
      <c r="G75" t="s">
        <v>92</v>
      </c>
      <c r="H75">
        <v>3402</v>
      </c>
      <c r="I75">
        <v>509</v>
      </c>
      <c r="J75">
        <v>2893</v>
      </c>
      <c r="K75" t="s">
        <v>22</v>
      </c>
      <c r="L75" t="s">
        <v>47</v>
      </c>
      <c r="M75">
        <v>3</v>
      </c>
      <c r="N75" t="s">
        <v>40</v>
      </c>
      <c r="O75" s="6">
        <f t="shared" ca="1" si="1"/>
        <v>45806</v>
      </c>
      <c r="P75">
        <v>1.7</v>
      </c>
    </row>
    <row r="76" spans="1:16" x14ac:dyDescent="0.3">
      <c r="A76" t="s">
        <v>212</v>
      </c>
      <c r="B76" t="s">
        <v>213</v>
      </c>
      <c r="C76" t="s">
        <v>43</v>
      </c>
      <c r="D76">
        <v>60</v>
      </c>
      <c r="E76" t="s">
        <v>63</v>
      </c>
      <c r="F76" t="s">
        <v>91</v>
      </c>
      <c r="G76" t="s">
        <v>46</v>
      </c>
      <c r="H76">
        <v>3460</v>
      </c>
      <c r="I76">
        <v>2167</v>
      </c>
      <c r="J76">
        <v>1293</v>
      </c>
      <c r="K76" t="s">
        <v>88</v>
      </c>
      <c r="L76" t="s">
        <v>23</v>
      </c>
      <c r="M76">
        <v>15</v>
      </c>
      <c r="N76" t="s">
        <v>116</v>
      </c>
      <c r="O76" s="6">
        <f t="shared" ca="1" si="1"/>
        <v>45751</v>
      </c>
      <c r="P76">
        <v>4</v>
      </c>
    </row>
    <row r="77" spans="1:16" x14ac:dyDescent="0.3">
      <c r="A77" t="s">
        <v>214</v>
      </c>
      <c r="B77" t="s">
        <v>17</v>
      </c>
      <c r="C77" t="s">
        <v>51</v>
      </c>
      <c r="D77">
        <v>36</v>
      </c>
      <c r="E77" t="s">
        <v>78</v>
      </c>
      <c r="F77" t="s">
        <v>45</v>
      </c>
      <c r="G77" t="s">
        <v>92</v>
      </c>
      <c r="H77">
        <v>3074</v>
      </c>
      <c r="I77">
        <v>612</v>
      </c>
      <c r="J77">
        <v>2462</v>
      </c>
      <c r="K77" t="s">
        <v>22</v>
      </c>
      <c r="L77" t="s">
        <v>32</v>
      </c>
      <c r="M77">
        <v>4</v>
      </c>
      <c r="N77" t="s">
        <v>53</v>
      </c>
      <c r="O77" s="6">
        <f t="shared" ca="1" si="1"/>
        <v>45664</v>
      </c>
      <c r="P77">
        <v>3.6</v>
      </c>
    </row>
    <row r="78" spans="1:16" x14ac:dyDescent="0.3">
      <c r="A78" t="s">
        <v>215</v>
      </c>
      <c r="B78" t="s">
        <v>216</v>
      </c>
      <c r="C78" t="s">
        <v>18</v>
      </c>
      <c r="D78">
        <v>53</v>
      </c>
      <c r="E78" t="s">
        <v>72</v>
      </c>
      <c r="F78" t="s">
        <v>64</v>
      </c>
      <c r="G78" t="s">
        <v>104</v>
      </c>
      <c r="H78">
        <v>5566</v>
      </c>
      <c r="I78">
        <v>4368</v>
      </c>
      <c r="J78">
        <v>1198</v>
      </c>
      <c r="K78" t="s">
        <v>31</v>
      </c>
      <c r="L78" t="s">
        <v>47</v>
      </c>
      <c r="M78">
        <v>3</v>
      </c>
      <c r="N78" t="s">
        <v>48</v>
      </c>
      <c r="O78" s="6">
        <f t="shared" ca="1" si="1"/>
        <v>45868</v>
      </c>
      <c r="P78">
        <v>4.3</v>
      </c>
    </row>
    <row r="79" spans="1:16" x14ac:dyDescent="0.3">
      <c r="A79" t="s">
        <v>217</v>
      </c>
      <c r="B79" t="s">
        <v>218</v>
      </c>
      <c r="C79" t="s">
        <v>129</v>
      </c>
      <c r="D79">
        <v>25</v>
      </c>
      <c r="E79" t="s">
        <v>72</v>
      </c>
      <c r="F79" t="s">
        <v>64</v>
      </c>
      <c r="G79" t="s">
        <v>58</v>
      </c>
      <c r="H79">
        <v>9231</v>
      </c>
      <c r="I79">
        <v>6952</v>
      </c>
      <c r="J79">
        <v>2279</v>
      </c>
      <c r="K79" t="s">
        <v>31</v>
      </c>
      <c r="L79" t="s">
        <v>23</v>
      </c>
      <c r="M79">
        <v>1</v>
      </c>
      <c r="N79" t="s">
        <v>116</v>
      </c>
      <c r="O79" s="6">
        <f t="shared" ca="1" si="1"/>
        <v>45832</v>
      </c>
      <c r="P79">
        <v>4</v>
      </c>
    </row>
    <row r="80" spans="1:16" x14ac:dyDescent="0.3">
      <c r="A80" t="s">
        <v>219</v>
      </c>
      <c r="B80" t="s">
        <v>220</v>
      </c>
      <c r="C80" t="s">
        <v>56</v>
      </c>
      <c r="D80">
        <v>30</v>
      </c>
      <c r="E80" t="s">
        <v>63</v>
      </c>
      <c r="F80" t="s">
        <v>29</v>
      </c>
      <c r="G80" t="s">
        <v>104</v>
      </c>
      <c r="H80">
        <v>4888</v>
      </c>
      <c r="I80">
        <v>3327</v>
      </c>
      <c r="J80">
        <v>1561</v>
      </c>
      <c r="K80" t="s">
        <v>68</v>
      </c>
      <c r="L80" t="s">
        <v>32</v>
      </c>
      <c r="M80">
        <v>9</v>
      </c>
      <c r="N80" t="s">
        <v>48</v>
      </c>
      <c r="O80" s="6">
        <f t="shared" ca="1" si="1"/>
        <v>45741</v>
      </c>
      <c r="P80">
        <v>4.5999999999999996</v>
      </c>
    </row>
    <row r="81" spans="1:16" x14ac:dyDescent="0.3">
      <c r="A81" t="s">
        <v>221</v>
      </c>
      <c r="B81" t="s">
        <v>94</v>
      </c>
      <c r="C81" t="s">
        <v>62</v>
      </c>
      <c r="D81">
        <v>57</v>
      </c>
      <c r="E81" t="s">
        <v>37</v>
      </c>
      <c r="F81" t="s">
        <v>52</v>
      </c>
      <c r="G81" t="s">
        <v>73</v>
      </c>
      <c r="H81">
        <v>2360</v>
      </c>
      <c r="I81">
        <v>857</v>
      </c>
      <c r="J81">
        <v>1503</v>
      </c>
      <c r="K81" t="s">
        <v>59</v>
      </c>
      <c r="L81" t="s">
        <v>47</v>
      </c>
      <c r="M81">
        <v>12</v>
      </c>
      <c r="N81" t="s">
        <v>48</v>
      </c>
      <c r="O81" s="6">
        <f t="shared" ca="1" si="1"/>
        <v>45951</v>
      </c>
      <c r="P81">
        <v>4.4000000000000004</v>
      </c>
    </row>
    <row r="82" spans="1:16" x14ac:dyDescent="0.3">
      <c r="A82" t="s">
        <v>222</v>
      </c>
      <c r="B82" t="s">
        <v>223</v>
      </c>
      <c r="C82" t="s">
        <v>129</v>
      </c>
      <c r="D82">
        <v>53</v>
      </c>
      <c r="E82" t="s">
        <v>44</v>
      </c>
      <c r="F82" t="s">
        <v>38</v>
      </c>
      <c r="G82" t="s">
        <v>21</v>
      </c>
      <c r="H82">
        <v>4714</v>
      </c>
      <c r="I82">
        <v>4106</v>
      </c>
      <c r="J82">
        <v>608</v>
      </c>
      <c r="K82" t="s">
        <v>88</v>
      </c>
      <c r="L82" t="s">
        <v>23</v>
      </c>
      <c r="M82">
        <v>8</v>
      </c>
      <c r="N82" t="s">
        <v>24</v>
      </c>
      <c r="O82" s="6">
        <f t="shared" ca="1" si="1"/>
        <v>45893</v>
      </c>
      <c r="P82">
        <v>3.6</v>
      </c>
    </row>
    <row r="83" spans="1:16" x14ac:dyDescent="0.3">
      <c r="A83" t="s">
        <v>224</v>
      </c>
      <c r="B83" t="s">
        <v>225</v>
      </c>
      <c r="C83" t="s">
        <v>56</v>
      </c>
      <c r="D83">
        <v>37</v>
      </c>
      <c r="E83" t="s">
        <v>57</v>
      </c>
      <c r="F83" t="s">
        <v>67</v>
      </c>
      <c r="G83" t="s">
        <v>73</v>
      </c>
      <c r="H83">
        <v>6351</v>
      </c>
      <c r="I83">
        <v>5823</v>
      </c>
      <c r="J83">
        <v>528</v>
      </c>
      <c r="K83" t="s">
        <v>88</v>
      </c>
      <c r="L83" t="s">
        <v>32</v>
      </c>
      <c r="M83">
        <v>5</v>
      </c>
      <c r="N83" t="s">
        <v>40</v>
      </c>
      <c r="O83" s="6">
        <f t="shared" ca="1" si="1"/>
        <v>45754</v>
      </c>
      <c r="P83">
        <v>2.8</v>
      </c>
    </row>
    <row r="84" spans="1:16" x14ac:dyDescent="0.3">
      <c r="A84" t="s">
        <v>226</v>
      </c>
      <c r="B84" t="s">
        <v>227</v>
      </c>
      <c r="C84" t="s">
        <v>56</v>
      </c>
      <c r="D84">
        <v>55</v>
      </c>
      <c r="E84" t="s">
        <v>28</v>
      </c>
      <c r="F84" t="s">
        <v>67</v>
      </c>
      <c r="G84" t="s">
        <v>21</v>
      </c>
      <c r="H84">
        <v>5208</v>
      </c>
      <c r="I84">
        <v>2423</v>
      </c>
      <c r="J84">
        <v>2785</v>
      </c>
      <c r="K84" t="s">
        <v>88</v>
      </c>
      <c r="L84" t="s">
        <v>47</v>
      </c>
      <c r="M84">
        <v>5</v>
      </c>
      <c r="N84" t="s">
        <v>33</v>
      </c>
      <c r="O84" s="6">
        <f t="shared" ca="1" si="1"/>
        <v>45844</v>
      </c>
      <c r="P84">
        <v>3.9</v>
      </c>
    </row>
    <row r="85" spans="1:16" x14ac:dyDescent="0.3">
      <c r="A85" t="s">
        <v>228</v>
      </c>
      <c r="B85" t="s">
        <v>229</v>
      </c>
      <c r="C85" t="s">
        <v>77</v>
      </c>
      <c r="D85">
        <v>49</v>
      </c>
      <c r="E85" t="s">
        <v>78</v>
      </c>
      <c r="F85" t="s">
        <v>45</v>
      </c>
      <c r="G85" t="s">
        <v>46</v>
      </c>
      <c r="H85">
        <v>2404</v>
      </c>
      <c r="I85">
        <v>876</v>
      </c>
      <c r="J85">
        <v>1528</v>
      </c>
      <c r="K85" t="s">
        <v>88</v>
      </c>
      <c r="L85" t="s">
        <v>23</v>
      </c>
      <c r="M85">
        <v>5</v>
      </c>
      <c r="N85" t="s">
        <v>95</v>
      </c>
      <c r="O85" s="6">
        <f t="shared" ca="1" si="1"/>
        <v>45995</v>
      </c>
      <c r="P85">
        <v>4.9000000000000004</v>
      </c>
    </row>
    <row r="86" spans="1:16" x14ac:dyDescent="0.3">
      <c r="A86" t="s">
        <v>230</v>
      </c>
      <c r="B86" t="s">
        <v>71</v>
      </c>
      <c r="C86" t="s">
        <v>27</v>
      </c>
      <c r="D86">
        <v>47</v>
      </c>
      <c r="E86" t="s">
        <v>44</v>
      </c>
      <c r="F86" t="s">
        <v>20</v>
      </c>
      <c r="G86" t="s">
        <v>126</v>
      </c>
      <c r="H86">
        <v>2457</v>
      </c>
      <c r="I86">
        <v>1934</v>
      </c>
      <c r="J86">
        <v>523</v>
      </c>
      <c r="K86" t="s">
        <v>59</v>
      </c>
      <c r="L86" t="s">
        <v>32</v>
      </c>
      <c r="M86">
        <v>7</v>
      </c>
      <c r="N86" t="s">
        <v>118</v>
      </c>
      <c r="O86" s="6">
        <f t="shared" ca="1" si="1"/>
        <v>45785</v>
      </c>
      <c r="P86">
        <v>4.5999999999999996</v>
      </c>
    </row>
    <row r="87" spans="1:16" x14ac:dyDescent="0.3">
      <c r="A87" t="s">
        <v>231</v>
      </c>
      <c r="B87" t="s">
        <v>232</v>
      </c>
      <c r="C87" t="s">
        <v>51</v>
      </c>
      <c r="D87">
        <v>30</v>
      </c>
      <c r="E87" t="s">
        <v>19</v>
      </c>
      <c r="F87" t="s">
        <v>91</v>
      </c>
      <c r="G87" t="s">
        <v>39</v>
      </c>
      <c r="H87">
        <v>5509</v>
      </c>
      <c r="I87">
        <v>4264</v>
      </c>
      <c r="J87">
        <v>1245</v>
      </c>
      <c r="K87" t="s">
        <v>31</v>
      </c>
      <c r="L87" t="s">
        <v>32</v>
      </c>
      <c r="M87">
        <v>15</v>
      </c>
      <c r="N87" t="s">
        <v>69</v>
      </c>
      <c r="O87" s="6">
        <f t="shared" ca="1" si="1"/>
        <v>45891</v>
      </c>
      <c r="P87">
        <v>3.6</v>
      </c>
    </row>
    <row r="88" spans="1:16" x14ac:dyDescent="0.3">
      <c r="A88" t="s">
        <v>233</v>
      </c>
      <c r="B88" t="s">
        <v>234</v>
      </c>
      <c r="C88" t="s">
        <v>56</v>
      </c>
      <c r="D88">
        <v>43</v>
      </c>
      <c r="E88" t="s">
        <v>44</v>
      </c>
      <c r="F88" t="s">
        <v>45</v>
      </c>
      <c r="G88" t="s">
        <v>73</v>
      </c>
      <c r="H88">
        <v>7379</v>
      </c>
      <c r="I88">
        <v>6155</v>
      </c>
      <c r="J88">
        <v>1224</v>
      </c>
      <c r="K88" t="s">
        <v>88</v>
      </c>
      <c r="L88" t="s">
        <v>32</v>
      </c>
      <c r="M88">
        <v>5</v>
      </c>
      <c r="N88" t="s">
        <v>33</v>
      </c>
      <c r="O88" s="6">
        <f t="shared" ca="1" si="1"/>
        <v>45981</v>
      </c>
      <c r="P88">
        <v>4.7</v>
      </c>
    </row>
    <row r="89" spans="1:16" x14ac:dyDescent="0.3">
      <c r="A89" t="s">
        <v>235</v>
      </c>
      <c r="B89" t="s">
        <v>236</v>
      </c>
      <c r="C89" t="s">
        <v>103</v>
      </c>
      <c r="D89">
        <v>57</v>
      </c>
      <c r="E89" t="s">
        <v>57</v>
      </c>
      <c r="F89" t="s">
        <v>67</v>
      </c>
      <c r="G89" t="s">
        <v>39</v>
      </c>
      <c r="H89">
        <v>7637</v>
      </c>
      <c r="I89">
        <v>6228</v>
      </c>
      <c r="J89">
        <v>1409</v>
      </c>
      <c r="K89" t="s">
        <v>22</v>
      </c>
      <c r="L89" t="s">
        <v>32</v>
      </c>
      <c r="M89">
        <v>14</v>
      </c>
      <c r="N89" t="s">
        <v>48</v>
      </c>
      <c r="O89" s="6">
        <f t="shared" ca="1" si="1"/>
        <v>45872</v>
      </c>
      <c r="P89">
        <v>4.3</v>
      </c>
    </row>
    <row r="90" spans="1:16" x14ac:dyDescent="0.3">
      <c r="A90" t="s">
        <v>237</v>
      </c>
      <c r="B90" t="s">
        <v>238</v>
      </c>
      <c r="C90" t="s">
        <v>36</v>
      </c>
      <c r="D90">
        <v>59</v>
      </c>
      <c r="E90" t="s">
        <v>63</v>
      </c>
      <c r="F90" t="s">
        <v>45</v>
      </c>
      <c r="G90" t="s">
        <v>30</v>
      </c>
      <c r="H90">
        <v>7116</v>
      </c>
      <c r="I90">
        <v>5473</v>
      </c>
      <c r="J90">
        <v>1643</v>
      </c>
      <c r="K90" t="s">
        <v>59</v>
      </c>
      <c r="L90" t="s">
        <v>47</v>
      </c>
      <c r="M90">
        <v>4</v>
      </c>
      <c r="N90" t="s">
        <v>118</v>
      </c>
      <c r="O90" s="6">
        <f t="shared" ca="1" si="1"/>
        <v>45690</v>
      </c>
      <c r="P90">
        <v>4.8</v>
      </c>
    </row>
    <row r="91" spans="1:16" x14ac:dyDescent="0.3">
      <c r="A91" t="s">
        <v>239</v>
      </c>
      <c r="B91" t="s">
        <v>240</v>
      </c>
      <c r="C91" t="s">
        <v>36</v>
      </c>
      <c r="D91">
        <v>40</v>
      </c>
      <c r="E91" t="s">
        <v>63</v>
      </c>
      <c r="F91" t="s">
        <v>136</v>
      </c>
      <c r="G91" t="s">
        <v>79</v>
      </c>
      <c r="H91">
        <v>4226</v>
      </c>
      <c r="I91">
        <v>3488</v>
      </c>
      <c r="J91">
        <v>738</v>
      </c>
      <c r="K91" t="s">
        <v>59</v>
      </c>
      <c r="L91" t="s">
        <v>47</v>
      </c>
      <c r="M91">
        <v>5</v>
      </c>
      <c r="N91" t="s">
        <v>95</v>
      </c>
      <c r="O91" s="6">
        <f t="shared" ca="1" si="1"/>
        <v>45824</v>
      </c>
      <c r="P91">
        <v>3.1</v>
      </c>
    </row>
    <row r="92" spans="1:16" x14ac:dyDescent="0.3">
      <c r="A92" t="s">
        <v>241</v>
      </c>
      <c r="B92" t="s">
        <v>242</v>
      </c>
      <c r="C92" t="s">
        <v>27</v>
      </c>
      <c r="D92">
        <v>44</v>
      </c>
      <c r="E92" t="s">
        <v>82</v>
      </c>
      <c r="F92" t="s">
        <v>29</v>
      </c>
      <c r="G92" t="s">
        <v>39</v>
      </c>
      <c r="H92">
        <v>3099</v>
      </c>
      <c r="I92">
        <v>1847</v>
      </c>
      <c r="J92">
        <v>1252</v>
      </c>
      <c r="K92" t="s">
        <v>68</v>
      </c>
      <c r="L92" t="s">
        <v>23</v>
      </c>
      <c r="M92">
        <v>3</v>
      </c>
      <c r="N92" t="s">
        <v>40</v>
      </c>
      <c r="O92" s="6">
        <f t="shared" ca="1" si="1"/>
        <v>45682</v>
      </c>
      <c r="P92">
        <v>2.2999999999999998</v>
      </c>
    </row>
    <row r="93" spans="1:16" x14ac:dyDescent="0.3">
      <c r="A93" t="s">
        <v>243</v>
      </c>
      <c r="B93" t="s">
        <v>203</v>
      </c>
      <c r="C93" t="s">
        <v>77</v>
      </c>
      <c r="D93">
        <v>30</v>
      </c>
      <c r="E93" t="s">
        <v>19</v>
      </c>
      <c r="F93" t="s">
        <v>64</v>
      </c>
      <c r="G93" t="s">
        <v>92</v>
      </c>
      <c r="H93">
        <v>4065</v>
      </c>
      <c r="I93">
        <v>3496</v>
      </c>
      <c r="J93">
        <v>569</v>
      </c>
      <c r="K93" t="s">
        <v>22</v>
      </c>
      <c r="L93" t="s">
        <v>32</v>
      </c>
      <c r="M93">
        <v>1</v>
      </c>
      <c r="N93" t="s">
        <v>116</v>
      </c>
      <c r="O93" s="6">
        <f t="shared" ca="1" si="1"/>
        <v>45873</v>
      </c>
      <c r="P93">
        <v>3</v>
      </c>
    </row>
    <row r="94" spans="1:16" x14ac:dyDescent="0.3">
      <c r="A94" t="s">
        <v>244</v>
      </c>
      <c r="B94" t="s">
        <v>135</v>
      </c>
      <c r="C94" t="s">
        <v>18</v>
      </c>
      <c r="D94">
        <v>58</v>
      </c>
      <c r="E94" t="s">
        <v>37</v>
      </c>
      <c r="F94" t="s">
        <v>38</v>
      </c>
      <c r="G94" t="s">
        <v>21</v>
      </c>
      <c r="H94">
        <v>7185</v>
      </c>
      <c r="I94">
        <v>6028</v>
      </c>
      <c r="J94">
        <v>1157</v>
      </c>
      <c r="K94" t="s">
        <v>31</v>
      </c>
      <c r="L94" t="s">
        <v>32</v>
      </c>
      <c r="M94">
        <v>10</v>
      </c>
      <c r="N94" t="s">
        <v>74</v>
      </c>
      <c r="O94" s="6">
        <f t="shared" ca="1" si="1"/>
        <v>45741</v>
      </c>
      <c r="P94">
        <v>3.3</v>
      </c>
    </row>
    <row r="95" spans="1:16" x14ac:dyDescent="0.3">
      <c r="A95" t="s">
        <v>245</v>
      </c>
      <c r="B95" t="s">
        <v>246</v>
      </c>
      <c r="C95" t="s">
        <v>77</v>
      </c>
      <c r="D95">
        <v>61</v>
      </c>
      <c r="E95" t="s">
        <v>63</v>
      </c>
      <c r="F95" t="s">
        <v>45</v>
      </c>
      <c r="G95" t="s">
        <v>73</v>
      </c>
      <c r="H95">
        <v>2227</v>
      </c>
      <c r="I95">
        <v>1455</v>
      </c>
      <c r="J95">
        <v>772</v>
      </c>
      <c r="K95" t="s">
        <v>22</v>
      </c>
      <c r="L95" t="s">
        <v>47</v>
      </c>
      <c r="M95">
        <v>1</v>
      </c>
      <c r="N95" t="s">
        <v>116</v>
      </c>
      <c r="O95" s="6">
        <f t="shared" ca="1" si="1"/>
        <v>45795</v>
      </c>
      <c r="P95">
        <v>3.8</v>
      </c>
    </row>
    <row r="96" spans="1:16" x14ac:dyDescent="0.3">
      <c r="A96" t="s">
        <v>247</v>
      </c>
      <c r="B96" t="s">
        <v>236</v>
      </c>
      <c r="C96" t="s">
        <v>27</v>
      </c>
      <c r="D96">
        <v>29</v>
      </c>
      <c r="E96" t="s">
        <v>37</v>
      </c>
      <c r="F96" t="s">
        <v>91</v>
      </c>
      <c r="G96" t="s">
        <v>58</v>
      </c>
      <c r="H96">
        <v>8404</v>
      </c>
      <c r="I96">
        <v>5992</v>
      </c>
      <c r="J96">
        <v>2412</v>
      </c>
      <c r="K96" t="s">
        <v>22</v>
      </c>
      <c r="L96" t="s">
        <v>47</v>
      </c>
      <c r="M96">
        <v>12</v>
      </c>
      <c r="N96" t="s">
        <v>193</v>
      </c>
      <c r="O96" s="6">
        <f t="shared" ca="1" si="1"/>
        <v>45999</v>
      </c>
      <c r="P96">
        <v>4.9000000000000004</v>
      </c>
    </row>
    <row r="97" spans="1:16" x14ac:dyDescent="0.3">
      <c r="A97" t="s">
        <v>248</v>
      </c>
      <c r="B97" t="s">
        <v>249</v>
      </c>
      <c r="C97" t="s">
        <v>103</v>
      </c>
      <c r="D97">
        <v>38</v>
      </c>
      <c r="E97" t="s">
        <v>28</v>
      </c>
      <c r="F97" t="s">
        <v>38</v>
      </c>
      <c r="G97" t="s">
        <v>30</v>
      </c>
      <c r="H97">
        <v>6153</v>
      </c>
      <c r="I97">
        <v>4132</v>
      </c>
      <c r="J97">
        <v>2021</v>
      </c>
      <c r="K97" t="s">
        <v>68</v>
      </c>
      <c r="L97" t="s">
        <v>23</v>
      </c>
      <c r="M97">
        <v>2</v>
      </c>
      <c r="N97" t="s">
        <v>40</v>
      </c>
      <c r="O97" s="6">
        <f t="shared" ca="1" si="1"/>
        <v>45720</v>
      </c>
      <c r="P97">
        <v>2.2999999999999998</v>
      </c>
    </row>
    <row r="98" spans="1:16" x14ac:dyDescent="0.3">
      <c r="A98" t="s">
        <v>250</v>
      </c>
      <c r="B98" t="s">
        <v>251</v>
      </c>
      <c r="C98" t="s">
        <v>43</v>
      </c>
      <c r="D98">
        <v>24</v>
      </c>
      <c r="E98" t="s">
        <v>37</v>
      </c>
      <c r="F98" t="s">
        <v>45</v>
      </c>
      <c r="G98" t="s">
        <v>30</v>
      </c>
      <c r="H98">
        <v>3562</v>
      </c>
      <c r="I98">
        <v>1500</v>
      </c>
      <c r="J98">
        <v>2062</v>
      </c>
      <c r="K98" t="s">
        <v>22</v>
      </c>
      <c r="L98" t="s">
        <v>32</v>
      </c>
      <c r="M98">
        <v>4</v>
      </c>
      <c r="N98" t="s">
        <v>118</v>
      </c>
      <c r="O98" s="6">
        <f t="shared" ca="1" si="1"/>
        <v>45983</v>
      </c>
      <c r="P98">
        <v>3.5</v>
      </c>
    </row>
    <row r="99" spans="1:16" x14ac:dyDescent="0.3">
      <c r="A99" t="s">
        <v>252</v>
      </c>
      <c r="B99" t="s">
        <v>253</v>
      </c>
      <c r="C99" t="s">
        <v>129</v>
      </c>
      <c r="D99">
        <v>57</v>
      </c>
      <c r="E99" t="s">
        <v>19</v>
      </c>
      <c r="F99" t="s">
        <v>98</v>
      </c>
      <c r="G99" t="s">
        <v>92</v>
      </c>
      <c r="H99">
        <v>4798</v>
      </c>
      <c r="I99">
        <v>2197</v>
      </c>
      <c r="J99">
        <v>2601</v>
      </c>
      <c r="K99" t="s">
        <v>59</v>
      </c>
      <c r="L99" t="s">
        <v>47</v>
      </c>
      <c r="M99">
        <v>14</v>
      </c>
      <c r="N99" t="s">
        <v>33</v>
      </c>
      <c r="O99" s="6">
        <f t="shared" ca="1" si="1"/>
        <v>46003</v>
      </c>
      <c r="P99">
        <v>3.3</v>
      </c>
    </row>
    <row r="100" spans="1:16" x14ac:dyDescent="0.3">
      <c r="A100" t="s">
        <v>254</v>
      </c>
      <c r="B100" t="s">
        <v>21</v>
      </c>
      <c r="C100" t="s">
        <v>18</v>
      </c>
      <c r="D100">
        <v>30</v>
      </c>
      <c r="E100" t="s">
        <v>78</v>
      </c>
      <c r="F100" t="s">
        <v>29</v>
      </c>
      <c r="G100" t="s">
        <v>39</v>
      </c>
      <c r="H100">
        <v>2579</v>
      </c>
      <c r="I100">
        <v>1929</v>
      </c>
      <c r="J100">
        <v>650</v>
      </c>
      <c r="K100" t="s">
        <v>68</v>
      </c>
      <c r="L100" t="s">
        <v>32</v>
      </c>
      <c r="M100">
        <v>1</v>
      </c>
      <c r="N100" t="s">
        <v>193</v>
      </c>
      <c r="O100" s="6">
        <f t="shared" ca="1" si="1"/>
        <v>45833</v>
      </c>
      <c r="P100">
        <v>4.5999999999999996</v>
      </c>
    </row>
    <row r="101" spans="1:16" x14ac:dyDescent="0.3">
      <c r="A101" t="s">
        <v>255</v>
      </c>
      <c r="B101" t="s">
        <v>115</v>
      </c>
      <c r="C101" t="s">
        <v>43</v>
      </c>
      <c r="D101">
        <v>22</v>
      </c>
      <c r="E101" t="s">
        <v>78</v>
      </c>
      <c r="F101" t="s">
        <v>45</v>
      </c>
      <c r="G101" t="s">
        <v>46</v>
      </c>
      <c r="H101">
        <v>3462</v>
      </c>
      <c r="I101">
        <v>1538</v>
      </c>
      <c r="J101">
        <v>1924</v>
      </c>
      <c r="K101" t="s">
        <v>88</v>
      </c>
      <c r="L101" t="s">
        <v>32</v>
      </c>
      <c r="M101">
        <v>12</v>
      </c>
      <c r="N101" t="s">
        <v>53</v>
      </c>
      <c r="O101" s="6">
        <f t="shared" ca="1" si="1"/>
        <v>45900</v>
      </c>
      <c r="P101">
        <v>4.5</v>
      </c>
    </row>
    <row r="102" spans="1:16" x14ac:dyDescent="0.3">
      <c r="A102" t="s">
        <v>256</v>
      </c>
      <c r="B102" t="s">
        <v>257</v>
      </c>
      <c r="C102" t="s">
        <v>51</v>
      </c>
      <c r="D102">
        <v>27</v>
      </c>
      <c r="E102" t="s">
        <v>63</v>
      </c>
      <c r="F102" t="s">
        <v>29</v>
      </c>
      <c r="G102" t="s">
        <v>30</v>
      </c>
      <c r="H102">
        <v>5915</v>
      </c>
      <c r="I102">
        <v>5538</v>
      </c>
      <c r="J102">
        <v>377</v>
      </c>
      <c r="K102" t="s">
        <v>88</v>
      </c>
      <c r="L102" t="s">
        <v>47</v>
      </c>
      <c r="M102">
        <v>15</v>
      </c>
      <c r="N102" t="s">
        <v>74</v>
      </c>
      <c r="O102" s="6">
        <f t="shared" ca="1" si="1"/>
        <v>46013</v>
      </c>
      <c r="P102">
        <v>3.6</v>
      </c>
    </row>
    <row r="103" spans="1:16" x14ac:dyDescent="0.3">
      <c r="A103" t="s">
        <v>258</v>
      </c>
      <c r="B103" t="s">
        <v>259</v>
      </c>
      <c r="C103" t="s">
        <v>56</v>
      </c>
      <c r="D103">
        <v>46</v>
      </c>
      <c r="E103" t="s">
        <v>37</v>
      </c>
      <c r="F103" t="s">
        <v>98</v>
      </c>
      <c r="G103" t="s">
        <v>104</v>
      </c>
      <c r="H103">
        <v>8351</v>
      </c>
      <c r="I103">
        <v>6335</v>
      </c>
      <c r="J103">
        <v>2016</v>
      </c>
      <c r="K103" t="s">
        <v>59</v>
      </c>
      <c r="L103" t="s">
        <v>47</v>
      </c>
      <c r="M103">
        <v>2</v>
      </c>
      <c r="N103" t="s">
        <v>95</v>
      </c>
      <c r="O103" s="6">
        <f t="shared" ca="1" si="1"/>
        <v>45807</v>
      </c>
      <c r="P103">
        <v>3.4</v>
      </c>
    </row>
    <row r="104" spans="1:16" x14ac:dyDescent="0.3">
      <c r="A104" t="s">
        <v>260</v>
      </c>
      <c r="B104" t="s">
        <v>261</v>
      </c>
      <c r="C104" t="s">
        <v>18</v>
      </c>
      <c r="D104">
        <v>60</v>
      </c>
      <c r="E104" t="s">
        <v>44</v>
      </c>
      <c r="F104" t="s">
        <v>29</v>
      </c>
      <c r="G104" t="s">
        <v>58</v>
      </c>
      <c r="H104">
        <v>6266</v>
      </c>
      <c r="I104">
        <v>3620</v>
      </c>
      <c r="J104">
        <v>2646</v>
      </c>
      <c r="K104" t="s">
        <v>88</v>
      </c>
      <c r="L104" t="s">
        <v>32</v>
      </c>
      <c r="M104">
        <v>8</v>
      </c>
      <c r="N104" t="s">
        <v>74</v>
      </c>
      <c r="O104" s="6">
        <f t="shared" ca="1" si="1"/>
        <v>45803</v>
      </c>
      <c r="P104">
        <v>4.8</v>
      </c>
    </row>
    <row r="105" spans="1:16" x14ac:dyDescent="0.3">
      <c r="A105" t="s">
        <v>262</v>
      </c>
      <c r="B105" t="s">
        <v>229</v>
      </c>
      <c r="C105" t="s">
        <v>77</v>
      </c>
      <c r="D105">
        <v>62</v>
      </c>
      <c r="E105" t="s">
        <v>82</v>
      </c>
      <c r="F105" t="s">
        <v>52</v>
      </c>
      <c r="G105" t="s">
        <v>73</v>
      </c>
      <c r="H105">
        <v>5334</v>
      </c>
      <c r="I105">
        <v>4199</v>
      </c>
      <c r="J105">
        <v>1135</v>
      </c>
      <c r="K105" t="s">
        <v>88</v>
      </c>
      <c r="L105" t="s">
        <v>32</v>
      </c>
      <c r="M105">
        <v>14</v>
      </c>
      <c r="N105" t="s">
        <v>69</v>
      </c>
      <c r="O105" s="6">
        <f t="shared" ca="1" si="1"/>
        <v>45973</v>
      </c>
      <c r="P105">
        <v>4.9000000000000004</v>
      </c>
    </row>
    <row r="106" spans="1:16" x14ac:dyDescent="0.3">
      <c r="A106" t="s">
        <v>263</v>
      </c>
      <c r="B106" t="s">
        <v>264</v>
      </c>
      <c r="C106" t="s">
        <v>103</v>
      </c>
      <c r="D106">
        <v>41</v>
      </c>
      <c r="E106" t="s">
        <v>72</v>
      </c>
      <c r="F106" t="s">
        <v>38</v>
      </c>
      <c r="G106" t="s">
        <v>126</v>
      </c>
      <c r="H106">
        <v>8268</v>
      </c>
      <c r="I106">
        <v>6126</v>
      </c>
      <c r="J106">
        <v>2142</v>
      </c>
      <c r="K106" t="s">
        <v>88</v>
      </c>
      <c r="L106" t="s">
        <v>23</v>
      </c>
      <c r="M106">
        <v>14</v>
      </c>
      <c r="N106" t="s">
        <v>53</v>
      </c>
      <c r="O106" s="6">
        <f t="shared" ca="1" si="1"/>
        <v>45664</v>
      </c>
      <c r="P106">
        <v>4.7</v>
      </c>
    </row>
    <row r="107" spans="1:16" x14ac:dyDescent="0.3">
      <c r="A107" t="s">
        <v>265</v>
      </c>
      <c r="B107" t="s">
        <v>266</v>
      </c>
      <c r="C107" t="s">
        <v>43</v>
      </c>
      <c r="D107">
        <v>29</v>
      </c>
      <c r="E107" t="s">
        <v>82</v>
      </c>
      <c r="F107" t="s">
        <v>136</v>
      </c>
      <c r="G107" t="s">
        <v>79</v>
      </c>
      <c r="H107">
        <v>7600</v>
      </c>
      <c r="I107">
        <v>5100</v>
      </c>
      <c r="J107">
        <v>2500</v>
      </c>
      <c r="K107" t="s">
        <v>88</v>
      </c>
      <c r="L107" t="s">
        <v>47</v>
      </c>
      <c r="M107">
        <v>2</v>
      </c>
      <c r="N107" t="s">
        <v>48</v>
      </c>
      <c r="O107" s="6">
        <f t="shared" ca="1" si="1"/>
        <v>45704</v>
      </c>
      <c r="P107">
        <v>4.5</v>
      </c>
    </row>
    <row r="108" spans="1:16" x14ac:dyDescent="0.3">
      <c r="A108" t="s">
        <v>267</v>
      </c>
      <c r="B108" t="s">
        <v>268</v>
      </c>
      <c r="C108" t="s">
        <v>51</v>
      </c>
      <c r="D108">
        <v>40</v>
      </c>
      <c r="E108" t="s">
        <v>57</v>
      </c>
      <c r="F108" t="s">
        <v>98</v>
      </c>
      <c r="G108" t="s">
        <v>79</v>
      </c>
      <c r="H108">
        <v>5727</v>
      </c>
      <c r="I108">
        <v>4656</v>
      </c>
      <c r="J108">
        <v>1071</v>
      </c>
      <c r="K108" t="s">
        <v>68</v>
      </c>
      <c r="L108" t="s">
        <v>47</v>
      </c>
      <c r="M108">
        <v>8</v>
      </c>
      <c r="N108" t="s">
        <v>33</v>
      </c>
      <c r="O108" s="6">
        <f t="shared" ca="1" si="1"/>
        <v>45982</v>
      </c>
      <c r="P108">
        <v>3</v>
      </c>
    </row>
    <row r="109" spans="1:16" x14ac:dyDescent="0.3">
      <c r="A109" t="s">
        <v>269</v>
      </c>
      <c r="B109" t="s">
        <v>270</v>
      </c>
      <c r="C109" t="s">
        <v>77</v>
      </c>
      <c r="D109">
        <v>38</v>
      </c>
      <c r="E109" t="s">
        <v>44</v>
      </c>
      <c r="F109" t="s">
        <v>52</v>
      </c>
      <c r="G109" t="s">
        <v>73</v>
      </c>
      <c r="H109">
        <v>7841</v>
      </c>
      <c r="I109">
        <v>5095</v>
      </c>
      <c r="J109">
        <v>2746</v>
      </c>
      <c r="K109" t="s">
        <v>31</v>
      </c>
      <c r="L109" t="s">
        <v>32</v>
      </c>
      <c r="M109">
        <v>11</v>
      </c>
      <c r="N109" t="s">
        <v>74</v>
      </c>
      <c r="O109" s="6">
        <f t="shared" ca="1" si="1"/>
        <v>45898</v>
      </c>
      <c r="P109">
        <v>3.1</v>
      </c>
    </row>
    <row r="110" spans="1:16" x14ac:dyDescent="0.3">
      <c r="A110" t="s">
        <v>271</v>
      </c>
      <c r="B110" t="s">
        <v>125</v>
      </c>
      <c r="C110" t="s">
        <v>129</v>
      </c>
      <c r="D110">
        <v>38</v>
      </c>
      <c r="E110" t="s">
        <v>72</v>
      </c>
      <c r="F110" t="s">
        <v>38</v>
      </c>
      <c r="G110" t="s">
        <v>58</v>
      </c>
      <c r="H110">
        <v>1493</v>
      </c>
      <c r="I110">
        <v>550</v>
      </c>
      <c r="J110">
        <v>943</v>
      </c>
      <c r="K110" t="s">
        <v>88</v>
      </c>
      <c r="L110" t="s">
        <v>23</v>
      </c>
      <c r="M110">
        <v>4</v>
      </c>
      <c r="N110" t="s">
        <v>40</v>
      </c>
      <c r="O110" s="6">
        <f t="shared" ca="1" si="1"/>
        <v>45882</v>
      </c>
      <c r="P110">
        <v>2.1</v>
      </c>
    </row>
    <row r="111" spans="1:16" x14ac:dyDescent="0.3">
      <c r="A111" t="s">
        <v>272</v>
      </c>
      <c r="B111" t="s">
        <v>261</v>
      </c>
      <c r="C111" t="s">
        <v>36</v>
      </c>
      <c r="D111">
        <v>26</v>
      </c>
      <c r="E111" t="s">
        <v>82</v>
      </c>
      <c r="F111" t="s">
        <v>52</v>
      </c>
      <c r="G111" t="s">
        <v>73</v>
      </c>
      <c r="H111">
        <v>5997</v>
      </c>
      <c r="I111">
        <v>3939</v>
      </c>
      <c r="J111">
        <v>2058</v>
      </c>
      <c r="K111" t="s">
        <v>31</v>
      </c>
      <c r="L111" t="s">
        <v>32</v>
      </c>
      <c r="M111">
        <v>6</v>
      </c>
      <c r="N111" t="s">
        <v>116</v>
      </c>
      <c r="O111" s="6">
        <f t="shared" ca="1" si="1"/>
        <v>45725</v>
      </c>
      <c r="P111">
        <v>3.4</v>
      </c>
    </row>
    <row r="112" spans="1:16" x14ac:dyDescent="0.3">
      <c r="A112" t="s">
        <v>273</v>
      </c>
      <c r="B112" t="s">
        <v>274</v>
      </c>
      <c r="C112" t="s">
        <v>36</v>
      </c>
      <c r="D112">
        <v>30</v>
      </c>
      <c r="E112" t="s">
        <v>78</v>
      </c>
      <c r="F112" t="s">
        <v>67</v>
      </c>
      <c r="G112" t="s">
        <v>46</v>
      </c>
      <c r="H112">
        <v>6555</v>
      </c>
      <c r="I112">
        <v>6021</v>
      </c>
      <c r="J112">
        <v>534</v>
      </c>
      <c r="K112" t="s">
        <v>31</v>
      </c>
      <c r="L112" t="s">
        <v>23</v>
      </c>
      <c r="M112">
        <v>11</v>
      </c>
      <c r="N112" t="s">
        <v>48</v>
      </c>
      <c r="O112" s="6">
        <f t="shared" ca="1" si="1"/>
        <v>45750</v>
      </c>
      <c r="P112">
        <v>3.4</v>
      </c>
    </row>
    <row r="113" spans="1:16" x14ac:dyDescent="0.3">
      <c r="A113" t="s">
        <v>275</v>
      </c>
      <c r="B113" t="s">
        <v>276</v>
      </c>
      <c r="C113" t="s">
        <v>18</v>
      </c>
      <c r="D113">
        <v>34</v>
      </c>
      <c r="E113" t="s">
        <v>82</v>
      </c>
      <c r="F113" t="s">
        <v>98</v>
      </c>
      <c r="G113" t="s">
        <v>58</v>
      </c>
      <c r="H113">
        <v>4675</v>
      </c>
      <c r="I113">
        <v>4021</v>
      </c>
      <c r="J113">
        <v>654</v>
      </c>
      <c r="K113" t="s">
        <v>31</v>
      </c>
      <c r="L113" t="s">
        <v>47</v>
      </c>
      <c r="M113">
        <v>11</v>
      </c>
      <c r="N113" t="s">
        <v>118</v>
      </c>
      <c r="O113" s="6">
        <f t="shared" ca="1" si="1"/>
        <v>46014</v>
      </c>
      <c r="P113">
        <v>3.8</v>
      </c>
    </row>
    <row r="114" spans="1:16" x14ac:dyDescent="0.3">
      <c r="A114" t="s">
        <v>277</v>
      </c>
      <c r="B114" t="s">
        <v>278</v>
      </c>
      <c r="C114" t="s">
        <v>62</v>
      </c>
      <c r="D114">
        <v>46</v>
      </c>
      <c r="E114" t="s">
        <v>44</v>
      </c>
      <c r="F114" t="s">
        <v>136</v>
      </c>
      <c r="G114" t="s">
        <v>46</v>
      </c>
      <c r="H114">
        <v>3608</v>
      </c>
      <c r="I114">
        <v>2174</v>
      </c>
      <c r="J114">
        <v>1434</v>
      </c>
      <c r="K114" t="s">
        <v>68</v>
      </c>
      <c r="L114" t="s">
        <v>32</v>
      </c>
      <c r="M114">
        <v>1</v>
      </c>
      <c r="N114" t="s">
        <v>40</v>
      </c>
      <c r="O114" s="6">
        <f t="shared" ca="1" si="1"/>
        <v>45809</v>
      </c>
      <c r="P114">
        <v>1.5</v>
      </c>
    </row>
    <row r="115" spans="1:16" x14ac:dyDescent="0.3">
      <c r="A115" t="s">
        <v>279</v>
      </c>
      <c r="B115" t="s">
        <v>149</v>
      </c>
      <c r="C115" t="s">
        <v>36</v>
      </c>
      <c r="D115">
        <v>52</v>
      </c>
      <c r="E115" t="s">
        <v>37</v>
      </c>
      <c r="F115" t="s">
        <v>20</v>
      </c>
      <c r="G115" t="s">
        <v>126</v>
      </c>
      <c r="H115">
        <v>5995</v>
      </c>
      <c r="I115">
        <v>3614</v>
      </c>
      <c r="J115">
        <v>2381</v>
      </c>
      <c r="K115" t="s">
        <v>68</v>
      </c>
      <c r="L115" t="s">
        <v>47</v>
      </c>
      <c r="M115">
        <v>9</v>
      </c>
      <c r="N115" t="s">
        <v>74</v>
      </c>
      <c r="O115" s="6">
        <f t="shared" ca="1" si="1"/>
        <v>45803</v>
      </c>
      <c r="P115">
        <v>3.8</v>
      </c>
    </row>
    <row r="116" spans="1:16" x14ac:dyDescent="0.3">
      <c r="A116" t="s">
        <v>280</v>
      </c>
      <c r="B116" t="s">
        <v>281</v>
      </c>
      <c r="C116" t="s">
        <v>36</v>
      </c>
      <c r="D116">
        <v>48</v>
      </c>
      <c r="E116" t="s">
        <v>28</v>
      </c>
      <c r="F116" t="s">
        <v>91</v>
      </c>
      <c r="G116" t="s">
        <v>21</v>
      </c>
      <c r="H116">
        <v>5622</v>
      </c>
      <c r="I116">
        <v>3064</v>
      </c>
      <c r="J116">
        <v>2558</v>
      </c>
      <c r="K116" t="s">
        <v>22</v>
      </c>
      <c r="L116" t="s">
        <v>32</v>
      </c>
      <c r="M116">
        <v>7</v>
      </c>
      <c r="N116" t="s">
        <v>48</v>
      </c>
      <c r="O116" s="6">
        <f t="shared" ca="1" si="1"/>
        <v>45948</v>
      </c>
      <c r="P116">
        <v>4.2</v>
      </c>
    </row>
    <row r="117" spans="1:16" x14ac:dyDescent="0.3">
      <c r="A117" t="s">
        <v>282</v>
      </c>
      <c r="B117" t="s">
        <v>283</v>
      </c>
      <c r="C117" t="s">
        <v>43</v>
      </c>
      <c r="D117">
        <v>31</v>
      </c>
      <c r="E117" t="s">
        <v>44</v>
      </c>
      <c r="F117" t="s">
        <v>91</v>
      </c>
      <c r="G117" t="s">
        <v>58</v>
      </c>
      <c r="H117">
        <v>3209</v>
      </c>
      <c r="I117">
        <v>1221</v>
      </c>
      <c r="J117">
        <v>1988</v>
      </c>
      <c r="K117" t="s">
        <v>88</v>
      </c>
      <c r="L117" t="s">
        <v>47</v>
      </c>
      <c r="M117">
        <v>4</v>
      </c>
      <c r="N117" t="s">
        <v>48</v>
      </c>
      <c r="O117" s="6">
        <f t="shared" ca="1" si="1"/>
        <v>45812</v>
      </c>
      <c r="P117">
        <v>4.3</v>
      </c>
    </row>
    <row r="118" spans="1:16" x14ac:dyDescent="0.3">
      <c r="A118" t="s">
        <v>284</v>
      </c>
      <c r="B118" t="s">
        <v>285</v>
      </c>
      <c r="C118" t="s">
        <v>103</v>
      </c>
      <c r="D118">
        <v>40</v>
      </c>
      <c r="E118" t="s">
        <v>57</v>
      </c>
      <c r="F118" t="s">
        <v>52</v>
      </c>
      <c r="G118" t="s">
        <v>58</v>
      </c>
      <c r="H118">
        <v>7770</v>
      </c>
      <c r="I118">
        <v>6882</v>
      </c>
      <c r="J118">
        <v>888</v>
      </c>
      <c r="K118" t="s">
        <v>31</v>
      </c>
      <c r="L118" t="s">
        <v>47</v>
      </c>
      <c r="M118">
        <v>11</v>
      </c>
      <c r="N118" t="s">
        <v>53</v>
      </c>
      <c r="O118" s="6">
        <f t="shared" ca="1" si="1"/>
        <v>46002</v>
      </c>
      <c r="P118">
        <v>4</v>
      </c>
    </row>
    <row r="119" spans="1:16" x14ac:dyDescent="0.3">
      <c r="A119" t="s">
        <v>286</v>
      </c>
      <c r="B119" t="s">
        <v>287</v>
      </c>
      <c r="C119" t="s">
        <v>43</v>
      </c>
      <c r="D119">
        <v>43</v>
      </c>
      <c r="E119" t="s">
        <v>78</v>
      </c>
      <c r="F119" t="s">
        <v>52</v>
      </c>
      <c r="G119" t="s">
        <v>21</v>
      </c>
      <c r="H119">
        <v>2947</v>
      </c>
      <c r="I119">
        <v>1699</v>
      </c>
      <c r="J119">
        <v>1248</v>
      </c>
      <c r="K119" t="s">
        <v>22</v>
      </c>
      <c r="L119" t="s">
        <v>32</v>
      </c>
      <c r="M119">
        <v>10</v>
      </c>
      <c r="N119" t="s">
        <v>193</v>
      </c>
      <c r="O119" s="6">
        <f t="shared" ca="1" si="1"/>
        <v>45918</v>
      </c>
      <c r="P119">
        <v>4.3</v>
      </c>
    </row>
    <row r="120" spans="1:16" x14ac:dyDescent="0.3">
      <c r="A120" t="s">
        <v>288</v>
      </c>
      <c r="B120" t="s">
        <v>153</v>
      </c>
      <c r="C120" t="s">
        <v>56</v>
      </c>
      <c r="D120">
        <v>50</v>
      </c>
      <c r="E120" t="s">
        <v>44</v>
      </c>
      <c r="F120" t="s">
        <v>67</v>
      </c>
      <c r="G120" t="s">
        <v>104</v>
      </c>
      <c r="H120">
        <v>8591</v>
      </c>
      <c r="I120">
        <v>6079</v>
      </c>
      <c r="J120">
        <v>2512</v>
      </c>
      <c r="K120" t="s">
        <v>68</v>
      </c>
      <c r="L120" t="s">
        <v>23</v>
      </c>
      <c r="M120">
        <v>10</v>
      </c>
      <c r="N120" t="s">
        <v>95</v>
      </c>
      <c r="O120" s="6">
        <f t="shared" ca="1" si="1"/>
        <v>45799</v>
      </c>
      <c r="P120">
        <v>3.4</v>
      </c>
    </row>
    <row r="121" spans="1:16" x14ac:dyDescent="0.3">
      <c r="A121" t="s">
        <v>289</v>
      </c>
      <c r="B121" t="s">
        <v>216</v>
      </c>
      <c r="C121" t="s">
        <v>77</v>
      </c>
      <c r="D121">
        <v>51</v>
      </c>
      <c r="E121" t="s">
        <v>63</v>
      </c>
      <c r="F121" t="s">
        <v>45</v>
      </c>
      <c r="G121" t="s">
        <v>39</v>
      </c>
      <c r="H121">
        <v>5774</v>
      </c>
      <c r="I121">
        <v>5344</v>
      </c>
      <c r="J121">
        <v>430</v>
      </c>
      <c r="K121" t="s">
        <v>88</v>
      </c>
      <c r="L121" t="s">
        <v>47</v>
      </c>
      <c r="M121">
        <v>2</v>
      </c>
      <c r="N121" t="s">
        <v>116</v>
      </c>
      <c r="O121" s="6">
        <f t="shared" ca="1" si="1"/>
        <v>45887</v>
      </c>
      <c r="P121">
        <v>3.6</v>
      </c>
    </row>
    <row r="122" spans="1:16" x14ac:dyDescent="0.3">
      <c r="A122" t="s">
        <v>290</v>
      </c>
      <c r="B122" t="s">
        <v>291</v>
      </c>
      <c r="C122" t="s">
        <v>43</v>
      </c>
      <c r="D122">
        <v>39</v>
      </c>
      <c r="E122" t="s">
        <v>87</v>
      </c>
      <c r="F122" t="s">
        <v>98</v>
      </c>
      <c r="G122" t="s">
        <v>79</v>
      </c>
      <c r="H122">
        <v>7642</v>
      </c>
      <c r="I122">
        <v>5366</v>
      </c>
      <c r="J122">
        <v>2276</v>
      </c>
      <c r="K122" t="s">
        <v>88</v>
      </c>
      <c r="L122" t="s">
        <v>47</v>
      </c>
      <c r="M122">
        <v>10</v>
      </c>
      <c r="N122" t="s">
        <v>74</v>
      </c>
      <c r="O122" s="6">
        <f t="shared" ca="1" si="1"/>
        <v>45700</v>
      </c>
      <c r="P122">
        <v>3.5</v>
      </c>
    </row>
    <row r="123" spans="1:16" x14ac:dyDescent="0.3">
      <c r="A123" t="s">
        <v>292</v>
      </c>
      <c r="B123" t="s">
        <v>220</v>
      </c>
      <c r="C123" t="s">
        <v>62</v>
      </c>
      <c r="D123">
        <v>41</v>
      </c>
      <c r="E123" t="s">
        <v>44</v>
      </c>
      <c r="F123" t="s">
        <v>91</v>
      </c>
      <c r="G123" t="s">
        <v>92</v>
      </c>
      <c r="H123">
        <v>2188</v>
      </c>
      <c r="I123">
        <v>1735</v>
      </c>
      <c r="J123">
        <v>453</v>
      </c>
      <c r="K123" t="s">
        <v>31</v>
      </c>
      <c r="L123" t="s">
        <v>47</v>
      </c>
      <c r="M123">
        <v>13</v>
      </c>
      <c r="N123" t="s">
        <v>95</v>
      </c>
      <c r="O123" s="6">
        <f t="shared" ca="1" si="1"/>
        <v>46010</v>
      </c>
      <c r="P123">
        <v>3.6</v>
      </c>
    </row>
    <row r="124" spans="1:16" x14ac:dyDescent="0.3">
      <c r="A124" t="s">
        <v>293</v>
      </c>
      <c r="B124" t="s">
        <v>113</v>
      </c>
      <c r="C124" t="s">
        <v>62</v>
      </c>
      <c r="D124">
        <v>49</v>
      </c>
      <c r="E124" t="s">
        <v>63</v>
      </c>
      <c r="F124" t="s">
        <v>29</v>
      </c>
      <c r="G124" t="s">
        <v>92</v>
      </c>
      <c r="H124">
        <v>6345</v>
      </c>
      <c r="I124">
        <v>5495</v>
      </c>
      <c r="J124">
        <v>850</v>
      </c>
      <c r="K124" t="s">
        <v>88</v>
      </c>
      <c r="L124" t="s">
        <v>47</v>
      </c>
      <c r="M124">
        <v>15</v>
      </c>
      <c r="N124" t="s">
        <v>116</v>
      </c>
      <c r="O124" s="6">
        <f t="shared" ca="1" si="1"/>
        <v>45789</v>
      </c>
      <c r="P124">
        <v>4</v>
      </c>
    </row>
    <row r="125" spans="1:16" x14ac:dyDescent="0.3">
      <c r="A125" t="s">
        <v>294</v>
      </c>
      <c r="B125" t="s">
        <v>227</v>
      </c>
      <c r="C125" t="s">
        <v>51</v>
      </c>
      <c r="D125">
        <v>24</v>
      </c>
      <c r="E125" t="s">
        <v>57</v>
      </c>
      <c r="F125" t="s">
        <v>98</v>
      </c>
      <c r="G125" t="s">
        <v>58</v>
      </c>
      <c r="H125">
        <v>3759</v>
      </c>
      <c r="I125">
        <v>1274</v>
      </c>
      <c r="J125">
        <v>2485</v>
      </c>
      <c r="K125" t="s">
        <v>31</v>
      </c>
      <c r="L125" t="s">
        <v>32</v>
      </c>
      <c r="M125">
        <v>5</v>
      </c>
      <c r="N125" t="s">
        <v>116</v>
      </c>
      <c r="O125" s="6">
        <f t="shared" ca="1" si="1"/>
        <v>46015</v>
      </c>
      <c r="P125">
        <v>4.5999999999999996</v>
      </c>
    </row>
    <row r="126" spans="1:16" x14ac:dyDescent="0.3">
      <c r="A126" t="s">
        <v>295</v>
      </c>
      <c r="B126" t="s">
        <v>296</v>
      </c>
      <c r="C126" t="s">
        <v>77</v>
      </c>
      <c r="D126">
        <v>58</v>
      </c>
      <c r="E126" t="s">
        <v>78</v>
      </c>
      <c r="F126" t="s">
        <v>38</v>
      </c>
      <c r="G126" t="s">
        <v>39</v>
      </c>
      <c r="H126">
        <v>8786</v>
      </c>
      <c r="I126">
        <v>5874</v>
      </c>
      <c r="J126">
        <v>2912</v>
      </c>
      <c r="K126" t="s">
        <v>31</v>
      </c>
      <c r="L126" t="s">
        <v>32</v>
      </c>
      <c r="M126">
        <v>10</v>
      </c>
      <c r="N126" t="s">
        <v>53</v>
      </c>
      <c r="O126" s="6">
        <f t="shared" ca="1" si="1"/>
        <v>45750</v>
      </c>
      <c r="P126">
        <v>3.8</v>
      </c>
    </row>
    <row r="127" spans="1:16" x14ac:dyDescent="0.3">
      <c r="A127" t="s">
        <v>297</v>
      </c>
      <c r="B127" t="s">
        <v>138</v>
      </c>
      <c r="C127" t="s">
        <v>43</v>
      </c>
      <c r="D127">
        <v>29</v>
      </c>
      <c r="E127" t="s">
        <v>82</v>
      </c>
      <c r="F127" t="s">
        <v>98</v>
      </c>
      <c r="G127" t="s">
        <v>73</v>
      </c>
      <c r="H127">
        <v>6347</v>
      </c>
      <c r="I127">
        <v>4665</v>
      </c>
      <c r="J127">
        <v>1682</v>
      </c>
      <c r="K127" t="s">
        <v>68</v>
      </c>
      <c r="L127" t="s">
        <v>23</v>
      </c>
      <c r="M127">
        <v>5</v>
      </c>
      <c r="N127" t="s">
        <v>193</v>
      </c>
      <c r="O127" s="6">
        <f t="shared" ca="1" si="1"/>
        <v>45754</v>
      </c>
      <c r="P127">
        <v>3.7</v>
      </c>
    </row>
    <row r="128" spans="1:16" x14ac:dyDescent="0.3">
      <c r="A128" t="s">
        <v>298</v>
      </c>
      <c r="B128" t="s">
        <v>299</v>
      </c>
      <c r="C128" t="s">
        <v>62</v>
      </c>
      <c r="D128">
        <v>29</v>
      </c>
      <c r="E128" t="s">
        <v>78</v>
      </c>
      <c r="F128" t="s">
        <v>98</v>
      </c>
      <c r="G128" t="s">
        <v>39</v>
      </c>
      <c r="H128">
        <v>7570</v>
      </c>
      <c r="I128">
        <v>6956</v>
      </c>
      <c r="J128">
        <v>614</v>
      </c>
      <c r="K128" t="s">
        <v>68</v>
      </c>
      <c r="L128" t="s">
        <v>23</v>
      </c>
      <c r="M128">
        <v>9</v>
      </c>
      <c r="N128" t="s">
        <v>74</v>
      </c>
      <c r="O128" s="6">
        <f t="shared" ca="1" si="1"/>
        <v>45865</v>
      </c>
      <c r="P128">
        <v>4</v>
      </c>
    </row>
    <row r="129" spans="1:16" x14ac:dyDescent="0.3">
      <c r="A129" t="s">
        <v>300</v>
      </c>
      <c r="B129" t="s">
        <v>301</v>
      </c>
      <c r="C129" t="s">
        <v>51</v>
      </c>
      <c r="D129">
        <v>45</v>
      </c>
      <c r="E129" t="s">
        <v>78</v>
      </c>
      <c r="F129" t="s">
        <v>20</v>
      </c>
      <c r="G129" t="s">
        <v>126</v>
      </c>
      <c r="H129">
        <v>8933</v>
      </c>
      <c r="I129">
        <v>6175</v>
      </c>
      <c r="J129">
        <v>2758</v>
      </c>
      <c r="K129" t="s">
        <v>88</v>
      </c>
      <c r="L129" t="s">
        <v>47</v>
      </c>
      <c r="M129">
        <v>3</v>
      </c>
      <c r="N129" t="s">
        <v>69</v>
      </c>
      <c r="O129" s="6">
        <f t="shared" ca="1" si="1"/>
        <v>45850</v>
      </c>
      <c r="P129">
        <v>3.2</v>
      </c>
    </row>
    <row r="130" spans="1:16" x14ac:dyDescent="0.3">
      <c r="A130" t="s">
        <v>302</v>
      </c>
      <c r="B130" t="s">
        <v>176</v>
      </c>
      <c r="C130" t="s">
        <v>62</v>
      </c>
      <c r="D130">
        <v>49</v>
      </c>
      <c r="E130" t="s">
        <v>44</v>
      </c>
      <c r="F130" t="s">
        <v>45</v>
      </c>
      <c r="G130" t="s">
        <v>104</v>
      </c>
      <c r="H130">
        <v>4803</v>
      </c>
      <c r="I130">
        <v>2416</v>
      </c>
      <c r="J130">
        <v>2387</v>
      </c>
      <c r="K130" t="s">
        <v>68</v>
      </c>
      <c r="L130" t="s">
        <v>32</v>
      </c>
      <c r="M130">
        <v>13</v>
      </c>
      <c r="N130" t="s">
        <v>69</v>
      </c>
      <c r="O130" s="6">
        <f t="shared" ca="1" si="1"/>
        <v>46001</v>
      </c>
      <c r="P130">
        <v>3.2</v>
      </c>
    </row>
    <row r="131" spans="1:16" x14ac:dyDescent="0.3">
      <c r="A131" t="s">
        <v>303</v>
      </c>
      <c r="B131" t="s">
        <v>304</v>
      </c>
      <c r="C131" t="s">
        <v>56</v>
      </c>
      <c r="D131">
        <v>39</v>
      </c>
      <c r="E131" t="s">
        <v>37</v>
      </c>
      <c r="F131" t="s">
        <v>29</v>
      </c>
      <c r="G131" t="s">
        <v>92</v>
      </c>
      <c r="H131">
        <v>4792</v>
      </c>
      <c r="I131">
        <v>3929</v>
      </c>
      <c r="J131">
        <v>863</v>
      </c>
      <c r="K131" t="s">
        <v>68</v>
      </c>
      <c r="L131" t="s">
        <v>47</v>
      </c>
      <c r="M131">
        <v>13</v>
      </c>
      <c r="N131" t="s">
        <v>118</v>
      </c>
      <c r="O131" s="6">
        <f t="shared" ref="O131:O194" ca="1" si="2">RANDBETWEEN(DATE(2025,1,1),DATE(2025,12,31))</f>
        <v>45975</v>
      </c>
      <c r="P131">
        <v>4.8</v>
      </c>
    </row>
    <row r="132" spans="1:16" x14ac:dyDescent="0.3">
      <c r="A132" t="s">
        <v>305</v>
      </c>
      <c r="B132" t="s">
        <v>306</v>
      </c>
      <c r="C132" t="s">
        <v>56</v>
      </c>
      <c r="D132">
        <v>44</v>
      </c>
      <c r="E132" t="s">
        <v>82</v>
      </c>
      <c r="F132" t="s">
        <v>98</v>
      </c>
      <c r="G132" t="s">
        <v>92</v>
      </c>
      <c r="H132">
        <v>2888</v>
      </c>
      <c r="I132">
        <v>1521</v>
      </c>
      <c r="J132">
        <v>1367</v>
      </c>
      <c r="K132" t="s">
        <v>31</v>
      </c>
      <c r="L132" t="s">
        <v>23</v>
      </c>
      <c r="M132">
        <v>3</v>
      </c>
      <c r="N132" t="s">
        <v>116</v>
      </c>
      <c r="O132" s="6">
        <f t="shared" ca="1" si="2"/>
        <v>45706</v>
      </c>
      <c r="P132">
        <v>4.5</v>
      </c>
    </row>
    <row r="133" spans="1:16" x14ac:dyDescent="0.3">
      <c r="A133" t="s">
        <v>307</v>
      </c>
      <c r="B133" t="s">
        <v>164</v>
      </c>
      <c r="C133" t="s">
        <v>103</v>
      </c>
      <c r="D133">
        <v>26</v>
      </c>
      <c r="E133" t="s">
        <v>19</v>
      </c>
      <c r="F133" t="s">
        <v>91</v>
      </c>
      <c r="G133" t="s">
        <v>58</v>
      </c>
      <c r="H133">
        <v>2617</v>
      </c>
      <c r="I133">
        <v>718</v>
      </c>
      <c r="J133">
        <v>1899</v>
      </c>
      <c r="K133" t="s">
        <v>88</v>
      </c>
      <c r="L133" t="s">
        <v>32</v>
      </c>
      <c r="M133">
        <v>9</v>
      </c>
      <c r="N133" t="s">
        <v>95</v>
      </c>
      <c r="O133" s="6">
        <f t="shared" ca="1" si="2"/>
        <v>45766</v>
      </c>
      <c r="P133">
        <v>3.6</v>
      </c>
    </row>
    <row r="134" spans="1:16" x14ac:dyDescent="0.3">
      <c r="A134" t="s">
        <v>308</v>
      </c>
      <c r="B134" t="s">
        <v>211</v>
      </c>
      <c r="C134" t="s">
        <v>62</v>
      </c>
      <c r="D134">
        <v>22</v>
      </c>
      <c r="E134" t="s">
        <v>57</v>
      </c>
      <c r="F134" t="s">
        <v>98</v>
      </c>
      <c r="G134" t="s">
        <v>58</v>
      </c>
      <c r="H134">
        <v>7780</v>
      </c>
      <c r="I134">
        <v>6982</v>
      </c>
      <c r="J134">
        <v>798</v>
      </c>
      <c r="K134" t="s">
        <v>59</v>
      </c>
      <c r="L134" t="s">
        <v>47</v>
      </c>
      <c r="M134">
        <v>5</v>
      </c>
      <c r="N134" t="s">
        <v>69</v>
      </c>
      <c r="O134" s="6">
        <f t="shared" ca="1" si="2"/>
        <v>45836</v>
      </c>
      <c r="P134">
        <v>4.9000000000000004</v>
      </c>
    </row>
    <row r="135" spans="1:16" x14ac:dyDescent="0.3">
      <c r="A135" t="s">
        <v>309</v>
      </c>
      <c r="B135" t="s">
        <v>310</v>
      </c>
      <c r="C135" t="s">
        <v>51</v>
      </c>
      <c r="D135">
        <v>21</v>
      </c>
      <c r="E135" t="s">
        <v>87</v>
      </c>
      <c r="F135" t="s">
        <v>136</v>
      </c>
      <c r="G135" t="s">
        <v>39</v>
      </c>
      <c r="H135">
        <v>3078</v>
      </c>
      <c r="I135">
        <v>2266</v>
      </c>
      <c r="J135">
        <v>812</v>
      </c>
      <c r="K135" t="s">
        <v>88</v>
      </c>
      <c r="L135" t="s">
        <v>47</v>
      </c>
      <c r="M135">
        <v>12</v>
      </c>
      <c r="N135" t="s">
        <v>118</v>
      </c>
      <c r="O135" s="6">
        <f t="shared" ca="1" si="2"/>
        <v>45809</v>
      </c>
      <c r="P135">
        <v>3.7</v>
      </c>
    </row>
    <row r="136" spans="1:16" x14ac:dyDescent="0.3">
      <c r="A136" t="s">
        <v>311</v>
      </c>
      <c r="B136" t="s">
        <v>229</v>
      </c>
      <c r="C136" t="s">
        <v>18</v>
      </c>
      <c r="D136">
        <v>36</v>
      </c>
      <c r="E136" t="s">
        <v>72</v>
      </c>
      <c r="F136" t="s">
        <v>98</v>
      </c>
      <c r="G136" t="s">
        <v>46</v>
      </c>
      <c r="H136">
        <v>4372</v>
      </c>
      <c r="I136">
        <v>2453</v>
      </c>
      <c r="J136">
        <v>1919</v>
      </c>
      <c r="K136" t="s">
        <v>22</v>
      </c>
      <c r="L136" t="s">
        <v>23</v>
      </c>
      <c r="M136">
        <v>10</v>
      </c>
      <c r="N136" t="s">
        <v>69</v>
      </c>
      <c r="O136" s="6">
        <f t="shared" ca="1" si="2"/>
        <v>45786</v>
      </c>
      <c r="P136">
        <v>4.3</v>
      </c>
    </row>
    <row r="137" spans="1:16" x14ac:dyDescent="0.3">
      <c r="A137" t="s">
        <v>312</v>
      </c>
      <c r="B137" t="s">
        <v>249</v>
      </c>
      <c r="C137" t="s">
        <v>27</v>
      </c>
      <c r="D137">
        <v>22</v>
      </c>
      <c r="E137" t="s">
        <v>82</v>
      </c>
      <c r="F137" t="s">
        <v>67</v>
      </c>
      <c r="G137" t="s">
        <v>30</v>
      </c>
      <c r="H137">
        <v>7174</v>
      </c>
      <c r="I137">
        <v>6386</v>
      </c>
      <c r="J137">
        <v>788</v>
      </c>
      <c r="K137" t="s">
        <v>59</v>
      </c>
      <c r="L137" t="s">
        <v>47</v>
      </c>
      <c r="M137">
        <v>1</v>
      </c>
      <c r="N137" t="s">
        <v>118</v>
      </c>
      <c r="O137" s="6">
        <f t="shared" ca="1" si="2"/>
        <v>45780</v>
      </c>
      <c r="P137">
        <v>3.2</v>
      </c>
    </row>
    <row r="138" spans="1:16" x14ac:dyDescent="0.3">
      <c r="A138" t="s">
        <v>313</v>
      </c>
      <c r="B138" t="s">
        <v>314</v>
      </c>
      <c r="C138" t="s">
        <v>129</v>
      </c>
      <c r="D138">
        <v>63</v>
      </c>
      <c r="E138" t="s">
        <v>87</v>
      </c>
      <c r="F138" t="s">
        <v>29</v>
      </c>
      <c r="G138" t="s">
        <v>58</v>
      </c>
      <c r="H138">
        <v>3408</v>
      </c>
      <c r="I138">
        <v>1054</v>
      </c>
      <c r="J138">
        <v>2354</v>
      </c>
      <c r="K138" t="s">
        <v>22</v>
      </c>
      <c r="L138" t="s">
        <v>23</v>
      </c>
      <c r="M138">
        <v>13</v>
      </c>
      <c r="N138" t="s">
        <v>74</v>
      </c>
      <c r="O138" s="6">
        <f t="shared" ca="1" si="2"/>
        <v>46007</v>
      </c>
      <c r="P138">
        <v>3.9</v>
      </c>
    </row>
    <row r="139" spans="1:16" x14ac:dyDescent="0.3">
      <c r="A139" t="s">
        <v>315</v>
      </c>
      <c r="B139" t="s">
        <v>316</v>
      </c>
      <c r="C139" t="s">
        <v>56</v>
      </c>
      <c r="D139">
        <v>23</v>
      </c>
      <c r="E139" t="s">
        <v>37</v>
      </c>
      <c r="F139" t="s">
        <v>38</v>
      </c>
      <c r="G139" t="s">
        <v>39</v>
      </c>
      <c r="H139">
        <v>6888</v>
      </c>
      <c r="I139">
        <v>6622</v>
      </c>
      <c r="J139">
        <v>266</v>
      </c>
      <c r="K139" t="s">
        <v>22</v>
      </c>
      <c r="L139" t="s">
        <v>47</v>
      </c>
      <c r="M139">
        <v>2</v>
      </c>
      <c r="N139" t="s">
        <v>95</v>
      </c>
      <c r="O139" s="6">
        <f t="shared" ca="1" si="2"/>
        <v>45765</v>
      </c>
      <c r="P139">
        <v>3.6</v>
      </c>
    </row>
    <row r="140" spans="1:16" x14ac:dyDescent="0.3">
      <c r="A140" t="s">
        <v>317</v>
      </c>
      <c r="B140" t="s">
        <v>318</v>
      </c>
      <c r="C140" t="s">
        <v>43</v>
      </c>
      <c r="D140">
        <v>29</v>
      </c>
      <c r="E140" t="s">
        <v>28</v>
      </c>
      <c r="F140" t="s">
        <v>38</v>
      </c>
      <c r="G140" t="s">
        <v>92</v>
      </c>
      <c r="H140">
        <v>6105</v>
      </c>
      <c r="I140">
        <v>3273</v>
      </c>
      <c r="J140">
        <v>2832</v>
      </c>
      <c r="K140" t="s">
        <v>88</v>
      </c>
      <c r="L140" t="s">
        <v>23</v>
      </c>
      <c r="M140">
        <v>13</v>
      </c>
      <c r="N140" t="s">
        <v>69</v>
      </c>
      <c r="O140" s="6">
        <f t="shared" ca="1" si="2"/>
        <v>45876</v>
      </c>
      <c r="P140">
        <v>3.2</v>
      </c>
    </row>
    <row r="141" spans="1:16" x14ac:dyDescent="0.3">
      <c r="A141" t="s">
        <v>319</v>
      </c>
      <c r="B141" t="s">
        <v>153</v>
      </c>
      <c r="C141" t="s">
        <v>129</v>
      </c>
      <c r="D141">
        <v>25</v>
      </c>
      <c r="E141" t="s">
        <v>63</v>
      </c>
      <c r="F141" t="s">
        <v>136</v>
      </c>
      <c r="G141" t="s">
        <v>39</v>
      </c>
      <c r="H141">
        <v>2530</v>
      </c>
      <c r="I141">
        <v>2151</v>
      </c>
      <c r="J141">
        <v>379</v>
      </c>
      <c r="K141" t="s">
        <v>68</v>
      </c>
      <c r="L141" t="s">
        <v>47</v>
      </c>
      <c r="M141">
        <v>15</v>
      </c>
      <c r="N141" t="s">
        <v>24</v>
      </c>
      <c r="O141" s="6">
        <f t="shared" ca="1" si="2"/>
        <v>45878</v>
      </c>
      <c r="P141">
        <v>4.4000000000000004</v>
      </c>
    </row>
    <row r="142" spans="1:16" x14ac:dyDescent="0.3">
      <c r="A142" t="s">
        <v>320</v>
      </c>
      <c r="B142" t="s">
        <v>321</v>
      </c>
      <c r="C142" t="s">
        <v>27</v>
      </c>
      <c r="D142">
        <v>51</v>
      </c>
      <c r="E142" t="s">
        <v>72</v>
      </c>
      <c r="F142" t="s">
        <v>136</v>
      </c>
      <c r="G142" t="s">
        <v>30</v>
      </c>
      <c r="H142">
        <v>4505</v>
      </c>
      <c r="I142">
        <v>2843</v>
      </c>
      <c r="J142">
        <v>1662</v>
      </c>
      <c r="K142" t="s">
        <v>68</v>
      </c>
      <c r="L142" t="s">
        <v>47</v>
      </c>
      <c r="M142">
        <v>0</v>
      </c>
      <c r="N142" t="s">
        <v>40</v>
      </c>
      <c r="O142" s="6">
        <f t="shared" ca="1" si="2"/>
        <v>45857</v>
      </c>
      <c r="P142">
        <v>2.4</v>
      </c>
    </row>
    <row r="143" spans="1:16" x14ac:dyDescent="0.3">
      <c r="A143" t="s">
        <v>322</v>
      </c>
      <c r="B143" t="s">
        <v>323</v>
      </c>
      <c r="C143" t="s">
        <v>43</v>
      </c>
      <c r="D143">
        <v>48</v>
      </c>
      <c r="E143" t="s">
        <v>37</v>
      </c>
      <c r="F143" t="s">
        <v>91</v>
      </c>
      <c r="G143" t="s">
        <v>73</v>
      </c>
      <c r="H143">
        <v>4242</v>
      </c>
      <c r="I143">
        <v>3277</v>
      </c>
      <c r="J143">
        <v>965</v>
      </c>
      <c r="K143" t="s">
        <v>68</v>
      </c>
      <c r="L143" t="s">
        <v>32</v>
      </c>
      <c r="M143">
        <v>8</v>
      </c>
      <c r="N143" t="s">
        <v>95</v>
      </c>
      <c r="O143" s="6">
        <f t="shared" ca="1" si="2"/>
        <v>45743</v>
      </c>
      <c r="P143">
        <v>4.5</v>
      </c>
    </row>
    <row r="144" spans="1:16" x14ac:dyDescent="0.3">
      <c r="A144" t="s">
        <v>324</v>
      </c>
      <c r="B144" t="s">
        <v>325</v>
      </c>
      <c r="C144" t="s">
        <v>103</v>
      </c>
      <c r="D144">
        <v>26</v>
      </c>
      <c r="E144" t="s">
        <v>37</v>
      </c>
      <c r="F144" t="s">
        <v>67</v>
      </c>
      <c r="G144" t="s">
        <v>126</v>
      </c>
      <c r="H144">
        <v>6371</v>
      </c>
      <c r="I144">
        <v>4968</v>
      </c>
      <c r="J144">
        <v>1403</v>
      </c>
      <c r="K144" t="s">
        <v>68</v>
      </c>
      <c r="L144" t="s">
        <v>32</v>
      </c>
      <c r="M144">
        <v>2</v>
      </c>
      <c r="N144" t="s">
        <v>95</v>
      </c>
      <c r="O144" s="6">
        <f t="shared" ca="1" si="2"/>
        <v>46002</v>
      </c>
      <c r="P144">
        <v>4</v>
      </c>
    </row>
    <row r="145" spans="1:16" x14ac:dyDescent="0.3">
      <c r="A145" t="s">
        <v>326</v>
      </c>
      <c r="B145" t="s">
        <v>327</v>
      </c>
      <c r="C145" t="s">
        <v>51</v>
      </c>
      <c r="D145">
        <v>48</v>
      </c>
      <c r="E145" t="s">
        <v>78</v>
      </c>
      <c r="F145" t="s">
        <v>91</v>
      </c>
      <c r="G145" t="s">
        <v>58</v>
      </c>
      <c r="H145">
        <v>4535</v>
      </c>
      <c r="I145">
        <v>4162</v>
      </c>
      <c r="J145">
        <v>373</v>
      </c>
      <c r="K145" t="s">
        <v>88</v>
      </c>
      <c r="L145" t="s">
        <v>47</v>
      </c>
      <c r="M145">
        <v>15</v>
      </c>
      <c r="N145" t="s">
        <v>95</v>
      </c>
      <c r="O145" s="6">
        <f t="shared" ca="1" si="2"/>
        <v>45955</v>
      </c>
      <c r="P145">
        <v>4.5999999999999996</v>
      </c>
    </row>
    <row r="146" spans="1:16" x14ac:dyDescent="0.3">
      <c r="A146" t="s">
        <v>328</v>
      </c>
      <c r="B146" t="s">
        <v>198</v>
      </c>
      <c r="C146" t="s">
        <v>36</v>
      </c>
      <c r="D146">
        <v>25</v>
      </c>
      <c r="E146" t="s">
        <v>37</v>
      </c>
      <c r="F146" t="s">
        <v>38</v>
      </c>
      <c r="G146" t="s">
        <v>92</v>
      </c>
      <c r="H146">
        <v>9625</v>
      </c>
      <c r="I146">
        <v>6643</v>
      </c>
      <c r="J146">
        <v>2982</v>
      </c>
      <c r="K146" t="s">
        <v>88</v>
      </c>
      <c r="L146" t="s">
        <v>32</v>
      </c>
      <c r="M146">
        <v>1</v>
      </c>
      <c r="N146" t="s">
        <v>193</v>
      </c>
      <c r="O146" s="6">
        <f t="shared" ca="1" si="2"/>
        <v>45917</v>
      </c>
      <c r="P146">
        <v>4</v>
      </c>
    </row>
    <row r="147" spans="1:16" x14ac:dyDescent="0.3">
      <c r="A147" t="s">
        <v>329</v>
      </c>
      <c r="B147" t="s">
        <v>110</v>
      </c>
      <c r="C147" t="s">
        <v>77</v>
      </c>
      <c r="D147">
        <v>36</v>
      </c>
      <c r="E147" t="s">
        <v>57</v>
      </c>
      <c r="F147" t="s">
        <v>38</v>
      </c>
      <c r="G147" t="s">
        <v>73</v>
      </c>
      <c r="H147">
        <v>5478</v>
      </c>
      <c r="I147">
        <v>5146</v>
      </c>
      <c r="J147">
        <v>332</v>
      </c>
      <c r="K147" t="s">
        <v>68</v>
      </c>
      <c r="L147" t="s">
        <v>23</v>
      </c>
      <c r="M147">
        <v>11</v>
      </c>
      <c r="N147" t="s">
        <v>69</v>
      </c>
      <c r="O147" s="6">
        <f t="shared" ca="1" si="2"/>
        <v>45933</v>
      </c>
      <c r="P147">
        <v>3.8</v>
      </c>
    </row>
    <row r="148" spans="1:16" x14ac:dyDescent="0.3">
      <c r="A148" t="s">
        <v>330</v>
      </c>
      <c r="B148" t="s">
        <v>108</v>
      </c>
      <c r="C148" t="s">
        <v>77</v>
      </c>
      <c r="D148">
        <v>57</v>
      </c>
      <c r="E148" t="s">
        <v>78</v>
      </c>
      <c r="F148" t="s">
        <v>29</v>
      </c>
      <c r="G148" t="s">
        <v>58</v>
      </c>
      <c r="H148">
        <v>5247</v>
      </c>
      <c r="I148">
        <v>3760</v>
      </c>
      <c r="J148">
        <v>1487</v>
      </c>
      <c r="K148" t="s">
        <v>59</v>
      </c>
      <c r="L148" t="s">
        <v>23</v>
      </c>
      <c r="M148">
        <v>4</v>
      </c>
      <c r="N148" t="s">
        <v>53</v>
      </c>
      <c r="O148" s="6">
        <f t="shared" ca="1" si="2"/>
        <v>45707</v>
      </c>
      <c r="P148">
        <v>3.5</v>
      </c>
    </row>
    <row r="149" spans="1:16" x14ac:dyDescent="0.3">
      <c r="A149" t="s">
        <v>331</v>
      </c>
      <c r="B149" t="s">
        <v>332</v>
      </c>
      <c r="C149" t="s">
        <v>103</v>
      </c>
      <c r="D149">
        <v>56</v>
      </c>
      <c r="E149" t="s">
        <v>87</v>
      </c>
      <c r="F149" t="s">
        <v>45</v>
      </c>
      <c r="G149" t="s">
        <v>39</v>
      </c>
      <c r="H149">
        <v>8294</v>
      </c>
      <c r="I149">
        <v>6267</v>
      </c>
      <c r="J149">
        <v>2027</v>
      </c>
      <c r="K149" t="s">
        <v>88</v>
      </c>
      <c r="L149" t="s">
        <v>32</v>
      </c>
      <c r="M149">
        <v>10</v>
      </c>
      <c r="N149" t="s">
        <v>116</v>
      </c>
      <c r="O149" s="6">
        <f t="shared" ca="1" si="2"/>
        <v>45780</v>
      </c>
      <c r="P149">
        <v>3.6</v>
      </c>
    </row>
    <row r="150" spans="1:16" x14ac:dyDescent="0.3">
      <c r="A150" t="s">
        <v>333</v>
      </c>
      <c r="B150" t="s">
        <v>334</v>
      </c>
      <c r="C150" t="s">
        <v>129</v>
      </c>
      <c r="D150">
        <v>25</v>
      </c>
      <c r="E150" t="s">
        <v>63</v>
      </c>
      <c r="F150" t="s">
        <v>20</v>
      </c>
      <c r="G150" t="s">
        <v>104</v>
      </c>
      <c r="H150">
        <v>4212</v>
      </c>
      <c r="I150">
        <v>1219</v>
      </c>
      <c r="J150">
        <v>2993</v>
      </c>
      <c r="K150" t="s">
        <v>68</v>
      </c>
      <c r="L150" t="s">
        <v>47</v>
      </c>
      <c r="M150">
        <v>2</v>
      </c>
      <c r="N150" t="s">
        <v>40</v>
      </c>
      <c r="O150" s="6">
        <f t="shared" ca="1" si="2"/>
        <v>45810</v>
      </c>
      <c r="P150">
        <v>2</v>
      </c>
    </row>
    <row r="151" spans="1:16" x14ac:dyDescent="0.3">
      <c r="A151" t="s">
        <v>335</v>
      </c>
      <c r="B151" t="s">
        <v>336</v>
      </c>
      <c r="C151" t="s">
        <v>27</v>
      </c>
      <c r="D151">
        <v>39</v>
      </c>
      <c r="E151" t="s">
        <v>72</v>
      </c>
      <c r="F151" t="s">
        <v>20</v>
      </c>
      <c r="G151" t="s">
        <v>126</v>
      </c>
      <c r="H151">
        <v>5744</v>
      </c>
      <c r="I151">
        <v>3461</v>
      </c>
      <c r="J151">
        <v>2283</v>
      </c>
      <c r="K151" t="s">
        <v>88</v>
      </c>
      <c r="L151" t="s">
        <v>32</v>
      </c>
      <c r="M151">
        <v>4</v>
      </c>
      <c r="N151" t="s">
        <v>193</v>
      </c>
      <c r="O151" s="6">
        <f t="shared" ca="1" si="2"/>
        <v>45835</v>
      </c>
      <c r="P151">
        <v>4.8</v>
      </c>
    </row>
    <row r="152" spans="1:16" x14ac:dyDescent="0.3">
      <c r="A152" t="s">
        <v>337</v>
      </c>
      <c r="B152" t="s">
        <v>338</v>
      </c>
      <c r="C152" t="s">
        <v>27</v>
      </c>
      <c r="D152">
        <v>57</v>
      </c>
      <c r="E152" t="s">
        <v>57</v>
      </c>
      <c r="F152" t="s">
        <v>91</v>
      </c>
      <c r="G152" t="s">
        <v>92</v>
      </c>
      <c r="H152">
        <v>4269</v>
      </c>
      <c r="I152">
        <v>1563</v>
      </c>
      <c r="J152">
        <v>2706</v>
      </c>
      <c r="K152" t="s">
        <v>88</v>
      </c>
      <c r="L152" t="s">
        <v>23</v>
      </c>
      <c r="M152">
        <v>0</v>
      </c>
      <c r="N152" t="s">
        <v>40</v>
      </c>
      <c r="O152" s="6">
        <f t="shared" ca="1" si="2"/>
        <v>45931</v>
      </c>
      <c r="P152">
        <v>2.6</v>
      </c>
    </row>
    <row r="153" spans="1:16" x14ac:dyDescent="0.3">
      <c r="A153" t="s">
        <v>339</v>
      </c>
      <c r="B153" t="s">
        <v>332</v>
      </c>
      <c r="C153" t="s">
        <v>103</v>
      </c>
      <c r="D153">
        <v>47</v>
      </c>
      <c r="E153" t="s">
        <v>44</v>
      </c>
      <c r="F153" t="s">
        <v>98</v>
      </c>
      <c r="G153" t="s">
        <v>126</v>
      </c>
      <c r="H153">
        <v>5928</v>
      </c>
      <c r="I153">
        <v>3097</v>
      </c>
      <c r="J153">
        <v>2831</v>
      </c>
      <c r="K153" t="s">
        <v>59</v>
      </c>
      <c r="L153" t="s">
        <v>47</v>
      </c>
      <c r="M153">
        <v>8</v>
      </c>
      <c r="N153" t="s">
        <v>74</v>
      </c>
      <c r="O153" s="6">
        <f t="shared" ca="1" si="2"/>
        <v>45916</v>
      </c>
      <c r="P153">
        <v>3.1</v>
      </c>
    </row>
    <row r="154" spans="1:16" x14ac:dyDescent="0.3">
      <c r="A154" t="s">
        <v>340</v>
      </c>
      <c r="B154" t="s">
        <v>341</v>
      </c>
      <c r="C154" t="s">
        <v>51</v>
      </c>
      <c r="D154">
        <v>32</v>
      </c>
      <c r="E154" t="s">
        <v>78</v>
      </c>
      <c r="F154" t="s">
        <v>64</v>
      </c>
      <c r="G154" t="s">
        <v>92</v>
      </c>
      <c r="H154">
        <v>1661</v>
      </c>
      <c r="I154">
        <v>953</v>
      </c>
      <c r="J154">
        <v>708</v>
      </c>
      <c r="K154" t="s">
        <v>68</v>
      </c>
      <c r="L154" t="s">
        <v>32</v>
      </c>
      <c r="M154">
        <v>5</v>
      </c>
      <c r="N154" t="s">
        <v>193</v>
      </c>
      <c r="O154" s="6">
        <f t="shared" ca="1" si="2"/>
        <v>45968</v>
      </c>
      <c r="P154">
        <v>4.5</v>
      </c>
    </row>
    <row r="155" spans="1:16" x14ac:dyDescent="0.3">
      <c r="A155" t="s">
        <v>342</v>
      </c>
      <c r="B155" t="s">
        <v>343</v>
      </c>
      <c r="C155" t="s">
        <v>27</v>
      </c>
      <c r="D155">
        <v>39</v>
      </c>
      <c r="E155" t="s">
        <v>87</v>
      </c>
      <c r="F155" t="s">
        <v>45</v>
      </c>
      <c r="G155" t="s">
        <v>30</v>
      </c>
      <c r="H155">
        <v>8158</v>
      </c>
      <c r="I155">
        <v>5702</v>
      </c>
      <c r="J155">
        <v>2456</v>
      </c>
      <c r="K155" t="s">
        <v>31</v>
      </c>
      <c r="L155" t="s">
        <v>23</v>
      </c>
      <c r="M155">
        <v>11</v>
      </c>
      <c r="N155" t="s">
        <v>116</v>
      </c>
      <c r="O155" s="6">
        <f t="shared" ca="1" si="2"/>
        <v>45786</v>
      </c>
      <c r="P155">
        <v>3.5</v>
      </c>
    </row>
    <row r="156" spans="1:16" x14ac:dyDescent="0.3">
      <c r="A156" t="s">
        <v>344</v>
      </c>
      <c r="B156" t="s">
        <v>336</v>
      </c>
      <c r="C156" t="s">
        <v>129</v>
      </c>
      <c r="D156">
        <v>58</v>
      </c>
      <c r="E156" t="s">
        <v>44</v>
      </c>
      <c r="F156" t="s">
        <v>20</v>
      </c>
      <c r="G156" t="s">
        <v>126</v>
      </c>
      <c r="H156">
        <v>8653</v>
      </c>
      <c r="I156">
        <v>5896</v>
      </c>
      <c r="J156">
        <v>2757</v>
      </c>
      <c r="K156" t="s">
        <v>22</v>
      </c>
      <c r="L156" t="s">
        <v>32</v>
      </c>
      <c r="M156">
        <v>10</v>
      </c>
      <c r="N156" t="s">
        <v>95</v>
      </c>
      <c r="O156" s="6">
        <f t="shared" ca="1" si="2"/>
        <v>45686</v>
      </c>
      <c r="P156">
        <v>3.6</v>
      </c>
    </row>
    <row r="157" spans="1:16" x14ac:dyDescent="0.3">
      <c r="A157" t="s">
        <v>345</v>
      </c>
      <c r="B157" t="s">
        <v>346</v>
      </c>
      <c r="C157" t="s">
        <v>36</v>
      </c>
      <c r="D157">
        <v>62</v>
      </c>
      <c r="E157" t="s">
        <v>44</v>
      </c>
      <c r="F157" t="s">
        <v>45</v>
      </c>
      <c r="G157" t="s">
        <v>30</v>
      </c>
      <c r="H157">
        <v>9325</v>
      </c>
      <c r="I157">
        <v>6782</v>
      </c>
      <c r="J157">
        <v>2543</v>
      </c>
      <c r="K157" t="s">
        <v>31</v>
      </c>
      <c r="L157" t="s">
        <v>47</v>
      </c>
      <c r="M157">
        <v>11</v>
      </c>
      <c r="N157" t="s">
        <v>24</v>
      </c>
      <c r="O157" s="6">
        <f t="shared" ca="1" si="2"/>
        <v>45723</v>
      </c>
      <c r="P157">
        <v>3.8</v>
      </c>
    </row>
    <row r="158" spans="1:16" x14ac:dyDescent="0.3">
      <c r="A158" t="s">
        <v>347</v>
      </c>
      <c r="B158" t="s">
        <v>348</v>
      </c>
      <c r="C158" t="s">
        <v>18</v>
      </c>
      <c r="D158">
        <v>51</v>
      </c>
      <c r="E158" t="s">
        <v>19</v>
      </c>
      <c r="F158" t="s">
        <v>64</v>
      </c>
      <c r="G158" t="s">
        <v>39</v>
      </c>
      <c r="H158">
        <v>4713</v>
      </c>
      <c r="I158">
        <v>4215</v>
      </c>
      <c r="J158">
        <v>498</v>
      </c>
      <c r="K158" t="s">
        <v>88</v>
      </c>
      <c r="L158" t="s">
        <v>32</v>
      </c>
      <c r="M158">
        <v>3</v>
      </c>
      <c r="N158" t="s">
        <v>69</v>
      </c>
      <c r="O158" s="6">
        <f t="shared" ca="1" si="2"/>
        <v>46004</v>
      </c>
      <c r="P158">
        <v>3.9</v>
      </c>
    </row>
    <row r="159" spans="1:16" x14ac:dyDescent="0.3">
      <c r="A159" t="s">
        <v>349</v>
      </c>
      <c r="B159" t="s">
        <v>350</v>
      </c>
      <c r="C159" t="s">
        <v>43</v>
      </c>
      <c r="D159">
        <v>59</v>
      </c>
      <c r="E159" t="s">
        <v>78</v>
      </c>
      <c r="F159" t="s">
        <v>38</v>
      </c>
      <c r="G159" t="s">
        <v>58</v>
      </c>
      <c r="H159">
        <v>8128</v>
      </c>
      <c r="I159">
        <v>6514</v>
      </c>
      <c r="J159">
        <v>1614</v>
      </c>
      <c r="K159" t="s">
        <v>31</v>
      </c>
      <c r="L159" t="s">
        <v>32</v>
      </c>
      <c r="M159">
        <v>1</v>
      </c>
      <c r="N159" t="s">
        <v>40</v>
      </c>
      <c r="O159" s="6">
        <f t="shared" ca="1" si="2"/>
        <v>45915</v>
      </c>
      <c r="P159">
        <v>1.8</v>
      </c>
    </row>
    <row r="160" spans="1:16" x14ac:dyDescent="0.3">
      <c r="A160" t="s">
        <v>351</v>
      </c>
      <c r="B160" t="s">
        <v>352</v>
      </c>
      <c r="C160" t="s">
        <v>43</v>
      </c>
      <c r="D160">
        <v>36</v>
      </c>
      <c r="E160" t="s">
        <v>63</v>
      </c>
      <c r="F160" t="s">
        <v>98</v>
      </c>
      <c r="G160" t="s">
        <v>39</v>
      </c>
      <c r="H160">
        <v>5398</v>
      </c>
      <c r="I160">
        <v>4183</v>
      </c>
      <c r="J160">
        <v>1215</v>
      </c>
      <c r="K160" t="s">
        <v>31</v>
      </c>
      <c r="L160" t="s">
        <v>32</v>
      </c>
      <c r="M160">
        <v>1</v>
      </c>
      <c r="N160" t="s">
        <v>116</v>
      </c>
      <c r="O160" s="6">
        <f t="shared" ca="1" si="2"/>
        <v>46008</v>
      </c>
      <c r="P160">
        <v>4.8</v>
      </c>
    </row>
    <row r="161" spans="1:16" x14ac:dyDescent="0.3">
      <c r="A161" t="s">
        <v>353</v>
      </c>
      <c r="B161" t="s">
        <v>354</v>
      </c>
      <c r="C161" t="s">
        <v>129</v>
      </c>
      <c r="D161">
        <v>41</v>
      </c>
      <c r="E161" t="s">
        <v>44</v>
      </c>
      <c r="F161" t="s">
        <v>38</v>
      </c>
      <c r="G161" t="s">
        <v>30</v>
      </c>
      <c r="H161">
        <v>7603</v>
      </c>
      <c r="I161">
        <v>6751</v>
      </c>
      <c r="J161">
        <v>852</v>
      </c>
      <c r="K161" t="s">
        <v>68</v>
      </c>
      <c r="L161" t="s">
        <v>23</v>
      </c>
      <c r="M161">
        <v>9</v>
      </c>
      <c r="N161" t="s">
        <v>69</v>
      </c>
      <c r="O161" s="6">
        <f t="shared" ca="1" si="2"/>
        <v>45735</v>
      </c>
      <c r="P161">
        <v>3.5</v>
      </c>
    </row>
    <row r="162" spans="1:16" x14ac:dyDescent="0.3">
      <c r="A162" t="s">
        <v>355</v>
      </c>
      <c r="B162" t="s">
        <v>223</v>
      </c>
      <c r="C162" t="s">
        <v>77</v>
      </c>
      <c r="D162">
        <v>46</v>
      </c>
      <c r="E162" t="s">
        <v>82</v>
      </c>
      <c r="F162" t="s">
        <v>91</v>
      </c>
      <c r="G162" t="s">
        <v>30</v>
      </c>
      <c r="H162">
        <v>4851</v>
      </c>
      <c r="I162">
        <v>2262</v>
      </c>
      <c r="J162">
        <v>2589</v>
      </c>
      <c r="K162" t="s">
        <v>31</v>
      </c>
      <c r="L162" t="s">
        <v>47</v>
      </c>
      <c r="M162">
        <v>1</v>
      </c>
      <c r="N162" t="s">
        <v>116</v>
      </c>
      <c r="O162" s="6">
        <f t="shared" ca="1" si="2"/>
        <v>45661</v>
      </c>
      <c r="P162">
        <v>4.5</v>
      </c>
    </row>
    <row r="163" spans="1:16" x14ac:dyDescent="0.3">
      <c r="A163" t="s">
        <v>356</v>
      </c>
      <c r="B163" t="s">
        <v>357</v>
      </c>
      <c r="C163" t="s">
        <v>27</v>
      </c>
      <c r="D163">
        <v>21</v>
      </c>
      <c r="E163" t="s">
        <v>87</v>
      </c>
      <c r="F163" t="s">
        <v>64</v>
      </c>
      <c r="G163" t="s">
        <v>126</v>
      </c>
      <c r="H163">
        <v>4364</v>
      </c>
      <c r="I163">
        <v>2666</v>
      </c>
      <c r="J163">
        <v>1698</v>
      </c>
      <c r="K163" t="s">
        <v>22</v>
      </c>
      <c r="L163" t="s">
        <v>23</v>
      </c>
      <c r="M163">
        <v>6</v>
      </c>
      <c r="N163" t="s">
        <v>24</v>
      </c>
      <c r="O163" s="6">
        <f t="shared" ca="1" si="2"/>
        <v>46007</v>
      </c>
      <c r="P163">
        <v>3.7</v>
      </c>
    </row>
    <row r="164" spans="1:16" x14ac:dyDescent="0.3">
      <c r="A164" t="s">
        <v>358</v>
      </c>
      <c r="B164" t="s">
        <v>359</v>
      </c>
      <c r="C164" t="s">
        <v>62</v>
      </c>
      <c r="D164">
        <v>44</v>
      </c>
      <c r="E164" t="s">
        <v>82</v>
      </c>
      <c r="F164" t="s">
        <v>45</v>
      </c>
      <c r="G164" t="s">
        <v>21</v>
      </c>
      <c r="H164">
        <v>5929</v>
      </c>
      <c r="I164">
        <v>3664</v>
      </c>
      <c r="J164">
        <v>2265</v>
      </c>
      <c r="K164" t="s">
        <v>31</v>
      </c>
      <c r="L164" t="s">
        <v>23</v>
      </c>
      <c r="M164">
        <v>9</v>
      </c>
      <c r="N164" t="s">
        <v>116</v>
      </c>
      <c r="O164" s="6">
        <f t="shared" ca="1" si="2"/>
        <v>45943</v>
      </c>
      <c r="P164">
        <v>4.5999999999999996</v>
      </c>
    </row>
    <row r="165" spans="1:16" x14ac:dyDescent="0.3">
      <c r="A165" t="s">
        <v>360</v>
      </c>
      <c r="B165" t="s">
        <v>361</v>
      </c>
      <c r="C165" t="s">
        <v>77</v>
      </c>
      <c r="D165">
        <v>46</v>
      </c>
      <c r="E165" t="s">
        <v>57</v>
      </c>
      <c r="F165" t="s">
        <v>38</v>
      </c>
      <c r="G165" t="s">
        <v>92</v>
      </c>
      <c r="H165">
        <v>4285</v>
      </c>
      <c r="I165">
        <v>3495</v>
      </c>
      <c r="J165">
        <v>790</v>
      </c>
      <c r="K165" t="s">
        <v>22</v>
      </c>
      <c r="L165" t="s">
        <v>32</v>
      </c>
      <c r="M165">
        <v>9</v>
      </c>
      <c r="N165" t="s">
        <v>48</v>
      </c>
      <c r="O165" s="6">
        <f t="shared" ca="1" si="2"/>
        <v>45758</v>
      </c>
      <c r="P165">
        <v>3.6</v>
      </c>
    </row>
    <row r="166" spans="1:16" x14ac:dyDescent="0.3">
      <c r="A166" t="s">
        <v>362</v>
      </c>
      <c r="B166" t="s">
        <v>291</v>
      </c>
      <c r="C166" t="s">
        <v>129</v>
      </c>
      <c r="D166">
        <v>42</v>
      </c>
      <c r="E166" t="s">
        <v>63</v>
      </c>
      <c r="F166" t="s">
        <v>29</v>
      </c>
      <c r="G166" t="s">
        <v>104</v>
      </c>
      <c r="H166">
        <v>4403</v>
      </c>
      <c r="I166">
        <v>1720</v>
      </c>
      <c r="J166">
        <v>2683</v>
      </c>
      <c r="K166" t="s">
        <v>31</v>
      </c>
      <c r="L166" t="s">
        <v>23</v>
      </c>
      <c r="M166">
        <v>1</v>
      </c>
      <c r="N166" t="s">
        <v>40</v>
      </c>
      <c r="O166" s="6">
        <f t="shared" ca="1" si="2"/>
        <v>45949</v>
      </c>
      <c r="P166">
        <v>1.8</v>
      </c>
    </row>
    <row r="167" spans="1:16" x14ac:dyDescent="0.3">
      <c r="A167" t="s">
        <v>363</v>
      </c>
      <c r="B167" t="s">
        <v>364</v>
      </c>
      <c r="C167" t="s">
        <v>103</v>
      </c>
      <c r="D167">
        <v>60</v>
      </c>
      <c r="E167" t="s">
        <v>72</v>
      </c>
      <c r="F167" t="s">
        <v>67</v>
      </c>
      <c r="G167" t="s">
        <v>58</v>
      </c>
      <c r="H167">
        <v>6942</v>
      </c>
      <c r="I167">
        <v>4655</v>
      </c>
      <c r="J167">
        <v>2287</v>
      </c>
      <c r="K167" t="s">
        <v>88</v>
      </c>
      <c r="L167" t="s">
        <v>23</v>
      </c>
      <c r="M167">
        <v>12</v>
      </c>
      <c r="N167" t="s">
        <v>118</v>
      </c>
      <c r="O167" s="6">
        <f t="shared" ca="1" si="2"/>
        <v>45727</v>
      </c>
      <c r="P167">
        <v>4.0999999999999996</v>
      </c>
    </row>
    <row r="168" spans="1:16" x14ac:dyDescent="0.3">
      <c r="A168" t="s">
        <v>365</v>
      </c>
      <c r="B168" t="s">
        <v>338</v>
      </c>
      <c r="C168" t="s">
        <v>43</v>
      </c>
      <c r="D168">
        <v>64</v>
      </c>
      <c r="E168" t="s">
        <v>87</v>
      </c>
      <c r="F168" t="s">
        <v>64</v>
      </c>
      <c r="G168" t="s">
        <v>79</v>
      </c>
      <c r="H168">
        <v>5797</v>
      </c>
      <c r="I168">
        <v>3020</v>
      </c>
      <c r="J168">
        <v>2777</v>
      </c>
      <c r="K168" t="s">
        <v>31</v>
      </c>
      <c r="L168" t="s">
        <v>32</v>
      </c>
      <c r="M168">
        <v>8</v>
      </c>
      <c r="N168" t="s">
        <v>116</v>
      </c>
      <c r="O168" s="6">
        <f t="shared" ca="1" si="2"/>
        <v>45888</v>
      </c>
      <c r="P168">
        <v>3.3</v>
      </c>
    </row>
    <row r="169" spans="1:16" x14ac:dyDescent="0.3">
      <c r="A169" t="s">
        <v>366</v>
      </c>
      <c r="B169" t="s">
        <v>367</v>
      </c>
      <c r="C169" t="s">
        <v>36</v>
      </c>
      <c r="D169">
        <v>58</v>
      </c>
      <c r="E169" t="s">
        <v>63</v>
      </c>
      <c r="F169" t="s">
        <v>20</v>
      </c>
      <c r="G169" t="s">
        <v>92</v>
      </c>
      <c r="H169">
        <v>8390</v>
      </c>
      <c r="I169">
        <v>5652</v>
      </c>
      <c r="J169">
        <v>2738</v>
      </c>
      <c r="K169" t="s">
        <v>59</v>
      </c>
      <c r="L169" t="s">
        <v>47</v>
      </c>
      <c r="M169">
        <v>7</v>
      </c>
      <c r="N169" t="s">
        <v>193</v>
      </c>
      <c r="O169" s="6">
        <f t="shared" ca="1" si="2"/>
        <v>45993</v>
      </c>
      <c r="P169">
        <v>3.4</v>
      </c>
    </row>
    <row r="170" spans="1:16" x14ac:dyDescent="0.3">
      <c r="A170" t="s">
        <v>368</v>
      </c>
      <c r="B170" t="s">
        <v>369</v>
      </c>
      <c r="C170" t="s">
        <v>77</v>
      </c>
      <c r="D170">
        <v>33</v>
      </c>
      <c r="E170" t="s">
        <v>28</v>
      </c>
      <c r="F170" t="s">
        <v>91</v>
      </c>
      <c r="G170" t="s">
        <v>58</v>
      </c>
      <c r="H170">
        <v>4750</v>
      </c>
      <c r="I170">
        <v>3930</v>
      </c>
      <c r="J170">
        <v>820</v>
      </c>
      <c r="K170" t="s">
        <v>31</v>
      </c>
      <c r="L170" t="s">
        <v>23</v>
      </c>
      <c r="M170">
        <v>4</v>
      </c>
      <c r="N170" t="s">
        <v>48</v>
      </c>
      <c r="O170" s="6">
        <f t="shared" ca="1" si="2"/>
        <v>45769</v>
      </c>
      <c r="P170">
        <v>4.3</v>
      </c>
    </row>
    <row r="171" spans="1:16" x14ac:dyDescent="0.3">
      <c r="A171" t="s">
        <v>370</v>
      </c>
      <c r="B171" t="s">
        <v>371</v>
      </c>
      <c r="C171" t="s">
        <v>36</v>
      </c>
      <c r="D171">
        <v>29</v>
      </c>
      <c r="E171" t="s">
        <v>82</v>
      </c>
      <c r="F171" t="s">
        <v>52</v>
      </c>
      <c r="G171" t="s">
        <v>92</v>
      </c>
      <c r="H171">
        <v>6074</v>
      </c>
      <c r="I171">
        <v>3162</v>
      </c>
      <c r="J171">
        <v>2912</v>
      </c>
      <c r="K171" t="s">
        <v>88</v>
      </c>
      <c r="L171" t="s">
        <v>32</v>
      </c>
      <c r="M171">
        <v>7</v>
      </c>
      <c r="N171" t="s">
        <v>95</v>
      </c>
      <c r="O171" s="6">
        <f t="shared" ca="1" si="2"/>
        <v>45703</v>
      </c>
      <c r="P171">
        <v>4.9000000000000004</v>
      </c>
    </row>
    <row r="172" spans="1:16" x14ac:dyDescent="0.3">
      <c r="A172" t="s">
        <v>372</v>
      </c>
      <c r="B172" t="s">
        <v>270</v>
      </c>
      <c r="C172" t="s">
        <v>27</v>
      </c>
      <c r="D172">
        <v>43</v>
      </c>
      <c r="E172" t="s">
        <v>72</v>
      </c>
      <c r="F172" t="s">
        <v>67</v>
      </c>
      <c r="G172" t="s">
        <v>104</v>
      </c>
      <c r="H172">
        <v>3284</v>
      </c>
      <c r="I172">
        <v>2075</v>
      </c>
      <c r="J172">
        <v>1209</v>
      </c>
      <c r="K172" t="s">
        <v>68</v>
      </c>
      <c r="L172" t="s">
        <v>23</v>
      </c>
      <c r="M172">
        <v>5</v>
      </c>
      <c r="N172" t="s">
        <v>33</v>
      </c>
      <c r="O172" s="6">
        <f t="shared" ca="1" si="2"/>
        <v>45850</v>
      </c>
      <c r="P172">
        <v>4.2</v>
      </c>
    </row>
    <row r="173" spans="1:16" x14ac:dyDescent="0.3">
      <c r="A173" t="s">
        <v>373</v>
      </c>
      <c r="B173" t="s">
        <v>94</v>
      </c>
      <c r="C173" t="s">
        <v>56</v>
      </c>
      <c r="D173">
        <v>41</v>
      </c>
      <c r="E173" t="s">
        <v>63</v>
      </c>
      <c r="F173" t="s">
        <v>38</v>
      </c>
      <c r="G173" t="s">
        <v>92</v>
      </c>
      <c r="H173">
        <v>7731</v>
      </c>
      <c r="I173">
        <v>6411</v>
      </c>
      <c r="J173">
        <v>1320</v>
      </c>
      <c r="K173" t="s">
        <v>88</v>
      </c>
      <c r="L173" t="s">
        <v>32</v>
      </c>
      <c r="M173">
        <v>10</v>
      </c>
      <c r="N173" t="s">
        <v>74</v>
      </c>
      <c r="O173" s="6">
        <f t="shared" ca="1" si="2"/>
        <v>45894</v>
      </c>
      <c r="P173">
        <v>3.7</v>
      </c>
    </row>
    <row r="174" spans="1:16" x14ac:dyDescent="0.3">
      <c r="A174" t="s">
        <v>374</v>
      </c>
      <c r="B174" t="s">
        <v>375</v>
      </c>
      <c r="C174" t="s">
        <v>129</v>
      </c>
      <c r="D174">
        <v>39</v>
      </c>
      <c r="E174" t="s">
        <v>28</v>
      </c>
      <c r="F174" t="s">
        <v>45</v>
      </c>
      <c r="G174" t="s">
        <v>21</v>
      </c>
      <c r="H174">
        <v>5348</v>
      </c>
      <c r="I174">
        <v>3337</v>
      </c>
      <c r="J174">
        <v>2011</v>
      </c>
      <c r="K174" t="s">
        <v>59</v>
      </c>
      <c r="L174" t="s">
        <v>23</v>
      </c>
      <c r="M174">
        <v>12</v>
      </c>
      <c r="N174" t="s">
        <v>69</v>
      </c>
      <c r="O174" s="6">
        <f t="shared" ca="1" si="2"/>
        <v>45858</v>
      </c>
      <c r="P174">
        <v>4.2</v>
      </c>
    </row>
    <row r="175" spans="1:16" x14ac:dyDescent="0.3">
      <c r="A175" t="s">
        <v>376</v>
      </c>
      <c r="B175" t="s">
        <v>191</v>
      </c>
      <c r="C175" t="s">
        <v>27</v>
      </c>
      <c r="D175">
        <v>65</v>
      </c>
      <c r="E175" t="s">
        <v>72</v>
      </c>
      <c r="F175" t="s">
        <v>20</v>
      </c>
      <c r="G175" t="s">
        <v>21</v>
      </c>
      <c r="H175">
        <v>8146</v>
      </c>
      <c r="I175">
        <v>5543</v>
      </c>
      <c r="J175">
        <v>2603</v>
      </c>
      <c r="K175" t="s">
        <v>59</v>
      </c>
      <c r="L175" t="s">
        <v>32</v>
      </c>
      <c r="M175">
        <v>1</v>
      </c>
      <c r="N175" t="s">
        <v>74</v>
      </c>
      <c r="O175" s="6">
        <f t="shared" ca="1" si="2"/>
        <v>45732</v>
      </c>
      <c r="P175">
        <v>3</v>
      </c>
    </row>
    <row r="176" spans="1:16" x14ac:dyDescent="0.3">
      <c r="A176" t="s">
        <v>377</v>
      </c>
      <c r="B176" t="s">
        <v>378</v>
      </c>
      <c r="C176" t="s">
        <v>103</v>
      </c>
      <c r="D176">
        <v>42</v>
      </c>
      <c r="E176" t="s">
        <v>63</v>
      </c>
      <c r="F176" t="s">
        <v>98</v>
      </c>
      <c r="G176" t="s">
        <v>126</v>
      </c>
      <c r="H176">
        <v>2996</v>
      </c>
      <c r="I176">
        <v>542</v>
      </c>
      <c r="J176">
        <v>2454</v>
      </c>
      <c r="K176" t="s">
        <v>88</v>
      </c>
      <c r="L176" t="s">
        <v>23</v>
      </c>
      <c r="M176">
        <v>1</v>
      </c>
      <c r="N176" t="s">
        <v>40</v>
      </c>
      <c r="O176" s="6">
        <f t="shared" ca="1" si="2"/>
        <v>45751</v>
      </c>
      <c r="P176">
        <v>2.4</v>
      </c>
    </row>
    <row r="177" spans="1:16" x14ac:dyDescent="0.3">
      <c r="A177" t="s">
        <v>379</v>
      </c>
      <c r="B177" t="s">
        <v>380</v>
      </c>
      <c r="C177" t="s">
        <v>62</v>
      </c>
      <c r="D177">
        <v>39</v>
      </c>
      <c r="E177" t="s">
        <v>57</v>
      </c>
      <c r="F177" t="s">
        <v>45</v>
      </c>
      <c r="G177" t="s">
        <v>46</v>
      </c>
      <c r="H177">
        <v>7363</v>
      </c>
      <c r="I177">
        <v>6797</v>
      </c>
      <c r="J177">
        <v>566</v>
      </c>
      <c r="K177" t="s">
        <v>59</v>
      </c>
      <c r="L177" t="s">
        <v>23</v>
      </c>
      <c r="M177">
        <v>4</v>
      </c>
      <c r="N177" t="s">
        <v>74</v>
      </c>
      <c r="O177" s="6">
        <f t="shared" ca="1" si="2"/>
        <v>45667</v>
      </c>
      <c r="P177">
        <v>4.5999999999999996</v>
      </c>
    </row>
    <row r="178" spans="1:16" x14ac:dyDescent="0.3">
      <c r="A178" t="s">
        <v>381</v>
      </c>
      <c r="B178" t="s">
        <v>151</v>
      </c>
      <c r="C178" t="s">
        <v>129</v>
      </c>
      <c r="D178">
        <v>23</v>
      </c>
      <c r="E178" t="s">
        <v>37</v>
      </c>
      <c r="F178" t="s">
        <v>91</v>
      </c>
      <c r="G178" t="s">
        <v>126</v>
      </c>
      <c r="H178">
        <v>8020</v>
      </c>
      <c r="I178">
        <v>6635</v>
      </c>
      <c r="J178">
        <v>1385</v>
      </c>
      <c r="K178" t="s">
        <v>31</v>
      </c>
      <c r="L178" t="s">
        <v>32</v>
      </c>
      <c r="M178">
        <v>0</v>
      </c>
      <c r="N178" t="s">
        <v>40</v>
      </c>
      <c r="O178" s="6">
        <f t="shared" ca="1" si="2"/>
        <v>45985</v>
      </c>
      <c r="P178">
        <v>1.2</v>
      </c>
    </row>
    <row r="179" spans="1:16" x14ac:dyDescent="0.3">
      <c r="A179" t="s">
        <v>382</v>
      </c>
      <c r="B179" t="s">
        <v>274</v>
      </c>
      <c r="C179" t="s">
        <v>43</v>
      </c>
      <c r="D179">
        <v>39</v>
      </c>
      <c r="E179" t="s">
        <v>63</v>
      </c>
      <c r="F179" t="s">
        <v>29</v>
      </c>
      <c r="G179" t="s">
        <v>92</v>
      </c>
      <c r="H179">
        <v>5295</v>
      </c>
      <c r="I179">
        <v>4546</v>
      </c>
      <c r="J179">
        <v>749</v>
      </c>
      <c r="K179" t="s">
        <v>59</v>
      </c>
      <c r="L179" t="s">
        <v>47</v>
      </c>
      <c r="M179">
        <v>3</v>
      </c>
      <c r="N179" t="s">
        <v>40</v>
      </c>
      <c r="O179" s="6">
        <f t="shared" ca="1" si="2"/>
        <v>46013</v>
      </c>
      <c r="P179">
        <v>2.4</v>
      </c>
    </row>
    <row r="180" spans="1:16" x14ac:dyDescent="0.3">
      <c r="A180" t="s">
        <v>383</v>
      </c>
      <c r="B180" t="s">
        <v>264</v>
      </c>
      <c r="C180" t="s">
        <v>129</v>
      </c>
      <c r="D180">
        <v>50</v>
      </c>
      <c r="E180" t="s">
        <v>72</v>
      </c>
      <c r="F180" t="s">
        <v>20</v>
      </c>
      <c r="G180" t="s">
        <v>46</v>
      </c>
      <c r="H180">
        <v>8114</v>
      </c>
      <c r="I180">
        <v>6534</v>
      </c>
      <c r="J180">
        <v>1580</v>
      </c>
      <c r="K180" t="s">
        <v>31</v>
      </c>
      <c r="L180" t="s">
        <v>23</v>
      </c>
      <c r="M180">
        <v>10</v>
      </c>
      <c r="N180" t="s">
        <v>33</v>
      </c>
      <c r="O180" s="6">
        <f t="shared" ca="1" si="2"/>
        <v>45970</v>
      </c>
      <c r="P180">
        <v>4.8</v>
      </c>
    </row>
    <row r="181" spans="1:16" x14ac:dyDescent="0.3">
      <c r="A181" t="s">
        <v>384</v>
      </c>
      <c r="B181" t="s">
        <v>316</v>
      </c>
      <c r="C181" t="s">
        <v>103</v>
      </c>
      <c r="D181">
        <v>53</v>
      </c>
      <c r="E181" t="s">
        <v>57</v>
      </c>
      <c r="F181" t="s">
        <v>98</v>
      </c>
      <c r="G181" t="s">
        <v>73</v>
      </c>
      <c r="H181">
        <v>6572</v>
      </c>
      <c r="I181">
        <v>5982</v>
      </c>
      <c r="J181">
        <v>590</v>
      </c>
      <c r="K181" t="s">
        <v>59</v>
      </c>
      <c r="L181" t="s">
        <v>23</v>
      </c>
      <c r="M181">
        <v>3</v>
      </c>
      <c r="N181" t="s">
        <v>69</v>
      </c>
      <c r="O181" s="6">
        <f t="shared" ca="1" si="2"/>
        <v>45698</v>
      </c>
      <c r="P181">
        <v>4.5</v>
      </c>
    </row>
    <row r="182" spans="1:16" x14ac:dyDescent="0.3">
      <c r="A182" t="s">
        <v>385</v>
      </c>
      <c r="B182" t="s">
        <v>386</v>
      </c>
      <c r="C182" t="s">
        <v>103</v>
      </c>
      <c r="D182">
        <v>36</v>
      </c>
      <c r="E182" t="s">
        <v>63</v>
      </c>
      <c r="F182" t="s">
        <v>45</v>
      </c>
      <c r="G182" t="s">
        <v>58</v>
      </c>
      <c r="H182">
        <v>5558</v>
      </c>
      <c r="I182">
        <v>2973</v>
      </c>
      <c r="J182">
        <v>2585</v>
      </c>
      <c r="K182" t="s">
        <v>68</v>
      </c>
      <c r="L182" t="s">
        <v>32</v>
      </c>
      <c r="M182">
        <v>1</v>
      </c>
      <c r="N182" t="s">
        <v>116</v>
      </c>
      <c r="O182" s="6">
        <f t="shared" ca="1" si="2"/>
        <v>45727</v>
      </c>
      <c r="P182">
        <v>4.0999999999999996</v>
      </c>
    </row>
    <row r="183" spans="1:16" x14ac:dyDescent="0.3">
      <c r="A183" t="s">
        <v>387</v>
      </c>
      <c r="B183" t="s">
        <v>388</v>
      </c>
      <c r="C183" t="s">
        <v>77</v>
      </c>
      <c r="D183">
        <v>50</v>
      </c>
      <c r="E183" t="s">
        <v>72</v>
      </c>
      <c r="F183" t="s">
        <v>20</v>
      </c>
      <c r="G183" t="s">
        <v>73</v>
      </c>
      <c r="H183">
        <v>8378</v>
      </c>
      <c r="I183">
        <v>6120</v>
      </c>
      <c r="J183">
        <v>2258</v>
      </c>
      <c r="K183" t="s">
        <v>22</v>
      </c>
      <c r="L183" t="s">
        <v>32</v>
      </c>
      <c r="M183">
        <v>5</v>
      </c>
      <c r="N183" t="s">
        <v>40</v>
      </c>
      <c r="O183" s="6">
        <f t="shared" ca="1" si="2"/>
        <v>45740</v>
      </c>
      <c r="P183">
        <v>2.2999999999999998</v>
      </c>
    </row>
    <row r="184" spans="1:16" x14ac:dyDescent="0.3">
      <c r="A184" t="s">
        <v>389</v>
      </c>
      <c r="B184" t="s">
        <v>390</v>
      </c>
      <c r="C184" t="s">
        <v>51</v>
      </c>
      <c r="D184">
        <v>35</v>
      </c>
      <c r="E184" t="s">
        <v>19</v>
      </c>
      <c r="F184" t="s">
        <v>20</v>
      </c>
      <c r="G184" t="s">
        <v>104</v>
      </c>
      <c r="H184">
        <v>3817</v>
      </c>
      <c r="I184">
        <v>1754</v>
      </c>
      <c r="J184">
        <v>2063</v>
      </c>
      <c r="K184" t="s">
        <v>31</v>
      </c>
      <c r="L184" t="s">
        <v>32</v>
      </c>
      <c r="M184">
        <v>10</v>
      </c>
      <c r="N184" t="s">
        <v>95</v>
      </c>
      <c r="O184" s="6">
        <f t="shared" ca="1" si="2"/>
        <v>45979</v>
      </c>
      <c r="P184">
        <v>4</v>
      </c>
    </row>
    <row r="185" spans="1:16" x14ac:dyDescent="0.3">
      <c r="A185" t="s">
        <v>391</v>
      </c>
      <c r="B185" t="s">
        <v>392</v>
      </c>
      <c r="C185" t="s">
        <v>27</v>
      </c>
      <c r="D185">
        <v>63</v>
      </c>
      <c r="E185" t="s">
        <v>19</v>
      </c>
      <c r="F185" t="s">
        <v>52</v>
      </c>
      <c r="G185" t="s">
        <v>79</v>
      </c>
      <c r="H185">
        <v>7485</v>
      </c>
      <c r="I185">
        <v>6950</v>
      </c>
      <c r="J185">
        <v>535</v>
      </c>
      <c r="K185" t="s">
        <v>31</v>
      </c>
      <c r="L185" t="s">
        <v>23</v>
      </c>
      <c r="M185">
        <v>9</v>
      </c>
      <c r="N185" t="s">
        <v>95</v>
      </c>
      <c r="O185" s="6">
        <f t="shared" ca="1" si="2"/>
        <v>45671</v>
      </c>
      <c r="P185">
        <v>3.7</v>
      </c>
    </row>
    <row r="186" spans="1:16" x14ac:dyDescent="0.3">
      <c r="A186" t="s">
        <v>393</v>
      </c>
      <c r="B186" t="s">
        <v>17</v>
      </c>
      <c r="C186" t="s">
        <v>27</v>
      </c>
      <c r="D186">
        <v>53</v>
      </c>
      <c r="E186" t="s">
        <v>19</v>
      </c>
      <c r="F186" t="s">
        <v>67</v>
      </c>
      <c r="G186" t="s">
        <v>92</v>
      </c>
      <c r="H186">
        <v>2600</v>
      </c>
      <c r="I186">
        <v>1727</v>
      </c>
      <c r="J186">
        <v>873</v>
      </c>
      <c r="K186" t="s">
        <v>59</v>
      </c>
      <c r="L186" t="s">
        <v>32</v>
      </c>
      <c r="M186">
        <v>9</v>
      </c>
      <c r="N186" t="s">
        <v>69</v>
      </c>
      <c r="O186" s="6">
        <f t="shared" ca="1" si="2"/>
        <v>45736</v>
      </c>
      <c r="P186">
        <v>3.4</v>
      </c>
    </row>
    <row r="187" spans="1:16" x14ac:dyDescent="0.3">
      <c r="A187" t="s">
        <v>394</v>
      </c>
      <c r="B187" t="s">
        <v>304</v>
      </c>
      <c r="C187" t="s">
        <v>77</v>
      </c>
      <c r="D187">
        <v>53</v>
      </c>
      <c r="E187" t="s">
        <v>63</v>
      </c>
      <c r="F187" t="s">
        <v>136</v>
      </c>
      <c r="G187" t="s">
        <v>104</v>
      </c>
      <c r="H187">
        <v>3882</v>
      </c>
      <c r="I187">
        <v>1580</v>
      </c>
      <c r="J187">
        <v>2302</v>
      </c>
      <c r="K187" t="s">
        <v>88</v>
      </c>
      <c r="L187" t="s">
        <v>23</v>
      </c>
      <c r="M187">
        <v>10</v>
      </c>
      <c r="N187" t="s">
        <v>24</v>
      </c>
      <c r="O187" s="6">
        <f t="shared" ca="1" si="2"/>
        <v>45770</v>
      </c>
      <c r="P187">
        <v>3.3</v>
      </c>
    </row>
    <row r="188" spans="1:16" x14ac:dyDescent="0.3">
      <c r="A188" t="s">
        <v>395</v>
      </c>
      <c r="B188" t="s">
        <v>396</v>
      </c>
      <c r="C188" t="s">
        <v>36</v>
      </c>
      <c r="D188">
        <v>46</v>
      </c>
      <c r="E188" t="s">
        <v>72</v>
      </c>
      <c r="F188" t="s">
        <v>136</v>
      </c>
      <c r="G188" t="s">
        <v>30</v>
      </c>
      <c r="H188">
        <v>5736</v>
      </c>
      <c r="I188">
        <v>5237</v>
      </c>
      <c r="J188">
        <v>499</v>
      </c>
      <c r="K188" t="s">
        <v>22</v>
      </c>
      <c r="L188" t="s">
        <v>47</v>
      </c>
      <c r="M188">
        <v>6</v>
      </c>
      <c r="N188" t="s">
        <v>53</v>
      </c>
      <c r="O188" s="6">
        <f t="shared" ca="1" si="2"/>
        <v>45808</v>
      </c>
      <c r="P188">
        <v>4.0999999999999996</v>
      </c>
    </row>
    <row r="189" spans="1:16" x14ac:dyDescent="0.3">
      <c r="A189" t="s">
        <v>397</v>
      </c>
      <c r="B189" t="s">
        <v>128</v>
      </c>
      <c r="C189" t="s">
        <v>56</v>
      </c>
      <c r="D189">
        <v>23</v>
      </c>
      <c r="E189" t="s">
        <v>72</v>
      </c>
      <c r="F189" t="s">
        <v>64</v>
      </c>
      <c r="G189" t="s">
        <v>126</v>
      </c>
      <c r="H189">
        <v>7553</v>
      </c>
      <c r="I189">
        <v>6799</v>
      </c>
      <c r="J189">
        <v>754</v>
      </c>
      <c r="K189" t="s">
        <v>88</v>
      </c>
      <c r="L189" t="s">
        <v>47</v>
      </c>
      <c r="M189">
        <v>12</v>
      </c>
      <c r="N189" t="s">
        <v>48</v>
      </c>
      <c r="O189" s="6">
        <f t="shared" ca="1" si="2"/>
        <v>45659</v>
      </c>
      <c r="P189">
        <v>4.7</v>
      </c>
    </row>
    <row r="190" spans="1:16" x14ac:dyDescent="0.3">
      <c r="A190" t="s">
        <v>398</v>
      </c>
      <c r="B190" t="s">
        <v>399</v>
      </c>
      <c r="C190" t="s">
        <v>103</v>
      </c>
      <c r="D190">
        <v>45</v>
      </c>
      <c r="E190" t="s">
        <v>87</v>
      </c>
      <c r="F190" t="s">
        <v>29</v>
      </c>
      <c r="G190" t="s">
        <v>126</v>
      </c>
      <c r="H190">
        <v>7477</v>
      </c>
      <c r="I190">
        <v>5853</v>
      </c>
      <c r="J190">
        <v>1624</v>
      </c>
      <c r="K190" t="s">
        <v>59</v>
      </c>
      <c r="L190" t="s">
        <v>23</v>
      </c>
      <c r="M190">
        <v>9</v>
      </c>
      <c r="N190" t="s">
        <v>48</v>
      </c>
      <c r="O190" s="6">
        <f t="shared" ca="1" si="2"/>
        <v>45768</v>
      </c>
      <c r="P190">
        <v>3.5</v>
      </c>
    </row>
    <row r="191" spans="1:16" x14ac:dyDescent="0.3">
      <c r="A191" t="s">
        <v>400</v>
      </c>
      <c r="B191" t="s">
        <v>401</v>
      </c>
      <c r="C191" t="s">
        <v>36</v>
      </c>
      <c r="D191">
        <v>22</v>
      </c>
      <c r="E191" t="s">
        <v>72</v>
      </c>
      <c r="F191" t="s">
        <v>91</v>
      </c>
      <c r="G191" t="s">
        <v>92</v>
      </c>
      <c r="H191">
        <v>6352</v>
      </c>
      <c r="I191">
        <v>3974</v>
      </c>
      <c r="J191">
        <v>2378</v>
      </c>
      <c r="K191" t="s">
        <v>68</v>
      </c>
      <c r="L191" t="s">
        <v>47</v>
      </c>
      <c r="M191">
        <v>4</v>
      </c>
      <c r="N191" t="s">
        <v>33</v>
      </c>
      <c r="O191" s="6">
        <f t="shared" ca="1" si="2"/>
        <v>45930</v>
      </c>
      <c r="P191">
        <v>4.5999999999999996</v>
      </c>
    </row>
    <row r="192" spans="1:16" x14ac:dyDescent="0.3">
      <c r="A192" t="s">
        <v>402</v>
      </c>
      <c r="B192" t="s">
        <v>403</v>
      </c>
      <c r="C192" t="s">
        <v>62</v>
      </c>
      <c r="D192">
        <v>28</v>
      </c>
      <c r="E192" t="s">
        <v>28</v>
      </c>
      <c r="F192" t="s">
        <v>64</v>
      </c>
      <c r="G192" t="s">
        <v>79</v>
      </c>
      <c r="H192">
        <v>7039</v>
      </c>
      <c r="I192">
        <v>6775</v>
      </c>
      <c r="J192">
        <v>264</v>
      </c>
      <c r="K192" t="s">
        <v>22</v>
      </c>
      <c r="L192" t="s">
        <v>23</v>
      </c>
      <c r="M192">
        <v>2</v>
      </c>
      <c r="N192" t="s">
        <v>53</v>
      </c>
      <c r="O192" s="6">
        <f t="shared" ca="1" si="2"/>
        <v>45694</v>
      </c>
      <c r="P192">
        <v>4.8</v>
      </c>
    </row>
    <row r="193" spans="1:16" x14ac:dyDescent="0.3">
      <c r="A193" t="s">
        <v>404</v>
      </c>
      <c r="B193" t="s">
        <v>405</v>
      </c>
      <c r="C193" t="s">
        <v>36</v>
      </c>
      <c r="D193">
        <v>36</v>
      </c>
      <c r="E193" t="s">
        <v>28</v>
      </c>
      <c r="F193" t="s">
        <v>64</v>
      </c>
      <c r="G193" t="s">
        <v>104</v>
      </c>
      <c r="H193">
        <v>4829</v>
      </c>
      <c r="I193">
        <v>2419</v>
      </c>
      <c r="J193">
        <v>2410</v>
      </c>
      <c r="K193" t="s">
        <v>31</v>
      </c>
      <c r="L193" t="s">
        <v>32</v>
      </c>
      <c r="M193">
        <v>14</v>
      </c>
      <c r="N193" t="s">
        <v>24</v>
      </c>
      <c r="O193" s="6">
        <f t="shared" ca="1" si="2"/>
        <v>45924</v>
      </c>
      <c r="P193">
        <v>3.7</v>
      </c>
    </row>
    <row r="194" spans="1:16" x14ac:dyDescent="0.3">
      <c r="A194" t="s">
        <v>406</v>
      </c>
      <c r="B194" t="s">
        <v>407</v>
      </c>
      <c r="C194" t="s">
        <v>51</v>
      </c>
      <c r="D194">
        <v>41</v>
      </c>
      <c r="E194" t="s">
        <v>44</v>
      </c>
      <c r="F194" t="s">
        <v>67</v>
      </c>
      <c r="G194" t="s">
        <v>58</v>
      </c>
      <c r="H194">
        <v>3876</v>
      </c>
      <c r="I194">
        <v>2440</v>
      </c>
      <c r="J194">
        <v>1436</v>
      </c>
      <c r="K194" t="s">
        <v>59</v>
      </c>
      <c r="L194" t="s">
        <v>23</v>
      </c>
      <c r="M194">
        <v>5</v>
      </c>
      <c r="N194" t="s">
        <v>40</v>
      </c>
      <c r="O194" s="6">
        <f t="shared" ca="1" si="2"/>
        <v>45997</v>
      </c>
      <c r="P194">
        <v>1.4</v>
      </c>
    </row>
    <row r="195" spans="1:16" x14ac:dyDescent="0.3">
      <c r="A195" t="s">
        <v>408</v>
      </c>
      <c r="B195" t="s">
        <v>409</v>
      </c>
      <c r="C195" t="s">
        <v>18</v>
      </c>
      <c r="D195">
        <v>24</v>
      </c>
      <c r="E195" t="s">
        <v>82</v>
      </c>
      <c r="F195" t="s">
        <v>67</v>
      </c>
      <c r="G195" t="s">
        <v>126</v>
      </c>
      <c r="H195">
        <v>8608</v>
      </c>
      <c r="I195">
        <v>5628</v>
      </c>
      <c r="J195">
        <v>2980</v>
      </c>
      <c r="K195" t="s">
        <v>88</v>
      </c>
      <c r="L195" t="s">
        <v>23</v>
      </c>
      <c r="M195">
        <v>8</v>
      </c>
      <c r="N195" t="s">
        <v>24</v>
      </c>
      <c r="O195" s="6">
        <f t="shared" ref="O195:O258" ca="1" si="3">RANDBETWEEN(DATE(2025,1,1),DATE(2025,12,31))</f>
        <v>45893</v>
      </c>
      <c r="P195">
        <v>4.5</v>
      </c>
    </row>
    <row r="196" spans="1:16" x14ac:dyDescent="0.3">
      <c r="A196" t="s">
        <v>410</v>
      </c>
      <c r="B196" t="s">
        <v>185</v>
      </c>
      <c r="C196" t="s">
        <v>103</v>
      </c>
      <c r="D196">
        <v>47</v>
      </c>
      <c r="E196" t="s">
        <v>78</v>
      </c>
      <c r="F196" t="s">
        <v>45</v>
      </c>
      <c r="G196" t="s">
        <v>73</v>
      </c>
      <c r="H196">
        <v>4409</v>
      </c>
      <c r="I196">
        <v>2006</v>
      </c>
      <c r="J196">
        <v>2403</v>
      </c>
      <c r="K196" t="s">
        <v>59</v>
      </c>
      <c r="L196" t="s">
        <v>47</v>
      </c>
      <c r="M196">
        <v>14</v>
      </c>
      <c r="N196" t="s">
        <v>33</v>
      </c>
      <c r="O196" s="6">
        <f t="shared" ca="1" si="3"/>
        <v>45779</v>
      </c>
      <c r="P196">
        <v>4.9000000000000004</v>
      </c>
    </row>
    <row r="197" spans="1:16" x14ac:dyDescent="0.3">
      <c r="A197" t="s">
        <v>411</v>
      </c>
      <c r="B197" t="s">
        <v>412</v>
      </c>
      <c r="C197" t="s">
        <v>36</v>
      </c>
      <c r="D197">
        <v>56</v>
      </c>
      <c r="E197" t="s">
        <v>37</v>
      </c>
      <c r="F197" t="s">
        <v>64</v>
      </c>
      <c r="G197" t="s">
        <v>92</v>
      </c>
      <c r="H197">
        <v>5590</v>
      </c>
      <c r="I197">
        <v>4841</v>
      </c>
      <c r="J197">
        <v>749</v>
      </c>
      <c r="K197" t="s">
        <v>22</v>
      </c>
      <c r="L197" t="s">
        <v>47</v>
      </c>
      <c r="M197">
        <v>5</v>
      </c>
      <c r="N197" t="s">
        <v>33</v>
      </c>
      <c r="O197" s="6">
        <f t="shared" ca="1" si="3"/>
        <v>45692</v>
      </c>
      <c r="P197">
        <v>3.1</v>
      </c>
    </row>
    <row r="198" spans="1:16" x14ac:dyDescent="0.3">
      <c r="A198" t="s">
        <v>413</v>
      </c>
      <c r="B198" t="s">
        <v>399</v>
      </c>
      <c r="C198" t="s">
        <v>43</v>
      </c>
      <c r="D198">
        <v>26</v>
      </c>
      <c r="E198" t="s">
        <v>82</v>
      </c>
      <c r="F198" t="s">
        <v>52</v>
      </c>
      <c r="G198" t="s">
        <v>46</v>
      </c>
      <c r="H198">
        <v>4443</v>
      </c>
      <c r="I198">
        <v>2699</v>
      </c>
      <c r="J198">
        <v>1744</v>
      </c>
      <c r="K198" t="s">
        <v>59</v>
      </c>
      <c r="L198" t="s">
        <v>47</v>
      </c>
      <c r="M198">
        <v>10</v>
      </c>
      <c r="N198" t="s">
        <v>24</v>
      </c>
      <c r="O198" s="6">
        <f t="shared" ca="1" si="3"/>
        <v>45686</v>
      </c>
      <c r="P198">
        <v>3</v>
      </c>
    </row>
    <row r="199" spans="1:16" x14ac:dyDescent="0.3">
      <c r="A199" t="s">
        <v>414</v>
      </c>
      <c r="B199" t="s">
        <v>318</v>
      </c>
      <c r="C199" t="s">
        <v>27</v>
      </c>
      <c r="D199">
        <v>34</v>
      </c>
      <c r="E199" t="s">
        <v>63</v>
      </c>
      <c r="F199" t="s">
        <v>52</v>
      </c>
      <c r="G199" t="s">
        <v>58</v>
      </c>
      <c r="H199">
        <v>3245</v>
      </c>
      <c r="I199">
        <v>2983</v>
      </c>
      <c r="J199">
        <v>262</v>
      </c>
      <c r="K199" t="s">
        <v>59</v>
      </c>
      <c r="L199" t="s">
        <v>23</v>
      </c>
      <c r="M199">
        <v>4</v>
      </c>
      <c r="N199" t="s">
        <v>53</v>
      </c>
      <c r="O199" s="6">
        <f t="shared" ca="1" si="3"/>
        <v>45890</v>
      </c>
      <c r="P199">
        <v>4.9000000000000004</v>
      </c>
    </row>
    <row r="200" spans="1:16" x14ac:dyDescent="0.3">
      <c r="A200" t="s">
        <v>415</v>
      </c>
      <c r="B200" t="s">
        <v>416</v>
      </c>
      <c r="C200" t="s">
        <v>62</v>
      </c>
      <c r="D200">
        <v>46</v>
      </c>
      <c r="E200" t="s">
        <v>19</v>
      </c>
      <c r="F200" t="s">
        <v>29</v>
      </c>
      <c r="G200" t="s">
        <v>58</v>
      </c>
      <c r="H200">
        <v>8212</v>
      </c>
      <c r="I200">
        <v>6853</v>
      </c>
      <c r="J200">
        <v>1359</v>
      </c>
      <c r="K200" t="s">
        <v>68</v>
      </c>
      <c r="L200" t="s">
        <v>32</v>
      </c>
      <c r="M200">
        <v>9</v>
      </c>
      <c r="N200" t="s">
        <v>95</v>
      </c>
      <c r="O200" s="6">
        <f t="shared" ca="1" si="3"/>
        <v>45805</v>
      </c>
      <c r="P200">
        <v>3.2</v>
      </c>
    </row>
    <row r="201" spans="1:16" x14ac:dyDescent="0.3">
      <c r="A201" t="s">
        <v>417</v>
      </c>
      <c r="B201" t="s">
        <v>257</v>
      </c>
      <c r="C201" t="s">
        <v>56</v>
      </c>
      <c r="D201">
        <v>50</v>
      </c>
      <c r="E201" t="s">
        <v>87</v>
      </c>
      <c r="F201" t="s">
        <v>91</v>
      </c>
      <c r="G201" t="s">
        <v>58</v>
      </c>
      <c r="H201">
        <v>3882</v>
      </c>
      <c r="I201">
        <v>2164</v>
      </c>
      <c r="J201">
        <v>1718</v>
      </c>
      <c r="K201" t="s">
        <v>59</v>
      </c>
      <c r="L201" t="s">
        <v>23</v>
      </c>
      <c r="M201">
        <v>1</v>
      </c>
      <c r="N201" t="s">
        <v>118</v>
      </c>
      <c r="O201" s="6">
        <f t="shared" ca="1" si="3"/>
        <v>45867</v>
      </c>
      <c r="P201">
        <v>3.8</v>
      </c>
    </row>
    <row r="202" spans="1:16" x14ac:dyDescent="0.3">
      <c r="A202" t="s">
        <v>418</v>
      </c>
      <c r="B202" t="s">
        <v>386</v>
      </c>
      <c r="C202" t="s">
        <v>27</v>
      </c>
      <c r="D202">
        <v>58</v>
      </c>
      <c r="E202" t="s">
        <v>44</v>
      </c>
      <c r="F202" t="s">
        <v>64</v>
      </c>
      <c r="G202" t="s">
        <v>39</v>
      </c>
      <c r="H202">
        <v>2751</v>
      </c>
      <c r="I202">
        <v>1748</v>
      </c>
      <c r="J202">
        <v>1003</v>
      </c>
      <c r="K202" t="s">
        <v>88</v>
      </c>
      <c r="L202" t="s">
        <v>47</v>
      </c>
      <c r="M202">
        <v>7</v>
      </c>
      <c r="N202" t="s">
        <v>118</v>
      </c>
      <c r="O202" s="6">
        <f t="shared" ca="1" si="3"/>
        <v>45674</v>
      </c>
      <c r="P202">
        <v>4</v>
      </c>
    </row>
    <row r="203" spans="1:16" x14ac:dyDescent="0.3">
      <c r="A203" t="s">
        <v>419</v>
      </c>
      <c r="B203" t="s">
        <v>341</v>
      </c>
      <c r="C203" t="s">
        <v>43</v>
      </c>
      <c r="D203">
        <v>37</v>
      </c>
      <c r="E203" t="s">
        <v>63</v>
      </c>
      <c r="F203" t="s">
        <v>91</v>
      </c>
      <c r="G203" t="s">
        <v>104</v>
      </c>
      <c r="H203">
        <v>3520</v>
      </c>
      <c r="I203">
        <v>1878</v>
      </c>
      <c r="J203">
        <v>1642</v>
      </c>
      <c r="K203" t="s">
        <v>59</v>
      </c>
      <c r="L203" t="s">
        <v>23</v>
      </c>
      <c r="M203">
        <v>12</v>
      </c>
      <c r="N203" t="s">
        <v>74</v>
      </c>
      <c r="O203" s="6">
        <f t="shared" ca="1" si="3"/>
        <v>45780</v>
      </c>
      <c r="P203">
        <v>3.3</v>
      </c>
    </row>
    <row r="204" spans="1:16" x14ac:dyDescent="0.3">
      <c r="A204" t="s">
        <v>420</v>
      </c>
      <c r="B204" t="s">
        <v>341</v>
      </c>
      <c r="C204" t="s">
        <v>36</v>
      </c>
      <c r="D204">
        <v>54</v>
      </c>
      <c r="E204" t="s">
        <v>28</v>
      </c>
      <c r="F204" t="s">
        <v>98</v>
      </c>
      <c r="G204" t="s">
        <v>46</v>
      </c>
      <c r="H204">
        <v>6987</v>
      </c>
      <c r="I204">
        <v>6761</v>
      </c>
      <c r="J204">
        <v>226</v>
      </c>
      <c r="K204" t="s">
        <v>59</v>
      </c>
      <c r="L204" t="s">
        <v>23</v>
      </c>
      <c r="M204">
        <v>14</v>
      </c>
      <c r="N204" t="s">
        <v>33</v>
      </c>
      <c r="O204" s="6">
        <f t="shared" ca="1" si="3"/>
        <v>46017</v>
      </c>
      <c r="P204">
        <v>3.6</v>
      </c>
    </row>
    <row r="205" spans="1:16" x14ac:dyDescent="0.3">
      <c r="A205" t="s">
        <v>421</v>
      </c>
      <c r="B205" t="s">
        <v>422</v>
      </c>
      <c r="C205" t="s">
        <v>27</v>
      </c>
      <c r="D205">
        <v>50</v>
      </c>
      <c r="E205" t="s">
        <v>57</v>
      </c>
      <c r="F205" t="s">
        <v>136</v>
      </c>
      <c r="G205" t="s">
        <v>79</v>
      </c>
      <c r="H205">
        <v>8655</v>
      </c>
      <c r="I205">
        <v>5724</v>
      </c>
      <c r="J205">
        <v>2931</v>
      </c>
      <c r="K205" t="s">
        <v>88</v>
      </c>
      <c r="L205" t="s">
        <v>32</v>
      </c>
      <c r="M205">
        <v>3</v>
      </c>
      <c r="N205" t="s">
        <v>40</v>
      </c>
      <c r="O205" s="6">
        <f t="shared" ca="1" si="3"/>
        <v>45797</v>
      </c>
      <c r="P205">
        <v>1.5</v>
      </c>
    </row>
    <row r="206" spans="1:16" x14ac:dyDescent="0.3">
      <c r="A206" t="s">
        <v>423</v>
      </c>
      <c r="B206" t="s">
        <v>259</v>
      </c>
      <c r="C206" t="s">
        <v>27</v>
      </c>
      <c r="D206">
        <v>56</v>
      </c>
      <c r="E206" t="s">
        <v>37</v>
      </c>
      <c r="F206" t="s">
        <v>136</v>
      </c>
      <c r="G206" t="s">
        <v>46</v>
      </c>
      <c r="H206">
        <v>6161</v>
      </c>
      <c r="I206">
        <v>4836</v>
      </c>
      <c r="J206">
        <v>1325</v>
      </c>
      <c r="K206" t="s">
        <v>88</v>
      </c>
      <c r="L206" t="s">
        <v>32</v>
      </c>
      <c r="M206">
        <v>5</v>
      </c>
      <c r="N206" t="s">
        <v>24</v>
      </c>
      <c r="O206" s="6">
        <f t="shared" ca="1" si="3"/>
        <v>45955</v>
      </c>
      <c r="P206">
        <v>4.5</v>
      </c>
    </row>
    <row r="207" spans="1:16" x14ac:dyDescent="0.3">
      <c r="A207" t="s">
        <v>424</v>
      </c>
      <c r="B207" t="s">
        <v>234</v>
      </c>
      <c r="C207" t="s">
        <v>77</v>
      </c>
      <c r="D207">
        <v>54</v>
      </c>
      <c r="E207" t="s">
        <v>78</v>
      </c>
      <c r="F207" t="s">
        <v>52</v>
      </c>
      <c r="G207" t="s">
        <v>30</v>
      </c>
      <c r="H207">
        <v>7933</v>
      </c>
      <c r="I207">
        <v>5577</v>
      </c>
      <c r="J207">
        <v>2356</v>
      </c>
      <c r="K207" t="s">
        <v>22</v>
      </c>
      <c r="L207" t="s">
        <v>32</v>
      </c>
      <c r="M207">
        <v>6</v>
      </c>
      <c r="N207" t="s">
        <v>116</v>
      </c>
      <c r="O207" s="6">
        <f t="shared" ca="1" si="3"/>
        <v>45787</v>
      </c>
      <c r="P207">
        <v>3.5</v>
      </c>
    </row>
    <row r="208" spans="1:16" x14ac:dyDescent="0.3">
      <c r="A208" t="s">
        <v>425</v>
      </c>
      <c r="B208" t="s">
        <v>426</v>
      </c>
      <c r="C208" t="s">
        <v>56</v>
      </c>
      <c r="D208">
        <v>57</v>
      </c>
      <c r="E208" t="s">
        <v>19</v>
      </c>
      <c r="F208" t="s">
        <v>52</v>
      </c>
      <c r="G208" t="s">
        <v>39</v>
      </c>
      <c r="H208">
        <v>6633</v>
      </c>
      <c r="I208">
        <v>6103</v>
      </c>
      <c r="J208">
        <v>530</v>
      </c>
      <c r="K208" t="s">
        <v>88</v>
      </c>
      <c r="L208" t="s">
        <v>47</v>
      </c>
      <c r="M208">
        <v>14</v>
      </c>
      <c r="N208" t="s">
        <v>24</v>
      </c>
      <c r="O208" s="6">
        <f t="shared" ca="1" si="3"/>
        <v>45804</v>
      </c>
      <c r="P208">
        <v>3.5</v>
      </c>
    </row>
    <row r="209" spans="1:16" x14ac:dyDescent="0.3">
      <c r="A209" t="s">
        <v>427</v>
      </c>
      <c r="B209" t="s">
        <v>428</v>
      </c>
      <c r="C209" t="s">
        <v>27</v>
      </c>
      <c r="D209">
        <v>51</v>
      </c>
      <c r="E209" t="s">
        <v>28</v>
      </c>
      <c r="F209" t="s">
        <v>136</v>
      </c>
      <c r="G209" t="s">
        <v>126</v>
      </c>
      <c r="H209">
        <v>3424</v>
      </c>
      <c r="I209">
        <v>1177</v>
      </c>
      <c r="J209">
        <v>2247</v>
      </c>
      <c r="K209" t="s">
        <v>22</v>
      </c>
      <c r="L209" t="s">
        <v>47</v>
      </c>
      <c r="M209">
        <v>11</v>
      </c>
      <c r="N209" t="s">
        <v>95</v>
      </c>
      <c r="O209" s="6">
        <f t="shared" ca="1" si="3"/>
        <v>45939</v>
      </c>
      <c r="P209">
        <v>3.2</v>
      </c>
    </row>
    <row r="210" spans="1:16" x14ac:dyDescent="0.3">
      <c r="A210" t="s">
        <v>429</v>
      </c>
      <c r="B210" t="s">
        <v>430</v>
      </c>
      <c r="C210" t="s">
        <v>36</v>
      </c>
      <c r="D210">
        <v>35</v>
      </c>
      <c r="E210" t="s">
        <v>19</v>
      </c>
      <c r="F210" t="s">
        <v>67</v>
      </c>
      <c r="G210" t="s">
        <v>104</v>
      </c>
      <c r="H210">
        <v>3110</v>
      </c>
      <c r="I210">
        <v>2720</v>
      </c>
      <c r="J210">
        <v>390</v>
      </c>
      <c r="K210" t="s">
        <v>31</v>
      </c>
      <c r="L210" t="s">
        <v>47</v>
      </c>
      <c r="M210">
        <v>5</v>
      </c>
      <c r="N210" t="s">
        <v>40</v>
      </c>
      <c r="O210" s="6">
        <f t="shared" ca="1" si="3"/>
        <v>46003</v>
      </c>
      <c r="P210">
        <v>2.6</v>
      </c>
    </row>
    <row r="211" spans="1:16" x14ac:dyDescent="0.3">
      <c r="A211" t="s">
        <v>431</v>
      </c>
      <c r="B211" t="s">
        <v>220</v>
      </c>
      <c r="C211" t="s">
        <v>36</v>
      </c>
      <c r="D211">
        <v>32</v>
      </c>
      <c r="E211" t="s">
        <v>57</v>
      </c>
      <c r="F211" t="s">
        <v>136</v>
      </c>
      <c r="G211" t="s">
        <v>30</v>
      </c>
      <c r="H211">
        <v>6098</v>
      </c>
      <c r="I211">
        <v>5308</v>
      </c>
      <c r="J211">
        <v>790</v>
      </c>
      <c r="K211" t="s">
        <v>68</v>
      </c>
      <c r="L211" t="s">
        <v>47</v>
      </c>
      <c r="M211">
        <v>12</v>
      </c>
      <c r="N211" t="s">
        <v>48</v>
      </c>
      <c r="O211" s="6">
        <f t="shared" ca="1" si="3"/>
        <v>45820</v>
      </c>
      <c r="P211">
        <v>4.3</v>
      </c>
    </row>
    <row r="212" spans="1:16" x14ac:dyDescent="0.3">
      <c r="A212" t="s">
        <v>432</v>
      </c>
      <c r="B212" t="s">
        <v>145</v>
      </c>
      <c r="C212" t="s">
        <v>62</v>
      </c>
      <c r="D212">
        <v>57</v>
      </c>
      <c r="E212" t="s">
        <v>37</v>
      </c>
      <c r="F212" t="s">
        <v>29</v>
      </c>
      <c r="G212" t="s">
        <v>58</v>
      </c>
      <c r="H212">
        <v>4417</v>
      </c>
      <c r="I212">
        <v>3644</v>
      </c>
      <c r="J212">
        <v>773</v>
      </c>
      <c r="K212" t="s">
        <v>68</v>
      </c>
      <c r="L212" t="s">
        <v>47</v>
      </c>
      <c r="M212">
        <v>12</v>
      </c>
      <c r="N212" t="s">
        <v>53</v>
      </c>
      <c r="O212" s="6">
        <f t="shared" ca="1" si="3"/>
        <v>45740</v>
      </c>
      <c r="P212">
        <v>3.3</v>
      </c>
    </row>
    <row r="213" spans="1:16" x14ac:dyDescent="0.3">
      <c r="A213" t="s">
        <v>433</v>
      </c>
      <c r="B213" t="s">
        <v>378</v>
      </c>
      <c r="C213" t="s">
        <v>103</v>
      </c>
      <c r="D213">
        <v>35</v>
      </c>
      <c r="E213" t="s">
        <v>87</v>
      </c>
      <c r="F213" t="s">
        <v>38</v>
      </c>
      <c r="G213" t="s">
        <v>79</v>
      </c>
      <c r="H213">
        <v>9513</v>
      </c>
      <c r="I213">
        <v>6799</v>
      </c>
      <c r="J213">
        <v>2714</v>
      </c>
      <c r="K213" t="s">
        <v>22</v>
      </c>
      <c r="L213" t="s">
        <v>23</v>
      </c>
      <c r="M213">
        <v>3</v>
      </c>
      <c r="N213" t="s">
        <v>40</v>
      </c>
      <c r="O213" s="6">
        <f t="shared" ca="1" si="3"/>
        <v>45956</v>
      </c>
      <c r="P213">
        <v>2.5</v>
      </c>
    </row>
    <row r="214" spans="1:16" x14ac:dyDescent="0.3">
      <c r="A214" t="s">
        <v>434</v>
      </c>
      <c r="B214" t="s">
        <v>35</v>
      </c>
      <c r="C214" t="s">
        <v>56</v>
      </c>
      <c r="D214">
        <v>52</v>
      </c>
      <c r="E214" t="s">
        <v>19</v>
      </c>
      <c r="F214" t="s">
        <v>38</v>
      </c>
      <c r="G214" t="s">
        <v>92</v>
      </c>
      <c r="H214">
        <v>5543</v>
      </c>
      <c r="I214">
        <v>3575</v>
      </c>
      <c r="J214">
        <v>1968</v>
      </c>
      <c r="K214" t="s">
        <v>31</v>
      </c>
      <c r="L214" t="s">
        <v>32</v>
      </c>
      <c r="M214">
        <v>10</v>
      </c>
      <c r="N214" t="s">
        <v>48</v>
      </c>
      <c r="O214" s="6">
        <f t="shared" ca="1" si="3"/>
        <v>45842</v>
      </c>
      <c r="P214">
        <v>3.5</v>
      </c>
    </row>
    <row r="215" spans="1:16" x14ac:dyDescent="0.3">
      <c r="A215" t="s">
        <v>435</v>
      </c>
      <c r="B215" t="s">
        <v>436</v>
      </c>
      <c r="C215" t="s">
        <v>62</v>
      </c>
      <c r="D215">
        <v>25</v>
      </c>
      <c r="E215" t="s">
        <v>87</v>
      </c>
      <c r="F215" t="s">
        <v>45</v>
      </c>
      <c r="G215" t="s">
        <v>126</v>
      </c>
      <c r="H215">
        <v>6408</v>
      </c>
      <c r="I215">
        <v>3612</v>
      </c>
      <c r="J215">
        <v>2796</v>
      </c>
      <c r="K215" t="s">
        <v>22</v>
      </c>
      <c r="L215" t="s">
        <v>23</v>
      </c>
      <c r="M215">
        <v>7</v>
      </c>
      <c r="N215" t="s">
        <v>95</v>
      </c>
      <c r="O215" s="6">
        <f t="shared" ca="1" si="3"/>
        <v>45984</v>
      </c>
      <c r="P215">
        <v>3.2</v>
      </c>
    </row>
    <row r="216" spans="1:16" x14ac:dyDescent="0.3">
      <c r="A216" t="s">
        <v>437</v>
      </c>
      <c r="B216" t="s">
        <v>438</v>
      </c>
      <c r="C216" t="s">
        <v>18</v>
      </c>
      <c r="D216">
        <v>49</v>
      </c>
      <c r="E216" t="s">
        <v>57</v>
      </c>
      <c r="F216" t="s">
        <v>45</v>
      </c>
      <c r="G216" t="s">
        <v>21</v>
      </c>
      <c r="H216">
        <v>2142</v>
      </c>
      <c r="I216">
        <v>1585</v>
      </c>
      <c r="J216">
        <v>557</v>
      </c>
      <c r="K216" t="s">
        <v>31</v>
      </c>
      <c r="L216" t="s">
        <v>23</v>
      </c>
      <c r="M216">
        <v>8</v>
      </c>
      <c r="N216" t="s">
        <v>74</v>
      </c>
      <c r="O216" s="6">
        <f t="shared" ca="1" si="3"/>
        <v>45949</v>
      </c>
      <c r="P216">
        <v>3.1</v>
      </c>
    </row>
    <row r="217" spans="1:16" x14ac:dyDescent="0.3">
      <c r="A217" t="s">
        <v>439</v>
      </c>
      <c r="B217" t="s">
        <v>440</v>
      </c>
      <c r="C217" t="s">
        <v>36</v>
      </c>
      <c r="D217">
        <v>26</v>
      </c>
      <c r="E217" t="s">
        <v>57</v>
      </c>
      <c r="F217" t="s">
        <v>29</v>
      </c>
      <c r="G217" t="s">
        <v>21</v>
      </c>
      <c r="H217">
        <v>8039</v>
      </c>
      <c r="I217">
        <v>5390</v>
      </c>
      <c r="J217">
        <v>2649</v>
      </c>
      <c r="K217" t="s">
        <v>68</v>
      </c>
      <c r="L217" t="s">
        <v>32</v>
      </c>
      <c r="M217">
        <v>14</v>
      </c>
      <c r="N217" t="s">
        <v>48</v>
      </c>
      <c r="O217" s="6">
        <f t="shared" ca="1" si="3"/>
        <v>45685</v>
      </c>
      <c r="P217">
        <v>4.4000000000000004</v>
      </c>
    </row>
    <row r="218" spans="1:16" x14ac:dyDescent="0.3">
      <c r="A218" t="s">
        <v>441</v>
      </c>
      <c r="B218" t="s">
        <v>159</v>
      </c>
      <c r="C218" t="s">
        <v>77</v>
      </c>
      <c r="D218">
        <v>56</v>
      </c>
      <c r="E218" t="s">
        <v>19</v>
      </c>
      <c r="F218" t="s">
        <v>67</v>
      </c>
      <c r="G218" t="s">
        <v>92</v>
      </c>
      <c r="H218">
        <v>3648</v>
      </c>
      <c r="I218">
        <v>1889</v>
      </c>
      <c r="J218">
        <v>1759</v>
      </c>
      <c r="K218" t="s">
        <v>88</v>
      </c>
      <c r="L218" t="s">
        <v>23</v>
      </c>
      <c r="M218">
        <v>5</v>
      </c>
      <c r="N218" t="s">
        <v>116</v>
      </c>
      <c r="O218" s="6">
        <f t="shared" ca="1" si="3"/>
        <v>45797</v>
      </c>
      <c r="P218">
        <v>4.5</v>
      </c>
    </row>
    <row r="219" spans="1:16" x14ac:dyDescent="0.3">
      <c r="A219" t="s">
        <v>442</v>
      </c>
      <c r="B219" t="s">
        <v>225</v>
      </c>
      <c r="C219" t="s">
        <v>129</v>
      </c>
      <c r="D219">
        <v>48</v>
      </c>
      <c r="E219" t="s">
        <v>72</v>
      </c>
      <c r="F219" t="s">
        <v>64</v>
      </c>
      <c r="G219" t="s">
        <v>39</v>
      </c>
      <c r="H219">
        <v>4981</v>
      </c>
      <c r="I219">
        <v>4466</v>
      </c>
      <c r="J219">
        <v>515</v>
      </c>
      <c r="K219" t="s">
        <v>31</v>
      </c>
      <c r="L219" t="s">
        <v>47</v>
      </c>
      <c r="M219">
        <v>4</v>
      </c>
      <c r="N219" t="s">
        <v>69</v>
      </c>
      <c r="O219" s="6">
        <f t="shared" ca="1" si="3"/>
        <v>45814</v>
      </c>
      <c r="P219">
        <v>3.8</v>
      </c>
    </row>
    <row r="220" spans="1:16" x14ac:dyDescent="0.3">
      <c r="A220" t="s">
        <v>443</v>
      </c>
      <c r="B220" t="s">
        <v>444</v>
      </c>
      <c r="C220" t="s">
        <v>77</v>
      </c>
      <c r="D220">
        <v>29</v>
      </c>
      <c r="E220" t="s">
        <v>72</v>
      </c>
      <c r="F220" t="s">
        <v>136</v>
      </c>
      <c r="G220" t="s">
        <v>73</v>
      </c>
      <c r="H220">
        <v>5961</v>
      </c>
      <c r="I220">
        <v>3221</v>
      </c>
      <c r="J220">
        <v>2740</v>
      </c>
      <c r="K220" t="s">
        <v>68</v>
      </c>
      <c r="L220" t="s">
        <v>32</v>
      </c>
      <c r="M220">
        <v>14</v>
      </c>
      <c r="N220" t="s">
        <v>95</v>
      </c>
      <c r="O220" s="6">
        <f t="shared" ca="1" si="3"/>
        <v>45961</v>
      </c>
      <c r="P220">
        <v>3</v>
      </c>
    </row>
    <row r="221" spans="1:16" x14ac:dyDescent="0.3">
      <c r="A221" t="s">
        <v>445</v>
      </c>
      <c r="B221" t="s">
        <v>178</v>
      </c>
      <c r="C221" t="s">
        <v>51</v>
      </c>
      <c r="D221">
        <v>29</v>
      </c>
      <c r="E221" t="s">
        <v>72</v>
      </c>
      <c r="F221" t="s">
        <v>38</v>
      </c>
      <c r="G221" t="s">
        <v>79</v>
      </c>
      <c r="H221">
        <v>7217</v>
      </c>
      <c r="I221">
        <v>6195</v>
      </c>
      <c r="J221">
        <v>1022</v>
      </c>
      <c r="K221" t="s">
        <v>68</v>
      </c>
      <c r="L221" t="s">
        <v>23</v>
      </c>
      <c r="M221">
        <v>3</v>
      </c>
      <c r="N221" t="s">
        <v>48</v>
      </c>
      <c r="O221" s="6">
        <f t="shared" ca="1" si="3"/>
        <v>45912</v>
      </c>
      <c r="P221">
        <v>4.7</v>
      </c>
    </row>
    <row r="222" spans="1:16" x14ac:dyDescent="0.3">
      <c r="A222" t="s">
        <v>446</v>
      </c>
      <c r="B222" t="s">
        <v>249</v>
      </c>
      <c r="C222" t="s">
        <v>62</v>
      </c>
      <c r="D222">
        <v>41</v>
      </c>
      <c r="E222" t="s">
        <v>37</v>
      </c>
      <c r="F222" t="s">
        <v>45</v>
      </c>
      <c r="G222" t="s">
        <v>73</v>
      </c>
      <c r="H222">
        <v>4156</v>
      </c>
      <c r="I222">
        <v>3490</v>
      </c>
      <c r="J222">
        <v>666</v>
      </c>
      <c r="K222" t="s">
        <v>31</v>
      </c>
      <c r="L222" t="s">
        <v>32</v>
      </c>
      <c r="M222">
        <v>1</v>
      </c>
      <c r="N222" t="s">
        <v>40</v>
      </c>
      <c r="O222" s="6">
        <f t="shared" ca="1" si="3"/>
        <v>45998</v>
      </c>
      <c r="P222">
        <v>2.2000000000000002</v>
      </c>
    </row>
    <row r="223" spans="1:16" x14ac:dyDescent="0.3">
      <c r="A223" t="s">
        <v>447</v>
      </c>
      <c r="B223" t="s">
        <v>448</v>
      </c>
      <c r="C223" t="s">
        <v>27</v>
      </c>
      <c r="D223">
        <v>22</v>
      </c>
      <c r="E223" t="s">
        <v>63</v>
      </c>
      <c r="F223" t="s">
        <v>52</v>
      </c>
      <c r="G223" t="s">
        <v>104</v>
      </c>
      <c r="H223">
        <v>3369</v>
      </c>
      <c r="I223">
        <v>2886</v>
      </c>
      <c r="J223">
        <v>483</v>
      </c>
      <c r="K223" t="s">
        <v>88</v>
      </c>
      <c r="L223" t="s">
        <v>47</v>
      </c>
      <c r="M223">
        <v>13</v>
      </c>
      <c r="N223" t="s">
        <v>48</v>
      </c>
      <c r="O223" s="6">
        <f t="shared" ca="1" si="3"/>
        <v>45991</v>
      </c>
      <c r="P223">
        <v>3.3</v>
      </c>
    </row>
    <row r="224" spans="1:16" x14ac:dyDescent="0.3">
      <c r="A224" t="s">
        <v>449</v>
      </c>
      <c r="B224" t="s">
        <v>450</v>
      </c>
      <c r="C224" t="s">
        <v>18</v>
      </c>
      <c r="D224">
        <v>36</v>
      </c>
      <c r="E224" t="s">
        <v>72</v>
      </c>
      <c r="F224" t="s">
        <v>20</v>
      </c>
      <c r="G224" t="s">
        <v>73</v>
      </c>
      <c r="H224">
        <v>8708</v>
      </c>
      <c r="I224">
        <v>6964</v>
      </c>
      <c r="J224">
        <v>1744</v>
      </c>
      <c r="K224" t="s">
        <v>88</v>
      </c>
      <c r="L224" t="s">
        <v>32</v>
      </c>
      <c r="M224">
        <v>10</v>
      </c>
      <c r="N224" t="s">
        <v>69</v>
      </c>
      <c r="O224" s="6">
        <f t="shared" ca="1" si="3"/>
        <v>46005</v>
      </c>
      <c r="P224">
        <v>4.5</v>
      </c>
    </row>
    <row r="225" spans="1:16" x14ac:dyDescent="0.3">
      <c r="A225" t="s">
        <v>451</v>
      </c>
      <c r="B225" t="s">
        <v>452</v>
      </c>
      <c r="C225" t="s">
        <v>103</v>
      </c>
      <c r="D225">
        <v>55</v>
      </c>
      <c r="E225" t="s">
        <v>28</v>
      </c>
      <c r="F225" t="s">
        <v>38</v>
      </c>
      <c r="G225" t="s">
        <v>92</v>
      </c>
      <c r="H225">
        <v>8177</v>
      </c>
      <c r="I225">
        <v>5364</v>
      </c>
      <c r="J225">
        <v>2813</v>
      </c>
      <c r="K225" t="s">
        <v>68</v>
      </c>
      <c r="L225" t="s">
        <v>32</v>
      </c>
      <c r="M225">
        <v>0</v>
      </c>
      <c r="N225" t="s">
        <v>40</v>
      </c>
      <c r="O225" s="6">
        <f t="shared" ca="1" si="3"/>
        <v>45842</v>
      </c>
      <c r="P225">
        <v>2.6</v>
      </c>
    </row>
    <row r="226" spans="1:16" x14ac:dyDescent="0.3">
      <c r="A226" t="s">
        <v>453</v>
      </c>
      <c r="B226" t="s">
        <v>448</v>
      </c>
      <c r="C226" t="s">
        <v>51</v>
      </c>
      <c r="D226">
        <v>23</v>
      </c>
      <c r="E226" t="s">
        <v>44</v>
      </c>
      <c r="F226" t="s">
        <v>64</v>
      </c>
      <c r="G226" t="s">
        <v>58</v>
      </c>
      <c r="H226">
        <v>4659</v>
      </c>
      <c r="I226">
        <v>4026</v>
      </c>
      <c r="J226">
        <v>633</v>
      </c>
      <c r="K226" t="s">
        <v>31</v>
      </c>
      <c r="L226" t="s">
        <v>47</v>
      </c>
      <c r="M226">
        <v>5</v>
      </c>
      <c r="N226" t="s">
        <v>33</v>
      </c>
      <c r="O226" s="6">
        <f t="shared" ca="1" si="3"/>
        <v>45905</v>
      </c>
      <c r="P226">
        <v>3.4</v>
      </c>
    </row>
    <row r="227" spans="1:16" x14ac:dyDescent="0.3">
      <c r="A227" t="s">
        <v>454</v>
      </c>
      <c r="B227" t="s">
        <v>455</v>
      </c>
      <c r="C227" t="s">
        <v>51</v>
      </c>
      <c r="D227">
        <v>35</v>
      </c>
      <c r="E227" t="s">
        <v>63</v>
      </c>
      <c r="F227" t="s">
        <v>38</v>
      </c>
      <c r="G227" t="s">
        <v>73</v>
      </c>
      <c r="H227">
        <v>7276</v>
      </c>
      <c r="I227">
        <v>4293</v>
      </c>
      <c r="J227">
        <v>2983</v>
      </c>
      <c r="K227" t="s">
        <v>22</v>
      </c>
      <c r="L227" t="s">
        <v>23</v>
      </c>
      <c r="M227">
        <v>9</v>
      </c>
      <c r="N227" t="s">
        <v>193</v>
      </c>
      <c r="O227" s="6">
        <f t="shared" ca="1" si="3"/>
        <v>45917</v>
      </c>
      <c r="P227">
        <v>4.2</v>
      </c>
    </row>
    <row r="228" spans="1:16" x14ac:dyDescent="0.3">
      <c r="A228" t="s">
        <v>456</v>
      </c>
      <c r="B228" t="s">
        <v>457</v>
      </c>
      <c r="C228" t="s">
        <v>18</v>
      </c>
      <c r="D228">
        <v>47</v>
      </c>
      <c r="E228" t="s">
        <v>87</v>
      </c>
      <c r="F228" t="s">
        <v>98</v>
      </c>
      <c r="G228" t="s">
        <v>126</v>
      </c>
      <c r="H228">
        <v>4830</v>
      </c>
      <c r="I228">
        <v>3353</v>
      </c>
      <c r="J228">
        <v>1477</v>
      </c>
      <c r="K228" t="s">
        <v>88</v>
      </c>
      <c r="L228" t="s">
        <v>47</v>
      </c>
      <c r="M228">
        <v>13</v>
      </c>
      <c r="N228" t="s">
        <v>33</v>
      </c>
      <c r="O228" s="6">
        <f t="shared" ca="1" si="3"/>
        <v>45886</v>
      </c>
      <c r="P228">
        <v>3.6</v>
      </c>
    </row>
    <row r="229" spans="1:16" x14ac:dyDescent="0.3">
      <c r="A229" t="s">
        <v>458</v>
      </c>
      <c r="B229" t="s">
        <v>459</v>
      </c>
      <c r="C229" t="s">
        <v>77</v>
      </c>
      <c r="D229">
        <v>49</v>
      </c>
      <c r="E229" t="s">
        <v>63</v>
      </c>
      <c r="F229" t="s">
        <v>38</v>
      </c>
      <c r="G229" t="s">
        <v>21</v>
      </c>
      <c r="H229">
        <v>3342</v>
      </c>
      <c r="I229">
        <v>2959</v>
      </c>
      <c r="J229">
        <v>383</v>
      </c>
      <c r="K229" t="s">
        <v>22</v>
      </c>
      <c r="L229" t="s">
        <v>47</v>
      </c>
      <c r="M229">
        <v>2</v>
      </c>
      <c r="N229" t="s">
        <v>24</v>
      </c>
      <c r="O229" s="6">
        <f t="shared" ca="1" si="3"/>
        <v>45818</v>
      </c>
      <c r="P229">
        <v>3.6</v>
      </c>
    </row>
    <row r="230" spans="1:16" x14ac:dyDescent="0.3">
      <c r="A230" t="s">
        <v>460</v>
      </c>
      <c r="B230" t="s">
        <v>461</v>
      </c>
      <c r="C230" t="s">
        <v>62</v>
      </c>
      <c r="D230">
        <v>54</v>
      </c>
      <c r="E230" t="s">
        <v>78</v>
      </c>
      <c r="F230" t="s">
        <v>29</v>
      </c>
      <c r="G230" t="s">
        <v>126</v>
      </c>
      <c r="H230">
        <v>5704</v>
      </c>
      <c r="I230">
        <v>3211</v>
      </c>
      <c r="J230">
        <v>2493</v>
      </c>
      <c r="K230" t="s">
        <v>59</v>
      </c>
      <c r="L230" t="s">
        <v>23</v>
      </c>
      <c r="M230">
        <v>8</v>
      </c>
      <c r="N230" t="s">
        <v>33</v>
      </c>
      <c r="O230" s="6">
        <f t="shared" ca="1" si="3"/>
        <v>45732</v>
      </c>
      <c r="P230">
        <v>4</v>
      </c>
    </row>
    <row r="231" spans="1:16" x14ac:dyDescent="0.3">
      <c r="A231" t="s">
        <v>462</v>
      </c>
      <c r="B231" t="s">
        <v>448</v>
      </c>
      <c r="C231" t="s">
        <v>103</v>
      </c>
      <c r="D231">
        <v>46</v>
      </c>
      <c r="E231" t="s">
        <v>28</v>
      </c>
      <c r="F231" t="s">
        <v>67</v>
      </c>
      <c r="G231" t="s">
        <v>30</v>
      </c>
      <c r="H231">
        <v>6807</v>
      </c>
      <c r="I231">
        <v>4182</v>
      </c>
      <c r="J231">
        <v>2625</v>
      </c>
      <c r="K231" t="s">
        <v>68</v>
      </c>
      <c r="L231" t="s">
        <v>47</v>
      </c>
      <c r="M231">
        <v>1</v>
      </c>
      <c r="N231" t="s">
        <v>33</v>
      </c>
      <c r="O231" s="6">
        <f t="shared" ca="1" si="3"/>
        <v>45981</v>
      </c>
      <c r="P231">
        <v>3</v>
      </c>
    </row>
    <row r="232" spans="1:16" x14ac:dyDescent="0.3">
      <c r="A232" t="s">
        <v>463</v>
      </c>
      <c r="B232" t="s">
        <v>464</v>
      </c>
      <c r="C232" t="s">
        <v>77</v>
      </c>
      <c r="D232">
        <v>55</v>
      </c>
      <c r="E232" t="s">
        <v>78</v>
      </c>
      <c r="F232" t="s">
        <v>38</v>
      </c>
      <c r="G232" t="s">
        <v>58</v>
      </c>
      <c r="H232">
        <v>4188</v>
      </c>
      <c r="I232">
        <v>2114</v>
      </c>
      <c r="J232">
        <v>2074</v>
      </c>
      <c r="K232" t="s">
        <v>68</v>
      </c>
      <c r="L232" t="s">
        <v>47</v>
      </c>
      <c r="M232">
        <v>11</v>
      </c>
      <c r="N232" t="s">
        <v>69</v>
      </c>
      <c r="O232" s="6">
        <f t="shared" ca="1" si="3"/>
        <v>45835</v>
      </c>
      <c r="P232">
        <v>3.5</v>
      </c>
    </row>
    <row r="233" spans="1:16" x14ac:dyDescent="0.3">
      <c r="A233" t="s">
        <v>465</v>
      </c>
      <c r="B233" t="s">
        <v>140</v>
      </c>
      <c r="C233" t="s">
        <v>51</v>
      </c>
      <c r="D233">
        <v>46</v>
      </c>
      <c r="E233" t="s">
        <v>44</v>
      </c>
      <c r="F233" t="s">
        <v>98</v>
      </c>
      <c r="G233" t="s">
        <v>58</v>
      </c>
      <c r="H233">
        <v>5458</v>
      </c>
      <c r="I233">
        <v>3383</v>
      </c>
      <c r="J233">
        <v>2075</v>
      </c>
      <c r="K233" t="s">
        <v>31</v>
      </c>
      <c r="L233" t="s">
        <v>32</v>
      </c>
      <c r="M233">
        <v>14</v>
      </c>
      <c r="N233" t="s">
        <v>116</v>
      </c>
      <c r="O233" s="6">
        <f t="shared" ca="1" si="3"/>
        <v>45709</v>
      </c>
      <c r="P233">
        <v>3.4</v>
      </c>
    </row>
    <row r="234" spans="1:16" x14ac:dyDescent="0.3">
      <c r="A234" t="s">
        <v>466</v>
      </c>
      <c r="B234" t="s">
        <v>467</v>
      </c>
      <c r="C234" t="s">
        <v>129</v>
      </c>
      <c r="D234">
        <v>41</v>
      </c>
      <c r="E234" t="s">
        <v>87</v>
      </c>
      <c r="F234" t="s">
        <v>52</v>
      </c>
      <c r="G234" t="s">
        <v>39</v>
      </c>
      <c r="H234">
        <v>2407</v>
      </c>
      <c r="I234">
        <v>1458</v>
      </c>
      <c r="J234">
        <v>949</v>
      </c>
      <c r="K234" t="s">
        <v>88</v>
      </c>
      <c r="L234" t="s">
        <v>32</v>
      </c>
      <c r="M234">
        <v>3</v>
      </c>
      <c r="N234" t="s">
        <v>74</v>
      </c>
      <c r="O234" s="6">
        <f t="shared" ca="1" si="3"/>
        <v>45775</v>
      </c>
      <c r="P234">
        <v>3.5</v>
      </c>
    </row>
    <row r="235" spans="1:16" x14ac:dyDescent="0.3">
      <c r="A235" t="s">
        <v>468</v>
      </c>
      <c r="B235" t="s">
        <v>301</v>
      </c>
      <c r="C235" t="s">
        <v>51</v>
      </c>
      <c r="D235">
        <v>45</v>
      </c>
      <c r="E235" t="s">
        <v>37</v>
      </c>
      <c r="F235" t="s">
        <v>20</v>
      </c>
      <c r="G235" t="s">
        <v>104</v>
      </c>
      <c r="H235">
        <v>8107</v>
      </c>
      <c r="I235">
        <v>5706</v>
      </c>
      <c r="J235">
        <v>2401</v>
      </c>
      <c r="K235" t="s">
        <v>59</v>
      </c>
      <c r="L235" t="s">
        <v>47</v>
      </c>
      <c r="M235">
        <v>11</v>
      </c>
      <c r="N235" t="s">
        <v>193</v>
      </c>
      <c r="O235" s="6">
        <f t="shared" ca="1" si="3"/>
        <v>45991</v>
      </c>
      <c r="P235">
        <v>4.3</v>
      </c>
    </row>
    <row r="236" spans="1:16" x14ac:dyDescent="0.3">
      <c r="A236" t="s">
        <v>469</v>
      </c>
      <c r="B236" t="s">
        <v>357</v>
      </c>
      <c r="C236" t="s">
        <v>129</v>
      </c>
      <c r="D236">
        <v>32</v>
      </c>
      <c r="E236" t="s">
        <v>57</v>
      </c>
      <c r="F236" t="s">
        <v>91</v>
      </c>
      <c r="G236" t="s">
        <v>79</v>
      </c>
      <c r="H236">
        <v>2609</v>
      </c>
      <c r="I236">
        <v>939</v>
      </c>
      <c r="J236">
        <v>1670</v>
      </c>
      <c r="K236" t="s">
        <v>59</v>
      </c>
      <c r="L236" t="s">
        <v>23</v>
      </c>
      <c r="M236">
        <v>3</v>
      </c>
      <c r="N236" t="s">
        <v>40</v>
      </c>
      <c r="O236" s="6">
        <f t="shared" ca="1" si="3"/>
        <v>45755</v>
      </c>
      <c r="P236">
        <v>1.9</v>
      </c>
    </row>
    <row r="237" spans="1:16" x14ac:dyDescent="0.3">
      <c r="A237" t="s">
        <v>470</v>
      </c>
      <c r="B237" t="s">
        <v>471</v>
      </c>
      <c r="C237" t="s">
        <v>27</v>
      </c>
      <c r="D237">
        <v>62</v>
      </c>
      <c r="E237" t="s">
        <v>63</v>
      </c>
      <c r="F237" t="s">
        <v>64</v>
      </c>
      <c r="G237" t="s">
        <v>104</v>
      </c>
      <c r="H237">
        <v>5922</v>
      </c>
      <c r="I237">
        <v>3904</v>
      </c>
      <c r="J237">
        <v>2018</v>
      </c>
      <c r="K237" t="s">
        <v>59</v>
      </c>
      <c r="L237" t="s">
        <v>32</v>
      </c>
      <c r="M237">
        <v>2</v>
      </c>
      <c r="N237" t="s">
        <v>118</v>
      </c>
      <c r="O237" s="6">
        <f t="shared" ca="1" si="3"/>
        <v>45813</v>
      </c>
      <c r="P237">
        <v>3.6</v>
      </c>
    </row>
    <row r="238" spans="1:16" x14ac:dyDescent="0.3">
      <c r="A238" t="s">
        <v>472</v>
      </c>
      <c r="B238" t="s">
        <v>278</v>
      </c>
      <c r="C238" t="s">
        <v>18</v>
      </c>
      <c r="D238">
        <v>35</v>
      </c>
      <c r="E238" t="s">
        <v>82</v>
      </c>
      <c r="F238" t="s">
        <v>45</v>
      </c>
      <c r="G238" t="s">
        <v>126</v>
      </c>
      <c r="H238">
        <v>8968</v>
      </c>
      <c r="I238">
        <v>6895</v>
      </c>
      <c r="J238">
        <v>2073</v>
      </c>
      <c r="K238" t="s">
        <v>31</v>
      </c>
      <c r="L238" t="s">
        <v>23</v>
      </c>
      <c r="M238">
        <v>13</v>
      </c>
      <c r="N238" t="s">
        <v>69</v>
      </c>
      <c r="O238" s="6">
        <f t="shared" ca="1" si="3"/>
        <v>45841</v>
      </c>
      <c r="P238">
        <v>3.2</v>
      </c>
    </row>
    <row r="239" spans="1:16" x14ac:dyDescent="0.3">
      <c r="A239" t="s">
        <v>473</v>
      </c>
      <c r="B239" t="s">
        <v>474</v>
      </c>
      <c r="C239" t="s">
        <v>77</v>
      </c>
      <c r="D239">
        <v>38</v>
      </c>
      <c r="E239" t="s">
        <v>82</v>
      </c>
      <c r="F239" t="s">
        <v>38</v>
      </c>
      <c r="G239" t="s">
        <v>92</v>
      </c>
      <c r="H239">
        <v>7069</v>
      </c>
      <c r="I239">
        <v>6699</v>
      </c>
      <c r="J239">
        <v>370</v>
      </c>
      <c r="K239" t="s">
        <v>88</v>
      </c>
      <c r="L239" t="s">
        <v>32</v>
      </c>
      <c r="M239">
        <v>8</v>
      </c>
      <c r="N239" t="s">
        <v>74</v>
      </c>
      <c r="O239" s="6">
        <f t="shared" ca="1" si="3"/>
        <v>45847</v>
      </c>
      <c r="P239">
        <v>4.9000000000000004</v>
      </c>
    </row>
    <row r="240" spans="1:16" x14ac:dyDescent="0.3">
      <c r="A240" t="s">
        <v>475</v>
      </c>
      <c r="B240" t="s">
        <v>266</v>
      </c>
      <c r="C240" t="s">
        <v>62</v>
      </c>
      <c r="D240">
        <v>40</v>
      </c>
      <c r="E240" t="s">
        <v>28</v>
      </c>
      <c r="F240" t="s">
        <v>91</v>
      </c>
      <c r="G240" t="s">
        <v>39</v>
      </c>
      <c r="H240">
        <v>3911</v>
      </c>
      <c r="I240">
        <v>3355</v>
      </c>
      <c r="J240">
        <v>556</v>
      </c>
      <c r="K240" t="s">
        <v>31</v>
      </c>
      <c r="L240" t="s">
        <v>32</v>
      </c>
      <c r="M240">
        <v>2</v>
      </c>
      <c r="N240" t="s">
        <v>33</v>
      </c>
      <c r="O240" s="6">
        <f t="shared" ca="1" si="3"/>
        <v>45868</v>
      </c>
      <c r="P240">
        <v>4.0999999999999996</v>
      </c>
    </row>
    <row r="241" spans="1:16" x14ac:dyDescent="0.3">
      <c r="A241" t="s">
        <v>476</v>
      </c>
      <c r="B241" t="s">
        <v>477</v>
      </c>
      <c r="C241" t="s">
        <v>51</v>
      </c>
      <c r="D241">
        <v>61</v>
      </c>
      <c r="E241" t="s">
        <v>37</v>
      </c>
      <c r="F241" t="s">
        <v>20</v>
      </c>
      <c r="G241" t="s">
        <v>79</v>
      </c>
      <c r="H241">
        <v>2686</v>
      </c>
      <c r="I241">
        <v>1640</v>
      </c>
      <c r="J241">
        <v>1046</v>
      </c>
      <c r="K241" t="s">
        <v>68</v>
      </c>
      <c r="L241" t="s">
        <v>23</v>
      </c>
      <c r="M241">
        <v>13</v>
      </c>
      <c r="N241" t="s">
        <v>24</v>
      </c>
      <c r="O241" s="6">
        <f t="shared" ca="1" si="3"/>
        <v>45839</v>
      </c>
      <c r="P241">
        <v>4</v>
      </c>
    </row>
    <row r="242" spans="1:16" x14ac:dyDescent="0.3">
      <c r="A242" t="s">
        <v>478</v>
      </c>
      <c r="B242" t="s">
        <v>191</v>
      </c>
      <c r="C242" t="s">
        <v>51</v>
      </c>
      <c r="D242">
        <v>55</v>
      </c>
      <c r="E242" t="s">
        <v>78</v>
      </c>
      <c r="F242" t="s">
        <v>38</v>
      </c>
      <c r="G242" t="s">
        <v>39</v>
      </c>
      <c r="H242">
        <v>5415</v>
      </c>
      <c r="I242">
        <v>2870</v>
      </c>
      <c r="J242">
        <v>2545</v>
      </c>
      <c r="K242" t="s">
        <v>22</v>
      </c>
      <c r="L242" t="s">
        <v>32</v>
      </c>
      <c r="M242">
        <v>14</v>
      </c>
      <c r="N242" t="s">
        <v>74</v>
      </c>
      <c r="O242" s="6">
        <f t="shared" ca="1" si="3"/>
        <v>45953</v>
      </c>
      <c r="P242">
        <v>4.8</v>
      </c>
    </row>
    <row r="243" spans="1:16" x14ac:dyDescent="0.3">
      <c r="A243" t="s">
        <v>479</v>
      </c>
      <c r="B243" t="s">
        <v>480</v>
      </c>
      <c r="C243" t="s">
        <v>103</v>
      </c>
      <c r="D243">
        <v>24</v>
      </c>
      <c r="E243" t="s">
        <v>72</v>
      </c>
      <c r="F243" t="s">
        <v>20</v>
      </c>
      <c r="G243" t="s">
        <v>126</v>
      </c>
      <c r="H243">
        <v>3344</v>
      </c>
      <c r="I243">
        <v>2545</v>
      </c>
      <c r="J243">
        <v>799</v>
      </c>
      <c r="K243" t="s">
        <v>88</v>
      </c>
      <c r="L243" t="s">
        <v>23</v>
      </c>
      <c r="M243">
        <v>14</v>
      </c>
      <c r="N243" t="s">
        <v>33</v>
      </c>
      <c r="O243" s="6">
        <f t="shared" ca="1" si="3"/>
        <v>45825</v>
      </c>
      <c r="P243">
        <v>4.0999999999999996</v>
      </c>
    </row>
    <row r="244" spans="1:16" x14ac:dyDescent="0.3">
      <c r="A244" t="s">
        <v>481</v>
      </c>
      <c r="B244" t="s">
        <v>482</v>
      </c>
      <c r="C244" t="s">
        <v>51</v>
      </c>
      <c r="D244">
        <v>61</v>
      </c>
      <c r="E244" t="s">
        <v>72</v>
      </c>
      <c r="F244" t="s">
        <v>64</v>
      </c>
      <c r="G244" t="s">
        <v>73</v>
      </c>
      <c r="H244">
        <v>4711</v>
      </c>
      <c r="I244">
        <v>4202</v>
      </c>
      <c r="J244">
        <v>509</v>
      </c>
      <c r="K244" t="s">
        <v>31</v>
      </c>
      <c r="L244" t="s">
        <v>47</v>
      </c>
      <c r="M244">
        <v>15</v>
      </c>
      <c r="N244" t="s">
        <v>53</v>
      </c>
      <c r="O244" s="6">
        <f t="shared" ca="1" si="3"/>
        <v>45859</v>
      </c>
      <c r="P244">
        <v>3.5</v>
      </c>
    </row>
    <row r="245" spans="1:16" x14ac:dyDescent="0.3">
      <c r="A245" t="s">
        <v>483</v>
      </c>
      <c r="B245" t="s">
        <v>484</v>
      </c>
      <c r="C245" t="s">
        <v>43</v>
      </c>
      <c r="D245">
        <v>50</v>
      </c>
      <c r="E245" t="s">
        <v>63</v>
      </c>
      <c r="F245" t="s">
        <v>38</v>
      </c>
      <c r="G245" t="s">
        <v>79</v>
      </c>
      <c r="H245">
        <v>1101</v>
      </c>
      <c r="I245">
        <v>520</v>
      </c>
      <c r="J245">
        <v>581</v>
      </c>
      <c r="K245" t="s">
        <v>31</v>
      </c>
      <c r="L245" t="s">
        <v>23</v>
      </c>
      <c r="M245">
        <v>8</v>
      </c>
      <c r="N245" t="s">
        <v>95</v>
      </c>
      <c r="O245" s="6">
        <f t="shared" ca="1" si="3"/>
        <v>45753</v>
      </c>
      <c r="P245">
        <v>3</v>
      </c>
    </row>
    <row r="246" spans="1:16" x14ac:dyDescent="0.3">
      <c r="A246" t="s">
        <v>485</v>
      </c>
      <c r="B246" t="s">
        <v>486</v>
      </c>
      <c r="C246" t="s">
        <v>103</v>
      </c>
      <c r="D246">
        <v>34</v>
      </c>
      <c r="E246" t="s">
        <v>63</v>
      </c>
      <c r="F246" t="s">
        <v>45</v>
      </c>
      <c r="G246" t="s">
        <v>58</v>
      </c>
      <c r="H246">
        <v>4406</v>
      </c>
      <c r="I246">
        <v>2823</v>
      </c>
      <c r="J246">
        <v>1583</v>
      </c>
      <c r="K246" t="s">
        <v>68</v>
      </c>
      <c r="L246" t="s">
        <v>23</v>
      </c>
      <c r="M246">
        <v>3</v>
      </c>
      <c r="N246" t="s">
        <v>118</v>
      </c>
      <c r="O246" s="6">
        <f t="shared" ca="1" si="3"/>
        <v>45762</v>
      </c>
      <c r="P246">
        <v>4</v>
      </c>
    </row>
    <row r="247" spans="1:16" x14ac:dyDescent="0.3">
      <c r="A247" t="s">
        <v>487</v>
      </c>
      <c r="B247" t="s">
        <v>291</v>
      </c>
      <c r="C247" t="s">
        <v>77</v>
      </c>
      <c r="D247">
        <v>61</v>
      </c>
      <c r="E247" t="s">
        <v>63</v>
      </c>
      <c r="F247" t="s">
        <v>136</v>
      </c>
      <c r="G247" t="s">
        <v>21</v>
      </c>
      <c r="H247">
        <v>3801</v>
      </c>
      <c r="I247">
        <v>1794</v>
      </c>
      <c r="J247">
        <v>2007</v>
      </c>
      <c r="K247" t="s">
        <v>59</v>
      </c>
      <c r="L247" t="s">
        <v>23</v>
      </c>
      <c r="M247">
        <v>7</v>
      </c>
      <c r="N247" t="s">
        <v>33</v>
      </c>
      <c r="O247" s="6">
        <f t="shared" ca="1" si="3"/>
        <v>45733</v>
      </c>
      <c r="P247">
        <v>3.8</v>
      </c>
    </row>
    <row r="248" spans="1:16" x14ac:dyDescent="0.3">
      <c r="A248" t="s">
        <v>488</v>
      </c>
      <c r="B248" t="s">
        <v>489</v>
      </c>
      <c r="C248" t="s">
        <v>18</v>
      </c>
      <c r="D248">
        <v>26</v>
      </c>
      <c r="E248" t="s">
        <v>57</v>
      </c>
      <c r="F248" t="s">
        <v>45</v>
      </c>
      <c r="G248" t="s">
        <v>21</v>
      </c>
      <c r="H248">
        <v>6467</v>
      </c>
      <c r="I248">
        <v>3546</v>
      </c>
      <c r="J248">
        <v>2921</v>
      </c>
      <c r="K248" t="s">
        <v>88</v>
      </c>
      <c r="L248" t="s">
        <v>23</v>
      </c>
      <c r="M248">
        <v>1</v>
      </c>
      <c r="N248" t="s">
        <v>40</v>
      </c>
      <c r="O248" s="6">
        <f t="shared" ca="1" si="3"/>
        <v>46016</v>
      </c>
      <c r="P248">
        <v>1.7</v>
      </c>
    </row>
    <row r="249" spans="1:16" x14ac:dyDescent="0.3">
      <c r="A249" t="s">
        <v>490</v>
      </c>
      <c r="B249" t="s">
        <v>396</v>
      </c>
      <c r="C249" t="s">
        <v>62</v>
      </c>
      <c r="D249">
        <v>48</v>
      </c>
      <c r="E249" t="s">
        <v>87</v>
      </c>
      <c r="F249" t="s">
        <v>98</v>
      </c>
      <c r="G249" t="s">
        <v>46</v>
      </c>
      <c r="H249">
        <v>4401</v>
      </c>
      <c r="I249">
        <v>2248</v>
      </c>
      <c r="J249">
        <v>2153</v>
      </c>
      <c r="K249" t="s">
        <v>88</v>
      </c>
      <c r="L249" t="s">
        <v>47</v>
      </c>
      <c r="M249">
        <v>10</v>
      </c>
      <c r="N249" t="s">
        <v>33</v>
      </c>
      <c r="O249" s="6">
        <f t="shared" ca="1" si="3"/>
        <v>45964</v>
      </c>
      <c r="P249">
        <v>4.0999999999999996</v>
      </c>
    </row>
    <row r="250" spans="1:16" x14ac:dyDescent="0.3">
      <c r="A250" t="s">
        <v>491</v>
      </c>
      <c r="B250" t="s">
        <v>259</v>
      </c>
      <c r="C250" t="s">
        <v>43</v>
      </c>
      <c r="D250">
        <v>28</v>
      </c>
      <c r="E250" t="s">
        <v>37</v>
      </c>
      <c r="F250" t="s">
        <v>20</v>
      </c>
      <c r="G250" t="s">
        <v>104</v>
      </c>
      <c r="H250">
        <v>2217</v>
      </c>
      <c r="I250">
        <v>1080</v>
      </c>
      <c r="J250">
        <v>1137</v>
      </c>
      <c r="K250" t="s">
        <v>68</v>
      </c>
      <c r="L250" t="s">
        <v>23</v>
      </c>
      <c r="M250">
        <v>12</v>
      </c>
      <c r="N250" t="s">
        <v>53</v>
      </c>
      <c r="O250" s="6">
        <f t="shared" ca="1" si="3"/>
        <v>45974</v>
      </c>
      <c r="P250">
        <v>3.2</v>
      </c>
    </row>
    <row r="251" spans="1:16" x14ac:dyDescent="0.3">
      <c r="A251" t="s">
        <v>492</v>
      </c>
      <c r="B251" t="s">
        <v>493</v>
      </c>
      <c r="C251" t="s">
        <v>18</v>
      </c>
      <c r="D251">
        <v>29</v>
      </c>
      <c r="E251" t="s">
        <v>37</v>
      </c>
      <c r="F251" t="s">
        <v>20</v>
      </c>
      <c r="G251" t="s">
        <v>126</v>
      </c>
      <c r="H251">
        <v>3432</v>
      </c>
      <c r="I251">
        <v>1060</v>
      </c>
      <c r="J251">
        <v>2372</v>
      </c>
      <c r="K251" t="s">
        <v>68</v>
      </c>
      <c r="L251" t="s">
        <v>23</v>
      </c>
      <c r="M251">
        <v>10</v>
      </c>
      <c r="N251" t="s">
        <v>193</v>
      </c>
      <c r="O251" s="6">
        <f t="shared" ca="1" si="3"/>
        <v>45725</v>
      </c>
      <c r="P251">
        <v>3.4</v>
      </c>
    </row>
    <row r="252" spans="1:16" x14ac:dyDescent="0.3">
      <c r="A252" t="s">
        <v>494</v>
      </c>
      <c r="B252" t="s">
        <v>495</v>
      </c>
      <c r="C252" t="s">
        <v>129</v>
      </c>
      <c r="D252">
        <v>47</v>
      </c>
      <c r="E252" t="s">
        <v>44</v>
      </c>
      <c r="F252" t="s">
        <v>91</v>
      </c>
      <c r="G252" t="s">
        <v>30</v>
      </c>
      <c r="H252">
        <v>1821</v>
      </c>
      <c r="I252">
        <v>1210</v>
      </c>
      <c r="J252">
        <v>611</v>
      </c>
      <c r="K252" t="s">
        <v>68</v>
      </c>
      <c r="L252" t="s">
        <v>32</v>
      </c>
      <c r="M252">
        <v>2</v>
      </c>
      <c r="N252" t="s">
        <v>118</v>
      </c>
      <c r="O252" s="6">
        <f t="shared" ca="1" si="3"/>
        <v>45728</v>
      </c>
      <c r="P252">
        <v>5</v>
      </c>
    </row>
    <row r="253" spans="1:16" x14ac:dyDescent="0.3">
      <c r="A253" t="s">
        <v>496</v>
      </c>
      <c r="B253" t="s">
        <v>497</v>
      </c>
      <c r="C253" t="s">
        <v>129</v>
      </c>
      <c r="D253">
        <v>36</v>
      </c>
      <c r="E253" t="s">
        <v>72</v>
      </c>
      <c r="F253" t="s">
        <v>98</v>
      </c>
      <c r="G253" t="s">
        <v>30</v>
      </c>
      <c r="H253">
        <v>7694</v>
      </c>
      <c r="I253">
        <v>5033</v>
      </c>
      <c r="J253">
        <v>2661</v>
      </c>
      <c r="K253" t="s">
        <v>22</v>
      </c>
      <c r="L253" t="s">
        <v>23</v>
      </c>
      <c r="M253">
        <v>10</v>
      </c>
      <c r="N253" t="s">
        <v>116</v>
      </c>
      <c r="O253" s="6">
        <f t="shared" ca="1" si="3"/>
        <v>45713</v>
      </c>
      <c r="P253">
        <v>3.8</v>
      </c>
    </row>
    <row r="254" spans="1:16" x14ac:dyDescent="0.3">
      <c r="A254" t="s">
        <v>498</v>
      </c>
      <c r="B254" t="s">
        <v>407</v>
      </c>
      <c r="C254" t="s">
        <v>27</v>
      </c>
      <c r="D254">
        <v>59</v>
      </c>
      <c r="E254" t="s">
        <v>82</v>
      </c>
      <c r="F254" t="s">
        <v>52</v>
      </c>
      <c r="G254" t="s">
        <v>73</v>
      </c>
      <c r="H254">
        <v>5767</v>
      </c>
      <c r="I254">
        <v>2921</v>
      </c>
      <c r="J254">
        <v>2846</v>
      </c>
      <c r="K254" t="s">
        <v>88</v>
      </c>
      <c r="L254" t="s">
        <v>32</v>
      </c>
      <c r="M254">
        <v>15</v>
      </c>
      <c r="N254" t="s">
        <v>33</v>
      </c>
      <c r="O254" s="6">
        <f t="shared" ca="1" si="3"/>
        <v>45799</v>
      </c>
      <c r="P254">
        <v>3.5</v>
      </c>
    </row>
    <row r="255" spans="1:16" x14ac:dyDescent="0.3">
      <c r="A255" t="s">
        <v>499</v>
      </c>
      <c r="B255" t="s">
        <v>236</v>
      </c>
      <c r="C255" t="s">
        <v>56</v>
      </c>
      <c r="D255">
        <v>61</v>
      </c>
      <c r="E255" t="s">
        <v>44</v>
      </c>
      <c r="F255" t="s">
        <v>98</v>
      </c>
      <c r="G255" t="s">
        <v>92</v>
      </c>
      <c r="H255">
        <v>2277</v>
      </c>
      <c r="I255">
        <v>598</v>
      </c>
      <c r="J255">
        <v>1679</v>
      </c>
      <c r="K255" t="s">
        <v>31</v>
      </c>
      <c r="L255" t="s">
        <v>23</v>
      </c>
      <c r="M255">
        <v>1</v>
      </c>
      <c r="N255" t="s">
        <v>40</v>
      </c>
      <c r="O255" s="6">
        <f t="shared" ca="1" si="3"/>
        <v>45929</v>
      </c>
      <c r="P255">
        <v>1.7</v>
      </c>
    </row>
    <row r="256" spans="1:16" x14ac:dyDescent="0.3">
      <c r="A256" t="s">
        <v>500</v>
      </c>
      <c r="B256" t="s">
        <v>497</v>
      </c>
      <c r="C256" t="s">
        <v>27</v>
      </c>
      <c r="D256">
        <v>64</v>
      </c>
      <c r="E256" t="s">
        <v>78</v>
      </c>
      <c r="F256" t="s">
        <v>91</v>
      </c>
      <c r="G256" t="s">
        <v>21</v>
      </c>
      <c r="H256">
        <v>3241</v>
      </c>
      <c r="I256">
        <v>636</v>
      </c>
      <c r="J256">
        <v>2605</v>
      </c>
      <c r="K256" t="s">
        <v>22</v>
      </c>
      <c r="L256" t="s">
        <v>23</v>
      </c>
      <c r="M256">
        <v>5</v>
      </c>
      <c r="N256" t="s">
        <v>33</v>
      </c>
      <c r="O256" s="6">
        <f t="shared" ca="1" si="3"/>
        <v>45940</v>
      </c>
      <c r="P256">
        <v>4.0999999999999996</v>
      </c>
    </row>
    <row r="257" spans="1:16" x14ac:dyDescent="0.3">
      <c r="A257" t="s">
        <v>501</v>
      </c>
      <c r="B257" t="s">
        <v>471</v>
      </c>
      <c r="C257" t="s">
        <v>18</v>
      </c>
      <c r="D257">
        <v>61</v>
      </c>
      <c r="E257" t="s">
        <v>82</v>
      </c>
      <c r="F257" t="s">
        <v>64</v>
      </c>
      <c r="G257" t="s">
        <v>73</v>
      </c>
      <c r="H257">
        <v>8096</v>
      </c>
      <c r="I257">
        <v>6249</v>
      </c>
      <c r="J257">
        <v>1847</v>
      </c>
      <c r="K257" t="s">
        <v>59</v>
      </c>
      <c r="L257" t="s">
        <v>23</v>
      </c>
      <c r="M257">
        <v>9</v>
      </c>
      <c r="N257" t="s">
        <v>74</v>
      </c>
      <c r="O257" s="6">
        <f t="shared" ca="1" si="3"/>
        <v>45664</v>
      </c>
      <c r="P257">
        <v>4.3</v>
      </c>
    </row>
    <row r="258" spans="1:16" x14ac:dyDescent="0.3">
      <c r="A258" t="s">
        <v>502</v>
      </c>
      <c r="B258" t="s">
        <v>323</v>
      </c>
      <c r="C258" t="s">
        <v>18</v>
      </c>
      <c r="D258">
        <v>26</v>
      </c>
      <c r="E258" t="s">
        <v>82</v>
      </c>
      <c r="F258" t="s">
        <v>52</v>
      </c>
      <c r="G258" t="s">
        <v>126</v>
      </c>
      <c r="H258">
        <v>6432</v>
      </c>
      <c r="I258">
        <v>4894</v>
      </c>
      <c r="J258">
        <v>1538</v>
      </c>
      <c r="K258" t="s">
        <v>88</v>
      </c>
      <c r="L258" t="s">
        <v>23</v>
      </c>
      <c r="M258">
        <v>11</v>
      </c>
      <c r="N258" t="s">
        <v>53</v>
      </c>
      <c r="O258" s="6">
        <f t="shared" ca="1" si="3"/>
        <v>45882</v>
      </c>
      <c r="P258">
        <v>3.7</v>
      </c>
    </row>
    <row r="259" spans="1:16" x14ac:dyDescent="0.3">
      <c r="A259" t="s">
        <v>503</v>
      </c>
      <c r="B259" t="s">
        <v>388</v>
      </c>
      <c r="C259" t="s">
        <v>62</v>
      </c>
      <c r="D259">
        <v>26</v>
      </c>
      <c r="E259" t="s">
        <v>37</v>
      </c>
      <c r="F259" t="s">
        <v>98</v>
      </c>
      <c r="G259" t="s">
        <v>104</v>
      </c>
      <c r="H259">
        <v>8208</v>
      </c>
      <c r="I259">
        <v>5515</v>
      </c>
      <c r="J259">
        <v>2693</v>
      </c>
      <c r="K259" t="s">
        <v>22</v>
      </c>
      <c r="L259" t="s">
        <v>32</v>
      </c>
      <c r="M259">
        <v>11</v>
      </c>
      <c r="N259" t="s">
        <v>193</v>
      </c>
      <c r="O259" s="6">
        <f t="shared" ref="O259:O322" ca="1" si="4">RANDBETWEEN(DATE(2025,1,1),DATE(2025,12,31))</f>
        <v>45741</v>
      </c>
      <c r="P259">
        <v>4.5999999999999996</v>
      </c>
    </row>
    <row r="260" spans="1:16" x14ac:dyDescent="0.3">
      <c r="A260" t="s">
        <v>504</v>
      </c>
      <c r="B260" t="s">
        <v>505</v>
      </c>
      <c r="C260" t="s">
        <v>36</v>
      </c>
      <c r="D260">
        <v>31</v>
      </c>
      <c r="E260" t="s">
        <v>63</v>
      </c>
      <c r="F260" t="s">
        <v>38</v>
      </c>
      <c r="G260" t="s">
        <v>92</v>
      </c>
      <c r="H260">
        <v>5998</v>
      </c>
      <c r="I260">
        <v>4737</v>
      </c>
      <c r="J260">
        <v>1261</v>
      </c>
      <c r="K260" t="s">
        <v>22</v>
      </c>
      <c r="L260" t="s">
        <v>23</v>
      </c>
      <c r="M260">
        <v>3</v>
      </c>
      <c r="N260" t="s">
        <v>116</v>
      </c>
      <c r="O260" s="6">
        <f t="shared" ca="1" si="4"/>
        <v>45680</v>
      </c>
      <c r="P260">
        <v>5</v>
      </c>
    </row>
    <row r="261" spans="1:16" x14ac:dyDescent="0.3">
      <c r="A261" t="s">
        <v>506</v>
      </c>
      <c r="B261" t="s">
        <v>106</v>
      </c>
      <c r="C261" t="s">
        <v>103</v>
      </c>
      <c r="D261">
        <v>38</v>
      </c>
      <c r="E261" t="s">
        <v>82</v>
      </c>
      <c r="F261" t="s">
        <v>98</v>
      </c>
      <c r="G261" t="s">
        <v>39</v>
      </c>
      <c r="H261">
        <v>8896</v>
      </c>
      <c r="I261">
        <v>6335</v>
      </c>
      <c r="J261">
        <v>2561</v>
      </c>
      <c r="K261" t="s">
        <v>68</v>
      </c>
      <c r="L261" t="s">
        <v>23</v>
      </c>
      <c r="M261">
        <v>8</v>
      </c>
      <c r="N261" t="s">
        <v>69</v>
      </c>
      <c r="O261" s="6">
        <f t="shared" ca="1" si="4"/>
        <v>45920</v>
      </c>
      <c r="P261">
        <v>3.2</v>
      </c>
    </row>
    <row r="262" spans="1:16" x14ac:dyDescent="0.3">
      <c r="A262" t="s">
        <v>507</v>
      </c>
      <c r="B262" t="s">
        <v>508</v>
      </c>
      <c r="C262" t="s">
        <v>51</v>
      </c>
      <c r="D262">
        <v>31</v>
      </c>
      <c r="E262" t="s">
        <v>57</v>
      </c>
      <c r="F262" t="s">
        <v>20</v>
      </c>
      <c r="G262" t="s">
        <v>39</v>
      </c>
      <c r="H262">
        <v>7456</v>
      </c>
      <c r="I262">
        <v>6835</v>
      </c>
      <c r="J262">
        <v>621</v>
      </c>
      <c r="K262" t="s">
        <v>59</v>
      </c>
      <c r="L262" t="s">
        <v>47</v>
      </c>
      <c r="M262">
        <v>5</v>
      </c>
      <c r="N262" t="s">
        <v>40</v>
      </c>
      <c r="O262" s="6">
        <f t="shared" ca="1" si="4"/>
        <v>45798</v>
      </c>
      <c r="P262">
        <v>1.3</v>
      </c>
    </row>
    <row r="263" spans="1:16" x14ac:dyDescent="0.3">
      <c r="A263" t="s">
        <v>509</v>
      </c>
      <c r="B263" t="s">
        <v>510</v>
      </c>
      <c r="C263" t="s">
        <v>36</v>
      </c>
      <c r="D263">
        <v>21</v>
      </c>
      <c r="E263" t="s">
        <v>19</v>
      </c>
      <c r="F263" t="s">
        <v>136</v>
      </c>
      <c r="G263" t="s">
        <v>104</v>
      </c>
      <c r="H263">
        <v>5249</v>
      </c>
      <c r="I263">
        <v>3481</v>
      </c>
      <c r="J263">
        <v>1768</v>
      </c>
      <c r="K263" t="s">
        <v>31</v>
      </c>
      <c r="L263" t="s">
        <v>23</v>
      </c>
      <c r="M263">
        <v>1</v>
      </c>
      <c r="N263" t="s">
        <v>40</v>
      </c>
      <c r="O263" s="6">
        <f t="shared" ca="1" si="4"/>
        <v>45952</v>
      </c>
      <c r="P263">
        <v>2.7</v>
      </c>
    </row>
    <row r="264" spans="1:16" x14ac:dyDescent="0.3">
      <c r="A264" t="s">
        <v>511</v>
      </c>
      <c r="B264" t="s">
        <v>354</v>
      </c>
      <c r="C264" t="s">
        <v>43</v>
      </c>
      <c r="D264">
        <v>36</v>
      </c>
      <c r="E264" t="s">
        <v>37</v>
      </c>
      <c r="F264" t="s">
        <v>38</v>
      </c>
      <c r="G264" t="s">
        <v>39</v>
      </c>
      <c r="H264">
        <v>3679</v>
      </c>
      <c r="I264">
        <v>1138</v>
      </c>
      <c r="J264">
        <v>2541</v>
      </c>
      <c r="K264" t="s">
        <v>59</v>
      </c>
      <c r="L264" t="s">
        <v>47</v>
      </c>
      <c r="M264">
        <v>9</v>
      </c>
      <c r="N264" t="s">
        <v>24</v>
      </c>
      <c r="O264" s="6">
        <f t="shared" ca="1" si="4"/>
        <v>45704</v>
      </c>
      <c r="P264">
        <v>4</v>
      </c>
    </row>
    <row r="265" spans="1:16" x14ac:dyDescent="0.3">
      <c r="A265" t="s">
        <v>512</v>
      </c>
      <c r="B265" t="s">
        <v>510</v>
      </c>
      <c r="C265" t="s">
        <v>103</v>
      </c>
      <c r="D265">
        <v>25</v>
      </c>
      <c r="E265" t="s">
        <v>63</v>
      </c>
      <c r="F265" t="s">
        <v>45</v>
      </c>
      <c r="G265" t="s">
        <v>39</v>
      </c>
      <c r="H265">
        <v>3734</v>
      </c>
      <c r="I265">
        <v>3181</v>
      </c>
      <c r="J265">
        <v>553</v>
      </c>
      <c r="K265" t="s">
        <v>68</v>
      </c>
      <c r="L265" t="s">
        <v>23</v>
      </c>
      <c r="M265">
        <v>1</v>
      </c>
      <c r="N265" t="s">
        <v>95</v>
      </c>
      <c r="O265" s="6">
        <f t="shared" ca="1" si="4"/>
        <v>45846</v>
      </c>
      <c r="P265">
        <v>3.5</v>
      </c>
    </row>
    <row r="266" spans="1:16" x14ac:dyDescent="0.3">
      <c r="A266" t="s">
        <v>513</v>
      </c>
      <c r="B266" t="s">
        <v>514</v>
      </c>
      <c r="C266" t="s">
        <v>18</v>
      </c>
      <c r="D266">
        <v>60</v>
      </c>
      <c r="E266" t="s">
        <v>19</v>
      </c>
      <c r="F266" t="s">
        <v>91</v>
      </c>
      <c r="G266" t="s">
        <v>58</v>
      </c>
      <c r="H266">
        <v>7567</v>
      </c>
      <c r="I266">
        <v>5347</v>
      </c>
      <c r="J266">
        <v>2220</v>
      </c>
      <c r="K266" t="s">
        <v>59</v>
      </c>
      <c r="L266" t="s">
        <v>23</v>
      </c>
      <c r="M266">
        <v>1</v>
      </c>
      <c r="N266" t="s">
        <v>40</v>
      </c>
      <c r="O266" s="6">
        <f t="shared" ca="1" si="4"/>
        <v>45764</v>
      </c>
      <c r="P266">
        <v>1.3</v>
      </c>
    </row>
    <row r="267" spans="1:16" x14ac:dyDescent="0.3">
      <c r="A267" t="s">
        <v>515</v>
      </c>
      <c r="B267" t="s">
        <v>516</v>
      </c>
      <c r="C267" t="s">
        <v>103</v>
      </c>
      <c r="D267">
        <v>22</v>
      </c>
      <c r="E267" t="s">
        <v>19</v>
      </c>
      <c r="F267" t="s">
        <v>29</v>
      </c>
      <c r="G267" t="s">
        <v>58</v>
      </c>
      <c r="H267">
        <v>5948</v>
      </c>
      <c r="I267">
        <v>5709</v>
      </c>
      <c r="J267">
        <v>239</v>
      </c>
      <c r="K267" t="s">
        <v>88</v>
      </c>
      <c r="L267" t="s">
        <v>32</v>
      </c>
      <c r="M267">
        <v>0</v>
      </c>
      <c r="N267" t="s">
        <v>40</v>
      </c>
      <c r="O267" s="6">
        <f t="shared" ca="1" si="4"/>
        <v>46003</v>
      </c>
      <c r="P267">
        <v>2.2000000000000002</v>
      </c>
    </row>
    <row r="268" spans="1:16" x14ac:dyDescent="0.3">
      <c r="A268" t="s">
        <v>517</v>
      </c>
      <c r="B268" t="s">
        <v>195</v>
      </c>
      <c r="C268" t="s">
        <v>62</v>
      </c>
      <c r="D268">
        <v>54</v>
      </c>
      <c r="E268" t="s">
        <v>19</v>
      </c>
      <c r="F268" t="s">
        <v>64</v>
      </c>
      <c r="G268" t="s">
        <v>104</v>
      </c>
      <c r="H268">
        <v>1773</v>
      </c>
      <c r="I268">
        <v>990</v>
      </c>
      <c r="J268">
        <v>783</v>
      </c>
      <c r="K268" t="s">
        <v>31</v>
      </c>
      <c r="L268" t="s">
        <v>47</v>
      </c>
      <c r="M268">
        <v>2</v>
      </c>
      <c r="N268" t="s">
        <v>24</v>
      </c>
      <c r="O268" s="6">
        <f t="shared" ca="1" si="4"/>
        <v>45862</v>
      </c>
      <c r="P268">
        <v>3.9</v>
      </c>
    </row>
    <row r="269" spans="1:16" x14ac:dyDescent="0.3">
      <c r="A269" t="s">
        <v>518</v>
      </c>
      <c r="B269" t="s">
        <v>519</v>
      </c>
      <c r="C269" t="s">
        <v>43</v>
      </c>
      <c r="D269">
        <v>50</v>
      </c>
      <c r="E269" t="s">
        <v>87</v>
      </c>
      <c r="F269" t="s">
        <v>67</v>
      </c>
      <c r="G269" t="s">
        <v>21</v>
      </c>
      <c r="H269">
        <v>5386</v>
      </c>
      <c r="I269">
        <v>4640</v>
      </c>
      <c r="J269">
        <v>746</v>
      </c>
      <c r="K269" t="s">
        <v>31</v>
      </c>
      <c r="L269" t="s">
        <v>23</v>
      </c>
      <c r="M269">
        <v>7</v>
      </c>
      <c r="N269" t="s">
        <v>53</v>
      </c>
      <c r="O269" s="6">
        <f t="shared" ca="1" si="4"/>
        <v>45752</v>
      </c>
      <c r="P269">
        <v>4.4000000000000004</v>
      </c>
    </row>
    <row r="270" spans="1:16" x14ac:dyDescent="0.3">
      <c r="A270" t="s">
        <v>520</v>
      </c>
      <c r="B270" t="s">
        <v>521</v>
      </c>
      <c r="C270" t="s">
        <v>129</v>
      </c>
      <c r="D270">
        <v>36</v>
      </c>
      <c r="E270" t="s">
        <v>72</v>
      </c>
      <c r="F270" t="s">
        <v>45</v>
      </c>
      <c r="G270" t="s">
        <v>58</v>
      </c>
      <c r="H270">
        <v>5255</v>
      </c>
      <c r="I270">
        <v>3719</v>
      </c>
      <c r="J270">
        <v>1536</v>
      </c>
      <c r="K270" t="s">
        <v>59</v>
      </c>
      <c r="L270" t="s">
        <v>23</v>
      </c>
      <c r="M270">
        <v>5</v>
      </c>
      <c r="N270" t="s">
        <v>33</v>
      </c>
      <c r="O270" s="6">
        <f t="shared" ca="1" si="4"/>
        <v>45757</v>
      </c>
      <c r="P270">
        <v>4.0999999999999996</v>
      </c>
    </row>
    <row r="271" spans="1:16" x14ac:dyDescent="0.3">
      <c r="A271" t="s">
        <v>522</v>
      </c>
      <c r="B271" t="s">
        <v>480</v>
      </c>
      <c r="C271" t="s">
        <v>51</v>
      </c>
      <c r="D271">
        <v>27</v>
      </c>
      <c r="E271" t="s">
        <v>78</v>
      </c>
      <c r="F271" t="s">
        <v>98</v>
      </c>
      <c r="G271" t="s">
        <v>126</v>
      </c>
      <c r="H271">
        <v>6290</v>
      </c>
      <c r="I271">
        <v>4182</v>
      </c>
      <c r="J271">
        <v>2108</v>
      </c>
      <c r="K271" t="s">
        <v>59</v>
      </c>
      <c r="L271" t="s">
        <v>47</v>
      </c>
      <c r="M271">
        <v>2</v>
      </c>
      <c r="N271" t="s">
        <v>74</v>
      </c>
      <c r="O271" s="6">
        <f t="shared" ca="1" si="4"/>
        <v>45886</v>
      </c>
      <c r="P271">
        <v>3.5</v>
      </c>
    </row>
    <row r="272" spans="1:16" x14ac:dyDescent="0.3">
      <c r="A272" t="s">
        <v>523</v>
      </c>
      <c r="B272" t="s">
        <v>524</v>
      </c>
      <c r="C272" t="s">
        <v>56</v>
      </c>
      <c r="D272">
        <v>37</v>
      </c>
      <c r="E272" t="s">
        <v>87</v>
      </c>
      <c r="F272" t="s">
        <v>98</v>
      </c>
      <c r="G272" t="s">
        <v>126</v>
      </c>
      <c r="H272">
        <v>7566</v>
      </c>
      <c r="I272">
        <v>6120</v>
      </c>
      <c r="J272">
        <v>1446</v>
      </c>
      <c r="K272" t="s">
        <v>59</v>
      </c>
      <c r="L272" t="s">
        <v>32</v>
      </c>
      <c r="M272">
        <v>12</v>
      </c>
      <c r="N272" t="s">
        <v>118</v>
      </c>
      <c r="O272" s="6">
        <f t="shared" ca="1" si="4"/>
        <v>45737</v>
      </c>
      <c r="P272">
        <v>4.5</v>
      </c>
    </row>
    <row r="273" spans="1:16" x14ac:dyDescent="0.3">
      <c r="A273" t="s">
        <v>525</v>
      </c>
      <c r="B273" t="s">
        <v>364</v>
      </c>
      <c r="C273" t="s">
        <v>77</v>
      </c>
      <c r="D273">
        <v>36</v>
      </c>
      <c r="E273" t="s">
        <v>57</v>
      </c>
      <c r="F273" t="s">
        <v>64</v>
      </c>
      <c r="G273" t="s">
        <v>92</v>
      </c>
      <c r="H273">
        <v>3874</v>
      </c>
      <c r="I273">
        <v>901</v>
      </c>
      <c r="J273">
        <v>2973</v>
      </c>
      <c r="K273" t="s">
        <v>88</v>
      </c>
      <c r="L273" t="s">
        <v>47</v>
      </c>
      <c r="M273">
        <v>14</v>
      </c>
      <c r="N273" t="s">
        <v>193</v>
      </c>
      <c r="O273" s="6">
        <f t="shared" ca="1" si="4"/>
        <v>45923</v>
      </c>
      <c r="P273">
        <v>3.5</v>
      </c>
    </row>
    <row r="274" spans="1:16" x14ac:dyDescent="0.3">
      <c r="A274" t="s">
        <v>526</v>
      </c>
      <c r="B274" t="s">
        <v>527</v>
      </c>
      <c r="C274" t="s">
        <v>27</v>
      </c>
      <c r="D274">
        <v>36</v>
      </c>
      <c r="E274" t="s">
        <v>87</v>
      </c>
      <c r="F274" t="s">
        <v>91</v>
      </c>
      <c r="G274" t="s">
        <v>21</v>
      </c>
      <c r="H274">
        <v>2342</v>
      </c>
      <c r="I274">
        <v>1645</v>
      </c>
      <c r="J274">
        <v>697</v>
      </c>
      <c r="K274" t="s">
        <v>59</v>
      </c>
      <c r="L274" t="s">
        <v>47</v>
      </c>
      <c r="M274">
        <v>14</v>
      </c>
      <c r="N274" t="s">
        <v>33</v>
      </c>
      <c r="O274" s="6">
        <f t="shared" ca="1" si="4"/>
        <v>45911</v>
      </c>
      <c r="P274">
        <v>3.6</v>
      </c>
    </row>
    <row r="275" spans="1:16" x14ac:dyDescent="0.3">
      <c r="A275" t="s">
        <v>528</v>
      </c>
      <c r="B275" t="s">
        <v>529</v>
      </c>
      <c r="C275" t="s">
        <v>77</v>
      </c>
      <c r="D275">
        <v>58</v>
      </c>
      <c r="E275" t="s">
        <v>44</v>
      </c>
      <c r="F275" t="s">
        <v>45</v>
      </c>
      <c r="G275" t="s">
        <v>21</v>
      </c>
      <c r="H275">
        <v>1142</v>
      </c>
      <c r="I275">
        <v>678</v>
      </c>
      <c r="J275">
        <v>464</v>
      </c>
      <c r="K275" t="s">
        <v>22</v>
      </c>
      <c r="L275" t="s">
        <v>32</v>
      </c>
      <c r="M275">
        <v>11</v>
      </c>
      <c r="N275" t="s">
        <v>69</v>
      </c>
      <c r="O275" s="6">
        <f t="shared" ca="1" si="4"/>
        <v>46011</v>
      </c>
      <c r="P275">
        <v>3.7</v>
      </c>
    </row>
    <row r="276" spans="1:16" x14ac:dyDescent="0.3">
      <c r="A276" t="s">
        <v>530</v>
      </c>
      <c r="B276" t="s">
        <v>149</v>
      </c>
      <c r="C276" t="s">
        <v>36</v>
      </c>
      <c r="D276">
        <v>50</v>
      </c>
      <c r="E276" t="s">
        <v>28</v>
      </c>
      <c r="F276" t="s">
        <v>20</v>
      </c>
      <c r="G276" t="s">
        <v>79</v>
      </c>
      <c r="H276">
        <v>5865</v>
      </c>
      <c r="I276">
        <v>4048</v>
      </c>
      <c r="J276">
        <v>1817</v>
      </c>
      <c r="K276" t="s">
        <v>68</v>
      </c>
      <c r="L276" t="s">
        <v>32</v>
      </c>
      <c r="M276">
        <v>7</v>
      </c>
      <c r="N276" t="s">
        <v>48</v>
      </c>
      <c r="O276" s="6">
        <f t="shared" ca="1" si="4"/>
        <v>45858</v>
      </c>
      <c r="P276">
        <v>3.3</v>
      </c>
    </row>
    <row r="277" spans="1:16" x14ac:dyDescent="0.3">
      <c r="A277" t="s">
        <v>531</v>
      </c>
      <c r="B277" t="s">
        <v>287</v>
      </c>
      <c r="C277" t="s">
        <v>129</v>
      </c>
      <c r="D277">
        <v>38</v>
      </c>
      <c r="E277" t="s">
        <v>72</v>
      </c>
      <c r="F277" t="s">
        <v>91</v>
      </c>
      <c r="G277" t="s">
        <v>126</v>
      </c>
      <c r="H277">
        <v>3498</v>
      </c>
      <c r="I277">
        <v>783</v>
      </c>
      <c r="J277">
        <v>2715</v>
      </c>
      <c r="K277" t="s">
        <v>88</v>
      </c>
      <c r="L277" t="s">
        <v>23</v>
      </c>
      <c r="M277">
        <v>4</v>
      </c>
      <c r="N277" t="s">
        <v>116</v>
      </c>
      <c r="O277" s="6">
        <f t="shared" ca="1" si="4"/>
        <v>45755</v>
      </c>
      <c r="P277">
        <v>3.6</v>
      </c>
    </row>
    <row r="278" spans="1:16" x14ac:dyDescent="0.3">
      <c r="A278" t="s">
        <v>532</v>
      </c>
      <c r="B278" t="s">
        <v>533</v>
      </c>
      <c r="C278" t="s">
        <v>36</v>
      </c>
      <c r="D278">
        <v>26</v>
      </c>
      <c r="E278" t="s">
        <v>72</v>
      </c>
      <c r="F278" t="s">
        <v>64</v>
      </c>
      <c r="G278" t="s">
        <v>126</v>
      </c>
      <c r="H278">
        <v>4950</v>
      </c>
      <c r="I278">
        <v>3934</v>
      </c>
      <c r="J278">
        <v>1016</v>
      </c>
      <c r="K278" t="s">
        <v>31</v>
      </c>
      <c r="L278" t="s">
        <v>23</v>
      </c>
      <c r="M278">
        <v>13</v>
      </c>
      <c r="N278" t="s">
        <v>74</v>
      </c>
      <c r="O278" s="6">
        <f t="shared" ca="1" si="4"/>
        <v>45843</v>
      </c>
      <c r="P278">
        <v>4.0999999999999996</v>
      </c>
    </row>
    <row r="279" spans="1:16" x14ac:dyDescent="0.3">
      <c r="A279" t="s">
        <v>534</v>
      </c>
      <c r="B279" t="s">
        <v>535</v>
      </c>
      <c r="C279" t="s">
        <v>43</v>
      </c>
      <c r="D279">
        <v>51</v>
      </c>
      <c r="E279" t="s">
        <v>82</v>
      </c>
      <c r="F279" t="s">
        <v>91</v>
      </c>
      <c r="G279" t="s">
        <v>58</v>
      </c>
      <c r="H279">
        <v>7390</v>
      </c>
      <c r="I279">
        <v>5133</v>
      </c>
      <c r="J279">
        <v>2257</v>
      </c>
      <c r="K279" t="s">
        <v>68</v>
      </c>
      <c r="L279" t="s">
        <v>23</v>
      </c>
      <c r="M279">
        <v>5</v>
      </c>
      <c r="N279" t="s">
        <v>193</v>
      </c>
      <c r="O279" s="6">
        <f t="shared" ca="1" si="4"/>
        <v>45974</v>
      </c>
      <c r="P279">
        <v>3.8</v>
      </c>
    </row>
    <row r="280" spans="1:16" x14ac:dyDescent="0.3">
      <c r="A280" t="s">
        <v>536</v>
      </c>
      <c r="B280" t="s">
        <v>537</v>
      </c>
      <c r="C280" t="s">
        <v>36</v>
      </c>
      <c r="D280">
        <v>38</v>
      </c>
      <c r="E280" t="s">
        <v>28</v>
      </c>
      <c r="F280" t="s">
        <v>91</v>
      </c>
      <c r="G280" t="s">
        <v>92</v>
      </c>
      <c r="H280">
        <v>6020</v>
      </c>
      <c r="I280">
        <v>3428</v>
      </c>
      <c r="J280">
        <v>2592</v>
      </c>
      <c r="K280" t="s">
        <v>59</v>
      </c>
      <c r="L280" t="s">
        <v>47</v>
      </c>
      <c r="M280">
        <v>1</v>
      </c>
      <c r="N280" t="s">
        <v>40</v>
      </c>
      <c r="O280" s="6">
        <f t="shared" ca="1" si="4"/>
        <v>45664</v>
      </c>
      <c r="P280">
        <v>1</v>
      </c>
    </row>
    <row r="281" spans="1:16" x14ac:dyDescent="0.3">
      <c r="A281" t="s">
        <v>538</v>
      </c>
      <c r="B281" t="s">
        <v>100</v>
      </c>
      <c r="C281" t="s">
        <v>27</v>
      </c>
      <c r="D281">
        <v>24</v>
      </c>
      <c r="E281" t="s">
        <v>19</v>
      </c>
      <c r="F281" t="s">
        <v>67</v>
      </c>
      <c r="G281" t="s">
        <v>73</v>
      </c>
      <c r="H281">
        <v>4317</v>
      </c>
      <c r="I281">
        <v>3406</v>
      </c>
      <c r="J281">
        <v>911</v>
      </c>
      <c r="K281" t="s">
        <v>68</v>
      </c>
      <c r="L281" t="s">
        <v>23</v>
      </c>
      <c r="M281">
        <v>10</v>
      </c>
      <c r="N281" t="s">
        <v>95</v>
      </c>
      <c r="O281" s="6">
        <f t="shared" ca="1" si="4"/>
        <v>46006</v>
      </c>
      <c r="P281">
        <v>4.4000000000000004</v>
      </c>
    </row>
    <row r="282" spans="1:16" x14ac:dyDescent="0.3">
      <c r="A282" t="s">
        <v>539</v>
      </c>
      <c r="B282" t="s">
        <v>540</v>
      </c>
      <c r="C282" t="s">
        <v>43</v>
      </c>
      <c r="D282">
        <v>57</v>
      </c>
      <c r="E282" t="s">
        <v>44</v>
      </c>
      <c r="F282" t="s">
        <v>20</v>
      </c>
      <c r="G282" t="s">
        <v>79</v>
      </c>
      <c r="H282">
        <v>4258</v>
      </c>
      <c r="I282">
        <v>2042</v>
      </c>
      <c r="J282">
        <v>2216</v>
      </c>
      <c r="K282" t="s">
        <v>22</v>
      </c>
      <c r="L282" t="s">
        <v>23</v>
      </c>
      <c r="M282">
        <v>3</v>
      </c>
      <c r="N282" t="s">
        <v>69</v>
      </c>
      <c r="O282" s="6">
        <f t="shared" ca="1" si="4"/>
        <v>45748</v>
      </c>
      <c r="P282">
        <v>4.5</v>
      </c>
    </row>
    <row r="283" spans="1:16" x14ac:dyDescent="0.3">
      <c r="A283" t="s">
        <v>541</v>
      </c>
      <c r="B283" t="s">
        <v>200</v>
      </c>
      <c r="C283" t="s">
        <v>51</v>
      </c>
      <c r="D283">
        <v>35</v>
      </c>
      <c r="E283" t="s">
        <v>28</v>
      </c>
      <c r="F283" t="s">
        <v>29</v>
      </c>
      <c r="G283" t="s">
        <v>104</v>
      </c>
      <c r="H283">
        <v>2063</v>
      </c>
      <c r="I283">
        <v>505</v>
      </c>
      <c r="J283">
        <v>1558</v>
      </c>
      <c r="K283" t="s">
        <v>68</v>
      </c>
      <c r="L283" t="s">
        <v>23</v>
      </c>
      <c r="M283">
        <v>1</v>
      </c>
      <c r="N283" t="s">
        <v>40</v>
      </c>
      <c r="O283" s="6">
        <f t="shared" ca="1" si="4"/>
        <v>45710</v>
      </c>
      <c r="P283">
        <v>2.6</v>
      </c>
    </row>
    <row r="284" spans="1:16" x14ac:dyDescent="0.3">
      <c r="A284" t="s">
        <v>542</v>
      </c>
      <c r="B284" t="s">
        <v>461</v>
      </c>
      <c r="C284" t="s">
        <v>43</v>
      </c>
      <c r="D284">
        <v>24</v>
      </c>
      <c r="E284" t="s">
        <v>28</v>
      </c>
      <c r="F284" t="s">
        <v>20</v>
      </c>
      <c r="G284" t="s">
        <v>79</v>
      </c>
      <c r="H284">
        <v>7052</v>
      </c>
      <c r="I284">
        <v>6272</v>
      </c>
      <c r="J284">
        <v>780</v>
      </c>
      <c r="K284" t="s">
        <v>22</v>
      </c>
      <c r="L284" t="s">
        <v>23</v>
      </c>
      <c r="M284">
        <v>14</v>
      </c>
      <c r="N284" t="s">
        <v>74</v>
      </c>
      <c r="O284" s="6">
        <f t="shared" ca="1" si="4"/>
        <v>45962</v>
      </c>
      <c r="P284">
        <v>4.0999999999999996</v>
      </c>
    </row>
    <row r="285" spans="1:16" x14ac:dyDescent="0.3">
      <c r="A285" t="s">
        <v>543</v>
      </c>
      <c r="B285" t="s">
        <v>544</v>
      </c>
      <c r="C285" t="s">
        <v>103</v>
      </c>
      <c r="D285">
        <v>58</v>
      </c>
      <c r="E285" t="s">
        <v>87</v>
      </c>
      <c r="F285" t="s">
        <v>38</v>
      </c>
      <c r="G285" t="s">
        <v>39</v>
      </c>
      <c r="H285">
        <v>3900</v>
      </c>
      <c r="I285">
        <v>3142</v>
      </c>
      <c r="J285">
        <v>758</v>
      </c>
      <c r="K285" t="s">
        <v>88</v>
      </c>
      <c r="L285" t="s">
        <v>32</v>
      </c>
      <c r="M285">
        <v>5</v>
      </c>
      <c r="N285" t="s">
        <v>40</v>
      </c>
      <c r="O285" s="6">
        <f t="shared" ca="1" si="4"/>
        <v>45712</v>
      </c>
      <c r="P285">
        <v>1.6</v>
      </c>
    </row>
    <row r="286" spans="1:16" x14ac:dyDescent="0.3">
      <c r="A286" t="s">
        <v>545</v>
      </c>
      <c r="B286" t="s">
        <v>364</v>
      </c>
      <c r="C286" t="s">
        <v>27</v>
      </c>
      <c r="D286">
        <v>65</v>
      </c>
      <c r="E286" t="s">
        <v>44</v>
      </c>
      <c r="F286" t="s">
        <v>38</v>
      </c>
      <c r="G286" t="s">
        <v>30</v>
      </c>
      <c r="H286">
        <v>8564</v>
      </c>
      <c r="I286">
        <v>5952</v>
      </c>
      <c r="J286">
        <v>2612</v>
      </c>
      <c r="K286" t="s">
        <v>68</v>
      </c>
      <c r="L286" t="s">
        <v>32</v>
      </c>
      <c r="M286">
        <v>7</v>
      </c>
      <c r="N286" t="s">
        <v>116</v>
      </c>
      <c r="O286" s="6">
        <f t="shared" ca="1" si="4"/>
        <v>45906</v>
      </c>
      <c r="P286">
        <v>4.3</v>
      </c>
    </row>
    <row r="287" spans="1:16" x14ac:dyDescent="0.3">
      <c r="A287" t="s">
        <v>546</v>
      </c>
      <c r="B287" t="s">
        <v>157</v>
      </c>
      <c r="C287" t="s">
        <v>36</v>
      </c>
      <c r="D287">
        <v>65</v>
      </c>
      <c r="E287" t="s">
        <v>44</v>
      </c>
      <c r="F287" t="s">
        <v>64</v>
      </c>
      <c r="G287" t="s">
        <v>79</v>
      </c>
      <c r="H287">
        <v>1710</v>
      </c>
      <c r="I287">
        <v>765</v>
      </c>
      <c r="J287">
        <v>945</v>
      </c>
      <c r="K287" t="s">
        <v>31</v>
      </c>
      <c r="L287" t="s">
        <v>32</v>
      </c>
      <c r="M287">
        <v>15</v>
      </c>
      <c r="N287" t="s">
        <v>118</v>
      </c>
      <c r="O287" s="6">
        <f t="shared" ca="1" si="4"/>
        <v>45960</v>
      </c>
      <c r="P287">
        <v>3.6</v>
      </c>
    </row>
    <row r="288" spans="1:16" x14ac:dyDescent="0.3">
      <c r="A288" t="s">
        <v>547</v>
      </c>
      <c r="B288" t="s">
        <v>240</v>
      </c>
      <c r="C288" t="s">
        <v>56</v>
      </c>
      <c r="D288">
        <v>30</v>
      </c>
      <c r="E288" t="s">
        <v>57</v>
      </c>
      <c r="F288" t="s">
        <v>98</v>
      </c>
      <c r="G288" t="s">
        <v>30</v>
      </c>
      <c r="H288">
        <v>4849</v>
      </c>
      <c r="I288">
        <v>3341</v>
      </c>
      <c r="J288">
        <v>1508</v>
      </c>
      <c r="K288" t="s">
        <v>68</v>
      </c>
      <c r="L288" t="s">
        <v>47</v>
      </c>
      <c r="M288">
        <v>15</v>
      </c>
      <c r="N288" t="s">
        <v>53</v>
      </c>
      <c r="O288" s="6">
        <f t="shared" ca="1" si="4"/>
        <v>45945</v>
      </c>
      <c r="P288">
        <v>4.4000000000000004</v>
      </c>
    </row>
    <row r="289" spans="1:16" x14ac:dyDescent="0.3">
      <c r="A289" t="s">
        <v>548</v>
      </c>
      <c r="B289" t="s">
        <v>549</v>
      </c>
      <c r="C289" t="s">
        <v>18</v>
      </c>
      <c r="D289">
        <v>34</v>
      </c>
      <c r="E289" t="s">
        <v>19</v>
      </c>
      <c r="F289" t="s">
        <v>98</v>
      </c>
      <c r="G289" t="s">
        <v>58</v>
      </c>
      <c r="H289">
        <v>3244</v>
      </c>
      <c r="I289">
        <v>2602</v>
      </c>
      <c r="J289">
        <v>642</v>
      </c>
      <c r="K289" t="s">
        <v>88</v>
      </c>
      <c r="L289" t="s">
        <v>47</v>
      </c>
      <c r="M289">
        <v>1</v>
      </c>
      <c r="N289" t="s">
        <v>48</v>
      </c>
      <c r="O289" s="6">
        <f t="shared" ca="1" si="4"/>
        <v>45797</v>
      </c>
      <c r="P289">
        <v>4</v>
      </c>
    </row>
    <row r="290" spans="1:16" x14ac:dyDescent="0.3">
      <c r="A290" t="s">
        <v>550</v>
      </c>
      <c r="B290" t="s">
        <v>461</v>
      </c>
      <c r="C290" t="s">
        <v>103</v>
      </c>
      <c r="D290">
        <v>52</v>
      </c>
      <c r="E290" t="s">
        <v>37</v>
      </c>
      <c r="F290" t="s">
        <v>38</v>
      </c>
      <c r="G290" t="s">
        <v>92</v>
      </c>
      <c r="H290">
        <v>4189</v>
      </c>
      <c r="I290">
        <v>3574</v>
      </c>
      <c r="J290">
        <v>615</v>
      </c>
      <c r="K290" t="s">
        <v>59</v>
      </c>
      <c r="L290" t="s">
        <v>32</v>
      </c>
      <c r="M290">
        <v>13</v>
      </c>
      <c r="N290" t="s">
        <v>118</v>
      </c>
      <c r="O290" s="6">
        <f t="shared" ca="1" si="4"/>
        <v>45978</v>
      </c>
      <c r="P290">
        <v>4.7</v>
      </c>
    </row>
    <row r="291" spans="1:16" x14ac:dyDescent="0.3">
      <c r="A291" t="s">
        <v>551</v>
      </c>
      <c r="B291" t="s">
        <v>552</v>
      </c>
      <c r="C291" t="s">
        <v>77</v>
      </c>
      <c r="D291">
        <v>23</v>
      </c>
      <c r="E291" t="s">
        <v>72</v>
      </c>
      <c r="F291" t="s">
        <v>136</v>
      </c>
      <c r="G291" t="s">
        <v>58</v>
      </c>
      <c r="H291">
        <v>3267</v>
      </c>
      <c r="I291">
        <v>2639</v>
      </c>
      <c r="J291">
        <v>628</v>
      </c>
      <c r="K291" t="s">
        <v>22</v>
      </c>
      <c r="L291" t="s">
        <v>32</v>
      </c>
      <c r="M291">
        <v>3</v>
      </c>
      <c r="N291" t="s">
        <v>48</v>
      </c>
      <c r="O291" s="6">
        <f t="shared" ca="1" si="4"/>
        <v>45734</v>
      </c>
      <c r="P291">
        <v>5</v>
      </c>
    </row>
    <row r="292" spans="1:16" x14ac:dyDescent="0.3">
      <c r="A292" t="s">
        <v>553</v>
      </c>
      <c r="B292" t="s">
        <v>251</v>
      </c>
      <c r="C292" t="s">
        <v>77</v>
      </c>
      <c r="D292">
        <v>42</v>
      </c>
      <c r="E292" t="s">
        <v>44</v>
      </c>
      <c r="F292" t="s">
        <v>67</v>
      </c>
      <c r="G292" t="s">
        <v>104</v>
      </c>
      <c r="H292">
        <v>6597</v>
      </c>
      <c r="I292">
        <v>6271</v>
      </c>
      <c r="J292">
        <v>326</v>
      </c>
      <c r="K292" t="s">
        <v>88</v>
      </c>
      <c r="L292" t="s">
        <v>23</v>
      </c>
      <c r="M292">
        <v>11</v>
      </c>
      <c r="N292" t="s">
        <v>193</v>
      </c>
      <c r="O292" s="6">
        <f t="shared" ca="1" si="4"/>
        <v>45943</v>
      </c>
      <c r="P292">
        <v>3.2</v>
      </c>
    </row>
    <row r="293" spans="1:16" x14ac:dyDescent="0.3">
      <c r="A293" t="s">
        <v>554</v>
      </c>
      <c r="B293" t="s">
        <v>113</v>
      </c>
      <c r="C293" t="s">
        <v>77</v>
      </c>
      <c r="D293">
        <v>42</v>
      </c>
      <c r="E293" t="s">
        <v>19</v>
      </c>
      <c r="F293" t="s">
        <v>52</v>
      </c>
      <c r="G293" t="s">
        <v>73</v>
      </c>
      <c r="H293">
        <v>8680</v>
      </c>
      <c r="I293">
        <v>6211</v>
      </c>
      <c r="J293">
        <v>2469</v>
      </c>
      <c r="K293" t="s">
        <v>68</v>
      </c>
      <c r="L293" t="s">
        <v>23</v>
      </c>
      <c r="M293">
        <v>12</v>
      </c>
      <c r="N293" t="s">
        <v>74</v>
      </c>
      <c r="O293" s="6">
        <f t="shared" ca="1" si="4"/>
        <v>45963</v>
      </c>
      <c r="P293">
        <v>3.2</v>
      </c>
    </row>
    <row r="294" spans="1:16" x14ac:dyDescent="0.3">
      <c r="A294" t="s">
        <v>555</v>
      </c>
      <c r="B294" t="s">
        <v>407</v>
      </c>
      <c r="C294" t="s">
        <v>77</v>
      </c>
      <c r="D294">
        <v>24</v>
      </c>
      <c r="E294" t="s">
        <v>37</v>
      </c>
      <c r="F294" t="s">
        <v>67</v>
      </c>
      <c r="G294" t="s">
        <v>92</v>
      </c>
      <c r="H294">
        <v>5350</v>
      </c>
      <c r="I294">
        <v>4521</v>
      </c>
      <c r="J294">
        <v>829</v>
      </c>
      <c r="K294" t="s">
        <v>68</v>
      </c>
      <c r="L294" t="s">
        <v>47</v>
      </c>
      <c r="M294">
        <v>1</v>
      </c>
      <c r="N294" t="s">
        <v>48</v>
      </c>
      <c r="O294" s="6">
        <f t="shared" ca="1" si="4"/>
        <v>45927</v>
      </c>
      <c r="P294">
        <v>4.4000000000000004</v>
      </c>
    </row>
    <row r="295" spans="1:16" x14ac:dyDescent="0.3">
      <c r="A295" t="s">
        <v>556</v>
      </c>
      <c r="B295" t="s">
        <v>557</v>
      </c>
      <c r="C295" t="s">
        <v>62</v>
      </c>
      <c r="D295">
        <v>27</v>
      </c>
      <c r="E295" t="s">
        <v>28</v>
      </c>
      <c r="F295" t="s">
        <v>52</v>
      </c>
      <c r="G295" t="s">
        <v>126</v>
      </c>
      <c r="H295">
        <v>7123</v>
      </c>
      <c r="I295">
        <v>5728</v>
      </c>
      <c r="J295">
        <v>1395</v>
      </c>
      <c r="K295" t="s">
        <v>68</v>
      </c>
      <c r="L295" t="s">
        <v>47</v>
      </c>
      <c r="M295">
        <v>3</v>
      </c>
      <c r="N295" t="s">
        <v>40</v>
      </c>
      <c r="O295" s="6">
        <f t="shared" ca="1" si="4"/>
        <v>45950</v>
      </c>
      <c r="P295">
        <v>1.8</v>
      </c>
    </row>
    <row r="296" spans="1:16" x14ac:dyDescent="0.3">
      <c r="A296" t="s">
        <v>558</v>
      </c>
      <c r="B296" t="s">
        <v>559</v>
      </c>
      <c r="C296" t="s">
        <v>56</v>
      </c>
      <c r="D296">
        <v>63</v>
      </c>
      <c r="E296" t="s">
        <v>72</v>
      </c>
      <c r="F296" t="s">
        <v>98</v>
      </c>
      <c r="G296" t="s">
        <v>92</v>
      </c>
      <c r="H296">
        <v>4631</v>
      </c>
      <c r="I296">
        <v>3674</v>
      </c>
      <c r="J296">
        <v>957</v>
      </c>
      <c r="K296" t="s">
        <v>88</v>
      </c>
      <c r="L296" t="s">
        <v>47</v>
      </c>
      <c r="M296">
        <v>7</v>
      </c>
      <c r="N296" t="s">
        <v>95</v>
      </c>
      <c r="O296" s="6">
        <f t="shared" ca="1" si="4"/>
        <v>45824</v>
      </c>
      <c r="P296">
        <v>4.5</v>
      </c>
    </row>
    <row r="297" spans="1:16" x14ac:dyDescent="0.3">
      <c r="A297" t="s">
        <v>560</v>
      </c>
      <c r="B297" t="s">
        <v>268</v>
      </c>
      <c r="C297" t="s">
        <v>56</v>
      </c>
      <c r="D297">
        <v>50</v>
      </c>
      <c r="E297" t="s">
        <v>72</v>
      </c>
      <c r="F297" t="s">
        <v>52</v>
      </c>
      <c r="G297" t="s">
        <v>39</v>
      </c>
      <c r="H297">
        <v>5574</v>
      </c>
      <c r="I297">
        <v>5122</v>
      </c>
      <c r="J297">
        <v>452</v>
      </c>
      <c r="K297" t="s">
        <v>68</v>
      </c>
      <c r="L297" t="s">
        <v>47</v>
      </c>
      <c r="M297">
        <v>12</v>
      </c>
      <c r="N297" t="s">
        <v>53</v>
      </c>
      <c r="O297" s="6">
        <f t="shared" ca="1" si="4"/>
        <v>45985</v>
      </c>
      <c r="P297">
        <v>3.3</v>
      </c>
    </row>
    <row r="298" spans="1:16" x14ac:dyDescent="0.3">
      <c r="A298" t="s">
        <v>561</v>
      </c>
      <c r="B298" t="s">
        <v>562</v>
      </c>
      <c r="C298" t="s">
        <v>51</v>
      </c>
      <c r="D298">
        <v>35</v>
      </c>
      <c r="E298" t="s">
        <v>82</v>
      </c>
      <c r="F298" t="s">
        <v>136</v>
      </c>
      <c r="G298" t="s">
        <v>73</v>
      </c>
      <c r="H298">
        <v>6694</v>
      </c>
      <c r="I298">
        <v>4780</v>
      </c>
      <c r="J298">
        <v>1914</v>
      </c>
      <c r="K298" t="s">
        <v>31</v>
      </c>
      <c r="L298" t="s">
        <v>23</v>
      </c>
      <c r="M298">
        <v>5</v>
      </c>
      <c r="N298" t="s">
        <v>40</v>
      </c>
      <c r="O298" s="6">
        <f t="shared" ca="1" si="4"/>
        <v>45853</v>
      </c>
      <c r="P298">
        <v>2.5</v>
      </c>
    </row>
    <row r="299" spans="1:16" x14ac:dyDescent="0.3">
      <c r="A299" t="s">
        <v>563</v>
      </c>
      <c r="B299" t="s">
        <v>564</v>
      </c>
      <c r="C299" t="s">
        <v>18</v>
      </c>
      <c r="D299">
        <v>26</v>
      </c>
      <c r="E299" t="s">
        <v>37</v>
      </c>
      <c r="F299" t="s">
        <v>136</v>
      </c>
      <c r="G299" t="s">
        <v>92</v>
      </c>
      <c r="H299">
        <v>7495</v>
      </c>
      <c r="I299">
        <v>5179</v>
      </c>
      <c r="J299">
        <v>2316</v>
      </c>
      <c r="K299" t="s">
        <v>22</v>
      </c>
      <c r="L299" t="s">
        <v>32</v>
      </c>
      <c r="M299">
        <v>11</v>
      </c>
      <c r="N299" t="s">
        <v>118</v>
      </c>
      <c r="O299" s="6">
        <f t="shared" ca="1" si="4"/>
        <v>45663</v>
      </c>
      <c r="P299">
        <v>3.3</v>
      </c>
    </row>
    <row r="300" spans="1:16" x14ac:dyDescent="0.3">
      <c r="A300" t="s">
        <v>565</v>
      </c>
      <c r="B300" t="s">
        <v>566</v>
      </c>
      <c r="C300" t="s">
        <v>129</v>
      </c>
      <c r="D300">
        <v>34</v>
      </c>
      <c r="E300" t="s">
        <v>19</v>
      </c>
      <c r="F300" t="s">
        <v>20</v>
      </c>
      <c r="G300" t="s">
        <v>46</v>
      </c>
      <c r="H300">
        <v>4488</v>
      </c>
      <c r="I300">
        <v>3968</v>
      </c>
      <c r="J300">
        <v>520</v>
      </c>
      <c r="K300" t="s">
        <v>59</v>
      </c>
      <c r="L300" t="s">
        <v>23</v>
      </c>
      <c r="M300">
        <v>3</v>
      </c>
      <c r="N300" t="s">
        <v>40</v>
      </c>
      <c r="O300" s="6">
        <f t="shared" ca="1" si="4"/>
        <v>45744</v>
      </c>
      <c r="P300">
        <v>1.9</v>
      </c>
    </row>
    <row r="301" spans="1:16" x14ac:dyDescent="0.3">
      <c r="A301" t="s">
        <v>567</v>
      </c>
      <c r="B301" t="s">
        <v>205</v>
      </c>
      <c r="C301" t="s">
        <v>43</v>
      </c>
      <c r="D301">
        <v>25</v>
      </c>
      <c r="E301" t="s">
        <v>87</v>
      </c>
      <c r="F301" t="s">
        <v>64</v>
      </c>
      <c r="G301" t="s">
        <v>92</v>
      </c>
      <c r="H301">
        <v>6216</v>
      </c>
      <c r="I301">
        <v>3755</v>
      </c>
      <c r="J301">
        <v>2461</v>
      </c>
      <c r="K301" t="s">
        <v>22</v>
      </c>
      <c r="L301" t="s">
        <v>32</v>
      </c>
      <c r="M301">
        <v>5</v>
      </c>
      <c r="N301" t="s">
        <v>74</v>
      </c>
      <c r="O301" s="6">
        <f t="shared" ca="1" si="4"/>
        <v>45853</v>
      </c>
      <c r="P301">
        <v>4.9000000000000004</v>
      </c>
    </row>
    <row r="302" spans="1:16" x14ac:dyDescent="0.3">
      <c r="A302" t="s">
        <v>568</v>
      </c>
      <c r="B302" t="s">
        <v>569</v>
      </c>
      <c r="C302" t="s">
        <v>27</v>
      </c>
      <c r="D302">
        <v>47</v>
      </c>
      <c r="E302" t="s">
        <v>87</v>
      </c>
      <c r="F302" t="s">
        <v>64</v>
      </c>
      <c r="G302" t="s">
        <v>126</v>
      </c>
      <c r="H302">
        <v>4234</v>
      </c>
      <c r="I302">
        <v>1714</v>
      </c>
      <c r="J302">
        <v>2520</v>
      </c>
      <c r="K302" t="s">
        <v>31</v>
      </c>
      <c r="L302" t="s">
        <v>32</v>
      </c>
      <c r="M302">
        <v>13</v>
      </c>
      <c r="N302" t="s">
        <v>53</v>
      </c>
      <c r="O302" s="6">
        <f t="shared" ca="1" si="4"/>
        <v>45765</v>
      </c>
      <c r="P302">
        <v>3.1</v>
      </c>
    </row>
    <row r="303" spans="1:16" x14ac:dyDescent="0.3">
      <c r="A303" t="s">
        <v>570</v>
      </c>
      <c r="B303" t="s">
        <v>229</v>
      </c>
      <c r="C303" t="s">
        <v>18</v>
      </c>
      <c r="D303">
        <v>55</v>
      </c>
      <c r="E303" t="s">
        <v>57</v>
      </c>
      <c r="F303" t="s">
        <v>64</v>
      </c>
      <c r="G303" t="s">
        <v>39</v>
      </c>
      <c r="H303">
        <v>6519</v>
      </c>
      <c r="I303">
        <v>3637</v>
      </c>
      <c r="J303">
        <v>2882</v>
      </c>
      <c r="K303" t="s">
        <v>59</v>
      </c>
      <c r="L303" t="s">
        <v>23</v>
      </c>
      <c r="M303">
        <v>10</v>
      </c>
      <c r="N303" t="s">
        <v>69</v>
      </c>
      <c r="O303" s="6">
        <f t="shared" ca="1" si="4"/>
        <v>45778</v>
      </c>
      <c r="P303">
        <v>3.8</v>
      </c>
    </row>
    <row r="304" spans="1:16" x14ac:dyDescent="0.3">
      <c r="A304" t="s">
        <v>571</v>
      </c>
      <c r="B304" t="s">
        <v>572</v>
      </c>
      <c r="C304" t="s">
        <v>129</v>
      </c>
      <c r="D304">
        <v>60</v>
      </c>
      <c r="E304" t="s">
        <v>44</v>
      </c>
      <c r="F304" t="s">
        <v>64</v>
      </c>
      <c r="G304" t="s">
        <v>46</v>
      </c>
      <c r="H304">
        <v>5299</v>
      </c>
      <c r="I304">
        <v>3742</v>
      </c>
      <c r="J304">
        <v>1557</v>
      </c>
      <c r="K304" t="s">
        <v>68</v>
      </c>
      <c r="L304" t="s">
        <v>47</v>
      </c>
      <c r="M304">
        <v>1</v>
      </c>
      <c r="N304" t="s">
        <v>69</v>
      </c>
      <c r="O304" s="6">
        <f t="shared" ca="1" si="4"/>
        <v>45810</v>
      </c>
      <c r="P304">
        <v>3.3</v>
      </c>
    </row>
    <row r="305" spans="1:16" x14ac:dyDescent="0.3">
      <c r="A305" t="s">
        <v>573</v>
      </c>
      <c r="B305" t="s">
        <v>338</v>
      </c>
      <c r="C305" t="s">
        <v>18</v>
      </c>
      <c r="D305">
        <v>40</v>
      </c>
      <c r="E305" t="s">
        <v>72</v>
      </c>
      <c r="F305" t="s">
        <v>91</v>
      </c>
      <c r="G305" t="s">
        <v>21</v>
      </c>
      <c r="H305">
        <v>3117</v>
      </c>
      <c r="I305">
        <v>2367</v>
      </c>
      <c r="J305">
        <v>750</v>
      </c>
      <c r="K305" t="s">
        <v>68</v>
      </c>
      <c r="L305" t="s">
        <v>32</v>
      </c>
      <c r="M305">
        <v>12</v>
      </c>
      <c r="N305" t="s">
        <v>69</v>
      </c>
      <c r="O305" s="6">
        <f t="shared" ca="1" si="4"/>
        <v>45708</v>
      </c>
      <c r="P305">
        <v>4.5999999999999996</v>
      </c>
    </row>
    <row r="306" spans="1:16" x14ac:dyDescent="0.3">
      <c r="A306" t="s">
        <v>574</v>
      </c>
      <c r="B306" t="s">
        <v>575</v>
      </c>
      <c r="C306" t="s">
        <v>77</v>
      </c>
      <c r="D306">
        <v>33</v>
      </c>
      <c r="E306" t="s">
        <v>63</v>
      </c>
      <c r="F306" t="s">
        <v>52</v>
      </c>
      <c r="G306" t="s">
        <v>73</v>
      </c>
      <c r="H306">
        <v>8753</v>
      </c>
      <c r="I306">
        <v>6569</v>
      </c>
      <c r="J306">
        <v>2184</v>
      </c>
      <c r="K306" t="s">
        <v>31</v>
      </c>
      <c r="L306" t="s">
        <v>23</v>
      </c>
      <c r="M306">
        <v>14</v>
      </c>
      <c r="N306" t="s">
        <v>95</v>
      </c>
      <c r="O306" s="6">
        <f t="shared" ca="1" si="4"/>
        <v>45821</v>
      </c>
      <c r="P306">
        <v>4</v>
      </c>
    </row>
    <row r="307" spans="1:16" x14ac:dyDescent="0.3">
      <c r="A307" t="s">
        <v>576</v>
      </c>
      <c r="B307" t="s">
        <v>234</v>
      </c>
      <c r="C307" t="s">
        <v>18</v>
      </c>
      <c r="D307">
        <v>53</v>
      </c>
      <c r="E307" t="s">
        <v>37</v>
      </c>
      <c r="F307" t="s">
        <v>20</v>
      </c>
      <c r="G307" t="s">
        <v>92</v>
      </c>
      <c r="H307">
        <v>5476</v>
      </c>
      <c r="I307">
        <v>5158</v>
      </c>
      <c r="J307">
        <v>318</v>
      </c>
      <c r="K307" t="s">
        <v>59</v>
      </c>
      <c r="L307" t="s">
        <v>32</v>
      </c>
      <c r="M307">
        <v>15</v>
      </c>
      <c r="N307" t="s">
        <v>33</v>
      </c>
      <c r="O307" s="6">
        <f t="shared" ca="1" si="4"/>
        <v>45807</v>
      </c>
      <c r="P307">
        <v>4.5</v>
      </c>
    </row>
    <row r="308" spans="1:16" x14ac:dyDescent="0.3">
      <c r="A308" t="s">
        <v>577</v>
      </c>
      <c r="B308" t="s">
        <v>508</v>
      </c>
      <c r="C308" t="s">
        <v>36</v>
      </c>
      <c r="D308">
        <v>44</v>
      </c>
      <c r="E308" t="s">
        <v>19</v>
      </c>
      <c r="F308" t="s">
        <v>45</v>
      </c>
      <c r="G308" t="s">
        <v>58</v>
      </c>
      <c r="H308">
        <v>6570</v>
      </c>
      <c r="I308">
        <v>4302</v>
      </c>
      <c r="J308">
        <v>2268</v>
      </c>
      <c r="K308" t="s">
        <v>22</v>
      </c>
      <c r="L308" t="s">
        <v>32</v>
      </c>
      <c r="M308">
        <v>15</v>
      </c>
      <c r="N308" t="s">
        <v>53</v>
      </c>
      <c r="O308" s="6">
        <f t="shared" ca="1" si="4"/>
        <v>45678</v>
      </c>
      <c r="P308">
        <v>4.0999999999999996</v>
      </c>
    </row>
    <row r="309" spans="1:16" x14ac:dyDescent="0.3">
      <c r="A309" t="s">
        <v>578</v>
      </c>
      <c r="B309" t="s">
        <v>343</v>
      </c>
      <c r="C309" t="s">
        <v>56</v>
      </c>
      <c r="D309">
        <v>59</v>
      </c>
      <c r="E309" t="s">
        <v>63</v>
      </c>
      <c r="F309" t="s">
        <v>20</v>
      </c>
      <c r="G309" t="s">
        <v>104</v>
      </c>
      <c r="H309">
        <v>7765</v>
      </c>
      <c r="I309">
        <v>5307</v>
      </c>
      <c r="J309">
        <v>2458</v>
      </c>
      <c r="K309" t="s">
        <v>22</v>
      </c>
      <c r="L309" t="s">
        <v>23</v>
      </c>
      <c r="M309">
        <v>3</v>
      </c>
      <c r="N309" t="s">
        <v>116</v>
      </c>
      <c r="O309" s="6">
        <f t="shared" ca="1" si="4"/>
        <v>45934</v>
      </c>
      <c r="P309">
        <v>3.8</v>
      </c>
    </row>
    <row r="310" spans="1:16" x14ac:dyDescent="0.3">
      <c r="A310" t="s">
        <v>579</v>
      </c>
      <c r="B310" t="s">
        <v>278</v>
      </c>
      <c r="C310" t="s">
        <v>103</v>
      </c>
      <c r="D310">
        <v>24</v>
      </c>
      <c r="E310" t="s">
        <v>78</v>
      </c>
      <c r="F310" t="s">
        <v>67</v>
      </c>
      <c r="G310" t="s">
        <v>30</v>
      </c>
      <c r="H310">
        <v>5164</v>
      </c>
      <c r="I310">
        <v>2313</v>
      </c>
      <c r="J310">
        <v>2851</v>
      </c>
      <c r="K310" t="s">
        <v>88</v>
      </c>
      <c r="L310" t="s">
        <v>47</v>
      </c>
      <c r="M310">
        <v>4</v>
      </c>
      <c r="N310" t="s">
        <v>116</v>
      </c>
      <c r="O310" s="6">
        <f t="shared" ca="1" si="4"/>
        <v>45895</v>
      </c>
      <c r="P310">
        <v>3.6</v>
      </c>
    </row>
    <row r="311" spans="1:16" x14ac:dyDescent="0.3">
      <c r="A311" t="s">
        <v>580</v>
      </c>
      <c r="B311" t="s">
        <v>510</v>
      </c>
      <c r="C311" t="s">
        <v>36</v>
      </c>
      <c r="D311">
        <v>51</v>
      </c>
      <c r="E311" t="s">
        <v>78</v>
      </c>
      <c r="F311" t="s">
        <v>20</v>
      </c>
      <c r="G311" t="s">
        <v>79</v>
      </c>
      <c r="H311">
        <v>1685</v>
      </c>
      <c r="I311">
        <v>569</v>
      </c>
      <c r="J311">
        <v>1116</v>
      </c>
      <c r="K311" t="s">
        <v>68</v>
      </c>
      <c r="L311" t="s">
        <v>23</v>
      </c>
      <c r="M311">
        <v>13</v>
      </c>
      <c r="N311" t="s">
        <v>116</v>
      </c>
      <c r="O311" s="6">
        <f t="shared" ca="1" si="4"/>
        <v>45966</v>
      </c>
      <c r="P311">
        <v>3.9</v>
      </c>
    </row>
    <row r="312" spans="1:16" x14ac:dyDescent="0.3">
      <c r="A312" t="s">
        <v>581</v>
      </c>
      <c r="B312" t="s">
        <v>151</v>
      </c>
      <c r="C312" t="s">
        <v>103</v>
      </c>
      <c r="D312">
        <v>43</v>
      </c>
      <c r="E312" t="s">
        <v>63</v>
      </c>
      <c r="F312" t="s">
        <v>45</v>
      </c>
      <c r="G312" t="s">
        <v>30</v>
      </c>
      <c r="H312">
        <v>5760</v>
      </c>
      <c r="I312">
        <v>4323</v>
      </c>
      <c r="J312">
        <v>1437</v>
      </c>
      <c r="K312" t="s">
        <v>31</v>
      </c>
      <c r="L312" t="s">
        <v>32</v>
      </c>
      <c r="M312">
        <v>14</v>
      </c>
      <c r="N312" t="s">
        <v>118</v>
      </c>
      <c r="O312" s="6">
        <f t="shared" ca="1" si="4"/>
        <v>45809</v>
      </c>
      <c r="P312">
        <v>3.6</v>
      </c>
    </row>
    <row r="313" spans="1:16" x14ac:dyDescent="0.3">
      <c r="A313" t="s">
        <v>582</v>
      </c>
      <c r="B313" t="s">
        <v>17</v>
      </c>
      <c r="C313" t="s">
        <v>27</v>
      </c>
      <c r="D313">
        <v>63</v>
      </c>
      <c r="E313" t="s">
        <v>57</v>
      </c>
      <c r="F313" t="s">
        <v>29</v>
      </c>
      <c r="G313" t="s">
        <v>79</v>
      </c>
      <c r="H313">
        <v>6846</v>
      </c>
      <c r="I313">
        <v>5489</v>
      </c>
      <c r="J313">
        <v>1357</v>
      </c>
      <c r="K313" t="s">
        <v>68</v>
      </c>
      <c r="L313" t="s">
        <v>32</v>
      </c>
      <c r="M313">
        <v>2</v>
      </c>
      <c r="N313" t="s">
        <v>69</v>
      </c>
      <c r="O313" s="6">
        <f t="shared" ca="1" si="4"/>
        <v>45710</v>
      </c>
      <c r="P313">
        <v>4.8</v>
      </c>
    </row>
    <row r="314" spans="1:16" x14ac:dyDescent="0.3">
      <c r="A314" t="s">
        <v>583</v>
      </c>
      <c r="B314" t="s">
        <v>198</v>
      </c>
      <c r="C314" t="s">
        <v>43</v>
      </c>
      <c r="D314">
        <v>38</v>
      </c>
      <c r="E314" t="s">
        <v>72</v>
      </c>
      <c r="F314" t="s">
        <v>45</v>
      </c>
      <c r="G314" t="s">
        <v>30</v>
      </c>
      <c r="H314">
        <v>4046</v>
      </c>
      <c r="I314">
        <v>1728</v>
      </c>
      <c r="J314">
        <v>2318</v>
      </c>
      <c r="K314" t="s">
        <v>88</v>
      </c>
      <c r="L314" t="s">
        <v>23</v>
      </c>
      <c r="M314">
        <v>15</v>
      </c>
      <c r="N314" t="s">
        <v>24</v>
      </c>
      <c r="O314" s="6">
        <f t="shared" ca="1" si="4"/>
        <v>45831</v>
      </c>
      <c r="P314">
        <v>4.4000000000000004</v>
      </c>
    </row>
    <row r="315" spans="1:16" x14ac:dyDescent="0.3">
      <c r="A315" t="s">
        <v>584</v>
      </c>
      <c r="B315" t="s">
        <v>227</v>
      </c>
      <c r="C315" t="s">
        <v>129</v>
      </c>
      <c r="D315">
        <v>22</v>
      </c>
      <c r="E315" t="s">
        <v>63</v>
      </c>
      <c r="F315" t="s">
        <v>45</v>
      </c>
      <c r="G315" t="s">
        <v>39</v>
      </c>
      <c r="H315">
        <v>5785</v>
      </c>
      <c r="I315">
        <v>3928</v>
      </c>
      <c r="J315">
        <v>1857</v>
      </c>
      <c r="K315" t="s">
        <v>31</v>
      </c>
      <c r="L315" t="s">
        <v>47</v>
      </c>
      <c r="M315">
        <v>1</v>
      </c>
      <c r="N315" t="s">
        <v>118</v>
      </c>
      <c r="O315" s="6">
        <f t="shared" ca="1" si="4"/>
        <v>45761</v>
      </c>
      <c r="P315">
        <v>4</v>
      </c>
    </row>
    <row r="316" spans="1:16" x14ac:dyDescent="0.3">
      <c r="A316" t="s">
        <v>585</v>
      </c>
      <c r="B316" t="s">
        <v>586</v>
      </c>
      <c r="C316" t="s">
        <v>62</v>
      </c>
      <c r="D316">
        <v>64</v>
      </c>
      <c r="E316" t="s">
        <v>82</v>
      </c>
      <c r="F316" t="s">
        <v>91</v>
      </c>
      <c r="G316" t="s">
        <v>58</v>
      </c>
      <c r="H316">
        <v>6084</v>
      </c>
      <c r="I316">
        <v>4655</v>
      </c>
      <c r="J316">
        <v>1429</v>
      </c>
      <c r="K316" t="s">
        <v>68</v>
      </c>
      <c r="L316" t="s">
        <v>47</v>
      </c>
      <c r="M316">
        <v>14</v>
      </c>
      <c r="N316" t="s">
        <v>74</v>
      </c>
      <c r="O316" s="6">
        <f t="shared" ca="1" si="4"/>
        <v>45739</v>
      </c>
      <c r="P316">
        <v>4.2</v>
      </c>
    </row>
    <row r="317" spans="1:16" x14ac:dyDescent="0.3">
      <c r="A317" t="s">
        <v>587</v>
      </c>
      <c r="B317" t="s">
        <v>203</v>
      </c>
      <c r="C317" t="s">
        <v>129</v>
      </c>
      <c r="D317">
        <v>37</v>
      </c>
      <c r="E317" t="s">
        <v>82</v>
      </c>
      <c r="F317" t="s">
        <v>20</v>
      </c>
      <c r="G317" t="s">
        <v>58</v>
      </c>
      <c r="H317">
        <v>6426</v>
      </c>
      <c r="I317">
        <v>5861</v>
      </c>
      <c r="J317">
        <v>565</v>
      </c>
      <c r="K317" t="s">
        <v>68</v>
      </c>
      <c r="L317" t="s">
        <v>47</v>
      </c>
      <c r="M317">
        <v>4</v>
      </c>
      <c r="N317" t="s">
        <v>116</v>
      </c>
      <c r="O317" s="6">
        <f t="shared" ca="1" si="4"/>
        <v>45741</v>
      </c>
      <c r="P317">
        <v>3.7</v>
      </c>
    </row>
    <row r="318" spans="1:16" x14ac:dyDescent="0.3">
      <c r="A318" t="s">
        <v>588</v>
      </c>
      <c r="B318" t="s">
        <v>589</v>
      </c>
      <c r="C318" t="s">
        <v>51</v>
      </c>
      <c r="D318">
        <v>39</v>
      </c>
      <c r="E318" t="s">
        <v>63</v>
      </c>
      <c r="F318" t="s">
        <v>98</v>
      </c>
      <c r="G318" t="s">
        <v>104</v>
      </c>
      <c r="H318">
        <v>3737</v>
      </c>
      <c r="I318">
        <v>939</v>
      </c>
      <c r="J318">
        <v>2798</v>
      </c>
      <c r="K318" t="s">
        <v>59</v>
      </c>
      <c r="L318" t="s">
        <v>32</v>
      </c>
      <c r="M318">
        <v>10</v>
      </c>
      <c r="N318" t="s">
        <v>53</v>
      </c>
      <c r="O318" s="6">
        <f t="shared" ca="1" si="4"/>
        <v>45825</v>
      </c>
      <c r="P318">
        <v>4.3</v>
      </c>
    </row>
    <row r="319" spans="1:16" x14ac:dyDescent="0.3">
      <c r="A319" t="s">
        <v>590</v>
      </c>
      <c r="B319" t="s">
        <v>285</v>
      </c>
      <c r="C319" t="s">
        <v>103</v>
      </c>
      <c r="D319">
        <v>54</v>
      </c>
      <c r="E319" t="s">
        <v>72</v>
      </c>
      <c r="F319" t="s">
        <v>64</v>
      </c>
      <c r="G319" t="s">
        <v>46</v>
      </c>
      <c r="H319">
        <v>2497</v>
      </c>
      <c r="I319">
        <v>1735</v>
      </c>
      <c r="J319">
        <v>762</v>
      </c>
      <c r="K319" t="s">
        <v>31</v>
      </c>
      <c r="L319" t="s">
        <v>23</v>
      </c>
      <c r="M319">
        <v>2</v>
      </c>
      <c r="N319" t="s">
        <v>40</v>
      </c>
      <c r="O319" s="6">
        <f t="shared" ca="1" si="4"/>
        <v>45774</v>
      </c>
      <c r="P319">
        <v>1.3</v>
      </c>
    </row>
    <row r="320" spans="1:16" x14ac:dyDescent="0.3">
      <c r="A320" t="s">
        <v>591</v>
      </c>
      <c r="B320" t="s">
        <v>566</v>
      </c>
      <c r="C320" t="s">
        <v>43</v>
      </c>
      <c r="D320">
        <v>32</v>
      </c>
      <c r="E320" t="s">
        <v>87</v>
      </c>
      <c r="F320" t="s">
        <v>91</v>
      </c>
      <c r="G320" t="s">
        <v>58</v>
      </c>
      <c r="H320">
        <v>6593</v>
      </c>
      <c r="I320">
        <v>5669</v>
      </c>
      <c r="J320">
        <v>924</v>
      </c>
      <c r="K320" t="s">
        <v>68</v>
      </c>
      <c r="L320" t="s">
        <v>23</v>
      </c>
      <c r="M320">
        <v>1</v>
      </c>
      <c r="N320" t="s">
        <v>24</v>
      </c>
      <c r="O320" s="6">
        <f t="shared" ca="1" si="4"/>
        <v>46019</v>
      </c>
      <c r="P320">
        <v>4</v>
      </c>
    </row>
    <row r="321" spans="1:16" x14ac:dyDescent="0.3">
      <c r="A321" t="s">
        <v>592</v>
      </c>
      <c r="B321" t="s">
        <v>593</v>
      </c>
      <c r="C321" t="s">
        <v>129</v>
      </c>
      <c r="D321">
        <v>57</v>
      </c>
      <c r="E321" t="s">
        <v>78</v>
      </c>
      <c r="F321" t="s">
        <v>91</v>
      </c>
      <c r="G321" t="s">
        <v>21</v>
      </c>
      <c r="H321">
        <v>4276</v>
      </c>
      <c r="I321">
        <v>1560</v>
      </c>
      <c r="J321">
        <v>2716</v>
      </c>
      <c r="K321" t="s">
        <v>88</v>
      </c>
      <c r="L321" t="s">
        <v>32</v>
      </c>
      <c r="M321">
        <v>7</v>
      </c>
      <c r="N321" t="s">
        <v>48</v>
      </c>
      <c r="O321" s="6">
        <f t="shared" ca="1" si="4"/>
        <v>45707</v>
      </c>
      <c r="P321">
        <v>3.4</v>
      </c>
    </row>
    <row r="322" spans="1:16" x14ac:dyDescent="0.3">
      <c r="A322" t="s">
        <v>594</v>
      </c>
      <c r="B322" t="s">
        <v>283</v>
      </c>
      <c r="C322" t="s">
        <v>36</v>
      </c>
      <c r="D322">
        <v>55</v>
      </c>
      <c r="E322" t="s">
        <v>19</v>
      </c>
      <c r="F322" t="s">
        <v>38</v>
      </c>
      <c r="G322" t="s">
        <v>46</v>
      </c>
      <c r="H322">
        <v>5514</v>
      </c>
      <c r="I322">
        <v>3139</v>
      </c>
      <c r="J322">
        <v>2375</v>
      </c>
      <c r="K322" t="s">
        <v>59</v>
      </c>
      <c r="L322" t="s">
        <v>23</v>
      </c>
      <c r="M322">
        <v>11</v>
      </c>
      <c r="N322" t="s">
        <v>24</v>
      </c>
      <c r="O322" s="6">
        <f t="shared" ca="1" si="4"/>
        <v>45908</v>
      </c>
      <c r="P322">
        <v>4.2</v>
      </c>
    </row>
    <row r="323" spans="1:16" x14ac:dyDescent="0.3">
      <c r="A323" t="s">
        <v>595</v>
      </c>
      <c r="B323" t="s">
        <v>596</v>
      </c>
      <c r="C323" t="s">
        <v>43</v>
      </c>
      <c r="D323">
        <v>40</v>
      </c>
      <c r="E323" t="s">
        <v>78</v>
      </c>
      <c r="F323" t="s">
        <v>98</v>
      </c>
      <c r="G323" t="s">
        <v>73</v>
      </c>
      <c r="H323">
        <v>7234</v>
      </c>
      <c r="I323">
        <v>4623</v>
      </c>
      <c r="J323">
        <v>2611</v>
      </c>
      <c r="K323" t="s">
        <v>68</v>
      </c>
      <c r="L323" t="s">
        <v>23</v>
      </c>
      <c r="M323">
        <v>2</v>
      </c>
      <c r="N323" t="s">
        <v>24</v>
      </c>
      <c r="O323" s="6">
        <f t="shared" ref="O323:O386" ca="1" si="5">RANDBETWEEN(DATE(2025,1,1),DATE(2025,12,31))</f>
        <v>45869</v>
      </c>
      <c r="P323">
        <v>4.4000000000000004</v>
      </c>
    </row>
    <row r="324" spans="1:16" x14ac:dyDescent="0.3">
      <c r="A324" t="s">
        <v>597</v>
      </c>
      <c r="B324" t="s">
        <v>598</v>
      </c>
      <c r="C324" t="s">
        <v>27</v>
      </c>
      <c r="D324">
        <v>59</v>
      </c>
      <c r="E324" t="s">
        <v>82</v>
      </c>
      <c r="F324" t="s">
        <v>38</v>
      </c>
      <c r="G324" t="s">
        <v>73</v>
      </c>
      <c r="H324">
        <v>6874</v>
      </c>
      <c r="I324">
        <v>6126</v>
      </c>
      <c r="J324">
        <v>748</v>
      </c>
      <c r="K324" t="s">
        <v>59</v>
      </c>
      <c r="L324" t="s">
        <v>23</v>
      </c>
      <c r="M324">
        <v>15</v>
      </c>
      <c r="N324" t="s">
        <v>69</v>
      </c>
      <c r="O324" s="6">
        <f t="shared" ca="1" si="5"/>
        <v>45760</v>
      </c>
      <c r="P324">
        <v>4</v>
      </c>
    </row>
    <row r="325" spans="1:16" x14ac:dyDescent="0.3">
      <c r="A325" t="s">
        <v>599</v>
      </c>
      <c r="B325" t="s">
        <v>461</v>
      </c>
      <c r="C325" t="s">
        <v>103</v>
      </c>
      <c r="D325">
        <v>22</v>
      </c>
      <c r="E325" t="s">
        <v>19</v>
      </c>
      <c r="F325" t="s">
        <v>52</v>
      </c>
      <c r="G325" t="s">
        <v>126</v>
      </c>
      <c r="H325">
        <v>2519</v>
      </c>
      <c r="I325">
        <v>2230</v>
      </c>
      <c r="J325">
        <v>289</v>
      </c>
      <c r="K325" t="s">
        <v>22</v>
      </c>
      <c r="L325" t="s">
        <v>47</v>
      </c>
      <c r="M325">
        <v>3</v>
      </c>
      <c r="N325" t="s">
        <v>53</v>
      </c>
      <c r="O325" s="6">
        <f t="shared" ca="1" si="5"/>
        <v>45984</v>
      </c>
      <c r="P325">
        <v>3.5</v>
      </c>
    </row>
    <row r="326" spans="1:16" x14ac:dyDescent="0.3">
      <c r="A326" t="s">
        <v>600</v>
      </c>
      <c r="B326" t="s">
        <v>601</v>
      </c>
      <c r="C326" t="s">
        <v>18</v>
      </c>
      <c r="D326">
        <v>55</v>
      </c>
      <c r="E326" t="s">
        <v>44</v>
      </c>
      <c r="F326" t="s">
        <v>136</v>
      </c>
      <c r="G326" t="s">
        <v>79</v>
      </c>
      <c r="H326">
        <v>3803</v>
      </c>
      <c r="I326">
        <v>892</v>
      </c>
      <c r="J326">
        <v>2911</v>
      </c>
      <c r="K326" t="s">
        <v>22</v>
      </c>
      <c r="L326" t="s">
        <v>23</v>
      </c>
      <c r="M326">
        <v>14</v>
      </c>
      <c r="N326" t="s">
        <v>24</v>
      </c>
      <c r="O326" s="6">
        <f t="shared" ca="1" si="5"/>
        <v>45996</v>
      </c>
      <c r="P326">
        <v>3.9</v>
      </c>
    </row>
    <row r="327" spans="1:16" x14ac:dyDescent="0.3">
      <c r="A327" t="s">
        <v>602</v>
      </c>
      <c r="B327" t="s">
        <v>603</v>
      </c>
      <c r="C327" t="s">
        <v>103</v>
      </c>
      <c r="D327">
        <v>28</v>
      </c>
      <c r="E327" t="s">
        <v>82</v>
      </c>
      <c r="F327" t="s">
        <v>45</v>
      </c>
      <c r="G327" t="s">
        <v>104</v>
      </c>
      <c r="H327">
        <v>7076</v>
      </c>
      <c r="I327">
        <v>6249</v>
      </c>
      <c r="J327">
        <v>827</v>
      </c>
      <c r="K327" t="s">
        <v>88</v>
      </c>
      <c r="L327" t="s">
        <v>47</v>
      </c>
      <c r="M327">
        <v>11</v>
      </c>
      <c r="N327" t="s">
        <v>24</v>
      </c>
      <c r="O327" s="6">
        <f t="shared" ca="1" si="5"/>
        <v>45783</v>
      </c>
      <c r="P327">
        <v>4.9000000000000004</v>
      </c>
    </row>
    <row r="328" spans="1:16" x14ac:dyDescent="0.3">
      <c r="A328" t="s">
        <v>604</v>
      </c>
      <c r="B328" t="s">
        <v>102</v>
      </c>
      <c r="C328" t="s">
        <v>27</v>
      </c>
      <c r="D328">
        <v>38</v>
      </c>
      <c r="E328" t="s">
        <v>44</v>
      </c>
      <c r="F328" t="s">
        <v>67</v>
      </c>
      <c r="G328" t="s">
        <v>126</v>
      </c>
      <c r="H328">
        <v>4560</v>
      </c>
      <c r="I328">
        <v>3931</v>
      </c>
      <c r="J328">
        <v>629</v>
      </c>
      <c r="K328" t="s">
        <v>22</v>
      </c>
      <c r="L328" t="s">
        <v>32</v>
      </c>
      <c r="M328">
        <v>10</v>
      </c>
      <c r="N328" t="s">
        <v>53</v>
      </c>
      <c r="O328" s="6">
        <f t="shared" ca="1" si="5"/>
        <v>45779</v>
      </c>
      <c r="P328">
        <v>4.9000000000000004</v>
      </c>
    </row>
    <row r="329" spans="1:16" x14ac:dyDescent="0.3">
      <c r="A329" t="s">
        <v>605</v>
      </c>
      <c r="B329" t="s">
        <v>203</v>
      </c>
      <c r="C329" t="s">
        <v>62</v>
      </c>
      <c r="D329">
        <v>59</v>
      </c>
      <c r="E329" t="s">
        <v>19</v>
      </c>
      <c r="F329" t="s">
        <v>45</v>
      </c>
      <c r="G329" t="s">
        <v>92</v>
      </c>
      <c r="H329">
        <v>3818</v>
      </c>
      <c r="I329">
        <v>2152</v>
      </c>
      <c r="J329">
        <v>1666</v>
      </c>
      <c r="K329" t="s">
        <v>31</v>
      </c>
      <c r="L329" t="s">
        <v>47</v>
      </c>
      <c r="M329">
        <v>5</v>
      </c>
      <c r="N329" t="s">
        <v>193</v>
      </c>
      <c r="O329" s="6">
        <f t="shared" ca="1" si="5"/>
        <v>45704</v>
      </c>
      <c r="P329">
        <v>4.4000000000000004</v>
      </c>
    </row>
    <row r="330" spans="1:16" x14ac:dyDescent="0.3">
      <c r="A330" t="s">
        <v>606</v>
      </c>
      <c r="B330" t="s">
        <v>232</v>
      </c>
      <c r="C330" t="s">
        <v>62</v>
      </c>
      <c r="D330">
        <v>65</v>
      </c>
      <c r="E330" t="s">
        <v>63</v>
      </c>
      <c r="F330" t="s">
        <v>38</v>
      </c>
      <c r="G330" t="s">
        <v>30</v>
      </c>
      <c r="H330">
        <v>774</v>
      </c>
      <c r="I330">
        <v>522</v>
      </c>
      <c r="J330">
        <v>252</v>
      </c>
      <c r="K330" t="s">
        <v>88</v>
      </c>
      <c r="L330" t="s">
        <v>23</v>
      </c>
      <c r="M330">
        <v>15</v>
      </c>
      <c r="N330" t="s">
        <v>53</v>
      </c>
      <c r="O330" s="6">
        <f t="shared" ca="1" si="5"/>
        <v>45726</v>
      </c>
      <c r="P330">
        <v>4.7</v>
      </c>
    </row>
    <row r="331" spans="1:16" x14ac:dyDescent="0.3">
      <c r="A331" t="s">
        <v>607</v>
      </c>
      <c r="B331" t="s">
        <v>225</v>
      </c>
      <c r="C331" t="s">
        <v>27</v>
      </c>
      <c r="D331">
        <v>25</v>
      </c>
      <c r="E331" t="s">
        <v>87</v>
      </c>
      <c r="F331" t="s">
        <v>45</v>
      </c>
      <c r="G331" t="s">
        <v>30</v>
      </c>
      <c r="H331">
        <v>5653</v>
      </c>
      <c r="I331">
        <v>4241</v>
      </c>
      <c r="J331">
        <v>1412</v>
      </c>
      <c r="K331" t="s">
        <v>22</v>
      </c>
      <c r="L331" t="s">
        <v>32</v>
      </c>
      <c r="M331">
        <v>1</v>
      </c>
      <c r="N331" t="s">
        <v>53</v>
      </c>
      <c r="O331" s="6">
        <f t="shared" ca="1" si="5"/>
        <v>45772</v>
      </c>
      <c r="P331">
        <v>3.3</v>
      </c>
    </row>
    <row r="332" spans="1:16" x14ac:dyDescent="0.3">
      <c r="A332" t="s">
        <v>608</v>
      </c>
      <c r="B332" t="s">
        <v>390</v>
      </c>
      <c r="C332" t="s">
        <v>43</v>
      </c>
      <c r="D332">
        <v>48</v>
      </c>
      <c r="E332" t="s">
        <v>87</v>
      </c>
      <c r="F332" t="s">
        <v>98</v>
      </c>
      <c r="G332" t="s">
        <v>46</v>
      </c>
      <c r="H332">
        <v>1345</v>
      </c>
      <c r="I332">
        <v>579</v>
      </c>
      <c r="J332">
        <v>766</v>
      </c>
      <c r="K332" t="s">
        <v>88</v>
      </c>
      <c r="L332" t="s">
        <v>23</v>
      </c>
      <c r="M332">
        <v>3</v>
      </c>
      <c r="N332" t="s">
        <v>95</v>
      </c>
      <c r="O332" s="6">
        <f t="shared" ca="1" si="5"/>
        <v>45875</v>
      </c>
      <c r="P332">
        <v>4</v>
      </c>
    </row>
    <row r="333" spans="1:16" x14ac:dyDescent="0.3">
      <c r="A333" t="s">
        <v>609</v>
      </c>
      <c r="B333" t="s">
        <v>205</v>
      </c>
      <c r="C333" t="s">
        <v>77</v>
      </c>
      <c r="D333">
        <v>44</v>
      </c>
      <c r="E333" t="s">
        <v>57</v>
      </c>
      <c r="F333" t="s">
        <v>20</v>
      </c>
      <c r="G333" t="s">
        <v>21</v>
      </c>
      <c r="H333">
        <v>5622</v>
      </c>
      <c r="I333">
        <v>3783</v>
      </c>
      <c r="J333">
        <v>1839</v>
      </c>
      <c r="K333" t="s">
        <v>88</v>
      </c>
      <c r="L333" t="s">
        <v>47</v>
      </c>
      <c r="M333">
        <v>2</v>
      </c>
      <c r="N333" t="s">
        <v>40</v>
      </c>
      <c r="O333" s="6">
        <f t="shared" ca="1" si="5"/>
        <v>45682</v>
      </c>
      <c r="P333">
        <v>2.7</v>
      </c>
    </row>
    <row r="334" spans="1:16" x14ac:dyDescent="0.3">
      <c r="A334" t="s">
        <v>610</v>
      </c>
      <c r="B334" t="s">
        <v>611</v>
      </c>
      <c r="C334" t="s">
        <v>129</v>
      </c>
      <c r="D334">
        <v>28</v>
      </c>
      <c r="E334" t="s">
        <v>78</v>
      </c>
      <c r="F334" t="s">
        <v>136</v>
      </c>
      <c r="G334" t="s">
        <v>126</v>
      </c>
      <c r="H334">
        <v>3253</v>
      </c>
      <c r="I334">
        <v>1349</v>
      </c>
      <c r="J334">
        <v>1904</v>
      </c>
      <c r="K334" t="s">
        <v>88</v>
      </c>
      <c r="L334" t="s">
        <v>47</v>
      </c>
      <c r="M334">
        <v>3</v>
      </c>
      <c r="N334" t="s">
        <v>40</v>
      </c>
      <c r="O334" s="6">
        <f t="shared" ca="1" si="5"/>
        <v>45771</v>
      </c>
      <c r="P334">
        <v>1</v>
      </c>
    </row>
    <row r="335" spans="1:16" x14ac:dyDescent="0.3">
      <c r="A335" t="s">
        <v>612</v>
      </c>
      <c r="B335" t="s">
        <v>145</v>
      </c>
      <c r="C335" t="s">
        <v>103</v>
      </c>
      <c r="D335">
        <v>43</v>
      </c>
      <c r="E335" t="s">
        <v>44</v>
      </c>
      <c r="F335" t="s">
        <v>136</v>
      </c>
      <c r="G335" t="s">
        <v>126</v>
      </c>
      <c r="H335">
        <v>6656</v>
      </c>
      <c r="I335">
        <v>4457</v>
      </c>
      <c r="J335">
        <v>2199</v>
      </c>
      <c r="K335" t="s">
        <v>22</v>
      </c>
      <c r="L335" t="s">
        <v>32</v>
      </c>
      <c r="M335">
        <v>7</v>
      </c>
      <c r="N335" t="s">
        <v>69</v>
      </c>
      <c r="O335" s="6">
        <f t="shared" ca="1" si="5"/>
        <v>45858</v>
      </c>
      <c r="P335">
        <v>3.8</v>
      </c>
    </row>
    <row r="336" spans="1:16" x14ac:dyDescent="0.3">
      <c r="A336" t="s">
        <v>613</v>
      </c>
      <c r="B336" t="s">
        <v>198</v>
      </c>
      <c r="C336" t="s">
        <v>43</v>
      </c>
      <c r="D336">
        <v>21</v>
      </c>
      <c r="E336" t="s">
        <v>82</v>
      </c>
      <c r="F336" t="s">
        <v>67</v>
      </c>
      <c r="G336" t="s">
        <v>79</v>
      </c>
      <c r="H336">
        <v>5277</v>
      </c>
      <c r="I336">
        <v>2334</v>
      </c>
      <c r="J336">
        <v>2943</v>
      </c>
      <c r="K336" t="s">
        <v>31</v>
      </c>
      <c r="L336" t="s">
        <v>23</v>
      </c>
      <c r="M336">
        <v>4</v>
      </c>
      <c r="N336" t="s">
        <v>40</v>
      </c>
      <c r="O336" s="6">
        <f t="shared" ca="1" si="5"/>
        <v>45820</v>
      </c>
      <c r="P336">
        <v>1.3</v>
      </c>
    </row>
    <row r="337" spans="1:16" x14ac:dyDescent="0.3">
      <c r="A337" t="s">
        <v>614</v>
      </c>
      <c r="B337" t="s">
        <v>615</v>
      </c>
      <c r="C337" t="s">
        <v>62</v>
      </c>
      <c r="D337">
        <v>51</v>
      </c>
      <c r="E337" t="s">
        <v>57</v>
      </c>
      <c r="F337" t="s">
        <v>64</v>
      </c>
      <c r="G337" t="s">
        <v>126</v>
      </c>
      <c r="H337">
        <v>7783</v>
      </c>
      <c r="I337">
        <v>5073</v>
      </c>
      <c r="J337">
        <v>2710</v>
      </c>
      <c r="K337" t="s">
        <v>88</v>
      </c>
      <c r="L337" t="s">
        <v>32</v>
      </c>
      <c r="M337">
        <v>11</v>
      </c>
      <c r="N337" t="s">
        <v>193</v>
      </c>
      <c r="O337" s="6">
        <f t="shared" ca="1" si="5"/>
        <v>45778</v>
      </c>
      <c r="P337">
        <v>3.1</v>
      </c>
    </row>
    <row r="338" spans="1:16" x14ac:dyDescent="0.3">
      <c r="A338" t="s">
        <v>616</v>
      </c>
      <c r="B338" t="s">
        <v>371</v>
      </c>
      <c r="C338" t="s">
        <v>129</v>
      </c>
      <c r="D338">
        <v>25</v>
      </c>
      <c r="E338" t="s">
        <v>63</v>
      </c>
      <c r="F338" t="s">
        <v>38</v>
      </c>
      <c r="G338" t="s">
        <v>30</v>
      </c>
      <c r="H338">
        <v>4549</v>
      </c>
      <c r="I338">
        <v>3210</v>
      </c>
      <c r="J338">
        <v>1339</v>
      </c>
      <c r="K338" t="s">
        <v>88</v>
      </c>
      <c r="L338" t="s">
        <v>47</v>
      </c>
      <c r="M338">
        <v>4</v>
      </c>
      <c r="N338" t="s">
        <v>74</v>
      </c>
      <c r="O338" s="6">
        <f t="shared" ca="1" si="5"/>
        <v>45683</v>
      </c>
      <c r="P338">
        <v>5</v>
      </c>
    </row>
    <row r="339" spans="1:16" x14ac:dyDescent="0.3">
      <c r="A339" t="s">
        <v>617</v>
      </c>
      <c r="B339" t="s">
        <v>316</v>
      </c>
      <c r="C339" t="s">
        <v>62</v>
      </c>
      <c r="D339">
        <v>26</v>
      </c>
      <c r="E339" t="s">
        <v>63</v>
      </c>
      <c r="F339" t="s">
        <v>91</v>
      </c>
      <c r="G339" t="s">
        <v>79</v>
      </c>
      <c r="H339">
        <v>4730</v>
      </c>
      <c r="I339">
        <v>4170</v>
      </c>
      <c r="J339">
        <v>560</v>
      </c>
      <c r="K339" t="s">
        <v>22</v>
      </c>
      <c r="L339" t="s">
        <v>32</v>
      </c>
      <c r="M339">
        <v>3</v>
      </c>
      <c r="N339" t="s">
        <v>40</v>
      </c>
      <c r="O339" s="6">
        <f t="shared" ca="1" si="5"/>
        <v>45934</v>
      </c>
      <c r="P339">
        <v>1.6</v>
      </c>
    </row>
    <row r="340" spans="1:16" x14ac:dyDescent="0.3">
      <c r="A340" t="s">
        <v>618</v>
      </c>
      <c r="B340" t="s">
        <v>619</v>
      </c>
      <c r="C340" t="s">
        <v>36</v>
      </c>
      <c r="D340">
        <v>27</v>
      </c>
      <c r="E340" t="s">
        <v>37</v>
      </c>
      <c r="F340" t="s">
        <v>64</v>
      </c>
      <c r="G340" t="s">
        <v>46</v>
      </c>
      <c r="H340">
        <v>7513</v>
      </c>
      <c r="I340">
        <v>5064</v>
      </c>
      <c r="J340">
        <v>2449</v>
      </c>
      <c r="K340" t="s">
        <v>68</v>
      </c>
      <c r="L340" t="s">
        <v>47</v>
      </c>
      <c r="M340">
        <v>2</v>
      </c>
      <c r="N340" t="s">
        <v>118</v>
      </c>
      <c r="O340" s="6">
        <f t="shared" ca="1" si="5"/>
        <v>45934</v>
      </c>
      <c r="P340">
        <v>3.4</v>
      </c>
    </row>
    <row r="341" spans="1:16" x14ac:dyDescent="0.3">
      <c r="A341" t="s">
        <v>620</v>
      </c>
      <c r="B341" t="s">
        <v>621</v>
      </c>
      <c r="C341" t="s">
        <v>62</v>
      </c>
      <c r="D341">
        <v>62</v>
      </c>
      <c r="E341" t="s">
        <v>63</v>
      </c>
      <c r="F341" t="s">
        <v>38</v>
      </c>
      <c r="G341" t="s">
        <v>58</v>
      </c>
      <c r="H341">
        <v>2057</v>
      </c>
      <c r="I341">
        <v>944</v>
      </c>
      <c r="J341">
        <v>1113</v>
      </c>
      <c r="K341" t="s">
        <v>31</v>
      </c>
      <c r="L341" t="s">
        <v>23</v>
      </c>
      <c r="M341">
        <v>6</v>
      </c>
      <c r="N341" t="s">
        <v>74</v>
      </c>
      <c r="O341" s="6">
        <f t="shared" ca="1" si="5"/>
        <v>45980</v>
      </c>
      <c r="P341">
        <v>4.4000000000000004</v>
      </c>
    </row>
    <row r="342" spans="1:16" x14ac:dyDescent="0.3">
      <c r="A342" t="s">
        <v>622</v>
      </c>
      <c r="B342" t="s">
        <v>619</v>
      </c>
      <c r="C342" t="s">
        <v>43</v>
      </c>
      <c r="D342">
        <v>49</v>
      </c>
      <c r="E342" t="s">
        <v>87</v>
      </c>
      <c r="F342" t="s">
        <v>98</v>
      </c>
      <c r="G342" t="s">
        <v>30</v>
      </c>
      <c r="H342">
        <v>2115</v>
      </c>
      <c r="I342">
        <v>517</v>
      </c>
      <c r="J342">
        <v>1598</v>
      </c>
      <c r="K342" t="s">
        <v>31</v>
      </c>
      <c r="L342" t="s">
        <v>47</v>
      </c>
      <c r="M342">
        <v>11</v>
      </c>
      <c r="N342" t="s">
        <v>116</v>
      </c>
      <c r="O342" s="6">
        <f t="shared" ca="1" si="5"/>
        <v>45791</v>
      </c>
      <c r="P342">
        <v>4.0999999999999996</v>
      </c>
    </row>
    <row r="343" spans="1:16" x14ac:dyDescent="0.3">
      <c r="A343" t="s">
        <v>623</v>
      </c>
      <c r="B343" t="s">
        <v>544</v>
      </c>
      <c r="C343" t="s">
        <v>77</v>
      </c>
      <c r="D343">
        <v>23</v>
      </c>
      <c r="E343" t="s">
        <v>78</v>
      </c>
      <c r="F343" t="s">
        <v>91</v>
      </c>
      <c r="G343" t="s">
        <v>126</v>
      </c>
      <c r="H343">
        <v>8248</v>
      </c>
      <c r="I343">
        <v>6372</v>
      </c>
      <c r="J343">
        <v>1876</v>
      </c>
      <c r="K343" t="s">
        <v>22</v>
      </c>
      <c r="L343" t="s">
        <v>23</v>
      </c>
      <c r="M343">
        <v>10</v>
      </c>
      <c r="N343" t="s">
        <v>33</v>
      </c>
      <c r="O343" s="6">
        <f t="shared" ca="1" si="5"/>
        <v>45779</v>
      </c>
      <c r="P343">
        <v>3.7</v>
      </c>
    </row>
    <row r="344" spans="1:16" x14ac:dyDescent="0.3">
      <c r="A344" t="s">
        <v>624</v>
      </c>
      <c r="B344" t="s">
        <v>486</v>
      </c>
      <c r="C344" t="s">
        <v>56</v>
      </c>
      <c r="D344">
        <v>33</v>
      </c>
      <c r="E344" t="s">
        <v>57</v>
      </c>
      <c r="F344" t="s">
        <v>98</v>
      </c>
      <c r="G344" t="s">
        <v>73</v>
      </c>
      <c r="H344">
        <v>3673</v>
      </c>
      <c r="I344">
        <v>880</v>
      </c>
      <c r="J344">
        <v>2793</v>
      </c>
      <c r="K344" t="s">
        <v>88</v>
      </c>
      <c r="L344" t="s">
        <v>32</v>
      </c>
      <c r="M344">
        <v>10</v>
      </c>
      <c r="N344" t="s">
        <v>53</v>
      </c>
      <c r="O344" s="6">
        <f t="shared" ca="1" si="5"/>
        <v>45661</v>
      </c>
      <c r="P344">
        <v>3.1</v>
      </c>
    </row>
    <row r="345" spans="1:16" x14ac:dyDescent="0.3">
      <c r="A345" t="s">
        <v>625</v>
      </c>
      <c r="B345" t="s">
        <v>359</v>
      </c>
      <c r="C345" t="s">
        <v>129</v>
      </c>
      <c r="D345">
        <v>52</v>
      </c>
      <c r="E345" t="s">
        <v>28</v>
      </c>
      <c r="F345" t="s">
        <v>29</v>
      </c>
      <c r="G345" t="s">
        <v>46</v>
      </c>
      <c r="H345">
        <v>7004</v>
      </c>
      <c r="I345">
        <v>5032</v>
      </c>
      <c r="J345">
        <v>1972</v>
      </c>
      <c r="K345" t="s">
        <v>31</v>
      </c>
      <c r="L345" t="s">
        <v>32</v>
      </c>
      <c r="M345">
        <v>8</v>
      </c>
      <c r="N345" t="s">
        <v>74</v>
      </c>
      <c r="O345" s="6">
        <f t="shared" ca="1" si="5"/>
        <v>45900</v>
      </c>
      <c r="P345">
        <v>3.9</v>
      </c>
    </row>
    <row r="346" spans="1:16" x14ac:dyDescent="0.3">
      <c r="A346" t="s">
        <v>626</v>
      </c>
      <c r="B346" t="s">
        <v>627</v>
      </c>
      <c r="C346" t="s">
        <v>129</v>
      </c>
      <c r="D346">
        <v>27</v>
      </c>
      <c r="E346" t="s">
        <v>37</v>
      </c>
      <c r="F346" t="s">
        <v>67</v>
      </c>
      <c r="G346" t="s">
        <v>79</v>
      </c>
      <c r="H346">
        <v>5400</v>
      </c>
      <c r="I346">
        <v>3136</v>
      </c>
      <c r="J346">
        <v>2264</v>
      </c>
      <c r="K346" t="s">
        <v>59</v>
      </c>
      <c r="L346" t="s">
        <v>32</v>
      </c>
      <c r="M346">
        <v>3</v>
      </c>
      <c r="N346" t="s">
        <v>40</v>
      </c>
      <c r="O346" s="6">
        <f t="shared" ca="1" si="5"/>
        <v>45669</v>
      </c>
      <c r="P346">
        <v>1.3</v>
      </c>
    </row>
    <row r="347" spans="1:16" x14ac:dyDescent="0.3">
      <c r="A347" t="s">
        <v>628</v>
      </c>
      <c r="B347" t="s">
        <v>572</v>
      </c>
      <c r="C347" t="s">
        <v>43</v>
      </c>
      <c r="D347">
        <v>39</v>
      </c>
      <c r="E347" t="s">
        <v>63</v>
      </c>
      <c r="F347" t="s">
        <v>20</v>
      </c>
      <c r="G347" t="s">
        <v>126</v>
      </c>
      <c r="H347">
        <v>6548</v>
      </c>
      <c r="I347">
        <v>3881</v>
      </c>
      <c r="J347">
        <v>2667</v>
      </c>
      <c r="K347" t="s">
        <v>31</v>
      </c>
      <c r="L347" t="s">
        <v>23</v>
      </c>
      <c r="M347">
        <v>12</v>
      </c>
      <c r="N347" t="s">
        <v>74</v>
      </c>
      <c r="O347" s="6">
        <f t="shared" ca="1" si="5"/>
        <v>45761</v>
      </c>
      <c r="P347">
        <v>3.7</v>
      </c>
    </row>
    <row r="348" spans="1:16" x14ac:dyDescent="0.3">
      <c r="A348" t="s">
        <v>629</v>
      </c>
      <c r="B348" t="s">
        <v>630</v>
      </c>
      <c r="C348" t="s">
        <v>27</v>
      </c>
      <c r="D348">
        <v>61</v>
      </c>
      <c r="E348" t="s">
        <v>19</v>
      </c>
      <c r="F348" t="s">
        <v>52</v>
      </c>
      <c r="G348" t="s">
        <v>30</v>
      </c>
      <c r="H348">
        <v>7003</v>
      </c>
      <c r="I348">
        <v>5613</v>
      </c>
      <c r="J348">
        <v>1390</v>
      </c>
      <c r="K348" t="s">
        <v>59</v>
      </c>
      <c r="L348" t="s">
        <v>32</v>
      </c>
      <c r="M348">
        <v>15</v>
      </c>
      <c r="N348" t="s">
        <v>193</v>
      </c>
      <c r="O348" s="6">
        <f t="shared" ca="1" si="5"/>
        <v>45756</v>
      </c>
      <c r="P348">
        <v>4.0999999999999996</v>
      </c>
    </row>
    <row r="349" spans="1:16" x14ac:dyDescent="0.3">
      <c r="A349" t="s">
        <v>631</v>
      </c>
      <c r="B349" t="s">
        <v>621</v>
      </c>
      <c r="C349" t="s">
        <v>43</v>
      </c>
      <c r="D349">
        <v>28</v>
      </c>
      <c r="E349" t="s">
        <v>57</v>
      </c>
      <c r="F349" t="s">
        <v>29</v>
      </c>
      <c r="G349" t="s">
        <v>104</v>
      </c>
      <c r="H349">
        <v>7811</v>
      </c>
      <c r="I349">
        <v>5274</v>
      </c>
      <c r="J349">
        <v>2537</v>
      </c>
      <c r="K349" t="s">
        <v>31</v>
      </c>
      <c r="L349" t="s">
        <v>32</v>
      </c>
      <c r="M349">
        <v>5</v>
      </c>
      <c r="N349" t="s">
        <v>40</v>
      </c>
      <c r="O349" s="6">
        <f t="shared" ca="1" si="5"/>
        <v>45658</v>
      </c>
      <c r="P349">
        <v>1.5</v>
      </c>
    </row>
    <row r="350" spans="1:16" x14ac:dyDescent="0.3">
      <c r="A350" t="s">
        <v>632</v>
      </c>
      <c r="B350" t="s">
        <v>633</v>
      </c>
      <c r="C350" t="s">
        <v>103</v>
      </c>
      <c r="D350">
        <v>21</v>
      </c>
      <c r="E350" t="s">
        <v>82</v>
      </c>
      <c r="F350" t="s">
        <v>98</v>
      </c>
      <c r="G350" t="s">
        <v>46</v>
      </c>
      <c r="H350">
        <v>4415</v>
      </c>
      <c r="I350">
        <v>3620</v>
      </c>
      <c r="J350">
        <v>795</v>
      </c>
      <c r="K350" t="s">
        <v>59</v>
      </c>
      <c r="L350" t="s">
        <v>23</v>
      </c>
      <c r="M350">
        <v>1</v>
      </c>
      <c r="N350" t="s">
        <v>33</v>
      </c>
      <c r="O350" s="6">
        <f t="shared" ca="1" si="5"/>
        <v>45748</v>
      </c>
      <c r="P350">
        <v>4.3</v>
      </c>
    </row>
    <row r="351" spans="1:16" x14ac:dyDescent="0.3">
      <c r="A351" t="s">
        <v>634</v>
      </c>
      <c r="B351" t="s">
        <v>348</v>
      </c>
      <c r="C351" t="s">
        <v>18</v>
      </c>
      <c r="D351">
        <v>30</v>
      </c>
      <c r="E351" t="s">
        <v>28</v>
      </c>
      <c r="F351" t="s">
        <v>45</v>
      </c>
      <c r="G351" t="s">
        <v>30</v>
      </c>
      <c r="H351">
        <v>9089</v>
      </c>
      <c r="I351">
        <v>6673</v>
      </c>
      <c r="J351">
        <v>2416</v>
      </c>
      <c r="K351" t="s">
        <v>31</v>
      </c>
      <c r="L351" t="s">
        <v>32</v>
      </c>
      <c r="M351">
        <v>14</v>
      </c>
      <c r="N351" t="s">
        <v>69</v>
      </c>
      <c r="O351" s="6">
        <f t="shared" ca="1" si="5"/>
        <v>45998</v>
      </c>
      <c r="P351">
        <v>4.9000000000000004</v>
      </c>
    </row>
    <row r="352" spans="1:16" x14ac:dyDescent="0.3">
      <c r="A352" t="s">
        <v>635</v>
      </c>
      <c r="B352" t="s">
        <v>636</v>
      </c>
      <c r="C352" t="s">
        <v>62</v>
      </c>
      <c r="D352">
        <v>62</v>
      </c>
      <c r="E352" t="s">
        <v>82</v>
      </c>
      <c r="F352" t="s">
        <v>64</v>
      </c>
      <c r="G352" t="s">
        <v>30</v>
      </c>
      <c r="H352">
        <v>6063</v>
      </c>
      <c r="I352">
        <v>4685</v>
      </c>
      <c r="J352">
        <v>1378</v>
      </c>
      <c r="K352" t="s">
        <v>88</v>
      </c>
      <c r="L352" t="s">
        <v>47</v>
      </c>
      <c r="M352">
        <v>1</v>
      </c>
      <c r="N352" t="s">
        <v>48</v>
      </c>
      <c r="O352" s="6">
        <f t="shared" ca="1" si="5"/>
        <v>45660</v>
      </c>
      <c r="P352">
        <v>3.5</v>
      </c>
    </row>
    <row r="353" spans="1:16" x14ac:dyDescent="0.3">
      <c r="A353" t="s">
        <v>637</v>
      </c>
      <c r="B353" t="s">
        <v>638</v>
      </c>
      <c r="C353" t="s">
        <v>36</v>
      </c>
      <c r="D353">
        <v>21</v>
      </c>
      <c r="E353" t="s">
        <v>72</v>
      </c>
      <c r="F353" t="s">
        <v>52</v>
      </c>
      <c r="G353" t="s">
        <v>79</v>
      </c>
      <c r="H353">
        <v>8911</v>
      </c>
      <c r="I353">
        <v>6897</v>
      </c>
      <c r="J353">
        <v>2014</v>
      </c>
      <c r="K353" t="s">
        <v>31</v>
      </c>
      <c r="L353" t="s">
        <v>47</v>
      </c>
      <c r="M353">
        <v>15</v>
      </c>
      <c r="N353" t="s">
        <v>95</v>
      </c>
      <c r="O353" s="6">
        <f t="shared" ca="1" si="5"/>
        <v>45727</v>
      </c>
      <c r="P353">
        <v>4.5999999999999996</v>
      </c>
    </row>
    <row r="354" spans="1:16" x14ac:dyDescent="0.3">
      <c r="A354" t="s">
        <v>639</v>
      </c>
      <c r="B354" t="s">
        <v>537</v>
      </c>
      <c r="C354" t="s">
        <v>62</v>
      </c>
      <c r="D354">
        <v>39</v>
      </c>
      <c r="E354" t="s">
        <v>63</v>
      </c>
      <c r="F354" t="s">
        <v>20</v>
      </c>
      <c r="G354" t="s">
        <v>21</v>
      </c>
      <c r="H354">
        <v>2942</v>
      </c>
      <c r="I354">
        <v>2031</v>
      </c>
      <c r="J354">
        <v>911</v>
      </c>
      <c r="K354" t="s">
        <v>88</v>
      </c>
      <c r="L354" t="s">
        <v>47</v>
      </c>
      <c r="M354">
        <v>2</v>
      </c>
      <c r="N354" t="s">
        <v>48</v>
      </c>
      <c r="O354" s="6">
        <f t="shared" ca="1" si="5"/>
        <v>45968</v>
      </c>
      <c r="P354">
        <v>4.7</v>
      </c>
    </row>
    <row r="355" spans="1:16" x14ac:dyDescent="0.3">
      <c r="A355" t="s">
        <v>640</v>
      </c>
      <c r="B355" t="s">
        <v>641</v>
      </c>
      <c r="C355" t="s">
        <v>18</v>
      </c>
      <c r="D355">
        <v>29</v>
      </c>
      <c r="E355" t="s">
        <v>78</v>
      </c>
      <c r="F355" t="s">
        <v>67</v>
      </c>
      <c r="G355" t="s">
        <v>39</v>
      </c>
      <c r="H355">
        <v>2099</v>
      </c>
      <c r="I355">
        <v>546</v>
      </c>
      <c r="J355">
        <v>1553</v>
      </c>
      <c r="K355" t="s">
        <v>59</v>
      </c>
      <c r="L355" t="s">
        <v>32</v>
      </c>
      <c r="M355">
        <v>15</v>
      </c>
      <c r="N355" t="s">
        <v>193</v>
      </c>
      <c r="O355" s="6">
        <f t="shared" ca="1" si="5"/>
        <v>45659</v>
      </c>
      <c r="P355">
        <v>4.2</v>
      </c>
    </row>
    <row r="356" spans="1:16" x14ac:dyDescent="0.3">
      <c r="A356" t="s">
        <v>642</v>
      </c>
      <c r="B356" t="s">
        <v>643</v>
      </c>
      <c r="C356" t="s">
        <v>36</v>
      </c>
      <c r="D356">
        <v>61</v>
      </c>
      <c r="E356" t="s">
        <v>44</v>
      </c>
      <c r="F356" t="s">
        <v>45</v>
      </c>
      <c r="G356" t="s">
        <v>104</v>
      </c>
      <c r="H356">
        <v>9515</v>
      </c>
      <c r="I356">
        <v>6970</v>
      </c>
      <c r="J356">
        <v>2545</v>
      </c>
      <c r="K356" t="s">
        <v>59</v>
      </c>
      <c r="L356" t="s">
        <v>32</v>
      </c>
      <c r="M356">
        <v>2</v>
      </c>
      <c r="N356" t="s">
        <v>95</v>
      </c>
      <c r="O356" s="6">
        <f t="shared" ca="1" si="5"/>
        <v>45731</v>
      </c>
      <c r="P356">
        <v>3.6</v>
      </c>
    </row>
    <row r="357" spans="1:16" x14ac:dyDescent="0.3">
      <c r="A357" t="s">
        <v>644</v>
      </c>
      <c r="B357" t="s">
        <v>84</v>
      </c>
      <c r="C357" t="s">
        <v>77</v>
      </c>
      <c r="D357">
        <v>53</v>
      </c>
      <c r="E357" t="s">
        <v>78</v>
      </c>
      <c r="F357" t="s">
        <v>64</v>
      </c>
      <c r="G357" t="s">
        <v>92</v>
      </c>
      <c r="H357">
        <v>6751</v>
      </c>
      <c r="I357">
        <v>4899</v>
      </c>
      <c r="J357">
        <v>1852</v>
      </c>
      <c r="K357" t="s">
        <v>68</v>
      </c>
      <c r="L357" t="s">
        <v>32</v>
      </c>
      <c r="M357">
        <v>4</v>
      </c>
      <c r="N357" t="s">
        <v>33</v>
      </c>
      <c r="O357" s="6">
        <f t="shared" ca="1" si="5"/>
        <v>45986</v>
      </c>
      <c r="P357">
        <v>4.2</v>
      </c>
    </row>
    <row r="358" spans="1:16" x14ac:dyDescent="0.3">
      <c r="A358" t="s">
        <v>645</v>
      </c>
      <c r="B358" t="s">
        <v>209</v>
      </c>
      <c r="C358" t="s">
        <v>18</v>
      </c>
      <c r="D358">
        <v>34</v>
      </c>
      <c r="E358" t="s">
        <v>44</v>
      </c>
      <c r="F358" t="s">
        <v>29</v>
      </c>
      <c r="G358" t="s">
        <v>104</v>
      </c>
      <c r="H358">
        <v>7957</v>
      </c>
      <c r="I358">
        <v>5098</v>
      </c>
      <c r="J358">
        <v>2859</v>
      </c>
      <c r="K358" t="s">
        <v>59</v>
      </c>
      <c r="L358" t="s">
        <v>23</v>
      </c>
      <c r="M358">
        <v>11</v>
      </c>
      <c r="N358" t="s">
        <v>95</v>
      </c>
      <c r="O358" s="6">
        <f t="shared" ca="1" si="5"/>
        <v>45984</v>
      </c>
      <c r="P358">
        <v>3.8</v>
      </c>
    </row>
    <row r="359" spans="1:16" x14ac:dyDescent="0.3">
      <c r="A359" t="s">
        <v>646</v>
      </c>
      <c r="B359" t="s">
        <v>647</v>
      </c>
      <c r="C359" t="s">
        <v>51</v>
      </c>
      <c r="D359">
        <v>36</v>
      </c>
      <c r="E359" t="s">
        <v>28</v>
      </c>
      <c r="F359" t="s">
        <v>38</v>
      </c>
      <c r="G359" t="s">
        <v>73</v>
      </c>
      <c r="H359">
        <v>3208</v>
      </c>
      <c r="I359">
        <v>1428</v>
      </c>
      <c r="J359">
        <v>1780</v>
      </c>
      <c r="K359" t="s">
        <v>31</v>
      </c>
      <c r="L359" t="s">
        <v>23</v>
      </c>
      <c r="M359">
        <v>12</v>
      </c>
      <c r="N359" t="s">
        <v>116</v>
      </c>
      <c r="O359" s="6">
        <f t="shared" ca="1" si="5"/>
        <v>45982</v>
      </c>
      <c r="P359">
        <v>3.5</v>
      </c>
    </row>
    <row r="360" spans="1:16" x14ac:dyDescent="0.3">
      <c r="A360" t="s">
        <v>648</v>
      </c>
      <c r="B360" t="s">
        <v>257</v>
      </c>
      <c r="C360" t="s">
        <v>27</v>
      </c>
      <c r="D360">
        <v>49</v>
      </c>
      <c r="E360" t="s">
        <v>63</v>
      </c>
      <c r="F360" t="s">
        <v>136</v>
      </c>
      <c r="G360" t="s">
        <v>39</v>
      </c>
      <c r="H360">
        <v>6825</v>
      </c>
      <c r="I360">
        <v>5837</v>
      </c>
      <c r="J360">
        <v>988</v>
      </c>
      <c r="K360" t="s">
        <v>31</v>
      </c>
      <c r="L360" t="s">
        <v>23</v>
      </c>
      <c r="M360">
        <v>2</v>
      </c>
      <c r="N360" t="s">
        <v>53</v>
      </c>
      <c r="O360" s="6">
        <f t="shared" ca="1" si="5"/>
        <v>45885</v>
      </c>
      <c r="P360">
        <v>4.0999999999999996</v>
      </c>
    </row>
    <row r="361" spans="1:16" x14ac:dyDescent="0.3">
      <c r="A361" t="s">
        <v>649</v>
      </c>
      <c r="B361" t="s">
        <v>182</v>
      </c>
      <c r="C361" t="s">
        <v>77</v>
      </c>
      <c r="D361">
        <v>34</v>
      </c>
      <c r="E361" t="s">
        <v>19</v>
      </c>
      <c r="F361" t="s">
        <v>64</v>
      </c>
      <c r="G361" t="s">
        <v>21</v>
      </c>
      <c r="H361">
        <v>4586</v>
      </c>
      <c r="I361">
        <v>2184</v>
      </c>
      <c r="J361">
        <v>2402</v>
      </c>
      <c r="K361" t="s">
        <v>22</v>
      </c>
      <c r="L361" t="s">
        <v>32</v>
      </c>
      <c r="M361">
        <v>15</v>
      </c>
      <c r="N361" t="s">
        <v>48</v>
      </c>
      <c r="O361" s="6">
        <f t="shared" ca="1" si="5"/>
        <v>45825</v>
      </c>
      <c r="P361">
        <v>4.3</v>
      </c>
    </row>
    <row r="362" spans="1:16" x14ac:dyDescent="0.3">
      <c r="A362" t="s">
        <v>650</v>
      </c>
      <c r="B362" t="s">
        <v>516</v>
      </c>
      <c r="C362" t="s">
        <v>56</v>
      </c>
      <c r="D362">
        <v>42</v>
      </c>
      <c r="E362" t="s">
        <v>28</v>
      </c>
      <c r="F362" t="s">
        <v>98</v>
      </c>
      <c r="G362" t="s">
        <v>21</v>
      </c>
      <c r="H362">
        <v>1873</v>
      </c>
      <c r="I362">
        <v>944</v>
      </c>
      <c r="J362">
        <v>929</v>
      </c>
      <c r="K362" t="s">
        <v>59</v>
      </c>
      <c r="L362" t="s">
        <v>47</v>
      </c>
      <c r="M362">
        <v>9</v>
      </c>
      <c r="N362" t="s">
        <v>53</v>
      </c>
      <c r="O362" s="6">
        <f t="shared" ca="1" si="5"/>
        <v>45891</v>
      </c>
      <c r="P362">
        <v>3.2</v>
      </c>
    </row>
    <row r="363" spans="1:16" x14ac:dyDescent="0.3">
      <c r="A363" t="s">
        <v>651</v>
      </c>
      <c r="B363" t="s">
        <v>572</v>
      </c>
      <c r="C363" t="s">
        <v>103</v>
      </c>
      <c r="D363">
        <v>49</v>
      </c>
      <c r="E363" t="s">
        <v>37</v>
      </c>
      <c r="F363" t="s">
        <v>64</v>
      </c>
      <c r="G363" t="s">
        <v>58</v>
      </c>
      <c r="H363">
        <v>2433</v>
      </c>
      <c r="I363">
        <v>638</v>
      </c>
      <c r="J363">
        <v>1795</v>
      </c>
      <c r="K363" t="s">
        <v>31</v>
      </c>
      <c r="L363" t="s">
        <v>47</v>
      </c>
      <c r="M363">
        <v>9</v>
      </c>
      <c r="N363" t="s">
        <v>24</v>
      </c>
      <c r="O363" s="6">
        <f t="shared" ca="1" si="5"/>
        <v>45913</v>
      </c>
      <c r="P363">
        <v>3.3</v>
      </c>
    </row>
    <row r="364" spans="1:16" x14ac:dyDescent="0.3">
      <c r="A364" t="s">
        <v>652</v>
      </c>
      <c r="B364" t="s">
        <v>90</v>
      </c>
      <c r="C364" t="s">
        <v>51</v>
      </c>
      <c r="D364">
        <v>23</v>
      </c>
      <c r="E364" t="s">
        <v>87</v>
      </c>
      <c r="F364" t="s">
        <v>38</v>
      </c>
      <c r="G364" t="s">
        <v>92</v>
      </c>
      <c r="H364">
        <v>2756</v>
      </c>
      <c r="I364">
        <v>1369</v>
      </c>
      <c r="J364">
        <v>1387</v>
      </c>
      <c r="K364" t="s">
        <v>68</v>
      </c>
      <c r="L364" t="s">
        <v>23</v>
      </c>
      <c r="M364">
        <v>5</v>
      </c>
      <c r="N364" t="s">
        <v>118</v>
      </c>
      <c r="O364" s="6">
        <f t="shared" ca="1" si="5"/>
        <v>45843</v>
      </c>
      <c r="P364">
        <v>4.5</v>
      </c>
    </row>
    <row r="365" spans="1:16" x14ac:dyDescent="0.3">
      <c r="A365" t="s">
        <v>653</v>
      </c>
      <c r="B365" t="s">
        <v>276</v>
      </c>
      <c r="C365" t="s">
        <v>103</v>
      </c>
      <c r="D365">
        <v>63</v>
      </c>
      <c r="E365" t="s">
        <v>28</v>
      </c>
      <c r="F365" t="s">
        <v>91</v>
      </c>
      <c r="G365" t="s">
        <v>126</v>
      </c>
      <c r="H365">
        <v>5970</v>
      </c>
      <c r="I365">
        <v>4870</v>
      </c>
      <c r="J365">
        <v>1100</v>
      </c>
      <c r="K365" t="s">
        <v>59</v>
      </c>
      <c r="L365" t="s">
        <v>23</v>
      </c>
      <c r="M365">
        <v>7</v>
      </c>
      <c r="N365" t="s">
        <v>74</v>
      </c>
      <c r="O365" s="6">
        <f t="shared" ca="1" si="5"/>
        <v>45740</v>
      </c>
      <c r="P365">
        <v>3.6</v>
      </c>
    </row>
    <row r="366" spans="1:16" x14ac:dyDescent="0.3">
      <c r="A366" t="s">
        <v>654</v>
      </c>
      <c r="B366" t="s">
        <v>348</v>
      </c>
      <c r="C366" t="s">
        <v>43</v>
      </c>
      <c r="D366">
        <v>21</v>
      </c>
      <c r="E366" t="s">
        <v>82</v>
      </c>
      <c r="F366" t="s">
        <v>29</v>
      </c>
      <c r="G366" t="s">
        <v>126</v>
      </c>
      <c r="H366">
        <v>1880</v>
      </c>
      <c r="I366">
        <v>1509</v>
      </c>
      <c r="J366">
        <v>371</v>
      </c>
      <c r="K366" t="s">
        <v>31</v>
      </c>
      <c r="L366" t="s">
        <v>47</v>
      </c>
      <c r="M366">
        <v>10</v>
      </c>
      <c r="N366" t="s">
        <v>48</v>
      </c>
      <c r="O366" s="6">
        <f t="shared" ca="1" si="5"/>
        <v>45755</v>
      </c>
      <c r="P366">
        <v>3.5</v>
      </c>
    </row>
    <row r="367" spans="1:16" x14ac:dyDescent="0.3">
      <c r="A367" t="s">
        <v>655</v>
      </c>
      <c r="B367" t="s">
        <v>656</v>
      </c>
      <c r="C367" t="s">
        <v>62</v>
      </c>
      <c r="D367">
        <v>43</v>
      </c>
      <c r="E367" t="s">
        <v>19</v>
      </c>
      <c r="F367" t="s">
        <v>64</v>
      </c>
      <c r="G367" t="s">
        <v>92</v>
      </c>
      <c r="H367">
        <v>2525</v>
      </c>
      <c r="I367">
        <v>1666</v>
      </c>
      <c r="J367">
        <v>859</v>
      </c>
      <c r="K367" t="s">
        <v>22</v>
      </c>
      <c r="L367" t="s">
        <v>23</v>
      </c>
      <c r="M367">
        <v>10</v>
      </c>
      <c r="N367" t="s">
        <v>116</v>
      </c>
      <c r="O367" s="6">
        <f t="shared" ca="1" si="5"/>
        <v>45911</v>
      </c>
      <c r="P367">
        <v>3.2</v>
      </c>
    </row>
    <row r="368" spans="1:16" x14ac:dyDescent="0.3">
      <c r="A368" t="s">
        <v>657</v>
      </c>
      <c r="B368" t="s">
        <v>448</v>
      </c>
      <c r="C368" t="s">
        <v>51</v>
      </c>
      <c r="D368">
        <v>24</v>
      </c>
      <c r="E368" t="s">
        <v>82</v>
      </c>
      <c r="F368" t="s">
        <v>91</v>
      </c>
      <c r="G368" t="s">
        <v>92</v>
      </c>
      <c r="H368">
        <v>2489</v>
      </c>
      <c r="I368">
        <v>1099</v>
      </c>
      <c r="J368">
        <v>1390</v>
      </c>
      <c r="K368" t="s">
        <v>31</v>
      </c>
      <c r="L368" t="s">
        <v>23</v>
      </c>
      <c r="M368">
        <v>5</v>
      </c>
      <c r="N368" t="s">
        <v>53</v>
      </c>
      <c r="O368" s="6">
        <f t="shared" ca="1" si="5"/>
        <v>45703</v>
      </c>
      <c r="P368">
        <v>4.5999999999999996</v>
      </c>
    </row>
    <row r="369" spans="1:16" x14ac:dyDescent="0.3">
      <c r="A369" t="s">
        <v>658</v>
      </c>
      <c r="B369" t="s">
        <v>659</v>
      </c>
      <c r="C369" t="s">
        <v>43</v>
      </c>
      <c r="D369">
        <v>29</v>
      </c>
      <c r="E369" t="s">
        <v>19</v>
      </c>
      <c r="F369" t="s">
        <v>98</v>
      </c>
      <c r="G369" t="s">
        <v>39</v>
      </c>
      <c r="H369">
        <v>6060</v>
      </c>
      <c r="I369">
        <v>5575</v>
      </c>
      <c r="J369">
        <v>485</v>
      </c>
      <c r="K369" t="s">
        <v>88</v>
      </c>
      <c r="L369" t="s">
        <v>23</v>
      </c>
      <c r="M369">
        <v>2</v>
      </c>
      <c r="N369" t="s">
        <v>40</v>
      </c>
      <c r="O369" s="6">
        <f t="shared" ca="1" si="5"/>
        <v>45838</v>
      </c>
      <c r="P369">
        <v>2.2000000000000002</v>
      </c>
    </row>
    <row r="370" spans="1:16" x14ac:dyDescent="0.3">
      <c r="A370" t="s">
        <v>660</v>
      </c>
      <c r="B370" t="s">
        <v>643</v>
      </c>
      <c r="C370" t="s">
        <v>18</v>
      </c>
      <c r="D370">
        <v>65</v>
      </c>
      <c r="E370" t="s">
        <v>44</v>
      </c>
      <c r="F370" t="s">
        <v>20</v>
      </c>
      <c r="G370" t="s">
        <v>79</v>
      </c>
      <c r="H370">
        <v>6835</v>
      </c>
      <c r="I370">
        <v>5143</v>
      </c>
      <c r="J370">
        <v>1692</v>
      </c>
      <c r="K370" t="s">
        <v>68</v>
      </c>
      <c r="L370" t="s">
        <v>47</v>
      </c>
      <c r="M370">
        <v>7</v>
      </c>
      <c r="N370" t="s">
        <v>193</v>
      </c>
      <c r="O370" s="6">
        <f t="shared" ca="1" si="5"/>
        <v>46011</v>
      </c>
      <c r="P370">
        <v>4.5</v>
      </c>
    </row>
    <row r="371" spans="1:16" x14ac:dyDescent="0.3">
      <c r="A371" t="s">
        <v>661</v>
      </c>
      <c r="B371" t="s">
        <v>662</v>
      </c>
      <c r="C371" t="s">
        <v>62</v>
      </c>
      <c r="D371">
        <v>62</v>
      </c>
      <c r="E371" t="s">
        <v>37</v>
      </c>
      <c r="F371" t="s">
        <v>45</v>
      </c>
      <c r="G371" t="s">
        <v>58</v>
      </c>
      <c r="H371">
        <v>4583</v>
      </c>
      <c r="I371">
        <v>1600</v>
      </c>
      <c r="J371">
        <v>2983</v>
      </c>
      <c r="K371" t="s">
        <v>88</v>
      </c>
      <c r="L371" t="s">
        <v>32</v>
      </c>
      <c r="M371">
        <v>15</v>
      </c>
      <c r="N371" t="s">
        <v>69</v>
      </c>
      <c r="O371" s="6">
        <f t="shared" ca="1" si="5"/>
        <v>45840</v>
      </c>
      <c r="P371">
        <v>3.7</v>
      </c>
    </row>
    <row r="372" spans="1:16" x14ac:dyDescent="0.3">
      <c r="A372" t="s">
        <v>663</v>
      </c>
      <c r="B372" t="s">
        <v>375</v>
      </c>
      <c r="C372" t="s">
        <v>18</v>
      </c>
      <c r="D372">
        <v>52</v>
      </c>
      <c r="E372" t="s">
        <v>82</v>
      </c>
      <c r="F372" t="s">
        <v>98</v>
      </c>
      <c r="G372" t="s">
        <v>126</v>
      </c>
      <c r="H372">
        <v>8472</v>
      </c>
      <c r="I372">
        <v>5788</v>
      </c>
      <c r="J372">
        <v>2684</v>
      </c>
      <c r="K372" t="s">
        <v>59</v>
      </c>
      <c r="L372" t="s">
        <v>32</v>
      </c>
      <c r="M372">
        <v>5</v>
      </c>
      <c r="N372" t="s">
        <v>193</v>
      </c>
      <c r="O372" s="6">
        <f t="shared" ca="1" si="5"/>
        <v>45749</v>
      </c>
      <c r="P372">
        <v>4.5</v>
      </c>
    </row>
    <row r="373" spans="1:16" x14ac:dyDescent="0.3">
      <c r="A373" t="s">
        <v>664</v>
      </c>
      <c r="B373" t="s">
        <v>484</v>
      </c>
      <c r="C373" t="s">
        <v>77</v>
      </c>
      <c r="D373">
        <v>25</v>
      </c>
      <c r="E373" t="s">
        <v>28</v>
      </c>
      <c r="F373" t="s">
        <v>29</v>
      </c>
      <c r="G373" t="s">
        <v>46</v>
      </c>
      <c r="H373">
        <v>7837</v>
      </c>
      <c r="I373">
        <v>5266</v>
      </c>
      <c r="J373">
        <v>2571</v>
      </c>
      <c r="K373" t="s">
        <v>31</v>
      </c>
      <c r="L373" t="s">
        <v>23</v>
      </c>
      <c r="M373">
        <v>10</v>
      </c>
      <c r="N373" t="s">
        <v>33</v>
      </c>
      <c r="O373" s="6">
        <f t="shared" ca="1" si="5"/>
        <v>45715</v>
      </c>
      <c r="P373">
        <v>4.2</v>
      </c>
    </row>
    <row r="374" spans="1:16" x14ac:dyDescent="0.3">
      <c r="A374" t="s">
        <v>665</v>
      </c>
      <c r="B374" t="s">
        <v>641</v>
      </c>
      <c r="C374" t="s">
        <v>27</v>
      </c>
      <c r="D374">
        <v>51</v>
      </c>
      <c r="E374" t="s">
        <v>78</v>
      </c>
      <c r="F374" t="s">
        <v>38</v>
      </c>
      <c r="G374" t="s">
        <v>73</v>
      </c>
      <c r="H374">
        <v>4944</v>
      </c>
      <c r="I374">
        <v>2329</v>
      </c>
      <c r="J374">
        <v>2615</v>
      </c>
      <c r="K374" t="s">
        <v>31</v>
      </c>
      <c r="L374" t="s">
        <v>23</v>
      </c>
      <c r="M374">
        <v>5</v>
      </c>
      <c r="N374" t="s">
        <v>193</v>
      </c>
      <c r="O374" s="6">
        <f t="shared" ca="1" si="5"/>
        <v>45696</v>
      </c>
      <c r="P374">
        <v>3.6</v>
      </c>
    </row>
    <row r="375" spans="1:16" x14ac:dyDescent="0.3">
      <c r="A375" t="s">
        <v>666</v>
      </c>
      <c r="B375" t="s">
        <v>285</v>
      </c>
      <c r="C375" t="s">
        <v>103</v>
      </c>
      <c r="D375">
        <v>44</v>
      </c>
      <c r="E375" t="s">
        <v>82</v>
      </c>
      <c r="F375" t="s">
        <v>136</v>
      </c>
      <c r="G375" t="s">
        <v>30</v>
      </c>
      <c r="H375">
        <v>6409</v>
      </c>
      <c r="I375">
        <v>5530</v>
      </c>
      <c r="J375">
        <v>879</v>
      </c>
      <c r="K375" t="s">
        <v>59</v>
      </c>
      <c r="L375" t="s">
        <v>32</v>
      </c>
      <c r="M375">
        <v>3</v>
      </c>
      <c r="N375" t="s">
        <v>69</v>
      </c>
      <c r="O375" s="6">
        <f t="shared" ca="1" si="5"/>
        <v>45782</v>
      </c>
      <c r="P375">
        <v>4.5999999999999996</v>
      </c>
    </row>
    <row r="376" spans="1:16" x14ac:dyDescent="0.3">
      <c r="A376" t="s">
        <v>667</v>
      </c>
      <c r="B376" t="s">
        <v>668</v>
      </c>
      <c r="C376" t="s">
        <v>129</v>
      </c>
      <c r="D376">
        <v>51</v>
      </c>
      <c r="E376" t="s">
        <v>57</v>
      </c>
      <c r="F376" t="s">
        <v>136</v>
      </c>
      <c r="G376" t="s">
        <v>30</v>
      </c>
      <c r="H376">
        <v>8934</v>
      </c>
      <c r="I376">
        <v>6737</v>
      </c>
      <c r="J376">
        <v>2197</v>
      </c>
      <c r="K376" t="s">
        <v>22</v>
      </c>
      <c r="L376" t="s">
        <v>32</v>
      </c>
      <c r="M376">
        <v>5</v>
      </c>
      <c r="N376" t="s">
        <v>95</v>
      </c>
      <c r="O376" s="6">
        <f t="shared" ca="1" si="5"/>
        <v>45813</v>
      </c>
      <c r="P376">
        <v>4.7</v>
      </c>
    </row>
    <row r="377" spans="1:16" x14ac:dyDescent="0.3">
      <c r="A377" t="s">
        <v>669</v>
      </c>
      <c r="B377" t="s">
        <v>213</v>
      </c>
      <c r="C377" t="s">
        <v>43</v>
      </c>
      <c r="D377">
        <v>45</v>
      </c>
      <c r="E377" t="s">
        <v>63</v>
      </c>
      <c r="F377" t="s">
        <v>91</v>
      </c>
      <c r="G377" t="s">
        <v>46</v>
      </c>
      <c r="H377">
        <v>3682</v>
      </c>
      <c r="I377">
        <v>826</v>
      </c>
      <c r="J377">
        <v>2856</v>
      </c>
      <c r="K377" t="s">
        <v>68</v>
      </c>
      <c r="L377" t="s">
        <v>47</v>
      </c>
      <c r="M377">
        <v>12</v>
      </c>
      <c r="N377" t="s">
        <v>74</v>
      </c>
      <c r="O377" s="6">
        <f t="shared" ca="1" si="5"/>
        <v>45694</v>
      </c>
      <c r="P377">
        <v>4.3</v>
      </c>
    </row>
    <row r="378" spans="1:16" x14ac:dyDescent="0.3">
      <c r="A378" t="s">
        <v>670</v>
      </c>
      <c r="B378" t="s">
        <v>671</v>
      </c>
      <c r="C378" t="s">
        <v>27</v>
      </c>
      <c r="D378">
        <v>57</v>
      </c>
      <c r="E378" t="s">
        <v>78</v>
      </c>
      <c r="F378" t="s">
        <v>64</v>
      </c>
      <c r="G378" t="s">
        <v>73</v>
      </c>
      <c r="H378">
        <v>6099</v>
      </c>
      <c r="I378">
        <v>3492</v>
      </c>
      <c r="J378">
        <v>2607</v>
      </c>
      <c r="K378" t="s">
        <v>68</v>
      </c>
      <c r="L378" t="s">
        <v>47</v>
      </c>
      <c r="M378">
        <v>14</v>
      </c>
      <c r="N378" t="s">
        <v>53</v>
      </c>
      <c r="O378" s="6">
        <f t="shared" ca="1" si="5"/>
        <v>45882</v>
      </c>
      <c r="P378">
        <v>3.9</v>
      </c>
    </row>
    <row r="379" spans="1:16" x14ac:dyDescent="0.3">
      <c r="A379" t="s">
        <v>672</v>
      </c>
      <c r="B379" t="s">
        <v>601</v>
      </c>
      <c r="C379" t="s">
        <v>62</v>
      </c>
      <c r="D379">
        <v>54</v>
      </c>
      <c r="E379" t="s">
        <v>37</v>
      </c>
      <c r="F379" t="s">
        <v>38</v>
      </c>
      <c r="G379" t="s">
        <v>58</v>
      </c>
      <c r="H379">
        <v>6662</v>
      </c>
      <c r="I379">
        <v>4488</v>
      </c>
      <c r="J379">
        <v>2174</v>
      </c>
      <c r="K379" t="s">
        <v>59</v>
      </c>
      <c r="L379" t="s">
        <v>47</v>
      </c>
      <c r="M379">
        <v>0</v>
      </c>
      <c r="N379" t="s">
        <v>40</v>
      </c>
      <c r="O379" s="6">
        <f t="shared" ca="1" si="5"/>
        <v>46003</v>
      </c>
      <c r="P379">
        <v>1.3</v>
      </c>
    </row>
    <row r="380" spans="1:16" x14ac:dyDescent="0.3">
      <c r="A380" t="s">
        <v>673</v>
      </c>
      <c r="B380" t="s">
        <v>566</v>
      </c>
      <c r="C380" t="s">
        <v>62</v>
      </c>
      <c r="D380">
        <v>25</v>
      </c>
      <c r="E380" t="s">
        <v>82</v>
      </c>
      <c r="F380" t="s">
        <v>45</v>
      </c>
      <c r="G380" t="s">
        <v>30</v>
      </c>
      <c r="H380">
        <v>2695</v>
      </c>
      <c r="I380">
        <v>1730</v>
      </c>
      <c r="J380">
        <v>965</v>
      </c>
      <c r="K380" t="s">
        <v>59</v>
      </c>
      <c r="L380" t="s">
        <v>32</v>
      </c>
      <c r="M380">
        <v>10</v>
      </c>
      <c r="N380" t="s">
        <v>53</v>
      </c>
      <c r="O380" s="6">
        <f t="shared" ca="1" si="5"/>
        <v>45901</v>
      </c>
      <c r="P380">
        <v>4.5999999999999996</v>
      </c>
    </row>
    <row r="381" spans="1:16" x14ac:dyDescent="0.3">
      <c r="A381" t="s">
        <v>674</v>
      </c>
      <c r="B381" t="s">
        <v>675</v>
      </c>
      <c r="C381" t="s">
        <v>43</v>
      </c>
      <c r="D381">
        <v>28</v>
      </c>
      <c r="E381" t="s">
        <v>63</v>
      </c>
      <c r="F381" t="s">
        <v>91</v>
      </c>
      <c r="G381" t="s">
        <v>104</v>
      </c>
      <c r="H381">
        <v>4845</v>
      </c>
      <c r="I381">
        <v>2226</v>
      </c>
      <c r="J381">
        <v>2619</v>
      </c>
      <c r="K381" t="s">
        <v>59</v>
      </c>
      <c r="L381" t="s">
        <v>23</v>
      </c>
      <c r="M381">
        <v>14</v>
      </c>
      <c r="N381" t="s">
        <v>48</v>
      </c>
      <c r="O381" s="6">
        <f t="shared" ca="1" si="5"/>
        <v>45791</v>
      </c>
      <c r="P381">
        <v>5</v>
      </c>
    </row>
    <row r="382" spans="1:16" x14ac:dyDescent="0.3">
      <c r="A382" t="s">
        <v>676</v>
      </c>
      <c r="B382" t="s">
        <v>110</v>
      </c>
      <c r="C382" t="s">
        <v>51</v>
      </c>
      <c r="D382">
        <v>58</v>
      </c>
      <c r="E382" t="s">
        <v>78</v>
      </c>
      <c r="F382" t="s">
        <v>20</v>
      </c>
      <c r="G382" t="s">
        <v>92</v>
      </c>
      <c r="H382">
        <v>3365</v>
      </c>
      <c r="I382">
        <v>821</v>
      </c>
      <c r="J382">
        <v>2544</v>
      </c>
      <c r="K382" t="s">
        <v>31</v>
      </c>
      <c r="L382" t="s">
        <v>23</v>
      </c>
      <c r="M382">
        <v>3</v>
      </c>
      <c r="N382" t="s">
        <v>116</v>
      </c>
      <c r="O382" s="6">
        <f t="shared" ca="1" si="5"/>
        <v>45920</v>
      </c>
      <c r="P382">
        <v>3.2</v>
      </c>
    </row>
    <row r="383" spans="1:16" x14ac:dyDescent="0.3">
      <c r="A383" t="s">
        <v>677</v>
      </c>
      <c r="B383" t="s">
        <v>678</v>
      </c>
      <c r="C383" t="s">
        <v>51</v>
      </c>
      <c r="D383">
        <v>61</v>
      </c>
      <c r="E383" t="s">
        <v>28</v>
      </c>
      <c r="F383" t="s">
        <v>45</v>
      </c>
      <c r="G383" t="s">
        <v>21</v>
      </c>
      <c r="H383">
        <v>4313</v>
      </c>
      <c r="I383">
        <v>2274</v>
      </c>
      <c r="J383">
        <v>2039</v>
      </c>
      <c r="K383" t="s">
        <v>59</v>
      </c>
      <c r="L383" t="s">
        <v>23</v>
      </c>
      <c r="M383">
        <v>8</v>
      </c>
      <c r="N383" t="s">
        <v>69</v>
      </c>
      <c r="O383" s="6">
        <f t="shared" ca="1" si="5"/>
        <v>45698</v>
      </c>
      <c r="P383">
        <v>4.5999999999999996</v>
      </c>
    </row>
    <row r="384" spans="1:16" x14ac:dyDescent="0.3">
      <c r="A384" t="s">
        <v>679</v>
      </c>
      <c r="B384" t="s">
        <v>575</v>
      </c>
      <c r="C384" t="s">
        <v>129</v>
      </c>
      <c r="D384">
        <v>58</v>
      </c>
      <c r="E384" t="s">
        <v>78</v>
      </c>
      <c r="F384" t="s">
        <v>67</v>
      </c>
      <c r="G384" t="s">
        <v>92</v>
      </c>
      <c r="H384">
        <v>3552</v>
      </c>
      <c r="I384">
        <v>2666</v>
      </c>
      <c r="J384">
        <v>886</v>
      </c>
      <c r="K384" t="s">
        <v>31</v>
      </c>
      <c r="L384" t="s">
        <v>23</v>
      </c>
      <c r="M384">
        <v>6</v>
      </c>
      <c r="N384" t="s">
        <v>69</v>
      </c>
      <c r="O384" s="6">
        <f t="shared" ca="1" si="5"/>
        <v>45900</v>
      </c>
      <c r="P384">
        <v>3.3</v>
      </c>
    </row>
    <row r="385" spans="1:16" x14ac:dyDescent="0.3">
      <c r="A385" t="s">
        <v>680</v>
      </c>
      <c r="B385" t="s">
        <v>681</v>
      </c>
      <c r="C385" t="s">
        <v>103</v>
      </c>
      <c r="D385">
        <v>45</v>
      </c>
      <c r="E385" t="s">
        <v>78</v>
      </c>
      <c r="F385" t="s">
        <v>98</v>
      </c>
      <c r="G385" t="s">
        <v>46</v>
      </c>
      <c r="H385">
        <v>4498</v>
      </c>
      <c r="I385">
        <v>2157</v>
      </c>
      <c r="J385">
        <v>2341</v>
      </c>
      <c r="K385" t="s">
        <v>88</v>
      </c>
      <c r="L385" t="s">
        <v>47</v>
      </c>
      <c r="M385">
        <v>4</v>
      </c>
      <c r="N385" t="s">
        <v>40</v>
      </c>
      <c r="O385" s="6">
        <f t="shared" ca="1" si="5"/>
        <v>45877</v>
      </c>
      <c r="P385">
        <v>1.3</v>
      </c>
    </row>
    <row r="386" spans="1:16" x14ac:dyDescent="0.3">
      <c r="A386" t="s">
        <v>682</v>
      </c>
      <c r="B386" t="s">
        <v>683</v>
      </c>
      <c r="C386" t="s">
        <v>77</v>
      </c>
      <c r="D386">
        <v>32</v>
      </c>
      <c r="E386" t="s">
        <v>63</v>
      </c>
      <c r="F386" t="s">
        <v>67</v>
      </c>
      <c r="G386" t="s">
        <v>79</v>
      </c>
      <c r="H386">
        <v>3195</v>
      </c>
      <c r="I386">
        <v>819</v>
      </c>
      <c r="J386">
        <v>2376</v>
      </c>
      <c r="K386" t="s">
        <v>59</v>
      </c>
      <c r="L386" t="s">
        <v>32</v>
      </c>
      <c r="M386">
        <v>2</v>
      </c>
      <c r="N386" t="s">
        <v>53</v>
      </c>
      <c r="O386" s="6">
        <f t="shared" ca="1" si="5"/>
        <v>45784</v>
      </c>
      <c r="P386">
        <v>4.7</v>
      </c>
    </row>
    <row r="387" spans="1:16" x14ac:dyDescent="0.3">
      <c r="A387" t="s">
        <v>684</v>
      </c>
      <c r="B387" t="s">
        <v>685</v>
      </c>
      <c r="C387" t="s">
        <v>36</v>
      </c>
      <c r="D387">
        <v>64</v>
      </c>
      <c r="E387" t="s">
        <v>37</v>
      </c>
      <c r="F387" t="s">
        <v>29</v>
      </c>
      <c r="G387" t="s">
        <v>73</v>
      </c>
      <c r="H387">
        <v>3911</v>
      </c>
      <c r="I387">
        <v>3534</v>
      </c>
      <c r="J387">
        <v>377</v>
      </c>
      <c r="K387" t="s">
        <v>88</v>
      </c>
      <c r="L387" t="s">
        <v>47</v>
      </c>
      <c r="M387">
        <v>7</v>
      </c>
      <c r="N387" t="s">
        <v>33</v>
      </c>
      <c r="O387" s="6">
        <f t="shared" ref="O387:O450" ca="1" si="6">RANDBETWEEN(DATE(2025,1,1),DATE(2025,12,31))</f>
        <v>45725</v>
      </c>
      <c r="P387">
        <v>3.6</v>
      </c>
    </row>
    <row r="388" spans="1:16" x14ac:dyDescent="0.3">
      <c r="A388" t="s">
        <v>686</v>
      </c>
      <c r="B388" t="s">
        <v>687</v>
      </c>
      <c r="C388" t="s">
        <v>51</v>
      </c>
      <c r="D388">
        <v>27</v>
      </c>
      <c r="E388" t="s">
        <v>37</v>
      </c>
      <c r="F388" t="s">
        <v>20</v>
      </c>
      <c r="G388" t="s">
        <v>39</v>
      </c>
      <c r="H388">
        <v>5560</v>
      </c>
      <c r="I388">
        <v>4408</v>
      </c>
      <c r="J388">
        <v>1152</v>
      </c>
      <c r="K388" t="s">
        <v>31</v>
      </c>
      <c r="L388" t="s">
        <v>32</v>
      </c>
      <c r="M388">
        <v>0</v>
      </c>
      <c r="N388" t="s">
        <v>40</v>
      </c>
      <c r="O388" s="6">
        <f t="shared" ca="1" si="6"/>
        <v>45747</v>
      </c>
      <c r="P388">
        <v>2.8</v>
      </c>
    </row>
    <row r="389" spans="1:16" x14ac:dyDescent="0.3">
      <c r="A389" t="s">
        <v>688</v>
      </c>
      <c r="B389" t="s">
        <v>562</v>
      </c>
      <c r="C389" t="s">
        <v>18</v>
      </c>
      <c r="D389">
        <v>33</v>
      </c>
      <c r="E389" t="s">
        <v>28</v>
      </c>
      <c r="F389" t="s">
        <v>136</v>
      </c>
      <c r="G389" t="s">
        <v>79</v>
      </c>
      <c r="H389">
        <v>5462</v>
      </c>
      <c r="I389">
        <v>4780</v>
      </c>
      <c r="J389">
        <v>682</v>
      </c>
      <c r="K389" t="s">
        <v>68</v>
      </c>
      <c r="L389" t="s">
        <v>23</v>
      </c>
      <c r="M389">
        <v>7</v>
      </c>
      <c r="N389" t="s">
        <v>33</v>
      </c>
      <c r="O389" s="6">
        <f t="shared" ca="1" si="6"/>
        <v>45823</v>
      </c>
      <c r="P389">
        <v>3.1</v>
      </c>
    </row>
    <row r="390" spans="1:16" x14ac:dyDescent="0.3">
      <c r="A390" t="s">
        <v>689</v>
      </c>
      <c r="B390" t="s">
        <v>497</v>
      </c>
      <c r="C390" t="s">
        <v>77</v>
      </c>
      <c r="D390">
        <v>30</v>
      </c>
      <c r="E390" t="s">
        <v>37</v>
      </c>
      <c r="F390" t="s">
        <v>67</v>
      </c>
      <c r="G390" t="s">
        <v>39</v>
      </c>
      <c r="H390">
        <v>5035</v>
      </c>
      <c r="I390">
        <v>2640</v>
      </c>
      <c r="J390">
        <v>2395</v>
      </c>
      <c r="K390" t="s">
        <v>88</v>
      </c>
      <c r="L390" t="s">
        <v>47</v>
      </c>
      <c r="M390">
        <v>6</v>
      </c>
      <c r="N390" t="s">
        <v>118</v>
      </c>
      <c r="O390" s="6">
        <f t="shared" ca="1" si="6"/>
        <v>45695</v>
      </c>
      <c r="P390">
        <v>4</v>
      </c>
    </row>
    <row r="391" spans="1:16" x14ac:dyDescent="0.3">
      <c r="A391" t="s">
        <v>690</v>
      </c>
      <c r="B391" t="s">
        <v>691</v>
      </c>
      <c r="C391" t="s">
        <v>27</v>
      </c>
      <c r="D391">
        <v>56</v>
      </c>
      <c r="E391" t="s">
        <v>63</v>
      </c>
      <c r="F391" t="s">
        <v>20</v>
      </c>
      <c r="G391" t="s">
        <v>58</v>
      </c>
      <c r="H391">
        <v>7552</v>
      </c>
      <c r="I391">
        <v>5080</v>
      </c>
      <c r="J391">
        <v>2472</v>
      </c>
      <c r="K391" t="s">
        <v>88</v>
      </c>
      <c r="L391" t="s">
        <v>32</v>
      </c>
      <c r="M391">
        <v>5</v>
      </c>
      <c r="N391" t="s">
        <v>118</v>
      </c>
      <c r="O391" s="6">
        <f t="shared" ca="1" si="6"/>
        <v>45721</v>
      </c>
      <c r="P391">
        <v>3.9</v>
      </c>
    </row>
    <row r="392" spans="1:16" x14ac:dyDescent="0.3">
      <c r="A392" t="s">
        <v>692</v>
      </c>
      <c r="B392" t="s">
        <v>164</v>
      </c>
      <c r="C392" t="s">
        <v>77</v>
      </c>
      <c r="D392">
        <v>35</v>
      </c>
      <c r="E392" t="s">
        <v>63</v>
      </c>
      <c r="F392" t="s">
        <v>20</v>
      </c>
      <c r="G392" t="s">
        <v>21</v>
      </c>
      <c r="H392">
        <v>4538</v>
      </c>
      <c r="I392">
        <v>2256</v>
      </c>
      <c r="J392">
        <v>2282</v>
      </c>
      <c r="K392" t="s">
        <v>22</v>
      </c>
      <c r="L392" t="s">
        <v>23</v>
      </c>
      <c r="M392">
        <v>6</v>
      </c>
      <c r="N392" t="s">
        <v>74</v>
      </c>
      <c r="O392" s="6">
        <f t="shared" ca="1" si="6"/>
        <v>45729</v>
      </c>
      <c r="P392">
        <v>4.3</v>
      </c>
    </row>
    <row r="393" spans="1:16" x14ac:dyDescent="0.3">
      <c r="A393" t="s">
        <v>693</v>
      </c>
      <c r="B393" t="s">
        <v>694</v>
      </c>
      <c r="C393" t="s">
        <v>36</v>
      </c>
      <c r="D393">
        <v>26</v>
      </c>
      <c r="E393" t="s">
        <v>78</v>
      </c>
      <c r="F393" t="s">
        <v>91</v>
      </c>
      <c r="G393" t="s">
        <v>79</v>
      </c>
      <c r="H393">
        <v>4627</v>
      </c>
      <c r="I393">
        <v>4066</v>
      </c>
      <c r="J393">
        <v>561</v>
      </c>
      <c r="K393" t="s">
        <v>31</v>
      </c>
      <c r="L393" t="s">
        <v>47</v>
      </c>
      <c r="M393">
        <v>4</v>
      </c>
      <c r="N393" t="s">
        <v>95</v>
      </c>
      <c r="O393" s="6">
        <f t="shared" ca="1" si="6"/>
        <v>45880</v>
      </c>
      <c r="P393">
        <v>3.7</v>
      </c>
    </row>
    <row r="394" spans="1:16" x14ac:dyDescent="0.3">
      <c r="A394" t="s">
        <v>695</v>
      </c>
      <c r="B394" t="s">
        <v>696</v>
      </c>
      <c r="C394" t="s">
        <v>103</v>
      </c>
      <c r="D394">
        <v>46</v>
      </c>
      <c r="E394" t="s">
        <v>44</v>
      </c>
      <c r="F394" t="s">
        <v>29</v>
      </c>
      <c r="G394" t="s">
        <v>39</v>
      </c>
      <c r="H394">
        <v>8976</v>
      </c>
      <c r="I394">
        <v>6329</v>
      </c>
      <c r="J394">
        <v>2647</v>
      </c>
      <c r="K394" t="s">
        <v>88</v>
      </c>
      <c r="L394" t="s">
        <v>32</v>
      </c>
      <c r="M394">
        <v>13</v>
      </c>
      <c r="N394" t="s">
        <v>193</v>
      </c>
      <c r="O394" s="6">
        <f t="shared" ca="1" si="6"/>
        <v>45996</v>
      </c>
      <c r="P394">
        <v>4</v>
      </c>
    </row>
    <row r="395" spans="1:16" x14ac:dyDescent="0.3">
      <c r="A395" t="s">
        <v>697</v>
      </c>
      <c r="B395" t="s">
        <v>549</v>
      </c>
      <c r="C395" t="s">
        <v>62</v>
      </c>
      <c r="D395">
        <v>63</v>
      </c>
      <c r="E395" t="s">
        <v>82</v>
      </c>
      <c r="F395" t="s">
        <v>45</v>
      </c>
      <c r="G395" t="s">
        <v>30</v>
      </c>
      <c r="H395">
        <v>3430</v>
      </c>
      <c r="I395">
        <v>775</v>
      </c>
      <c r="J395">
        <v>2655</v>
      </c>
      <c r="K395" t="s">
        <v>59</v>
      </c>
      <c r="L395" t="s">
        <v>23</v>
      </c>
      <c r="M395">
        <v>12</v>
      </c>
      <c r="N395" t="s">
        <v>33</v>
      </c>
      <c r="O395" s="6">
        <f t="shared" ca="1" si="6"/>
        <v>45685</v>
      </c>
      <c r="P395">
        <v>3.2</v>
      </c>
    </row>
    <row r="396" spans="1:16" x14ac:dyDescent="0.3">
      <c r="A396" t="s">
        <v>698</v>
      </c>
      <c r="B396" t="s">
        <v>174</v>
      </c>
      <c r="C396" t="s">
        <v>62</v>
      </c>
      <c r="D396">
        <v>62</v>
      </c>
      <c r="E396" t="s">
        <v>28</v>
      </c>
      <c r="F396" t="s">
        <v>20</v>
      </c>
      <c r="G396" t="s">
        <v>21</v>
      </c>
      <c r="H396">
        <v>4596</v>
      </c>
      <c r="I396">
        <v>2760</v>
      </c>
      <c r="J396">
        <v>1836</v>
      </c>
      <c r="K396" t="s">
        <v>59</v>
      </c>
      <c r="L396" t="s">
        <v>32</v>
      </c>
      <c r="M396">
        <v>7</v>
      </c>
      <c r="N396" t="s">
        <v>48</v>
      </c>
      <c r="O396" s="6">
        <f t="shared" ca="1" si="6"/>
        <v>46021</v>
      </c>
      <c r="P396">
        <v>4.0999999999999996</v>
      </c>
    </row>
    <row r="397" spans="1:16" x14ac:dyDescent="0.3">
      <c r="A397" t="s">
        <v>699</v>
      </c>
      <c r="B397" t="s">
        <v>510</v>
      </c>
      <c r="C397" t="s">
        <v>77</v>
      </c>
      <c r="D397">
        <v>26</v>
      </c>
      <c r="E397" t="s">
        <v>82</v>
      </c>
      <c r="F397" t="s">
        <v>45</v>
      </c>
      <c r="G397" t="s">
        <v>92</v>
      </c>
      <c r="H397">
        <v>6900</v>
      </c>
      <c r="I397">
        <v>5275</v>
      </c>
      <c r="J397">
        <v>1625</v>
      </c>
      <c r="K397" t="s">
        <v>31</v>
      </c>
      <c r="L397" t="s">
        <v>23</v>
      </c>
      <c r="M397">
        <v>14</v>
      </c>
      <c r="N397" t="s">
        <v>116</v>
      </c>
      <c r="O397" s="6">
        <f t="shared" ca="1" si="6"/>
        <v>45759</v>
      </c>
      <c r="P397">
        <v>3.8</v>
      </c>
    </row>
    <row r="398" spans="1:16" x14ac:dyDescent="0.3">
      <c r="A398" t="s">
        <v>700</v>
      </c>
      <c r="B398" t="s">
        <v>444</v>
      </c>
      <c r="C398" t="s">
        <v>103</v>
      </c>
      <c r="D398">
        <v>57</v>
      </c>
      <c r="E398" t="s">
        <v>28</v>
      </c>
      <c r="F398" t="s">
        <v>45</v>
      </c>
      <c r="G398" t="s">
        <v>126</v>
      </c>
      <c r="H398">
        <v>6108</v>
      </c>
      <c r="I398">
        <v>3835</v>
      </c>
      <c r="J398">
        <v>2273</v>
      </c>
      <c r="K398" t="s">
        <v>68</v>
      </c>
      <c r="L398" t="s">
        <v>23</v>
      </c>
      <c r="M398">
        <v>2</v>
      </c>
      <c r="N398" t="s">
        <v>74</v>
      </c>
      <c r="O398" s="6">
        <f t="shared" ca="1" si="6"/>
        <v>45961</v>
      </c>
      <c r="P398">
        <v>3.8</v>
      </c>
    </row>
    <row r="399" spans="1:16" x14ac:dyDescent="0.3">
      <c r="A399" t="s">
        <v>701</v>
      </c>
      <c r="B399" t="s">
        <v>229</v>
      </c>
      <c r="C399" t="s">
        <v>27</v>
      </c>
      <c r="D399">
        <v>37</v>
      </c>
      <c r="E399" t="s">
        <v>82</v>
      </c>
      <c r="F399" t="s">
        <v>67</v>
      </c>
      <c r="G399" t="s">
        <v>39</v>
      </c>
      <c r="H399">
        <v>8199</v>
      </c>
      <c r="I399">
        <v>6186</v>
      </c>
      <c r="J399">
        <v>2013</v>
      </c>
      <c r="K399" t="s">
        <v>59</v>
      </c>
      <c r="L399" t="s">
        <v>32</v>
      </c>
      <c r="M399">
        <v>4</v>
      </c>
      <c r="N399" t="s">
        <v>40</v>
      </c>
      <c r="O399" s="6">
        <f t="shared" ca="1" si="6"/>
        <v>45997</v>
      </c>
      <c r="P399">
        <v>1.9</v>
      </c>
    </row>
    <row r="400" spans="1:16" x14ac:dyDescent="0.3">
      <c r="A400" t="s">
        <v>702</v>
      </c>
      <c r="B400" t="s">
        <v>106</v>
      </c>
      <c r="C400" t="s">
        <v>56</v>
      </c>
      <c r="D400">
        <v>64</v>
      </c>
      <c r="E400" t="s">
        <v>63</v>
      </c>
      <c r="F400" t="s">
        <v>67</v>
      </c>
      <c r="G400" t="s">
        <v>46</v>
      </c>
      <c r="H400">
        <v>5124</v>
      </c>
      <c r="I400">
        <v>4448</v>
      </c>
      <c r="J400">
        <v>676</v>
      </c>
      <c r="K400" t="s">
        <v>59</v>
      </c>
      <c r="L400" t="s">
        <v>23</v>
      </c>
      <c r="M400">
        <v>7</v>
      </c>
      <c r="N400" t="s">
        <v>33</v>
      </c>
      <c r="O400" s="6">
        <f t="shared" ca="1" si="6"/>
        <v>45891</v>
      </c>
      <c r="P400">
        <v>3.6</v>
      </c>
    </row>
    <row r="401" spans="1:16" x14ac:dyDescent="0.3">
      <c r="A401" t="s">
        <v>703</v>
      </c>
      <c r="B401" t="s">
        <v>66</v>
      </c>
      <c r="C401" t="s">
        <v>43</v>
      </c>
      <c r="D401">
        <v>54</v>
      </c>
      <c r="E401" t="s">
        <v>82</v>
      </c>
      <c r="F401" t="s">
        <v>136</v>
      </c>
      <c r="G401" t="s">
        <v>39</v>
      </c>
      <c r="H401">
        <v>3909</v>
      </c>
      <c r="I401">
        <v>2533</v>
      </c>
      <c r="J401">
        <v>1376</v>
      </c>
      <c r="K401" t="s">
        <v>31</v>
      </c>
      <c r="L401" t="s">
        <v>32</v>
      </c>
      <c r="M401">
        <v>11</v>
      </c>
      <c r="N401" t="s">
        <v>95</v>
      </c>
      <c r="O401" s="6">
        <f t="shared" ca="1" si="6"/>
        <v>45904</v>
      </c>
      <c r="P401">
        <v>4</v>
      </c>
    </row>
    <row r="402" spans="1:16" x14ac:dyDescent="0.3">
      <c r="A402" t="s">
        <v>704</v>
      </c>
      <c r="B402" t="s">
        <v>552</v>
      </c>
      <c r="C402" t="s">
        <v>43</v>
      </c>
      <c r="D402">
        <v>43</v>
      </c>
      <c r="E402" t="s">
        <v>19</v>
      </c>
      <c r="F402" t="s">
        <v>67</v>
      </c>
      <c r="G402" t="s">
        <v>39</v>
      </c>
      <c r="H402">
        <v>4995</v>
      </c>
      <c r="I402">
        <v>1997</v>
      </c>
      <c r="J402">
        <v>2998</v>
      </c>
      <c r="K402" t="s">
        <v>59</v>
      </c>
      <c r="L402" t="s">
        <v>47</v>
      </c>
      <c r="M402">
        <v>1</v>
      </c>
      <c r="N402" t="s">
        <v>40</v>
      </c>
      <c r="O402" s="6">
        <f t="shared" ca="1" si="6"/>
        <v>45693</v>
      </c>
      <c r="P402">
        <v>2.1</v>
      </c>
    </row>
    <row r="403" spans="1:16" x14ac:dyDescent="0.3">
      <c r="A403" t="s">
        <v>705</v>
      </c>
      <c r="B403" t="s">
        <v>596</v>
      </c>
      <c r="C403" t="s">
        <v>62</v>
      </c>
      <c r="D403">
        <v>37</v>
      </c>
      <c r="E403" t="s">
        <v>19</v>
      </c>
      <c r="F403" t="s">
        <v>52</v>
      </c>
      <c r="G403" t="s">
        <v>30</v>
      </c>
      <c r="H403">
        <v>5278</v>
      </c>
      <c r="I403">
        <v>2545</v>
      </c>
      <c r="J403">
        <v>2733</v>
      </c>
      <c r="K403" t="s">
        <v>22</v>
      </c>
      <c r="L403" t="s">
        <v>32</v>
      </c>
      <c r="M403">
        <v>13</v>
      </c>
      <c r="N403" t="s">
        <v>53</v>
      </c>
      <c r="O403" s="6">
        <f t="shared" ca="1" si="6"/>
        <v>45986</v>
      </c>
      <c r="P403">
        <v>4.8</v>
      </c>
    </row>
    <row r="404" spans="1:16" x14ac:dyDescent="0.3">
      <c r="A404" t="s">
        <v>706</v>
      </c>
      <c r="B404" t="s">
        <v>249</v>
      </c>
      <c r="C404" t="s">
        <v>36</v>
      </c>
      <c r="D404">
        <v>55</v>
      </c>
      <c r="E404" t="s">
        <v>28</v>
      </c>
      <c r="F404" t="s">
        <v>91</v>
      </c>
      <c r="G404" t="s">
        <v>58</v>
      </c>
      <c r="H404">
        <v>7075</v>
      </c>
      <c r="I404">
        <v>5584</v>
      </c>
      <c r="J404">
        <v>1491</v>
      </c>
      <c r="K404" t="s">
        <v>88</v>
      </c>
      <c r="L404" t="s">
        <v>47</v>
      </c>
      <c r="M404">
        <v>15</v>
      </c>
      <c r="N404" t="s">
        <v>118</v>
      </c>
      <c r="O404" s="6">
        <f t="shared" ca="1" si="6"/>
        <v>45805</v>
      </c>
      <c r="P404">
        <v>4.7</v>
      </c>
    </row>
    <row r="405" spans="1:16" x14ac:dyDescent="0.3">
      <c r="A405" t="s">
        <v>707</v>
      </c>
      <c r="B405" t="s">
        <v>153</v>
      </c>
      <c r="C405" t="s">
        <v>27</v>
      </c>
      <c r="D405">
        <v>38</v>
      </c>
      <c r="E405" t="s">
        <v>37</v>
      </c>
      <c r="F405" t="s">
        <v>52</v>
      </c>
      <c r="G405" t="s">
        <v>79</v>
      </c>
      <c r="H405">
        <v>1971</v>
      </c>
      <c r="I405">
        <v>1550</v>
      </c>
      <c r="J405">
        <v>421</v>
      </c>
      <c r="K405" t="s">
        <v>22</v>
      </c>
      <c r="L405" t="s">
        <v>32</v>
      </c>
      <c r="M405">
        <v>7</v>
      </c>
      <c r="N405" t="s">
        <v>69</v>
      </c>
      <c r="O405" s="6">
        <f t="shared" ca="1" si="6"/>
        <v>45794</v>
      </c>
      <c r="P405">
        <v>4.9000000000000004</v>
      </c>
    </row>
    <row r="406" spans="1:16" x14ac:dyDescent="0.3">
      <c r="A406" t="s">
        <v>708</v>
      </c>
      <c r="B406" t="s">
        <v>185</v>
      </c>
      <c r="C406" t="s">
        <v>103</v>
      </c>
      <c r="D406">
        <v>64</v>
      </c>
      <c r="E406" t="s">
        <v>78</v>
      </c>
      <c r="F406" t="s">
        <v>91</v>
      </c>
      <c r="G406" t="s">
        <v>21</v>
      </c>
      <c r="H406">
        <v>8542</v>
      </c>
      <c r="I406">
        <v>6220</v>
      </c>
      <c r="J406">
        <v>2322</v>
      </c>
      <c r="K406" t="s">
        <v>59</v>
      </c>
      <c r="L406" t="s">
        <v>47</v>
      </c>
      <c r="M406">
        <v>12</v>
      </c>
      <c r="N406" t="s">
        <v>24</v>
      </c>
      <c r="O406" s="6">
        <f t="shared" ca="1" si="6"/>
        <v>45736</v>
      </c>
      <c r="P406">
        <v>4.9000000000000004</v>
      </c>
    </row>
    <row r="407" spans="1:16" x14ac:dyDescent="0.3">
      <c r="A407" t="s">
        <v>709</v>
      </c>
      <c r="B407" t="s">
        <v>678</v>
      </c>
      <c r="C407" t="s">
        <v>77</v>
      </c>
      <c r="D407">
        <v>41</v>
      </c>
      <c r="E407" t="s">
        <v>57</v>
      </c>
      <c r="F407" t="s">
        <v>67</v>
      </c>
      <c r="G407" t="s">
        <v>39</v>
      </c>
      <c r="H407">
        <v>4479</v>
      </c>
      <c r="I407">
        <v>2033</v>
      </c>
      <c r="J407">
        <v>2446</v>
      </c>
      <c r="K407" t="s">
        <v>68</v>
      </c>
      <c r="L407" t="s">
        <v>32</v>
      </c>
      <c r="M407">
        <v>5</v>
      </c>
      <c r="N407" t="s">
        <v>69</v>
      </c>
      <c r="O407" s="6">
        <f t="shared" ca="1" si="6"/>
        <v>45989</v>
      </c>
      <c r="P407">
        <v>4.7</v>
      </c>
    </row>
    <row r="408" spans="1:16" x14ac:dyDescent="0.3">
      <c r="A408" t="s">
        <v>710</v>
      </c>
      <c r="B408" t="s">
        <v>170</v>
      </c>
      <c r="C408" t="s">
        <v>56</v>
      </c>
      <c r="D408">
        <v>48</v>
      </c>
      <c r="E408" t="s">
        <v>19</v>
      </c>
      <c r="F408" t="s">
        <v>64</v>
      </c>
      <c r="G408" t="s">
        <v>58</v>
      </c>
      <c r="H408">
        <v>5330</v>
      </c>
      <c r="I408">
        <v>3490</v>
      </c>
      <c r="J408">
        <v>1840</v>
      </c>
      <c r="K408" t="s">
        <v>31</v>
      </c>
      <c r="L408" t="s">
        <v>47</v>
      </c>
      <c r="M408">
        <v>3</v>
      </c>
      <c r="N408" t="s">
        <v>118</v>
      </c>
      <c r="O408" s="6">
        <f t="shared" ca="1" si="6"/>
        <v>45739</v>
      </c>
      <c r="P408">
        <v>4.4000000000000004</v>
      </c>
    </row>
    <row r="409" spans="1:16" x14ac:dyDescent="0.3">
      <c r="A409" t="s">
        <v>711</v>
      </c>
      <c r="B409" t="s">
        <v>401</v>
      </c>
      <c r="C409" t="s">
        <v>77</v>
      </c>
      <c r="D409">
        <v>38</v>
      </c>
      <c r="E409" t="s">
        <v>19</v>
      </c>
      <c r="F409" t="s">
        <v>29</v>
      </c>
      <c r="G409" t="s">
        <v>73</v>
      </c>
      <c r="H409">
        <v>4623</v>
      </c>
      <c r="I409">
        <v>3620</v>
      </c>
      <c r="J409">
        <v>1003</v>
      </c>
      <c r="K409" t="s">
        <v>22</v>
      </c>
      <c r="L409" t="s">
        <v>32</v>
      </c>
      <c r="M409">
        <v>12</v>
      </c>
      <c r="N409" t="s">
        <v>193</v>
      </c>
      <c r="O409" s="6">
        <f t="shared" ca="1" si="6"/>
        <v>45662</v>
      </c>
      <c r="P409">
        <v>4.7</v>
      </c>
    </row>
    <row r="410" spans="1:16" x14ac:dyDescent="0.3">
      <c r="A410" t="s">
        <v>712</v>
      </c>
      <c r="B410" t="s">
        <v>694</v>
      </c>
      <c r="C410" t="s">
        <v>56</v>
      </c>
      <c r="D410">
        <v>29</v>
      </c>
      <c r="E410" t="s">
        <v>82</v>
      </c>
      <c r="F410" t="s">
        <v>29</v>
      </c>
      <c r="G410" t="s">
        <v>58</v>
      </c>
      <c r="H410">
        <v>9126</v>
      </c>
      <c r="I410">
        <v>6933</v>
      </c>
      <c r="J410">
        <v>2193</v>
      </c>
      <c r="K410" t="s">
        <v>88</v>
      </c>
      <c r="L410" t="s">
        <v>47</v>
      </c>
      <c r="M410">
        <v>9</v>
      </c>
      <c r="N410" t="s">
        <v>118</v>
      </c>
      <c r="O410" s="6">
        <f t="shared" ca="1" si="6"/>
        <v>45697</v>
      </c>
      <c r="P410">
        <v>4.0999999999999996</v>
      </c>
    </row>
    <row r="411" spans="1:16" x14ac:dyDescent="0.3">
      <c r="A411" t="s">
        <v>713</v>
      </c>
      <c r="B411" t="s">
        <v>266</v>
      </c>
      <c r="C411" t="s">
        <v>129</v>
      </c>
      <c r="D411">
        <v>24</v>
      </c>
      <c r="E411" t="s">
        <v>19</v>
      </c>
      <c r="F411" t="s">
        <v>45</v>
      </c>
      <c r="G411" t="s">
        <v>104</v>
      </c>
      <c r="H411">
        <v>6253</v>
      </c>
      <c r="I411">
        <v>5659</v>
      </c>
      <c r="J411">
        <v>594</v>
      </c>
      <c r="K411" t="s">
        <v>68</v>
      </c>
      <c r="L411" t="s">
        <v>32</v>
      </c>
      <c r="M411">
        <v>6</v>
      </c>
      <c r="N411" t="s">
        <v>116</v>
      </c>
      <c r="O411" s="6">
        <f t="shared" ca="1" si="6"/>
        <v>45747</v>
      </c>
      <c r="P411">
        <v>4</v>
      </c>
    </row>
    <row r="412" spans="1:16" x14ac:dyDescent="0.3">
      <c r="A412" t="s">
        <v>714</v>
      </c>
      <c r="B412" t="s">
        <v>452</v>
      </c>
      <c r="C412" t="s">
        <v>18</v>
      </c>
      <c r="D412">
        <v>43</v>
      </c>
      <c r="E412" t="s">
        <v>28</v>
      </c>
      <c r="F412" t="s">
        <v>64</v>
      </c>
      <c r="G412" t="s">
        <v>21</v>
      </c>
      <c r="H412">
        <v>6359</v>
      </c>
      <c r="I412">
        <v>3376</v>
      </c>
      <c r="J412">
        <v>2983</v>
      </c>
      <c r="K412" t="s">
        <v>31</v>
      </c>
      <c r="L412" t="s">
        <v>47</v>
      </c>
      <c r="M412">
        <v>1</v>
      </c>
      <c r="N412" t="s">
        <v>40</v>
      </c>
      <c r="O412" s="6">
        <f t="shared" ca="1" si="6"/>
        <v>45770</v>
      </c>
      <c r="P412">
        <v>2.6</v>
      </c>
    </row>
    <row r="413" spans="1:16" x14ac:dyDescent="0.3">
      <c r="A413" t="s">
        <v>715</v>
      </c>
      <c r="B413" t="s">
        <v>716</v>
      </c>
      <c r="C413" t="s">
        <v>18</v>
      </c>
      <c r="D413">
        <v>43</v>
      </c>
      <c r="E413" t="s">
        <v>57</v>
      </c>
      <c r="F413" t="s">
        <v>29</v>
      </c>
      <c r="G413" t="s">
        <v>104</v>
      </c>
      <c r="H413">
        <v>8876</v>
      </c>
      <c r="I413">
        <v>6846</v>
      </c>
      <c r="J413">
        <v>2030</v>
      </c>
      <c r="K413" t="s">
        <v>68</v>
      </c>
      <c r="L413" t="s">
        <v>32</v>
      </c>
      <c r="M413">
        <v>3</v>
      </c>
      <c r="N413" t="s">
        <v>40</v>
      </c>
      <c r="O413" s="6">
        <f t="shared" ca="1" si="6"/>
        <v>45735</v>
      </c>
      <c r="P413">
        <v>2.4</v>
      </c>
    </row>
    <row r="414" spans="1:16" x14ac:dyDescent="0.3">
      <c r="A414" t="s">
        <v>717</v>
      </c>
      <c r="B414" t="s">
        <v>718</v>
      </c>
      <c r="C414" t="s">
        <v>129</v>
      </c>
      <c r="D414">
        <v>31</v>
      </c>
      <c r="E414" t="s">
        <v>57</v>
      </c>
      <c r="F414" t="s">
        <v>64</v>
      </c>
      <c r="G414" t="s">
        <v>79</v>
      </c>
      <c r="H414">
        <v>7039</v>
      </c>
      <c r="I414">
        <v>5182</v>
      </c>
      <c r="J414">
        <v>1857</v>
      </c>
      <c r="K414" t="s">
        <v>68</v>
      </c>
      <c r="L414" t="s">
        <v>23</v>
      </c>
      <c r="M414">
        <v>2</v>
      </c>
      <c r="N414" t="s">
        <v>53</v>
      </c>
      <c r="O414" s="6">
        <f t="shared" ca="1" si="6"/>
        <v>45825</v>
      </c>
      <c r="P414">
        <v>4.0999999999999996</v>
      </c>
    </row>
    <row r="415" spans="1:16" x14ac:dyDescent="0.3">
      <c r="A415" t="s">
        <v>719</v>
      </c>
      <c r="B415" t="s">
        <v>343</v>
      </c>
      <c r="C415" t="s">
        <v>43</v>
      </c>
      <c r="D415">
        <v>62</v>
      </c>
      <c r="E415" t="s">
        <v>72</v>
      </c>
      <c r="F415" t="s">
        <v>45</v>
      </c>
      <c r="G415" t="s">
        <v>79</v>
      </c>
      <c r="H415">
        <v>7599</v>
      </c>
      <c r="I415">
        <v>5780</v>
      </c>
      <c r="J415">
        <v>1819</v>
      </c>
      <c r="K415" t="s">
        <v>31</v>
      </c>
      <c r="L415" t="s">
        <v>32</v>
      </c>
      <c r="M415">
        <v>8</v>
      </c>
      <c r="N415" t="s">
        <v>95</v>
      </c>
      <c r="O415" s="6">
        <f t="shared" ca="1" si="6"/>
        <v>45701</v>
      </c>
      <c r="P415">
        <v>3.9</v>
      </c>
    </row>
    <row r="416" spans="1:16" x14ac:dyDescent="0.3">
      <c r="A416" t="s">
        <v>720</v>
      </c>
      <c r="B416" t="s">
        <v>276</v>
      </c>
      <c r="C416" t="s">
        <v>129</v>
      </c>
      <c r="D416">
        <v>32</v>
      </c>
      <c r="E416" t="s">
        <v>28</v>
      </c>
      <c r="F416" t="s">
        <v>20</v>
      </c>
      <c r="G416" t="s">
        <v>30</v>
      </c>
      <c r="H416">
        <v>7153</v>
      </c>
      <c r="I416">
        <v>5923</v>
      </c>
      <c r="J416">
        <v>1230</v>
      </c>
      <c r="K416" t="s">
        <v>59</v>
      </c>
      <c r="L416" t="s">
        <v>32</v>
      </c>
      <c r="M416">
        <v>5</v>
      </c>
      <c r="N416" t="s">
        <v>40</v>
      </c>
      <c r="O416" s="6">
        <f t="shared" ca="1" si="6"/>
        <v>45784</v>
      </c>
      <c r="P416">
        <v>1.7</v>
      </c>
    </row>
    <row r="417" spans="1:16" x14ac:dyDescent="0.3">
      <c r="A417" t="s">
        <v>721</v>
      </c>
      <c r="B417" t="s">
        <v>694</v>
      </c>
      <c r="C417" t="s">
        <v>77</v>
      </c>
      <c r="D417">
        <v>27</v>
      </c>
      <c r="E417" t="s">
        <v>87</v>
      </c>
      <c r="F417" t="s">
        <v>91</v>
      </c>
      <c r="G417" t="s">
        <v>92</v>
      </c>
      <c r="H417">
        <v>1247</v>
      </c>
      <c r="I417">
        <v>940</v>
      </c>
      <c r="J417">
        <v>307</v>
      </c>
      <c r="K417" t="s">
        <v>68</v>
      </c>
      <c r="L417" t="s">
        <v>47</v>
      </c>
      <c r="M417">
        <v>9</v>
      </c>
      <c r="N417" t="s">
        <v>53</v>
      </c>
      <c r="O417" s="6">
        <f t="shared" ca="1" si="6"/>
        <v>45789</v>
      </c>
      <c r="P417">
        <v>3.1</v>
      </c>
    </row>
    <row r="418" spans="1:16" x14ac:dyDescent="0.3">
      <c r="A418" t="s">
        <v>722</v>
      </c>
      <c r="B418" t="s">
        <v>301</v>
      </c>
      <c r="C418" t="s">
        <v>77</v>
      </c>
      <c r="D418">
        <v>62</v>
      </c>
      <c r="E418" t="s">
        <v>37</v>
      </c>
      <c r="F418" t="s">
        <v>45</v>
      </c>
      <c r="G418" t="s">
        <v>30</v>
      </c>
      <c r="H418">
        <v>3889</v>
      </c>
      <c r="I418">
        <v>2526</v>
      </c>
      <c r="J418">
        <v>1363</v>
      </c>
      <c r="K418" t="s">
        <v>59</v>
      </c>
      <c r="L418" t="s">
        <v>47</v>
      </c>
      <c r="M418">
        <v>3</v>
      </c>
      <c r="N418" t="s">
        <v>193</v>
      </c>
      <c r="O418" s="6">
        <f t="shared" ca="1" si="6"/>
        <v>45834</v>
      </c>
      <c r="P418">
        <v>3.7</v>
      </c>
    </row>
    <row r="419" spans="1:16" x14ac:dyDescent="0.3">
      <c r="A419" t="s">
        <v>723</v>
      </c>
      <c r="B419" t="s">
        <v>259</v>
      </c>
      <c r="C419" t="s">
        <v>43</v>
      </c>
      <c r="D419">
        <v>41</v>
      </c>
      <c r="E419" t="s">
        <v>63</v>
      </c>
      <c r="F419" t="s">
        <v>91</v>
      </c>
      <c r="G419" t="s">
        <v>92</v>
      </c>
      <c r="H419">
        <v>5177</v>
      </c>
      <c r="I419">
        <v>2731</v>
      </c>
      <c r="J419">
        <v>2446</v>
      </c>
      <c r="K419" t="s">
        <v>31</v>
      </c>
      <c r="L419" t="s">
        <v>32</v>
      </c>
      <c r="M419">
        <v>12</v>
      </c>
      <c r="N419" t="s">
        <v>74</v>
      </c>
      <c r="O419" s="6">
        <f t="shared" ca="1" si="6"/>
        <v>45903</v>
      </c>
      <c r="P419">
        <v>3.9</v>
      </c>
    </row>
    <row r="420" spans="1:16" x14ac:dyDescent="0.3">
      <c r="A420" t="s">
        <v>724</v>
      </c>
      <c r="B420" t="s">
        <v>557</v>
      </c>
      <c r="C420" t="s">
        <v>51</v>
      </c>
      <c r="D420">
        <v>48</v>
      </c>
      <c r="E420" t="s">
        <v>82</v>
      </c>
      <c r="F420" t="s">
        <v>29</v>
      </c>
      <c r="G420" t="s">
        <v>39</v>
      </c>
      <c r="H420">
        <v>5516</v>
      </c>
      <c r="I420">
        <v>3344</v>
      </c>
      <c r="J420">
        <v>2172</v>
      </c>
      <c r="K420" t="s">
        <v>68</v>
      </c>
      <c r="L420" t="s">
        <v>23</v>
      </c>
      <c r="M420">
        <v>13</v>
      </c>
      <c r="N420" t="s">
        <v>53</v>
      </c>
      <c r="O420" s="6">
        <f t="shared" ca="1" si="6"/>
        <v>45935</v>
      </c>
      <c r="P420">
        <v>4.3</v>
      </c>
    </row>
    <row r="421" spans="1:16" x14ac:dyDescent="0.3">
      <c r="A421" t="s">
        <v>725</v>
      </c>
      <c r="B421" t="s">
        <v>426</v>
      </c>
      <c r="C421" t="s">
        <v>18</v>
      </c>
      <c r="D421">
        <v>30</v>
      </c>
      <c r="E421" t="s">
        <v>72</v>
      </c>
      <c r="F421" t="s">
        <v>136</v>
      </c>
      <c r="G421" t="s">
        <v>46</v>
      </c>
      <c r="H421">
        <v>5545</v>
      </c>
      <c r="I421">
        <v>4787</v>
      </c>
      <c r="J421">
        <v>758</v>
      </c>
      <c r="K421" t="s">
        <v>88</v>
      </c>
      <c r="L421" t="s">
        <v>23</v>
      </c>
      <c r="M421">
        <v>8</v>
      </c>
      <c r="N421" t="s">
        <v>74</v>
      </c>
      <c r="O421" s="6">
        <f t="shared" ca="1" si="6"/>
        <v>45825</v>
      </c>
      <c r="P421">
        <v>4.5</v>
      </c>
    </row>
    <row r="422" spans="1:16" x14ac:dyDescent="0.3">
      <c r="A422" t="s">
        <v>726</v>
      </c>
      <c r="B422" t="s">
        <v>357</v>
      </c>
      <c r="C422" t="s">
        <v>36</v>
      </c>
      <c r="D422">
        <v>48</v>
      </c>
      <c r="E422" t="s">
        <v>72</v>
      </c>
      <c r="F422" t="s">
        <v>67</v>
      </c>
      <c r="G422" t="s">
        <v>30</v>
      </c>
      <c r="H422">
        <v>3004</v>
      </c>
      <c r="I422">
        <v>559</v>
      </c>
      <c r="J422">
        <v>2445</v>
      </c>
      <c r="K422" t="s">
        <v>88</v>
      </c>
      <c r="L422" t="s">
        <v>23</v>
      </c>
      <c r="M422">
        <v>7</v>
      </c>
      <c r="N422" t="s">
        <v>74</v>
      </c>
      <c r="O422" s="6">
        <f t="shared" ca="1" si="6"/>
        <v>45846</v>
      </c>
      <c r="P422">
        <v>3.4</v>
      </c>
    </row>
    <row r="423" spans="1:16" x14ac:dyDescent="0.3">
      <c r="A423" t="s">
        <v>727</v>
      </c>
      <c r="B423" t="s">
        <v>728</v>
      </c>
      <c r="C423" t="s">
        <v>103</v>
      </c>
      <c r="D423">
        <v>45</v>
      </c>
      <c r="E423" t="s">
        <v>19</v>
      </c>
      <c r="F423" t="s">
        <v>45</v>
      </c>
      <c r="G423" t="s">
        <v>21</v>
      </c>
      <c r="H423">
        <v>6719</v>
      </c>
      <c r="I423">
        <v>3958</v>
      </c>
      <c r="J423">
        <v>2761</v>
      </c>
      <c r="K423" t="s">
        <v>68</v>
      </c>
      <c r="L423" t="s">
        <v>23</v>
      </c>
      <c r="M423">
        <v>13</v>
      </c>
      <c r="N423" t="s">
        <v>118</v>
      </c>
      <c r="O423" s="6">
        <f t="shared" ca="1" si="6"/>
        <v>45802</v>
      </c>
      <c r="P423">
        <v>4.0999999999999996</v>
      </c>
    </row>
    <row r="424" spans="1:16" x14ac:dyDescent="0.3">
      <c r="A424" t="s">
        <v>729</v>
      </c>
      <c r="B424" t="s">
        <v>348</v>
      </c>
      <c r="C424" t="s">
        <v>27</v>
      </c>
      <c r="D424">
        <v>38</v>
      </c>
      <c r="E424" t="s">
        <v>37</v>
      </c>
      <c r="F424" t="s">
        <v>52</v>
      </c>
      <c r="G424" t="s">
        <v>21</v>
      </c>
      <c r="H424">
        <v>2753</v>
      </c>
      <c r="I424">
        <v>1994</v>
      </c>
      <c r="J424">
        <v>759</v>
      </c>
      <c r="K424" t="s">
        <v>88</v>
      </c>
      <c r="L424" t="s">
        <v>32</v>
      </c>
      <c r="M424">
        <v>11</v>
      </c>
      <c r="N424" t="s">
        <v>69</v>
      </c>
      <c r="O424" s="6">
        <f t="shared" ca="1" si="6"/>
        <v>45745</v>
      </c>
      <c r="P424">
        <v>5</v>
      </c>
    </row>
    <row r="425" spans="1:16" x14ac:dyDescent="0.3">
      <c r="A425" t="s">
        <v>730</v>
      </c>
      <c r="B425" t="s">
        <v>484</v>
      </c>
      <c r="C425" t="s">
        <v>51</v>
      </c>
      <c r="D425">
        <v>52</v>
      </c>
      <c r="E425" t="s">
        <v>19</v>
      </c>
      <c r="F425" t="s">
        <v>38</v>
      </c>
      <c r="G425" t="s">
        <v>46</v>
      </c>
      <c r="H425">
        <v>2149</v>
      </c>
      <c r="I425">
        <v>1746</v>
      </c>
      <c r="J425">
        <v>403</v>
      </c>
      <c r="K425" t="s">
        <v>22</v>
      </c>
      <c r="L425" t="s">
        <v>47</v>
      </c>
      <c r="M425">
        <v>0</v>
      </c>
      <c r="N425" t="s">
        <v>40</v>
      </c>
      <c r="O425" s="6">
        <f t="shared" ca="1" si="6"/>
        <v>45682</v>
      </c>
      <c r="P425">
        <v>2.9</v>
      </c>
    </row>
    <row r="426" spans="1:16" x14ac:dyDescent="0.3">
      <c r="A426" t="s">
        <v>731</v>
      </c>
      <c r="B426" t="s">
        <v>732</v>
      </c>
      <c r="C426" t="s">
        <v>129</v>
      </c>
      <c r="D426">
        <v>49</v>
      </c>
      <c r="E426" t="s">
        <v>28</v>
      </c>
      <c r="F426" t="s">
        <v>52</v>
      </c>
      <c r="G426" t="s">
        <v>21</v>
      </c>
      <c r="H426">
        <v>1994</v>
      </c>
      <c r="I426">
        <v>1734</v>
      </c>
      <c r="J426">
        <v>260</v>
      </c>
      <c r="K426" t="s">
        <v>88</v>
      </c>
      <c r="L426" t="s">
        <v>32</v>
      </c>
      <c r="M426">
        <v>6</v>
      </c>
      <c r="N426" t="s">
        <v>48</v>
      </c>
      <c r="O426" s="6">
        <f t="shared" ca="1" si="6"/>
        <v>45964</v>
      </c>
      <c r="P426">
        <v>3.8</v>
      </c>
    </row>
    <row r="427" spans="1:16" x14ac:dyDescent="0.3">
      <c r="A427" t="s">
        <v>733</v>
      </c>
      <c r="B427" t="s">
        <v>459</v>
      </c>
      <c r="C427" t="s">
        <v>36</v>
      </c>
      <c r="D427">
        <v>42</v>
      </c>
      <c r="E427" t="s">
        <v>87</v>
      </c>
      <c r="F427" t="s">
        <v>20</v>
      </c>
      <c r="G427" t="s">
        <v>46</v>
      </c>
      <c r="H427">
        <v>4490</v>
      </c>
      <c r="I427">
        <v>2683</v>
      </c>
      <c r="J427">
        <v>1807</v>
      </c>
      <c r="K427" t="s">
        <v>68</v>
      </c>
      <c r="L427" t="s">
        <v>23</v>
      </c>
      <c r="M427">
        <v>8</v>
      </c>
      <c r="N427" t="s">
        <v>193</v>
      </c>
      <c r="O427" s="6">
        <f t="shared" ca="1" si="6"/>
        <v>45946</v>
      </c>
      <c r="P427">
        <v>3.4</v>
      </c>
    </row>
    <row r="428" spans="1:16" x14ac:dyDescent="0.3">
      <c r="A428" t="s">
        <v>734</v>
      </c>
      <c r="B428" t="s">
        <v>316</v>
      </c>
      <c r="C428" t="s">
        <v>36</v>
      </c>
      <c r="D428">
        <v>28</v>
      </c>
      <c r="E428" t="s">
        <v>19</v>
      </c>
      <c r="F428" t="s">
        <v>64</v>
      </c>
      <c r="G428" t="s">
        <v>104</v>
      </c>
      <c r="H428">
        <v>2861</v>
      </c>
      <c r="I428">
        <v>2524</v>
      </c>
      <c r="J428">
        <v>337</v>
      </c>
      <c r="K428" t="s">
        <v>59</v>
      </c>
      <c r="L428" t="s">
        <v>47</v>
      </c>
      <c r="M428">
        <v>12</v>
      </c>
      <c r="N428" t="s">
        <v>53</v>
      </c>
      <c r="O428" s="6">
        <f t="shared" ca="1" si="6"/>
        <v>45754</v>
      </c>
      <c r="P428">
        <v>4.5</v>
      </c>
    </row>
    <row r="429" spans="1:16" x14ac:dyDescent="0.3">
      <c r="A429" t="s">
        <v>735</v>
      </c>
      <c r="B429" t="s">
        <v>736</v>
      </c>
      <c r="C429" t="s">
        <v>18</v>
      </c>
      <c r="D429">
        <v>41</v>
      </c>
      <c r="E429" t="s">
        <v>78</v>
      </c>
      <c r="F429" t="s">
        <v>136</v>
      </c>
      <c r="G429" t="s">
        <v>92</v>
      </c>
      <c r="H429">
        <v>5467</v>
      </c>
      <c r="I429">
        <v>4767</v>
      </c>
      <c r="J429">
        <v>700</v>
      </c>
      <c r="K429" t="s">
        <v>68</v>
      </c>
      <c r="L429" t="s">
        <v>47</v>
      </c>
      <c r="M429">
        <v>11</v>
      </c>
      <c r="N429" t="s">
        <v>116</v>
      </c>
      <c r="O429" s="6">
        <f t="shared" ca="1" si="6"/>
        <v>45767</v>
      </c>
      <c r="P429">
        <v>3</v>
      </c>
    </row>
    <row r="430" spans="1:16" x14ac:dyDescent="0.3">
      <c r="A430" t="s">
        <v>737</v>
      </c>
      <c r="B430" t="s">
        <v>76</v>
      </c>
      <c r="C430" t="s">
        <v>62</v>
      </c>
      <c r="D430">
        <v>28</v>
      </c>
      <c r="E430" t="s">
        <v>19</v>
      </c>
      <c r="F430" t="s">
        <v>64</v>
      </c>
      <c r="G430" t="s">
        <v>58</v>
      </c>
      <c r="H430">
        <v>1508</v>
      </c>
      <c r="I430">
        <v>623</v>
      </c>
      <c r="J430">
        <v>885</v>
      </c>
      <c r="K430" t="s">
        <v>59</v>
      </c>
      <c r="L430" t="s">
        <v>32</v>
      </c>
      <c r="M430">
        <v>10</v>
      </c>
      <c r="N430" t="s">
        <v>53</v>
      </c>
      <c r="O430" s="6">
        <f t="shared" ca="1" si="6"/>
        <v>45832</v>
      </c>
      <c r="P430">
        <v>3.9</v>
      </c>
    </row>
    <row r="431" spans="1:16" x14ac:dyDescent="0.3">
      <c r="A431" t="s">
        <v>738</v>
      </c>
      <c r="B431" t="s">
        <v>259</v>
      </c>
      <c r="C431" t="s">
        <v>51</v>
      </c>
      <c r="D431">
        <v>65</v>
      </c>
      <c r="E431" t="s">
        <v>63</v>
      </c>
      <c r="F431" t="s">
        <v>67</v>
      </c>
      <c r="G431" t="s">
        <v>126</v>
      </c>
      <c r="H431">
        <v>4108</v>
      </c>
      <c r="I431">
        <v>3542</v>
      </c>
      <c r="J431">
        <v>566</v>
      </c>
      <c r="K431" t="s">
        <v>31</v>
      </c>
      <c r="L431" t="s">
        <v>32</v>
      </c>
      <c r="M431">
        <v>8</v>
      </c>
      <c r="N431" t="s">
        <v>53</v>
      </c>
      <c r="O431" s="6">
        <f t="shared" ca="1" si="6"/>
        <v>45791</v>
      </c>
      <c r="P431">
        <v>4.0999999999999996</v>
      </c>
    </row>
    <row r="432" spans="1:16" x14ac:dyDescent="0.3">
      <c r="A432" t="s">
        <v>739</v>
      </c>
      <c r="B432" t="s">
        <v>740</v>
      </c>
      <c r="C432" t="s">
        <v>36</v>
      </c>
      <c r="D432">
        <v>24</v>
      </c>
      <c r="E432" t="s">
        <v>57</v>
      </c>
      <c r="F432" t="s">
        <v>20</v>
      </c>
      <c r="G432" t="s">
        <v>92</v>
      </c>
      <c r="H432">
        <v>7622</v>
      </c>
      <c r="I432">
        <v>6983</v>
      </c>
      <c r="J432">
        <v>639</v>
      </c>
      <c r="K432" t="s">
        <v>68</v>
      </c>
      <c r="L432" t="s">
        <v>23</v>
      </c>
      <c r="M432">
        <v>4</v>
      </c>
      <c r="N432" t="s">
        <v>95</v>
      </c>
      <c r="O432" s="6">
        <f t="shared" ca="1" si="6"/>
        <v>45780</v>
      </c>
      <c r="P432">
        <v>3</v>
      </c>
    </row>
    <row r="433" spans="1:16" x14ac:dyDescent="0.3">
      <c r="A433" t="s">
        <v>741</v>
      </c>
      <c r="B433" t="s">
        <v>598</v>
      </c>
      <c r="C433" t="s">
        <v>62</v>
      </c>
      <c r="D433">
        <v>22</v>
      </c>
      <c r="E433" t="s">
        <v>37</v>
      </c>
      <c r="F433" t="s">
        <v>38</v>
      </c>
      <c r="G433" t="s">
        <v>126</v>
      </c>
      <c r="H433">
        <v>2914</v>
      </c>
      <c r="I433">
        <v>2553</v>
      </c>
      <c r="J433">
        <v>361</v>
      </c>
      <c r="K433" t="s">
        <v>31</v>
      </c>
      <c r="L433" t="s">
        <v>23</v>
      </c>
      <c r="M433">
        <v>8</v>
      </c>
      <c r="N433" t="s">
        <v>74</v>
      </c>
      <c r="O433" s="6">
        <f t="shared" ca="1" si="6"/>
        <v>45937</v>
      </c>
      <c r="P433">
        <v>3.6</v>
      </c>
    </row>
    <row r="434" spans="1:16" x14ac:dyDescent="0.3">
      <c r="A434" t="s">
        <v>742</v>
      </c>
      <c r="B434" t="s">
        <v>299</v>
      </c>
      <c r="C434" t="s">
        <v>51</v>
      </c>
      <c r="D434">
        <v>32</v>
      </c>
      <c r="E434" t="s">
        <v>82</v>
      </c>
      <c r="F434" t="s">
        <v>38</v>
      </c>
      <c r="G434" t="s">
        <v>58</v>
      </c>
      <c r="H434">
        <v>8617</v>
      </c>
      <c r="I434">
        <v>6499</v>
      </c>
      <c r="J434">
        <v>2118</v>
      </c>
      <c r="K434" t="s">
        <v>59</v>
      </c>
      <c r="L434" t="s">
        <v>32</v>
      </c>
      <c r="M434">
        <v>14</v>
      </c>
      <c r="N434" t="s">
        <v>118</v>
      </c>
      <c r="O434" s="6">
        <f t="shared" ca="1" si="6"/>
        <v>45954</v>
      </c>
      <c r="P434">
        <v>3.2</v>
      </c>
    </row>
    <row r="435" spans="1:16" x14ac:dyDescent="0.3">
      <c r="A435" t="s">
        <v>743</v>
      </c>
      <c r="B435" t="s">
        <v>336</v>
      </c>
      <c r="C435" t="s">
        <v>129</v>
      </c>
      <c r="D435">
        <v>49</v>
      </c>
      <c r="E435" t="s">
        <v>72</v>
      </c>
      <c r="F435" t="s">
        <v>45</v>
      </c>
      <c r="G435" t="s">
        <v>92</v>
      </c>
      <c r="H435">
        <v>5566</v>
      </c>
      <c r="I435">
        <v>3507</v>
      </c>
      <c r="J435">
        <v>2059</v>
      </c>
      <c r="K435" t="s">
        <v>59</v>
      </c>
      <c r="L435" t="s">
        <v>32</v>
      </c>
      <c r="M435">
        <v>11</v>
      </c>
      <c r="N435" t="s">
        <v>74</v>
      </c>
      <c r="O435" s="6">
        <f t="shared" ca="1" si="6"/>
        <v>45829</v>
      </c>
      <c r="P435">
        <v>3.7</v>
      </c>
    </row>
    <row r="436" spans="1:16" x14ac:dyDescent="0.3">
      <c r="A436" t="s">
        <v>744</v>
      </c>
      <c r="B436" t="s">
        <v>745</v>
      </c>
      <c r="C436" t="s">
        <v>43</v>
      </c>
      <c r="D436">
        <v>60</v>
      </c>
      <c r="E436" t="s">
        <v>19</v>
      </c>
      <c r="F436" t="s">
        <v>38</v>
      </c>
      <c r="G436" t="s">
        <v>21</v>
      </c>
      <c r="H436">
        <v>8299</v>
      </c>
      <c r="I436">
        <v>5892</v>
      </c>
      <c r="J436">
        <v>2407</v>
      </c>
      <c r="K436" t="s">
        <v>88</v>
      </c>
      <c r="L436" t="s">
        <v>32</v>
      </c>
      <c r="M436">
        <v>4</v>
      </c>
      <c r="N436" t="s">
        <v>74</v>
      </c>
      <c r="O436" s="6">
        <f t="shared" ca="1" si="6"/>
        <v>45671</v>
      </c>
      <c r="P436">
        <v>3.5</v>
      </c>
    </row>
    <row r="437" spans="1:16" x14ac:dyDescent="0.3">
      <c r="A437" t="s">
        <v>746</v>
      </c>
      <c r="B437" t="s">
        <v>716</v>
      </c>
      <c r="C437" t="s">
        <v>51</v>
      </c>
      <c r="D437">
        <v>39</v>
      </c>
      <c r="E437" t="s">
        <v>57</v>
      </c>
      <c r="F437" t="s">
        <v>64</v>
      </c>
      <c r="G437" t="s">
        <v>58</v>
      </c>
      <c r="H437">
        <v>1998</v>
      </c>
      <c r="I437">
        <v>1404</v>
      </c>
      <c r="J437">
        <v>594</v>
      </c>
      <c r="K437" t="s">
        <v>59</v>
      </c>
      <c r="L437" t="s">
        <v>23</v>
      </c>
      <c r="M437">
        <v>2</v>
      </c>
      <c r="N437" t="s">
        <v>24</v>
      </c>
      <c r="O437" s="6">
        <f t="shared" ca="1" si="6"/>
        <v>45693</v>
      </c>
      <c r="P437">
        <v>4.8</v>
      </c>
    </row>
    <row r="438" spans="1:16" x14ac:dyDescent="0.3">
      <c r="A438" t="s">
        <v>747</v>
      </c>
      <c r="B438" t="s">
        <v>200</v>
      </c>
      <c r="C438" t="s">
        <v>77</v>
      </c>
      <c r="D438">
        <v>52</v>
      </c>
      <c r="E438" t="s">
        <v>19</v>
      </c>
      <c r="F438" t="s">
        <v>98</v>
      </c>
      <c r="G438" t="s">
        <v>46</v>
      </c>
      <c r="H438">
        <v>8005</v>
      </c>
      <c r="I438">
        <v>5177</v>
      </c>
      <c r="J438">
        <v>2828</v>
      </c>
      <c r="K438" t="s">
        <v>31</v>
      </c>
      <c r="L438" t="s">
        <v>47</v>
      </c>
      <c r="M438">
        <v>11</v>
      </c>
      <c r="N438" t="s">
        <v>69</v>
      </c>
      <c r="O438" s="6">
        <f t="shared" ca="1" si="6"/>
        <v>45710</v>
      </c>
      <c r="P438">
        <v>4.2</v>
      </c>
    </row>
    <row r="439" spans="1:16" x14ac:dyDescent="0.3">
      <c r="A439" t="s">
        <v>748</v>
      </c>
      <c r="B439" t="s">
        <v>749</v>
      </c>
      <c r="C439" t="s">
        <v>36</v>
      </c>
      <c r="D439">
        <v>44</v>
      </c>
      <c r="E439" t="s">
        <v>19</v>
      </c>
      <c r="F439" t="s">
        <v>67</v>
      </c>
      <c r="G439" t="s">
        <v>21</v>
      </c>
      <c r="H439">
        <v>1661</v>
      </c>
      <c r="I439">
        <v>607</v>
      </c>
      <c r="J439">
        <v>1054</v>
      </c>
      <c r="K439" t="s">
        <v>22</v>
      </c>
      <c r="L439" t="s">
        <v>23</v>
      </c>
      <c r="M439">
        <v>15</v>
      </c>
      <c r="N439" t="s">
        <v>53</v>
      </c>
      <c r="O439" s="6">
        <f t="shared" ca="1" si="6"/>
        <v>45834</v>
      </c>
      <c r="P439">
        <v>3.1</v>
      </c>
    </row>
    <row r="440" spans="1:16" x14ac:dyDescent="0.3">
      <c r="A440" t="s">
        <v>750</v>
      </c>
      <c r="B440" t="s">
        <v>257</v>
      </c>
      <c r="C440" t="s">
        <v>103</v>
      </c>
      <c r="D440">
        <v>44</v>
      </c>
      <c r="E440" t="s">
        <v>28</v>
      </c>
      <c r="F440" t="s">
        <v>67</v>
      </c>
      <c r="G440" t="s">
        <v>39</v>
      </c>
      <c r="H440">
        <v>5199</v>
      </c>
      <c r="I440">
        <v>4833</v>
      </c>
      <c r="J440">
        <v>366</v>
      </c>
      <c r="K440" t="s">
        <v>59</v>
      </c>
      <c r="L440" t="s">
        <v>32</v>
      </c>
      <c r="M440">
        <v>14</v>
      </c>
      <c r="N440" t="s">
        <v>116</v>
      </c>
      <c r="O440" s="6">
        <f t="shared" ca="1" si="6"/>
        <v>45696</v>
      </c>
      <c r="P440">
        <v>3.5</v>
      </c>
    </row>
    <row r="441" spans="1:16" x14ac:dyDescent="0.3">
      <c r="A441" t="s">
        <v>751</v>
      </c>
      <c r="B441" t="s">
        <v>285</v>
      </c>
      <c r="C441" t="s">
        <v>77</v>
      </c>
      <c r="D441">
        <v>35</v>
      </c>
      <c r="E441" t="s">
        <v>82</v>
      </c>
      <c r="F441" t="s">
        <v>64</v>
      </c>
      <c r="G441" t="s">
        <v>30</v>
      </c>
      <c r="H441">
        <v>4437</v>
      </c>
      <c r="I441">
        <v>2082</v>
      </c>
      <c r="J441">
        <v>2355</v>
      </c>
      <c r="K441" t="s">
        <v>31</v>
      </c>
      <c r="L441" t="s">
        <v>23</v>
      </c>
      <c r="M441">
        <v>10</v>
      </c>
      <c r="N441" t="s">
        <v>193</v>
      </c>
      <c r="O441" s="6">
        <f t="shared" ca="1" si="6"/>
        <v>45994</v>
      </c>
      <c r="P441">
        <v>4</v>
      </c>
    </row>
    <row r="442" spans="1:16" x14ac:dyDescent="0.3">
      <c r="A442" t="s">
        <v>752</v>
      </c>
      <c r="B442" t="s">
        <v>519</v>
      </c>
      <c r="C442" t="s">
        <v>77</v>
      </c>
      <c r="D442">
        <v>61</v>
      </c>
      <c r="E442" t="s">
        <v>44</v>
      </c>
      <c r="F442" t="s">
        <v>38</v>
      </c>
      <c r="G442" t="s">
        <v>104</v>
      </c>
      <c r="H442">
        <v>9179</v>
      </c>
      <c r="I442">
        <v>6255</v>
      </c>
      <c r="J442">
        <v>2924</v>
      </c>
      <c r="K442" t="s">
        <v>31</v>
      </c>
      <c r="L442" t="s">
        <v>47</v>
      </c>
      <c r="M442">
        <v>2</v>
      </c>
      <c r="N442" t="s">
        <v>193</v>
      </c>
      <c r="O442" s="6">
        <f t="shared" ca="1" si="6"/>
        <v>45850</v>
      </c>
      <c r="P442">
        <v>3.1</v>
      </c>
    </row>
    <row r="443" spans="1:16" x14ac:dyDescent="0.3">
      <c r="A443" t="s">
        <v>753</v>
      </c>
      <c r="B443" t="s">
        <v>471</v>
      </c>
      <c r="C443" t="s">
        <v>43</v>
      </c>
      <c r="D443">
        <v>63</v>
      </c>
      <c r="E443" t="s">
        <v>78</v>
      </c>
      <c r="F443" t="s">
        <v>29</v>
      </c>
      <c r="G443" t="s">
        <v>79</v>
      </c>
      <c r="H443">
        <v>5772</v>
      </c>
      <c r="I443">
        <v>4129</v>
      </c>
      <c r="J443">
        <v>1643</v>
      </c>
      <c r="K443" t="s">
        <v>68</v>
      </c>
      <c r="L443" t="s">
        <v>32</v>
      </c>
      <c r="M443">
        <v>4</v>
      </c>
      <c r="N443" t="s">
        <v>40</v>
      </c>
      <c r="O443" s="6">
        <f t="shared" ca="1" si="6"/>
        <v>45887</v>
      </c>
      <c r="P443">
        <v>2.4</v>
      </c>
    </row>
    <row r="444" spans="1:16" x14ac:dyDescent="0.3">
      <c r="A444" t="s">
        <v>754</v>
      </c>
      <c r="B444" t="s">
        <v>675</v>
      </c>
      <c r="C444" t="s">
        <v>103</v>
      </c>
      <c r="D444">
        <v>41</v>
      </c>
      <c r="E444" t="s">
        <v>44</v>
      </c>
      <c r="F444" t="s">
        <v>52</v>
      </c>
      <c r="G444" t="s">
        <v>79</v>
      </c>
      <c r="H444">
        <v>6045</v>
      </c>
      <c r="I444">
        <v>4969</v>
      </c>
      <c r="J444">
        <v>1076</v>
      </c>
      <c r="K444" t="s">
        <v>88</v>
      </c>
      <c r="L444" t="s">
        <v>23</v>
      </c>
      <c r="M444">
        <v>9</v>
      </c>
      <c r="N444" t="s">
        <v>116</v>
      </c>
      <c r="O444" s="6">
        <f t="shared" ca="1" si="6"/>
        <v>45787</v>
      </c>
      <c r="P444">
        <v>3.5</v>
      </c>
    </row>
    <row r="445" spans="1:16" x14ac:dyDescent="0.3">
      <c r="A445" t="s">
        <v>755</v>
      </c>
      <c r="B445" t="s">
        <v>276</v>
      </c>
      <c r="C445" t="s">
        <v>36</v>
      </c>
      <c r="D445">
        <v>23</v>
      </c>
      <c r="E445" t="s">
        <v>72</v>
      </c>
      <c r="F445" t="s">
        <v>67</v>
      </c>
      <c r="G445" t="s">
        <v>46</v>
      </c>
      <c r="H445">
        <v>5493</v>
      </c>
      <c r="I445">
        <v>4740</v>
      </c>
      <c r="J445">
        <v>753</v>
      </c>
      <c r="K445" t="s">
        <v>68</v>
      </c>
      <c r="L445" t="s">
        <v>47</v>
      </c>
      <c r="M445">
        <v>2</v>
      </c>
      <c r="N445" t="s">
        <v>40</v>
      </c>
      <c r="O445" s="6">
        <f t="shared" ca="1" si="6"/>
        <v>45732</v>
      </c>
      <c r="P445">
        <v>2.2999999999999998</v>
      </c>
    </row>
    <row r="446" spans="1:16" x14ac:dyDescent="0.3">
      <c r="A446" t="s">
        <v>756</v>
      </c>
      <c r="B446" t="s">
        <v>757</v>
      </c>
      <c r="C446" t="s">
        <v>43</v>
      </c>
      <c r="D446">
        <v>22</v>
      </c>
      <c r="E446" t="s">
        <v>72</v>
      </c>
      <c r="F446" t="s">
        <v>29</v>
      </c>
      <c r="G446" t="s">
        <v>92</v>
      </c>
      <c r="H446">
        <v>7594</v>
      </c>
      <c r="I446">
        <v>5057</v>
      </c>
      <c r="J446">
        <v>2537</v>
      </c>
      <c r="K446" t="s">
        <v>22</v>
      </c>
      <c r="L446" t="s">
        <v>47</v>
      </c>
      <c r="M446">
        <v>1</v>
      </c>
      <c r="N446" t="s">
        <v>40</v>
      </c>
      <c r="O446" s="6">
        <f t="shared" ca="1" si="6"/>
        <v>45731</v>
      </c>
      <c r="P446">
        <v>2.9</v>
      </c>
    </row>
    <row r="447" spans="1:16" x14ac:dyDescent="0.3">
      <c r="A447" t="s">
        <v>758</v>
      </c>
      <c r="B447" t="s">
        <v>135</v>
      </c>
      <c r="C447" t="s">
        <v>129</v>
      </c>
      <c r="D447">
        <v>29</v>
      </c>
      <c r="E447" t="s">
        <v>72</v>
      </c>
      <c r="F447" t="s">
        <v>38</v>
      </c>
      <c r="G447" t="s">
        <v>79</v>
      </c>
      <c r="H447">
        <v>3700</v>
      </c>
      <c r="I447">
        <v>2546</v>
      </c>
      <c r="J447">
        <v>1154</v>
      </c>
      <c r="K447" t="s">
        <v>88</v>
      </c>
      <c r="L447" t="s">
        <v>47</v>
      </c>
      <c r="M447">
        <v>5</v>
      </c>
      <c r="N447" t="s">
        <v>53</v>
      </c>
      <c r="O447" s="6">
        <f t="shared" ca="1" si="6"/>
        <v>45678</v>
      </c>
      <c r="P447">
        <v>4.5999999999999996</v>
      </c>
    </row>
    <row r="448" spans="1:16" x14ac:dyDescent="0.3">
      <c r="A448" t="s">
        <v>759</v>
      </c>
      <c r="B448" t="s">
        <v>760</v>
      </c>
      <c r="C448" t="s">
        <v>62</v>
      </c>
      <c r="D448">
        <v>25</v>
      </c>
      <c r="E448" t="s">
        <v>57</v>
      </c>
      <c r="F448" t="s">
        <v>91</v>
      </c>
      <c r="G448" t="s">
        <v>126</v>
      </c>
      <c r="H448">
        <v>7059</v>
      </c>
      <c r="I448">
        <v>4499</v>
      </c>
      <c r="J448">
        <v>2560</v>
      </c>
      <c r="K448" t="s">
        <v>68</v>
      </c>
      <c r="L448" t="s">
        <v>23</v>
      </c>
      <c r="M448">
        <v>2</v>
      </c>
      <c r="N448" t="s">
        <v>118</v>
      </c>
      <c r="O448" s="6">
        <f t="shared" ca="1" si="6"/>
        <v>45957</v>
      </c>
      <c r="P448">
        <v>4.7</v>
      </c>
    </row>
    <row r="449" spans="1:16" x14ac:dyDescent="0.3">
      <c r="A449" t="s">
        <v>761</v>
      </c>
      <c r="B449" t="s">
        <v>696</v>
      </c>
      <c r="C449" t="s">
        <v>51</v>
      </c>
      <c r="D449">
        <v>45</v>
      </c>
      <c r="E449" t="s">
        <v>87</v>
      </c>
      <c r="F449" t="s">
        <v>136</v>
      </c>
      <c r="G449" t="s">
        <v>58</v>
      </c>
      <c r="H449">
        <v>5328</v>
      </c>
      <c r="I449">
        <v>3350</v>
      </c>
      <c r="J449">
        <v>1978</v>
      </c>
      <c r="K449" t="s">
        <v>31</v>
      </c>
      <c r="L449" t="s">
        <v>23</v>
      </c>
      <c r="M449">
        <v>14</v>
      </c>
      <c r="N449" t="s">
        <v>53</v>
      </c>
      <c r="O449" s="6">
        <f t="shared" ca="1" si="6"/>
        <v>45737</v>
      </c>
      <c r="P449">
        <v>4.9000000000000004</v>
      </c>
    </row>
    <row r="450" spans="1:16" x14ac:dyDescent="0.3">
      <c r="A450" t="s">
        <v>762</v>
      </c>
      <c r="B450" t="s">
        <v>81</v>
      </c>
      <c r="C450" t="s">
        <v>103</v>
      </c>
      <c r="D450">
        <v>24</v>
      </c>
      <c r="E450" t="s">
        <v>72</v>
      </c>
      <c r="F450" t="s">
        <v>29</v>
      </c>
      <c r="G450" t="s">
        <v>46</v>
      </c>
      <c r="H450">
        <v>5526</v>
      </c>
      <c r="I450">
        <v>3115</v>
      </c>
      <c r="J450">
        <v>2411</v>
      </c>
      <c r="K450" t="s">
        <v>59</v>
      </c>
      <c r="L450" t="s">
        <v>47</v>
      </c>
      <c r="M450">
        <v>6</v>
      </c>
      <c r="N450" t="s">
        <v>74</v>
      </c>
      <c r="O450" s="6">
        <f t="shared" ca="1" si="6"/>
        <v>45677</v>
      </c>
      <c r="P450">
        <v>5</v>
      </c>
    </row>
    <row r="451" spans="1:16" x14ac:dyDescent="0.3">
      <c r="A451" t="s">
        <v>763</v>
      </c>
      <c r="B451" t="s">
        <v>516</v>
      </c>
      <c r="C451" t="s">
        <v>103</v>
      </c>
      <c r="D451">
        <v>49</v>
      </c>
      <c r="E451" t="s">
        <v>44</v>
      </c>
      <c r="F451" t="s">
        <v>67</v>
      </c>
      <c r="G451" t="s">
        <v>92</v>
      </c>
      <c r="H451">
        <v>2346</v>
      </c>
      <c r="I451">
        <v>1237</v>
      </c>
      <c r="J451">
        <v>1109</v>
      </c>
      <c r="K451" t="s">
        <v>59</v>
      </c>
      <c r="L451" t="s">
        <v>23</v>
      </c>
      <c r="M451">
        <v>13</v>
      </c>
      <c r="N451" t="s">
        <v>48</v>
      </c>
      <c r="O451" s="6">
        <f t="shared" ref="O451:O514" ca="1" si="7">RANDBETWEEN(DATE(2025,1,1),DATE(2025,12,31))</f>
        <v>45773</v>
      </c>
      <c r="P451">
        <v>4.3</v>
      </c>
    </row>
    <row r="452" spans="1:16" x14ac:dyDescent="0.3">
      <c r="A452" t="s">
        <v>764</v>
      </c>
      <c r="B452" t="s">
        <v>149</v>
      </c>
      <c r="C452" t="s">
        <v>56</v>
      </c>
      <c r="D452">
        <v>57</v>
      </c>
      <c r="E452" t="s">
        <v>28</v>
      </c>
      <c r="F452" t="s">
        <v>29</v>
      </c>
      <c r="G452" t="s">
        <v>73</v>
      </c>
      <c r="H452">
        <v>3198</v>
      </c>
      <c r="I452">
        <v>2650</v>
      </c>
      <c r="J452">
        <v>548</v>
      </c>
      <c r="K452" t="s">
        <v>88</v>
      </c>
      <c r="L452" t="s">
        <v>47</v>
      </c>
      <c r="M452">
        <v>7</v>
      </c>
      <c r="N452" t="s">
        <v>193</v>
      </c>
      <c r="O452" s="6">
        <f t="shared" ca="1" si="7"/>
        <v>45740</v>
      </c>
      <c r="P452">
        <v>4</v>
      </c>
    </row>
    <row r="453" spans="1:16" x14ac:dyDescent="0.3">
      <c r="A453" t="s">
        <v>765</v>
      </c>
      <c r="B453" t="s">
        <v>97</v>
      </c>
      <c r="C453" t="s">
        <v>56</v>
      </c>
      <c r="D453">
        <v>46</v>
      </c>
      <c r="E453" t="s">
        <v>44</v>
      </c>
      <c r="F453" t="s">
        <v>52</v>
      </c>
      <c r="G453" t="s">
        <v>92</v>
      </c>
      <c r="H453">
        <v>7893</v>
      </c>
      <c r="I453">
        <v>5546</v>
      </c>
      <c r="J453">
        <v>2347</v>
      </c>
      <c r="K453" t="s">
        <v>68</v>
      </c>
      <c r="L453" t="s">
        <v>32</v>
      </c>
      <c r="M453">
        <v>2</v>
      </c>
      <c r="N453" t="s">
        <v>116</v>
      </c>
      <c r="O453" s="6">
        <f t="shared" ca="1" si="7"/>
        <v>45782</v>
      </c>
      <c r="P453">
        <v>3.9</v>
      </c>
    </row>
    <row r="454" spans="1:16" x14ac:dyDescent="0.3">
      <c r="A454" t="s">
        <v>766</v>
      </c>
      <c r="B454" t="s">
        <v>767</v>
      </c>
      <c r="C454" t="s">
        <v>77</v>
      </c>
      <c r="D454">
        <v>63</v>
      </c>
      <c r="E454" t="s">
        <v>37</v>
      </c>
      <c r="F454" t="s">
        <v>64</v>
      </c>
      <c r="G454" t="s">
        <v>58</v>
      </c>
      <c r="H454">
        <v>4333</v>
      </c>
      <c r="I454">
        <v>3353</v>
      </c>
      <c r="J454">
        <v>980</v>
      </c>
      <c r="K454" t="s">
        <v>59</v>
      </c>
      <c r="L454" t="s">
        <v>32</v>
      </c>
      <c r="M454">
        <v>10</v>
      </c>
      <c r="N454" t="s">
        <v>24</v>
      </c>
      <c r="O454" s="6">
        <f t="shared" ca="1" si="7"/>
        <v>45867</v>
      </c>
      <c r="P454">
        <v>4.7</v>
      </c>
    </row>
    <row r="455" spans="1:16" x14ac:dyDescent="0.3">
      <c r="A455" t="s">
        <v>768</v>
      </c>
      <c r="B455" t="s">
        <v>687</v>
      </c>
      <c r="C455" t="s">
        <v>56</v>
      </c>
      <c r="D455">
        <v>60</v>
      </c>
      <c r="E455" t="s">
        <v>78</v>
      </c>
      <c r="F455" t="s">
        <v>91</v>
      </c>
      <c r="G455" t="s">
        <v>46</v>
      </c>
      <c r="H455">
        <v>3429</v>
      </c>
      <c r="I455">
        <v>2412</v>
      </c>
      <c r="J455">
        <v>1017</v>
      </c>
      <c r="K455" t="s">
        <v>22</v>
      </c>
      <c r="L455" t="s">
        <v>23</v>
      </c>
      <c r="M455">
        <v>3</v>
      </c>
      <c r="N455" t="s">
        <v>53</v>
      </c>
      <c r="O455" s="6">
        <f t="shared" ca="1" si="7"/>
        <v>45718</v>
      </c>
      <c r="P455">
        <v>4.5</v>
      </c>
    </row>
    <row r="456" spans="1:16" x14ac:dyDescent="0.3">
      <c r="A456" t="s">
        <v>769</v>
      </c>
      <c r="B456" t="s">
        <v>115</v>
      </c>
      <c r="C456" t="s">
        <v>129</v>
      </c>
      <c r="D456">
        <v>39</v>
      </c>
      <c r="E456" t="s">
        <v>28</v>
      </c>
      <c r="F456" t="s">
        <v>38</v>
      </c>
      <c r="G456" t="s">
        <v>21</v>
      </c>
      <c r="H456">
        <v>5042</v>
      </c>
      <c r="I456">
        <v>2999</v>
      </c>
      <c r="J456">
        <v>2043</v>
      </c>
      <c r="K456" t="s">
        <v>59</v>
      </c>
      <c r="L456" t="s">
        <v>32</v>
      </c>
      <c r="M456">
        <v>6</v>
      </c>
      <c r="N456" t="s">
        <v>33</v>
      </c>
      <c r="O456" s="6">
        <f t="shared" ca="1" si="7"/>
        <v>45941</v>
      </c>
      <c r="P456">
        <v>4.5999999999999996</v>
      </c>
    </row>
    <row r="457" spans="1:16" x14ac:dyDescent="0.3">
      <c r="A457" t="s">
        <v>770</v>
      </c>
      <c r="B457" t="s">
        <v>213</v>
      </c>
      <c r="C457" t="s">
        <v>27</v>
      </c>
      <c r="D457">
        <v>37</v>
      </c>
      <c r="E457" t="s">
        <v>82</v>
      </c>
      <c r="F457" t="s">
        <v>91</v>
      </c>
      <c r="G457" t="s">
        <v>79</v>
      </c>
      <c r="H457">
        <v>7257</v>
      </c>
      <c r="I457">
        <v>6479</v>
      </c>
      <c r="J457">
        <v>778</v>
      </c>
      <c r="K457" t="s">
        <v>31</v>
      </c>
      <c r="L457" t="s">
        <v>23</v>
      </c>
      <c r="M457">
        <v>11</v>
      </c>
      <c r="N457" t="s">
        <v>24</v>
      </c>
      <c r="O457" s="6">
        <f t="shared" ca="1" si="7"/>
        <v>45834</v>
      </c>
      <c r="P457">
        <v>3.1</v>
      </c>
    </row>
    <row r="458" spans="1:16" x14ac:dyDescent="0.3">
      <c r="A458" t="s">
        <v>771</v>
      </c>
      <c r="B458" t="s">
        <v>510</v>
      </c>
      <c r="C458" t="s">
        <v>18</v>
      </c>
      <c r="D458">
        <v>31</v>
      </c>
      <c r="E458" t="s">
        <v>28</v>
      </c>
      <c r="F458" t="s">
        <v>45</v>
      </c>
      <c r="G458" t="s">
        <v>30</v>
      </c>
      <c r="H458">
        <v>9696</v>
      </c>
      <c r="I458">
        <v>6965</v>
      </c>
      <c r="J458">
        <v>2731</v>
      </c>
      <c r="K458" t="s">
        <v>88</v>
      </c>
      <c r="L458" t="s">
        <v>32</v>
      </c>
      <c r="M458">
        <v>8</v>
      </c>
      <c r="N458" t="s">
        <v>24</v>
      </c>
      <c r="O458" s="6">
        <f t="shared" ca="1" si="7"/>
        <v>45804</v>
      </c>
      <c r="P458">
        <v>3.1</v>
      </c>
    </row>
    <row r="459" spans="1:16" x14ac:dyDescent="0.3">
      <c r="A459" t="s">
        <v>772</v>
      </c>
      <c r="B459" t="s">
        <v>198</v>
      </c>
      <c r="C459" t="s">
        <v>43</v>
      </c>
      <c r="D459">
        <v>27</v>
      </c>
      <c r="E459" t="s">
        <v>28</v>
      </c>
      <c r="F459" t="s">
        <v>45</v>
      </c>
      <c r="G459" t="s">
        <v>73</v>
      </c>
      <c r="H459">
        <v>4152</v>
      </c>
      <c r="I459">
        <v>2393</v>
      </c>
      <c r="J459">
        <v>1759</v>
      </c>
      <c r="K459" t="s">
        <v>88</v>
      </c>
      <c r="L459" t="s">
        <v>32</v>
      </c>
      <c r="M459">
        <v>12</v>
      </c>
      <c r="N459" t="s">
        <v>53</v>
      </c>
      <c r="O459" s="6">
        <f t="shared" ca="1" si="7"/>
        <v>45659</v>
      </c>
      <c r="P459">
        <v>4.8</v>
      </c>
    </row>
    <row r="460" spans="1:16" x14ac:dyDescent="0.3">
      <c r="A460" t="s">
        <v>773</v>
      </c>
      <c r="B460" t="s">
        <v>685</v>
      </c>
      <c r="C460" t="s">
        <v>77</v>
      </c>
      <c r="D460">
        <v>32</v>
      </c>
      <c r="E460" t="s">
        <v>19</v>
      </c>
      <c r="F460" t="s">
        <v>29</v>
      </c>
      <c r="G460" t="s">
        <v>104</v>
      </c>
      <c r="H460">
        <v>5381</v>
      </c>
      <c r="I460">
        <v>5093</v>
      </c>
      <c r="J460">
        <v>288</v>
      </c>
      <c r="K460" t="s">
        <v>68</v>
      </c>
      <c r="L460" t="s">
        <v>47</v>
      </c>
      <c r="M460">
        <v>15</v>
      </c>
      <c r="N460" t="s">
        <v>74</v>
      </c>
      <c r="O460" s="6">
        <f t="shared" ca="1" si="7"/>
        <v>45749</v>
      </c>
      <c r="P460">
        <v>3.3</v>
      </c>
    </row>
    <row r="461" spans="1:16" x14ac:dyDescent="0.3">
      <c r="A461" t="s">
        <v>774</v>
      </c>
      <c r="B461" t="s">
        <v>736</v>
      </c>
      <c r="C461" t="s">
        <v>129</v>
      </c>
      <c r="D461">
        <v>22</v>
      </c>
      <c r="E461" t="s">
        <v>57</v>
      </c>
      <c r="F461" t="s">
        <v>38</v>
      </c>
      <c r="G461" t="s">
        <v>58</v>
      </c>
      <c r="H461">
        <v>7059</v>
      </c>
      <c r="I461">
        <v>5621</v>
      </c>
      <c r="J461">
        <v>1438</v>
      </c>
      <c r="K461" t="s">
        <v>68</v>
      </c>
      <c r="L461" t="s">
        <v>32</v>
      </c>
      <c r="M461">
        <v>9</v>
      </c>
      <c r="N461" t="s">
        <v>116</v>
      </c>
      <c r="O461" s="6">
        <f t="shared" ca="1" si="7"/>
        <v>45781</v>
      </c>
      <c r="P461">
        <v>4.5</v>
      </c>
    </row>
    <row r="462" spans="1:16" x14ac:dyDescent="0.3">
      <c r="A462" t="s">
        <v>775</v>
      </c>
      <c r="B462" t="s">
        <v>601</v>
      </c>
      <c r="C462" t="s">
        <v>36</v>
      </c>
      <c r="D462">
        <v>56</v>
      </c>
      <c r="E462" t="s">
        <v>72</v>
      </c>
      <c r="F462" t="s">
        <v>52</v>
      </c>
      <c r="G462" t="s">
        <v>126</v>
      </c>
      <c r="H462">
        <v>5108</v>
      </c>
      <c r="I462">
        <v>3299</v>
      </c>
      <c r="J462">
        <v>1809</v>
      </c>
      <c r="K462" t="s">
        <v>31</v>
      </c>
      <c r="L462" t="s">
        <v>23</v>
      </c>
      <c r="M462">
        <v>2</v>
      </c>
      <c r="N462" t="s">
        <v>48</v>
      </c>
      <c r="O462" s="6">
        <f t="shared" ca="1" si="7"/>
        <v>45958</v>
      </c>
      <c r="P462">
        <v>4.7</v>
      </c>
    </row>
    <row r="463" spans="1:16" x14ac:dyDescent="0.3">
      <c r="A463" t="s">
        <v>776</v>
      </c>
      <c r="B463" t="s">
        <v>777</v>
      </c>
      <c r="C463" t="s">
        <v>62</v>
      </c>
      <c r="D463">
        <v>57</v>
      </c>
      <c r="E463" t="s">
        <v>78</v>
      </c>
      <c r="F463" t="s">
        <v>64</v>
      </c>
      <c r="G463" t="s">
        <v>39</v>
      </c>
      <c r="H463">
        <v>7007</v>
      </c>
      <c r="I463">
        <v>5459</v>
      </c>
      <c r="J463">
        <v>1548</v>
      </c>
      <c r="K463" t="s">
        <v>59</v>
      </c>
      <c r="L463" t="s">
        <v>32</v>
      </c>
      <c r="M463">
        <v>3</v>
      </c>
      <c r="N463" t="s">
        <v>33</v>
      </c>
      <c r="O463" s="6">
        <f t="shared" ca="1" si="7"/>
        <v>45831</v>
      </c>
      <c r="P463">
        <v>3.3</v>
      </c>
    </row>
    <row r="464" spans="1:16" x14ac:dyDescent="0.3">
      <c r="A464" t="s">
        <v>778</v>
      </c>
      <c r="B464" t="s">
        <v>359</v>
      </c>
      <c r="C464" t="s">
        <v>62</v>
      </c>
      <c r="D464">
        <v>29</v>
      </c>
      <c r="E464" t="s">
        <v>72</v>
      </c>
      <c r="F464" t="s">
        <v>29</v>
      </c>
      <c r="G464" t="s">
        <v>126</v>
      </c>
      <c r="H464">
        <v>4817</v>
      </c>
      <c r="I464">
        <v>4023</v>
      </c>
      <c r="J464">
        <v>794</v>
      </c>
      <c r="K464" t="s">
        <v>22</v>
      </c>
      <c r="L464" t="s">
        <v>32</v>
      </c>
      <c r="M464">
        <v>10</v>
      </c>
      <c r="N464" t="s">
        <v>193</v>
      </c>
      <c r="O464" s="6">
        <f t="shared" ca="1" si="7"/>
        <v>45972</v>
      </c>
      <c r="P464">
        <v>3.8</v>
      </c>
    </row>
    <row r="465" spans="1:16" x14ac:dyDescent="0.3">
      <c r="A465" t="s">
        <v>779</v>
      </c>
      <c r="B465" t="s">
        <v>452</v>
      </c>
      <c r="C465" t="s">
        <v>77</v>
      </c>
      <c r="D465">
        <v>32</v>
      </c>
      <c r="E465" t="s">
        <v>57</v>
      </c>
      <c r="F465" t="s">
        <v>20</v>
      </c>
      <c r="G465" t="s">
        <v>46</v>
      </c>
      <c r="H465">
        <v>8275</v>
      </c>
      <c r="I465">
        <v>6770</v>
      </c>
      <c r="J465">
        <v>1505</v>
      </c>
      <c r="K465" t="s">
        <v>68</v>
      </c>
      <c r="L465" t="s">
        <v>47</v>
      </c>
      <c r="M465">
        <v>3</v>
      </c>
      <c r="N465" t="s">
        <v>40</v>
      </c>
      <c r="O465" s="6">
        <f t="shared" ca="1" si="7"/>
        <v>45789</v>
      </c>
      <c r="P465">
        <v>2.7</v>
      </c>
    </row>
    <row r="466" spans="1:16" x14ac:dyDescent="0.3">
      <c r="A466" t="s">
        <v>780</v>
      </c>
      <c r="B466" t="s">
        <v>598</v>
      </c>
      <c r="C466" t="s">
        <v>18</v>
      </c>
      <c r="D466">
        <v>30</v>
      </c>
      <c r="E466" t="s">
        <v>19</v>
      </c>
      <c r="F466" t="s">
        <v>98</v>
      </c>
      <c r="G466" t="s">
        <v>126</v>
      </c>
      <c r="H466">
        <v>2320</v>
      </c>
      <c r="I466">
        <v>2013</v>
      </c>
      <c r="J466">
        <v>307</v>
      </c>
      <c r="K466" t="s">
        <v>31</v>
      </c>
      <c r="L466" t="s">
        <v>47</v>
      </c>
      <c r="M466">
        <v>10</v>
      </c>
      <c r="N466" t="s">
        <v>118</v>
      </c>
      <c r="O466" s="6">
        <f t="shared" ca="1" si="7"/>
        <v>45913</v>
      </c>
      <c r="P466">
        <v>3.1</v>
      </c>
    </row>
    <row r="467" spans="1:16" x14ac:dyDescent="0.3">
      <c r="A467" t="s">
        <v>781</v>
      </c>
      <c r="B467" t="s">
        <v>668</v>
      </c>
      <c r="C467" t="s">
        <v>62</v>
      </c>
      <c r="D467">
        <v>59</v>
      </c>
      <c r="E467" t="s">
        <v>19</v>
      </c>
      <c r="F467" t="s">
        <v>52</v>
      </c>
      <c r="G467" t="s">
        <v>46</v>
      </c>
      <c r="H467">
        <v>3968</v>
      </c>
      <c r="I467">
        <v>3443</v>
      </c>
      <c r="J467">
        <v>525</v>
      </c>
      <c r="K467" t="s">
        <v>31</v>
      </c>
      <c r="L467" t="s">
        <v>47</v>
      </c>
      <c r="M467">
        <v>8</v>
      </c>
      <c r="N467" t="s">
        <v>193</v>
      </c>
      <c r="O467" s="6">
        <f t="shared" ca="1" si="7"/>
        <v>45788</v>
      </c>
      <c r="P467">
        <v>4.3</v>
      </c>
    </row>
    <row r="468" spans="1:16" x14ac:dyDescent="0.3">
      <c r="A468" t="s">
        <v>782</v>
      </c>
      <c r="B468" t="s">
        <v>619</v>
      </c>
      <c r="C468" t="s">
        <v>43</v>
      </c>
      <c r="D468">
        <v>32</v>
      </c>
      <c r="E468" t="s">
        <v>37</v>
      </c>
      <c r="F468" t="s">
        <v>91</v>
      </c>
      <c r="G468" t="s">
        <v>104</v>
      </c>
      <c r="H468">
        <v>2496</v>
      </c>
      <c r="I468">
        <v>1626</v>
      </c>
      <c r="J468">
        <v>870</v>
      </c>
      <c r="K468" t="s">
        <v>68</v>
      </c>
      <c r="L468" t="s">
        <v>47</v>
      </c>
      <c r="M468">
        <v>1</v>
      </c>
      <c r="N468" t="s">
        <v>48</v>
      </c>
      <c r="O468" s="6">
        <f t="shared" ca="1" si="7"/>
        <v>45758</v>
      </c>
      <c r="P468">
        <v>3.1</v>
      </c>
    </row>
    <row r="469" spans="1:16" x14ac:dyDescent="0.3">
      <c r="A469" t="s">
        <v>783</v>
      </c>
      <c r="B469" t="s">
        <v>354</v>
      </c>
      <c r="C469" t="s">
        <v>62</v>
      </c>
      <c r="D469">
        <v>34</v>
      </c>
      <c r="E469" t="s">
        <v>87</v>
      </c>
      <c r="F469" t="s">
        <v>20</v>
      </c>
      <c r="G469" t="s">
        <v>104</v>
      </c>
      <c r="H469">
        <v>7760</v>
      </c>
      <c r="I469">
        <v>5554</v>
      </c>
      <c r="J469">
        <v>2206</v>
      </c>
      <c r="K469" t="s">
        <v>88</v>
      </c>
      <c r="L469" t="s">
        <v>23</v>
      </c>
      <c r="M469">
        <v>14</v>
      </c>
      <c r="N469" t="s">
        <v>69</v>
      </c>
      <c r="O469" s="6">
        <f t="shared" ca="1" si="7"/>
        <v>45665</v>
      </c>
      <c r="P469">
        <v>3.2</v>
      </c>
    </row>
    <row r="470" spans="1:16" x14ac:dyDescent="0.3">
      <c r="A470" t="s">
        <v>784</v>
      </c>
      <c r="B470" t="s">
        <v>785</v>
      </c>
      <c r="C470" t="s">
        <v>36</v>
      </c>
      <c r="D470">
        <v>59</v>
      </c>
      <c r="E470" t="s">
        <v>37</v>
      </c>
      <c r="F470" t="s">
        <v>38</v>
      </c>
      <c r="G470" t="s">
        <v>73</v>
      </c>
      <c r="H470">
        <v>8051</v>
      </c>
      <c r="I470">
        <v>5509</v>
      </c>
      <c r="J470">
        <v>2542</v>
      </c>
      <c r="K470" t="s">
        <v>22</v>
      </c>
      <c r="L470" t="s">
        <v>47</v>
      </c>
      <c r="M470">
        <v>9</v>
      </c>
      <c r="N470" t="s">
        <v>24</v>
      </c>
      <c r="O470" s="6">
        <f t="shared" ca="1" si="7"/>
        <v>45805</v>
      </c>
      <c r="P470">
        <v>4.0999999999999996</v>
      </c>
    </row>
    <row r="471" spans="1:16" x14ac:dyDescent="0.3">
      <c r="A471" t="s">
        <v>786</v>
      </c>
      <c r="B471" t="s">
        <v>147</v>
      </c>
      <c r="C471" t="s">
        <v>36</v>
      </c>
      <c r="D471">
        <v>36</v>
      </c>
      <c r="E471" t="s">
        <v>82</v>
      </c>
      <c r="F471" t="s">
        <v>29</v>
      </c>
      <c r="G471" t="s">
        <v>73</v>
      </c>
      <c r="H471">
        <v>6882</v>
      </c>
      <c r="I471">
        <v>6522</v>
      </c>
      <c r="J471">
        <v>360</v>
      </c>
      <c r="K471" t="s">
        <v>68</v>
      </c>
      <c r="L471" t="s">
        <v>47</v>
      </c>
      <c r="M471">
        <v>9</v>
      </c>
      <c r="N471" t="s">
        <v>24</v>
      </c>
      <c r="O471" s="6">
        <f t="shared" ca="1" si="7"/>
        <v>45811</v>
      </c>
      <c r="P471">
        <v>5</v>
      </c>
    </row>
    <row r="472" spans="1:16" x14ac:dyDescent="0.3">
      <c r="A472" t="s">
        <v>787</v>
      </c>
      <c r="B472" t="s">
        <v>276</v>
      </c>
      <c r="C472" t="s">
        <v>18</v>
      </c>
      <c r="D472">
        <v>39</v>
      </c>
      <c r="E472" t="s">
        <v>63</v>
      </c>
      <c r="F472" t="s">
        <v>20</v>
      </c>
      <c r="G472" t="s">
        <v>73</v>
      </c>
      <c r="H472">
        <v>5622</v>
      </c>
      <c r="I472">
        <v>2911</v>
      </c>
      <c r="J472">
        <v>2711</v>
      </c>
      <c r="K472" t="s">
        <v>59</v>
      </c>
      <c r="L472" t="s">
        <v>47</v>
      </c>
      <c r="M472">
        <v>5</v>
      </c>
      <c r="N472" t="s">
        <v>40</v>
      </c>
      <c r="O472" s="6">
        <f t="shared" ca="1" si="7"/>
        <v>45731</v>
      </c>
      <c r="P472">
        <v>1.4</v>
      </c>
    </row>
    <row r="473" spans="1:16" x14ac:dyDescent="0.3">
      <c r="A473" t="s">
        <v>788</v>
      </c>
      <c r="B473" t="s">
        <v>399</v>
      </c>
      <c r="C473" t="s">
        <v>56</v>
      </c>
      <c r="D473">
        <v>26</v>
      </c>
      <c r="E473" t="s">
        <v>82</v>
      </c>
      <c r="F473" t="s">
        <v>98</v>
      </c>
      <c r="G473" t="s">
        <v>126</v>
      </c>
      <c r="H473">
        <v>9476</v>
      </c>
      <c r="I473">
        <v>6879</v>
      </c>
      <c r="J473">
        <v>2597</v>
      </c>
      <c r="K473" t="s">
        <v>59</v>
      </c>
      <c r="L473" t="s">
        <v>32</v>
      </c>
      <c r="M473">
        <v>5</v>
      </c>
      <c r="N473" t="s">
        <v>40</v>
      </c>
      <c r="O473" s="6">
        <f t="shared" ca="1" si="7"/>
        <v>45695</v>
      </c>
      <c r="P473">
        <v>2.2000000000000002</v>
      </c>
    </row>
    <row r="474" spans="1:16" x14ac:dyDescent="0.3">
      <c r="A474" t="s">
        <v>789</v>
      </c>
      <c r="B474" t="s">
        <v>428</v>
      </c>
      <c r="C474" t="s">
        <v>43</v>
      </c>
      <c r="D474">
        <v>49</v>
      </c>
      <c r="E474" t="s">
        <v>28</v>
      </c>
      <c r="F474" t="s">
        <v>20</v>
      </c>
      <c r="G474" t="s">
        <v>104</v>
      </c>
      <c r="H474">
        <v>6362</v>
      </c>
      <c r="I474">
        <v>5335</v>
      </c>
      <c r="J474">
        <v>1027</v>
      </c>
      <c r="K474" t="s">
        <v>68</v>
      </c>
      <c r="L474" t="s">
        <v>32</v>
      </c>
      <c r="M474">
        <v>0</v>
      </c>
      <c r="N474" t="s">
        <v>40</v>
      </c>
      <c r="O474" s="6">
        <f t="shared" ca="1" si="7"/>
        <v>45885</v>
      </c>
      <c r="P474">
        <v>1</v>
      </c>
    </row>
    <row r="475" spans="1:16" x14ac:dyDescent="0.3">
      <c r="A475" t="s">
        <v>790</v>
      </c>
      <c r="B475" t="s">
        <v>627</v>
      </c>
      <c r="C475" t="s">
        <v>77</v>
      </c>
      <c r="D475">
        <v>26</v>
      </c>
      <c r="E475" t="s">
        <v>87</v>
      </c>
      <c r="F475" t="s">
        <v>91</v>
      </c>
      <c r="G475" t="s">
        <v>58</v>
      </c>
      <c r="H475">
        <v>3543</v>
      </c>
      <c r="I475">
        <v>1198</v>
      </c>
      <c r="J475">
        <v>2345</v>
      </c>
      <c r="K475" t="s">
        <v>59</v>
      </c>
      <c r="L475" t="s">
        <v>47</v>
      </c>
      <c r="M475">
        <v>12</v>
      </c>
      <c r="N475" t="s">
        <v>74</v>
      </c>
      <c r="O475" s="6">
        <f t="shared" ca="1" si="7"/>
        <v>45907</v>
      </c>
      <c r="P475">
        <v>4.7</v>
      </c>
    </row>
    <row r="476" spans="1:16" x14ac:dyDescent="0.3">
      <c r="A476" t="s">
        <v>791</v>
      </c>
      <c r="B476" t="s">
        <v>471</v>
      </c>
      <c r="C476" t="s">
        <v>103</v>
      </c>
      <c r="D476">
        <v>23</v>
      </c>
      <c r="E476" t="s">
        <v>78</v>
      </c>
      <c r="F476" t="s">
        <v>38</v>
      </c>
      <c r="G476" t="s">
        <v>79</v>
      </c>
      <c r="H476">
        <v>6716</v>
      </c>
      <c r="I476">
        <v>5902</v>
      </c>
      <c r="J476">
        <v>814</v>
      </c>
      <c r="K476" t="s">
        <v>22</v>
      </c>
      <c r="L476" t="s">
        <v>47</v>
      </c>
      <c r="M476">
        <v>3</v>
      </c>
      <c r="N476" t="s">
        <v>193</v>
      </c>
      <c r="O476" s="6">
        <f t="shared" ca="1" si="7"/>
        <v>45776</v>
      </c>
      <c r="P476">
        <v>4.7</v>
      </c>
    </row>
    <row r="477" spans="1:16" x14ac:dyDescent="0.3">
      <c r="A477" t="s">
        <v>792</v>
      </c>
      <c r="B477" t="s">
        <v>409</v>
      </c>
      <c r="C477" t="s">
        <v>18</v>
      </c>
      <c r="D477">
        <v>49</v>
      </c>
      <c r="E477" t="s">
        <v>72</v>
      </c>
      <c r="F477" t="s">
        <v>20</v>
      </c>
      <c r="G477" t="s">
        <v>21</v>
      </c>
      <c r="H477">
        <v>2607</v>
      </c>
      <c r="I477">
        <v>1577</v>
      </c>
      <c r="J477">
        <v>1030</v>
      </c>
      <c r="K477" t="s">
        <v>88</v>
      </c>
      <c r="L477" t="s">
        <v>32</v>
      </c>
      <c r="M477">
        <v>13</v>
      </c>
      <c r="N477" t="s">
        <v>116</v>
      </c>
      <c r="O477" s="6">
        <f t="shared" ca="1" si="7"/>
        <v>46001</v>
      </c>
      <c r="P477">
        <v>3.6</v>
      </c>
    </row>
    <row r="478" spans="1:16" x14ac:dyDescent="0.3">
      <c r="A478" t="s">
        <v>793</v>
      </c>
      <c r="B478" t="s">
        <v>371</v>
      </c>
      <c r="C478" t="s">
        <v>56</v>
      </c>
      <c r="D478">
        <v>55</v>
      </c>
      <c r="E478" t="s">
        <v>28</v>
      </c>
      <c r="F478" t="s">
        <v>67</v>
      </c>
      <c r="G478" t="s">
        <v>104</v>
      </c>
      <c r="H478">
        <v>3536</v>
      </c>
      <c r="I478">
        <v>2448</v>
      </c>
      <c r="J478">
        <v>1088</v>
      </c>
      <c r="K478" t="s">
        <v>88</v>
      </c>
      <c r="L478" t="s">
        <v>23</v>
      </c>
      <c r="M478">
        <v>8</v>
      </c>
      <c r="N478" t="s">
        <v>69</v>
      </c>
      <c r="O478" s="6">
        <f t="shared" ca="1" si="7"/>
        <v>45694</v>
      </c>
      <c r="P478">
        <v>4.4000000000000004</v>
      </c>
    </row>
    <row r="479" spans="1:16" x14ac:dyDescent="0.3">
      <c r="A479" t="s">
        <v>794</v>
      </c>
      <c r="B479" t="s">
        <v>464</v>
      </c>
      <c r="C479" t="s">
        <v>51</v>
      </c>
      <c r="D479">
        <v>21</v>
      </c>
      <c r="E479" t="s">
        <v>19</v>
      </c>
      <c r="F479" t="s">
        <v>29</v>
      </c>
      <c r="G479" t="s">
        <v>39</v>
      </c>
      <c r="H479">
        <v>8351</v>
      </c>
      <c r="I479">
        <v>5577</v>
      </c>
      <c r="J479">
        <v>2774</v>
      </c>
      <c r="K479" t="s">
        <v>59</v>
      </c>
      <c r="L479" t="s">
        <v>47</v>
      </c>
      <c r="M479">
        <v>14</v>
      </c>
      <c r="N479" t="s">
        <v>33</v>
      </c>
      <c r="O479" s="6">
        <f t="shared" ca="1" si="7"/>
        <v>45700</v>
      </c>
      <c r="P479">
        <v>4.8</v>
      </c>
    </row>
    <row r="480" spans="1:16" x14ac:dyDescent="0.3">
      <c r="A480" t="s">
        <v>795</v>
      </c>
      <c r="B480" t="s">
        <v>516</v>
      </c>
      <c r="C480" t="s">
        <v>43</v>
      </c>
      <c r="D480">
        <v>23</v>
      </c>
      <c r="E480" t="s">
        <v>78</v>
      </c>
      <c r="F480" t="s">
        <v>136</v>
      </c>
      <c r="G480" t="s">
        <v>79</v>
      </c>
      <c r="H480">
        <v>6864</v>
      </c>
      <c r="I480">
        <v>5442</v>
      </c>
      <c r="J480">
        <v>1422</v>
      </c>
      <c r="K480" t="s">
        <v>88</v>
      </c>
      <c r="L480" t="s">
        <v>23</v>
      </c>
      <c r="M480">
        <v>2</v>
      </c>
      <c r="N480" t="s">
        <v>24</v>
      </c>
      <c r="O480" s="6">
        <f t="shared" ca="1" si="7"/>
        <v>45996</v>
      </c>
      <c r="P480">
        <v>4.2</v>
      </c>
    </row>
    <row r="481" spans="1:16" x14ac:dyDescent="0.3">
      <c r="A481" t="s">
        <v>796</v>
      </c>
      <c r="B481" t="s">
        <v>797</v>
      </c>
      <c r="C481" t="s">
        <v>18</v>
      </c>
      <c r="D481">
        <v>60</v>
      </c>
      <c r="E481" t="s">
        <v>44</v>
      </c>
      <c r="F481" t="s">
        <v>67</v>
      </c>
      <c r="G481" t="s">
        <v>92</v>
      </c>
      <c r="H481">
        <v>4018</v>
      </c>
      <c r="I481">
        <v>1953</v>
      </c>
      <c r="J481">
        <v>2065</v>
      </c>
      <c r="K481" t="s">
        <v>68</v>
      </c>
      <c r="L481" t="s">
        <v>23</v>
      </c>
      <c r="M481">
        <v>6</v>
      </c>
      <c r="N481" t="s">
        <v>24</v>
      </c>
      <c r="O481" s="6">
        <f t="shared" ca="1" si="7"/>
        <v>45862</v>
      </c>
      <c r="P481">
        <v>4.9000000000000004</v>
      </c>
    </row>
    <row r="482" spans="1:16" x14ac:dyDescent="0.3">
      <c r="A482" t="s">
        <v>798</v>
      </c>
      <c r="B482" t="s">
        <v>209</v>
      </c>
      <c r="C482" t="s">
        <v>103</v>
      </c>
      <c r="D482">
        <v>25</v>
      </c>
      <c r="E482" t="s">
        <v>37</v>
      </c>
      <c r="F482" t="s">
        <v>29</v>
      </c>
      <c r="G482" t="s">
        <v>21</v>
      </c>
      <c r="H482">
        <v>5026</v>
      </c>
      <c r="I482">
        <v>2898</v>
      </c>
      <c r="J482">
        <v>2128</v>
      </c>
      <c r="K482" t="s">
        <v>31</v>
      </c>
      <c r="L482" t="s">
        <v>47</v>
      </c>
      <c r="M482">
        <v>12</v>
      </c>
      <c r="N482" t="s">
        <v>116</v>
      </c>
      <c r="O482" s="6">
        <f t="shared" ca="1" si="7"/>
        <v>45956</v>
      </c>
      <c r="P482">
        <v>4</v>
      </c>
    </row>
    <row r="483" spans="1:16" x14ac:dyDescent="0.3">
      <c r="A483" t="s">
        <v>799</v>
      </c>
      <c r="B483" t="s">
        <v>800</v>
      </c>
      <c r="C483" t="s">
        <v>62</v>
      </c>
      <c r="D483">
        <v>65</v>
      </c>
      <c r="E483" t="s">
        <v>19</v>
      </c>
      <c r="F483" t="s">
        <v>67</v>
      </c>
      <c r="G483" t="s">
        <v>46</v>
      </c>
      <c r="H483">
        <v>3935</v>
      </c>
      <c r="I483">
        <v>1395</v>
      </c>
      <c r="J483">
        <v>2540</v>
      </c>
      <c r="K483" t="s">
        <v>88</v>
      </c>
      <c r="L483" t="s">
        <v>32</v>
      </c>
      <c r="M483">
        <v>11</v>
      </c>
      <c r="N483" t="s">
        <v>74</v>
      </c>
      <c r="O483" s="6">
        <f t="shared" ca="1" si="7"/>
        <v>45671</v>
      </c>
      <c r="P483">
        <v>4.9000000000000004</v>
      </c>
    </row>
    <row r="484" spans="1:16" x14ac:dyDescent="0.3">
      <c r="A484" t="s">
        <v>801</v>
      </c>
      <c r="B484" t="s">
        <v>647</v>
      </c>
      <c r="C484" t="s">
        <v>18</v>
      </c>
      <c r="D484">
        <v>48</v>
      </c>
      <c r="E484" t="s">
        <v>44</v>
      </c>
      <c r="F484" t="s">
        <v>38</v>
      </c>
      <c r="G484" t="s">
        <v>39</v>
      </c>
      <c r="H484">
        <v>7359</v>
      </c>
      <c r="I484">
        <v>4804</v>
      </c>
      <c r="J484">
        <v>2555</v>
      </c>
      <c r="K484" t="s">
        <v>31</v>
      </c>
      <c r="L484" t="s">
        <v>47</v>
      </c>
      <c r="M484">
        <v>2</v>
      </c>
      <c r="N484" t="s">
        <v>40</v>
      </c>
      <c r="O484" s="6">
        <f t="shared" ca="1" si="7"/>
        <v>45934</v>
      </c>
      <c r="P484">
        <v>1.8</v>
      </c>
    </row>
    <row r="485" spans="1:16" x14ac:dyDescent="0.3">
      <c r="A485" t="s">
        <v>802</v>
      </c>
      <c r="B485" t="s">
        <v>304</v>
      </c>
      <c r="C485" t="s">
        <v>27</v>
      </c>
      <c r="D485">
        <v>61</v>
      </c>
      <c r="E485" t="s">
        <v>63</v>
      </c>
      <c r="F485" t="s">
        <v>91</v>
      </c>
      <c r="G485" t="s">
        <v>126</v>
      </c>
      <c r="H485">
        <v>6645</v>
      </c>
      <c r="I485">
        <v>5492</v>
      </c>
      <c r="J485">
        <v>1153</v>
      </c>
      <c r="K485" t="s">
        <v>22</v>
      </c>
      <c r="L485" t="s">
        <v>47</v>
      </c>
      <c r="M485">
        <v>4</v>
      </c>
      <c r="N485" t="s">
        <v>24</v>
      </c>
      <c r="O485" s="6">
        <f t="shared" ca="1" si="7"/>
        <v>45988</v>
      </c>
      <c r="P485">
        <v>4.7</v>
      </c>
    </row>
    <row r="486" spans="1:16" x14ac:dyDescent="0.3">
      <c r="A486" t="s">
        <v>803</v>
      </c>
      <c r="B486" t="s">
        <v>718</v>
      </c>
      <c r="C486" t="s">
        <v>77</v>
      </c>
      <c r="D486">
        <v>34</v>
      </c>
      <c r="E486" t="s">
        <v>44</v>
      </c>
      <c r="F486" t="s">
        <v>64</v>
      </c>
      <c r="G486" t="s">
        <v>73</v>
      </c>
      <c r="H486">
        <v>2439</v>
      </c>
      <c r="I486">
        <v>872</v>
      </c>
      <c r="J486">
        <v>1567</v>
      </c>
      <c r="K486" t="s">
        <v>59</v>
      </c>
      <c r="L486" t="s">
        <v>23</v>
      </c>
      <c r="M486">
        <v>13</v>
      </c>
      <c r="N486" t="s">
        <v>33</v>
      </c>
      <c r="O486" s="6">
        <f t="shared" ca="1" si="7"/>
        <v>45768</v>
      </c>
      <c r="P486">
        <v>4.3</v>
      </c>
    </row>
    <row r="487" spans="1:16" x14ac:dyDescent="0.3">
      <c r="A487" t="s">
        <v>804</v>
      </c>
      <c r="B487" t="s">
        <v>732</v>
      </c>
      <c r="C487" t="s">
        <v>77</v>
      </c>
      <c r="D487">
        <v>40</v>
      </c>
      <c r="E487" t="s">
        <v>72</v>
      </c>
      <c r="F487" t="s">
        <v>29</v>
      </c>
      <c r="G487" t="s">
        <v>92</v>
      </c>
      <c r="H487">
        <v>3378</v>
      </c>
      <c r="I487">
        <v>3153</v>
      </c>
      <c r="J487">
        <v>225</v>
      </c>
      <c r="K487" t="s">
        <v>31</v>
      </c>
      <c r="L487" t="s">
        <v>47</v>
      </c>
      <c r="M487">
        <v>6</v>
      </c>
      <c r="N487" t="s">
        <v>95</v>
      </c>
      <c r="O487" s="6">
        <f t="shared" ca="1" si="7"/>
        <v>45855</v>
      </c>
      <c r="P487">
        <v>3.1</v>
      </c>
    </row>
    <row r="488" spans="1:16" x14ac:dyDescent="0.3">
      <c r="A488" t="s">
        <v>805</v>
      </c>
      <c r="B488" t="s">
        <v>21</v>
      </c>
      <c r="C488" t="s">
        <v>129</v>
      </c>
      <c r="D488">
        <v>33</v>
      </c>
      <c r="E488" t="s">
        <v>57</v>
      </c>
      <c r="F488" t="s">
        <v>38</v>
      </c>
      <c r="G488" t="s">
        <v>104</v>
      </c>
      <c r="H488">
        <v>4732</v>
      </c>
      <c r="I488">
        <v>4387</v>
      </c>
      <c r="J488">
        <v>345</v>
      </c>
      <c r="K488" t="s">
        <v>88</v>
      </c>
      <c r="L488" t="s">
        <v>23</v>
      </c>
      <c r="M488">
        <v>8</v>
      </c>
      <c r="N488" t="s">
        <v>193</v>
      </c>
      <c r="O488" s="6">
        <f t="shared" ca="1" si="7"/>
        <v>45805</v>
      </c>
      <c r="P488">
        <v>4.7</v>
      </c>
    </row>
    <row r="489" spans="1:16" x14ac:dyDescent="0.3">
      <c r="A489" t="s">
        <v>806</v>
      </c>
      <c r="B489" t="s">
        <v>251</v>
      </c>
      <c r="C489" t="s">
        <v>43</v>
      </c>
      <c r="D489">
        <v>50</v>
      </c>
      <c r="E489" t="s">
        <v>37</v>
      </c>
      <c r="F489" t="s">
        <v>136</v>
      </c>
      <c r="G489" t="s">
        <v>92</v>
      </c>
      <c r="H489">
        <v>5466</v>
      </c>
      <c r="I489">
        <v>2952</v>
      </c>
      <c r="J489">
        <v>2514</v>
      </c>
      <c r="K489" t="s">
        <v>22</v>
      </c>
      <c r="L489" t="s">
        <v>23</v>
      </c>
      <c r="M489">
        <v>6</v>
      </c>
      <c r="N489" t="s">
        <v>74</v>
      </c>
      <c r="O489" s="6">
        <f t="shared" ca="1" si="7"/>
        <v>45721</v>
      </c>
      <c r="P489">
        <v>4</v>
      </c>
    </row>
    <row r="490" spans="1:16" x14ac:dyDescent="0.3">
      <c r="A490" t="s">
        <v>807</v>
      </c>
      <c r="B490" t="s">
        <v>808</v>
      </c>
      <c r="C490" t="s">
        <v>43</v>
      </c>
      <c r="D490">
        <v>43</v>
      </c>
      <c r="E490" t="s">
        <v>87</v>
      </c>
      <c r="F490" t="s">
        <v>20</v>
      </c>
      <c r="G490" t="s">
        <v>39</v>
      </c>
      <c r="H490">
        <v>2344</v>
      </c>
      <c r="I490">
        <v>755</v>
      </c>
      <c r="J490">
        <v>1589</v>
      </c>
      <c r="K490" t="s">
        <v>59</v>
      </c>
      <c r="L490" t="s">
        <v>47</v>
      </c>
      <c r="M490">
        <v>5</v>
      </c>
      <c r="N490" t="s">
        <v>40</v>
      </c>
      <c r="O490" s="6">
        <f t="shared" ca="1" si="7"/>
        <v>45879</v>
      </c>
      <c r="P490">
        <v>2.5</v>
      </c>
    </row>
    <row r="491" spans="1:16" x14ac:dyDescent="0.3">
      <c r="A491" t="s">
        <v>809</v>
      </c>
      <c r="B491" t="s">
        <v>668</v>
      </c>
      <c r="C491" t="s">
        <v>103</v>
      </c>
      <c r="D491">
        <v>32</v>
      </c>
      <c r="E491" t="s">
        <v>44</v>
      </c>
      <c r="F491" t="s">
        <v>98</v>
      </c>
      <c r="G491" t="s">
        <v>39</v>
      </c>
      <c r="H491">
        <v>7765</v>
      </c>
      <c r="I491">
        <v>6277</v>
      </c>
      <c r="J491">
        <v>1488</v>
      </c>
      <c r="K491" t="s">
        <v>88</v>
      </c>
      <c r="L491" t="s">
        <v>47</v>
      </c>
      <c r="M491">
        <v>5</v>
      </c>
      <c r="N491" t="s">
        <v>48</v>
      </c>
      <c r="O491" s="6">
        <f t="shared" ca="1" si="7"/>
        <v>45709</v>
      </c>
      <c r="P491">
        <v>3.2</v>
      </c>
    </row>
    <row r="492" spans="1:16" x14ac:dyDescent="0.3">
      <c r="A492" t="s">
        <v>810</v>
      </c>
      <c r="B492" t="s">
        <v>343</v>
      </c>
      <c r="C492" t="s">
        <v>56</v>
      </c>
      <c r="D492">
        <v>40</v>
      </c>
      <c r="E492" t="s">
        <v>19</v>
      </c>
      <c r="F492" t="s">
        <v>29</v>
      </c>
      <c r="G492" t="s">
        <v>39</v>
      </c>
      <c r="H492">
        <v>2592</v>
      </c>
      <c r="I492">
        <v>1933</v>
      </c>
      <c r="J492">
        <v>659</v>
      </c>
      <c r="K492" t="s">
        <v>88</v>
      </c>
      <c r="L492" t="s">
        <v>23</v>
      </c>
      <c r="M492">
        <v>1</v>
      </c>
      <c r="N492" t="s">
        <v>33</v>
      </c>
      <c r="O492" s="6">
        <f t="shared" ca="1" si="7"/>
        <v>45999</v>
      </c>
      <c r="P492">
        <v>3.9</v>
      </c>
    </row>
    <row r="493" spans="1:16" x14ac:dyDescent="0.3">
      <c r="A493" t="s">
        <v>811</v>
      </c>
      <c r="B493" t="s">
        <v>510</v>
      </c>
      <c r="C493" t="s">
        <v>56</v>
      </c>
      <c r="D493">
        <v>53</v>
      </c>
      <c r="E493" t="s">
        <v>78</v>
      </c>
      <c r="F493" t="s">
        <v>52</v>
      </c>
      <c r="G493" t="s">
        <v>58</v>
      </c>
      <c r="H493">
        <v>6804</v>
      </c>
      <c r="I493">
        <v>4460</v>
      </c>
      <c r="J493">
        <v>2344</v>
      </c>
      <c r="K493" t="s">
        <v>31</v>
      </c>
      <c r="L493" t="s">
        <v>47</v>
      </c>
      <c r="M493">
        <v>6</v>
      </c>
      <c r="N493" t="s">
        <v>193</v>
      </c>
      <c r="O493" s="6">
        <f t="shared" ca="1" si="7"/>
        <v>45962</v>
      </c>
      <c r="P493">
        <v>3.6</v>
      </c>
    </row>
    <row r="494" spans="1:16" x14ac:dyDescent="0.3">
      <c r="A494" t="s">
        <v>812</v>
      </c>
      <c r="B494" t="s">
        <v>71</v>
      </c>
      <c r="C494" t="s">
        <v>36</v>
      </c>
      <c r="D494">
        <v>50</v>
      </c>
      <c r="E494" t="s">
        <v>37</v>
      </c>
      <c r="F494" t="s">
        <v>29</v>
      </c>
      <c r="G494" t="s">
        <v>21</v>
      </c>
      <c r="H494">
        <v>2006</v>
      </c>
      <c r="I494">
        <v>533</v>
      </c>
      <c r="J494">
        <v>1473</v>
      </c>
      <c r="K494" t="s">
        <v>22</v>
      </c>
      <c r="L494" t="s">
        <v>47</v>
      </c>
      <c r="M494">
        <v>5</v>
      </c>
      <c r="N494" t="s">
        <v>40</v>
      </c>
      <c r="O494" s="6">
        <f t="shared" ca="1" si="7"/>
        <v>45912</v>
      </c>
      <c r="P494">
        <v>1.4</v>
      </c>
    </row>
    <row r="495" spans="1:16" x14ac:dyDescent="0.3">
      <c r="A495" t="s">
        <v>813</v>
      </c>
      <c r="B495" t="s">
        <v>814</v>
      </c>
      <c r="C495" t="s">
        <v>36</v>
      </c>
      <c r="D495">
        <v>27</v>
      </c>
      <c r="E495" t="s">
        <v>82</v>
      </c>
      <c r="F495" t="s">
        <v>45</v>
      </c>
      <c r="G495" t="s">
        <v>46</v>
      </c>
      <c r="H495">
        <v>6709</v>
      </c>
      <c r="I495">
        <v>5231</v>
      </c>
      <c r="J495">
        <v>1478</v>
      </c>
      <c r="K495" t="s">
        <v>59</v>
      </c>
      <c r="L495" t="s">
        <v>23</v>
      </c>
      <c r="M495">
        <v>4</v>
      </c>
      <c r="N495" t="s">
        <v>95</v>
      </c>
      <c r="O495" s="6">
        <f t="shared" ca="1" si="7"/>
        <v>45759</v>
      </c>
      <c r="P495">
        <v>4</v>
      </c>
    </row>
    <row r="496" spans="1:16" x14ac:dyDescent="0.3">
      <c r="A496" t="s">
        <v>815</v>
      </c>
      <c r="B496" t="s">
        <v>732</v>
      </c>
      <c r="C496" t="s">
        <v>27</v>
      </c>
      <c r="D496">
        <v>41</v>
      </c>
      <c r="E496" t="s">
        <v>63</v>
      </c>
      <c r="F496" t="s">
        <v>98</v>
      </c>
      <c r="G496" t="s">
        <v>39</v>
      </c>
      <c r="H496">
        <v>2568</v>
      </c>
      <c r="I496">
        <v>1723</v>
      </c>
      <c r="J496">
        <v>845</v>
      </c>
      <c r="K496" t="s">
        <v>31</v>
      </c>
      <c r="L496" t="s">
        <v>47</v>
      </c>
      <c r="M496">
        <v>1</v>
      </c>
      <c r="N496" t="s">
        <v>118</v>
      </c>
      <c r="O496" s="6">
        <f t="shared" ca="1" si="7"/>
        <v>45839</v>
      </c>
      <c r="P496">
        <v>3.3</v>
      </c>
    </row>
    <row r="497" spans="1:16" x14ac:dyDescent="0.3">
      <c r="A497" t="s">
        <v>816</v>
      </c>
      <c r="B497" t="s">
        <v>236</v>
      </c>
      <c r="C497" t="s">
        <v>27</v>
      </c>
      <c r="D497">
        <v>43</v>
      </c>
      <c r="E497" t="s">
        <v>82</v>
      </c>
      <c r="F497" t="s">
        <v>38</v>
      </c>
      <c r="G497" t="s">
        <v>39</v>
      </c>
      <c r="H497">
        <v>3019</v>
      </c>
      <c r="I497">
        <v>1659</v>
      </c>
      <c r="J497">
        <v>1360</v>
      </c>
      <c r="K497" t="s">
        <v>31</v>
      </c>
      <c r="L497" t="s">
        <v>23</v>
      </c>
      <c r="M497">
        <v>3</v>
      </c>
      <c r="N497" t="s">
        <v>53</v>
      </c>
      <c r="O497" s="6">
        <f t="shared" ca="1" si="7"/>
        <v>45930</v>
      </c>
      <c r="P497">
        <v>4.5</v>
      </c>
    </row>
    <row r="498" spans="1:16" x14ac:dyDescent="0.3">
      <c r="A498" t="s">
        <v>817</v>
      </c>
      <c r="B498" t="s">
        <v>638</v>
      </c>
      <c r="C498" t="s">
        <v>56</v>
      </c>
      <c r="D498">
        <v>24</v>
      </c>
      <c r="E498" t="s">
        <v>78</v>
      </c>
      <c r="F498" t="s">
        <v>136</v>
      </c>
      <c r="G498" t="s">
        <v>104</v>
      </c>
      <c r="H498">
        <v>6439</v>
      </c>
      <c r="I498">
        <v>6033</v>
      </c>
      <c r="J498">
        <v>406</v>
      </c>
      <c r="K498" t="s">
        <v>88</v>
      </c>
      <c r="L498" t="s">
        <v>47</v>
      </c>
      <c r="M498">
        <v>1</v>
      </c>
      <c r="N498" t="s">
        <v>53</v>
      </c>
      <c r="O498" s="6">
        <f t="shared" ca="1" si="7"/>
        <v>45669</v>
      </c>
      <c r="P498">
        <v>4.7</v>
      </c>
    </row>
    <row r="499" spans="1:16" x14ac:dyDescent="0.3">
      <c r="A499" t="s">
        <v>818</v>
      </c>
      <c r="B499" t="s">
        <v>627</v>
      </c>
      <c r="C499" t="s">
        <v>51</v>
      </c>
      <c r="D499">
        <v>58</v>
      </c>
      <c r="E499" t="s">
        <v>63</v>
      </c>
      <c r="F499" t="s">
        <v>67</v>
      </c>
      <c r="G499" t="s">
        <v>58</v>
      </c>
      <c r="H499">
        <v>4620</v>
      </c>
      <c r="I499">
        <v>3059</v>
      </c>
      <c r="J499">
        <v>1561</v>
      </c>
      <c r="K499" t="s">
        <v>88</v>
      </c>
      <c r="L499" t="s">
        <v>23</v>
      </c>
      <c r="M499">
        <v>12</v>
      </c>
      <c r="N499" t="s">
        <v>74</v>
      </c>
      <c r="O499" s="6">
        <f t="shared" ca="1" si="7"/>
        <v>45850</v>
      </c>
      <c r="P499">
        <v>3</v>
      </c>
    </row>
    <row r="500" spans="1:16" x14ac:dyDescent="0.3">
      <c r="A500" t="s">
        <v>819</v>
      </c>
      <c r="B500" t="s">
        <v>820</v>
      </c>
      <c r="C500" t="s">
        <v>77</v>
      </c>
      <c r="D500">
        <v>65</v>
      </c>
      <c r="E500" t="s">
        <v>63</v>
      </c>
      <c r="F500" t="s">
        <v>98</v>
      </c>
      <c r="G500" t="s">
        <v>104</v>
      </c>
      <c r="H500">
        <v>5881</v>
      </c>
      <c r="I500">
        <v>3042</v>
      </c>
      <c r="J500">
        <v>2839</v>
      </c>
      <c r="K500" t="s">
        <v>59</v>
      </c>
      <c r="L500" t="s">
        <v>32</v>
      </c>
      <c r="M500">
        <v>8</v>
      </c>
      <c r="N500" t="s">
        <v>69</v>
      </c>
      <c r="O500" s="6">
        <f t="shared" ca="1" si="7"/>
        <v>45830</v>
      </c>
      <c r="P500">
        <v>3.5</v>
      </c>
    </row>
    <row r="501" spans="1:16" x14ac:dyDescent="0.3">
      <c r="A501" t="s">
        <v>821</v>
      </c>
      <c r="B501" t="s">
        <v>164</v>
      </c>
      <c r="C501" t="s">
        <v>51</v>
      </c>
      <c r="D501">
        <v>37</v>
      </c>
      <c r="E501" t="s">
        <v>57</v>
      </c>
      <c r="F501" t="s">
        <v>64</v>
      </c>
      <c r="G501" t="s">
        <v>126</v>
      </c>
      <c r="H501">
        <v>9155</v>
      </c>
      <c r="I501">
        <v>6231</v>
      </c>
      <c r="J501">
        <v>2924</v>
      </c>
      <c r="K501" t="s">
        <v>88</v>
      </c>
      <c r="L501" t="s">
        <v>32</v>
      </c>
      <c r="M501">
        <v>14</v>
      </c>
      <c r="N501" t="s">
        <v>95</v>
      </c>
      <c r="O501" s="6">
        <f t="shared" ca="1" si="7"/>
        <v>45884</v>
      </c>
      <c r="P501">
        <v>3.7</v>
      </c>
    </row>
    <row r="502" spans="1:16" x14ac:dyDescent="0.3">
      <c r="A502" t="s">
        <v>822</v>
      </c>
      <c r="B502" t="s">
        <v>346</v>
      </c>
      <c r="C502" t="s">
        <v>56</v>
      </c>
      <c r="D502">
        <v>28</v>
      </c>
      <c r="E502" t="s">
        <v>57</v>
      </c>
      <c r="F502" t="s">
        <v>91</v>
      </c>
      <c r="G502" t="s">
        <v>104</v>
      </c>
      <c r="H502">
        <v>3255</v>
      </c>
      <c r="I502">
        <v>1899</v>
      </c>
      <c r="J502">
        <v>1356</v>
      </c>
      <c r="K502" t="s">
        <v>31</v>
      </c>
      <c r="L502" t="s">
        <v>47</v>
      </c>
      <c r="M502">
        <v>10</v>
      </c>
      <c r="N502" t="s">
        <v>118</v>
      </c>
      <c r="O502" s="6">
        <f t="shared" ca="1" si="7"/>
        <v>45693</v>
      </c>
      <c r="P502">
        <v>3.7</v>
      </c>
    </row>
    <row r="503" spans="1:16" x14ac:dyDescent="0.3">
      <c r="A503" t="s">
        <v>823</v>
      </c>
      <c r="B503" t="s">
        <v>615</v>
      </c>
      <c r="C503" t="s">
        <v>77</v>
      </c>
      <c r="D503">
        <v>41</v>
      </c>
      <c r="E503" t="s">
        <v>82</v>
      </c>
      <c r="F503" t="s">
        <v>98</v>
      </c>
      <c r="G503" t="s">
        <v>39</v>
      </c>
      <c r="H503">
        <v>6952</v>
      </c>
      <c r="I503">
        <v>4864</v>
      </c>
      <c r="J503">
        <v>2088</v>
      </c>
      <c r="K503" t="s">
        <v>59</v>
      </c>
      <c r="L503" t="s">
        <v>23</v>
      </c>
      <c r="M503">
        <v>7</v>
      </c>
      <c r="N503" t="s">
        <v>33</v>
      </c>
      <c r="O503" s="6">
        <f t="shared" ca="1" si="7"/>
        <v>45966</v>
      </c>
      <c r="P503">
        <v>4.0999999999999996</v>
      </c>
    </row>
    <row r="504" spans="1:16" x14ac:dyDescent="0.3">
      <c r="A504" t="s">
        <v>824</v>
      </c>
      <c r="B504" t="s">
        <v>716</v>
      </c>
      <c r="C504" t="s">
        <v>56</v>
      </c>
      <c r="D504">
        <v>45</v>
      </c>
      <c r="E504" t="s">
        <v>87</v>
      </c>
      <c r="F504" t="s">
        <v>38</v>
      </c>
      <c r="G504" t="s">
        <v>30</v>
      </c>
      <c r="H504">
        <v>8805</v>
      </c>
      <c r="I504">
        <v>6185</v>
      </c>
      <c r="J504">
        <v>2620</v>
      </c>
      <c r="K504" t="s">
        <v>31</v>
      </c>
      <c r="L504" t="s">
        <v>47</v>
      </c>
      <c r="M504">
        <v>7</v>
      </c>
      <c r="N504" t="s">
        <v>118</v>
      </c>
      <c r="O504" s="6">
        <f t="shared" ca="1" si="7"/>
        <v>45854</v>
      </c>
      <c r="P504">
        <v>4.4000000000000004</v>
      </c>
    </row>
    <row r="505" spans="1:16" x14ac:dyDescent="0.3">
      <c r="A505" t="s">
        <v>825</v>
      </c>
      <c r="B505" t="s">
        <v>728</v>
      </c>
      <c r="C505" t="s">
        <v>77</v>
      </c>
      <c r="D505">
        <v>57</v>
      </c>
      <c r="E505" t="s">
        <v>63</v>
      </c>
      <c r="F505" t="s">
        <v>98</v>
      </c>
      <c r="G505" t="s">
        <v>79</v>
      </c>
      <c r="H505">
        <v>7479</v>
      </c>
      <c r="I505">
        <v>5383</v>
      </c>
      <c r="J505">
        <v>2096</v>
      </c>
      <c r="K505" t="s">
        <v>68</v>
      </c>
      <c r="L505" t="s">
        <v>23</v>
      </c>
      <c r="M505">
        <v>2</v>
      </c>
      <c r="N505" t="s">
        <v>69</v>
      </c>
      <c r="O505" s="6">
        <f t="shared" ca="1" si="7"/>
        <v>45956</v>
      </c>
      <c r="P505">
        <v>4.0999999999999996</v>
      </c>
    </row>
    <row r="506" spans="1:16" x14ac:dyDescent="0.3">
      <c r="A506" t="s">
        <v>826</v>
      </c>
      <c r="B506" t="s">
        <v>42</v>
      </c>
      <c r="C506" t="s">
        <v>51</v>
      </c>
      <c r="D506">
        <v>27</v>
      </c>
      <c r="E506" t="s">
        <v>44</v>
      </c>
      <c r="F506" t="s">
        <v>64</v>
      </c>
      <c r="G506" t="s">
        <v>58</v>
      </c>
      <c r="H506">
        <v>7390</v>
      </c>
      <c r="I506">
        <v>4549</v>
      </c>
      <c r="J506">
        <v>2841</v>
      </c>
      <c r="K506" t="s">
        <v>31</v>
      </c>
      <c r="L506" t="s">
        <v>23</v>
      </c>
      <c r="M506">
        <v>2</v>
      </c>
      <c r="N506" t="s">
        <v>33</v>
      </c>
      <c r="O506" s="6">
        <f t="shared" ca="1" si="7"/>
        <v>45992</v>
      </c>
      <c r="P506">
        <v>3.9</v>
      </c>
    </row>
    <row r="507" spans="1:16" x14ac:dyDescent="0.3">
      <c r="A507" t="s">
        <v>827</v>
      </c>
      <c r="B507" t="s">
        <v>828</v>
      </c>
      <c r="C507" t="s">
        <v>129</v>
      </c>
      <c r="D507">
        <v>63</v>
      </c>
      <c r="E507" t="s">
        <v>78</v>
      </c>
      <c r="F507" t="s">
        <v>91</v>
      </c>
      <c r="G507" t="s">
        <v>92</v>
      </c>
      <c r="H507">
        <v>4684</v>
      </c>
      <c r="I507">
        <v>2887</v>
      </c>
      <c r="J507">
        <v>1797</v>
      </c>
      <c r="K507" t="s">
        <v>68</v>
      </c>
      <c r="L507" t="s">
        <v>23</v>
      </c>
      <c r="M507">
        <v>8</v>
      </c>
      <c r="N507" t="s">
        <v>33</v>
      </c>
      <c r="O507" s="6">
        <f t="shared" ca="1" si="7"/>
        <v>45974</v>
      </c>
      <c r="P507">
        <v>3.2</v>
      </c>
    </row>
    <row r="508" spans="1:16" x14ac:dyDescent="0.3">
      <c r="A508" t="s">
        <v>829</v>
      </c>
      <c r="B508" t="s">
        <v>123</v>
      </c>
      <c r="C508" t="s">
        <v>18</v>
      </c>
      <c r="D508">
        <v>48</v>
      </c>
      <c r="E508" t="s">
        <v>57</v>
      </c>
      <c r="F508" t="s">
        <v>98</v>
      </c>
      <c r="G508" t="s">
        <v>79</v>
      </c>
      <c r="H508">
        <v>3270</v>
      </c>
      <c r="I508">
        <v>566</v>
      </c>
      <c r="J508">
        <v>2704</v>
      </c>
      <c r="K508" t="s">
        <v>68</v>
      </c>
      <c r="L508" t="s">
        <v>47</v>
      </c>
      <c r="M508">
        <v>3</v>
      </c>
      <c r="N508" t="s">
        <v>40</v>
      </c>
      <c r="O508" s="6">
        <f t="shared" ca="1" si="7"/>
        <v>45881</v>
      </c>
      <c r="P508">
        <v>1.2</v>
      </c>
    </row>
    <row r="509" spans="1:16" x14ac:dyDescent="0.3">
      <c r="A509" t="s">
        <v>830</v>
      </c>
      <c r="B509" t="s">
        <v>174</v>
      </c>
      <c r="C509" t="s">
        <v>27</v>
      </c>
      <c r="D509">
        <v>24</v>
      </c>
      <c r="E509" t="s">
        <v>28</v>
      </c>
      <c r="F509" t="s">
        <v>29</v>
      </c>
      <c r="G509" t="s">
        <v>58</v>
      </c>
      <c r="H509">
        <v>2753</v>
      </c>
      <c r="I509">
        <v>1398</v>
      </c>
      <c r="J509">
        <v>1355</v>
      </c>
      <c r="K509" t="s">
        <v>31</v>
      </c>
      <c r="L509" t="s">
        <v>47</v>
      </c>
      <c r="M509">
        <v>1</v>
      </c>
      <c r="N509" t="s">
        <v>40</v>
      </c>
      <c r="O509" s="6">
        <f t="shared" ca="1" si="7"/>
        <v>45949</v>
      </c>
      <c r="P509">
        <v>2.5</v>
      </c>
    </row>
    <row r="510" spans="1:16" x14ac:dyDescent="0.3">
      <c r="A510" t="s">
        <v>831</v>
      </c>
      <c r="B510" t="s">
        <v>138</v>
      </c>
      <c r="C510" t="s">
        <v>43</v>
      </c>
      <c r="D510">
        <v>45</v>
      </c>
      <c r="E510" t="s">
        <v>37</v>
      </c>
      <c r="F510" t="s">
        <v>64</v>
      </c>
      <c r="G510" t="s">
        <v>73</v>
      </c>
      <c r="H510">
        <v>6030</v>
      </c>
      <c r="I510">
        <v>4965</v>
      </c>
      <c r="J510">
        <v>1065</v>
      </c>
      <c r="K510" t="s">
        <v>31</v>
      </c>
      <c r="L510" t="s">
        <v>23</v>
      </c>
      <c r="M510">
        <v>8</v>
      </c>
      <c r="N510" t="s">
        <v>193</v>
      </c>
      <c r="O510" s="6">
        <f t="shared" ca="1" si="7"/>
        <v>45907</v>
      </c>
      <c r="P510">
        <v>3.4</v>
      </c>
    </row>
    <row r="511" spans="1:16" x14ac:dyDescent="0.3">
      <c r="A511" t="s">
        <v>832</v>
      </c>
      <c r="B511" t="s">
        <v>316</v>
      </c>
      <c r="C511" t="s">
        <v>43</v>
      </c>
      <c r="D511">
        <v>47</v>
      </c>
      <c r="E511" t="s">
        <v>78</v>
      </c>
      <c r="F511" t="s">
        <v>45</v>
      </c>
      <c r="G511" t="s">
        <v>126</v>
      </c>
      <c r="H511">
        <v>1847</v>
      </c>
      <c r="I511">
        <v>1600</v>
      </c>
      <c r="J511">
        <v>247</v>
      </c>
      <c r="K511" t="s">
        <v>88</v>
      </c>
      <c r="L511" t="s">
        <v>32</v>
      </c>
      <c r="M511">
        <v>1</v>
      </c>
      <c r="N511" t="s">
        <v>193</v>
      </c>
      <c r="O511" s="6">
        <f t="shared" ca="1" si="7"/>
        <v>45735</v>
      </c>
      <c r="P511">
        <v>4.2</v>
      </c>
    </row>
    <row r="512" spans="1:16" x14ac:dyDescent="0.3">
      <c r="A512" t="s">
        <v>833</v>
      </c>
      <c r="B512" t="s">
        <v>225</v>
      </c>
      <c r="C512" t="s">
        <v>129</v>
      </c>
      <c r="D512">
        <v>62</v>
      </c>
      <c r="E512" t="s">
        <v>37</v>
      </c>
      <c r="F512" t="s">
        <v>91</v>
      </c>
      <c r="G512" t="s">
        <v>79</v>
      </c>
      <c r="H512">
        <v>6739</v>
      </c>
      <c r="I512">
        <v>3987</v>
      </c>
      <c r="J512">
        <v>2752</v>
      </c>
      <c r="K512" t="s">
        <v>88</v>
      </c>
      <c r="L512" t="s">
        <v>47</v>
      </c>
      <c r="M512">
        <v>9</v>
      </c>
      <c r="N512" t="s">
        <v>48</v>
      </c>
      <c r="O512" s="6">
        <f t="shared" ca="1" si="7"/>
        <v>45694</v>
      </c>
      <c r="P512">
        <v>4.9000000000000004</v>
      </c>
    </row>
    <row r="513" spans="1:16" x14ac:dyDescent="0.3">
      <c r="A513" t="s">
        <v>834</v>
      </c>
      <c r="B513" t="s">
        <v>529</v>
      </c>
      <c r="C513" t="s">
        <v>62</v>
      </c>
      <c r="D513">
        <v>32</v>
      </c>
      <c r="E513" t="s">
        <v>37</v>
      </c>
      <c r="F513" t="s">
        <v>67</v>
      </c>
      <c r="G513" t="s">
        <v>46</v>
      </c>
      <c r="H513">
        <v>7474</v>
      </c>
      <c r="I513">
        <v>5234</v>
      </c>
      <c r="J513">
        <v>2240</v>
      </c>
      <c r="K513" t="s">
        <v>88</v>
      </c>
      <c r="L513" t="s">
        <v>47</v>
      </c>
      <c r="M513">
        <v>4</v>
      </c>
      <c r="N513" t="s">
        <v>74</v>
      </c>
      <c r="O513" s="6">
        <f t="shared" ca="1" si="7"/>
        <v>45723</v>
      </c>
      <c r="P513">
        <v>4.5</v>
      </c>
    </row>
    <row r="514" spans="1:16" x14ac:dyDescent="0.3">
      <c r="A514" t="s">
        <v>835</v>
      </c>
      <c r="B514" t="s">
        <v>455</v>
      </c>
      <c r="C514" t="s">
        <v>43</v>
      </c>
      <c r="D514">
        <v>23</v>
      </c>
      <c r="E514" t="s">
        <v>28</v>
      </c>
      <c r="F514" t="s">
        <v>67</v>
      </c>
      <c r="G514" t="s">
        <v>104</v>
      </c>
      <c r="H514">
        <v>7983</v>
      </c>
      <c r="I514">
        <v>6274</v>
      </c>
      <c r="J514">
        <v>1709</v>
      </c>
      <c r="K514" t="s">
        <v>31</v>
      </c>
      <c r="L514" t="s">
        <v>47</v>
      </c>
      <c r="M514">
        <v>8</v>
      </c>
      <c r="N514" t="s">
        <v>53</v>
      </c>
      <c r="O514" s="6">
        <f t="shared" ca="1" si="7"/>
        <v>45883</v>
      </c>
      <c r="P514">
        <v>4.5999999999999996</v>
      </c>
    </row>
    <row r="515" spans="1:16" x14ac:dyDescent="0.3">
      <c r="A515" t="s">
        <v>836</v>
      </c>
      <c r="B515" t="s">
        <v>837</v>
      </c>
      <c r="C515" t="s">
        <v>27</v>
      </c>
      <c r="D515">
        <v>26</v>
      </c>
      <c r="E515" t="s">
        <v>82</v>
      </c>
      <c r="F515" t="s">
        <v>67</v>
      </c>
      <c r="G515" t="s">
        <v>21</v>
      </c>
      <c r="H515">
        <v>4643</v>
      </c>
      <c r="I515">
        <v>2508</v>
      </c>
      <c r="J515">
        <v>2135</v>
      </c>
      <c r="K515" t="s">
        <v>31</v>
      </c>
      <c r="L515" t="s">
        <v>32</v>
      </c>
      <c r="M515">
        <v>11</v>
      </c>
      <c r="N515" t="s">
        <v>53</v>
      </c>
      <c r="O515" s="6">
        <f t="shared" ref="O515:O578" ca="1" si="8">RANDBETWEEN(DATE(2025,1,1),DATE(2025,12,31))</f>
        <v>45669</v>
      </c>
      <c r="P515">
        <v>3.4</v>
      </c>
    </row>
    <row r="516" spans="1:16" x14ac:dyDescent="0.3">
      <c r="A516" t="s">
        <v>838</v>
      </c>
      <c r="B516" t="s">
        <v>749</v>
      </c>
      <c r="C516" t="s">
        <v>51</v>
      </c>
      <c r="D516">
        <v>24</v>
      </c>
      <c r="E516" t="s">
        <v>57</v>
      </c>
      <c r="F516" t="s">
        <v>29</v>
      </c>
      <c r="G516" t="s">
        <v>46</v>
      </c>
      <c r="H516">
        <v>6399</v>
      </c>
      <c r="I516">
        <v>4340</v>
      </c>
      <c r="J516">
        <v>2059</v>
      </c>
      <c r="K516" t="s">
        <v>88</v>
      </c>
      <c r="L516" t="s">
        <v>32</v>
      </c>
      <c r="M516">
        <v>8</v>
      </c>
      <c r="N516" t="s">
        <v>118</v>
      </c>
      <c r="O516" s="6">
        <f t="shared" ca="1" si="8"/>
        <v>45765</v>
      </c>
      <c r="P516">
        <v>3.7</v>
      </c>
    </row>
    <row r="517" spans="1:16" x14ac:dyDescent="0.3">
      <c r="A517" t="s">
        <v>839</v>
      </c>
      <c r="B517" t="s">
        <v>375</v>
      </c>
      <c r="C517" t="s">
        <v>18</v>
      </c>
      <c r="D517">
        <v>39</v>
      </c>
      <c r="E517" t="s">
        <v>78</v>
      </c>
      <c r="F517" t="s">
        <v>136</v>
      </c>
      <c r="G517" t="s">
        <v>79</v>
      </c>
      <c r="H517">
        <v>8084</v>
      </c>
      <c r="I517">
        <v>6639</v>
      </c>
      <c r="J517">
        <v>1445</v>
      </c>
      <c r="K517" t="s">
        <v>88</v>
      </c>
      <c r="L517" t="s">
        <v>32</v>
      </c>
      <c r="M517">
        <v>10</v>
      </c>
      <c r="N517" t="s">
        <v>116</v>
      </c>
      <c r="O517" s="6">
        <f t="shared" ca="1" si="8"/>
        <v>46022</v>
      </c>
      <c r="P517">
        <v>3.2</v>
      </c>
    </row>
    <row r="518" spans="1:16" x14ac:dyDescent="0.3">
      <c r="A518" t="s">
        <v>840</v>
      </c>
      <c r="B518" t="s">
        <v>820</v>
      </c>
      <c r="C518" t="s">
        <v>51</v>
      </c>
      <c r="D518">
        <v>24</v>
      </c>
      <c r="E518" t="s">
        <v>72</v>
      </c>
      <c r="F518" t="s">
        <v>67</v>
      </c>
      <c r="G518" t="s">
        <v>46</v>
      </c>
      <c r="H518">
        <v>5034</v>
      </c>
      <c r="I518">
        <v>2849</v>
      </c>
      <c r="J518">
        <v>2185</v>
      </c>
      <c r="K518" t="s">
        <v>68</v>
      </c>
      <c r="L518" t="s">
        <v>32</v>
      </c>
      <c r="M518">
        <v>9</v>
      </c>
      <c r="N518" t="s">
        <v>53</v>
      </c>
      <c r="O518" s="6">
        <f t="shared" ca="1" si="8"/>
        <v>45882</v>
      </c>
      <c r="P518">
        <v>4.4000000000000004</v>
      </c>
    </row>
    <row r="519" spans="1:16" x14ac:dyDescent="0.3">
      <c r="A519" t="s">
        <v>841</v>
      </c>
      <c r="B519" t="s">
        <v>683</v>
      </c>
      <c r="C519" t="s">
        <v>18</v>
      </c>
      <c r="D519">
        <v>38</v>
      </c>
      <c r="E519" t="s">
        <v>72</v>
      </c>
      <c r="F519" t="s">
        <v>136</v>
      </c>
      <c r="G519" t="s">
        <v>21</v>
      </c>
      <c r="H519">
        <v>6361</v>
      </c>
      <c r="I519">
        <v>5446</v>
      </c>
      <c r="J519">
        <v>915</v>
      </c>
      <c r="K519" t="s">
        <v>88</v>
      </c>
      <c r="L519" t="s">
        <v>47</v>
      </c>
      <c r="M519">
        <v>5</v>
      </c>
      <c r="N519" t="s">
        <v>40</v>
      </c>
      <c r="O519" s="6">
        <f t="shared" ca="1" si="8"/>
        <v>45908</v>
      </c>
      <c r="P519">
        <v>1.5</v>
      </c>
    </row>
    <row r="520" spans="1:16" x14ac:dyDescent="0.3">
      <c r="A520" t="s">
        <v>842</v>
      </c>
      <c r="B520" t="s">
        <v>375</v>
      </c>
      <c r="C520" t="s">
        <v>129</v>
      </c>
      <c r="D520">
        <v>37</v>
      </c>
      <c r="E520" t="s">
        <v>19</v>
      </c>
      <c r="F520" t="s">
        <v>91</v>
      </c>
      <c r="G520" t="s">
        <v>126</v>
      </c>
      <c r="H520">
        <v>5155</v>
      </c>
      <c r="I520">
        <v>4820</v>
      </c>
      <c r="J520">
        <v>335</v>
      </c>
      <c r="K520" t="s">
        <v>59</v>
      </c>
      <c r="L520" t="s">
        <v>47</v>
      </c>
      <c r="M520">
        <v>2</v>
      </c>
      <c r="N520" t="s">
        <v>193</v>
      </c>
      <c r="O520" s="6">
        <f t="shared" ca="1" si="8"/>
        <v>45884</v>
      </c>
      <c r="P520">
        <v>4.7</v>
      </c>
    </row>
    <row r="521" spans="1:16" x14ac:dyDescent="0.3">
      <c r="A521" t="s">
        <v>843</v>
      </c>
      <c r="B521" t="s">
        <v>392</v>
      </c>
      <c r="C521" t="s">
        <v>103</v>
      </c>
      <c r="D521">
        <v>45</v>
      </c>
      <c r="E521" t="s">
        <v>19</v>
      </c>
      <c r="F521" t="s">
        <v>91</v>
      </c>
      <c r="G521" t="s">
        <v>126</v>
      </c>
      <c r="H521">
        <v>4793</v>
      </c>
      <c r="I521">
        <v>2227</v>
      </c>
      <c r="J521">
        <v>2566</v>
      </c>
      <c r="K521" t="s">
        <v>68</v>
      </c>
      <c r="L521" t="s">
        <v>47</v>
      </c>
      <c r="M521">
        <v>6</v>
      </c>
      <c r="N521" t="s">
        <v>24</v>
      </c>
      <c r="O521" s="6">
        <f t="shared" ca="1" si="8"/>
        <v>46001</v>
      </c>
      <c r="P521">
        <v>4.3</v>
      </c>
    </row>
    <row r="522" spans="1:16" x14ac:dyDescent="0.3">
      <c r="A522" t="s">
        <v>844</v>
      </c>
      <c r="B522" t="s">
        <v>17</v>
      </c>
      <c r="C522" t="s">
        <v>129</v>
      </c>
      <c r="D522">
        <v>50</v>
      </c>
      <c r="E522" t="s">
        <v>37</v>
      </c>
      <c r="F522" t="s">
        <v>91</v>
      </c>
      <c r="G522" t="s">
        <v>39</v>
      </c>
      <c r="H522">
        <v>6782</v>
      </c>
      <c r="I522">
        <v>4401</v>
      </c>
      <c r="J522">
        <v>2381</v>
      </c>
      <c r="K522" t="s">
        <v>68</v>
      </c>
      <c r="L522" t="s">
        <v>47</v>
      </c>
      <c r="M522">
        <v>11</v>
      </c>
      <c r="N522" t="s">
        <v>48</v>
      </c>
      <c r="O522" s="6">
        <f t="shared" ca="1" si="8"/>
        <v>45895</v>
      </c>
      <c r="P522">
        <v>4.8</v>
      </c>
    </row>
    <row r="523" spans="1:16" x14ac:dyDescent="0.3">
      <c r="A523" t="s">
        <v>845</v>
      </c>
      <c r="B523" t="s">
        <v>846</v>
      </c>
      <c r="C523" t="s">
        <v>103</v>
      </c>
      <c r="D523">
        <v>21</v>
      </c>
      <c r="E523" t="s">
        <v>72</v>
      </c>
      <c r="F523" t="s">
        <v>91</v>
      </c>
      <c r="G523" t="s">
        <v>73</v>
      </c>
      <c r="H523">
        <v>7551</v>
      </c>
      <c r="I523">
        <v>6058</v>
      </c>
      <c r="J523">
        <v>1493</v>
      </c>
      <c r="K523" t="s">
        <v>22</v>
      </c>
      <c r="L523" t="s">
        <v>23</v>
      </c>
      <c r="M523">
        <v>5</v>
      </c>
      <c r="N523" t="s">
        <v>40</v>
      </c>
      <c r="O523" s="6">
        <f t="shared" ca="1" si="8"/>
        <v>45708</v>
      </c>
      <c r="P523">
        <v>1.4</v>
      </c>
    </row>
    <row r="524" spans="1:16" x14ac:dyDescent="0.3">
      <c r="A524" t="s">
        <v>847</v>
      </c>
      <c r="B524" t="s">
        <v>341</v>
      </c>
      <c r="C524" t="s">
        <v>43</v>
      </c>
      <c r="D524">
        <v>48</v>
      </c>
      <c r="E524" t="s">
        <v>44</v>
      </c>
      <c r="F524" t="s">
        <v>45</v>
      </c>
      <c r="G524" t="s">
        <v>58</v>
      </c>
      <c r="H524">
        <v>4007</v>
      </c>
      <c r="I524">
        <v>2714</v>
      </c>
      <c r="J524">
        <v>1293</v>
      </c>
      <c r="K524" t="s">
        <v>88</v>
      </c>
      <c r="L524" t="s">
        <v>32</v>
      </c>
      <c r="M524">
        <v>5</v>
      </c>
      <c r="N524" t="s">
        <v>118</v>
      </c>
      <c r="O524" s="6">
        <f t="shared" ca="1" si="8"/>
        <v>45661</v>
      </c>
      <c r="P524">
        <v>4.5</v>
      </c>
    </row>
    <row r="525" spans="1:16" x14ac:dyDescent="0.3">
      <c r="A525" t="s">
        <v>848</v>
      </c>
      <c r="B525" t="s">
        <v>596</v>
      </c>
      <c r="C525" t="s">
        <v>51</v>
      </c>
      <c r="D525">
        <v>33</v>
      </c>
      <c r="E525" t="s">
        <v>82</v>
      </c>
      <c r="F525" t="s">
        <v>38</v>
      </c>
      <c r="G525" t="s">
        <v>126</v>
      </c>
      <c r="H525">
        <v>5509</v>
      </c>
      <c r="I525">
        <v>3066</v>
      </c>
      <c r="J525">
        <v>2443</v>
      </c>
      <c r="K525" t="s">
        <v>88</v>
      </c>
      <c r="L525" t="s">
        <v>32</v>
      </c>
      <c r="M525">
        <v>1</v>
      </c>
      <c r="N525" t="s">
        <v>53</v>
      </c>
      <c r="O525" s="6">
        <f t="shared" ca="1" si="8"/>
        <v>45947</v>
      </c>
      <c r="P525">
        <v>3.3</v>
      </c>
    </row>
    <row r="526" spans="1:16" x14ac:dyDescent="0.3">
      <c r="A526" t="s">
        <v>849</v>
      </c>
      <c r="B526" t="s">
        <v>850</v>
      </c>
      <c r="C526" t="s">
        <v>77</v>
      </c>
      <c r="D526">
        <v>64</v>
      </c>
      <c r="E526" t="s">
        <v>63</v>
      </c>
      <c r="F526" t="s">
        <v>38</v>
      </c>
      <c r="G526" t="s">
        <v>30</v>
      </c>
      <c r="H526">
        <v>7801</v>
      </c>
      <c r="I526">
        <v>6441</v>
      </c>
      <c r="J526">
        <v>1360</v>
      </c>
      <c r="K526" t="s">
        <v>22</v>
      </c>
      <c r="L526" t="s">
        <v>23</v>
      </c>
      <c r="M526">
        <v>1</v>
      </c>
      <c r="N526" t="s">
        <v>24</v>
      </c>
      <c r="O526" s="6">
        <f t="shared" ca="1" si="8"/>
        <v>45707</v>
      </c>
      <c r="P526">
        <v>3.1</v>
      </c>
    </row>
    <row r="527" spans="1:16" x14ac:dyDescent="0.3">
      <c r="A527" t="s">
        <v>851</v>
      </c>
      <c r="B527" t="s">
        <v>369</v>
      </c>
      <c r="C527" t="s">
        <v>62</v>
      </c>
      <c r="D527">
        <v>59</v>
      </c>
      <c r="E527" t="s">
        <v>87</v>
      </c>
      <c r="F527" t="s">
        <v>98</v>
      </c>
      <c r="G527" t="s">
        <v>21</v>
      </c>
      <c r="H527">
        <v>6185</v>
      </c>
      <c r="I527">
        <v>5453</v>
      </c>
      <c r="J527">
        <v>732</v>
      </c>
      <c r="K527" t="s">
        <v>22</v>
      </c>
      <c r="L527" t="s">
        <v>32</v>
      </c>
      <c r="M527">
        <v>13</v>
      </c>
      <c r="N527" t="s">
        <v>118</v>
      </c>
      <c r="O527" s="6">
        <f t="shared" ca="1" si="8"/>
        <v>45823</v>
      </c>
      <c r="P527">
        <v>4.4000000000000004</v>
      </c>
    </row>
    <row r="528" spans="1:16" x14ac:dyDescent="0.3">
      <c r="A528" t="s">
        <v>852</v>
      </c>
      <c r="B528" t="s">
        <v>853</v>
      </c>
      <c r="C528" t="s">
        <v>18</v>
      </c>
      <c r="D528">
        <v>50</v>
      </c>
      <c r="E528" t="s">
        <v>87</v>
      </c>
      <c r="F528" t="s">
        <v>91</v>
      </c>
      <c r="G528" t="s">
        <v>39</v>
      </c>
      <c r="H528">
        <v>8750</v>
      </c>
      <c r="I528">
        <v>6802</v>
      </c>
      <c r="J528">
        <v>1948</v>
      </c>
      <c r="K528" t="s">
        <v>59</v>
      </c>
      <c r="L528" t="s">
        <v>23</v>
      </c>
      <c r="M528">
        <v>11</v>
      </c>
      <c r="N528" t="s">
        <v>95</v>
      </c>
      <c r="O528" s="6">
        <f t="shared" ca="1" si="8"/>
        <v>45896</v>
      </c>
      <c r="P528">
        <v>3.4</v>
      </c>
    </row>
    <row r="529" spans="1:16" x14ac:dyDescent="0.3">
      <c r="A529" t="s">
        <v>854</v>
      </c>
      <c r="B529" t="s">
        <v>656</v>
      </c>
      <c r="C529" t="s">
        <v>36</v>
      </c>
      <c r="D529">
        <v>45</v>
      </c>
      <c r="E529" t="s">
        <v>37</v>
      </c>
      <c r="F529" t="s">
        <v>38</v>
      </c>
      <c r="G529" t="s">
        <v>46</v>
      </c>
      <c r="H529">
        <v>3899</v>
      </c>
      <c r="I529">
        <v>2615</v>
      </c>
      <c r="J529">
        <v>1284</v>
      </c>
      <c r="K529" t="s">
        <v>31</v>
      </c>
      <c r="L529" t="s">
        <v>23</v>
      </c>
      <c r="M529">
        <v>2</v>
      </c>
      <c r="N529" t="s">
        <v>69</v>
      </c>
      <c r="O529" s="6">
        <f t="shared" ca="1" si="8"/>
        <v>45667</v>
      </c>
      <c r="P529">
        <v>3.3</v>
      </c>
    </row>
    <row r="530" spans="1:16" x14ac:dyDescent="0.3">
      <c r="A530" t="s">
        <v>855</v>
      </c>
      <c r="B530" t="s">
        <v>856</v>
      </c>
      <c r="C530" t="s">
        <v>56</v>
      </c>
      <c r="D530">
        <v>27</v>
      </c>
      <c r="E530" t="s">
        <v>78</v>
      </c>
      <c r="F530" t="s">
        <v>29</v>
      </c>
      <c r="G530" t="s">
        <v>73</v>
      </c>
      <c r="H530">
        <v>5003</v>
      </c>
      <c r="I530">
        <v>2289</v>
      </c>
      <c r="J530">
        <v>2714</v>
      </c>
      <c r="K530" t="s">
        <v>22</v>
      </c>
      <c r="L530" t="s">
        <v>47</v>
      </c>
      <c r="M530">
        <v>15</v>
      </c>
      <c r="N530" t="s">
        <v>69</v>
      </c>
      <c r="O530" s="6">
        <f t="shared" ca="1" si="8"/>
        <v>45755</v>
      </c>
      <c r="P530">
        <v>3.6</v>
      </c>
    </row>
    <row r="531" spans="1:16" x14ac:dyDescent="0.3">
      <c r="A531" t="s">
        <v>857</v>
      </c>
      <c r="B531" t="s">
        <v>378</v>
      </c>
      <c r="C531" t="s">
        <v>77</v>
      </c>
      <c r="D531">
        <v>57</v>
      </c>
      <c r="E531" t="s">
        <v>72</v>
      </c>
      <c r="F531" t="s">
        <v>91</v>
      </c>
      <c r="G531" t="s">
        <v>46</v>
      </c>
      <c r="H531">
        <v>5386</v>
      </c>
      <c r="I531">
        <v>4577</v>
      </c>
      <c r="J531">
        <v>809</v>
      </c>
      <c r="K531" t="s">
        <v>88</v>
      </c>
      <c r="L531" t="s">
        <v>47</v>
      </c>
      <c r="M531">
        <v>1</v>
      </c>
      <c r="N531" t="s">
        <v>24</v>
      </c>
      <c r="O531" s="6">
        <f t="shared" ca="1" si="8"/>
        <v>45999</v>
      </c>
      <c r="P531">
        <v>3.5</v>
      </c>
    </row>
    <row r="532" spans="1:16" x14ac:dyDescent="0.3">
      <c r="A532" t="s">
        <v>858</v>
      </c>
      <c r="B532" t="s">
        <v>859</v>
      </c>
      <c r="C532" t="s">
        <v>43</v>
      </c>
      <c r="D532">
        <v>46</v>
      </c>
      <c r="E532" t="s">
        <v>44</v>
      </c>
      <c r="F532" t="s">
        <v>136</v>
      </c>
      <c r="G532" t="s">
        <v>92</v>
      </c>
      <c r="H532">
        <v>8505</v>
      </c>
      <c r="I532">
        <v>6296</v>
      </c>
      <c r="J532">
        <v>2209</v>
      </c>
      <c r="K532" t="s">
        <v>59</v>
      </c>
      <c r="L532" t="s">
        <v>47</v>
      </c>
      <c r="M532">
        <v>7</v>
      </c>
      <c r="N532" t="s">
        <v>53</v>
      </c>
      <c r="O532" s="6">
        <f t="shared" ca="1" si="8"/>
        <v>45704</v>
      </c>
      <c r="P532">
        <v>3.4</v>
      </c>
    </row>
    <row r="533" spans="1:16" x14ac:dyDescent="0.3">
      <c r="A533" t="s">
        <v>860</v>
      </c>
      <c r="B533" t="s">
        <v>535</v>
      </c>
      <c r="C533" t="s">
        <v>56</v>
      </c>
      <c r="D533">
        <v>28</v>
      </c>
      <c r="E533" t="s">
        <v>44</v>
      </c>
      <c r="F533" t="s">
        <v>29</v>
      </c>
      <c r="G533" t="s">
        <v>58</v>
      </c>
      <c r="H533">
        <v>6223</v>
      </c>
      <c r="I533">
        <v>3231</v>
      </c>
      <c r="J533">
        <v>2992</v>
      </c>
      <c r="K533" t="s">
        <v>31</v>
      </c>
      <c r="L533" t="s">
        <v>32</v>
      </c>
      <c r="M533">
        <v>1</v>
      </c>
      <c r="N533" t="s">
        <v>53</v>
      </c>
      <c r="O533" s="6">
        <f t="shared" ca="1" si="8"/>
        <v>45974</v>
      </c>
      <c r="P533">
        <v>4.8</v>
      </c>
    </row>
    <row r="534" spans="1:16" x14ac:dyDescent="0.3">
      <c r="A534" t="s">
        <v>861</v>
      </c>
      <c r="B534" t="s">
        <v>149</v>
      </c>
      <c r="C534" t="s">
        <v>56</v>
      </c>
      <c r="D534">
        <v>39</v>
      </c>
      <c r="E534" t="s">
        <v>19</v>
      </c>
      <c r="F534" t="s">
        <v>20</v>
      </c>
      <c r="G534" t="s">
        <v>92</v>
      </c>
      <c r="H534">
        <v>2595</v>
      </c>
      <c r="I534">
        <v>822</v>
      </c>
      <c r="J534">
        <v>1773</v>
      </c>
      <c r="K534" t="s">
        <v>68</v>
      </c>
      <c r="L534" t="s">
        <v>23</v>
      </c>
      <c r="M534">
        <v>5</v>
      </c>
      <c r="N534" t="s">
        <v>48</v>
      </c>
      <c r="O534" s="6">
        <f t="shared" ca="1" si="8"/>
        <v>45991</v>
      </c>
      <c r="P534">
        <v>3.4</v>
      </c>
    </row>
    <row r="535" spans="1:16" x14ac:dyDescent="0.3">
      <c r="A535" t="s">
        <v>862</v>
      </c>
      <c r="B535" t="s">
        <v>457</v>
      </c>
      <c r="C535" t="s">
        <v>56</v>
      </c>
      <c r="D535">
        <v>33</v>
      </c>
      <c r="E535" t="s">
        <v>78</v>
      </c>
      <c r="F535" t="s">
        <v>136</v>
      </c>
      <c r="G535" t="s">
        <v>30</v>
      </c>
      <c r="H535">
        <v>3335</v>
      </c>
      <c r="I535">
        <v>707</v>
      </c>
      <c r="J535">
        <v>2628</v>
      </c>
      <c r="K535" t="s">
        <v>68</v>
      </c>
      <c r="L535" t="s">
        <v>23</v>
      </c>
      <c r="M535">
        <v>7</v>
      </c>
      <c r="N535" t="s">
        <v>53</v>
      </c>
      <c r="O535" s="6">
        <f t="shared" ca="1" si="8"/>
        <v>45767</v>
      </c>
      <c r="P535">
        <v>3.6</v>
      </c>
    </row>
    <row r="536" spans="1:16" x14ac:dyDescent="0.3">
      <c r="A536" t="s">
        <v>863</v>
      </c>
      <c r="B536" t="s">
        <v>332</v>
      </c>
      <c r="C536" t="s">
        <v>56</v>
      </c>
      <c r="D536">
        <v>22</v>
      </c>
      <c r="E536" t="s">
        <v>28</v>
      </c>
      <c r="F536" t="s">
        <v>38</v>
      </c>
      <c r="G536" t="s">
        <v>46</v>
      </c>
      <c r="H536">
        <v>3641</v>
      </c>
      <c r="I536">
        <v>3266</v>
      </c>
      <c r="J536">
        <v>375</v>
      </c>
      <c r="K536" t="s">
        <v>31</v>
      </c>
      <c r="L536" t="s">
        <v>23</v>
      </c>
      <c r="M536">
        <v>4</v>
      </c>
      <c r="N536" t="s">
        <v>74</v>
      </c>
      <c r="O536" s="6">
        <f t="shared" ca="1" si="8"/>
        <v>45891</v>
      </c>
      <c r="P536">
        <v>4.4000000000000004</v>
      </c>
    </row>
    <row r="537" spans="1:16" x14ac:dyDescent="0.3">
      <c r="A537" t="s">
        <v>864</v>
      </c>
      <c r="B537" t="s">
        <v>505</v>
      </c>
      <c r="C537" t="s">
        <v>51</v>
      </c>
      <c r="D537">
        <v>35</v>
      </c>
      <c r="E537" t="s">
        <v>87</v>
      </c>
      <c r="F537" t="s">
        <v>136</v>
      </c>
      <c r="G537" t="s">
        <v>126</v>
      </c>
      <c r="H537">
        <v>7383</v>
      </c>
      <c r="I537">
        <v>4505</v>
      </c>
      <c r="J537">
        <v>2878</v>
      </c>
      <c r="K537" t="s">
        <v>59</v>
      </c>
      <c r="L537" t="s">
        <v>32</v>
      </c>
      <c r="M537">
        <v>15</v>
      </c>
      <c r="N537" t="s">
        <v>118</v>
      </c>
      <c r="O537" s="6">
        <f t="shared" ca="1" si="8"/>
        <v>46001</v>
      </c>
      <c r="P537">
        <v>3.5</v>
      </c>
    </row>
    <row r="538" spans="1:16" x14ac:dyDescent="0.3">
      <c r="A538" t="s">
        <v>865</v>
      </c>
      <c r="B538" t="s">
        <v>516</v>
      </c>
      <c r="C538" t="s">
        <v>129</v>
      </c>
      <c r="D538">
        <v>61</v>
      </c>
      <c r="E538" t="s">
        <v>28</v>
      </c>
      <c r="F538" t="s">
        <v>45</v>
      </c>
      <c r="G538" t="s">
        <v>21</v>
      </c>
      <c r="H538">
        <v>6940</v>
      </c>
      <c r="I538">
        <v>4237</v>
      </c>
      <c r="J538">
        <v>2703</v>
      </c>
      <c r="K538" t="s">
        <v>22</v>
      </c>
      <c r="L538" t="s">
        <v>47</v>
      </c>
      <c r="M538">
        <v>10</v>
      </c>
      <c r="N538" t="s">
        <v>53</v>
      </c>
      <c r="O538" s="6">
        <f t="shared" ca="1" si="8"/>
        <v>45848</v>
      </c>
      <c r="P538">
        <v>4</v>
      </c>
    </row>
    <row r="539" spans="1:16" x14ac:dyDescent="0.3">
      <c r="A539" t="s">
        <v>866</v>
      </c>
      <c r="B539" t="s">
        <v>249</v>
      </c>
      <c r="C539" t="s">
        <v>51</v>
      </c>
      <c r="D539">
        <v>35</v>
      </c>
      <c r="E539" t="s">
        <v>87</v>
      </c>
      <c r="F539" t="s">
        <v>52</v>
      </c>
      <c r="G539" t="s">
        <v>73</v>
      </c>
      <c r="H539">
        <v>6241</v>
      </c>
      <c r="I539">
        <v>3263</v>
      </c>
      <c r="J539">
        <v>2978</v>
      </c>
      <c r="K539" t="s">
        <v>59</v>
      </c>
      <c r="L539" t="s">
        <v>23</v>
      </c>
      <c r="M539">
        <v>2</v>
      </c>
      <c r="N539" t="s">
        <v>118</v>
      </c>
      <c r="O539" s="6">
        <f t="shared" ca="1" si="8"/>
        <v>45914</v>
      </c>
      <c r="P539">
        <v>4.2</v>
      </c>
    </row>
    <row r="540" spans="1:16" x14ac:dyDescent="0.3">
      <c r="A540" t="s">
        <v>867</v>
      </c>
      <c r="B540" t="s">
        <v>868</v>
      </c>
      <c r="C540" t="s">
        <v>62</v>
      </c>
      <c r="D540">
        <v>23</v>
      </c>
      <c r="E540" t="s">
        <v>44</v>
      </c>
      <c r="F540" t="s">
        <v>20</v>
      </c>
      <c r="G540" t="s">
        <v>58</v>
      </c>
      <c r="H540">
        <v>1711</v>
      </c>
      <c r="I540">
        <v>1017</v>
      </c>
      <c r="J540">
        <v>694</v>
      </c>
      <c r="K540" t="s">
        <v>68</v>
      </c>
      <c r="L540" t="s">
        <v>47</v>
      </c>
      <c r="M540">
        <v>13</v>
      </c>
      <c r="N540" t="s">
        <v>48</v>
      </c>
      <c r="O540" s="6">
        <f t="shared" ca="1" si="8"/>
        <v>45671</v>
      </c>
      <c r="P540">
        <v>3.7</v>
      </c>
    </row>
    <row r="541" spans="1:16" x14ac:dyDescent="0.3">
      <c r="A541" t="s">
        <v>869</v>
      </c>
      <c r="B541" t="s">
        <v>716</v>
      </c>
      <c r="C541" t="s">
        <v>56</v>
      </c>
      <c r="D541">
        <v>36</v>
      </c>
      <c r="E541" t="s">
        <v>44</v>
      </c>
      <c r="F541" t="s">
        <v>136</v>
      </c>
      <c r="G541" t="s">
        <v>126</v>
      </c>
      <c r="H541">
        <v>4107</v>
      </c>
      <c r="I541">
        <v>1318</v>
      </c>
      <c r="J541">
        <v>2789</v>
      </c>
      <c r="K541" t="s">
        <v>88</v>
      </c>
      <c r="L541" t="s">
        <v>47</v>
      </c>
      <c r="M541">
        <v>13</v>
      </c>
      <c r="N541" t="s">
        <v>193</v>
      </c>
      <c r="O541" s="6">
        <f t="shared" ca="1" si="8"/>
        <v>45978</v>
      </c>
      <c r="P541">
        <v>4.3</v>
      </c>
    </row>
    <row r="542" spans="1:16" x14ac:dyDescent="0.3">
      <c r="A542" t="s">
        <v>870</v>
      </c>
      <c r="B542" t="s">
        <v>438</v>
      </c>
      <c r="C542" t="s">
        <v>36</v>
      </c>
      <c r="D542">
        <v>32</v>
      </c>
      <c r="E542" t="s">
        <v>87</v>
      </c>
      <c r="F542" t="s">
        <v>67</v>
      </c>
      <c r="G542" t="s">
        <v>39</v>
      </c>
      <c r="H542">
        <v>6058</v>
      </c>
      <c r="I542">
        <v>3909</v>
      </c>
      <c r="J542">
        <v>2149</v>
      </c>
      <c r="K542" t="s">
        <v>68</v>
      </c>
      <c r="L542" t="s">
        <v>23</v>
      </c>
      <c r="M542">
        <v>4</v>
      </c>
      <c r="N542" t="s">
        <v>193</v>
      </c>
      <c r="O542" s="6">
        <f t="shared" ca="1" si="8"/>
        <v>45937</v>
      </c>
      <c r="P542">
        <v>3.9</v>
      </c>
    </row>
    <row r="543" spans="1:16" x14ac:dyDescent="0.3">
      <c r="A543" t="s">
        <v>871</v>
      </c>
      <c r="B543" t="s">
        <v>872</v>
      </c>
      <c r="C543" t="s">
        <v>103</v>
      </c>
      <c r="D543">
        <v>36</v>
      </c>
      <c r="E543" t="s">
        <v>78</v>
      </c>
      <c r="F543" t="s">
        <v>67</v>
      </c>
      <c r="G543" t="s">
        <v>46</v>
      </c>
      <c r="H543">
        <v>6321</v>
      </c>
      <c r="I543">
        <v>5384</v>
      </c>
      <c r="J543">
        <v>937</v>
      </c>
      <c r="K543" t="s">
        <v>68</v>
      </c>
      <c r="L543" t="s">
        <v>23</v>
      </c>
      <c r="M543">
        <v>10</v>
      </c>
      <c r="N543" t="s">
        <v>53</v>
      </c>
      <c r="O543" s="6">
        <f t="shared" ca="1" si="8"/>
        <v>45696</v>
      </c>
      <c r="P543">
        <v>4.3</v>
      </c>
    </row>
    <row r="544" spans="1:16" x14ac:dyDescent="0.3">
      <c r="A544" t="s">
        <v>873</v>
      </c>
      <c r="B544" t="s">
        <v>426</v>
      </c>
      <c r="C544" t="s">
        <v>36</v>
      </c>
      <c r="D544">
        <v>56</v>
      </c>
      <c r="E544" t="s">
        <v>19</v>
      </c>
      <c r="F544" t="s">
        <v>52</v>
      </c>
      <c r="G544" t="s">
        <v>21</v>
      </c>
      <c r="H544">
        <v>5434</v>
      </c>
      <c r="I544">
        <v>4843</v>
      </c>
      <c r="J544">
        <v>591</v>
      </c>
      <c r="K544" t="s">
        <v>59</v>
      </c>
      <c r="L544" t="s">
        <v>23</v>
      </c>
      <c r="M544">
        <v>14</v>
      </c>
      <c r="N544" t="s">
        <v>74</v>
      </c>
      <c r="O544" s="6">
        <f t="shared" ca="1" si="8"/>
        <v>45716</v>
      </c>
      <c r="P544">
        <v>4.7</v>
      </c>
    </row>
    <row r="545" spans="1:16" x14ac:dyDescent="0.3">
      <c r="A545" t="s">
        <v>874</v>
      </c>
      <c r="B545" t="s">
        <v>108</v>
      </c>
      <c r="C545" t="s">
        <v>62</v>
      </c>
      <c r="D545">
        <v>38</v>
      </c>
      <c r="E545" t="s">
        <v>28</v>
      </c>
      <c r="F545" t="s">
        <v>52</v>
      </c>
      <c r="G545" t="s">
        <v>21</v>
      </c>
      <c r="H545">
        <v>3865</v>
      </c>
      <c r="I545">
        <v>1722</v>
      </c>
      <c r="J545">
        <v>2143</v>
      </c>
      <c r="K545" t="s">
        <v>68</v>
      </c>
      <c r="L545" t="s">
        <v>47</v>
      </c>
      <c r="M545">
        <v>3</v>
      </c>
      <c r="N545" t="s">
        <v>24</v>
      </c>
      <c r="O545" s="6">
        <f t="shared" ca="1" si="8"/>
        <v>45969</v>
      </c>
      <c r="P545">
        <v>3.1</v>
      </c>
    </row>
    <row r="546" spans="1:16" x14ac:dyDescent="0.3">
      <c r="A546" t="s">
        <v>875</v>
      </c>
      <c r="B546" t="s">
        <v>407</v>
      </c>
      <c r="C546" t="s">
        <v>103</v>
      </c>
      <c r="D546">
        <v>37</v>
      </c>
      <c r="E546" t="s">
        <v>57</v>
      </c>
      <c r="F546" t="s">
        <v>67</v>
      </c>
      <c r="G546" t="s">
        <v>104</v>
      </c>
      <c r="H546">
        <v>1481</v>
      </c>
      <c r="I546">
        <v>854</v>
      </c>
      <c r="J546">
        <v>627</v>
      </c>
      <c r="K546" t="s">
        <v>59</v>
      </c>
      <c r="L546" t="s">
        <v>23</v>
      </c>
      <c r="M546">
        <v>15</v>
      </c>
      <c r="N546" t="s">
        <v>74</v>
      </c>
      <c r="O546" s="6">
        <f t="shared" ca="1" si="8"/>
        <v>45874</v>
      </c>
      <c r="P546">
        <v>4.7</v>
      </c>
    </row>
    <row r="547" spans="1:16" x14ac:dyDescent="0.3">
      <c r="A547" t="s">
        <v>876</v>
      </c>
      <c r="B547" t="s">
        <v>877</v>
      </c>
      <c r="C547" t="s">
        <v>27</v>
      </c>
      <c r="D547">
        <v>28</v>
      </c>
      <c r="E547" t="s">
        <v>87</v>
      </c>
      <c r="F547" t="s">
        <v>52</v>
      </c>
      <c r="G547" t="s">
        <v>104</v>
      </c>
      <c r="H547">
        <v>7929</v>
      </c>
      <c r="I547">
        <v>5355</v>
      </c>
      <c r="J547">
        <v>2574</v>
      </c>
      <c r="K547" t="s">
        <v>22</v>
      </c>
      <c r="L547" t="s">
        <v>23</v>
      </c>
      <c r="M547">
        <v>4</v>
      </c>
      <c r="N547" t="s">
        <v>95</v>
      </c>
      <c r="O547" s="6">
        <f t="shared" ca="1" si="8"/>
        <v>45706</v>
      </c>
      <c r="P547">
        <v>3.8</v>
      </c>
    </row>
    <row r="548" spans="1:16" x14ac:dyDescent="0.3">
      <c r="A548" t="s">
        <v>878</v>
      </c>
      <c r="B548" t="s">
        <v>253</v>
      </c>
      <c r="C548" t="s">
        <v>77</v>
      </c>
      <c r="D548">
        <v>36</v>
      </c>
      <c r="E548" t="s">
        <v>37</v>
      </c>
      <c r="F548" t="s">
        <v>52</v>
      </c>
      <c r="G548" t="s">
        <v>73</v>
      </c>
      <c r="H548">
        <v>2808</v>
      </c>
      <c r="I548">
        <v>2307</v>
      </c>
      <c r="J548">
        <v>501</v>
      </c>
      <c r="K548" t="s">
        <v>59</v>
      </c>
      <c r="L548" t="s">
        <v>23</v>
      </c>
      <c r="M548">
        <v>8</v>
      </c>
      <c r="N548" t="s">
        <v>24</v>
      </c>
      <c r="O548" s="6">
        <f t="shared" ca="1" si="8"/>
        <v>45764</v>
      </c>
      <c r="P548">
        <v>4.0999999999999996</v>
      </c>
    </row>
    <row r="549" spans="1:16" x14ac:dyDescent="0.3">
      <c r="A549" t="s">
        <v>879</v>
      </c>
      <c r="B549" t="s">
        <v>287</v>
      </c>
      <c r="C549" t="s">
        <v>51</v>
      </c>
      <c r="D549">
        <v>50</v>
      </c>
      <c r="E549" t="s">
        <v>78</v>
      </c>
      <c r="F549" t="s">
        <v>64</v>
      </c>
      <c r="G549" t="s">
        <v>58</v>
      </c>
      <c r="H549">
        <v>3691</v>
      </c>
      <c r="I549">
        <v>1617</v>
      </c>
      <c r="J549">
        <v>2074</v>
      </c>
      <c r="K549" t="s">
        <v>59</v>
      </c>
      <c r="L549" t="s">
        <v>47</v>
      </c>
      <c r="M549">
        <v>11</v>
      </c>
      <c r="N549" t="s">
        <v>95</v>
      </c>
      <c r="O549" s="6">
        <f t="shared" ca="1" si="8"/>
        <v>45764</v>
      </c>
      <c r="P549">
        <v>3.4</v>
      </c>
    </row>
    <row r="550" spans="1:16" x14ac:dyDescent="0.3">
      <c r="A550" t="s">
        <v>880</v>
      </c>
      <c r="B550" t="s">
        <v>364</v>
      </c>
      <c r="C550" t="s">
        <v>36</v>
      </c>
      <c r="D550">
        <v>65</v>
      </c>
      <c r="E550" t="s">
        <v>44</v>
      </c>
      <c r="F550" t="s">
        <v>136</v>
      </c>
      <c r="G550" t="s">
        <v>39</v>
      </c>
      <c r="H550">
        <v>2273</v>
      </c>
      <c r="I550">
        <v>1618</v>
      </c>
      <c r="J550">
        <v>655</v>
      </c>
      <c r="K550" t="s">
        <v>59</v>
      </c>
      <c r="L550" t="s">
        <v>23</v>
      </c>
      <c r="M550">
        <v>3</v>
      </c>
      <c r="N550" t="s">
        <v>40</v>
      </c>
      <c r="O550" s="6">
        <f t="shared" ca="1" si="8"/>
        <v>45937</v>
      </c>
      <c r="P550">
        <v>2.4</v>
      </c>
    </row>
    <row r="551" spans="1:16" x14ac:dyDescent="0.3">
      <c r="A551" t="s">
        <v>881</v>
      </c>
      <c r="B551" t="s">
        <v>253</v>
      </c>
      <c r="C551" t="s">
        <v>18</v>
      </c>
      <c r="D551">
        <v>59</v>
      </c>
      <c r="E551" t="s">
        <v>78</v>
      </c>
      <c r="F551" t="s">
        <v>67</v>
      </c>
      <c r="G551" t="s">
        <v>126</v>
      </c>
      <c r="H551">
        <v>7699</v>
      </c>
      <c r="I551">
        <v>5235</v>
      </c>
      <c r="J551">
        <v>2464</v>
      </c>
      <c r="K551" t="s">
        <v>31</v>
      </c>
      <c r="L551" t="s">
        <v>32</v>
      </c>
      <c r="M551">
        <v>0</v>
      </c>
      <c r="N551" t="s">
        <v>40</v>
      </c>
      <c r="O551" s="6">
        <f t="shared" ca="1" si="8"/>
        <v>45960</v>
      </c>
      <c r="P551">
        <v>1.7</v>
      </c>
    </row>
    <row r="552" spans="1:16" x14ac:dyDescent="0.3">
      <c r="A552" t="s">
        <v>882</v>
      </c>
      <c r="B552" t="s">
        <v>371</v>
      </c>
      <c r="C552" t="s">
        <v>62</v>
      </c>
      <c r="D552">
        <v>58</v>
      </c>
      <c r="E552" t="s">
        <v>63</v>
      </c>
      <c r="F552" t="s">
        <v>91</v>
      </c>
      <c r="G552" t="s">
        <v>39</v>
      </c>
      <c r="H552">
        <v>2571</v>
      </c>
      <c r="I552">
        <v>618</v>
      </c>
      <c r="J552">
        <v>1953</v>
      </c>
      <c r="K552" t="s">
        <v>88</v>
      </c>
      <c r="L552" t="s">
        <v>23</v>
      </c>
      <c r="M552">
        <v>4</v>
      </c>
      <c r="N552" t="s">
        <v>33</v>
      </c>
      <c r="O552" s="6">
        <f t="shared" ca="1" si="8"/>
        <v>45896</v>
      </c>
      <c r="P552">
        <v>4.5999999999999996</v>
      </c>
    </row>
    <row r="553" spans="1:16" x14ac:dyDescent="0.3">
      <c r="A553" t="s">
        <v>883</v>
      </c>
      <c r="B553" t="s">
        <v>367</v>
      </c>
      <c r="C553" t="s">
        <v>51</v>
      </c>
      <c r="D553">
        <v>30</v>
      </c>
      <c r="E553" t="s">
        <v>44</v>
      </c>
      <c r="F553" t="s">
        <v>136</v>
      </c>
      <c r="G553" t="s">
        <v>73</v>
      </c>
      <c r="H553">
        <v>1226</v>
      </c>
      <c r="I553">
        <v>862</v>
      </c>
      <c r="J553">
        <v>364</v>
      </c>
      <c r="K553" t="s">
        <v>22</v>
      </c>
      <c r="L553" t="s">
        <v>47</v>
      </c>
      <c r="M553">
        <v>5</v>
      </c>
      <c r="N553" t="s">
        <v>40</v>
      </c>
      <c r="O553" s="6">
        <f t="shared" ca="1" si="8"/>
        <v>45945</v>
      </c>
      <c r="P553">
        <v>2.6</v>
      </c>
    </row>
    <row r="554" spans="1:16" x14ac:dyDescent="0.3">
      <c r="A554" t="s">
        <v>884</v>
      </c>
      <c r="B554" t="s">
        <v>800</v>
      </c>
      <c r="C554" t="s">
        <v>103</v>
      </c>
      <c r="D554">
        <v>51</v>
      </c>
      <c r="E554" t="s">
        <v>87</v>
      </c>
      <c r="F554" t="s">
        <v>91</v>
      </c>
      <c r="G554" t="s">
        <v>104</v>
      </c>
      <c r="H554">
        <v>3010</v>
      </c>
      <c r="I554">
        <v>2470</v>
      </c>
      <c r="J554">
        <v>540</v>
      </c>
      <c r="K554" t="s">
        <v>59</v>
      </c>
      <c r="L554" t="s">
        <v>32</v>
      </c>
      <c r="M554">
        <v>1</v>
      </c>
      <c r="N554" t="s">
        <v>48</v>
      </c>
      <c r="O554" s="6">
        <f t="shared" ca="1" si="8"/>
        <v>45697</v>
      </c>
      <c r="P554">
        <v>3.4</v>
      </c>
    </row>
    <row r="555" spans="1:16" x14ac:dyDescent="0.3">
      <c r="A555" t="s">
        <v>885</v>
      </c>
      <c r="B555" t="s">
        <v>589</v>
      </c>
      <c r="C555" t="s">
        <v>62</v>
      </c>
      <c r="D555">
        <v>62</v>
      </c>
      <c r="E555" t="s">
        <v>87</v>
      </c>
      <c r="F555" t="s">
        <v>136</v>
      </c>
      <c r="G555" t="s">
        <v>104</v>
      </c>
      <c r="H555">
        <v>7428</v>
      </c>
      <c r="I555">
        <v>5980</v>
      </c>
      <c r="J555">
        <v>1448</v>
      </c>
      <c r="K555" t="s">
        <v>22</v>
      </c>
      <c r="L555" t="s">
        <v>47</v>
      </c>
      <c r="M555">
        <v>8</v>
      </c>
      <c r="N555" t="s">
        <v>118</v>
      </c>
      <c r="O555" s="6">
        <f t="shared" ca="1" si="8"/>
        <v>45736</v>
      </c>
      <c r="P555">
        <v>4.4000000000000004</v>
      </c>
    </row>
    <row r="556" spans="1:16" x14ac:dyDescent="0.3">
      <c r="A556" t="s">
        <v>886</v>
      </c>
      <c r="B556" t="s">
        <v>147</v>
      </c>
      <c r="C556" t="s">
        <v>129</v>
      </c>
      <c r="D556">
        <v>46</v>
      </c>
      <c r="E556" t="s">
        <v>78</v>
      </c>
      <c r="F556" t="s">
        <v>38</v>
      </c>
      <c r="G556" t="s">
        <v>104</v>
      </c>
      <c r="H556">
        <v>9060</v>
      </c>
      <c r="I556">
        <v>6266</v>
      </c>
      <c r="J556">
        <v>2794</v>
      </c>
      <c r="K556" t="s">
        <v>68</v>
      </c>
      <c r="L556" t="s">
        <v>32</v>
      </c>
      <c r="M556">
        <v>11</v>
      </c>
      <c r="N556" t="s">
        <v>53</v>
      </c>
      <c r="O556" s="6">
        <f t="shared" ca="1" si="8"/>
        <v>45803</v>
      </c>
      <c r="P556">
        <v>4</v>
      </c>
    </row>
    <row r="557" spans="1:16" x14ac:dyDescent="0.3">
      <c r="A557" t="s">
        <v>887</v>
      </c>
      <c r="B557" t="s">
        <v>510</v>
      </c>
      <c r="C557" t="s">
        <v>18</v>
      </c>
      <c r="D557">
        <v>48</v>
      </c>
      <c r="E557" t="s">
        <v>72</v>
      </c>
      <c r="F557" t="s">
        <v>67</v>
      </c>
      <c r="G557" t="s">
        <v>92</v>
      </c>
      <c r="H557">
        <v>6260</v>
      </c>
      <c r="I557">
        <v>5212</v>
      </c>
      <c r="J557">
        <v>1048</v>
      </c>
      <c r="K557" t="s">
        <v>22</v>
      </c>
      <c r="L557" t="s">
        <v>32</v>
      </c>
      <c r="M557">
        <v>2</v>
      </c>
      <c r="N557" t="s">
        <v>118</v>
      </c>
      <c r="O557" s="6">
        <f t="shared" ca="1" si="8"/>
        <v>46007</v>
      </c>
      <c r="P557">
        <v>4.7</v>
      </c>
    </row>
    <row r="558" spans="1:16" x14ac:dyDescent="0.3">
      <c r="A558" t="s">
        <v>888</v>
      </c>
      <c r="B558" t="s">
        <v>430</v>
      </c>
      <c r="C558" t="s">
        <v>43</v>
      </c>
      <c r="D558">
        <v>24</v>
      </c>
      <c r="E558" t="s">
        <v>87</v>
      </c>
      <c r="F558" t="s">
        <v>64</v>
      </c>
      <c r="G558" t="s">
        <v>58</v>
      </c>
      <c r="H558">
        <v>7047</v>
      </c>
      <c r="I558">
        <v>4312</v>
      </c>
      <c r="J558">
        <v>2735</v>
      </c>
      <c r="K558" t="s">
        <v>31</v>
      </c>
      <c r="L558" t="s">
        <v>23</v>
      </c>
      <c r="M558">
        <v>6</v>
      </c>
      <c r="N558" t="s">
        <v>193</v>
      </c>
      <c r="O558" s="6">
        <f t="shared" ca="1" si="8"/>
        <v>45860</v>
      </c>
      <c r="P558">
        <v>4.5999999999999996</v>
      </c>
    </row>
    <row r="559" spans="1:16" x14ac:dyDescent="0.3">
      <c r="A559" t="s">
        <v>889</v>
      </c>
      <c r="B559" t="s">
        <v>336</v>
      </c>
      <c r="C559" t="s">
        <v>62</v>
      </c>
      <c r="D559">
        <v>29</v>
      </c>
      <c r="E559" t="s">
        <v>57</v>
      </c>
      <c r="F559" t="s">
        <v>52</v>
      </c>
      <c r="G559" t="s">
        <v>92</v>
      </c>
      <c r="H559">
        <v>4288</v>
      </c>
      <c r="I559">
        <v>1430</v>
      </c>
      <c r="J559">
        <v>2858</v>
      </c>
      <c r="K559" t="s">
        <v>59</v>
      </c>
      <c r="L559" t="s">
        <v>23</v>
      </c>
      <c r="M559">
        <v>13</v>
      </c>
      <c r="N559" t="s">
        <v>118</v>
      </c>
      <c r="O559" s="6">
        <f t="shared" ca="1" si="8"/>
        <v>45846</v>
      </c>
      <c r="P559">
        <v>3.2</v>
      </c>
    </row>
    <row r="560" spans="1:16" x14ac:dyDescent="0.3">
      <c r="A560" t="s">
        <v>890</v>
      </c>
      <c r="B560" t="s">
        <v>343</v>
      </c>
      <c r="C560" t="s">
        <v>43</v>
      </c>
      <c r="D560">
        <v>38</v>
      </c>
      <c r="E560" t="s">
        <v>82</v>
      </c>
      <c r="F560" t="s">
        <v>64</v>
      </c>
      <c r="G560" t="s">
        <v>39</v>
      </c>
      <c r="H560">
        <v>1405</v>
      </c>
      <c r="I560">
        <v>946</v>
      </c>
      <c r="J560">
        <v>459</v>
      </c>
      <c r="K560" t="s">
        <v>31</v>
      </c>
      <c r="L560" t="s">
        <v>47</v>
      </c>
      <c r="M560">
        <v>8</v>
      </c>
      <c r="N560" t="s">
        <v>69</v>
      </c>
      <c r="O560" s="6">
        <f t="shared" ca="1" si="8"/>
        <v>46021</v>
      </c>
      <c r="P560">
        <v>4.5</v>
      </c>
    </row>
    <row r="561" spans="1:16" x14ac:dyDescent="0.3">
      <c r="A561" t="s">
        <v>891</v>
      </c>
      <c r="B561" t="s">
        <v>203</v>
      </c>
      <c r="C561" t="s">
        <v>27</v>
      </c>
      <c r="D561">
        <v>64</v>
      </c>
      <c r="E561" t="s">
        <v>82</v>
      </c>
      <c r="F561" t="s">
        <v>45</v>
      </c>
      <c r="G561" t="s">
        <v>104</v>
      </c>
      <c r="H561">
        <v>7293</v>
      </c>
      <c r="I561">
        <v>5586</v>
      </c>
      <c r="J561">
        <v>1707</v>
      </c>
      <c r="K561" t="s">
        <v>88</v>
      </c>
      <c r="L561" t="s">
        <v>23</v>
      </c>
      <c r="M561">
        <v>12</v>
      </c>
      <c r="N561" t="s">
        <v>53</v>
      </c>
      <c r="O561" s="6">
        <f t="shared" ca="1" si="8"/>
        <v>45895</v>
      </c>
      <c r="P561">
        <v>3.5</v>
      </c>
    </row>
    <row r="562" spans="1:16" x14ac:dyDescent="0.3">
      <c r="A562" t="s">
        <v>892</v>
      </c>
      <c r="B562" t="s">
        <v>893</v>
      </c>
      <c r="C562" t="s">
        <v>103</v>
      </c>
      <c r="D562">
        <v>32</v>
      </c>
      <c r="E562" t="s">
        <v>72</v>
      </c>
      <c r="F562" t="s">
        <v>98</v>
      </c>
      <c r="G562" t="s">
        <v>21</v>
      </c>
      <c r="H562">
        <v>3179</v>
      </c>
      <c r="I562">
        <v>1849</v>
      </c>
      <c r="J562">
        <v>1330</v>
      </c>
      <c r="K562" t="s">
        <v>59</v>
      </c>
      <c r="L562" t="s">
        <v>32</v>
      </c>
      <c r="M562">
        <v>3</v>
      </c>
      <c r="N562" t="s">
        <v>69</v>
      </c>
      <c r="O562" s="6">
        <f t="shared" ca="1" si="8"/>
        <v>45950</v>
      </c>
      <c r="P562">
        <v>3.9</v>
      </c>
    </row>
    <row r="563" spans="1:16" x14ac:dyDescent="0.3">
      <c r="A563" t="s">
        <v>894</v>
      </c>
      <c r="B563" t="s">
        <v>207</v>
      </c>
      <c r="C563" t="s">
        <v>36</v>
      </c>
      <c r="D563">
        <v>39</v>
      </c>
      <c r="E563" t="s">
        <v>37</v>
      </c>
      <c r="F563" t="s">
        <v>29</v>
      </c>
      <c r="G563" t="s">
        <v>126</v>
      </c>
      <c r="H563">
        <v>6002</v>
      </c>
      <c r="I563">
        <v>4382</v>
      </c>
      <c r="J563">
        <v>1620</v>
      </c>
      <c r="K563" t="s">
        <v>59</v>
      </c>
      <c r="L563" t="s">
        <v>32</v>
      </c>
      <c r="M563">
        <v>12</v>
      </c>
      <c r="N563" t="s">
        <v>24</v>
      </c>
      <c r="O563" s="6">
        <f t="shared" ca="1" si="8"/>
        <v>45714</v>
      </c>
      <c r="P563">
        <v>3.1</v>
      </c>
    </row>
    <row r="564" spans="1:16" x14ac:dyDescent="0.3">
      <c r="A564" t="s">
        <v>895</v>
      </c>
      <c r="B564" t="s">
        <v>438</v>
      </c>
      <c r="C564" t="s">
        <v>62</v>
      </c>
      <c r="D564">
        <v>54</v>
      </c>
      <c r="E564" t="s">
        <v>57</v>
      </c>
      <c r="F564" t="s">
        <v>64</v>
      </c>
      <c r="G564" t="s">
        <v>79</v>
      </c>
      <c r="H564">
        <v>6193</v>
      </c>
      <c r="I564">
        <v>3308</v>
      </c>
      <c r="J564">
        <v>2885</v>
      </c>
      <c r="K564" t="s">
        <v>31</v>
      </c>
      <c r="L564" t="s">
        <v>23</v>
      </c>
      <c r="M564">
        <v>6</v>
      </c>
      <c r="N564" t="s">
        <v>69</v>
      </c>
      <c r="O564" s="6">
        <f t="shared" ca="1" si="8"/>
        <v>45838</v>
      </c>
      <c r="P564">
        <v>3.2</v>
      </c>
    </row>
    <row r="565" spans="1:16" x14ac:dyDescent="0.3">
      <c r="A565" t="s">
        <v>896</v>
      </c>
      <c r="B565" t="s">
        <v>533</v>
      </c>
      <c r="C565" t="s">
        <v>56</v>
      </c>
      <c r="D565">
        <v>40</v>
      </c>
      <c r="E565" t="s">
        <v>44</v>
      </c>
      <c r="F565" t="s">
        <v>20</v>
      </c>
      <c r="G565" t="s">
        <v>39</v>
      </c>
      <c r="H565">
        <v>3170</v>
      </c>
      <c r="I565">
        <v>1906</v>
      </c>
      <c r="J565">
        <v>1264</v>
      </c>
      <c r="K565" t="s">
        <v>59</v>
      </c>
      <c r="L565" t="s">
        <v>47</v>
      </c>
      <c r="M565">
        <v>6</v>
      </c>
      <c r="N565" t="s">
        <v>116</v>
      </c>
      <c r="O565" s="6">
        <f t="shared" ca="1" si="8"/>
        <v>45876</v>
      </c>
      <c r="P565">
        <v>4.3</v>
      </c>
    </row>
    <row r="566" spans="1:16" x14ac:dyDescent="0.3">
      <c r="A566" t="s">
        <v>897</v>
      </c>
      <c r="B566" t="s">
        <v>589</v>
      </c>
      <c r="C566" t="s">
        <v>56</v>
      </c>
      <c r="D566">
        <v>31</v>
      </c>
      <c r="E566" t="s">
        <v>44</v>
      </c>
      <c r="F566" t="s">
        <v>20</v>
      </c>
      <c r="G566" t="s">
        <v>92</v>
      </c>
      <c r="H566">
        <v>3782</v>
      </c>
      <c r="I566">
        <v>2836</v>
      </c>
      <c r="J566">
        <v>946</v>
      </c>
      <c r="K566" t="s">
        <v>59</v>
      </c>
      <c r="L566" t="s">
        <v>47</v>
      </c>
      <c r="M566">
        <v>5</v>
      </c>
      <c r="N566" t="s">
        <v>40</v>
      </c>
      <c r="O566" s="6">
        <f t="shared" ca="1" si="8"/>
        <v>45841</v>
      </c>
      <c r="P566">
        <v>1.4</v>
      </c>
    </row>
    <row r="567" spans="1:16" x14ac:dyDescent="0.3">
      <c r="A567" t="s">
        <v>898</v>
      </c>
      <c r="B567" t="s">
        <v>899</v>
      </c>
      <c r="C567" t="s">
        <v>77</v>
      </c>
      <c r="D567">
        <v>23</v>
      </c>
      <c r="E567" t="s">
        <v>57</v>
      </c>
      <c r="F567" t="s">
        <v>67</v>
      </c>
      <c r="G567" t="s">
        <v>126</v>
      </c>
      <c r="H567">
        <v>5377</v>
      </c>
      <c r="I567">
        <v>4111</v>
      </c>
      <c r="J567">
        <v>1266</v>
      </c>
      <c r="K567" t="s">
        <v>22</v>
      </c>
      <c r="L567" t="s">
        <v>47</v>
      </c>
      <c r="M567">
        <v>4</v>
      </c>
      <c r="N567" t="s">
        <v>74</v>
      </c>
      <c r="O567" s="6">
        <f t="shared" ca="1" si="8"/>
        <v>45800</v>
      </c>
      <c r="P567">
        <v>3.3</v>
      </c>
    </row>
    <row r="568" spans="1:16" x14ac:dyDescent="0.3">
      <c r="A568" t="s">
        <v>900</v>
      </c>
      <c r="B568" t="s">
        <v>209</v>
      </c>
      <c r="C568" t="s">
        <v>129</v>
      </c>
      <c r="D568">
        <v>44</v>
      </c>
      <c r="E568" t="s">
        <v>63</v>
      </c>
      <c r="F568" t="s">
        <v>29</v>
      </c>
      <c r="G568" t="s">
        <v>126</v>
      </c>
      <c r="H568">
        <v>6306</v>
      </c>
      <c r="I568">
        <v>4871</v>
      </c>
      <c r="J568">
        <v>1435</v>
      </c>
      <c r="K568" t="s">
        <v>59</v>
      </c>
      <c r="L568" t="s">
        <v>47</v>
      </c>
      <c r="M568">
        <v>1</v>
      </c>
      <c r="N568" t="s">
        <v>48</v>
      </c>
      <c r="O568" s="6">
        <f t="shared" ca="1" si="8"/>
        <v>45747</v>
      </c>
      <c r="P568">
        <v>4.2</v>
      </c>
    </row>
    <row r="569" spans="1:16" x14ac:dyDescent="0.3">
      <c r="A569" t="s">
        <v>901</v>
      </c>
      <c r="B569" t="s">
        <v>412</v>
      </c>
      <c r="C569" t="s">
        <v>43</v>
      </c>
      <c r="D569">
        <v>30</v>
      </c>
      <c r="E569" t="s">
        <v>28</v>
      </c>
      <c r="F569" t="s">
        <v>29</v>
      </c>
      <c r="G569" t="s">
        <v>92</v>
      </c>
      <c r="H569">
        <v>6064</v>
      </c>
      <c r="I569">
        <v>3213</v>
      </c>
      <c r="J569">
        <v>2851</v>
      </c>
      <c r="K569" t="s">
        <v>59</v>
      </c>
      <c r="L569" t="s">
        <v>32</v>
      </c>
      <c r="M569">
        <v>8</v>
      </c>
      <c r="N569" t="s">
        <v>116</v>
      </c>
      <c r="O569" s="6">
        <f t="shared" ca="1" si="8"/>
        <v>45854</v>
      </c>
      <c r="P569">
        <v>3.7</v>
      </c>
    </row>
    <row r="570" spans="1:16" x14ac:dyDescent="0.3">
      <c r="A570" t="s">
        <v>902</v>
      </c>
      <c r="B570" t="s">
        <v>318</v>
      </c>
      <c r="C570" t="s">
        <v>56</v>
      </c>
      <c r="D570">
        <v>42</v>
      </c>
      <c r="E570" t="s">
        <v>87</v>
      </c>
      <c r="F570" t="s">
        <v>91</v>
      </c>
      <c r="G570" t="s">
        <v>46</v>
      </c>
      <c r="H570">
        <v>4619</v>
      </c>
      <c r="I570">
        <v>1642</v>
      </c>
      <c r="J570">
        <v>2977</v>
      </c>
      <c r="K570" t="s">
        <v>31</v>
      </c>
      <c r="L570" t="s">
        <v>47</v>
      </c>
      <c r="M570">
        <v>5</v>
      </c>
      <c r="N570" t="s">
        <v>24</v>
      </c>
      <c r="O570" s="6">
        <f t="shared" ca="1" si="8"/>
        <v>46008</v>
      </c>
      <c r="P570">
        <v>3.8</v>
      </c>
    </row>
    <row r="571" spans="1:16" x14ac:dyDescent="0.3">
      <c r="A571" t="s">
        <v>903</v>
      </c>
      <c r="B571" t="s">
        <v>564</v>
      </c>
      <c r="C571" t="s">
        <v>43</v>
      </c>
      <c r="D571">
        <v>26</v>
      </c>
      <c r="E571" t="s">
        <v>57</v>
      </c>
      <c r="F571" t="s">
        <v>136</v>
      </c>
      <c r="G571" t="s">
        <v>79</v>
      </c>
      <c r="H571">
        <v>6752</v>
      </c>
      <c r="I571">
        <v>5753</v>
      </c>
      <c r="J571">
        <v>999</v>
      </c>
      <c r="K571" t="s">
        <v>22</v>
      </c>
      <c r="L571" t="s">
        <v>47</v>
      </c>
      <c r="M571">
        <v>4</v>
      </c>
      <c r="N571" t="s">
        <v>116</v>
      </c>
      <c r="O571" s="6">
        <f t="shared" ca="1" si="8"/>
        <v>45763</v>
      </c>
      <c r="P571">
        <v>4.2</v>
      </c>
    </row>
    <row r="572" spans="1:16" x14ac:dyDescent="0.3">
      <c r="A572" t="s">
        <v>904</v>
      </c>
      <c r="B572" t="s">
        <v>336</v>
      </c>
      <c r="C572" t="s">
        <v>56</v>
      </c>
      <c r="D572">
        <v>64</v>
      </c>
      <c r="E572" t="s">
        <v>87</v>
      </c>
      <c r="F572" t="s">
        <v>29</v>
      </c>
      <c r="G572" t="s">
        <v>73</v>
      </c>
      <c r="H572">
        <v>4300</v>
      </c>
      <c r="I572">
        <v>2092</v>
      </c>
      <c r="J572">
        <v>2208</v>
      </c>
      <c r="K572" t="s">
        <v>68</v>
      </c>
      <c r="L572" t="s">
        <v>32</v>
      </c>
      <c r="M572">
        <v>10</v>
      </c>
      <c r="N572" t="s">
        <v>74</v>
      </c>
      <c r="O572" s="6">
        <f t="shared" ca="1" si="8"/>
        <v>45894</v>
      </c>
      <c r="P572">
        <v>3.1</v>
      </c>
    </row>
    <row r="573" spans="1:16" x14ac:dyDescent="0.3">
      <c r="A573" t="s">
        <v>905</v>
      </c>
      <c r="B573" t="s">
        <v>856</v>
      </c>
      <c r="C573" t="s">
        <v>103</v>
      </c>
      <c r="D573">
        <v>44</v>
      </c>
      <c r="E573" t="s">
        <v>37</v>
      </c>
      <c r="F573" t="s">
        <v>38</v>
      </c>
      <c r="G573" t="s">
        <v>46</v>
      </c>
      <c r="H573">
        <v>4443</v>
      </c>
      <c r="I573">
        <v>2831</v>
      </c>
      <c r="J573">
        <v>1612</v>
      </c>
      <c r="K573" t="s">
        <v>59</v>
      </c>
      <c r="L573" t="s">
        <v>47</v>
      </c>
      <c r="M573">
        <v>8</v>
      </c>
      <c r="N573" t="s">
        <v>74</v>
      </c>
      <c r="O573" s="6">
        <f t="shared" ca="1" si="8"/>
        <v>45990</v>
      </c>
      <c r="P573">
        <v>4.4000000000000004</v>
      </c>
    </row>
    <row r="574" spans="1:16" x14ac:dyDescent="0.3">
      <c r="A574" t="s">
        <v>906</v>
      </c>
      <c r="B574" t="s">
        <v>598</v>
      </c>
      <c r="C574" t="s">
        <v>103</v>
      </c>
      <c r="D574">
        <v>49</v>
      </c>
      <c r="E574" t="s">
        <v>72</v>
      </c>
      <c r="F574" t="s">
        <v>20</v>
      </c>
      <c r="G574" t="s">
        <v>73</v>
      </c>
      <c r="H574">
        <v>8364</v>
      </c>
      <c r="I574">
        <v>6468</v>
      </c>
      <c r="J574">
        <v>1896</v>
      </c>
      <c r="K574" t="s">
        <v>59</v>
      </c>
      <c r="L574" t="s">
        <v>47</v>
      </c>
      <c r="M574">
        <v>10</v>
      </c>
      <c r="N574" t="s">
        <v>118</v>
      </c>
      <c r="O574" s="6">
        <f t="shared" ca="1" si="8"/>
        <v>45822</v>
      </c>
      <c r="P574">
        <v>4.3</v>
      </c>
    </row>
    <row r="575" spans="1:16" x14ac:dyDescent="0.3">
      <c r="A575" t="s">
        <v>907</v>
      </c>
      <c r="B575" t="s">
        <v>908</v>
      </c>
      <c r="C575" t="s">
        <v>56</v>
      </c>
      <c r="D575">
        <v>54</v>
      </c>
      <c r="E575" t="s">
        <v>57</v>
      </c>
      <c r="F575" t="s">
        <v>98</v>
      </c>
      <c r="G575" t="s">
        <v>79</v>
      </c>
      <c r="H575">
        <v>8433</v>
      </c>
      <c r="I575">
        <v>6694</v>
      </c>
      <c r="J575">
        <v>1739</v>
      </c>
      <c r="K575" t="s">
        <v>59</v>
      </c>
      <c r="L575" t="s">
        <v>32</v>
      </c>
      <c r="M575">
        <v>7</v>
      </c>
      <c r="N575" t="s">
        <v>116</v>
      </c>
      <c r="O575" s="6">
        <f t="shared" ca="1" si="8"/>
        <v>45733</v>
      </c>
      <c r="P575">
        <v>4.7</v>
      </c>
    </row>
    <row r="576" spans="1:16" x14ac:dyDescent="0.3">
      <c r="A576" t="s">
        <v>909</v>
      </c>
      <c r="B576" t="s">
        <v>533</v>
      </c>
      <c r="C576" t="s">
        <v>51</v>
      </c>
      <c r="D576">
        <v>29</v>
      </c>
      <c r="E576" t="s">
        <v>19</v>
      </c>
      <c r="F576" t="s">
        <v>20</v>
      </c>
      <c r="G576" t="s">
        <v>73</v>
      </c>
      <c r="H576">
        <v>5339</v>
      </c>
      <c r="I576">
        <v>2871</v>
      </c>
      <c r="J576">
        <v>2468</v>
      </c>
      <c r="K576" t="s">
        <v>68</v>
      </c>
      <c r="L576" t="s">
        <v>23</v>
      </c>
      <c r="M576">
        <v>14</v>
      </c>
      <c r="N576" t="s">
        <v>116</v>
      </c>
      <c r="O576" s="6">
        <f t="shared" ca="1" si="8"/>
        <v>45867</v>
      </c>
      <c r="P576">
        <v>3</v>
      </c>
    </row>
    <row r="577" spans="1:16" x14ac:dyDescent="0.3">
      <c r="A577" t="s">
        <v>910</v>
      </c>
      <c r="B577" t="s">
        <v>332</v>
      </c>
      <c r="C577" t="s">
        <v>56</v>
      </c>
      <c r="D577">
        <v>35</v>
      </c>
      <c r="E577" t="s">
        <v>28</v>
      </c>
      <c r="F577" t="s">
        <v>136</v>
      </c>
      <c r="G577" t="s">
        <v>126</v>
      </c>
      <c r="H577">
        <v>4080</v>
      </c>
      <c r="I577">
        <v>2651</v>
      </c>
      <c r="J577">
        <v>1429</v>
      </c>
      <c r="K577" t="s">
        <v>22</v>
      </c>
      <c r="L577" t="s">
        <v>47</v>
      </c>
      <c r="M577">
        <v>5</v>
      </c>
      <c r="N577" t="s">
        <v>40</v>
      </c>
      <c r="O577" s="6">
        <f t="shared" ca="1" si="8"/>
        <v>45868</v>
      </c>
      <c r="P577">
        <v>1.8</v>
      </c>
    </row>
    <row r="578" spans="1:16" x14ac:dyDescent="0.3">
      <c r="A578" t="s">
        <v>911</v>
      </c>
      <c r="B578" t="s">
        <v>912</v>
      </c>
      <c r="C578" t="s">
        <v>129</v>
      </c>
      <c r="D578">
        <v>52</v>
      </c>
      <c r="E578" t="s">
        <v>19</v>
      </c>
      <c r="F578" t="s">
        <v>136</v>
      </c>
      <c r="G578" t="s">
        <v>21</v>
      </c>
      <c r="H578">
        <v>8099</v>
      </c>
      <c r="I578">
        <v>6764</v>
      </c>
      <c r="J578">
        <v>1335</v>
      </c>
      <c r="K578" t="s">
        <v>31</v>
      </c>
      <c r="L578" t="s">
        <v>47</v>
      </c>
      <c r="M578">
        <v>2</v>
      </c>
      <c r="N578" t="s">
        <v>118</v>
      </c>
      <c r="O578" s="6">
        <f t="shared" ca="1" si="8"/>
        <v>45700</v>
      </c>
      <c r="P578">
        <v>3.7</v>
      </c>
    </row>
    <row r="579" spans="1:16" x14ac:dyDescent="0.3">
      <c r="A579" t="s">
        <v>913</v>
      </c>
      <c r="B579" t="s">
        <v>249</v>
      </c>
      <c r="C579" t="s">
        <v>103</v>
      </c>
      <c r="D579">
        <v>37</v>
      </c>
      <c r="E579" t="s">
        <v>63</v>
      </c>
      <c r="F579" t="s">
        <v>98</v>
      </c>
      <c r="G579" t="s">
        <v>58</v>
      </c>
      <c r="H579">
        <v>7254</v>
      </c>
      <c r="I579">
        <v>4698</v>
      </c>
      <c r="J579">
        <v>2556</v>
      </c>
      <c r="K579" t="s">
        <v>22</v>
      </c>
      <c r="L579" t="s">
        <v>32</v>
      </c>
      <c r="M579">
        <v>5</v>
      </c>
      <c r="N579" t="s">
        <v>193</v>
      </c>
      <c r="O579" s="6">
        <f t="shared" ref="O579:O642" ca="1" si="9">RANDBETWEEN(DATE(2025,1,1),DATE(2025,12,31))</f>
        <v>45725</v>
      </c>
      <c r="P579">
        <v>4.3</v>
      </c>
    </row>
    <row r="580" spans="1:16" x14ac:dyDescent="0.3">
      <c r="A580" t="s">
        <v>914</v>
      </c>
      <c r="B580" t="s">
        <v>296</v>
      </c>
      <c r="C580" t="s">
        <v>56</v>
      </c>
      <c r="D580">
        <v>65</v>
      </c>
      <c r="E580" t="s">
        <v>78</v>
      </c>
      <c r="F580" t="s">
        <v>38</v>
      </c>
      <c r="G580" t="s">
        <v>126</v>
      </c>
      <c r="H580">
        <v>2249</v>
      </c>
      <c r="I580">
        <v>933</v>
      </c>
      <c r="J580">
        <v>1316</v>
      </c>
      <c r="K580" t="s">
        <v>68</v>
      </c>
      <c r="L580" t="s">
        <v>47</v>
      </c>
      <c r="M580">
        <v>11</v>
      </c>
      <c r="N580" t="s">
        <v>95</v>
      </c>
      <c r="O580" s="6">
        <f t="shared" ca="1" si="9"/>
        <v>45889</v>
      </c>
      <c r="P580">
        <v>3.2</v>
      </c>
    </row>
    <row r="581" spans="1:16" x14ac:dyDescent="0.3">
      <c r="A581" t="s">
        <v>915</v>
      </c>
      <c r="B581" t="s">
        <v>143</v>
      </c>
      <c r="C581" t="s">
        <v>77</v>
      </c>
      <c r="D581">
        <v>53</v>
      </c>
      <c r="E581" t="s">
        <v>19</v>
      </c>
      <c r="F581" t="s">
        <v>20</v>
      </c>
      <c r="G581" t="s">
        <v>21</v>
      </c>
      <c r="H581">
        <v>6289</v>
      </c>
      <c r="I581">
        <v>5405</v>
      </c>
      <c r="J581">
        <v>884</v>
      </c>
      <c r="K581" t="s">
        <v>68</v>
      </c>
      <c r="L581" t="s">
        <v>32</v>
      </c>
      <c r="M581">
        <v>14</v>
      </c>
      <c r="N581" t="s">
        <v>95</v>
      </c>
      <c r="O581" s="6">
        <f t="shared" ca="1" si="9"/>
        <v>45777</v>
      </c>
      <c r="P581">
        <v>4.8</v>
      </c>
    </row>
    <row r="582" spans="1:16" x14ac:dyDescent="0.3">
      <c r="A582" t="s">
        <v>916</v>
      </c>
      <c r="B582" t="s">
        <v>198</v>
      </c>
      <c r="C582" t="s">
        <v>43</v>
      </c>
      <c r="D582">
        <v>27</v>
      </c>
      <c r="E582" t="s">
        <v>82</v>
      </c>
      <c r="F582" t="s">
        <v>67</v>
      </c>
      <c r="G582" t="s">
        <v>58</v>
      </c>
      <c r="H582">
        <v>1929</v>
      </c>
      <c r="I582">
        <v>1677</v>
      </c>
      <c r="J582">
        <v>252</v>
      </c>
      <c r="K582" t="s">
        <v>88</v>
      </c>
      <c r="L582" t="s">
        <v>32</v>
      </c>
      <c r="M582">
        <v>5</v>
      </c>
      <c r="N582" t="s">
        <v>95</v>
      </c>
      <c r="O582" s="6">
        <f t="shared" ca="1" si="9"/>
        <v>45903</v>
      </c>
      <c r="P582">
        <v>3.6</v>
      </c>
    </row>
    <row r="583" spans="1:16" x14ac:dyDescent="0.3">
      <c r="A583" t="s">
        <v>917</v>
      </c>
      <c r="B583" t="s">
        <v>740</v>
      </c>
      <c r="C583" t="s">
        <v>129</v>
      </c>
      <c r="D583">
        <v>27</v>
      </c>
      <c r="E583" t="s">
        <v>19</v>
      </c>
      <c r="F583" t="s">
        <v>20</v>
      </c>
      <c r="G583" t="s">
        <v>92</v>
      </c>
      <c r="H583">
        <v>3282</v>
      </c>
      <c r="I583">
        <v>2311</v>
      </c>
      <c r="J583">
        <v>971</v>
      </c>
      <c r="K583" t="s">
        <v>31</v>
      </c>
      <c r="L583" t="s">
        <v>23</v>
      </c>
      <c r="M583">
        <v>9</v>
      </c>
      <c r="N583" t="s">
        <v>118</v>
      </c>
      <c r="O583" s="6">
        <f t="shared" ca="1" si="9"/>
        <v>45876</v>
      </c>
      <c r="P583">
        <v>3.9</v>
      </c>
    </row>
    <row r="584" spans="1:16" x14ac:dyDescent="0.3">
      <c r="A584" t="s">
        <v>918</v>
      </c>
      <c r="B584" t="s">
        <v>61</v>
      </c>
      <c r="C584" t="s">
        <v>27</v>
      </c>
      <c r="D584">
        <v>65</v>
      </c>
      <c r="E584" t="s">
        <v>87</v>
      </c>
      <c r="F584" t="s">
        <v>64</v>
      </c>
      <c r="G584" t="s">
        <v>104</v>
      </c>
      <c r="H584">
        <v>1802</v>
      </c>
      <c r="I584">
        <v>1125</v>
      </c>
      <c r="J584">
        <v>677</v>
      </c>
      <c r="K584" t="s">
        <v>68</v>
      </c>
      <c r="L584" t="s">
        <v>23</v>
      </c>
      <c r="M584">
        <v>15</v>
      </c>
      <c r="N584" t="s">
        <v>24</v>
      </c>
      <c r="O584" s="6">
        <f t="shared" ca="1" si="9"/>
        <v>45934</v>
      </c>
      <c r="P584">
        <v>3.4</v>
      </c>
    </row>
    <row r="585" spans="1:16" x14ac:dyDescent="0.3">
      <c r="A585" t="s">
        <v>919</v>
      </c>
      <c r="B585" t="s">
        <v>396</v>
      </c>
      <c r="C585" t="s">
        <v>43</v>
      </c>
      <c r="D585">
        <v>29</v>
      </c>
      <c r="E585" t="s">
        <v>63</v>
      </c>
      <c r="F585" t="s">
        <v>67</v>
      </c>
      <c r="G585" t="s">
        <v>92</v>
      </c>
      <c r="H585">
        <v>8356</v>
      </c>
      <c r="I585">
        <v>6755</v>
      </c>
      <c r="J585">
        <v>1601</v>
      </c>
      <c r="K585" t="s">
        <v>59</v>
      </c>
      <c r="L585" t="s">
        <v>32</v>
      </c>
      <c r="M585">
        <v>5</v>
      </c>
      <c r="N585" t="s">
        <v>24</v>
      </c>
      <c r="O585" s="6">
        <f t="shared" ca="1" si="9"/>
        <v>45852</v>
      </c>
      <c r="P585">
        <v>3</v>
      </c>
    </row>
    <row r="586" spans="1:16" x14ac:dyDescent="0.3">
      <c r="A586" t="s">
        <v>920</v>
      </c>
      <c r="B586" t="s">
        <v>164</v>
      </c>
      <c r="C586" t="s">
        <v>129</v>
      </c>
      <c r="D586">
        <v>65</v>
      </c>
      <c r="E586" t="s">
        <v>19</v>
      </c>
      <c r="F586" t="s">
        <v>45</v>
      </c>
      <c r="G586" t="s">
        <v>126</v>
      </c>
      <c r="H586">
        <v>2952</v>
      </c>
      <c r="I586">
        <v>2219</v>
      </c>
      <c r="J586">
        <v>733</v>
      </c>
      <c r="K586" t="s">
        <v>22</v>
      </c>
      <c r="L586" t="s">
        <v>23</v>
      </c>
      <c r="M586">
        <v>3</v>
      </c>
      <c r="N586" t="s">
        <v>40</v>
      </c>
      <c r="O586" s="6">
        <f t="shared" ca="1" si="9"/>
        <v>45814</v>
      </c>
      <c r="P586">
        <v>2.6</v>
      </c>
    </row>
    <row r="587" spans="1:16" x14ac:dyDescent="0.3">
      <c r="A587" t="s">
        <v>921</v>
      </c>
      <c r="B587" t="s">
        <v>438</v>
      </c>
      <c r="C587" t="s">
        <v>56</v>
      </c>
      <c r="D587">
        <v>48</v>
      </c>
      <c r="E587" t="s">
        <v>28</v>
      </c>
      <c r="F587" t="s">
        <v>52</v>
      </c>
      <c r="G587" t="s">
        <v>21</v>
      </c>
      <c r="H587">
        <v>3670</v>
      </c>
      <c r="I587">
        <v>768</v>
      </c>
      <c r="J587">
        <v>2902</v>
      </c>
      <c r="K587" t="s">
        <v>68</v>
      </c>
      <c r="L587" t="s">
        <v>47</v>
      </c>
      <c r="M587">
        <v>1</v>
      </c>
      <c r="N587" t="s">
        <v>69</v>
      </c>
      <c r="O587" s="6">
        <f t="shared" ca="1" si="9"/>
        <v>45805</v>
      </c>
      <c r="P587">
        <v>3.9</v>
      </c>
    </row>
    <row r="588" spans="1:16" x14ac:dyDescent="0.3">
      <c r="A588" t="s">
        <v>922</v>
      </c>
      <c r="B588" t="s">
        <v>378</v>
      </c>
      <c r="C588" t="s">
        <v>18</v>
      </c>
      <c r="D588">
        <v>63</v>
      </c>
      <c r="E588" t="s">
        <v>28</v>
      </c>
      <c r="F588" t="s">
        <v>98</v>
      </c>
      <c r="G588" t="s">
        <v>21</v>
      </c>
      <c r="H588">
        <v>6470</v>
      </c>
      <c r="I588">
        <v>5429</v>
      </c>
      <c r="J588">
        <v>1041</v>
      </c>
      <c r="K588" t="s">
        <v>68</v>
      </c>
      <c r="L588" t="s">
        <v>23</v>
      </c>
      <c r="M588">
        <v>4</v>
      </c>
      <c r="N588" t="s">
        <v>193</v>
      </c>
      <c r="O588" s="6">
        <f t="shared" ca="1" si="9"/>
        <v>46020</v>
      </c>
      <c r="P588">
        <v>4.2</v>
      </c>
    </row>
    <row r="589" spans="1:16" x14ac:dyDescent="0.3">
      <c r="A589" t="s">
        <v>923</v>
      </c>
      <c r="B589" t="s">
        <v>346</v>
      </c>
      <c r="C589" t="s">
        <v>129</v>
      </c>
      <c r="D589">
        <v>38</v>
      </c>
      <c r="E589" t="s">
        <v>44</v>
      </c>
      <c r="F589" t="s">
        <v>38</v>
      </c>
      <c r="G589" t="s">
        <v>58</v>
      </c>
      <c r="H589">
        <v>4065</v>
      </c>
      <c r="I589">
        <v>1815</v>
      </c>
      <c r="J589">
        <v>2250</v>
      </c>
      <c r="K589" t="s">
        <v>31</v>
      </c>
      <c r="L589" t="s">
        <v>47</v>
      </c>
      <c r="M589">
        <v>10</v>
      </c>
      <c r="N589" t="s">
        <v>33</v>
      </c>
      <c r="O589" s="6">
        <f t="shared" ca="1" si="9"/>
        <v>45666</v>
      </c>
      <c r="P589">
        <v>3.9</v>
      </c>
    </row>
    <row r="590" spans="1:16" x14ac:dyDescent="0.3">
      <c r="A590" t="s">
        <v>924</v>
      </c>
      <c r="B590" t="s">
        <v>893</v>
      </c>
      <c r="C590" t="s">
        <v>51</v>
      </c>
      <c r="D590">
        <v>21</v>
      </c>
      <c r="E590" t="s">
        <v>82</v>
      </c>
      <c r="F590" t="s">
        <v>52</v>
      </c>
      <c r="G590" t="s">
        <v>30</v>
      </c>
      <c r="H590">
        <v>3711</v>
      </c>
      <c r="I590">
        <v>2808</v>
      </c>
      <c r="J590">
        <v>903</v>
      </c>
      <c r="K590" t="s">
        <v>22</v>
      </c>
      <c r="L590" t="s">
        <v>47</v>
      </c>
      <c r="M590">
        <v>4</v>
      </c>
      <c r="N590" t="s">
        <v>40</v>
      </c>
      <c r="O590" s="6">
        <f t="shared" ca="1" si="9"/>
        <v>45903</v>
      </c>
      <c r="P590">
        <v>1.8</v>
      </c>
    </row>
    <row r="591" spans="1:16" x14ac:dyDescent="0.3">
      <c r="A591" t="s">
        <v>925</v>
      </c>
      <c r="B591" t="s">
        <v>287</v>
      </c>
      <c r="C591" t="s">
        <v>27</v>
      </c>
      <c r="D591">
        <v>51</v>
      </c>
      <c r="E591" t="s">
        <v>57</v>
      </c>
      <c r="F591" t="s">
        <v>67</v>
      </c>
      <c r="G591" t="s">
        <v>126</v>
      </c>
      <c r="H591">
        <v>7059</v>
      </c>
      <c r="I591">
        <v>4101</v>
      </c>
      <c r="J591">
        <v>2958</v>
      </c>
      <c r="K591" t="s">
        <v>88</v>
      </c>
      <c r="L591" t="s">
        <v>32</v>
      </c>
      <c r="M591">
        <v>1</v>
      </c>
      <c r="N591" t="s">
        <v>40</v>
      </c>
      <c r="O591" s="6">
        <f t="shared" ca="1" si="9"/>
        <v>45740</v>
      </c>
      <c r="P591">
        <v>2.7</v>
      </c>
    </row>
    <row r="592" spans="1:16" x14ac:dyDescent="0.3">
      <c r="A592" t="s">
        <v>926</v>
      </c>
      <c r="B592" t="s">
        <v>354</v>
      </c>
      <c r="C592" t="s">
        <v>27</v>
      </c>
      <c r="D592">
        <v>35</v>
      </c>
      <c r="E592" t="s">
        <v>37</v>
      </c>
      <c r="F592" t="s">
        <v>98</v>
      </c>
      <c r="G592" t="s">
        <v>58</v>
      </c>
      <c r="H592">
        <v>3620</v>
      </c>
      <c r="I592">
        <v>1512</v>
      </c>
      <c r="J592">
        <v>2108</v>
      </c>
      <c r="K592" t="s">
        <v>68</v>
      </c>
      <c r="L592" t="s">
        <v>47</v>
      </c>
      <c r="M592">
        <v>3</v>
      </c>
      <c r="N592" t="s">
        <v>69</v>
      </c>
      <c r="O592" s="6">
        <f t="shared" ca="1" si="9"/>
        <v>45899</v>
      </c>
      <c r="P592">
        <v>3.5</v>
      </c>
    </row>
    <row r="593" spans="1:16" x14ac:dyDescent="0.3">
      <c r="A593" t="s">
        <v>927</v>
      </c>
      <c r="B593" t="s">
        <v>61</v>
      </c>
      <c r="C593" t="s">
        <v>36</v>
      </c>
      <c r="D593">
        <v>26</v>
      </c>
      <c r="E593" t="s">
        <v>57</v>
      </c>
      <c r="F593" t="s">
        <v>91</v>
      </c>
      <c r="G593" t="s">
        <v>21</v>
      </c>
      <c r="H593">
        <v>5013</v>
      </c>
      <c r="I593">
        <v>3652</v>
      </c>
      <c r="J593">
        <v>1361</v>
      </c>
      <c r="K593" t="s">
        <v>88</v>
      </c>
      <c r="L593" t="s">
        <v>32</v>
      </c>
      <c r="M593">
        <v>12</v>
      </c>
      <c r="N593" t="s">
        <v>116</v>
      </c>
      <c r="O593" s="6">
        <f t="shared" ca="1" si="9"/>
        <v>45890</v>
      </c>
      <c r="P593">
        <v>3.7</v>
      </c>
    </row>
    <row r="594" spans="1:16" x14ac:dyDescent="0.3">
      <c r="A594" t="s">
        <v>928</v>
      </c>
      <c r="B594" t="s">
        <v>929</v>
      </c>
      <c r="C594" t="s">
        <v>103</v>
      </c>
      <c r="D594">
        <v>39</v>
      </c>
      <c r="E594" t="s">
        <v>37</v>
      </c>
      <c r="F594" t="s">
        <v>52</v>
      </c>
      <c r="G594" t="s">
        <v>21</v>
      </c>
      <c r="H594">
        <v>7377</v>
      </c>
      <c r="I594">
        <v>4396</v>
      </c>
      <c r="J594">
        <v>2981</v>
      </c>
      <c r="K594" t="s">
        <v>22</v>
      </c>
      <c r="L594" t="s">
        <v>32</v>
      </c>
      <c r="M594">
        <v>1</v>
      </c>
      <c r="N594" t="s">
        <v>69</v>
      </c>
      <c r="O594" s="6">
        <f t="shared" ca="1" si="9"/>
        <v>45947</v>
      </c>
      <c r="P594">
        <v>3.7</v>
      </c>
    </row>
    <row r="595" spans="1:16" x14ac:dyDescent="0.3">
      <c r="A595" t="s">
        <v>930</v>
      </c>
      <c r="B595" t="s">
        <v>559</v>
      </c>
      <c r="C595" t="s">
        <v>27</v>
      </c>
      <c r="D595">
        <v>63</v>
      </c>
      <c r="E595" t="s">
        <v>87</v>
      </c>
      <c r="F595" t="s">
        <v>98</v>
      </c>
      <c r="G595" t="s">
        <v>126</v>
      </c>
      <c r="H595">
        <v>5574</v>
      </c>
      <c r="I595">
        <v>3734</v>
      </c>
      <c r="J595">
        <v>1840</v>
      </c>
      <c r="K595" t="s">
        <v>68</v>
      </c>
      <c r="L595" t="s">
        <v>47</v>
      </c>
      <c r="M595">
        <v>2</v>
      </c>
      <c r="N595" t="s">
        <v>193</v>
      </c>
      <c r="O595" s="6">
        <f t="shared" ca="1" si="9"/>
        <v>45783</v>
      </c>
      <c r="P595">
        <v>4.4000000000000004</v>
      </c>
    </row>
    <row r="596" spans="1:16" x14ac:dyDescent="0.3">
      <c r="A596" t="s">
        <v>931</v>
      </c>
      <c r="B596" t="s">
        <v>586</v>
      </c>
      <c r="C596" t="s">
        <v>62</v>
      </c>
      <c r="D596">
        <v>59</v>
      </c>
      <c r="E596" t="s">
        <v>37</v>
      </c>
      <c r="F596" t="s">
        <v>98</v>
      </c>
      <c r="G596" t="s">
        <v>30</v>
      </c>
      <c r="H596">
        <v>6223</v>
      </c>
      <c r="I596">
        <v>3979</v>
      </c>
      <c r="J596">
        <v>2244</v>
      </c>
      <c r="K596" t="s">
        <v>68</v>
      </c>
      <c r="L596" t="s">
        <v>23</v>
      </c>
      <c r="M596">
        <v>12</v>
      </c>
      <c r="N596" t="s">
        <v>118</v>
      </c>
      <c r="O596" s="6">
        <f t="shared" ca="1" si="9"/>
        <v>45944</v>
      </c>
      <c r="P596">
        <v>3.6</v>
      </c>
    </row>
    <row r="597" spans="1:16" x14ac:dyDescent="0.3">
      <c r="A597" t="s">
        <v>932</v>
      </c>
      <c r="B597" t="s">
        <v>529</v>
      </c>
      <c r="C597" t="s">
        <v>56</v>
      </c>
      <c r="D597">
        <v>63</v>
      </c>
      <c r="E597" t="s">
        <v>44</v>
      </c>
      <c r="F597" t="s">
        <v>64</v>
      </c>
      <c r="G597" t="s">
        <v>104</v>
      </c>
      <c r="H597">
        <v>6031</v>
      </c>
      <c r="I597">
        <v>4689</v>
      </c>
      <c r="J597">
        <v>1342</v>
      </c>
      <c r="K597" t="s">
        <v>68</v>
      </c>
      <c r="L597" t="s">
        <v>47</v>
      </c>
      <c r="M597">
        <v>8</v>
      </c>
      <c r="N597" t="s">
        <v>53</v>
      </c>
      <c r="O597" s="6">
        <f t="shared" ca="1" si="9"/>
        <v>45684</v>
      </c>
      <c r="P597">
        <v>4.9000000000000004</v>
      </c>
    </row>
    <row r="598" spans="1:16" x14ac:dyDescent="0.3">
      <c r="A598" t="s">
        <v>933</v>
      </c>
      <c r="B598" t="s">
        <v>310</v>
      </c>
      <c r="C598" t="s">
        <v>62</v>
      </c>
      <c r="D598">
        <v>61</v>
      </c>
      <c r="E598" t="s">
        <v>78</v>
      </c>
      <c r="F598" t="s">
        <v>136</v>
      </c>
      <c r="G598" t="s">
        <v>21</v>
      </c>
      <c r="H598">
        <v>6960</v>
      </c>
      <c r="I598">
        <v>6544</v>
      </c>
      <c r="J598">
        <v>416</v>
      </c>
      <c r="K598" t="s">
        <v>88</v>
      </c>
      <c r="L598" t="s">
        <v>47</v>
      </c>
      <c r="M598">
        <v>8</v>
      </c>
      <c r="N598" t="s">
        <v>24</v>
      </c>
      <c r="O598" s="6">
        <f t="shared" ca="1" si="9"/>
        <v>45870</v>
      </c>
      <c r="P598">
        <v>4.8</v>
      </c>
    </row>
    <row r="599" spans="1:16" x14ac:dyDescent="0.3">
      <c r="A599" t="s">
        <v>934</v>
      </c>
      <c r="B599" t="s">
        <v>935</v>
      </c>
      <c r="C599" t="s">
        <v>43</v>
      </c>
      <c r="D599">
        <v>30</v>
      </c>
      <c r="E599" t="s">
        <v>72</v>
      </c>
      <c r="F599" t="s">
        <v>67</v>
      </c>
      <c r="G599" t="s">
        <v>79</v>
      </c>
      <c r="H599">
        <v>1802</v>
      </c>
      <c r="I599">
        <v>1289</v>
      </c>
      <c r="J599">
        <v>513</v>
      </c>
      <c r="K599" t="s">
        <v>59</v>
      </c>
      <c r="L599" t="s">
        <v>47</v>
      </c>
      <c r="M599">
        <v>9</v>
      </c>
      <c r="N599" t="s">
        <v>69</v>
      </c>
      <c r="O599" s="6">
        <f t="shared" ca="1" si="9"/>
        <v>45746</v>
      </c>
      <c r="P599">
        <v>4.5</v>
      </c>
    </row>
    <row r="600" spans="1:16" x14ac:dyDescent="0.3">
      <c r="A600" t="s">
        <v>936</v>
      </c>
      <c r="B600" t="s">
        <v>348</v>
      </c>
      <c r="C600" t="s">
        <v>56</v>
      </c>
      <c r="D600">
        <v>52</v>
      </c>
      <c r="E600" t="s">
        <v>82</v>
      </c>
      <c r="F600" t="s">
        <v>45</v>
      </c>
      <c r="G600" t="s">
        <v>92</v>
      </c>
      <c r="H600">
        <v>5728</v>
      </c>
      <c r="I600">
        <v>3314</v>
      </c>
      <c r="J600">
        <v>2414</v>
      </c>
      <c r="K600" t="s">
        <v>22</v>
      </c>
      <c r="L600" t="s">
        <v>23</v>
      </c>
      <c r="M600">
        <v>13</v>
      </c>
      <c r="N600" t="s">
        <v>24</v>
      </c>
      <c r="O600" s="6">
        <f t="shared" ca="1" si="9"/>
        <v>45692</v>
      </c>
      <c r="P600">
        <v>4.8</v>
      </c>
    </row>
    <row r="601" spans="1:16" x14ac:dyDescent="0.3">
      <c r="A601" t="s">
        <v>937</v>
      </c>
      <c r="B601" t="s">
        <v>559</v>
      </c>
      <c r="C601" t="s">
        <v>43</v>
      </c>
      <c r="D601">
        <v>45</v>
      </c>
      <c r="E601" t="s">
        <v>63</v>
      </c>
      <c r="F601" t="s">
        <v>91</v>
      </c>
      <c r="G601" t="s">
        <v>46</v>
      </c>
      <c r="H601">
        <v>1693</v>
      </c>
      <c r="I601">
        <v>769</v>
      </c>
      <c r="J601">
        <v>924</v>
      </c>
      <c r="K601" t="s">
        <v>59</v>
      </c>
      <c r="L601" t="s">
        <v>47</v>
      </c>
      <c r="M601">
        <v>14</v>
      </c>
      <c r="N601" t="s">
        <v>116</v>
      </c>
      <c r="O601" s="6">
        <f t="shared" ca="1" si="9"/>
        <v>45674</v>
      </c>
      <c r="P601">
        <v>4</v>
      </c>
    </row>
    <row r="602" spans="1:16" x14ac:dyDescent="0.3">
      <c r="A602" t="s">
        <v>938</v>
      </c>
      <c r="B602" t="s">
        <v>736</v>
      </c>
      <c r="C602" t="s">
        <v>129</v>
      </c>
      <c r="D602">
        <v>40</v>
      </c>
      <c r="E602" t="s">
        <v>37</v>
      </c>
      <c r="F602" t="s">
        <v>91</v>
      </c>
      <c r="G602" t="s">
        <v>21</v>
      </c>
      <c r="H602">
        <v>8124</v>
      </c>
      <c r="I602">
        <v>5160</v>
      </c>
      <c r="J602">
        <v>2964</v>
      </c>
      <c r="K602" t="s">
        <v>88</v>
      </c>
      <c r="L602" t="s">
        <v>23</v>
      </c>
      <c r="M602">
        <v>9</v>
      </c>
      <c r="N602" t="s">
        <v>74</v>
      </c>
      <c r="O602" s="6">
        <f t="shared" ca="1" si="9"/>
        <v>45804</v>
      </c>
      <c r="P602">
        <v>3.8</v>
      </c>
    </row>
    <row r="603" spans="1:16" x14ac:dyDescent="0.3">
      <c r="A603" t="s">
        <v>939</v>
      </c>
      <c r="B603" t="s">
        <v>332</v>
      </c>
      <c r="C603" t="s">
        <v>129</v>
      </c>
      <c r="D603">
        <v>53</v>
      </c>
      <c r="E603" t="s">
        <v>28</v>
      </c>
      <c r="F603" t="s">
        <v>64</v>
      </c>
      <c r="G603" t="s">
        <v>39</v>
      </c>
      <c r="H603">
        <v>7172</v>
      </c>
      <c r="I603">
        <v>4552</v>
      </c>
      <c r="J603">
        <v>2620</v>
      </c>
      <c r="K603" t="s">
        <v>68</v>
      </c>
      <c r="L603" t="s">
        <v>23</v>
      </c>
      <c r="M603">
        <v>4</v>
      </c>
      <c r="N603" t="s">
        <v>40</v>
      </c>
      <c r="O603" s="6">
        <f t="shared" ca="1" si="9"/>
        <v>45847</v>
      </c>
      <c r="P603">
        <v>2.5</v>
      </c>
    </row>
    <row r="604" spans="1:16" x14ac:dyDescent="0.3">
      <c r="A604" t="s">
        <v>940</v>
      </c>
      <c r="B604" t="s">
        <v>390</v>
      </c>
      <c r="C604" t="s">
        <v>36</v>
      </c>
      <c r="D604">
        <v>22</v>
      </c>
      <c r="E604" t="s">
        <v>44</v>
      </c>
      <c r="F604" t="s">
        <v>136</v>
      </c>
      <c r="G604" t="s">
        <v>126</v>
      </c>
      <c r="H604">
        <v>5129</v>
      </c>
      <c r="I604">
        <v>3501</v>
      </c>
      <c r="J604">
        <v>1628</v>
      </c>
      <c r="K604" t="s">
        <v>68</v>
      </c>
      <c r="L604" t="s">
        <v>32</v>
      </c>
      <c r="M604">
        <v>10</v>
      </c>
      <c r="N604" t="s">
        <v>24</v>
      </c>
      <c r="O604" s="6">
        <f t="shared" ca="1" si="9"/>
        <v>45719</v>
      </c>
      <c r="P604">
        <v>4.9000000000000004</v>
      </c>
    </row>
    <row r="605" spans="1:16" x14ac:dyDescent="0.3">
      <c r="A605" t="s">
        <v>941</v>
      </c>
      <c r="B605" t="s">
        <v>42</v>
      </c>
      <c r="C605" t="s">
        <v>103</v>
      </c>
      <c r="D605">
        <v>43</v>
      </c>
      <c r="E605" t="s">
        <v>57</v>
      </c>
      <c r="F605" t="s">
        <v>64</v>
      </c>
      <c r="G605" t="s">
        <v>58</v>
      </c>
      <c r="H605">
        <v>3870</v>
      </c>
      <c r="I605">
        <v>962</v>
      </c>
      <c r="J605">
        <v>2908</v>
      </c>
      <c r="K605" t="s">
        <v>22</v>
      </c>
      <c r="L605" t="s">
        <v>23</v>
      </c>
      <c r="M605">
        <v>4</v>
      </c>
      <c r="N605" t="s">
        <v>116</v>
      </c>
      <c r="O605" s="6">
        <f t="shared" ca="1" si="9"/>
        <v>45817</v>
      </c>
      <c r="P605">
        <v>3.8</v>
      </c>
    </row>
    <row r="606" spans="1:16" x14ac:dyDescent="0.3">
      <c r="A606" t="s">
        <v>942</v>
      </c>
      <c r="B606" t="s">
        <v>943</v>
      </c>
      <c r="C606" t="s">
        <v>18</v>
      </c>
      <c r="D606">
        <v>28</v>
      </c>
      <c r="E606" t="s">
        <v>57</v>
      </c>
      <c r="F606" t="s">
        <v>20</v>
      </c>
      <c r="G606" t="s">
        <v>46</v>
      </c>
      <c r="H606">
        <v>6445</v>
      </c>
      <c r="I606">
        <v>4910</v>
      </c>
      <c r="J606">
        <v>1535</v>
      </c>
      <c r="K606" t="s">
        <v>31</v>
      </c>
      <c r="L606" t="s">
        <v>23</v>
      </c>
      <c r="M606">
        <v>11</v>
      </c>
      <c r="N606" t="s">
        <v>48</v>
      </c>
      <c r="O606" s="6">
        <f t="shared" ca="1" si="9"/>
        <v>45928</v>
      </c>
      <c r="P606">
        <v>3.1</v>
      </c>
    </row>
    <row r="607" spans="1:16" x14ac:dyDescent="0.3">
      <c r="A607" t="s">
        <v>944</v>
      </c>
      <c r="B607" t="s">
        <v>409</v>
      </c>
      <c r="C607" t="s">
        <v>36</v>
      </c>
      <c r="D607">
        <v>65</v>
      </c>
      <c r="E607" t="s">
        <v>63</v>
      </c>
      <c r="F607" t="s">
        <v>67</v>
      </c>
      <c r="G607" t="s">
        <v>46</v>
      </c>
      <c r="H607">
        <v>4839</v>
      </c>
      <c r="I607">
        <v>3092</v>
      </c>
      <c r="J607">
        <v>1747</v>
      </c>
      <c r="K607" t="s">
        <v>88</v>
      </c>
      <c r="L607" t="s">
        <v>32</v>
      </c>
      <c r="M607">
        <v>6</v>
      </c>
      <c r="N607" t="s">
        <v>118</v>
      </c>
      <c r="O607" s="6">
        <f t="shared" ca="1" si="9"/>
        <v>45914</v>
      </c>
      <c r="P607">
        <v>4</v>
      </c>
    </row>
    <row r="608" spans="1:16" x14ac:dyDescent="0.3">
      <c r="A608" t="s">
        <v>945</v>
      </c>
      <c r="B608" t="s">
        <v>266</v>
      </c>
      <c r="C608" t="s">
        <v>62</v>
      </c>
      <c r="D608">
        <v>42</v>
      </c>
      <c r="E608" t="s">
        <v>63</v>
      </c>
      <c r="F608" t="s">
        <v>29</v>
      </c>
      <c r="G608" t="s">
        <v>58</v>
      </c>
      <c r="H608">
        <v>4583</v>
      </c>
      <c r="I608">
        <v>1865</v>
      </c>
      <c r="J608">
        <v>2718</v>
      </c>
      <c r="K608" t="s">
        <v>22</v>
      </c>
      <c r="L608" t="s">
        <v>23</v>
      </c>
      <c r="M608">
        <v>7</v>
      </c>
      <c r="N608" t="s">
        <v>33</v>
      </c>
      <c r="O608" s="6">
        <f t="shared" ca="1" si="9"/>
        <v>45861</v>
      </c>
      <c r="P608">
        <v>4.8</v>
      </c>
    </row>
    <row r="609" spans="1:16" x14ac:dyDescent="0.3">
      <c r="A609" t="s">
        <v>946</v>
      </c>
      <c r="B609" t="s">
        <v>97</v>
      </c>
      <c r="C609" t="s">
        <v>18</v>
      </c>
      <c r="D609">
        <v>37</v>
      </c>
      <c r="E609" t="s">
        <v>28</v>
      </c>
      <c r="F609" t="s">
        <v>45</v>
      </c>
      <c r="G609" t="s">
        <v>79</v>
      </c>
      <c r="H609">
        <v>4918</v>
      </c>
      <c r="I609">
        <v>3793</v>
      </c>
      <c r="J609">
        <v>1125</v>
      </c>
      <c r="K609" t="s">
        <v>31</v>
      </c>
      <c r="L609" t="s">
        <v>47</v>
      </c>
      <c r="M609">
        <v>2</v>
      </c>
      <c r="N609" t="s">
        <v>118</v>
      </c>
      <c r="O609" s="6">
        <f t="shared" ca="1" si="9"/>
        <v>45806</v>
      </c>
      <c r="P609">
        <v>4.8</v>
      </c>
    </row>
    <row r="610" spans="1:16" x14ac:dyDescent="0.3">
      <c r="A610" t="s">
        <v>947</v>
      </c>
      <c r="B610" t="s">
        <v>948</v>
      </c>
      <c r="C610" t="s">
        <v>77</v>
      </c>
      <c r="D610">
        <v>57</v>
      </c>
      <c r="E610" t="s">
        <v>82</v>
      </c>
      <c r="F610" t="s">
        <v>91</v>
      </c>
      <c r="G610" t="s">
        <v>73</v>
      </c>
      <c r="H610">
        <v>3840</v>
      </c>
      <c r="I610">
        <v>2218</v>
      </c>
      <c r="J610">
        <v>1622</v>
      </c>
      <c r="K610" t="s">
        <v>68</v>
      </c>
      <c r="L610" t="s">
        <v>47</v>
      </c>
      <c r="M610">
        <v>11</v>
      </c>
      <c r="N610" t="s">
        <v>116</v>
      </c>
      <c r="O610" s="6">
        <f t="shared" ca="1" si="9"/>
        <v>45740</v>
      </c>
      <c r="P610">
        <v>4.9000000000000004</v>
      </c>
    </row>
    <row r="611" spans="1:16" x14ac:dyDescent="0.3">
      <c r="A611" t="s">
        <v>949</v>
      </c>
      <c r="B611" t="s">
        <v>611</v>
      </c>
      <c r="C611" t="s">
        <v>27</v>
      </c>
      <c r="D611">
        <v>41</v>
      </c>
      <c r="E611" t="s">
        <v>19</v>
      </c>
      <c r="F611" t="s">
        <v>64</v>
      </c>
      <c r="G611" t="s">
        <v>73</v>
      </c>
      <c r="H611">
        <v>5317</v>
      </c>
      <c r="I611">
        <v>2558</v>
      </c>
      <c r="J611">
        <v>2759</v>
      </c>
      <c r="K611" t="s">
        <v>22</v>
      </c>
      <c r="L611" t="s">
        <v>23</v>
      </c>
      <c r="M611">
        <v>11</v>
      </c>
      <c r="N611" t="s">
        <v>74</v>
      </c>
      <c r="O611" s="6">
        <f t="shared" ca="1" si="9"/>
        <v>45998</v>
      </c>
      <c r="P611">
        <v>4.9000000000000004</v>
      </c>
    </row>
    <row r="612" spans="1:16" x14ac:dyDescent="0.3">
      <c r="A612" t="s">
        <v>950</v>
      </c>
      <c r="B612" t="s">
        <v>951</v>
      </c>
      <c r="C612" t="s">
        <v>129</v>
      </c>
      <c r="D612">
        <v>57</v>
      </c>
      <c r="E612" t="s">
        <v>63</v>
      </c>
      <c r="F612" t="s">
        <v>52</v>
      </c>
      <c r="G612" t="s">
        <v>104</v>
      </c>
      <c r="H612">
        <v>5506</v>
      </c>
      <c r="I612">
        <v>2694</v>
      </c>
      <c r="J612">
        <v>2812</v>
      </c>
      <c r="K612" t="s">
        <v>22</v>
      </c>
      <c r="L612" t="s">
        <v>47</v>
      </c>
      <c r="M612">
        <v>10</v>
      </c>
      <c r="N612" t="s">
        <v>48</v>
      </c>
      <c r="O612" s="6">
        <f t="shared" ca="1" si="9"/>
        <v>45886</v>
      </c>
      <c r="P612">
        <v>3.4</v>
      </c>
    </row>
    <row r="613" spans="1:16" x14ac:dyDescent="0.3">
      <c r="A613" t="s">
        <v>952</v>
      </c>
      <c r="B613" t="s">
        <v>953</v>
      </c>
      <c r="C613" t="s">
        <v>43</v>
      </c>
      <c r="D613">
        <v>50</v>
      </c>
      <c r="E613" t="s">
        <v>78</v>
      </c>
      <c r="F613" t="s">
        <v>52</v>
      </c>
      <c r="G613" t="s">
        <v>126</v>
      </c>
      <c r="H613">
        <v>8043</v>
      </c>
      <c r="I613">
        <v>6614</v>
      </c>
      <c r="J613">
        <v>1429</v>
      </c>
      <c r="K613" t="s">
        <v>59</v>
      </c>
      <c r="L613" t="s">
        <v>23</v>
      </c>
      <c r="M613">
        <v>7</v>
      </c>
      <c r="N613" t="s">
        <v>95</v>
      </c>
      <c r="O613" s="6">
        <f t="shared" ca="1" si="9"/>
        <v>45694</v>
      </c>
      <c r="P613">
        <v>4.9000000000000004</v>
      </c>
    </row>
    <row r="614" spans="1:16" x14ac:dyDescent="0.3">
      <c r="A614" t="s">
        <v>954</v>
      </c>
      <c r="B614" t="s">
        <v>409</v>
      </c>
      <c r="C614" t="s">
        <v>18</v>
      </c>
      <c r="D614">
        <v>62</v>
      </c>
      <c r="E614" t="s">
        <v>78</v>
      </c>
      <c r="F614" t="s">
        <v>45</v>
      </c>
      <c r="G614" t="s">
        <v>79</v>
      </c>
      <c r="H614">
        <v>4296</v>
      </c>
      <c r="I614">
        <v>2434</v>
      </c>
      <c r="J614">
        <v>1862</v>
      </c>
      <c r="K614" t="s">
        <v>59</v>
      </c>
      <c r="L614" t="s">
        <v>47</v>
      </c>
      <c r="M614">
        <v>3</v>
      </c>
      <c r="N614" t="s">
        <v>33</v>
      </c>
      <c r="O614" s="6">
        <f t="shared" ca="1" si="9"/>
        <v>45670</v>
      </c>
      <c r="P614">
        <v>4.5</v>
      </c>
    </row>
    <row r="615" spans="1:16" x14ac:dyDescent="0.3">
      <c r="A615" t="s">
        <v>955</v>
      </c>
      <c r="B615" t="s">
        <v>327</v>
      </c>
      <c r="C615" t="s">
        <v>56</v>
      </c>
      <c r="D615">
        <v>56</v>
      </c>
      <c r="E615" t="s">
        <v>37</v>
      </c>
      <c r="F615" t="s">
        <v>64</v>
      </c>
      <c r="G615" t="s">
        <v>46</v>
      </c>
      <c r="H615">
        <v>3006</v>
      </c>
      <c r="I615">
        <v>2154</v>
      </c>
      <c r="J615">
        <v>852</v>
      </c>
      <c r="K615" t="s">
        <v>31</v>
      </c>
      <c r="L615" t="s">
        <v>32</v>
      </c>
      <c r="M615">
        <v>1</v>
      </c>
      <c r="N615" t="s">
        <v>116</v>
      </c>
      <c r="O615" s="6">
        <f t="shared" ca="1" si="9"/>
        <v>45958</v>
      </c>
      <c r="P615">
        <v>3.3</v>
      </c>
    </row>
    <row r="616" spans="1:16" x14ac:dyDescent="0.3">
      <c r="A616" t="s">
        <v>956</v>
      </c>
      <c r="B616" t="s">
        <v>448</v>
      </c>
      <c r="C616" t="s">
        <v>36</v>
      </c>
      <c r="D616">
        <v>52</v>
      </c>
      <c r="E616" t="s">
        <v>28</v>
      </c>
      <c r="F616" t="s">
        <v>136</v>
      </c>
      <c r="G616" t="s">
        <v>21</v>
      </c>
      <c r="H616">
        <v>5735</v>
      </c>
      <c r="I616">
        <v>3071</v>
      </c>
      <c r="J616">
        <v>2664</v>
      </c>
      <c r="K616" t="s">
        <v>22</v>
      </c>
      <c r="L616" t="s">
        <v>47</v>
      </c>
      <c r="M616">
        <v>2</v>
      </c>
      <c r="N616" t="s">
        <v>48</v>
      </c>
      <c r="O616" s="6">
        <f t="shared" ca="1" si="9"/>
        <v>45872</v>
      </c>
      <c r="P616">
        <v>3.7</v>
      </c>
    </row>
    <row r="617" spans="1:16" x14ac:dyDescent="0.3">
      <c r="A617" t="s">
        <v>957</v>
      </c>
      <c r="B617" t="s">
        <v>316</v>
      </c>
      <c r="C617" t="s">
        <v>129</v>
      </c>
      <c r="D617">
        <v>36</v>
      </c>
      <c r="E617" t="s">
        <v>87</v>
      </c>
      <c r="F617" t="s">
        <v>67</v>
      </c>
      <c r="G617" t="s">
        <v>92</v>
      </c>
      <c r="H617">
        <v>3825</v>
      </c>
      <c r="I617">
        <v>1488</v>
      </c>
      <c r="J617">
        <v>2337</v>
      </c>
      <c r="K617" t="s">
        <v>88</v>
      </c>
      <c r="L617" t="s">
        <v>23</v>
      </c>
      <c r="M617">
        <v>10</v>
      </c>
      <c r="N617" t="s">
        <v>74</v>
      </c>
      <c r="O617" s="6">
        <f t="shared" ca="1" si="9"/>
        <v>45964</v>
      </c>
      <c r="P617">
        <v>4.9000000000000004</v>
      </c>
    </row>
    <row r="618" spans="1:16" x14ac:dyDescent="0.3">
      <c r="A618" t="s">
        <v>958</v>
      </c>
      <c r="B618" t="s">
        <v>681</v>
      </c>
      <c r="C618" t="s">
        <v>51</v>
      </c>
      <c r="D618">
        <v>28</v>
      </c>
      <c r="E618" t="s">
        <v>57</v>
      </c>
      <c r="F618" t="s">
        <v>38</v>
      </c>
      <c r="G618" t="s">
        <v>79</v>
      </c>
      <c r="H618">
        <v>8336</v>
      </c>
      <c r="I618">
        <v>6539</v>
      </c>
      <c r="J618">
        <v>1797</v>
      </c>
      <c r="K618" t="s">
        <v>59</v>
      </c>
      <c r="L618" t="s">
        <v>47</v>
      </c>
      <c r="M618">
        <v>12</v>
      </c>
      <c r="N618" t="s">
        <v>33</v>
      </c>
      <c r="O618" s="6">
        <f t="shared" ca="1" si="9"/>
        <v>45977</v>
      </c>
      <c r="P618">
        <v>4.9000000000000004</v>
      </c>
    </row>
    <row r="619" spans="1:16" x14ac:dyDescent="0.3">
      <c r="A619" t="s">
        <v>959</v>
      </c>
      <c r="B619" t="s">
        <v>225</v>
      </c>
      <c r="C619" t="s">
        <v>129</v>
      </c>
      <c r="D619">
        <v>34</v>
      </c>
      <c r="E619" t="s">
        <v>72</v>
      </c>
      <c r="F619" t="s">
        <v>91</v>
      </c>
      <c r="G619" t="s">
        <v>73</v>
      </c>
      <c r="H619">
        <v>5197</v>
      </c>
      <c r="I619">
        <v>2583</v>
      </c>
      <c r="J619">
        <v>2614</v>
      </c>
      <c r="K619" t="s">
        <v>22</v>
      </c>
      <c r="L619" t="s">
        <v>32</v>
      </c>
      <c r="M619">
        <v>9</v>
      </c>
      <c r="N619" t="s">
        <v>95</v>
      </c>
      <c r="O619" s="6">
        <f t="shared" ca="1" si="9"/>
        <v>45740</v>
      </c>
      <c r="P619">
        <v>3.6</v>
      </c>
    </row>
    <row r="620" spans="1:16" x14ac:dyDescent="0.3">
      <c r="A620" t="s">
        <v>960</v>
      </c>
      <c r="B620" t="s">
        <v>638</v>
      </c>
      <c r="C620" t="s">
        <v>103</v>
      </c>
      <c r="D620">
        <v>51</v>
      </c>
      <c r="E620" t="s">
        <v>19</v>
      </c>
      <c r="F620" t="s">
        <v>45</v>
      </c>
      <c r="G620" t="s">
        <v>126</v>
      </c>
      <c r="H620">
        <v>5619</v>
      </c>
      <c r="I620">
        <v>3473</v>
      </c>
      <c r="J620">
        <v>2146</v>
      </c>
      <c r="K620" t="s">
        <v>31</v>
      </c>
      <c r="L620" t="s">
        <v>23</v>
      </c>
      <c r="M620">
        <v>14</v>
      </c>
      <c r="N620" t="s">
        <v>116</v>
      </c>
      <c r="O620" s="6">
        <f t="shared" ca="1" si="9"/>
        <v>45761</v>
      </c>
      <c r="P620">
        <v>4.5</v>
      </c>
    </row>
    <row r="621" spans="1:16" x14ac:dyDescent="0.3">
      <c r="A621" t="s">
        <v>961</v>
      </c>
      <c r="B621" t="s">
        <v>76</v>
      </c>
      <c r="C621" t="s">
        <v>36</v>
      </c>
      <c r="D621">
        <v>65</v>
      </c>
      <c r="E621" t="s">
        <v>19</v>
      </c>
      <c r="F621" t="s">
        <v>45</v>
      </c>
      <c r="G621" t="s">
        <v>92</v>
      </c>
      <c r="H621">
        <v>5117</v>
      </c>
      <c r="I621">
        <v>3651</v>
      </c>
      <c r="J621">
        <v>1466</v>
      </c>
      <c r="K621" t="s">
        <v>22</v>
      </c>
      <c r="L621" t="s">
        <v>32</v>
      </c>
      <c r="M621">
        <v>12</v>
      </c>
      <c r="N621" t="s">
        <v>95</v>
      </c>
      <c r="O621" s="6">
        <f t="shared" ca="1" si="9"/>
        <v>45971</v>
      </c>
      <c r="P621">
        <v>4.5999999999999996</v>
      </c>
    </row>
    <row r="622" spans="1:16" x14ac:dyDescent="0.3">
      <c r="A622" t="s">
        <v>962</v>
      </c>
      <c r="B622" t="s">
        <v>636</v>
      </c>
      <c r="C622" t="s">
        <v>62</v>
      </c>
      <c r="D622">
        <v>49</v>
      </c>
      <c r="E622" t="s">
        <v>37</v>
      </c>
      <c r="F622" t="s">
        <v>136</v>
      </c>
      <c r="G622" t="s">
        <v>73</v>
      </c>
      <c r="H622">
        <v>4025</v>
      </c>
      <c r="I622">
        <v>2593</v>
      </c>
      <c r="J622">
        <v>1432</v>
      </c>
      <c r="K622" t="s">
        <v>59</v>
      </c>
      <c r="L622" t="s">
        <v>32</v>
      </c>
      <c r="M622">
        <v>14</v>
      </c>
      <c r="N622" t="s">
        <v>33</v>
      </c>
      <c r="O622" s="6">
        <f t="shared" ca="1" si="9"/>
        <v>45718</v>
      </c>
      <c r="P622">
        <v>3.9</v>
      </c>
    </row>
    <row r="623" spans="1:16" x14ac:dyDescent="0.3">
      <c r="A623" t="s">
        <v>963</v>
      </c>
      <c r="B623" t="s">
        <v>461</v>
      </c>
      <c r="C623" t="s">
        <v>56</v>
      </c>
      <c r="D623">
        <v>61</v>
      </c>
      <c r="E623" t="s">
        <v>57</v>
      </c>
      <c r="F623" t="s">
        <v>64</v>
      </c>
      <c r="G623" t="s">
        <v>46</v>
      </c>
      <c r="H623">
        <v>3272</v>
      </c>
      <c r="I623">
        <v>2744</v>
      </c>
      <c r="J623">
        <v>528</v>
      </c>
      <c r="K623" t="s">
        <v>68</v>
      </c>
      <c r="L623" t="s">
        <v>32</v>
      </c>
      <c r="M623">
        <v>8</v>
      </c>
      <c r="N623" t="s">
        <v>69</v>
      </c>
      <c r="O623" s="6">
        <f t="shared" ca="1" si="9"/>
        <v>45901</v>
      </c>
      <c r="P623">
        <v>3.3</v>
      </c>
    </row>
    <row r="624" spans="1:16" x14ac:dyDescent="0.3">
      <c r="A624" t="s">
        <v>964</v>
      </c>
      <c r="B624" t="s">
        <v>151</v>
      </c>
      <c r="C624" t="s">
        <v>77</v>
      </c>
      <c r="D624">
        <v>31</v>
      </c>
      <c r="E624" t="s">
        <v>72</v>
      </c>
      <c r="F624" t="s">
        <v>29</v>
      </c>
      <c r="G624" t="s">
        <v>21</v>
      </c>
      <c r="H624">
        <v>5305</v>
      </c>
      <c r="I624">
        <v>3382</v>
      </c>
      <c r="J624">
        <v>1923</v>
      </c>
      <c r="K624" t="s">
        <v>88</v>
      </c>
      <c r="L624" t="s">
        <v>47</v>
      </c>
      <c r="M624">
        <v>14</v>
      </c>
      <c r="N624" t="s">
        <v>74</v>
      </c>
      <c r="O624" s="6">
        <f t="shared" ca="1" si="9"/>
        <v>45723</v>
      </c>
      <c r="P624">
        <v>3</v>
      </c>
    </row>
    <row r="625" spans="1:16" x14ac:dyDescent="0.3">
      <c r="A625" t="s">
        <v>965</v>
      </c>
      <c r="B625" t="s">
        <v>828</v>
      </c>
      <c r="C625" t="s">
        <v>36</v>
      </c>
      <c r="D625">
        <v>62</v>
      </c>
      <c r="E625" t="s">
        <v>78</v>
      </c>
      <c r="F625" t="s">
        <v>91</v>
      </c>
      <c r="G625" t="s">
        <v>126</v>
      </c>
      <c r="H625">
        <v>2366</v>
      </c>
      <c r="I625">
        <v>525</v>
      </c>
      <c r="J625">
        <v>1841</v>
      </c>
      <c r="K625" t="s">
        <v>22</v>
      </c>
      <c r="L625" t="s">
        <v>47</v>
      </c>
      <c r="M625">
        <v>5</v>
      </c>
      <c r="N625" t="s">
        <v>95</v>
      </c>
      <c r="O625" s="6">
        <f t="shared" ca="1" si="9"/>
        <v>45706</v>
      </c>
      <c r="P625">
        <v>3.3</v>
      </c>
    </row>
    <row r="626" spans="1:16" x14ac:dyDescent="0.3">
      <c r="A626" t="s">
        <v>966</v>
      </c>
      <c r="B626" t="s">
        <v>361</v>
      </c>
      <c r="C626" t="s">
        <v>62</v>
      </c>
      <c r="D626">
        <v>54</v>
      </c>
      <c r="E626" t="s">
        <v>78</v>
      </c>
      <c r="F626" t="s">
        <v>67</v>
      </c>
      <c r="G626" t="s">
        <v>73</v>
      </c>
      <c r="H626">
        <v>8501</v>
      </c>
      <c r="I626">
        <v>6993</v>
      </c>
      <c r="J626">
        <v>1508</v>
      </c>
      <c r="K626" t="s">
        <v>59</v>
      </c>
      <c r="L626" t="s">
        <v>47</v>
      </c>
      <c r="M626">
        <v>14</v>
      </c>
      <c r="N626" t="s">
        <v>193</v>
      </c>
      <c r="O626" s="6">
        <f t="shared" ca="1" si="9"/>
        <v>45730</v>
      </c>
      <c r="P626">
        <v>4.8</v>
      </c>
    </row>
    <row r="627" spans="1:16" x14ac:dyDescent="0.3">
      <c r="A627" t="s">
        <v>967</v>
      </c>
      <c r="B627" t="s">
        <v>238</v>
      </c>
      <c r="C627" t="s">
        <v>43</v>
      </c>
      <c r="D627">
        <v>39</v>
      </c>
      <c r="E627" t="s">
        <v>19</v>
      </c>
      <c r="F627" t="s">
        <v>98</v>
      </c>
      <c r="G627" t="s">
        <v>73</v>
      </c>
      <c r="H627">
        <v>4456</v>
      </c>
      <c r="I627">
        <v>3511</v>
      </c>
      <c r="J627">
        <v>945</v>
      </c>
      <c r="K627" t="s">
        <v>22</v>
      </c>
      <c r="L627" t="s">
        <v>47</v>
      </c>
      <c r="M627">
        <v>7</v>
      </c>
      <c r="N627" t="s">
        <v>118</v>
      </c>
      <c r="O627" s="6">
        <f t="shared" ca="1" si="9"/>
        <v>45796</v>
      </c>
      <c r="P627">
        <v>3.6</v>
      </c>
    </row>
    <row r="628" spans="1:16" x14ac:dyDescent="0.3">
      <c r="A628" t="s">
        <v>968</v>
      </c>
      <c r="B628" t="s">
        <v>969</v>
      </c>
      <c r="C628" t="s">
        <v>27</v>
      </c>
      <c r="D628">
        <v>62</v>
      </c>
      <c r="E628" t="s">
        <v>44</v>
      </c>
      <c r="F628" t="s">
        <v>52</v>
      </c>
      <c r="G628" t="s">
        <v>21</v>
      </c>
      <c r="H628">
        <v>5300</v>
      </c>
      <c r="I628">
        <v>4288</v>
      </c>
      <c r="J628">
        <v>1012</v>
      </c>
      <c r="K628" t="s">
        <v>88</v>
      </c>
      <c r="L628" t="s">
        <v>23</v>
      </c>
      <c r="M628">
        <v>14</v>
      </c>
      <c r="N628" t="s">
        <v>193</v>
      </c>
      <c r="O628" s="6">
        <f t="shared" ca="1" si="9"/>
        <v>45947</v>
      </c>
      <c r="P628">
        <v>3.2</v>
      </c>
    </row>
    <row r="629" spans="1:16" x14ac:dyDescent="0.3">
      <c r="A629" t="s">
        <v>970</v>
      </c>
      <c r="B629" t="s">
        <v>140</v>
      </c>
      <c r="C629" t="s">
        <v>51</v>
      </c>
      <c r="D629">
        <v>37</v>
      </c>
      <c r="E629" t="s">
        <v>78</v>
      </c>
      <c r="F629" t="s">
        <v>98</v>
      </c>
      <c r="G629" t="s">
        <v>58</v>
      </c>
      <c r="H629">
        <v>4416</v>
      </c>
      <c r="I629">
        <v>1893</v>
      </c>
      <c r="J629">
        <v>2523</v>
      </c>
      <c r="K629" t="s">
        <v>88</v>
      </c>
      <c r="L629" t="s">
        <v>47</v>
      </c>
      <c r="M629">
        <v>12</v>
      </c>
      <c r="N629" t="s">
        <v>74</v>
      </c>
      <c r="O629" s="6">
        <f t="shared" ca="1" si="9"/>
        <v>45850</v>
      </c>
      <c r="P629">
        <v>3.5</v>
      </c>
    </row>
    <row r="630" spans="1:16" x14ac:dyDescent="0.3">
      <c r="A630" t="s">
        <v>971</v>
      </c>
      <c r="B630" t="s">
        <v>457</v>
      </c>
      <c r="C630" t="s">
        <v>62</v>
      </c>
      <c r="D630">
        <v>34</v>
      </c>
      <c r="E630" t="s">
        <v>19</v>
      </c>
      <c r="F630" t="s">
        <v>45</v>
      </c>
      <c r="G630" t="s">
        <v>39</v>
      </c>
      <c r="H630">
        <v>8838</v>
      </c>
      <c r="I630">
        <v>6614</v>
      </c>
      <c r="J630">
        <v>2224</v>
      </c>
      <c r="K630" t="s">
        <v>59</v>
      </c>
      <c r="L630" t="s">
        <v>47</v>
      </c>
      <c r="M630">
        <v>7</v>
      </c>
      <c r="N630" t="s">
        <v>33</v>
      </c>
      <c r="O630" s="6">
        <f t="shared" ca="1" si="9"/>
        <v>45916</v>
      </c>
      <c r="P630">
        <v>3.4</v>
      </c>
    </row>
    <row r="631" spans="1:16" x14ac:dyDescent="0.3">
      <c r="A631" t="s">
        <v>972</v>
      </c>
      <c r="B631" t="s">
        <v>396</v>
      </c>
      <c r="C631" t="s">
        <v>62</v>
      </c>
      <c r="D631">
        <v>47</v>
      </c>
      <c r="E631" t="s">
        <v>78</v>
      </c>
      <c r="F631" t="s">
        <v>64</v>
      </c>
      <c r="G631" t="s">
        <v>126</v>
      </c>
      <c r="H631">
        <v>2123</v>
      </c>
      <c r="I631">
        <v>735</v>
      </c>
      <c r="J631">
        <v>1388</v>
      </c>
      <c r="K631" t="s">
        <v>88</v>
      </c>
      <c r="L631" t="s">
        <v>23</v>
      </c>
      <c r="M631">
        <v>1</v>
      </c>
      <c r="N631" t="s">
        <v>40</v>
      </c>
      <c r="O631" s="6">
        <f t="shared" ca="1" si="9"/>
        <v>45709</v>
      </c>
      <c r="P631">
        <v>1.2</v>
      </c>
    </row>
    <row r="632" spans="1:16" x14ac:dyDescent="0.3">
      <c r="A632" t="s">
        <v>973</v>
      </c>
      <c r="B632" t="s">
        <v>343</v>
      </c>
      <c r="C632" t="s">
        <v>51</v>
      </c>
      <c r="D632">
        <v>64</v>
      </c>
      <c r="E632" t="s">
        <v>63</v>
      </c>
      <c r="F632" t="s">
        <v>98</v>
      </c>
      <c r="G632" t="s">
        <v>46</v>
      </c>
      <c r="H632">
        <v>5086</v>
      </c>
      <c r="I632">
        <v>4341</v>
      </c>
      <c r="J632">
        <v>745</v>
      </c>
      <c r="K632" t="s">
        <v>59</v>
      </c>
      <c r="L632" t="s">
        <v>47</v>
      </c>
      <c r="M632">
        <v>5</v>
      </c>
      <c r="N632" t="s">
        <v>40</v>
      </c>
      <c r="O632" s="6">
        <f t="shared" ca="1" si="9"/>
        <v>46014</v>
      </c>
      <c r="P632">
        <v>1.5</v>
      </c>
    </row>
    <row r="633" spans="1:16" x14ac:dyDescent="0.3">
      <c r="A633" t="s">
        <v>974</v>
      </c>
      <c r="B633" t="s">
        <v>172</v>
      </c>
      <c r="C633" t="s">
        <v>103</v>
      </c>
      <c r="D633">
        <v>59</v>
      </c>
      <c r="E633" t="s">
        <v>72</v>
      </c>
      <c r="F633" t="s">
        <v>98</v>
      </c>
      <c r="G633" t="s">
        <v>21</v>
      </c>
      <c r="H633">
        <v>5502</v>
      </c>
      <c r="I633">
        <v>5062</v>
      </c>
      <c r="J633">
        <v>440</v>
      </c>
      <c r="K633" t="s">
        <v>68</v>
      </c>
      <c r="L633" t="s">
        <v>47</v>
      </c>
      <c r="M633">
        <v>15</v>
      </c>
      <c r="N633" t="s">
        <v>33</v>
      </c>
      <c r="O633" s="6">
        <f t="shared" ca="1" si="9"/>
        <v>45751</v>
      </c>
      <c r="P633">
        <v>4.4000000000000004</v>
      </c>
    </row>
    <row r="634" spans="1:16" x14ac:dyDescent="0.3">
      <c r="A634" t="s">
        <v>975</v>
      </c>
      <c r="B634" t="s">
        <v>935</v>
      </c>
      <c r="C634" t="s">
        <v>51</v>
      </c>
      <c r="D634">
        <v>23</v>
      </c>
      <c r="E634" t="s">
        <v>28</v>
      </c>
      <c r="F634" t="s">
        <v>45</v>
      </c>
      <c r="G634" t="s">
        <v>92</v>
      </c>
      <c r="H634">
        <v>7336</v>
      </c>
      <c r="I634">
        <v>5576</v>
      </c>
      <c r="J634">
        <v>1760</v>
      </c>
      <c r="K634" t="s">
        <v>31</v>
      </c>
      <c r="L634" t="s">
        <v>23</v>
      </c>
      <c r="M634">
        <v>7</v>
      </c>
      <c r="N634" t="s">
        <v>95</v>
      </c>
      <c r="O634" s="6">
        <f t="shared" ca="1" si="9"/>
        <v>45879</v>
      </c>
      <c r="P634">
        <v>4.7</v>
      </c>
    </row>
    <row r="635" spans="1:16" x14ac:dyDescent="0.3">
      <c r="A635" t="s">
        <v>976</v>
      </c>
      <c r="B635" t="s">
        <v>369</v>
      </c>
      <c r="C635" t="s">
        <v>129</v>
      </c>
      <c r="D635">
        <v>37</v>
      </c>
      <c r="E635" t="s">
        <v>78</v>
      </c>
      <c r="F635" t="s">
        <v>29</v>
      </c>
      <c r="G635" t="s">
        <v>104</v>
      </c>
      <c r="H635">
        <v>5395</v>
      </c>
      <c r="I635">
        <v>3278</v>
      </c>
      <c r="J635">
        <v>2117</v>
      </c>
      <c r="K635" t="s">
        <v>59</v>
      </c>
      <c r="L635" t="s">
        <v>23</v>
      </c>
      <c r="M635">
        <v>6</v>
      </c>
      <c r="N635" t="s">
        <v>74</v>
      </c>
      <c r="O635" s="6">
        <f t="shared" ca="1" si="9"/>
        <v>45683</v>
      </c>
      <c r="P635">
        <v>3.7</v>
      </c>
    </row>
    <row r="636" spans="1:16" x14ac:dyDescent="0.3">
      <c r="A636" t="s">
        <v>977</v>
      </c>
      <c r="B636" t="s">
        <v>323</v>
      </c>
      <c r="C636" t="s">
        <v>43</v>
      </c>
      <c r="D636">
        <v>23</v>
      </c>
      <c r="E636" t="s">
        <v>78</v>
      </c>
      <c r="F636" t="s">
        <v>91</v>
      </c>
      <c r="G636" t="s">
        <v>39</v>
      </c>
      <c r="H636">
        <v>8302</v>
      </c>
      <c r="I636">
        <v>6626</v>
      </c>
      <c r="J636">
        <v>1676</v>
      </c>
      <c r="K636" t="s">
        <v>31</v>
      </c>
      <c r="L636" t="s">
        <v>23</v>
      </c>
      <c r="M636">
        <v>2</v>
      </c>
      <c r="N636" t="s">
        <v>40</v>
      </c>
      <c r="O636" s="6">
        <f t="shared" ca="1" si="9"/>
        <v>46022</v>
      </c>
      <c r="P636">
        <v>2</v>
      </c>
    </row>
    <row r="637" spans="1:16" x14ac:dyDescent="0.3">
      <c r="A637" t="s">
        <v>978</v>
      </c>
      <c r="B637" t="s">
        <v>641</v>
      </c>
      <c r="C637" t="s">
        <v>43</v>
      </c>
      <c r="D637">
        <v>48</v>
      </c>
      <c r="E637" t="s">
        <v>78</v>
      </c>
      <c r="F637" t="s">
        <v>38</v>
      </c>
      <c r="G637" t="s">
        <v>104</v>
      </c>
      <c r="H637">
        <v>7575</v>
      </c>
      <c r="I637">
        <v>6756</v>
      </c>
      <c r="J637">
        <v>819</v>
      </c>
      <c r="K637" t="s">
        <v>59</v>
      </c>
      <c r="L637" t="s">
        <v>32</v>
      </c>
      <c r="M637">
        <v>15</v>
      </c>
      <c r="N637" t="s">
        <v>69</v>
      </c>
      <c r="O637" s="6">
        <f t="shared" ca="1" si="9"/>
        <v>45698</v>
      </c>
      <c r="P637">
        <v>3.7</v>
      </c>
    </row>
    <row r="638" spans="1:16" x14ac:dyDescent="0.3">
      <c r="A638" t="s">
        <v>979</v>
      </c>
      <c r="B638" t="s">
        <v>516</v>
      </c>
      <c r="C638" t="s">
        <v>62</v>
      </c>
      <c r="D638">
        <v>32</v>
      </c>
      <c r="E638" t="s">
        <v>28</v>
      </c>
      <c r="F638" t="s">
        <v>91</v>
      </c>
      <c r="G638" t="s">
        <v>39</v>
      </c>
      <c r="H638">
        <v>3952</v>
      </c>
      <c r="I638">
        <v>1839</v>
      </c>
      <c r="J638">
        <v>2113</v>
      </c>
      <c r="K638" t="s">
        <v>88</v>
      </c>
      <c r="L638" t="s">
        <v>23</v>
      </c>
      <c r="M638">
        <v>15</v>
      </c>
      <c r="N638" t="s">
        <v>69</v>
      </c>
      <c r="O638" s="6">
        <f t="shared" ca="1" si="9"/>
        <v>45773</v>
      </c>
      <c r="P638">
        <v>3.9</v>
      </c>
    </row>
    <row r="639" spans="1:16" x14ac:dyDescent="0.3">
      <c r="A639" t="s">
        <v>980</v>
      </c>
      <c r="B639" t="s">
        <v>544</v>
      </c>
      <c r="C639" t="s">
        <v>27</v>
      </c>
      <c r="D639">
        <v>52</v>
      </c>
      <c r="E639" t="s">
        <v>63</v>
      </c>
      <c r="F639" t="s">
        <v>91</v>
      </c>
      <c r="G639" t="s">
        <v>21</v>
      </c>
      <c r="H639">
        <v>7202</v>
      </c>
      <c r="I639">
        <v>6396</v>
      </c>
      <c r="J639">
        <v>806</v>
      </c>
      <c r="K639" t="s">
        <v>59</v>
      </c>
      <c r="L639" t="s">
        <v>47</v>
      </c>
      <c r="M639">
        <v>2</v>
      </c>
      <c r="N639" t="s">
        <v>33</v>
      </c>
      <c r="O639" s="6">
        <f t="shared" ca="1" si="9"/>
        <v>45710</v>
      </c>
      <c r="P639">
        <v>4.4000000000000004</v>
      </c>
    </row>
    <row r="640" spans="1:16" x14ac:dyDescent="0.3">
      <c r="A640" t="s">
        <v>981</v>
      </c>
      <c r="B640" t="s">
        <v>627</v>
      </c>
      <c r="C640" t="s">
        <v>27</v>
      </c>
      <c r="D640">
        <v>38</v>
      </c>
      <c r="E640" t="s">
        <v>44</v>
      </c>
      <c r="F640" t="s">
        <v>67</v>
      </c>
      <c r="G640" t="s">
        <v>30</v>
      </c>
      <c r="H640">
        <v>5496</v>
      </c>
      <c r="I640">
        <v>5280</v>
      </c>
      <c r="J640">
        <v>216</v>
      </c>
      <c r="K640" t="s">
        <v>22</v>
      </c>
      <c r="L640" t="s">
        <v>32</v>
      </c>
      <c r="M640">
        <v>10</v>
      </c>
      <c r="N640" t="s">
        <v>193</v>
      </c>
      <c r="O640" s="6">
        <f t="shared" ca="1" si="9"/>
        <v>45996</v>
      </c>
      <c r="P640">
        <v>4.4000000000000004</v>
      </c>
    </row>
    <row r="641" spans="1:16" x14ac:dyDescent="0.3">
      <c r="A641" t="s">
        <v>982</v>
      </c>
      <c r="B641" t="s">
        <v>662</v>
      </c>
      <c r="C641" t="s">
        <v>56</v>
      </c>
      <c r="D641">
        <v>64</v>
      </c>
      <c r="E641" t="s">
        <v>87</v>
      </c>
      <c r="F641" t="s">
        <v>38</v>
      </c>
      <c r="G641" t="s">
        <v>46</v>
      </c>
      <c r="H641">
        <v>5818</v>
      </c>
      <c r="I641">
        <v>2828</v>
      </c>
      <c r="J641">
        <v>2990</v>
      </c>
      <c r="K641" t="s">
        <v>68</v>
      </c>
      <c r="L641" t="s">
        <v>32</v>
      </c>
      <c r="M641">
        <v>0</v>
      </c>
      <c r="N641" t="s">
        <v>40</v>
      </c>
      <c r="O641" s="6">
        <f t="shared" ca="1" si="9"/>
        <v>45668</v>
      </c>
      <c r="P641">
        <v>2.8</v>
      </c>
    </row>
    <row r="642" spans="1:16" x14ac:dyDescent="0.3">
      <c r="A642" t="s">
        <v>983</v>
      </c>
      <c r="B642" t="s">
        <v>760</v>
      </c>
      <c r="C642" t="s">
        <v>77</v>
      </c>
      <c r="D642">
        <v>41</v>
      </c>
      <c r="E642" t="s">
        <v>78</v>
      </c>
      <c r="F642" t="s">
        <v>136</v>
      </c>
      <c r="G642" t="s">
        <v>21</v>
      </c>
      <c r="H642">
        <v>7171</v>
      </c>
      <c r="I642">
        <v>4270</v>
      </c>
      <c r="J642">
        <v>2901</v>
      </c>
      <c r="K642" t="s">
        <v>22</v>
      </c>
      <c r="L642" t="s">
        <v>47</v>
      </c>
      <c r="M642">
        <v>11</v>
      </c>
      <c r="N642" t="s">
        <v>116</v>
      </c>
      <c r="O642" s="6">
        <f t="shared" ca="1" si="9"/>
        <v>45925</v>
      </c>
      <c r="P642">
        <v>4.3</v>
      </c>
    </row>
    <row r="643" spans="1:16" x14ac:dyDescent="0.3">
      <c r="A643" t="s">
        <v>984</v>
      </c>
      <c r="B643" t="s">
        <v>180</v>
      </c>
      <c r="C643" t="s">
        <v>51</v>
      </c>
      <c r="D643">
        <v>49</v>
      </c>
      <c r="E643" t="s">
        <v>57</v>
      </c>
      <c r="F643" t="s">
        <v>67</v>
      </c>
      <c r="G643" t="s">
        <v>126</v>
      </c>
      <c r="H643">
        <v>2630</v>
      </c>
      <c r="I643">
        <v>2231</v>
      </c>
      <c r="J643">
        <v>399</v>
      </c>
      <c r="K643" t="s">
        <v>22</v>
      </c>
      <c r="L643" t="s">
        <v>23</v>
      </c>
      <c r="M643">
        <v>5</v>
      </c>
      <c r="N643" t="s">
        <v>95</v>
      </c>
      <c r="O643" s="6">
        <f t="shared" ref="O643:O706" ca="1" si="10">RANDBETWEEN(DATE(2025,1,1),DATE(2025,12,31))</f>
        <v>45818</v>
      </c>
      <c r="P643">
        <v>4.7</v>
      </c>
    </row>
    <row r="644" spans="1:16" x14ac:dyDescent="0.3">
      <c r="A644" t="s">
        <v>985</v>
      </c>
      <c r="B644" t="s">
        <v>455</v>
      </c>
      <c r="C644" t="s">
        <v>103</v>
      </c>
      <c r="D644">
        <v>26</v>
      </c>
      <c r="E644" t="s">
        <v>37</v>
      </c>
      <c r="F644" t="s">
        <v>45</v>
      </c>
      <c r="G644" t="s">
        <v>126</v>
      </c>
      <c r="H644">
        <v>4299</v>
      </c>
      <c r="I644">
        <v>2466</v>
      </c>
      <c r="J644">
        <v>1833</v>
      </c>
      <c r="K644" t="s">
        <v>88</v>
      </c>
      <c r="L644" t="s">
        <v>23</v>
      </c>
      <c r="M644">
        <v>14</v>
      </c>
      <c r="N644" t="s">
        <v>33</v>
      </c>
      <c r="O644" s="6">
        <f t="shared" ca="1" si="10"/>
        <v>45811</v>
      </c>
      <c r="P644">
        <v>4.4000000000000004</v>
      </c>
    </row>
    <row r="645" spans="1:16" x14ac:dyDescent="0.3">
      <c r="A645" t="s">
        <v>986</v>
      </c>
      <c r="B645" t="s">
        <v>55</v>
      </c>
      <c r="C645" t="s">
        <v>129</v>
      </c>
      <c r="D645">
        <v>28</v>
      </c>
      <c r="E645" t="s">
        <v>72</v>
      </c>
      <c r="F645" t="s">
        <v>91</v>
      </c>
      <c r="G645" t="s">
        <v>73</v>
      </c>
      <c r="H645">
        <v>7998</v>
      </c>
      <c r="I645">
        <v>6528</v>
      </c>
      <c r="J645">
        <v>1470</v>
      </c>
      <c r="K645" t="s">
        <v>68</v>
      </c>
      <c r="L645" t="s">
        <v>23</v>
      </c>
      <c r="M645">
        <v>4</v>
      </c>
      <c r="N645" t="s">
        <v>40</v>
      </c>
      <c r="O645" s="6">
        <f t="shared" ca="1" si="10"/>
        <v>45812</v>
      </c>
      <c r="P645">
        <v>2.5</v>
      </c>
    </row>
    <row r="646" spans="1:16" x14ac:dyDescent="0.3">
      <c r="A646" t="s">
        <v>987</v>
      </c>
      <c r="B646" t="s">
        <v>189</v>
      </c>
      <c r="C646" t="s">
        <v>43</v>
      </c>
      <c r="D646">
        <v>53</v>
      </c>
      <c r="E646" t="s">
        <v>19</v>
      </c>
      <c r="F646" t="s">
        <v>91</v>
      </c>
      <c r="G646" t="s">
        <v>104</v>
      </c>
      <c r="H646">
        <v>5830</v>
      </c>
      <c r="I646">
        <v>3679</v>
      </c>
      <c r="J646">
        <v>2151</v>
      </c>
      <c r="K646" t="s">
        <v>88</v>
      </c>
      <c r="L646" t="s">
        <v>23</v>
      </c>
      <c r="M646">
        <v>10</v>
      </c>
      <c r="N646" t="s">
        <v>48</v>
      </c>
      <c r="O646" s="6">
        <f t="shared" ca="1" si="10"/>
        <v>45677</v>
      </c>
      <c r="P646">
        <v>3.2</v>
      </c>
    </row>
    <row r="647" spans="1:16" x14ac:dyDescent="0.3">
      <c r="A647" t="s">
        <v>988</v>
      </c>
      <c r="B647" t="s">
        <v>687</v>
      </c>
      <c r="C647" t="s">
        <v>129</v>
      </c>
      <c r="D647">
        <v>48</v>
      </c>
      <c r="E647" t="s">
        <v>37</v>
      </c>
      <c r="F647" t="s">
        <v>98</v>
      </c>
      <c r="G647" t="s">
        <v>46</v>
      </c>
      <c r="H647">
        <v>6304</v>
      </c>
      <c r="I647">
        <v>4705</v>
      </c>
      <c r="J647">
        <v>1599</v>
      </c>
      <c r="K647" t="s">
        <v>59</v>
      </c>
      <c r="L647" t="s">
        <v>47</v>
      </c>
      <c r="M647">
        <v>5</v>
      </c>
      <c r="N647" t="s">
        <v>40</v>
      </c>
      <c r="O647" s="6">
        <f t="shared" ca="1" si="10"/>
        <v>45999</v>
      </c>
      <c r="P647">
        <v>1.3</v>
      </c>
    </row>
    <row r="648" spans="1:16" x14ac:dyDescent="0.3">
      <c r="A648" t="s">
        <v>989</v>
      </c>
      <c r="B648" t="s">
        <v>332</v>
      </c>
      <c r="C648" t="s">
        <v>27</v>
      </c>
      <c r="D648">
        <v>26</v>
      </c>
      <c r="E648" t="s">
        <v>72</v>
      </c>
      <c r="F648" t="s">
        <v>91</v>
      </c>
      <c r="G648" t="s">
        <v>73</v>
      </c>
      <c r="H648">
        <v>3304</v>
      </c>
      <c r="I648">
        <v>1148</v>
      </c>
      <c r="J648">
        <v>2156</v>
      </c>
      <c r="K648" t="s">
        <v>31</v>
      </c>
      <c r="L648" t="s">
        <v>23</v>
      </c>
      <c r="M648">
        <v>3</v>
      </c>
      <c r="N648" t="s">
        <v>116</v>
      </c>
      <c r="O648" s="6">
        <f t="shared" ca="1" si="10"/>
        <v>45775</v>
      </c>
      <c r="P648">
        <v>4.5</v>
      </c>
    </row>
    <row r="649" spans="1:16" x14ac:dyDescent="0.3">
      <c r="A649" t="s">
        <v>990</v>
      </c>
      <c r="B649" t="s">
        <v>409</v>
      </c>
      <c r="C649" t="s">
        <v>51</v>
      </c>
      <c r="D649">
        <v>24</v>
      </c>
      <c r="E649" t="s">
        <v>82</v>
      </c>
      <c r="F649" t="s">
        <v>98</v>
      </c>
      <c r="G649" t="s">
        <v>46</v>
      </c>
      <c r="H649">
        <v>5345</v>
      </c>
      <c r="I649">
        <v>4705</v>
      </c>
      <c r="J649">
        <v>640</v>
      </c>
      <c r="K649" t="s">
        <v>31</v>
      </c>
      <c r="L649" t="s">
        <v>32</v>
      </c>
      <c r="M649">
        <v>7</v>
      </c>
      <c r="N649" t="s">
        <v>53</v>
      </c>
      <c r="O649" s="6">
        <f t="shared" ca="1" si="10"/>
        <v>45920</v>
      </c>
      <c r="P649">
        <v>3.3</v>
      </c>
    </row>
    <row r="650" spans="1:16" x14ac:dyDescent="0.3">
      <c r="A650" t="s">
        <v>991</v>
      </c>
      <c r="B650" t="s">
        <v>992</v>
      </c>
      <c r="C650" t="s">
        <v>18</v>
      </c>
      <c r="D650">
        <v>58</v>
      </c>
      <c r="E650" t="s">
        <v>87</v>
      </c>
      <c r="F650" t="s">
        <v>29</v>
      </c>
      <c r="G650" t="s">
        <v>46</v>
      </c>
      <c r="H650">
        <v>4342</v>
      </c>
      <c r="I650">
        <v>1433</v>
      </c>
      <c r="J650">
        <v>2909</v>
      </c>
      <c r="K650" t="s">
        <v>22</v>
      </c>
      <c r="L650" t="s">
        <v>32</v>
      </c>
      <c r="M650">
        <v>13</v>
      </c>
      <c r="N650" t="s">
        <v>193</v>
      </c>
      <c r="O650" s="6">
        <f t="shared" ca="1" si="10"/>
        <v>45699</v>
      </c>
      <c r="P650">
        <v>4.5</v>
      </c>
    </row>
    <row r="651" spans="1:16" x14ac:dyDescent="0.3">
      <c r="A651" t="s">
        <v>993</v>
      </c>
      <c r="B651" t="s">
        <v>281</v>
      </c>
      <c r="C651" t="s">
        <v>18</v>
      </c>
      <c r="D651">
        <v>41</v>
      </c>
      <c r="E651" t="s">
        <v>44</v>
      </c>
      <c r="F651" t="s">
        <v>91</v>
      </c>
      <c r="G651" t="s">
        <v>104</v>
      </c>
      <c r="H651">
        <v>6895</v>
      </c>
      <c r="I651">
        <v>5610</v>
      </c>
      <c r="J651">
        <v>1285</v>
      </c>
      <c r="K651" t="s">
        <v>59</v>
      </c>
      <c r="L651" t="s">
        <v>23</v>
      </c>
      <c r="M651">
        <v>15</v>
      </c>
      <c r="N651" t="s">
        <v>193</v>
      </c>
      <c r="O651" s="6">
        <f t="shared" ca="1" si="10"/>
        <v>45678</v>
      </c>
      <c r="P651">
        <v>4.8</v>
      </c>
    </row>
    <row r="652" spans="1:16" x14ac:dyDescent="0.3">
      <c r="A652" t="s">
        <v>994</v>
      </c>
      <c r="B652" t="s">
        <v>325</v>
      </c>
      <c r="C652" t="s">
        <v>51</v>
      </c>
      <c r="D652">
        <v>37</v>
      </c>
      <c r="E652" t="s">
        <v>87</v>
      </c>
      <c r="F652" t="s">
        <v>64</v>
      </c>
      <c r="G652" t="s">
        <v>92</v>
      </c>
      <c r="H652">
        <v>869</v>
      </c>
      <c r="I652">
        <v>646</v>
      </c>
      <c r="J652">
        <v>223</v>
      </c>
      <c r="K652" t="s">
        <v>88</v>
      </c>
      <c r="L652" t="s">
        <v>32</v>
      </c>
      <c r="M652">
        <v>1</v>
      </c>
      <c r="N652" t="s">
        <v>193</v>
      </c>
      <c r="O652" s="6">
        <f t="shared" ca="1" si="10"/>
        <v>45720</v>
      </c>
      <c r="P652">
        <v>4.5999999999999996</v>
      </c>
    </row>
    <row r="653" spans="1:16" x14ac:dyDescent="0.3">
      <c r="A653" t="s">
        <v>995</v>
      </c>
      <c r="B653" t="s">
        <v>598</v>
      </c>
      <c r="C653" t="s">
        <v>103</v>
      </c>
      <c r="D653">
        <v>63</v>
      </c>
      <c r="E653" t="s">
        <v>44</v>
      </c>
      <c r="F653" t="s">
        <v>91</v>
      </c>
      <c r="G653" t="s">
        <v>39</v>
      </c>
      <c r="H653">
        <v>8292</v>
      </c>
      <c r="I653">
        <v>5566</v>
      </c>
      <c r="J653">
        <v>2726</v>
      </c>
      <c r="K653" t="s">
        <v>22</v>
      </c>
      <c r="L653" t="s">
        <v>32</v>
      </c>
      <c r="M653">
        <v>11</v>
      </c>
      <c r="N653" t="s">
        <v>48</v>
      </c>
      <c r="O653" s="6">
        <f t="shared" ca="1" si="10"/>
        <v>45910</v>
      </c>
      <c r="P653">
        <v>4.5</v>
      </c>
    </row>
    <row r="654" spans="1:16" x14ac:dyDescent="0.3">
      <c r="A654" t="s">
        <v>996</v>
      </c>
      <c r="B654" t="s">
        <v>157</v>
      </c>
      <c r="C654" t="s">
        <v>36</v>
      </c>
      <c r="D654">
        <v>33</v>
      </c>
      <c r="E654" t="s">
        <v>87</v>
      </c>
      <c r="F654" t="s">
        <v>136</v>
      </c>
      <c r="G654" t="s">
        <v>30</v>
      </c>
      <c r="H654">
        <v>1776</v>
      </c>
      <c r="I654">
        <v>719</v>
      </c>
      <c r="J654">
        <v>1057</v>
      </c>
      <c r="K654" t="s">
        <v>31</v>
      </c>
      <c r="L654" t="s">
        <v>32</v>
      </c>
      <c r="M654">
        <v>3</v>
      </c>
      <c r="N654" t="s">
        <v>33</v>
      </c>
      <c r="O654" s="6">
        <f t="shared" ca="1" si="10"/>
        <v>45672</v>
      </c>
      <c r="P654">
        <v>3.8</v>
      </c>
    </row>
    <row r="655" spans="1:16" x14ac:dyDescent="0.3">
      <c r="A655" t="s">
        <v>997</v>
      </c>
      <c r="B655" t="s">
        <v>334</v>
      </c>
      <c r="C655" t="s">
        <v>18</v>
      </c>
      <c r="D655">
        <v>50</v>
      </c>
      <c r="E655" t="s">
        <v>78</v>
      </c>
      <c r="F655" t="s">
        <v>91</v>
      </c>
      <c r="G655" t="s">
        <v>73</v>
      </c>
      <c r="H655">
        <v>1355</v>
      </c>
      <c r="I655">
        <v>678</v>
      </c>
      <c r="J655">
        <v>677</v>
      </c>
      <c r="K655" t="s">
        <v>88</v>
      </c>
      <c r="L655" t="s">
        <v>47</v>
      </c>
      <c r="M655">
        <v>3</v>
      </c>
      <c r="N655" t="s">
        <v>69</v>
      </c>
      <c r="O655" s="6">
        <f t="shared" ca="1" si="10"/>
        <v>45967</v>
      </c>
      <c r="P655">
        <v>3.8</v>
      </c>
    </row>
    <row r="656" spans="1:16" x14ac:dyDescent="0.3">
      <c r="A656" t="s">
        <v>998</v>
      </c>
      <c r="B656" t="s">
        <v>999</v>
      </c>
      <c r="C656" t="s">
        <v>56</v>
      </c>
      <c r="D656">
        <v>58</v>
      </c>
      <c r="E656" t="s">
        <v>19</v>
      </c>
      <c r="F656" t="s">
        <v>52</v>
      </c>
      <c r="G656" t="s">
        <v>39</v>
      </c>
      <c r="H656">
        <v>6968</v>
      </c>
      <c r="I656">
        <v>5164</v>
      </c>
      <c r="J656">
        <v>1804</v>
      </c>
      <c r="K656" t="s">
        <v>88</v>
      </c>
      <c r="L656" t="s">
        <v>23</v>
      </c>
      <c r="M656">
        <v>1</v>
      </c>
      <c r="N656" t="s">
        <v>53</v>
      </c>
      <c r="O656" s="6">
        <f t="shared" ca="1" si="10"/>
        <v>45874</v>
      </c>
      <c r="P656">
        <v>3.1</v>
      </c>
    </row>
    <row r="657" spans="1:16" x14ac:dyDescent="0.3">
      <c r="A657" t="s">
        <v>1000</v>
      </c>
      <c r="B657" t="s">
        <v>178</v>
      </c>
      <c r="C657" t="s">
        <v>56</v>
      </c>
      <c r="D657">
        <v>58</v>
      </c>
      <c r="E657" t="s">
        <v>44</v>
      </c>
      <c r="F657" t="s">
        <v>29</v>
      </c>
      <c r="G657" t="s">
        <v>39</v>
      </c>
      <c r="H657">
        <v>2999</v>
      </c>
      <c r="I657">
        <v>803</v>
      </c>
      <c r="J657">
        <v>2196</v>
      </c>
      <c r="K657" t="s">
        <v>88</v>
      </c>
      <c r="L657" t="s">
        <v>23</v>
      </c>
      <c r="M657">
        <v>9</v>
      </c>
      <c r="N657" t="s">
        <v>118</v>
      </c>
      <c r="O657" s="6">
        <f t="shared" ca="1" si="10"/>
        <v>45898</v>
      </c>
      <c r="P657">
        <v>4</v>
      </c>
    </row>
    <row r="658" spans="1:16" x14ac:dyDescent="0.3">
      <c r="A658" t="s">
        <v>1001</v>
      </c>
      <c r="B658" t="s">
        <v>596</v>
      </c>
      <c r="C658" t="s">
        <v>36</v>
      </c>
      <c r="D658">
        <v>54</v>
      </c>
      <c r="E658" t="s">
        <v>28</v>
      </c>
      <c r="F658" t="s">
        <v>64</v>
      </c>
      <c r="G658" t="s">
        <v>79</v>
      </c>
      <c r="H658">
        <v>5553</v>
      </c>
      <c r="I658">
        <v>3087</v>
      </c>
      <c r="J658">
        <v>2466</v>
      </c>
      <c r="K658" t="s">
        <v>22</v>
      </c>
      <c r="L658" t="s">
        <v>32</v>
      </c>
      <c r="M658">
        <v>15</v>
      </c>
      <c r="N658" t="s">
        <v>48</v>
      </c>
      <c r="O658" s="6">
        <f t="shared" ca="1" si="10"/>
        <v>45764</v>
      </c>
      <c r="P658">
        <v>4.5</v>
      </c>
    </row>
    <row r="659" spans="1:16" x14ac:dyDescent="0.3">
      <c r="A659" t="s">
        <v>1002</v>
      </c>
      <c r="B659" t="s">
        <v>249</v>
      </c>
      <c r="C659" t="s">
        <v>43</v>
      </c>
      <c r="D659">
        <v>49</v>
      </c>
      <c r="E659" t="s">
        <v>37</v>
      </c>
      <c r="F659" t="s">
        <v>136</v>
      </c>
      <c r="G659" t="s">
        <v>126</v>
      </c>
      <c r="H659">
        <v>3846</v>
      </c>
      <c r="I659">
        <v>2859</v>
      </c>
      <c r="J659">
        <v>987</v>
      </c>
      <c r="K659" t="s">
        <v>59</v>
      </c>
      <c r="L659" t="s">
        <v>32</v>
      </c>
      <c r="M659">
        <v>8</v>
      </c>
      <c r="N659" t="s">
        <v>33</v>
      </c>
      <c r="O659" s="6">
        <f t="shared" ca="1" si="10"/>
        <v>45701</v>
      </c>
      <c r="P659">
        <v>4.2</v>
      </c>
    </row>
    <row r="660" spans="1:16" x14ac:dyDescent="0.3">
      <c r="A660" t="s">
        <v>1003</v>
      </c>
      <c r="B660" t="s">
        <v>760</v>
      </c>
      <c r="C660" t="s">
        <v>43</v>
      </c>
      <c r="D660">
        <v>59</v>
      </c>
      <c r="E660" t="s">
        <v>63</v>
      </c>
      <c r="F660" t="s">
        <v>20</v>
      </c>
      <c r="G660" t="s">
        <v>39</v>
      </c>
      <c r="H660">
        <v>8220</v>
      </c>
      <c r="I660">
        <v>6422</v>
      </c>
      <c r="J660">
        <v>1798</v>
      </c>
      <c r="K660" t="s">
        <v>68</v>
      </c>
      <c r="L660" t="s">
        <v>47</v>
      </c>
      <c r="M660">
        <v>5</v>
      </c>
      <c r="N660" t="s">
        <v>40</v>
      </c>
      <c r="O660" s="6">
        <f t="shared" ca="1" si="10"/>
        <v>45891</v>
      </c>
      <c r="P660">
        <v>1.4</v>
      </c>
    </row>
    <row r="661" spans="1:16" x14ac:dyDescent="0.3">
      <c r="A661" t="s">
        <v>1004</v>
      </c>
      <c r="B661" t="s">
        <v>392</v>
      </c>
      <c r="C661" t="s">
        <v>129</v>
      </c>
      <c r="D661">
        <v>60</v>
      </c>
      <c r="E661" t="s">
        <v>19</v>
      </c>
      <c r="F661" t="s">
        <v>45</v>
      </c>
      <c r="G661" t="s">
        <v>21</v>
      </c>
      <c r="H661">
        <v>8141</v>
      </c>
      <c r="I661">
        <v>5964</v>
      </c>
      <c r="J661">
        <v>2177</v>
      </c>
      <c r="K661" t="s">
        <v>88</v>
      </c>
      <c r="L661" t="s">
        <v>47</v>
      </c>
      <c r="M661">
        <v>4</v>
      </c>
      <c r="N661" t="s">
        <v>193</v>
      </c>
      <c r="O661" s="6">
        <f t="shared" ca="1" si="10"/>
        <v>45922</v>
      </c>
      <c r="P661">
        <v>4.2</v>
      </c>
    </row>
    <row r="662" spans="1:16" x14ac:dyDescent="0.3">
      <c r="A662" t="s">
        <v>1005</v>
      </c>
      <c r="B662" t="s">
        <v>229</v>
      </c>
      <c r="C662" t="s">
        <v>103</v>
      </c>
      <c r="D662">
        <v>52</v>
      </c>
      <c r="E662" t="s">
        <v>72</v>
      </c>
      <c r="F662" t="s">
        <v>52</v>
      </c>
      <c r="G662" t="s">
        <v>30</v>
      </c>
      <c r="H662">
        <v>5453</v>
      </c>
      <c r="I662">
        <v>5061</v>
      </c>
      <c r="J662">
        <v>392</v>
      </c>
      <c r="K662" t="s">
        <v>68</v>
      </c>
      <c r="L662" t="s">
        <v>47</v>
      </c>
      <c r="M662">
        <v>2</v>
      </c>
      <c r="N662" t="s">
        <v>40</v>
      </c>
      <c r="O662" s="6">
        <f t="shared" ca="1" si="10"/>
        <v>45962</v>
      </c>
      <c r="P662">
        <v>2.5</v>
      </c>
    </row>
    <row r="663" spans="1:16" x14ac:dyDescent="0.3">
      <c r="A663" t="s">
        <v>1006</v>
      </c>
      <c r="B663" t="s">
        <v>797</v>
      </c>
      <c r="C663" t="s">
        <v>27</v>
      </c>
      <c r="D663">
        <v>23</v>
      </c>
      <c r="E663" t="s">
        <v>87</v>
      </c>
      <c r="F663" t="s">
        <v>38</v>
      </c>
      <c r="G663" t="s">
        <v>73</v>
      </c>
      <c r="H663">
        <v>4162</v>
      </c>
      <c r="I663">
        <v>1433</v>
      </c>
      <c r="J663">
        <v>2729</v>
      </c>
      <c r="K663" t="s">
        <v>68</v>
      </c>
      <c r="L663" t="s">
        <v>32</v>
      </c>
      <c r="M663">
        <v>9</v>
      </c>
      <c r="N663" t="s">
        <v>33</v>
      </c>
      <c r="O663" s="6">
        <f t="shared" ca="1" si="10"/>
        <v>46018</v>
      </c>
      <c r="P663">
        <v>3.7</v>
      </c>
    </row>
    <row r="664" spans="1:16" x14ac:dyDescent="0.3">
      <c r="A664" t="s">
        <v>1007</v>
      </c>
      <c r="B664" t="s">
        <v>106</v>
      </c>
      <c r="C664" t="s">
        <v>43</v>
      </c>
      <c r="D664">
        <v>23</v>
      </c>
      <c r="E664" t="s">
        <v>82</v>
      </c>
      <c r="F664" t="s">
        <v>45</v>
      </c>
      <c r="G664" t="s">
        <v>126</v>
      </c>
      <c r="H664">
        <v>8464</v>
      </c>
      <c r="I664">
        <v>6153</v>
      </c>
      <c r="J664">
        <v>2311</v>
      </c>
      <c r="K664" t="s">
        <v>88</v>
      </c>
      <c r="L664" t="s">
        <v>47</v>
      </c>
      <c r="M664">
        <v>2</v>
      </c>
      <c r="N664" t="s">
        <v>24</v>
      </c>
      <c r="O664" s="6">
        <f t="shared" ca="1" si="10"/>
        <v>45978</v>
      </c>
      <c r="P664">
        <v>3.7</v>
      </c>
    </row>
    <row r="665" spans="1:16" x14ac:dyDescent="0.3">
      <c r="A665" t="s">
        <v>1008</v>
      </c>
      <c r="B665" t="s">
        <v>1009</v>
      </c>
      <c r="C665" t="s">
        <v>51</v>
      </c>
      <c r="D665">
        <v>60</v>
      </c>
      <c r="E665" t="s">
        <v>87</v>
      </c>
      <c r="F665" t="s">
        <v>29</v>
      </c>
      <c r="G665" t="s">
        <v>46</v>
      </c>
      <c r="H665">
        <v>5286</v>
      </c>
      <c r="I665">
        <v>4655</v>
      </c>
      <c r="J665">
        <v>631</v>
      </c>
      <c r="K665" t="s">
        <v>59</v>
      </c>
      <c r="L665" t="s">
        <v>47</v>
      </c>
      <c r="M665">
        <v>2</v>
      </c>
      <c r="N665" t="s">
        <v>33</v>
      </c>
      <c r="O665" s="6">
        <f t="shared" ca="1" si="10"/>
        <v>45914</v>
      </c>
      <c r="P665">
        <v>4.5999999999999996</v>
      </c>
    </row>
    <row r="666" spans="1:16" x14ac:dyDescent="0.3">
      <c r="A666" t="s">
        <v>1010</v>
      </c>
      <c r="B666" t="s">
        <v>396</v>
      </c>
      <c r="C666" t="s">
        <v>56</v>
      </c>
      <c r="D666">
        <v>53</v>
      </c>
      <c r="E666" t="s">
        <v>63</v>
      </c>
      <c r="F666" t="s">
        <v>98</v>
      </c>
      <c r="G666" t="s">
        <v>126</v>
      </c>
      <c r="H666">
        <v>7489</v>
      </c>
      <c r="I666">
        <v>5800</v>
      </c>
      <c r="J666">
        <v>1689</v>
      </c>
      <c r="K666" t="s">
        <v>88</v>
      </c>
      <c r="L666" t="s">
        <v>47</v>
      </c>
      <c r="M666">
        <v>3</v>
      </c>
      <c r="N666" t="s">
        <v>53</v>
      </c>
      <c r="O666" s="6">
        <f t="shared" ca="1" si="10"/>
        <v>45949</v>
      </c>
      <c r="P666">
        <v>4.2</v>
      </c>
    </row>
    <row r="667" spans="1:16" x14ac:dyDescent="0.3">
      <c r="A667" t="s">
        <v>1011</v>
      </c>
      <c r="B667" t="s">
        <v>675</v>
      </c>
      <c r="C667" t="s">
        <v>36</v>
      </c>
      <c r="D667">
        <v>36</v>
      </c>
      <c r="E667" t="s">
        <v>63</v>
      </c>
      <c r="F667" t="s">
        <v>38</v>
      </c>
      <c r="G667" t="s">
        <v>39</v>
      </c>
      <c r="H667">
        <v>5538</v>
      </c>
      <c r="I667">
        <v>4637</v>
      </c>
      <c r="J667">
        <v>901</v>
      </c>
      <c r="K667" t="s">
        <v>59</v>
      </c>
      <c r="L667" t="s">
        <v>32</v>
      </c>
      <c r="M667">
        <v>6</v>
      </c>
      <c r="N667" t="s">
        <v>48</v>
      </c>
      <c r="O667" s="6">
        <f t="shared" ca="1" si="10"/>
        <v>45829</v>
      </c>
      <c r="P667">
        <v>4.5</v>
      </c>
    </row>
    <row r="668" spans="1:16" x14ac:dyDescent="0.3">
      <c r="A668" t="s">
        <v>1012</v>
      </c>
      <c r="B668" t="s">
        <v>480</v>
      </c>
      <c r="C668" t="s">
        <v>27</v>
      </c>
      <c r="D668">
        <v>47</v>
      </c>
      <c r="E668" t="s">
        <v>19</v>
      </c>
      <c r="F668" t="s">
        <v>20</v>
      </c>
      <c r="G668" t="s">
        <v>73</v>
      </c>
      <c r="H668">
        <v>5762</v>
      </c>
      <c r="I668">
        <v>3886</v>
      </c>
      <c r="J668">
        <v>1876</v>
      </c>
      <c r="K668" t="s">
        <v>68</v>
      </c>
      <c r="L668" t="s">
        <v>47</v>
      </c>
      <c r="M668">
        <v>4</v>
      </c>
      <c r="N668" t="s">
        <v>40</v>
      </c>
      <c r="O668" s="6">
        <f t="shared" ca="1" si="10"/>
        <v>45663</v>
      </c>
      <c r="P668">
        <v>2.8</v>
      </c>
    </row>
    <row r="669" spans="1:16" x14ac:dyDescent="0.3">
      <c r="A669" t="s">
        <v>1013</v>
      </c>
      <c r="B669" t="s">
        <v>877</v>
      </c>
      <c r="C669" t="s">
        <v>129</v>
      </c>
      <c r="D669">
        <v>21</v>
      </c>
      <c r="E669" t="s">
        <v>82</v>
      </c>
      <c r="F669" t="s">
        <v>98</v>
      </c>
      <c r="G669" t="s">
        <v>21</v>
      </c>
      <c r="H669">
        <v>4760</v>
      </c>
      <c r="I669">
        <v>3271</v>
      </c>
      <c r="J669">
        <v>1489</v>
      </c>
      <c r="K669" t="s">
        <v>22</v>
      </c>
      <c r="L669" t="s">
        <v>32</v>
      </c>
      <c r="M669">
        <v>13</v>
      </c>
      <c r="N669" t="s">
        <v>193</v>
      </c>
      <c r="O669" s="6">
        <f t="shared" ca="1" si="10"/>
        <v>45834</v>
      </c>
      <c r="P669">
        <v>4.3</v>
      </c>
    </row>
    <row r="670" spans="1:16" x14ac:dyDescent="0.3">
      <c r="A670" t="s">
        <v>1014</v>
      </c>
      <c r="B670" t="s">
        <v>785</v>
      </c>
      <c r="C670" t="s">
        <v>36</v>
      </c>
      <c r="D670">
        <v>63</v>
      </c>
      <c r="E670" t="s">
        <v>78</v>
      </c>
      <c r="F670" t="s">
        <v>67</v>
      </c>
      <c r="G670" t="s">
        <v>46</v>
      </c>
      <c r="H670">
        <v>8578</v>
      </c>
      <c r="I670">
        <v>5674</v>
      </c>
      <c r="J670">
        <v>2904</v>
      </c>
      <c r="K670" t="s">
        <v>88</v>
      </c>
      <c r="L670" t="s">
        <v>47</v>
      </c>
      <c r="M670">
        <v>2</v>
      </c>
      <c r="N670" t="s">
        <v>40</v>
      </c>
      <c r="O670" s="6">
        <f t="shared" ca="1" si="10"/>
        <v>45930</v>
      </c>
      <c r="P670">
        <v>1.3</v>
      </c>
    </row>
    <row r="671" spans="1:16" x14ac:dyDescent="0.3">
      <c r="A671" t="s">
        <v>1015</v>
      </c>
      <c r="B671" t="s">
        <v>636</v>
      </c>
      <c r="C671" t="s">
        <v>18</v>
      </c>
      <c r="D671">
        <v>41</v>
      </c>
      <c r="E671" t="s">
        <v>57</v>
      </c>
      <c r="F671" t="s">
        <v>136</v>
      </c>
      <c r="G671" t="s">
        <v>39</v>
      </c>
      <c r="H671">
        <v>7523</v>
      </c>
      <c r="I671">
        <v>4823</v>
      </c>
      <c r="J671">
        <v>2700</v>
      </c>
      <c r="K671" t="s">
        <v>88</v>
      </c>
      <c r="L671" t="s">
        <v>32</v>
      </c>
      <c r="M671">
        <v>5</v>
      </c>
      <c r="N671" t="s">
        <v>40</v>
      </c>
      <c r="O671" s="6">
        <f t="shared" ca="1" si="10"/>
        <v>45929</v>
      </c>
      <c r="P671">
        <v>1.4</v>
      </c>
    </row>
    <row r="672" spans="1:16" x14ac:dyDescent="0.3">
      <c r="A672" t="s">
        <v>1016</v>
      </c>
      <c r="B672" t="s">
        <v>287</v>
      </c>
      <c r="C672" t="s">
        <v>27</v>
      </c>
      <c r="D672">
        <v>60</v>
      </c>
      <c r="E672" t="s">
        <v>44</v>
      </c>
      <c r="F672" t="s">
        <v>91</v>
      </c>
      <c r="G672" t="s">
        <v>58</v>
      </c>
      <c r="H672">
        <v>9759</v>
      </c>
      <c r="I672">
        <v>6902</v>
      </c>
      <c r="J672">
        <v>2857</v>
      </c>
      <c r="K672" t="s">
        <v>22</v>
      </c>
      <c r="L672" t="s">
        <v>23</v>
      </c>
      <c r="M672">
        <v>4</v>
      </c>
      <c r="N672" t="s">
        <v>116</v>
      </c>
      <c r="O672" s="6">
        <f t="shared" ca="1" si="10"/>
        <v>45686</v>
      </c>
      <c r="P672">
        <v>3.4</v>
      </c>
    </row>
    <row r="673" spans="1:16" x14ac:dyDescent="0.3">
      <c r="A673" t="s">
        <v>1017</v>
      </c>
      <c r="B673" t="s">
        <v>270</v>
      </c>
      <c r="C673" t="s">
        <v>103</v>
      </c>
      <c r="D673">
        <v>29</v>
      </c>
      <c r="E673" t="s">
        <v>82</v>
      </c>
      <c r="F673" t="s">
        <v>29</v>
      </c>
      <c r="G673" t="s">
        <v>39</v>
      </c>
      <c r="H673">
        <v>2830</v>
      </c>
      <c r="I673">
        <v>2250</v>
      </c>
      <c r="J673">
        <v>580</v>
      </c>
      <c r="K673" t="s">
        <v>59</v>
      </c>
      <c r="L673" t="s">
        <v>23</v>
      </c>
      <c r="M673">
        <v>5</v>
      </c>
      <c r="N673" t="s">
        <v>74</v>
      </c>
      <c r="O673" s="6">
        <f t="shared" ca="1" si="10"/>
        <v>45854</v>
      </c>
      <c r="P673">
        <v>3.9</v>
      </c>
    </row>
    <row r="674" spans="1:16" x14ac:dyDescent="0.3">
      <c r="A674" t="s">
        <v>1018</v>
      </c>
      <c r="B674" t="s">
        <v>259</v>
      </c>
      <c r="C674" t="s">
        <v>27</v>
      </c>
      <c r="D674">
        <v>58</v>
      </c>
      <c r="E674" t="s">
        <v>72</v>
      </c>
      <c r="F674" t="s">
        <v>52</v>
      </c>
      <c r="G674" t="s">
        <v>39</v>
      </c>
      <c r="H674">
        <v>8382</v>
      </c>
      <c r="I674">
        <v>6451</v>
      </c>
      <c r="J674">
        <v>1931</v>
      </c>
      <c r="K674" t="s">
        <v>68</v>
      </c>
      <c r="L674" t="s">
        <v>32</v>
      </c>
      <c r="M674">
        <v>0</v>
      </c>
      <c r="N674" t="s">
        <v>40</v>
      </c>
      <c r="O674" s="6">
        <f t="shared" ca="1" si="10"/>
        <v>45888</v>
      </c>
      <c r="P674">
        <v>1.7</v>
      </c>
    </row>
    <row r="675" spans="1:16" x14ac:dyDescent="0.3">
      <c r="A675" t="s">
        <v>1019</v>
      </c>
      <c r="B675" t="s">
        <v>198</v>
      </c>
      <c r="C675" t="s">
        <v>27</v>
      </c>
      <c r="D675">
        <v>43</v>
      </c>
      <c r="E675" t="s">
        <v>87</v>
      </c>
      <c r="F675" t="s">
        <v>136</v>
      </c>
      <c r="G675" t="s">
        <v>21</v>
      </c>
      <c r="H675">
        <v>5596</v>
      </c>
      <c r="I675">
        <v>4176</v>
      </c>
      <c r="J675">
        <v>1420</v>
      </c>
      <c r="K675" t="s">
        <v>59</v>
      </c>
      <c r="L675" t="s">
        <v>47</v>
      </c>
      <c r="M675">
        <v>1</v>
      </c>
      <c r="N675" t="s">
        <v>69</v>
      </c>
      <c r="O675" s="6">
        <f t="shared" ca="1" si="10"/>
        <v>45821</v>
      </c>
      <c r="P675">
        <v>4.3</v>
      </c>
    </row>
    <row r="676" spans="1:16" x14ac:dyDescent="0.3">
      <c r="A676" t="s">
        <v>1020</v>
      </c>
      <c r="B676" t="s">
        <v>668</v>
      </c>
      <c r="C676" t="s">
        <v>27</v>
      </c>
      <c r="D676">
        <v>59</v>
      </c>
      <c r="E676" t="s">
        <v>19</v>
      </c>
      <c r="F676" t="s">
        <v>38</v>
      </c>
      <c r="G676" t="s">
        <v>39</v>
      </c>
      <c r="H676">
        <v>5761</v>
      </c>
      <c r="I676">
        <v>2830</v>
      </c>
      <c r="J676">
        <v>2931</v>
      </c>
      <c r="K676" t="s">
        <v>59</v>
      </c>
      <c r="L676" t="s">
        <v>47</v>
      </c>
      <c r="M676">
        <v>12</v>
      </c>
      <c r="N676" t="s">
        <v>118</v>
      </c>
      <c r="O676" s="6">
        <f t="shared" ca="1" si="10"/>
        <v>45667</v>
      </c>
      <c r="P676">
        <v>3.9</v>
      </c>
    </row>
    <row r="677" spans="1:16" x14ac:dyDescent="0.3">
      <c r="A677" t="s">
        <v>1021</v>
      </c>
      <c r="B677" t="s">
        <v>471</v>
      </c>
      <c r="C677" t="s">
        <v>62</v>
      </c>
      <c r="D677">
        <v>27</v>
      </c>
      <c r="E677" t="s">
        <v>57</v>
      </c>
      <c r="F677" t="s">
        <v>29</v>
      </c>
      <c r="G677" t="s">
        <v>79</v>
      </c>
      <c r="H677">
        <v>3756</v>
      </c>
      <c r="I677">
        <v>2077</v>
      </c>
      <c r="J677">
        <v>1679</v>
      </c>
      <c r="K677" t="s">
        <v>22</v>
      </c>
      <c r="L677" t="s">
        <v>47</v>
      </c>
      <c r="M677">
        <v>3</v>
      </c>
      <c r="N677" t="s">
        <v>48</v>
      </c>
      <c r="O677" s="6">
        <f t="shared" ca="1" si="10"/>
        <v>45836</v>
      </c>
      <c r="P677">
        <v>3.6</v>
      </c>
    </row>
    <row r="678" spans="1:16" x14ac:dyDescent="0.3">
      <c r="A678" t="s">
        <v>1022</v>
      </c>
      <c r="B678" t="s">
        <v>438</v>
      </c>
      <c r="C678" t="s">
        <v>103</v>
      </c>
      <c r="D678">
        <v>29</v>
      </c>
      <c r="E678" t="s">
        <v>63</v>
      </c>
      <c r="F678" t="s">
        <v>52</v>
      </c>
      <c r="G678" t="s">
        <v>104</v>
      </c>
      <c r="H678">
        <v>2851</v>
      </c>
      <c r="I678">
        <v>1139</v>
      </c>
      <c r="J678">
        <v>1712</v>
      </c>
      <c r="K678" t="s">
        <v>31</v>
      </c>
      <c r="L678" t="s">
        <v>23</v>
      </c>
      <c r="M678">
        <v>7</v>
      </c>
      <c r="N678" t="s">
        <v>118</v>
      </c>
      <c r="O678" s="6">
        <f t="shared" ca="1" si="10"/>
        <v>45859</v>
      </c>
      <c r="P678">
        <v>3.8</v>
      </c>
    </row>
    <row r="679" spans="1:16" x14ac:dyDescent="0.3">
      <c r="A679" t="s">
        <v>1023</v>
      </c>
      <c r="B679" t="s">
        <v>316</v>
      </c>
      <c r="C679" t="s">
        <v>18</v>
      </c>
      <c r="D679">
        <v>58</v>
      </c>
      <c r="E679" t="s">
        <v>63</v>
      </c>
      <c r="F679" t="s">
        <v>64</v>
      </c>
      <c r="G679" t="s">
        <v>104</v>
      </c>
      <c r="H679">
        <v>8349</v>
      </c>
      <c r="I679">
        <v>6144</v>
      </c>
      <c r="J679">
        <v>2205</v>
      </c>
      <c r="K679" t="s">
        <v>31</v>
      </c>
      <c r="L679" t="s">
        <v>47</v>
      </c>
      <c r="M679">
        <v>7</v>
      </c>
      <c r="N679" t="s">
        <v>193</v>
      </c>
      <c r="O679" s="6">
        <f t="shared" ca="1" si="10"/>
        <v>45830</v>
      </c>
      <c r="P679">
        <v>4.5999999999999996</v>
      </c>
    </row>
    <row r="680" spans="1:16" x14ac:dyDescent="0.3">
      <c r="A680" t="s">
        <v>1024</v>
      </c>
      <c r="B680" t="s">
        <v>216</v>
      </c>
      <c r="C680" t="s">
        <v>56</v>
      </c>
      <c r="D680">
        <v>29</v>
      </c>
      <c r="E680" t="s">
        <v>82</v>
      </c>
      <c r="F680" t="s">
        <v>29</v>
      </c>
      <c r="G680" t="s">
        <v>21</v>
      </c>
      <c r="H680">
        <v>7259</v>
      </c>
      <c r="I680">
        <v>6189</v>
      </c>
      <c r="J680">
        <v>1070</v>
      </c>
      <c r="K680" t="s">
        <v>68</v>
      </c>
      <c r="L680" t="s">
        <v>32</v>
      </c>
      <c r="M680">
        <v>1</v>
      </c>
      <c r="N680" t="s">
        <v>193</v>
      </c>
      <c r="O680" s="6">
        <f t="shared" ca="1" si="10"/>
        <v>45994</v>
      </c>
      <c r="P680">
        <v>3.1</v>
      </c>
    </row>
    <row r="681" spans="1:16" x14ac:dyDescent="0.3">
      <c r="A681" t="s">
        <v>1025</v>
      </c>
      <c r="B681" t="s">
        <v>474</v>
      </c>
      <c r="C681" t="s">
        <v>103</v>
      </c>
      <c r="D681">
        <v>28</v>
      </c>
      <c r="E681" t="s">
        <v>87</v>
      </c>
      <c r="F681" t="s">
        <v>38</v>
      </c>
      <c r="G681" t="s">
        <v>79</v>
      </c>
      <c r="H681">
        <v>3236</v>
      </c>
      <c r="I681">
        <v>2872</v>
      </c>
      <c r="J681">
        <v>364</v>
      </c>
      <c r="K681" t="s">
        <v>68</v>
      </c>
      <c r="L681" t="s">
        <v>32</v>
      </c>
      <c r="M681">
        <v>2</v>
      </c>
      <c r="N681" t="s">
        <v>95</v>
      </c>
      <c r="O681" s="6">
        <f t="shared" ca="1" si="10"/>
        <v>45776</v>
      </c>
      <c r="P681">
        <v>4.9000000000000004</v>
      </c>
    </row>
    <row r="682" spans="1:16" x14ac:dyDescent="0.3">
      <c r="A682" t="s">
        <v>1026</v>
      </c>
      <c r="B682" t="s">
        <v>732</v>
      </c>
      <c r="C682" t="s">
        <v>56</v>
      </c>
      <c r="D682">
        <v>22</v>
      </c>
      <c r="E682" t="s">
        <v>78</v>
      </c>
      <c r="F682" t="s">
        <v>20</v>
      </c>
      <c r="G682" t="s">
        <v>79</v>
      </c>
      <c r="H682">
        <v>4354</v>
      </c>
      <c r="I682">
        <v>3955</v>
      </c>
      <c r="J682">
        <v>399</v>
      </c>
      <c r="K682" t="s">
        <v>59</v>
      </c>
      <c r="L682" t="s">
        <v>23</v>
      </c>
      <c r="M682">
        <v>2</v>
      </c>
      <c r="N682" t="s">
        <v>40</v>
      </c>
      <c r="O682" s="6">
        <f t="shared" ca="1" si="10"/>
        <v>45658</v>
      </c>
      <c r="P682">
        <v>1.8</v>
      </c>
    </row>
    <row r="683" spans="1:16" x14ac:dyDescent="0.3">
      <c r="A683" t="s">
        <v>1027</v>
      </c>
      <c r="B683" t="s">
        <v>162</v>
      </c>
      <c r="C683" t="s">
        <v>56</v>
      </c>
      <c r="D683">
        <v>21</v>
      </c>
      <c r="E683" t="s">
        <v>87</v>
      </c>
      <c r="F683" t="s">
        <v>29</v>
      </c>
      <c r="G683" t="s">
        <v>58</v>
      </c>
      <c r="H683">
        <v>1436</v>
      </c>
      <c r="I683">
        <v>1053</v>
      </c>
      <c r="J683">
        <v>383</v>
      </c>
      <c r="K683" t="s">
        <v>88</v>
      </c>
      <c r="L683" t="s">
        <v>23</v>
      </c>
      <c r="M683">
        <v>10</v>
      </c>
      <c r="N683" t="s">
        <v>116</v>
      </c>
      <c r="O683" s="6">
        <f t="shared" ca="1" si="10"/>
        <v>45980</v>
      </c>
      <c r="P683">
        <v>3.3</v>
      </c>
    </row>
    <row r="684" spans="1:16" x14ac:dyDescent="0.3">
      <c r="A684" t="s">
        <v>1028</v>
      </c>
      <c r="B684" t="s">
        <v>106</v>
      </c>
      <c r="C684" t="s">
        <v>103</v>
      </c>
      <c r="D684">
        <v>51</v>
      </c>
      <c r="E684" t="s">
        <v>44</v>
      </c>
      <c r="F684" t="s">
        <v>20</v>
      </c>
      <c r="G684" t="s">
        <v>126</v>
      </c>
      <c r="H684">
        <v>7441</v>
      </c>
      <c r="I684">
        <v>4635</v>
      </c>
      <c r="J684">
        <v>2806</v>
      </c>
      <c r="K684" t="s">
        <v>68</v>
      </c>
      <c r="L684" t="s">
        <v>32</v>
      </c>
      <c r="M684">
        <v>8</v>
      </c>
      <c r="N684" t="s">
        <v>69</v>
      </c>
      <c r="O684" s="6">
        <f t="shared" ca="1" si="10"/>
        <v>45908</v>
      </c>
      <c r="P684">
        <v>4.4000000000000004</v>
      </c>
    </row>
    <row r="685" spans="1:16" x14ac:dyDescent="0.3">
      <c r="A685" t="s">
        <v>1029</v>
      </c>
      <c r="B685" t="s">
        <v>90</v>
      </c>
      <c r="C685" t="s">
        <v>51</v>
      </c>
      <c r="D685">
        <v>63</v>
      </c>
      <c r="E685" t="s">
        <v>44</v>
      </c>
      <c r="F685" t="s">
        <v>64</v>
      </c>
      <c r="G685" t="s">
        <v>73</v>
      </c>
      <c r="H685">
        <v>4226</v>
      </c>
      <c r="I685">
        <v>2407</v>
      </c>
      <c r="J685">
        <v>1819</v>
      </c>
      <c r="K685" t="s">
        <v>22</v>
      </c>
      <c r="L685" t="s">
        <v>23</v>
      </c>
      <c r="M685">
        <v>1</v>
      </c>
      <c r="N685" t="s">
        <v>69</v>
      </c>
      <c r="O685" s="6">
        <f t="shared" ca="1" si="10"/>
        <v>45824</v>
      </c>
      <c r="P685">
        <v>4.7</v>
      </c>
    </row>
    <row r="686" spans="1:16" x14ac:dyDescent="0.3">
      <c r="A686" t="s">
        <v>1030</v>
      </c>
      <c r="B686" t="s">
        <v>627</v>
      </c>
      <c r="C686" t="s">
        <v>36</v>
      </c>
      <c r="D686">
        <v>57</v>
      </c>
      <c r="E686" t="s">
        <v>72</v>
      </c>
      <c r="F686" t="s">
        <v>29</v>
      </c>
      <c r="G686" t="s">
        <v>21</v>
      </c>
      <c r="H686">
        <v>8265</v>
      </c>
      <c r="I686">
        <v>5774</v>
      </c>
      <c r="J686">
        <v>2491</v>
      </c>
      <c r="K686" t="s">
        <v>22</v>
      </c>
      <c r="L686" t="s">
        <v>32</v>
      </c>
      <c r="M686">
        <v>10</v>
      </c>
      <c r="N686" t="s">
        <v>74</v>
      </c>
      <c r="O686" s="6">
        <f t="shared" ca="1" si="10"/>
        <v>45680</v>
      </c>
      <c r="P686">
        <v>3.9</v>
      </c>
    </row>
    <row r="687" spans="1:16" x14ac:dyDescent="0.3">
      <c r="A687" t="s">
        <v>1031</v>
      </c>
      <c r="B687" t="s">
        <v>359</v>
      </c>
      <c r="C687" t="s">
        <v>62</v>
      </c>
      <c r="D687">
        <v>51</v>
      </c>
      <c r="E687" t="s">
        <v>82</v>
      </c>
      <c r="F687" t="s">
        <v>136</v>
      </c>
      <c r="G687" t="s">
        <v>21</v>
      </c>
      <c r="H687">
        <v>8270</v>
      </c>
      <c r="I687">
        <v>5892</v>
      </c>
      <c r="J687">
        <v>2378</v>
      </c>
      <c r="K687" t="s">
        <v>59</v>
      </c>
      <c r="L687" t="s">
        <v>32</v>
      </c>
      <c r="M687">
        <v>1</v>
      </c>
      <c r="N687" t="s">
        <v>116</v>
      </c>
      <c r="O687" s="6">
        <f t="shared" ca="1" si="10"/>
        <v>46001</v>
      </c>
      <c r="P687">
        <v>3.2</v>
      </c>
    </row>
    <row r="688" spans="1:16" x14ac:dyDescent="0.3">
      <c r="A688" t="s">
        <v>1032</v>
      </c>
      <c r="B688" t="s">
        <v>304</v>
      </c>
      <c r="C688" t="s">
        <v>77</v>
      </c>
      <c r="D688">
        <v>55</v>
      </c>
      <c r="E688" t="s">
        <v>44</v>
      </c>
      <c r="F688" t="s">
        <v>38</v>
      </c>
      <c r="G688" t="s">
        <v>73</v>
      </c>
      <c r="H688">
        <v>5708</v>
      </c>
      <c r="I688">
        <v>5324</v>
      </c>
      <c r="J688">
        <v>384</v>
      </c>
      <c r="K688" t="s">
        <v>88</v>
      </c>
      <c r="L688" t="s">
        <v>32</v>
      </c>
      <c r="M688">
        <v>15</v>
      </c>
      <c r="N688" t="s">
        <v>24</v>
      </c>
      <c r="O688" s="6">
        <f t="shared" ca="1" si="10"/>
        <v>45747</v>
      </c>
      <c r="P688">
        <v>4.4000000000000004</v>
      </c>
    </row>
    <row r="689" spans="1:16" x14ac:dyDescent="0.3">
      <c r="A689" t="s">
        <v>1033</v>
      </c>
      <c r="B689" t="s">
        <v>694</v>
      </c>
      <c r="C689" t="s">
        <v>36</v>
      </c>
      <c r="D689">
        <v>54</v>
      </c>
      <c r="E689" t="s">
        <v>57</v>
      </c>
      <c r="F689" t="s">
        <v>64</v>
      </c>
      <c r="G689" t="s">
        <v>39</v>
      </c>
      <c r="H689">
        <v>1914</v>
      </c>
      <c r="I689">
        <v>1245</v>
      </c>
      <c r="J689">
        <v>669</v>
      </c>
      <c r="K689" t="s">
        <v>68</v>
      </c>
      <c r="L689" t="s">
        <v>32</v>
      </c>
      <c r="M689">
        <v>4</v>
      </c>
      <c r="N689" t="s">
        <v>40</v>
      </c>
      <c r="O689" s="6">
        <f t="shared" ca="1" si="10"/>
        <v>45797</v>
      </c>
      <c r="P689">
        <v>1.2</v>
      </c>
    </row>
    <row r="690" spans="1:16" x14ac:dyDescent="0.3">
      <c r="A690" t="s">
        <v>1034</v>
      </c>
      <c r="B690" t="s">
        <v>157</v>
      </c>
      <c r="C690" t="s">
        <v>18</v>
      </c>
      <c r="D690">
        <v>26</v>
      </c>
      <c r="E690" t="s">
        <v>78</v>
      </c>
      <c r="F690" t="s">
        <v>45</v>
      </c>
      <c r="G690" t="s">
        <v>73</v>
      </c>
      <c r="H690">
        <v>6952</v>
      </c>
      <c r="I690">
        <v>6059</v>
      </c>
      <c r="J690">
        <v>893</v>
      </c>
      <c r="K690" t="s">
        <v>22</v>
      </c>
      <c r="L690" t="s">
        <v>32</v>
      </c>
      <c r="M690">
        <v>6</v>
      </c>
      <c r="N690" t="s">
        <v>193</v>
      </c>
      <c r="O690" s="6">
        <f t="shared" ca="1" si="10"/>
        <v>45804</v>
      </c>
      <c r="P690">
        <v>4.7</v>
      </c>
    </row>
    <row r="691" spans="1:16" x14ac:dyDescent="0.3">
      <c r="A691" t="s">
        <v>1035</v>
      </c>
      <c r="B691" t="s">
        <v>912</v>
      </c>
      <c r="C691" t="s">
        <v>77</v>
      </c>
      <c r="D691">
        <v>41</v>
      </c>
      <c r="E691" t="s">
        <v>78</v>
      </c>
      <c r="F691" t="s">
        <v>64</v>
      </c>
      <c r="G691" t="s">
        <v>58</v>
      </c>
      <c r="H691">
        <v>4350</v>
      </c>
      <c r="I691">
        <v>2612</v>
      </c>
      <c r="J691">
        <v>1738</v>
      </c>
      <c r="K691" t="s">
        <v>59</v>
      </c>
      <c r="L691" t="s">
        <v>23</v>
      </c>
      <c r="M691">
        <v>0</v>
      </c>
      <c r="N691" t="s">
        <v>40</v>
      </c>
      <c r="O691" s="6">
        <f t="shared" ca="1" si="10"/>
        <v>45715</v>
      </c>
      <c r="P691">
        <v>2.6</v>
      </c>
    </row>
    <row r="692" spans="1:16" x14ac:dyDescent="0.3">
      <c r="A692" t="s">
        <v>1036</v>
      </c>
      <c r="B692" t="s">
        <v>662</v>
      </c>
      <c r="C692" t="s">
        <v>51</v>
      </c>
      <c r="D692">
        <v>58</v>
      </c>
      <c r="E692" t="s">
        <v>19</v>
      </c>
      <c r="F692" t="s">
        <v>91</v>
      </c>
      <c r="G692" t="s">
        <v>92</v>
      </c>
      <c r="H692">
        <v>8929</v>
      </c>
      <c r="I692">
        <v>6663</v>
      </c>
      <c r="J692">
        <v>2266</v>
      </c>
      <c r="K692" t="s">
        <v>68</v>
      </c>
      <c r="L692" t="s">
        <v>47</v>
      </c>
      <c r="M692">
        <v>2</v>
      </c>
      <c r="N692" t="s">
        <v>116</v>
      </c>
      <c r="O692" s="6">
        <f t="shared" ca="1" si="10"/>
        <v>45712</v>
      </c>
      <c r="P692">
        <v>3</v>
      </c>
    </row>
    <row r="693" spans="1:16" x14ac:dyDescent="0.3">
      <c r="A693" t="s">
        <v>1037</v>
      </c>
      <c r="B693" t="s">
        <v>527</v>
      </c>
      <c r="C693" t="s">
        <v>103</v>
      </c>
      <c r="D693">
        <v>25</v>
      </c>
      <c r="E693" t="s">
        <v>63</v>
      </c>
      <c r="F693" t="s">
        <v>136</v>
      </c>
      <c r="G693" t="s">
        <v>73</v>
      </c>
      <c r="H693">
        <v>6846</v>
      </c>
      <c r="I693">
        <v>5689</v>
      </c>
      <c r="J693">
        <v>1157</v>
      </c>
      <c r="K693" t="s">
        <v>31</v>
      </c>
      <c r="L693" t="s">
        <v>23</v>
      </c>
      <c r="M693">
        <v>0</v>
      </c>
      <c r="N693" t="s">
        <v>40</v>
      </c>
      <c r="O693" s="6">
        <f t="shared" ca="1" si="10"/>
        <v>45798</v>
      </c>
      <c r="P693">
        <v>1.6</v>
      </c>
    </row>
    <row r="694" spans="1:16" x14ac:dyDescent="0.3">
      <c r="A694" t="s">
        <v>1038</v>
      </c>
      <c r="B694" t="s">
        <v>220</v>
      </c>
      <c r="C694" t="s">
        <v>77</v>
      </c>
      <c r="D694">
        <v>36</v>
      </c>
      <c r="E694" t="s">
        <v>82</v>
      </c>
      <c r="F694" t="s">
        <v>20</v>
      </c>
      <c r="G694" t="s">
        <v>39</v>
      </c>
      <c r="H694">
        <v>7021</v>
      </c>
      <c r="I694">
        <v>5155</v>
      </c>
      <c r="J694">
        <v>1866</v>
      </c>
      <c r="K694" t="s">
        <v>59</v>
      </c>
      <c r="L694" t="s">
        <v>23</v>
      </c>
      <c r="M694">
        <v>14</v>
      </c>
      <c r="N694" t="s">
        <v>74</v>
      </c>
      <c r="O694" s="6">
        <f t="shared" ca="1" si="10"/>
        <v>45891</v>
      </c>
      <c r="P694">
        <v>4.0999999999999996</v>
      </c>
    </row>
    <row r="695" spans="1:16" x14ac:dyDescent="0.3">
      <c r="A695" t="s">
        <v>1039</v>
      </c>
      <c r="B695" t="s">
        <v>257</v>
      </c>
      <c r="C695" t="s">
        <v>129</v>
      </c>
      <c r="D695">
        <v>36</v>
      </c>
      <c r="E695" t="s">
        <v>82</v>
      </c>
      <c r="F695" t="s">
        <v>64</v>
      </c>
      <c r="G695" t="s">
        <v>92</v>
      </c>
      <c r="H695">
        <v>4571</v>
      </c>
      <c r="I695">
        <v>4200</v>
      </c>
      <c r="J695">
        <v>371</v>
      </c>
      <c r="K695" t="s">
        <v>59</v>
      </c>
      <c r="L695" t="s">
        <v>23</v>
      </c>
      <c r="M695">
        <v>8</v>
      </c>
      <c r="N695" t="s">
        <v>118</v>
      </c>
      <c r="O695" s="6">
        <f t="shared" ca="1" si="10"/>
        <v>45773</v>
      </c>
      <c r="P695">
        <v>3.8</v>
      </c>
    </row>
    <row r="696" spans="1:16" x14ac:dyDescent="0.3">
      <c r="A696" t="s">
        <v>1040</v>
      </c>
      <c r="B696" t="s">
        <v>259</v>
      </c>
      <c r="C696" t="s">
        <v>56</v>
      </c>
      <c r="D696">
        <v>38</v>
      </c>
      <c r="E696" t="s">
        <v>44</v>
      </c>
      <c r="F696" t="s">
        <v>45</v>
      </c>
      <c r="G696" t="s">
        <v>73</v>
      </c>
      <c r="H696">
        <v>6167</v>
      </c>
      <c r="I696">
        <v>3378</v>
      </c>
      <c r="J696">
        <v>2789</v>
      </c>
      <c r="K696" t="s">
        <v>22</v>
      </c>
      <c r="L696" t="s">
        <v>32</v>
      </c>
      <c r="M696">
        <v>14</v>
      </c>
      <c r="N696" t="s">
        <v>74</v>
      </c>
      <c r="O696" s="6">
        <f t="shared" ca="1" si="10"/>
        <v>45678</v>
      </c>
      <c r="P696">
        <v>3.9</v>
      </c>
    </row>
    <row r="697" spans="1:16" x14ac:dyDescent="0.3">
      <c r="A697" t="s">
        <v>1041</v>
      </c>
      <c r="B697" t="s">
        <v>627</v>
      </c>
      <c r="C697" t="s">
        <v>27</v>
      </c>
      <c r="D697">
        <v>57</v>
      </c>
      <c r="E697" t="s">
        <v>87</v>
      </c>
      <c r="F697" t="s">
        <v>45</v>
      </c>
      <c r="G697" t="s">
        <v>21</v>
      </c>
      <c r="H697">
        <v>4441</v>
      </c>
      <c r="I697">
        <v>3738</v>
      </c>
      <c r="J697">
        <v>703</v>
      </c>
      <c r="K697" t="s">
        <v>88</v>
      </c>
      <c r="L697" t="s">
        <v>47</v>
      </c>
      <c r="M697">
        <v>12</v>
      </c>
      <c r="N697" t="s">
        <v>74</v>
      </c>
      <c r="O697" s="6">
        <f t="shared" ca="1" si="10"/>
        <v>45781</v>
      </c>
      <c r="P697">
        <v>4</v>
      </c>
    </row>
    <row r="698" spans="1:16" x14ac:dyDescent="0.3">
      <c r="A698" t="s">
        <v>1042</v>
      </c>
      <c r="B698" t="s">
        <v>808</v>
      </c>
      <c r="C698" t="s">
        <v>27</v>
      </c>
      <c r="D698">
        <v>41</v>
      </c>
      <c r="E698" t="s">
        <v>57</v>
      </c>
      <c r="F698" t="s">
        <v>45</v>
      </c>
      <c r="G698" t="s">
        <v>104</v>
      </c>
      <c r="H698">
        <v>3943</v>
      </c>
      <c r="I698">
        <v>2736</v>
      </c>
      <c r="J698">
        <v>1207</v>
      </c>
      <c r="K698" t="s">
        <v>88</v>
      </c>
      <c r="L698" t="s">
        <v>32</v>
      </c>
      <c r="M698">
        <v>6</v>
      </c>
      <c r="N698" t="s">
        <v>95</v>
      </c>
      <c r="O698" s="6">
        <f t="shared" ca="1" si="10"/>
        <v>45916</v>
      </c>
      <c r="P698">
        <v>4.9000000000000004</v>
      </c>
    </row>
    <row r="699" spans="1:16" x14ac:dyDescent="0.3">
      <c r="A699" t="s">
        <v>1043</v>
      </c>
      <c r="B699" t="s">
        <v>86</v>
      </c>
      <c r="C699" t="s">
        <v>36</v>
      </c>
      <c r="D699">
        <v>65</v>
      </c>
      <c r="E699" t="s">
        <v>78</v>
      </c>
      <c r="F699" t="s">
        <v>136</v>
      </c>
      <c r="G699" t="s">
        <v>79</v>
      </c>
      <c r="H699">
        <v>4620</v>
      </c>
      <c r="I699">
        <v>4403</v>
      </c>
      <c r="J699">
        <v>217</v>
      </c>
      <c r="K699" t="s">
        <v>88</v>
      </c>
      <c r="L699" t="s">
        <v>32</v>
      </c>
      <c r="M699">
        <v>5</v>
      </c>
      <c r="N699" t="s">
        <v>40</v>
      </c>
      <c r="O699" s="6">
        <f t="shared" ca="1" si="10"/>
        <v>45842</v>
      </c>
      <c r="P699">
        <v>1.8</v>
      </c>
    </row>
    <row r="700" spans="1:16" x14ac:dyDescent="0.3">
      <c r="A700" t="s">
        <v>1044</v>
      </c>
      <c r="B700" t="s">
        <v>251</v>
      </c>
      <c r="C700" t="s">
        <v>56</v>
      </c>
      <c r="D700">
        <v>46</v>
      </c>
      <c r="E700" t="s">
        <v>82</v>
      </c>
      <c r="F700" t="s">
        <v>98</v>
      </c>
      <c r="G700" t="s">
        <v>21</v>
      </c>
      <c r="H700">
        <v>5238</v>
      </c>
      <c r="I700">
        <v>4912</v>
      </c>
      <c r="J700">
        <v>326</v>
      </c>
      <c r="K700" t="s">
        <v>22</v>
      </c>
      <c r="L700" t="s">
        <v>47</v>
      </c>
      <c r="M700">
        <v>5</v>
      </c>
      <c r="N700" t="s">
        <v>40</v>
      </c>
      <c r="O700" s="6">
        <f t="shared" ca="1" si="10"/>
        <v>45807</v>
      </c>
      <c r="P700">
        <v>2.5</v>
      </c>
    </row>
    <row r="701" spans="1:16" x14ac:dyDescent="0.3">
      <c r="A701" t="s">
        <v>1045</v>
      </c>
      <c r="B701" t="s">
        <v>477</v>
      </c>
      <c r="C701" t="s">
        <v>103</v>
      </c>
      <c r="D701">
        <v>59</v>
      </c>
      <c r="E701" t="s">
        <v>57</v>
      </c>
      <c r="F701" t="s">
        <v>64</v>
      </c>
      <c r="G701" t="s">
        <v>126</v>
      </c>
      <c r="H701">
        <v>7025</v>
      </c>
      <c r="I701">
        <v>6791</v>
      </c>
      <c r="J701">
        <v>234</v>
      </c>
      <c r="K701" t="s">
        <v>22</v>
      </c>
      <c r="L701" t="s">
        <v>32</v>
      </c>
      <c r="M701">
        <v>6</v>
      </c>
      <c r="N701" t="s">
        <v>33</v>
      </c>
      <c r="O701" s="6">
        <f t="shared" ca="1" si="10"/>
        <v>45875</v>
      </c>
      <c r="P701">
        <v>3.6</v>
      </c>
    </row>
    <row r="702" spans="1:16" x14ac:dyDescent="0.3">
      <c r="A702" t="s">
        <v>1046</v>
      </c>
      <c r="B702" t="s">
        <v>596</v>
      </c>
      <c r="C702" t="s">
        <v>36</v>
      </c>
      <c r="D702">
        <v>38</v>
      </c>
      <c r="E702" t="s">
        <v>57</v>
      </c>
      <c r="F702" t="s">
        <v>52</v>
      </c>
      <c r="G702" t="s">
        <v>21</v>
      </c>
      <c r="H702">
        <v>8285</v>
      </c>
      <c r="I702">
        <v>5525</v>
      </c>
      <c r="J702">
        <v>2760</v>
      </c>
      <c r="K702" t="s">
        <v>88</v>
      </c>
      <c r="L702" t="s">
        <v>23</v>
      </c>
      <c r="M702">
        <v>12</v>
      </c>
      <c r="N702" t="s">
        <v>33</v>
      </c>
      <c r="O702" s="6">
        <f t="shared" ca="1" si="10"/>
        <v>45961</v>
      </c>
      <c r="P702">
        <v>3.5</v>
      </c>
    </row>
    <row r="703" spans="1:16" x14ac:dyDescent="0.3">
      <c r="A703" t="s">
        <v>1047</v>
      </c>
      <c r="B703" t="s">
        <v>1048</v>
      </c>
      <c r="C703" t="s">
        <v>18</v>
      </c>
      <c r="D703">
        <v>52</v>
      </c>
      <c r="E703" t="s">
        <v>44</v>
      </c>
      <c r="F703" t="s">
        <v>52</v>
      </c>
      <c r="G703" t="s">
        <v>46</v>
      </c>
      <c r="H703">
        <v>4921</v>
      </c>
      <c r="I703">
        <v>2106</v>
      </c>
      <c r="J703">
        <v>2815</v>
      </c>
      <c r="K703" t="s">
        <v>31</v>
      </c>
      <c r="L703" t="s">
        <v>32</v>
      </c>
      <c r="M703">
        <v>14</v>
      </c>
      <c r="N703" t="s">
        <v>116</v>
      </c>
      <c r="O703" s="6">
        <f t="shared" ca="1" si="10"/>
        <v>46000</v>
      </c>
      <c r="P703">
        <v>4.3</v>
      </c>
    </row>
    <row r="704" spans="1:16" x14ac:dyDescent="0.3">
      <c r="A704" t="s">
        <v>1049</v>
      </c>
      <c r="B704" t="s">
        <v>482</v>
      </c>
      <c r="C704" t="s">
        <v>27</v>
      </c>
      <c r="D704">
        <v>33</v>
      </c>
      <c r="E704" t="s">
        <v>44</v>
      </c>
      <c r="F704" t="s">
        <v>67</v>
      </c>
      <c r="G704" t="s">
        <v>79</v>
      </c>
      <c r="H704">
        <v>2404</v>
      </c>
      <c r="I704">
        <v>1937</v>
      </c>
      <c r="J704">
        <v>467</v>
      </c>
      <c r="K704" t="s">
        <v>68</v>
      </c>
      <c r="L704" t="s">
        <v>47</v>
      </c>
      <c r="M704">
        <v>12</v>
      </c>
      <c r="N704" t="s">
        <v>53</v>
      </c>
      <c r="O704" s="6">
        <f t="shared" ca="1" si="10"/>
        <v>45996</v>
      </c>
      <c r="P704">
        <v>4.2</v>
      </c>
    </row>
    <row r="705" spans="1:16" x14ac:dyDescent="0.3">
      <c r="A705" t="s">
        <v>1050</v>
      </c>
      <c r="B705" t="s">
        <v>238</v>
      </c>
      <c r="C705" t="s">
        <v>62</v>
      </c>
      <c r="D705">
        <v>54</v>
      </c>
      <c r="E705" t="s">
        <v>72</v>
      </c>
      <c r="F705" t="s">
        <v>52</v>
      </c>
      <c r="G705" t="s">
        <v>46</v>
      </c>
      <c r="H705">
        <v>9152</v>
      </c>
      <c r="I705">
        <v>6176</v>
      </c>
      <c r="J705">
        <v>2976</v>
      </c>
      <c r="K705" t="s">
        <v>22</v>
      </c>
      <c r="L705" t="s">
        <v>47</v>
      </c>
      <c r="M705">
        <v>5</v>
      </c>
      <c r="N705" t="s">
        <v>74</v>
      </c>
      <c r="O705" s="6">
        <f t="shared" ca="1" si="10"/>
        <v>45673</v>
      </c>
      <c r="P705">
        <v>4.5999999999999996</v>
      </c>
    </row>
    <row r="706" spans="1:16" x14ac:dyDescent="0.3">
      <c r="A706" t="s">
        <v>1051</v>
      </c>
      <c r="B706" t="s">
        <v>611</v>
      </c>
      <c r="C706" t="s">
        <v>36</v>
      </c>
      <c r="D706">
        <v>41</v>
      </c>
      <c r="E706" t="s">
        <v>37</v>
      </c>
      <c r="F706" t="s">
        <v>64</v>
      </c>
      <c r="G706" t="s">
        <v>39</v>
      </c>
      <c r="H706">
        <v>4482</v>
      </c>
      <c r="I706">
        <v>1497</v>
      </c>
      <c r="J706">
        <v>2985</v>
      </c>
      <c r="K706" t="s">
        <v>22</v>
      </c>
      <c r="L706" t="s">
        <v>47</v>
      </c>
      <c r="M706">
        <v>8</v>
      </c>
      <c r="N706" t="s">
        <v>95</v>
      </c>
      <c r="O706" s="6">
        <f t="shared" ca="1" si="10"/>
        <v>45981</v>
      </c>
      <c r="P706">
        <v>3.9</v>
      </c>
    </row>
    <row r="707" spans="1:16" x14ac:dyDescent="0.3">
      <c r="A707" t="s">
        <v>1052</v>
      </c>
      <c r="B707" t="s">
        <v>388</v>
      </c>
      <c r="C707" t="s">
        <v>18</v>
      </c>
      <c r="D707">
        <v>47</v>
      </c>
      <c r="E707" t="s">
        <v>82</v>
      </c>
      <c r="F707" t="s">
        <v>91</v>
      </c>
      <c r="G707" t="s">
        <v>58</v>
      </c>
      <c r="H707">
        <v>2347</v>
      </c>
      <c r="I707">
        <v>542</v>
      </c>
      <c r="J707">
        <v>1805</v>
      </c>
      <c r="K707" t="s">
        <v>59</v>
      </c>
      <c r="L707" t="s">
        <v>47</v>
      </c>
      <c r="M707">
        <v>2</v>
      </c>
      <c r="N707" t="s">
        <v>118</v>
      </c>
      <c r="O707" s="6">
        <f t="shared" ref="O707:O770" ca="1" si="11">RANDBETWEEN(DATE(2025,1,1),DATE(2025,12,31))</f>
        <v>46014</v>
      </c>
      <c r="P707">
        <v>3.7</v>
      </c>
    </row>
    <row r="708" spans="1:16" x14ac:dyDescent="0.3">
      <c r="A708" t="s">
        <v>1053</v>
      </c>
      <c r="B708" t="s">
        <v>440</v>
      </c>
      <c r="C708" t="s">
        <v>62</v>
      </c>
      <c r="D708">
        <v>33</v>
      </c>
      <c r="E708" t="s">
        <v>78</v>
      </c>
      <c r="F708" t="s">
        <v>38</v>
      </c>
      <c r="G708" t="s">
        <v>39</v>
      </c>
      <c r="H708">
        <v>3778</v>
      </c>
      <c r="I708">
        <v>1014</v>
      </c>
      <c r="J708">
        <v>2764</v>
      </c>
      <c r="K708" t="s">
        <v>22</v>
      </c>
      <c r="L708" t="s">
        <v>47</v>
      </c>
      <c r="M708">
        <v>1</v>
      </c>
      <c r="N708" t="s">
        <v>69</v>
      </c>
      <c r="O708" s="6">
        <f t="shared" ca="1" si="11"/>
        <v>45838</v>
      </c>
      <c r="P708">
        <v>3.9</v>
      </c>
    </row>
    <row r="709" spans="1:16" x14ac:dyDescent="0.3">
      <c r="A709" t="s">
        <v>1054</v>
      </c>
      <c r="B709" t="s">
        <v>514</v>
      </c>
      <c r="C709" t="s">
        <v>43</v>
      </c>
      <c r="D709">
        <v>37</v>
      </c>
      <c r="E709" t="s">
        <v>19</v>
      </c>
      <c r="F709" t="s">
        <v>98</v>
      </c>
      <c r="G709" t="s">
        <v>104</v>
      </c>
      <c r="H709">
        <v>4047</v>
      </c>
      <c r="I709">
        <v>2452</v>
      </c>
      <c r="J709">
        <v>1595</v>
      </c>
      <c r="K709" t="s">
        <v>59</v>
      </c>
      <c r="L709" t="s">
        <v>32</v>
      </c>
      <c r="M709">
        <v>14</v>
      </c>
      <c r="N709" t="s">
        <v>95</v>
      </c>
      <c r="O709" s="6">
        <f t="shared" ca="1" si="11"/>
        <v>45750</v>
      </c>
      <c r="P709">
        <v>3.7</v>
      </c>
    </row>
    <row r="710" spans="1:16" x14ac:dyDescent="0.3">
      <c r="A710" t="s">
        <v>1055</v>
      </c>
      <c r="B710" t="s">
        <v>90</v>
      </c>
      <c r="C710" t="s">
        <v>51</v>
      </c>
      <c r="D710">
        <v>60</v>
      </c>
      <c r="E710" t="s">
        <v>63</v>
      </c>
      <c r="F710" t="s">
        <v>98</v>
      </c>
      <c r="G710" t="s">
        <v>104</v>
      </c>
      <c r="H710">
        <v>5953</v>
      </c>
      <c r="I710">
        <v>5242</v>
      </c>
      <c r="J710">
        <v>711</v>
      </c>
      <c r="K710" t="s">
        <v>68</v>
      </c>
      <c r="L710" t="s">
        <v>47</v>
      </c>
      <c r="M710">
        <v>1</v>
      </c>
      <c r="N710" t="s">
        <v>24</v>
      </c>
      <c r="O710" s="6">
        <f t="shared" ca="1" si="11"/>
        <v>45978</v>
      </c>
      <c r="P710">
        <v>4.0999999999999996</v>
      </c>
    </row>
    <row r="711" spans="1:16" x14ac:dyDescent="0.3">
      <c r="A711" t="s">
        <v>1056</v>
      </c>
      <c r="B711" t="s">
        <v>90</v>
      </c>
      <c r="C711" t="s">
        <v>129</v>
      </c>
      <c r="D711">
        <v>24</v>
      </c>
      <c r="E711" t="s">
        <v>63</v>
      </c>
      <c r="F711" t="s">
        <v>136</v>
      </c>
      <c r="G711" t="s">
        <v>39</v>
      </c>
      <c r="H711">
        <v>8267</v>
      </c>
      <c r="I711">
        <v>5503</v>
      </c>
      <c r="J711">
        <v>2764</v>
      </c>
      <c r="K711" t="s">
        <v>22</v>
      </c>
      <c r="L711" t="s">
        <v>47</v>
      </c>
      <c r="M711">
        <v>2</v>
      </c>
      <c r="N711" t="s">
        <v>24</v>
      </c>
      <c r="O711" s="6">
        <f t="shared" ca="1" si="11"/>
        <v>45878</v>
      </c>
      <c r="P711">
        <v>3.7</v>
      </c>
    </row>
    <row r="712" spans="1:16" x14ac:dyDescent="0.3">
      <c r="A712" t="s">
        <v>1057</v>
      </c>
      <c r="B712" t="s">
        <v>50</v>
      </c>
      <c r="C712" t="s">
        <v>103</v>
      </c>
      <c r="D712">
        <v>46</v>
      </c>
      <c r="E712" t="s">
        <v>87</v>
      </c>
      <c r="F712" t="s">
        <v>67</v>
      </c>
      <c r="G712" t="s">
        <v>73</v>
      </c>
      <c r="H712">
        <v>5064</v>
      </c>
      <c r="I712">
        <v>2409</v>
      </c>
      <c r="J712">
        <v>2655</v>
      </c>
      <c r="K712" t="s">
        <v>88</v>
      </c>
      <c r="L712" t="s">
        <v>47</v>
      </c>
      <c r="M712">
        <v>10</v>
      </c>
      <c r="N712" t="s">
        <v>24</v>
      </c>
      <c r="O712" s="6">
        <f t="shared" ca="1" si="11"/>
        <v>45748</v>
      </c>
      <c r="P712">
        <v>4.5999999999999996</v>
      </c>
    </row>
    <row r="713" spans="1:16" x14ac:dyDescent="0.3">
      <c r="A713" t="s">
        <v>1058</v>
      </c>
      <c r="B713" t="s">
        <v>108</v>
      </c>
      <c r="C713" t="s">
        <v>103</v>
      </c>
      <c r="D713">
        <v>60</v>
      </c>
      <c r="E713" t="s">
        <v>44</v>
      </c>
      <c r="F713" t="s">
        <v>98</v>
      </c>
      <c r="G713" t="s">
        <v>58</v>
      </c>
      <c r="H713">
        <v>8799</v>
      </c>
      <c r="I713">
        <v>5832</v>
      </c>
      <c r="J713">
        <v>2967</v>
      </c>
      <c r="K713" t="s">
        <v>31</v>
      </c>
      <c r="L713" t="s">
        <v>23</v>
      </c>
      <c r="M713">
        <v>8</v>
      </c>
      <c r="N713" t="s">
        <v>74</v>
      </c>
      <c r="O713" s="6">
        <f t="shared" ca="1" si="11"/>
        <v>45798</v>
      </c>
      <c r="P713">
        <v>5</v>
      </c>
    </row>
    <row r="714" spans="1:16" x14ac:dyDescent="0.3">
      <c r="A714" t="s">
        <v>1059</v>
      </c>
      <c r="B714" t="s">
        <v>334</v>
      </c>
      <c r="C714" t="s">
        <v>77</v>
      </c>
      <c r="D714">
        <v>21</v>
      </c>
      <c r="E714" t="s">
        <v>44</v>
      </c>
      <c r="F714" t="s">
        <v>98</v>
      </c>
      <c r="G714" t="s">
        <v>79</v>
      </c>
      <c r="H714">
        <v>7959</v>
      </c>
      <c r="I714">
        <v>6966</v>
      </c>
      <c r="J714">
        <v>993</v>
      </c>
      <c r="K714" t="s">
        <v>31</v>
      </c>
      <c r="L714" t="s">
        <v>23</v>
      </c>
      <c r="M714">
        <v>1</v>
      </c>
      <c r="N714" t="s">
        <v>40</v>
      </c>
      <c r="O714" s="6">
        <f t="shared" ca="1" si="11"/>
        <v>45785</v>
      </c>
      <c r="P714">
        <v>2.1</v>
      </c>
    </row>
    <row r="715" spans="1:16" x14ac:dyDescent="0.3">
      <c r="A715" t="s">
        <v>1060</v>
      </c>
      <c r="B715" t="s">
        <v>992</v>
      </c>
      <c r="C715" t="s">
        <v>103</v>
      </c>
      <c r="D715">
        <v>51</v>
      </c>
      <c r="E715" t="s">
        <v>44</v>
      </c>
      <c r="F715" t="s">
        <v>91</v>
      </c>
      <c r="G715" t="s">
        <v>126</v>
      </c>
      <c r="H715">
        <v>3254</v>
      </c>
      <c r="I715">
        <v>2491</v>
      </c>
      <c r="J715">
        <v>763</v>
      </c>
      <c r="K715" t="s">
        <v>31</v>
      </c>
      <c r="L715" t="s">
        <v>47</v>
      </c>
      <c r="M715">
        <v>1</v>
      </c>
      <c r="N715" t="s">
        <v>193</v>
      </c>
      <c r="O715" s="6">
        <f t="shared" ca="1" si="11"/>
        <v>46013</v>
      </c>
      <c r="P715">
        <v>3.8</v>
      </c>
    </row>
    <row r="716" spans="1:16" x14ac:dyDescent="0.3">
      <c r="A716" t="s">
        <v>1061</v>
      </c>
      <c r="B716" t="s">
        <v>800</v>
      </c>
      <c r="C716" t="s">
        <v>43</v>
      </c>
      <c r="D716">
        <v>40</v>
      </c>
      <c r="E716" t="s">
        <v>44</v>
      </c>
      <c r="F716" t="s">
        <v>29</v>
      </c>
      <c r="G716" t="s">
        <v>126</v>
      </c>
      <c r="H716">
        <v>3830</v>
      </c>
      <c r="I716">
        <v>1707</v>
      </c>
      <c r="J716">
        <v>2123</v>
      </c>
      <c r="K716" t="s">
        <v>22</v>
      </c>
      <c r="L716" t="s">
        <v>32</v>
      </c>
      <c r="M716">
        <v>6</v>
      </c>
      <c r="N716" t="s">
        <v>116</v>
      </c>
      <c r="O716" s="6">
        <f t="shared" ca="1" si="11"/>
        <v>45982</v>
      </c>
      <c r="P716">
        <v>4.3</v>
      </c>
    </row>
    <row r="717" spans="1:16" x14ac:dyDescent="0.3">
      <c r="A717" t="s">
        <v>1062</v>
      </c>
      <c r="B717" t="s">
        <v>1063</v>
      </c>
      <c r="C717" t="s">
        <v>129</v>
      </c>
      <c r="D717">
        <v>24</v>
      </c>
      <c r="E717" t="s">
        <v>19</v>
      </c>
      <c r="F717" t="s">
        <v>29</v>
      </c>
      <c r="G717" t="s">
        <v>92</v>
      </c>
      <c r="H717">
        <v>2875</v>
      </c>
      <c r="I717">
        <v>947</v>
      </c>
      <c r="J717">
        <v>1928</v>
      </c>
      <c r="K717" t="s">
        <v>68</v>
      </c>
      <c r="L717" t="s">
        <v>23</v>
      </c>
      <c r="M717">
        <v>4</v>
      </c>
      <c r="N717" t="s">
        <v>33</v>
      </c>
      <c r="O717" s="6">
        <f t="shared" ca="1" si="11"/>
        <v>45805</v>
      </c>
      <c r="P717">
        <v>3.3</v>
      </c>
    </row>
    <row r="718" spans="1:16" x14ac:dyDescent="0.3">
      <c r="A718" t="s">
        <v>1064</v>
      </c>
      <c r="B718" t="s">
        <v>495</v>
      </c>
      <c r="C718" t="s">
        <v>56</v>
      </c>
      <c r="D718">
        <v>65</v>
      </c>
      <c r="E718" t="s">
        <v>63</v>
      </c>
      <c r="F718" t="s">
        <v>67</v>
      </c>
      <c r="G718" t="s">
        <v>58</v>
      </c>
      <c r="H718">
        <v>7756</v>
      </c>
      <c r="I718">
        <v>5238</v>
      </c>
      <c r="J718">
        <v>2518</v>
      </c>
      <c r="K718" t="s">
        <v>88</v>
      </c>
      <c r="L718" t="s">
        <v>23</v>
      </c>
      <c r="M718">
        <v>4</v>
      </c>
      <c r="N718" t="s">
        <v>40</v>
      </c>
      <c r="O718" s="6">
        <f t="shared" ca="1" si="11"/>
        <v>45662</v>
      </c>
      <c r="P718">
        <v>1.7</v>
      </c>
    </row>
    <row r="719" spans="1:16" x14ac:dyDescent="0.3">
      <c r="A719" t="s">
        <v>1065</v>
      </c>
      <c r="B719" t="s">
        <v>364</v>
      </c>
      <c r="C719" t="s">
        <v>77</v>
      </c>
      <c r="D719">
        <v>50</v>
      </c>
      <c r="E719" t="s">
        <v>28</v>
      </c>
      <c r="F719" t="s">
        <v>91</v>
      </c>
      <c r="G719" t="s">
        <v>30</v>
      </c>
      <c r="H719">
        <v>3346</v>
      </c>
      <c r="I719">
        <v>530</v>
      </c>
      <c r="J719">
        <v>2816</v>
      </c>
      <c r="K719" t="s">
        <v>59</v>
      </c>
      <c r="L719" t="s">
        <v>23</v>
      </c>
      <c r="M719">
        <v>4</v>
      </c>
      <c r="N719" t="s">
        <v>69</v>
      </c>
      <c r="O719" s="6">
        <f t="shared" ca="1" si="11"/>
        <v>45961</v>
      </c>
      <c r="P719">
        <v>4.9000000000000004</v>
      </c>
    </row>
    <row r="720" spans="1:16" x14ac:dyDescent="0.3">
      <c r="A720" t="s">
        <v>1066</v>
      </c>
      <c r="B720" t="s">
        <v>564</v>
      </c>
      <c r="C720" t="s">
        <v>43</v>
      </c>
      <c r="D720">
        <v>45</v>
      </c>
      <c r="E720" t="s">
        <v>19</v>
      </c>
      <c r="F720" t="s">
        <v>64</v>
      </c>
      <c r="G720" t="s">
        <v>126</v>
      </c>
      <c r="H720">
        <v>2241</v>
      </c>
      <c r="I720">
        <v>555</v>
      </c>
      <c r="J720">
        <v>1686</v>
      </c>
      <c r="K720" t="s">
        <v>22</v>
      </c>
      <c r="L720" t="s">
        <v>47</v>
      </c>
      <c r="M720">
        <v>6</v>
      </c>
      <c r="N720" t="s">
        <v>24</v>
      </c>
      <c r="O720" s="6">
        <f t="shared" ca="1" si="11"/>
        <v>45899</v>
      </c>
      <c r="P720">
        <v>4.2</v>
      </c>
    </row>
    <row r="721" spans="1:16" x14ac:dyDescent="0.3">
      <c r="A721" t="s">
        <v>1067</v>
      </c>
      <c r="B721" t="s">
        <v>403</v>
      </c>
      <c r="C721" t="s">
        <v>56</v>
      </c>
      <c r="D721">
        <v>33</v>
      </c>
      <c r="E721" t="s">
        <v>44</v>
      </c>
      <c r="F721" t="s">
        <v>38</v>
      </c>
      <c r="G721" t="s">
        <v>46</v>
      </c>
      <c r="H721">
        <v>1758</v>
      </c>
      <c r="I721">
        <v>743</v>
      </c>
      <c r="J721">
        <v>1015</v>
      </c>
      <c r="K721" t="s">
        <v>59</v>
      </c>
      <c r="L721" t="s">
        <v>32</v>
      </c>
      <c r="M721">
        <v>3</v>
      </c>
      <c r="N721" t="s">
        <v>33</v>
      </c>
      <c r="O721" s="6">
        <f t="shared" ca="1" si="11"/>
        <v>45827</v>
      </c>
      <c r="P721">
        <v>3.4</v>
      </c>
    </row>
    <row r="722" spans="1:16" x14ac:dyDescent="0.3">
      <c r="A722" t="s">
        <v>1068</v>
      </c>
      <c r="B722" t="s">
        <v>868</v>
      </c>
      <c r="C722" t="s">
        <v>27</v>
      </c>
      <c r="D722">
        <v>36</v>
      </c>
      <c r="E722" t="s">
        <v>78</v>
      </c>
      <c r="F722" t="s">
        <v>52</v>
      </c>
      <c r="G722" t="s">
        <v>46</v>
      </c>
      <c r="H722">
        <v>3214</v>
      </c>
      <c r="I722">
        <v>1942</v>
      </c>
      <c r="J722">
        <v>1272</v>
      </c>
      <c r="K722" t="s">
        <v>59</v>
      </c>
      <c r="L722" t="s">
        <v>32</v>
      </c>
      <c r="M722">
        <v>0</v>
      </c>
      <c r="N722" t="s">
        <v>40</v>
      </c>
      <c r="O722" s="6">
        <f t="shared" ca="1" si="11"/>
        <v>45884</v>
      </c>
      <c r="P722">
        <v>2.6</v>
      </c>
    </row>
    <row r="723" spans="1:16" x14ac:dyDescent="0.3">
      <c r="A723" t="s">
        <v>1069</v>
      </c>
      <c r="B723" t="s">
        <v>138</v>
      </c>
      <c r="C723" t="s">
        <v>77</v>
      </c>
      <c r="D723">
        <v>42</v>
      </c>
      <c r="E723" t="s">
        <v>19</v>
      </c>
      <c r="F723" t="s">
        <v>45</v>
      </c>
      <c r="G723" t="s">
        <v>104</v>
      </c>
      <c r="H723">
        <v>4181</v>
      </c>
      <c r="I723">
        <v>2467</v>
      </c>
      <c r="J723">
        <v>1714</v>
      </c>
      <c r="K723" t="s">
        <v>31</v>
      </c>
      <c r="L723" t="s">
        <v>23</v>
      </c>
      <c r="M723">
        <v>11</v>
      </c>
      <c r="N723" t="s">
        <v>193</v>
      </c>
      <c r="O723" s="6">
        <f t="shared" ca="1" si="11"/>
        <v>45689</v>
      </c>
      <c r="P723">
        <v>4.5</v>
      </c>
    </row>
    <row r="724" spans="1:16" x14ac:dyDescent="0.3">
      <c r="A724" t="s">
        <v>1070</v>
      </c>
      <c r="B724" t="s">
        <v>151</v>
      </c>
      <c r="C724" t="s">
        <v>77</v>
      </c>
      <c r="D724">
        <v>28</v>
      </c>
      <c r="E724" t="s">
        <v>78</v>
      </c>
      <c r="F724" t="s">
        <v>20</v>
      </c>
      <c r="G724" t="s">
        <v>30</v>
      </c>
      <c r="H724">
        <v>4451</v>
      </c>
      <c r="I724">
        <v>2070</v>
      </c>
      <c r="J724">
        <v>2381</v>
      </c>
      <c r="K724" t="s">
        <v>88</v>
      </c>
      <c r="L724" t="s">
        <v>23</v>
      </c>
      <c r="M724">
        <v>6</v>
      </c>
      <c r="N724" t="s">
        <v>95</v>
      </c>
      <c r="O724" s="6">
        <f t="shared" ca="1" si="11"/>
        <v>45912</v>
      </c>
      <c r="P724">
        <v>3.9</v>
      </c>
    </row>
    <row r="725" spans="1:16" x14ac:dyDescent="0.3">
      <c r="A725" t="s">
        <v>1071</v>
      </c>
      <c r="B725" t="s">
        <v>1072</v>
      </c>
      <c r="C725" t="s">
        <v>36</v>
      </c>
      <c r="D725">
        <v>60</v>
      </c>
      <c r="E725" t="s">
        <v>44</v>
      </c>
      <c r="F725" t="s">
        <v>52</v>
      </c>
      <c r="G725" t="s">
        <v>92</v>
      </c>
      <c r="H725">
        <v>3717</v>
      </c>
      <c r="I725">
        <v>2909</v>
      </c>
      <c r="J725">
        <v>808</v>
      </c>
      <c r="K725" t="s">
        <v>31</v>
      </c>
      <c r="L725" t="s">
        <v>47</v>
      </c>
      <c r="M725">
        <v>1</v>
      </c>
      <c r="N725" t="s">
        <v>116</v>
      </c>
      <c r="O725" s="6">
        <f t="shared" ca="1" si="11"/>
        <v>45830</v>
      </c>
      <c r="P725">
        <v>3.1</v>
      </c>
    </row>
    <row r="726" spans="1:16" x14ac:dyDescent="0.3">
      <c r="A726" t="s">
        <v>1073</v>
      </c>
      <c r="B726" t="s">
        <v>760</v>
      </c>
      <c r="C726" t="s">
        <v>56</v>
      </c>
      <c r="D726">
        <v>34</v>
      </c>
      <c r="E726" t="s">
        <v>87</v>
      </c>
      <c r="F726" t="s">
        <v>91</v>
      </c>
      <c r="G726" t="s">
        <v>79</v>
      </c>
      <c r="H726">
        <v>1916</v>
      </c>
      <c r="I726">
        <v>1031</v>
      </c>
      <c r="J726">
        <v>885</v>
      </c>
      <c r="K726" t="s">
        <v>88</v>
      </c>
      <c r="L726" t="s">
        <v>23</v>
      </c>
      <c r="M726">
        <v>13</v>
      </c>
      <c r="N726" t="s">
        <v>74</v>
      </c>
      <c r="O726" s="6">
        <f t="shared" ca="1" si="11"/>
        <v>45813</v>
      </c>
      <c r="P726">
        <v>3.6</v>
      </c>
    </row>
    <row r="727" spans="1:16" x14ac:dyDescent="0.3">
      <c r="A727" t="s">
        <v>1074</v>
      </c>
      <c r="B727" t="s">
        <v>872</v>
      </c>
      <c r="C727" t="s">
        <v>129</v>
      </c>
      <c r="D727">
        <v>41</v>
      </c>
      <c r="E727" t="s">
        <v>57</v>
      </c>
      <c r="F727" t="s">
        <v>29</v>
      </c>
      <c r="G727" t="s">
        <v>104</v>
      </c>
      <c r="H727">
        <v>8588</v>
      </c>
      <c r="I727">
        <v>6362</v>
      </c>
      <c r="J727">
        <v>2226</v>
      </c>
      <c r="K727" t="s">
        <v>31</v>
      </c>
      <c r="L727" t="s">
        <v>32</v>
      </c>
      <c r="M727">
        <v>10</v>
      </c>
      <c r="N727" t="s">
        <v>48</v>
      </c>
      <c r="O727" s="6">
        <f t="shared" ca="1" si="11"/>
        <v>45955</v>
      </c>
      <c r="P727">
        <v>3.2</v>
      </c>
    </row>
    <row r="728" spans="1:16" x14ac:dyDescent="0.3">
      <c r="A728" t="s">
        <v>1075</v>
      </c>
      <c r="B728" t="s">
        <v>200</v>
      </c>
      <c r="C728" t="s">
        <v>62</v>
      </c>
      <c r="D728">
        <v>33</v>
      </c>
      <c r="E728" t="s">
        <v>63</v>
      </c>
      <c r="F728" t="s">
        <v>52</v>
      </c>
      <c r="G728" t="s">
        <v>73</v>
      </c>
      <c r="H728">
        <v>3743</v>
      </c>
      <c r="I728">
        <v>2290</v>
      </c>
      <c r="J728">
        <v>1453</v>
      </c>
      <c r="K728" t="s">
        <v>68</v>
      </c>
      <c r="L728" t="s">
        <v>23</v>
      </c>
      <c r="M728">
        <v>7</v>
      </c>
      <c r="N728" t="s">
        <v>118</v>
      </c>
      <c r="O728" s="6">
        <f t="shared" ca="1" si="11"/>
        <v>45668</v>
      </c>
      <c r="P728">
        <v>4</v>
      </c>
    </row>
    <row r="729" spans="1:16" x14ac:dyDescent="0.3">
      <c r="A729" t="s">
        <v>1076</v>
      </c>
      <c r="B729" t="s">
        <v>641</v>
      </c>
      <c r="C729" t="s">
        <v>77</v>
      </c>
      <c r="D729">
        <v>29</v>
      </c>
      <c r="E729" t="s">
        <v>87</v>
      </c>
      <c r="F729" t="s">
        <v>45</v>
      </c>
      <c r="G729" t="s">
        <v>104</v>
      </c>
      <c r="H729">
        <v>6390</v>
      </c>
      <c r="I729">
        <v>4750</v>
      </c>
      <c r="J729">
        <v>1640</v>
      </c>
      <c r="K729" t="s">
        <v>31</v>
      </c>
      <c r="L729" t="s">
        <v>32</v>
      </c>
      <c r="M729">
        <v>1</v>
      </c>
      <c r="N729" t="s">
        <v>69</v>
      </c>
      <c r="O729" s="6">
        <f t="shared" ca="1" si="11"/>
        <v>45737</v>
      </c>
      <c r="P729">
        <v>3.7</v>
      </c>
    </row>
    <row r="730" spans="1:16" x14ac:dyDescent="0.3">
      <c r="A730" t="s">
        <v>1077</v>
      </c>
      <c r="B730" t="s">
        <v>66</v>
      </c>
      <c r="C730" t="s">
        <v>56</v>
      </c>
      <c r="D730">
        <v>50</v>
      </c>
      <c r="E730" t="s">
        <v>37</v>
      </c>
      <c r="F730" t="s">
        <v>64</v>
      </c>
      <c r="G730" t="s">
        <v>58</v>
      </c>
      <c r="H730">
        <v>6073</v>
      </c>
      <c r="I730">
        <v>4575</v>
      </c>
      <c r="J730">
        <v>1498</v>
      </c>
      <c r="K730" t="s">
        <v>59</v>
      </c>
      <c r="L730" t="s">
        <v>23</v>
      </c>
      <c r="M730">
        <v>1</v>
      </c>
      <c r="N730" t="s">
        <v>193</v>
      </c>
      <c r="O730" s="6">
        <f t="shared" ca="1" si="11"/>
        <v>45780</v>
      </c>
      <c r="P730">
        <v>4.8</v>
      </c>
    </row>
    <row r="731" spans="1:16" x14ac:dyDescent="0.3">
      <c r="A731" t="s">
        <v>1078</v>
      </c>
      <c r="B731" t="s">
        <v>198</v>
      </c>
      <c r="C731" t="s">
        <v>77</v>
      </c>
      <c r="D731">
        <v>43</v>
      </c>
      <c r="E731" t="s">
        <v>87</v>
      </c>
      <c r="F731" t="s">
        <v>45</v>
      </c>
      <c r="G731" t="s">
        <v>92</v>
      </c>
      <c r="H731">
        <v>7139</v>
      </c>
      <c r="I731">
        <v>4700</v>
      </c>
      <c r="J731">
        <v>2439</v>
      </c>
      <c r="K731" t="s">
        <v>22</v>
      </c>
      <c r="L731" t="s">
        <v>47</v>
      </c>
      <c r="M731">
        <v>13</v>
      </c>
      <c r="N731" t="s">
        <v>116</v>
      </c>
      <c r="O731" s="6">
        <f t="shared" ca="1" si="11"/>
        <v>45780</v>
      </c>
      <c r="P731">
        <v>4.4000000000000004</v>
      </c>
    </row>
    <row r="732" spans="1:16" x14ac:dyDescent="0.3">
      <c r="A732" t="s">
        <v>1079</v>
      </c>
      <c r="B732" t="s">
        <v>1009</v>
      </c>
      <c r="C732" t="s">
        <v>43</v>
      </c>
      <c r="D732">
        <v>23</v>
      </c>
      <c r="E732" t="s">
        <v>82</v>
      </c>
      <c r="F732" t="s">
        <v>52</v>
      </c>
      <c r="G732" t="s">
        <v>58</v>
      </c>
      <c r="H732">
        <v>5075</v>
      </c>
      <c r="I732">
        <v>2110</v>
      </c>
      <c r="J732">
        <v>2965</v>
      </c>
      <c r="K732" t="s">
        <v>31</v>
      </c>
      <c r="L732" t="s">
        <v>32</v>
      </c>
      <c r="M732">
        <v>5</v>
      </c>
      <c r="N732" t="s">
        <v>116</v>
      </c>
      <c r="O732" s="6">
        <f t="shared" ca="1" si="11"/>
        <v>45923</v>
      </c>
      <c r="P732">
        <v>3.5</v>
      </c>
    </row>
    <row r="733" spans="1:16" x14ac:dyDescent="0.3">
      <c r="A733" t="s">
        <v>1080</v>
      </c>
      <c r="B733" t="s">
        <v>164</v>
      </c>
      <c r="C733" t="s">
        <v>27</v>
      </c>
      <c r="D733">
        <v>37</v>
      </c>
      <c r="E733" t="s">
        <v>28</v>
      </c>
      <c r="F733" t="s">
        <v>45</v>
      </c>
      <c r="G733" t="s">
        <v>39</v>
      </c>
      <c r="H733">
        <v>5193</v>
      </c>
      <c r="I733">
        <v>3339</v>
      </c>
      <c r="J733">
        <v>1854</v>
      </c>
      <c r="K733" t="s">
        <v>22</v>
      </c>
      <c r="L733" t="s">
        <v>23</v>
      </c>
      <c r="M733">
        <v>4</v>
      </c>
      <c r="N733" t="s">
        <v>40</v>
      </c>
      <c r="O733" s="6">
        <f t="shared" ca="1" si="11"/>
        <v>45909</v>
      </c>
      <c r="P733">
        <v>1.7</v>
      </c>
    </row>
    <row r="734" spans="1:16" x14ac:dyDescent="0.3">
      <c r="A734" t="s">
        <v>1081</v>
      </c>
      <c r="B734" t="s">
        <v>380</v>
      </c>
      <c r="C734" t="s">
        <v>27</v>
      </c>
      <c r="D734">
        <v>30</v>
      </c>
      <c r="E734" t="s">
        <v>37</v>
      </c>
      <c r="F734" t="s">
        <v>52</v>
      </c>
      <c r="G734" t="s">
        <v>30</v>
      </c>
      <c r="H734">
        <v>7484</v>
      </c>
      <c r="I734">
        <v>6425</v>
      </c>
      <c r="J734">
        <v>1059</v>
      </c>
      <c r="K734" t="s">
        <v>88</v>
      </c>
      <c r="L734" t="s">
        <v>32</v>
      </c>
      <c r="M734">
        <v>9</v>
      </c>
      <c r="N734" t="s">
        <v>118</v>
      </c>
      <c r="O734" s="6">
        <f t="shared" ca="1" si="11"/>
        <v>45859</v>
      </c>
      <c r="P734">
        <v>3.6</v>
      </c>
    </row>
    <row r="735" spans="1:16" x14ac:dyDescent="0.3">
      <c r="A735" t="s">
        <v>1082</v>
      </c>
      <c r="B735" t="s">
        <v>135</v>
      </c>
      <c r="C735" t="s">
        <v>77</v>
      </c>
      <c r="D735">
        <v>41</v>
      </c>
      <c r="E735" t="s">
        <v>19</v>
      </c>
      <c r="F735" t="s">
        <v>64</v>
      </c>
      <c r="G735" t="s">
        <v>73</v>
      </c>
      <c r="H735">
        <v>4212</v>
      </c>
      <c r="I735">
        <v>2216</v>
      </c>
      <c r="J735">
        <v>1996</v>
      </c>
      <c r="K735" t="s">
        <v>59</v>
      </c>
      <c r="L735" t="s">
        <v>32</v>
      </c>
      <c r="M735">
        <v>9</v>
      </c>
      <c r="N735" t="s">
        <v>24</v>
      </c>
      <c r="O735" s="6">
        <f t="shared" ca="1" si="11"/>
        <v>45664</v>
      </c>
      <c r="P735">
        <v>4.5999999999999996</v>
      </c>
    </row>
    <row r="736" spans="1:16" x14ac:dyDescent="0.3">
      <c r="A736" t="s">
        <v>1083</v>
      </c>
      <c r="B736" t="s">
        <v>238</v>
      </c>
      <c r="C736" t="s">
        <v>129</v>
      </c>
      <c r="D736">
        <v>40</v>
      </c>
      <c r="E736" t="s">
        <v>28</v>
      </c>
      <c r="F736" t="s">
        <v>91</v>
      </c>
      <c r="G736" t="s">
        <v>58</v>
      </c>
      <c r="H736">
        <v>4406</v>
      </c>
      <c r="I736">
        <v>3283</v>
      </c>
      <c r="J736">
        <v>1123</v>
      </c>
      <c r="K736" t="s">
        <v>31</v>
      </c>
      <c r="L736" t="s">
        <v>23</v>
      </c>
      <c r="M736">
        <v>11</v>
      </c>
      <c r="N736" t="s">
        <v>48</v>
      </c>
      <c r="O736" s="6">
        <f t="shared" ca="1" si="11"/>
        <v>45983</v>
      </c>
      <c r="P736">
        <v>4.0999999999999996</v>
      </c>
    </row>
    <row r="737" spans="1:16" x14ac:dyDescent="0.3">
      <c r="A737" t="s">
        <v>1084</v>
      </c>
      <c r="B737" t="s">
        <v>390</v>
      </c>
      <c r="C737" t="s">
        <v>51</v>
      </c>
      <c r="D737">
        <v>22</v>
      </c>
      <c r="E737" t="s">
        <v>44</v>
      </c>
      <c r="F737" t="s">
        <v>136</v>
      </c>
      <c r="G737" t="s">
        <v>126</v>
      </c>
      <c r="H737">
        <v>3311</v>
      </c>
      <c r="I737">
        <v>1759</v>
      </c>
      <c r="J737">
        <v>1552</v>
      </c>
      <c r="K737" t="s">
        <v>31</v>
      </c>
      <c r="L737" t="s">
        <v>23</v>
      </c>
      <c r="M737">
        <v>13</v>
      </c>
      <c r="N737" t="s">
        <v>118</v>
      </c>
      <c r="O737" s="6">
        <f t="shared" ca="1" si="11"/>
        <v>45671</v>
      </c>
      <c r="P737">
        <v>3.4</v>
      </c>
    </row>
    <row r="738" spans="1:16" x14ac:dyDescent="0.3">
      <c r="A738" t="s">
        <v>1085</v>
      </c>
      <c r="B738" t="s">
        <v>428</v>
      </c>
      <c r="C738" t="s">
        <v>62</v>
      </c>
      <c r="D738">
        <v>46</v>
      </c>
      <c r="E738" t="s">
        <v>87</v>
      </c>
      <c r="F738" t="s">
        <v>29</v>
      </c>
      <c r="G738" t="s">
        <v>73</v>
      </c>
      <c r="H738">
        <v>4186</v>
      </c>
      <c r="I738">
        <v>2042</v>
      </c>
      <c r="J738">
        <v>2144</v>
      </c>
      <c r="K738" t="s">
        <v>68</v>
      </c>
      <c r="L738" t="s">
        <v>47</v>
      </c>
      <c r="M738">
        <v>10</v>
      </c>
      <c r="N738" t="s">
        <v>69</v>
      </c>
      <c r="O738" s="6">
        <f t="shared" ca="1" si="11"/>
        <v>45971</v>
      </c>
      <c r="P738">
        <v>3.7</v>
      </c>
    </row>
    <row r="739" spans="1:16" x14ac:dyDescent="0.3">
      <c r="A739" t="s">
        <v>1086</v>
      </c>
      <c r="B739" t="s">
        <v>261</v>
      </c>
      <c r="C739" t="s">
        <v>77</v>
      </c>
      <c r="D739">
        <v>64</v>
      </c>
      <c r="E739" t="s">
        <v>82</v>
      </c>
      <c r="F739" t="s">
        <v>20</v>
      </c>
      <c r="G739" t="s">
        <v>46</v>
      </c>
      <c r="H739">
        <v>8815</v>
      </c>
      <c r="I739">
        <v>6144</v>
      </c>
      <c r="J739">
        <v>2671</v>
      </c>
      <c r="K739" t="s">
        <v>88</v>
      </c>
      <c r="L739" t="s">
        <v>23</v>
      </c>
      <c r="M739">
        <v>3</v>
      </c>
      <c r="N739" t="s">
        <v>33</v>
      </c>
      <c r="O739" s="6">
        <f t="shared" ca="1" si="11"/>
        <v>45922</v>
      </c>
      <c r="P739">
        <v>3</v>
      </c>
    </row>
    <row r="740" spans="1:16" x14ac:dyDescent="0.3">
      <c r="A740" t="s">
        <v>1087</v>
      </c>
      <c r="B740" t="s">
        <v>407</v>
      </c>
      <c r="C740" t="s">
        <v>62</v>
      </c>
      <c r="D740">
        <v>39</v>
      </c>
      <c r="E740" t="s">
        <v>82</v>
      </c>
      <c r="F740" t="s">
        <v>98</v>
      </c>
      <c r="G740" t="s">
        <v>104</v>
      </c>
      <c r="H740">
        <v>2679</v>
      </c>
      <c r="I740">
        <v>970</v>
      </c>
      <c r="J740">
        <v>1709</v>
      </c>
      <c r="K740" t="s">
        <v>88</v>
      </c>
      <c r="L740" t="s">
        <v>23</v>
      </c>
      <c r="M740">
        <v>3</v>
      </c>
      <c r="N740" t="s">
        <v>95</v>
      </c>
      <c r="O740" s="6">
        <f t="shared" ca="1" si="11"/>
        <v>45819</v>
      </c>
      <c r="P740">
        <v>3.6</v>
      </c>
    </row>
    <row r="741" spans="1:16" x14ac:dyDescent="0.3">
      <c r="A741" t="s">
        <v>1088</v>
      </c>
      <c r="B741" t="s">
        <v>234</v>
      </c>
      <c r="C741" t="s">
        <v>129</v>
      </c>
      <c r="D741">
        <v>55</v>
      </c>
      <c r="E741" t="s">
        <v>37</v>
      </c>
      <c r="F741" t="s">
        <v>91</v>
      </c>
      <c r="G741" t="s">
        <v>21</v>
      </c>
      <c r="H741">
        <v>4731</v>
      </c>
      <c r="I741">
        <v>3686</v>
      </c>
      <c r="J741">
        <v>1045</v>
      </c>
      <c r="K741" t="s">
        <v>88</v>
      </c>
      <c r="L741" t="s">
        <v>23</v>
      </c>
      <c r="M741">
        <v>4</v>
      </c>
      <c r="N741" t="s">
        <v>116</v>
      </c>
      <c r="O741" s="6">
        <f t="shared" ca="1" si="11"/>
        <v>45972</v>
      </c>
      <c r="P741">
        <v>4.3</v>
      </c>
    </row>
    <row r="742" spans="1:16" x14ac:dyDescent="0.3">
      <c r="A742" t="s">
        <v>1089</v>
      </c>
      <c r="B742" t="s">
        <v>145</v>
      </c>
      <c r="C742" t="s">
        <v>51</v>
      </c>
      <c r="D742">
        <v>40</v>
      </c>
      <c r="E742" t="s">
        <v>44</v>
      </c>
      <c r="F742" t="s">
        <v>52</v>
      </c>
      <c r="G742" t="s">
        <v>92</v>
      </c>
      <c r="H742">
        <v>8450</v>
      </c>
      <c r="I742">
        <v>6371</v>
      </c>
      <c r="J742">
        <v>2079</v>
      </c>
      <c r="K742" t="s">
        <v>22</v>
      </c>
      <c r="L742" t="s">
        <v>32</v>
      </c>
      <c r="M742">
        <v>1</v>
      </c>
      <c r="N742" t="s">
        <v>193</v>
      </c>
      <c r="O742" s="6">
        <f t="shared" ca="1" si="11"/>
        <v>45701</v>
      </c>
      <c r="P742">
        <v>4.2</v>
      </c>
    </row>
    <row r="743" spans="1:16" x14ac:dyDescent="0.3">
      <c r="A743" t="s">
        <v>1090</v>
      </c>
      <c r="B743" t="s">
        <v>678</v>
      </c>
      <c r="C743" t="s">
        <v>62</v>
      </c>
      <c r="D743">
        <v>54</v>
      </c>
      <c r="E743" t="s">
        <v>57</v>
      </c>
      <c r="F743" t="s">
        <v>67</v>
      </c>
      <c r="G743" t="s">
        <v>104</v>
      </c>
      <c r="H743">
        <v>6364</v>
      </c>
      <c r="I743">
        <v>4269</v>
      </c>
      <c r="J743">
        <v>2095</v>
      </c>
      <c r="K743" t="s">
        <v>88</v>
      </c>
      <c r="L743" t="s">
        <v>23</v>
      </c>
      <c r="M743">
        <v>12</v>
      </c>
      <c r="N743" t="s">
        <v>53</v>
      </c>
      <c r="O743" s="6">
        <f t="shared" ca="1" si="11"/>
        <v>45828</v>
      </c>
      <c r="P743">
        <v>3.7</v>
      </c>
    </row>
    <row r="744" spans="1:16" x14ac:dyDescent="0.3">
      <c r="A744" t="s">
        <v>1091</v>
      </c>
      <c r="B744" t="s">
        <v>544</v>
      </c>
      <c r="C744" t="s">
        <v>18</v>
      </c>
      <c r="D744">
        <v>46</v>
      </c>
      <c r="E744" t="s">
        <v>44</v>
      </c>
      <c r="F744" t="s">
        <v>20</v>
      </c>
      <c r="G744" t="s">
        <v>73</v>
      </c>
      <c r="H744">
        <v>3475</v>
      </c>
      <c r="I744">
        <v>2540</v>
      </c>
      <c r="J744">
        <v>935</v>
      </c>
      <c r="K744" t="s">
        <v>88</v>
      </c>
      <c r="L744" t="s">
        <v>32</v>
      </c>
      <c r="M744">
        <v>5</v>
      </c>
      <c r="N744" t="s">
        <v>40</v>
      </c>
      <c r="O744" s="6">
        <f t="shared" ca="1" si="11"/>
        <v>45880</v>
      </c>
      <c r="P744">
        <v>1.1000000000000001</v>
      </c>
    </row>
    <row r="745" spans="1:16" x14ac:dyDescent="0.3">
      <c r="A745" t="s">
        <v>1092</v>
      </c>
      <c r="B745" t="s">
        <v>601</v>
      </c>
      <c r="C745" t="s">
        <v>129</v>
      </c>
      <c r="D745">
        <v>65</v>
      </c>
      <c r="E745" t="s">
        <v>44</v>
      </c>
      <c r="F745" t="s">
        <v>98</v>
      </c>
      <c r="G745" t="s">
        <v>73</v>
      </c>
      <c r="H745">
        <v>6601</v>
      </c>
      <c r="I745">
        <v>6223</v>
      </c>
      <c r="J745">
        <v>378</v>
      </c>
      <c r="K745" t="s">
        <v>31</v>
      </c>
      <c r="L745" t="s">
        <v>47</v>
      </c>
      <c r="M745">
        <v>14</v>
      </c>
      <c r="N745" t="s">
        <v>193</v>
      </c>
      <c r="O745" s="6">
        <f t="shared" ca="1" si="11"/>
        <v>45946</v>
      </c>
      <c r="P745">
        <v>4.5</v>
      </c>
    </row>
    <row r="746" spans="1:16" x14ac:dyDescent="0.3">
      <c r="A746" t="s">
        <v>1093</v>
      </c>
      <c r="B746" t="s">
        <v>348</v>
      </c>
      <c r="C746" t="s">
        <v>77</v>
      </c>
      <c r="D746">
        <v>65</v>
      </c>
      <c r="E746" t="s">
        <v>19</v>
      </c>
      <c r="F746" t="s">
        <v>91</v>
      </c>
      <c r="G746" t="s">
        <v>73</v>
      </c>
      <c r="H746">
        <v>9205</v>
      </c>
      <c r="I746">
        <v>6741</v>
      </c>
      <c r="J746">
        <v>2464</v>
      </c>
      <c r="K746" t="s">
        <v>31</v>
      </c>
      <c r="L746" t="s">
        <v>32</v>
      </c>
      <c r="M746">
        <v>6</v>
      </c>
      <c r="N746" t="s">
        <v>53</v>
      </c>
      <c r="O746" s="6">
        <f t="shared" ca="1" si="11"/>
        <v>45868</v>
      </c>
      <c r="P746">
        <v>3.5</v>
      </c>
    </row>
    <row r="747" spans="1:16" x14ac:dyDescent="0.3">
      <c r="A747" t="s">
        <v>1094</v>
      </c>
      <c r="B747" t="s">
        <v>66</v>
      </c>
      <c r="C747" t="s">
        <v>56</v>
      </c>
      <c r="D747">
        <v>31</v>
      </c>
      <c r="E747" t="s">
        <v>72</v>
      </c>
      <c r="F747" t="s">
        <v>52</v>
      </c>
      <c r="G747" t="s">
        <v>92</v>
      </c>
      <c r="H747">
        <v>2958</v>
      </c>
      <c r="I747">
        <v>865</v>
      </c>
      <c r="J747">
        <v>2093</v>
      </c>
      <c r="K747" t="s">
        <v>68</v>
      </c>
      <c r="L747" t="s">
        <v>23</v>
      </c>
      <c r="M747">
        <v>11</v>
      </c>
      <c r="N747" t="s">
        <v>69</v>
      </c>
      <c r="O747" s="6">
        <f t="shared" ca="1" si="11"/>
        <v>45737</v>
      </c>
      <c r="P747">
        <v>3.2</v>
      </c>
    </row>
    <row r="748" spans="1:16" x14ac:dyDescent="0.3">
      <c r="A748" t="s">
        <v>1095</v>
      </c>
      <c r="B748" t="s">
        <v>316</v>
      </c>
      <c r="C748" t="s">
        <v>62</v>
      </c>
      <c r="D748">
        <v>46</v>
      </c>
      <c r="E748" t="s">
        <v>28</v>
      </c>
      <c r="F748" t="s">
        <v>136</v>
      </c>
      <c r="G748" t="s">
        <v>39</v>
      </c>
      <c r="H748">
        <v>2198</v>
      </c>
      <c r="I748">
        <v>1439</v>
      </c>
      <c r="J748">
        <v>759</v>
      </c>
      <c r="K748" t="s">
        <v>88</v>
      </c>
      <c r="L748" t="s">
        <v>32</v>
      </c>
      <c r="M748">
        <v>12</v>
      </c>
      <c r="N748" t="s">
        <v>69</v>
      </c>
      <c r="O748" s="6">
        <f t="shared" ca="1" si="11"/>
        <v>45722</v>
      </c>
      <c r="P748">
        <v>3.2</v>
      </c>
    </row>
    <row r="749" spans="1:16" x14ac:dyDescent="0.3">
      <c r="A749" t="s">
        <v>1096</v>
      </c>
      <c r="B749" t="s">
        <v>893</v>
      </c>
      <c r="C749" t="s">
        <v>27</v>
      </c>
      <c r="D749">
        <v>63</v>
      </c>
      <c r="E749" t="s">
        <v>19</v>
      </c>
      <c r="F749" t="s">
        <v>91</v>
      </c>
      <c r="G749" t="s">
        <v>126</v>
      </c>
      <c r="H749">
        <v>5699</v>
      </c>
      <c r="I749">
        <v>4356</v>
      </c>
      <c r="J749">
        <v>1343</v>
      </c>
      <c r="K749" t="s">
        <v>22</v>
      </c>
      <c r="L749" t="s">
        <v>23</v>
      </c>
      <c r="M749">
        <v>3</v>
      </c>
      <c r="N749" t="s">
        <v>24</v>
      </c>
      <c r="O749" s="6">
        <f t="shared" ca="1" si="11"/>
        <v>45754</v>
      </c>
      <c r="P749">
        <v>4.5</v>
      </c>
    </row>
    <row r="750" spans="1:16" x14ac:dyDescent="0.3">
      <c r="A750" t="s">
        <v>1097</v>
      </c>
      <c r="B750" t="s">
        <v>853</v>
      </c>
      <c r="C750" t="s">
        <v>77</v>
      </c>
      <c r="D750">
        <v>55</v>
      </c>
      <c r="E750" t="s">
        <v>37</v>
      </c>
      <c r="F750" t="s">
        <v>20</v>
      </c>
      <c r="G750" t="s">
        <v>21</v>
      </c>
      <c r="H750">
        <v>6245</v>
      </c>
      <c r="I750">
        <v>6000</v>
      </c>
      <c r="J750">
        <v>245</v>
      </c>
      <c r="K750" t="s">
        <v>59</v>
      </c>
      <c r="L750" t="s">
        <v>47</v>
      </c>
      <c r="M750">
        <v>3</v>
      </c>
      <c r="N750" t="s">
        <v>69</v>
      </c>
      <c r="O750" s="6">
        <f t="shared" ca="1" si="11"/>
        <v>45930</v>
      </c>
      <c r="P750">
        <v>4.3</v>
      </c>
    </row>
    <row r="751" spans="1:16" x14ac:dyDescent="0.3">
      <c r="A751" t="s">
        <v>1098</v>
      </c>
      <c r="B751" t="s">
        <v>94</v>
      </c>
      <c r="C751" t="s">
        <v>36</v>
      </c>
      <c r="D751">
        <v>64</v>
      </c>
      <c r="E751" t="s">
        <v>82</v>
      </c>
      <c r="F751" t="s">
        <v>52</v>
      </c>
      <c r="G751" t="s">
        <v>104</v>
      </c>
      <c r="H751">
        <v>6602</v>
      </c>
      <c r="I751">
        <v>6207</v>
      </c>
      <c r="J751">
        <v>395</v>
      </c>
      <c r="K751" t="s">
        <v>22</v>
      </c>
      <c r="L751" t="s">
        <v>23</v>
      </c>
      <c r="M751">
        <v>13</v>
      </c>
      <c r="N751" t="s">
        <v>74</v>
      </c>
      <c r="O751" s="6">
        <f t="shared" ca="1" si="11"/>
        <v>45845</v>
      </c>
      <c r="P751">
        <v>3.9</v>
      </c>
    </row>
    <row r="752" spans="1:16" x14ac:dyDescent="0.3">
      <c r="A752" t="s">
        <v>1099</v>
      </c>
      <c r="B752" t="s">
        <v>172</v>
      </c>
      <c r="C752" t="s">
        <v>18</v>
      </c>
      <c r="D752">
        <v>49</v>
      </c>
      <c r="E752" t="s">
        <v>28</v>
      </c>
      <c r="F752" t="s">
        <v>67</v>
      </c>
      <c r="G752" t="s">
        <v>46</v>
      </c>
      <c r="H752">
        <v>2643</v>
      </c>
      <c r="I752">
        <v>898</v>
      </c>
      <c r="J752">
        <v>1745</v>
      </c>
      <c r="K752" t="s">
        <v>59</v>
      </c>
      <c r="L752" t="s">
        <v>23</v>
      </c>
      <c r="M752">
        <v>15</v>
      </c>
      <c r="N752" t="s">
        <v>33</v>
      </c>
      <c r="O752" s="6">
        <f t="shared" ca="1" si="11"/>
        <v>45899</v>
      </c>
      <c r="P752">
        <v>3.5</v>
      </c>
    </row>
    <row r="753" spans="1:16" x14ac:dyDescent="0.3">
      <c r="A753" t="s">
        <v>1100</v>
      </c>
      <c r="B753" t="s">
        <v>334</v>
      </c>
      <c r="C753" t="s">
        <v>36</v>
      </c>
      <c r="D753">
        <v>47</v>
      </c>
      <c r="E753" t="s">
        <v>28</v>
      </c>
      <c r="F753" t="s">
        <v>136</v>
      </c>
      <c r="G753" t="s">
        <v>58</v>
      </c>
      <c r="H753">
        <v>5059</v>
      </c>
      <c r="I753">
        <v>2074</v>
      </c>
      <c r="J753">
        <v>2985</v>
      </c>
      <c r="K753" t="s">
        <v>59</v>
      </c>
      <c r="L753" t="s">
        <v>32</v>
      </c>
      <c r="M753">
        <v>4</v>
      </c>
      <c r="N753" t="s">
        <v>53</v>
      </c>
      <c r="O753" s="6">
        <f t="shared" ca="1" si="11"/>
        <v>45673</v>
      </c>
      <c r="P753">
        <v>4.9000000000000004</v>
      </c>
    </row>
    <row r="754" spans="1:16" x14ac:dyDescent="0.3">
      <c r="A754" t="s">
        <v>1101</v>
      </c>
      <c r="B754" t="s">
        <v>113</v>
      </c>
      <c r="C754" t="s">
        <v>103</v>
      </c>
      <c r="D754">
        <v>53</v>
      </c>
      <c r="E754" t="s">
        <v>87</v>
      </c>
      <c r="F754" t="s">
        <v>38</v>
      </c>
      <c r="G754" t="s">
        <v>58</v>
      </c>
      <c r="H754">
        <v>7871</v>
      </c>
      <c r="I754">
        <v>5104</v>
      </c>
      <c r="J754">
        <v>2767</v>
      </c>
      <c r="K754" t="s">
        <v>88</v>
      </c>
      <c r="L754" t="s">
        <v>47</v>
      </c>
      <c r="M754">
        <v>4</v>
      </c>
      <c r="N754" t="s">
        <v>74</v>
      </c>
      <c r="O754" s="6">
        <f t="shared" ca="1" si="11"/>
        <v>45750</v>
      </c>
      <c r="P754">
        <v>4.4000000000000004</v>
      </c>
    </row>
    <row r="755" spans="1:16" x14ac:dyDescent="0.3">
      <c r="A755" t="s">
        <v>1102</v>
      </c>
      <c r="B755" t="s">
        <v>236</v>
      </c>
      <c r="C755" t="s">
        <v>62</v>
      </c>
      <c r="D755">
        <v>27</v>
      </c>
      <c r="E755" t="s">
        <v>57</v>
      </c>
      <c r="F755" t="s">
        <v>38</v>
      </c>
      <c r="G755" t="s">
        <v>126</v>
      </c>
      <c r="H755">
        <v>2469</v>
      </c>
      <c r="I755">
        <v>622</v>
      </c>
      <c r="J755">
        <v>1847</v>
      </c>
      <c r="K755" t="s">
        <v>88</v>
      </c>
      <c r="L755" t="s">
        <v>32</v>
      </c>
      <c r="M755">
        <v>1</v>
      </c>
      <c r="N755" t="s">
        <v>48</v>
      </c>
      <c r="O755" s="6">
        <f t="shared" ca="1" si="11"/>
        <v>45909</v>
      </c>
      <c r="P755">
        <v>3.5</v>
      </c>
    </row>
    <row r="756" spans="1:16" x14ac:dyDescent="0.3">
      <c r="A756" t="s">
        <v>1103</v>
      </c>
      <c r="B756" t="s">
        <v>1104</v>
      </c>
      <c r="C756" t="s">
        <v>18</v>
      </c>
      <c r="D756">
        <v>62</v>
      </c>
      <c r="E756" t="s">
        <v>44</v>
      </c>
      <c r="F756" t="s">
        <v>38</v>
      </c>
      <c r="G756" t="s">
        <v>46</v>
      </c>
      <c r="H756">
        <v>2146</v>
      </c>
      <c r="I756">
        <v>1051</v>
      </c>
      <c r="J756">
        <v>1095</v>
      </c>
      <c r="K756" t="s">
        <v>22</v>
      </c>
      <c r="L756" t="s">
        <v>47</v>
      </c>
      <c r="M756">
        <v>13</v>
      </c>
      <c r="N756" t="s">
        <v>118</v>
      </c>
      <c r="O756" s="6">
        <f t="shared" ca="1" si="11"/>
        <v>45697</v>
      </c>
      <c r="P756">
        <v>4.7</v>
      </c>
    </row>
    <row r="757" spans="1:16" x14ac:dyDescent="0.3">
      <c r="A757" t="s">
        <v>1105</v>
      </c>
      <c r="B757" t="s">
        <v>187</v>
      </c>
      <c r="C757" t="s">
        <v>51</v>
      </c>
      <c r="D757">
        <v>31</v>
      </c>
      <c r="E757" t="s">
        <v>72</v>
      </c>
      <c r="F757" t="s">
        <v>98</v>
      </c>
      <c r="G757" t="s">
        <v>79</v>
      </c>
      <c r="H757">
        <v>5941</v>
      </c>
      <c r="I757">
        <v>3157</v>
      </c>
      <c r="J757">
        <v>2784</v>
      </c>
      <c r="K757" t="s">
        <v>59</v>
      </c>
      <c r="L757" t="s">
        <v>47</v>
      </c>
      <c r="M757">
        <v>11</v>
      </c>
      <c r="N757" t="s">
        <v>193</v>
      </c>
      <c r="O757" s="6">
        <f t="shared" ca="1" si="11"/>
        <v>45786</v>
      </c>
      <c r="P757">
        <v>4.7</v>
      </c>
    </row>
    <row r="758" spans="1:16" x14ac:dyDescent="0.3">
      <c r="A758" t="s">
        <v>1106</v>
      </c>
      <c r="B758" t="s">
        <v>868</v>
      </c>
      <c r="C758" t="s">
        <v>56</v>
      </c>
      <c r="D758">
        <v>25</v>
      </c>
      <c r="E758" t="s">
        <v>57</v>
      </c>
      <c r="F758" t="s">
        <v>136</v>
      </c>
      <c r="G758" t="s">
        <v>79</v>
      </c>
      <c r="H758">
        <v>7330</v>
      </c>
      <c r="I758">
        <v>5292</v>
      </c>
      <c r="J758">
        <v>2038</v>
      </c>
      <c r="K758" t="s">
        <v>31</v>
      </c>
      <c r="L758" t="s">
        <v>47</v>
      </c>
      <c r="M758">
        <v>11</v>
      </c>
      <c r="N758" t="s">
        <v>33</v>
      </c>
      <c r="O758" s="6">
        <f t="shared" ca="1" si="11"/>
        <v>45861</v>
      </c>
      <c r="P758">
        <v>4.5</v>
      </c>
    </row>
    <row r="759" spans="1:16" x14ac:dyDescent="0.3">
      <c r="A759" t="s">
        <v>1107</v>
      </c>
      <c r="B759" t="s">
        <v>422</v>
      </c>
      <c r="C759" t="s">
        <v>36</v>
      </c>
      <c r="D759">
        <v>60</v>
      </c>
      <c r="E759" t="s">
        <v>87</v>
      </c>
      <c r="F759" t="s">
        <v>45</v>
      </c>
      <c r="G759" t="s">
        <v>30</v>
      </c>
      <c r="H759">
        <v>8499</v>
      </c>
      <c r="I759">
        <v>6544</v>
      </c>
      <c r="J759">
        <v>1955</v>
      </c>
      <c r="K759" t="s">
        <v>59</v>
      </c>
      <c r="L759" t="s">
        <v>23</v>
      </c>
      <c r="M759">
        <v>10</v>
      </c>
      <c r="N759" t="s">
        <v>53</v>
      </c>
      <c r="O759" s="6">
        <f t="shared" ca="1" si="11"/>
        <v>46007</v>
      </c>
      <c r="P759">
        <v>4</v>
      </c>
    </row>
    <row r="760" spans="1:16" x14ac:dyDescent="0.3">
      <c r="A760" t="s">
        <v>1108</v>
      </c>
      <c r="B760" t="s">
        <v>459</v>
      </c>
      <c r="C760" t="s">
        <v>18</v>
      </c>
      <c r="D760">
        <v>33</v>
      </c>
      <c r="E760" t="s">
        <v>78</v>
      </c>
      <c r="F760" t="s">
        <v>64</v>
      </c>
      <c r="G760" t="s">
        <v>30</v>
      </c>
      <c r="H760">
        <v>6114</v>
      </c>
      <c r="I760">
        <v>5759</v>
      </c>
      <c r="J760">
        <v>355</v>
      </c>
      <c r="K760" t="s">
        <v>68</v>
      </c>
      <c r="L760" t="s">
        <v>47</v>
      </c>
      <c r="M760">
        <v>12</v>
      </c>
      <c r="N760" t="s">
        <v>118</v>
      </c>
      <c r="O760" s="6">
        <f t="shared" ca="1" si="11"/>
        <v>45695</v>
      </c>
      <c r="P760">
        <v>3.9</v>
      </c>
    </row>
    <row r="761" spans="1:16" x14ac:dyDescent="0.3">
      <c r="A761" t="s">
        <v>1109</v>
      </c>
      <c r="B761" t="s">
        <v>403</v>
      </c>
      <c r="C761" t="s">
        <v>43</v>
      </c>
      <c r="D761">
        <v>62</v>
      </c>
      <c r="E761" t="s">
        <v>28</v>
      </c>
      <c r="F761" t="s">
        <v>29</v>
      </c>
      <c r="G761" t="s">
        <v>73</v>
      </c>
      <c r="H761">
        <v>7189</v>
      </c>
      <c r="I761">
        <v>5808</v>
      </c>
      <c r="J761">
        <v>1381</v>
      </c>
      <c r="K761" t="s">
        <v>59</v>
      </c>
      <c r="L761" t="s">
        <v>47</v>
      </c>
      <c r="M761">
        <v>4</v>
      </c>
      <c r="N761" t="s">
        <v>95</v>
      </c>
      <c r="O761" s="6">
        <f t="shared" ca="1" si="11"/>
        <v>45704</v>
      </c>
      <c r="P761">
        <v>3.2</v>
      </c>
    </row>
    <row r="762" spans="1:16" x14ac:dyDescent="0.3">
      <c r="A762" t="s">
        <v>1110</v>
      </c>
      <c r="B762" t="s">
        <v>213</v>
      </c>
      <c r="C762" t="s">
        <v>36</v>
      </c>
      <c r="D762">
        <v>63</v>
      </c>
      <c r="E762" t="s">
        <v>19</v>
      </c>
      <c r="F762" t="s">
        <v>52</v>
      </c>
      <c r="G762" t="s">
        <v>79</v>
      </c>
      <c r="H762">
        <v>5960</v>
      </c>
      <c r="I762">
        <v>3625</v>
      </c>
      <c r="J762">
        <v>2335</v>
      </c>
      <c r="K762" t="s">
        <v>88</v>
      </c>
      <c r="L762" t="s">
        <v>32</v>
      </c>
      <c r="M762">
        <v>8</v>
      </c>
      <c r="N762" t="s">
        <v>24</v>
      </c>
      <c r="O762" s="6">
        <f t="shared" ca="1" si="11"/>
        <v>45743</v>
      </c>
      <c r="P762">
        <v>3.7</v>
      </c>
    </row>
    <row r="763" spans="1:16" x14ac:dyDescent="0.3">
      <c r="A763" t="s">
        <v>1111</v>
      </c>
      <c r="B763" t="s">
        <v>681</v>
      </c>
      <c r="C763" t="s">
        <v>36</v>
      </c>
      <c r="D763">
        <v>61</v>
      </c>
      <c r="E763" t="s">
        <v>78</v>
      </c>
      <c r="F763" t="s">
        <v>52</v>
      </c>
      <c r="G763" t="s">
        <v>126</v>
      </c>
      <c r="H763">
        <v>2162</v>
      </c>
      <c r="I763">
        <v>1251</v>
      </c>
      <c r="J763">
        <v>911</v>
      </c>
      <c r="K763" t="s">
        <v>31</v>
      </c>
      <c r="L763" t="s">
        <v>32</v>
      </c>
      <c r="M763">
        <v>14</v>
      </c>
      <c r="N763" t="s">
        <v>33</v>
      </c>
      <c r="O763" s="6">
        <f t="shared" ca="1" si="11"/>
        <v>45966</v>
      </c>
      <c r="P763">
        <v>3.3</v>
      </c>
    </row>
    <row r="764" spans="1:16" x14ac:dyDescent="0.3">
      <c r="A764" t="s">
        <v>1112</v>
      </c>
      <c r="B764" t="s">
        <v>281</v>
      </c>
      <c r="C764" t="s">
        <v>56</v>
      </c>
      <c r="D764">
        <v>40</v>
      </c>
      <c r="E764" t="s">
        <v>78</v>
      </c>
      <c r="F764" t="s">
        <v>52</v>
      </c>
      <c r="G764" t="s">
        <v>30</v>
      </c>
      <c r="H764">
        <v>4895</v>
      </c>
      <c r="I764">
        <v>3973</v>
      </c>
      <c r="J764">
        <v>922</v>
      </c>
      <c r="K764" t="s">
        <v>88</v>
      </c>
      <c r="L764" t="s">
        <v>23</v>
      </c>
      <c r="M764">
        <v>5</v>
      </c>
      <c r="N764" t="s">
        <v>116</v>
      </c>
      <c r="O764" s="6">
        <f t="shared" ca="1" si="11"/>
        <v>45679</v>
      </c>
      <c r="P764">
        <v>5</v>
      </c>
    </row>
    <row r="765" spans="1:16" x14ac:dyDescent="0.3">
      <c r="A765" t="s">
        <v>1113</v>
      </c>
      <c r="B765" t="s">
        <v>908</v>
      </c>
      <c r="C765" t="s">
        <v>56</v>
      </c>
      <c r="D765">
        <v>26</v>
      </c>
      <c r="E765" t="s">
        <v>57</v>
      </c>
      <c r="F765" t="s">
        <v>64</v>
      </c>
      <c r="G765" t="s">
        <v>73</v>
      </c>
      <c r="H765">
        <v>4002</v>
      </c>
      <c r="I765">
        <v>1874</v>
      </c>
      <c r="J765">
        <v>2128</v>
      </c>
      <c r="K765" t="s">
        <v>59</v>
      </c>
      <c r="L765" t="s">
        <v>47</v>
      </c>
      <c r="M765">
        <v>9</v>
      </c>
      <c r="N765" t="s">
        <v>118</v>
      </c>
      <c r="O765" s="6">
        <f t="shared" ca="1" si="11"/>
        <v>45980</v>
      </c>
      <c r="P765">
        <v>4.3</v>
      </c>
    </row>
    <row r="766" spans="1:16" x14ac:dyDescent="0.3">
      <c r="A766" t="s">
        <v>1114</v>
      </c>
      <c r="B766" t="s">
        <v>223</v>
      </c>
      <c r="C766" t="s">
        <v>103</v>
      </c>
      <c r="D766">
        <v>48</v>
      </c>
      <c r="E766" t="s">
        <v>87</v>
      </c>
      <c r="F766" t="s">
        <v>45</v>
      </c>
      <c r="G766" t="s">
        <v>79</v>
      </c>
      <c r="H766">
        <v>5725</v>
      </c>
      <c r="I766">
        <v>4900</v>
      </c>
      <c r="J766">
        <v>825</v>
      </c>
      <c r="K766" t="s">
        <v>88</v>
      </c>
      <c r="L766" t="s">
        <v>23</v>
      </c>
      <c r="M766">
        <v>3</v>
      </c>
      <c r="N766" t="s">
        <v>116</v>
      </c>
      <c r="O766" s="6">
        <f t="shared" ca="1" si="11"/>
        <v>45830</v>
      </c>
      <c r="P766">
        <v>4.8</v>
      </c>
    </row>
    <row r="767" spans="1:16" x14ac:dyDescent="0.3">
      <c r="A767" t="s">
        <v>1115</v>
      </c>
      <c r="B767" t="s">
        <v>327</v>
      </c>
      <c r="C767" t="s">
        <v>18</v>
      </c>
      <c r="D767">
        <v>45</v>
      </c>
      <c r="E767" t="s">
        <v>82</v>
      </c>
      <c r="F767" t="s">
        <v>67</v>
      </c>
      <c r="G767" t="s">
        <v>104</v>
      </c>
      <c r="H767">
        <v>2653</v>
      </c>
      <c r="I767">
        <v>1089</v>
      </c>
      <c r="J767">
        <v>1564</v>
      </c>
      <c r="K767" t="s">
        <v>59</v>
      </c>
      <c r="L767" t="s">
        <v>23</v>
      </c>
      <c r="M767">
        <v>8</v>
      </c>
      <c r="N767" t="s">
        <v>33</v>
      </c>
      <c r="O767" s="6">
        <f t="shared" ca="1" si="11"/>
        <v>45854</v>
      </c>
      <c r="P767">
        <v>3.8</v>
      </c>
    </row>
    <row r="768" spans="1:16" x14ac:dyDescent="0.3">
      <c r="A768" t="s">
        <v>1116</v>
      </c>
      <c r="B768" t="s">
        <v>259</v>
      </c>
      <c r="C768" t="s">
        <v>27</v>
      </c>
      <c r="D768">
        <v>44</v>
      </c>
      <c r="E768" t="s">
        <v>63</v>
      </c>
      <c r="F768" t="s">
        <v>64</v>
      </c>
      <c r="G768" t="s">
        <v>73</v>
      </c>
      <c r="H768">
        <v>5460</v>
      </c>
      <c r="I768">
        <v>3732</v>
      </c>
      <c r="J768">
        <v>1728</v>
      </c>
      <c r="K768" t="s">
        <v>88</v>
      </c>
      <c r="L768" t="s">
        <v>23</v>
      </c>
      <c r="M768">
        <v>5</v>
      </c>
      <c r="N768" t="s">
        <v>118</v>
      </c>
      <c r="O768" s="6">
        <f t="shared" ca="1" si="11"/>
        <v>45683</v>
      </c>
      <c r="P768">
        <v>5</v>
      </c>
    </row>
    <row r="769" spans="1:16" x14ac:dyDescent="0.3">
      <c r="A769" t="s">
        <v>1117</v>
      </c>
      <c r="B769" t="s">
        <v>1118</v>
      </c>
      <c r="C769" t="s">
        <v>77</v>
      </c>
      <c r="D769">
        <v>45</v>
      </c>
      <c r="E769" t="s">
        <v>44</v>
      </c>
      <c r="F769" t="s">
        <v>20</v>
      </c>
      <c r="G769" t="s">
        <v>30</v>
      </c>
      <c r="H769">
        <v>8737</v>
      </c>
      <c r="I769">
        <v>6750</v>
      </c>
      <c r="J769">
        <v>1987</v>
      </c>
      <c r="K769" t="s">
        <v>31</v>
      </c>
      <c r="L769" t="s">
        <v>23</v>
      </c>
      <c r="M769">
        <v>5</v>
      </c>
      <c r="N769" t="s">
        <v>40</v>
      </c>
      <c r="O769" s="6">
        <f t="shared" ca="1" si="11"/>
        <v>45948</v>
      </c>
      <c r="P769">
        <v>1.2</v>
      </c>
    </row>
    <row r="770" spans="1:16" x14ac:dyDescent="0.3">
      <c r="A770" t="s">
        <v>1119</v>
      </c>
      <c r="B770" t="s">
        <v>380</v>
      </c>
      <c r="C770" t="s">
        <v>43</v>
      </c>
      <c r="D770">
        <v>65</v>
      </c>
      <c r="E770" t="s">
        <v>28</v>
      </c>
      <c r="F770" t="s">
        <v>64</v>
      </c>
      <c r="G770" t="s">
        <v>73</v>
      </c>
      <c r="H770">
        <v>7736</v>
      </c>
      <c r="I770">
        <v>6526</v>
      </c>
      <c r="J770">
        <v>1210</v>
      </c>
      <c r="K770" t="s">
        <v>22</v>
      </c>
      <c r="L770" t="s">
        <v>32</v>
      </c>
      <c r="M770">
        <v>1</v>
      </c>
      <c r="N770" t="s">
        <v>95</v>
      </c>
      <c r="O770" s="6">
        <f t="shared" ca="1" si="11"/>
        <v>45805</v>
      </c>
      <c r="P770">
        <v>4.9000000000000004</v>
      </c>
    </row>
    <row r="771" spans="1:16" x14ac:dyDescent="0.3">
      <c r="A771" t="s">
        <v>1120</v>
      </c>
      <c r="B771" t="s">
        <v>403</v>
      </c>
      <c r="C771" t="s">
        <v>51</v>
      </c>
      <c r="D771">
        <v>50</v>
      </c>
      <c r="E771" t="s">
        <v>78</v>
      </c>
      <c r="F771" t="s">
        <v>45</v>
      </c>
      <c r="G771" t="s">
        <v>30</v>
      </c>
      <c r="H771">
        <v>8000</v>
      </c>
      <c r="I771">
        <v>5432</v>
      </c>
      <c r="J771">
        <v>2568</v>
      </c>
      <c r="K771" t="s">
        <v>22</v>
      </c>
      <c r="L771" t="s">
        <v>47</v>
      </c>
      <c r="M771">
        <v>1</v>
      </c>
      <c r="N771" t="s">
        <v>40</v>
      </c>
      <c r="O771" s="6">
        <f t="shared" ref="O771:O834" ca="1" si="12">RANDBETWEEN(DATE(2025,1,1),DATE(2025,12,31))</f>
        <v>45801</v>
      </c>
      <c r="P771">
        <v>2.5</v>
      </c>
    </row>
    <row r="772" spans="1:16" x14ac:dyDescent="0.3">
      <c r="A772" t="s">
        <v>1121</v>
      </c>
      <c r="B772" t="s">
        <v>467</v>
      </c>
      <c r="C772" t="s">
        <v>103</v>
      </c>
      <c r="D772">
        <v>46</v>
      </c>
      <c r="E772" t="s">
        <v>44</v>
      </c>
      <c r="F772" t="s">
        <v>98</v>
      </c>
      <c r="G772" t="s">
        <v>92</v>
      </c>
      <c r="H772">
        <v>3978</v>
      </c>
      <c r="I772">
        <v>2046</v>
      </c>
      <c r="J772">
        <v>1932</v>
      </c>
      <c r="K772" t="s">
        <v>68</v>
      </c>
      <c r="L772" t="s">
        <v>32</v>
      </c>
      <c r="M772">
        <v>7</v>
      </c>
      <c r="N772" t="s">
        <v>116</v>
      </c>
      <c r="O772" s="6">
        <f t="shared" ca="1" si="12"/>
        <v>45931</v>
      </c>
      <c r="P772">
        <v>3.8</v>
      </c>
    </row>
    <row r="773" spans="1:16" x14ac:dyDescent="0.3">
      <c r="A773" t="s">
        <v>1122</v>
      </c>
      <c r="B773" t="s">
        <v>621</v>
      </c>
      <c r="C773" t="s">
        <v>103</v>
      </c>
      <c r="D773">
        <v>58</v>
      </c>
      <c r="E773" t="s">
        <v>72</v>
      </c>
      <c r="F773" t="s">
        <v>64</v>
      </c>
      <c r="G773" t="s">
        <v>21</v>
      </c>
      <c r="H773">
        <v>4200</v>
      </c>
      <c r="I773">
        <v>1395</v>
      </c>
      <c r="J773">
        <v>2805</v>
      </c>
      <c r="K773" t="s">
        <v>68</v>
      </c>
      <c r="L773" t="s">
        <v>47</v>
      </c>
      <c r="M773">
        <v>13</v>
      </c>
      <c r="N773" t="s">
        <v>95</v>
      </c>
      <c r="O773" s="6">
        <f t="shared" ca="1" si="12"/>
        <v>45812</v>
      </c>
      <c r="P773">
        <v>3</v>
      </c>
    </row>
    <row r="774" spans="1:16" x14ac:dyDescent="0.3">
      <c r="A774" t="s">
        <v>1123</v>
      </c>
      <c r="B774" t="s">
        <v>287</v>
      </c>
      <c r="C774" t="s">
        <v>103</v>
      </c>
      <c r="D774">
        <v>65</v>
      </c>
      <c r="E774" t="s">
        <v>72</v>
      </c>
      <c r="F774" t="s">
        <v>136</v>
      </c>
      <c r="G774" t="s">
        <v>126</v>
      </c>
      <c r="H774">
        <v>4734</v>
      </c>
      <c r="I774">
        <v>4528</v>
      </c>
      <c r="J774">
        <v>206</v>
      </c>
      <c r="K774" t="s">
        <v>88</v>
      </c>
      <c r="L774" t="s">
        <v>23</v>
      </c>
      <c r="M774">
        <v>13</v>
      </c>
      <c r="N774" t="s">
        <v>48</v>
      </c>
      <c r="O774" s="6">
        <f t="shared" ca="1" si="12"/>
        <v>45774</v>
      </c>
      <c r="P774">
        <v>4.9000000000000004</v>
      </c>
    </row>
    <row r="775" spans="1:16" x14ac:dyDescent="0.3">
      <c r="A775" t="s">
        <v>1124</v>
      </c>
      <c r="B775" t="s">
        <v>396</v>
      </c>
      <c r="C775" t="s">
        <v>103</v>
      </c>
      <c r="D775">
        <v>31</v>
      </c>
      <c r="E775" t="s">
        <v>78</v>
      </c>
      <c r="F775" t="s">
        <v>38</v>
      </c>
      <c r="G775" t="s">
        <v>126</v>
      </c>
      <c r="H775">
        <v>7017</v>
      </c>
      <c r="I775">
        <v>6267</v>
      </c>
      <c r="J775">
        <v>750</v>
      </c>
      <c r="K775" t="s">
        <v>88</v>
      </c>
      <c r="L775" t="s">
        <v>32</v>
      </c>
      <c r="M775">
        <v>3</v>
      </c>
      <c r="N775" t="s">
        <v>74</v>
      </c>
      <c r="O775" s="6">
        <f t="shared" ca="1" si="12"/>
        <v>45788</v>
      </c>
      <c r="P775">
        <v>3.5</v>
      </c>
    </row>
    <row r="776" spans="1:16" x14ac:dyDescent="0.3">
      <c r="A776" t="s">
        <v>1125</v>
      </c>
      <c r="B776" t="s">
        <v>238</v>
      </c>
      <c r="C776" t="s">
        <v>62</v>
      </c>
      <c r="D776">
        <v>32</v>
      </c>
      <c r="E776" t="s">
        <v>19</v>
      </c>
      <c r="F776" t="s">
        <v>136</v>
      </c>
      <c r="G776" t="s">
        <v>126</v>
      </c>
      <c r="H776">
        <v>7704</v>
      </c>
      <c r="I776">
        <v>6719</v>
      </c>
      <c r="J776">
        <v>985</v>
      </c>
      <c r="K776" t="s">
        <v>31</v>
      </c>
      <c r="L776" t="s">
        <v>47</v>
      </c>
      <c r="M776">
        <v>15</v>
      </c>
      <c r="N776" t="s">
        <v>48</v>
      </c>
      <c r="O776" s="6">
        <f t="shared" ca="1" si="12"/>
        <v>45910</v>
      </c>
      <c r="P776">
        <v>4.3</v>
      </c>
    </row>
    <row r="777" spans="1:16" x14ac:dyDescent="0.3">
      <c r="A777" t="s">
        <v>1126</v>
      </c>
      <c r="B777" t="s">
        <v>189</v>
      </c>
      <c r="C777" t="s">
        <v>129</v>
      </c>
      <c r="D777">
        <v>26</v>
      </c>
      <c r="E777" t="s">
        <v>72</v>
      </c>
      <c r="F777" t="s">
        <v>98</v>
      </c>
      <c r="G777" t="s">
        <v>73</v>
      </c>
      <c r="H777">
        <v>2854</v>
      </c>
      <c r="I777">
        <v>1521</v>
      </c>
      <c r="J777">
        <v>1333</v>
      </c>
      <c r="K777" t="s">
        <v>88</v>
      </c>
      <c r="L777" t="s">
        <v>47</v>
      </c>
      <c r="M777">
        <v>1</v>
      </c>
      <c r="N777" t="s">
        <v>118</v>
      </c>
      <c r="O777" s="6">
        <f t="shared" ca="1" si="12"/>
        <v>45913</v>
      </c>
      <c r="P777">
        <v>4.8</v>
      </c>
    </row>
    <row r="778" spans="1:16" x14ac:dyDescent="0.3">
      <c r="A778" t="s">
        <v>1127</v>
      </c>
      <c r="B778" t="s">
        <v>380</v>
      </c>
      <c r="C778" t="s">
        <v>77</v>
      </c>
      <c r="D778">
        <v>21</v>
      </c>
      <c r="E778" t="s">
        <v>28</v>
      </c>
      <c r="F778" t="s">
        <v>45</v>
      </c>
      <c r="G778" t="s">
        <v>46</v>
      </c>
      <c r="H778">
        <v>8535</v>
      </c>
      <c r="I778">
        <v>5950</v>
      </c>
      <c r="J778">
        <v>2585</v>
      </c>
      <c r="K778" t="s">
        <v>31</v>
      </c>
      <c r="L778" t="s">
        <v>32</v>
      </c>
      <c r="M778">
        <v>1</v>
      </c>
      <c r="N778" t="s">
        <v>53</v>
      </c>
      <c r="O778" s="6">
        <f t="shared" ca="1" si="12"/>
        <v>45902</v>
      </c>
      <c r="P778">
        <v>4.7</v>
      </c>
    </row>
    <row r="779" spans="1:16" x14ac:dyDescent="0.3">
      <c r="A779" t="s">
        <v>1128</v>
      </c>
      <c r="B779" t="s">
        <v>535</v>
      </c>
      <c r="C779" t="s">
        <v>51</v>
      </c>
      <c r="D779">
        <v>54</v>
      </c>
      <c r="E779" t="s">
        <v>72</v>
      </c>
      <c r="F779" t="s">
        <v>91</v>
      </c>
      <c r="G779" t="s">
        <v>104</v>
      </c>
      <c r="H779">
        <v>8280</v>
      </c>
      <c r="I779">
        <v>6700</v>
      </c>
      <c r="J779">
        <v>1580</v>
      </c>
      <c r="K779" t="s">
        <v>68</v>
      </c>
      <c r="L779" t="s">
        <v>47</v>
      </c>
      <c r="M779">
        <v>6</v>
      </c>
      <c r="N779" t="s">
        <v>95</v>
      </c>
      <c r="O779" s="6">
        <f t="shared" ca="1" si="12"/>
        <v>45805</v>
      </c>
      <c r="P779">
        <v>3.9</v>
      </c>
    </row>
    <row r="780" spans="1:16" x14ac:dyDescent="0.3">
      <c r="A780" t="s">
        <v>1129</v>
      </c>
      <c r="B780" t="s">
        <v>868</v>
      </c>
      <c r="C780" t="s">
        <v>62</v>
      </c>
      <c r="D780">
        <v>44</v>
      </c>
      <c r="E780" t="s">
        <v>37</v>
      </c>
      <c r="F780" t="s">
        <v>64</v>
      </c>
      <c r="G780" t="s">
        <v>79</v>
      </c>
      <c r="H780">
        <v>2626</v>
      </c>
      <c r="I780">
        <v>968</v>
      </c>
      <c r="J780">
        <v>1658</v>
      </c>
      <c r="K780" t="s">
        <v>88</v>
      </c>
      <c r="L780" t="s">
        <v>47</v>
      </c>
      <c r="M780">
        <v>0</v>
      </c>
      <c r="N780" t="s">
        <v>40</v>
      </c>
      <c r="O780" s="6">
        <f t="shared" ca="1" si="12"/>
        <v>45964</v>
      </c>
      <c r="P780">
        <v>1.2</v>
      </c>
    </row>
    <row r="781" spans="1:16" x14ac:dyDescent="0.3">
      <c r="A781" t="s">
        <v>1130</v>
      </c>
      <c r="B781" t="s">
        <v>172</v>
      </c>
      <c r="C781" t="s">
        <v>129</v>
      </c>
      <c r="D781">
        <v>22</v>
      </c>
      <c r="E781" t="s">
        <v>44</v>
      </c>
      <c r="F781" t="s">
        <v>98</v>
      </c>
      <c r="G781" t="s">
        <v>92</v>
      </c>
      <c r="H781">
        <v>4007</v>
      </c>
      <c r="I781">
        <v>2789</v>
      </c>
      <c r="J781">
        <v>1218</v>
      </c>
      <c r="K781" t="s">
        <v>88</v>
      </c>
      <c r="L781" t="s">
        <v>47</v>
      </c>
      <c r="M781">
        <v>10</v>
      </c>
      <c r="N781" t="s">
        <v>69</v>
      </c>
      <c r="O781" s="6">
        <f t="shared" ca="1" si="12"/>
        <v>45987</v>
      </c>
      <c r="P781">
        <v>3.4</v>
      </c>
    </row>
    <row r="782" spans="1:16" x14ac:dyDescent="0.3">
      <c r="A782" t="s">
        <v>1131</v>
      </c>
      <c r="B782" t="s">
        <v>1132</v>
      </c>
      <c r="C782" t="s">
        <v>43</v>
      </c>
      <c r="D782">
        <v>22</v>
      </c>
      <c r="E782" t="s">
        <v>57</v>
      </c>
      <c r="F782" t="s">
        <v>136</v>
      </c>
      <c r="G782" t="s">
        <v>58</v>
      </c>
      <c r="H782">
        <v>8072</v>
      </c>
      <c r="I782">
        <v>6053</v>
      </c>
      <c r="J782">
        <v>2019</v>
      </c>
      <c r="K782" t="s">
        <v>22</v>
      </c>
      <c r="L782" t="s">
        <v>32</v>
      </c>
      <c r="M782">
        <v>8</v>
      </c>
      <c r="N782" t="s">
        <v>48</v>
      </c>
      <c r="O782" s="6">
        <f t="shared" ca="1" si="12"/>
        <v>45970</v>
      </c>
      <c r="P782">
        <v>3.5</v>
      </c>
    </row>
    <row r="783" spans="1:16" x14ac:dyDescent="0.3">
      <c r="A783" t="s">
        <v>1133</v>
      </c>
      <c r="B783" t="s">
        <v>426</v>
      </c>
      <c r="C783" t="s">
        <v>56</v>
      </c>
      <c r="D783">
        <v>63</v>
      </c>
      <c r="E783" t="s">
        <v>87</v>
      </c>
      <c r="F783" t="s">
        <v>64</v>
      </c>
      <c r="G783" t="s">
        <v>39</v>
      </c>
      <c r="H783">
        <v>6472</v>
      </c>
      <c r="I783">
        <v>5473</v>
      </c>
      <c r="J783">
        <v>999</v>
      </c>
      <c r="K783" t="s">
        <v>31</v>
      </c>
      <c r="L783" t="s">
        <v>32</v>
      </c>
      <c r="M783">
        <v>14</v>
      </c>
      <c r="N783" t="s">
        <v>74</v>
      </c>
      <c r="O783" s="6">
        <f t="shared" ca="1" si="12"/>
        <v>45867</v>
      </c>
      <c r="P783">
        <v>3.6</v>
      </c>
    </row>
    <row r="784" spans="1:16" x14ac:dyDescent="0.3">
      <c r="A784" t="s">
        <v>1134</v>
      </c>
      <c r="B784" t="s">
        <v>110</v>
      </c>
      <c r="C784" t="s">
        <v>56</v>
      </c>
      <c r="D784">
        <v>26</v>
      </c>
      <c r="E784" t="s">
        <v>72</v>
      </c>
      <c r="F784" t="s">
        <v>29</v>
      </c>
      <c r="G784" t="s">
        <v>104</v>
      </c>
      <c r="H784">
        <v>3903</v>
      </c>
      <c r="I784">
        <v>1876</v>
      </c>
      <c r="J784">
        <v>2027</v>
      </c>
      <c r="K784" t="s">
        <v>31</v>
      </c>
      <c r="L784" t="s">
        <v>23</v>
      </c>
      <c r="M784">
        <v>3</v>
      </c>
      <c r="N784" t="s">
        <v>40</v>
      </c>
      <c r="O784" s="6">
        <f t="shared" ca="1" si="12"/>
        <v>45667</v>
      </c>
      <c r="P784">
        <v>2</v>
      </c>
    </row>
    <row r="785" spans="1:16" x14ac:dyDescent="0.3">
      <c r="A785" t="s">
        <v>1135</v>
      </c>
      <c r="B785" t="s">
        <v>757</v>
      </c>
      <c r="C785" t="s">
        <v>62</v>
      </c>
      <c r="D785">
        <v>31</v>
      </c>
      <c r="E785" t="s">
        <v>87</v>
      </c>
      <c r="F785" t="s">
        <v>98</v>
      </c>
      <c r="G785" t="s">
        <v>73</v>
      </c>
      <c r="H785">
        <v>6682</v>
      </c>
      <c r="I785">
        <v>6363</v>
      </c>
      <c r="J785">
        <v>319</v>
      </c>
      <c r="K785" t="s">
        <v>68</v>
      </c>
      <c r="L785" t="s">
        <v>32</v>
      </c>
      <c r="M785">
        <v>15</v>
      </c>
      <c r="N785" t="s">
        <v>95</v>
      </c>
      <c r="O785" s="6">
        <f t="shared" ca="1" si="12"/>
        <v>45973</v>
      </c>
      <c r="P785">
        <v>4.7</v>
      </c>
    </row>
    <row r="786" spans="1:16" x14ac:dyDescent="0.3">
      <c r="A786" t="s">
        <v>1136</v>
      </c>
      <c r="B786" t="s">
        <v>596</v>
      </c>
      <c r="C786" t="s">
        <v>18</v>
      </c>
      <c r="D786">
        <v>63</v>
      </c>
      <c r="E786" t="s">
        <v>63</v>
      </c>
      <c r="F786" t="s">
        <v>98</v>
      </c>
      <c r="G786" t="s">
        <v>126</v>
      </c>
      <c r="H786">
        <v>7673</v>
      </c>
      <c r="I786">
        <v>4878</v>
      </c>
      <c r="J786">
        <v>2795</v>
      </c>
      <c r="K786" t="s">
        <v>31</v>
      </c>
      <c r="L786" t="s">
        <v>32</v>
      </c>
      <c r="M786">
        <v>2</v>
      </c>
      <c r="N786" t="s">
        <v>95</v>
      </c>
      <c r="O786" s="6">
        <f t="shared" ca="1" si="12"/>
        <v>45917</v>
      </c>
      <c r="P786">
        <v>3.5</v>
      </c>
    </row>
    <row r="787" spans="1:16" x14ac:dyDescent="0.3">
      <c r="A787" t="s">
        <v>1137</v>
      </c>
      <c r="B787" t="s">
        <v>274</v>
      </c>
      <c r="C787" t="s">
        <v>43</v>
      </c>
      <c r="D787">
        <v>45</v>
      </c>
      <c r="E787" t="s">
        <v>37</v>
      </c>
      <c r="F787" t="s">
        <v>29</v>
      </c>
      <c r="G787" t="s">
        <v>73</v>
      </c>
      <c r="H787">
        <v>3526</v>
      </c>
      <c r="I787">
        <v>2411</v>
      </c>
      <c r="J787">
        <v>1115</v>
      </c>
      <c r="K787" t="s">
        <v>22</v>
      </c>
      <c r="L787" t="s">
        <v>47</v>
      </c>
      <c r="M787">
        <v>5</v>
      </c>
      <c r="N787" t="s">
        <v>53</v>
      </c>
      <c r="O787" s="6">
        <f t="shared" ca="1" si="12"/>
        <v>45830</v>
      </c>
      <c r="P787">
        <v>4.5999999999999996</v>
      </c>
    </row>
    <row r="788" spans="1:16" x14ac:dyDescent="0.3">
      <c r="A788" t="s">
        <v>1138</v>
      </c>
      <c r="B788" t="s">
        <v>630</v>
      </c>
      <c r="C788" t="s">
        <v>51</v>
      </c>
      <c r="D788">
        <v>33</v>
      </c>
      <c r="E788" t="s">
        <v>87</v>
      </c>
      <c r="F788" t="s">
        <v>67</v>
      </c>
      <c r="G788" t="s">
        <v>58</v>
      </c>
      <c r="H788">
        <v>3026</v>
      </c>
      <c r="I788">
        <v>1543</v>
      </c>
      <c r="J788">
        <v>1483</v>
      </c>
      <c r="K788" t="s">
        <v>68</v>
      </c>
      <c r="L788" t="s">
        <v>32</v>
      </c>
      <c r="M788">
        <v>4</v>
      </c>
      <c r="N788" t="s">
        <v>40</v>
      </c>
      <c r="O788" s="6">
        <f t="shared" ca="1" si="12"/>
        <v>45782</v>
      </c>
      <c r="P788">
        <v>1.7</v>
      </c>
    </row>
    <row r="789" spans="1:16" x14ac:dyDescent="0.3">
      <c r="A789" t="s">
        <v>1139</v>
      </c>
      <c r="B789" t="s">
        <v>369</v>
      </c>
      <c r="C789" t="s">
        <v>27</v>
      </c>
      <c r="D789">
        <v>33</v>
      </c>
      <c r="E789" t="s">
        <v>37</v>
      </c>
      <c r="F789" t="s">
        <v>64</v>
      </c>
      <c r="G789" t="s">
        <v>58</v>
      </c>
      <c r="H789">
        <v>8513</v>
      </c>
      <c r="I789">
        <v>6818</v>
      </c>
      <c r="J789">
        <v>1695</v>
      </c>
      <c r="K789" t="s">
        <v>31</v>
      </c>
      <c r="L789" t="s">
        <v>32</v>
      </c>
      <c r="M789">
        <v>15</v>
      </c>
      <c r="N789" t="s">
        <v>193</v>
      </c>
      <c r="O789" s="6">
        <f t="shared" ca="1" si="12"/>
        <v>45813</v>
      </c>
      <c r="P789">
        <v>3.9</v>
      </c>
    </row>
    <row r="790" spans="1:16" x14ac:dyDescent="0.3">
      <c r="A790" t="s">
        <v>1140</v>
      </c>
      <c r="B790" t="s">
        <v>367</v>
      </c>
      <c r="C790" t="s">
        <v>77</v>
      </c>
      <c r="D790">
        <v>46</v>
      </c>
      <c r="E790" t="s">
        <v>28</v>
      </c>
      <c r="F790" t="s">
        <v>29</v>
      </c>
      <c r="G790" t="s">
        <v>104</v>
      </c>
      <c r="H790">
        <v>3880</v>
      </c>
      <c r="I790">
        <v>3088</v>
      </c>
      <c r="J790">
        <v>792</v>
      </c>
      <c r="K790" t="s">
        <v>88</v>
      </c>
      <c r="L790" t="s">
        <v>32</v>
      </c>
      <c r="M790">
        <v>5</v>
      </c>
      <c r="N790" t="s">
        <v>33</v>
      </c>
      <c r="O790" s="6">
        <f t="shared" ca="1" si="12"/>
        <v>46003</v>
      </c>
      <c r="P790">
        <v>4.5</v>
      </c>
    </row>
    <row r="791" spans="1:16" x14ac:dyDescent="0.3">
      <c r="A791" t="s">
        <v>1141</v>
      </c>
      <c r="B791" t="s">
        <v>683</v>
      </c>
      <c r="C791" t="s">
        <v>18</v>
      </c>
      <c r="D791">
        <v>30</v>
      </c>
      <c r="E791" t="s">
        <v>28</v>
      </c>
      <c r="F791" t="s">
        <v>67</v>
      </c>
      <c r="G791" t="s">
        <v>58</v>
      </c>
      <c r="H791">
        <v>5287</v>
      </c>
      <c r="I791">
        <v>3030</v>
      </c>
      <c r="J791">
        <v>2257</v>
      </c>
      <c r="K791" t="s">
        <v>31</v>
      </c>
      <c r="L791" t="s">
        <v>47</v>
      </c>
      <c r="M791">
        <v>0</v>
      </c>
      <c r="N791" t="s">
        <v>40</v>
      </c>
      <c r="O791" s="6">
        <f t="shared" ca="1" si="12"/>
        <v>45908</v>
      </c>
      <c r="P791">
        <v>1.9</v>
      </c>
    </row>
    <row r="792" spans="1:16" x14ac:dyDescent="0.3">
      <c r="A792" t="s">
        <v>1142</v>
      </c>
      <c r="B792" t="s">
        <v>380</v>
      </c>
      <c r="C792" t="s">
        <v>62</v>
      </c>
      <c r="D792">
        <v>52</v>
      </c>
      <c r="E792" t="s">
        <v>72</v>
      </c>
      <c r="F792" t="s">
        <v>64</v>
      </c>
      <c r="G792" t="s">
        <v>46</v>
      </c>
      <c r="H792">
        <v>4054</v>
      </c>
      <c r="I792">
        <v>3229</v>
      </c>
      <c r="J792">
        <v>825</v>
      </c>
      <c r="K792" t="s">
        <v>22</v>
      </c>
      <c r="L792" t="s">
        <v>32</v>
      </c>
      <c r="M792">
        <v>4</v>
      </c>
      <c r="N792" t="s">
        <v>33</v>
      </c>
      <c r="O792" s="6">
        <f t="shared" ca="1" si="12"/>
        <v>45910</v>
      </c>
      <c r="P792">
        <v>4.5</v>
      </c>
    </row>
    <row r="793" spans="1:16" x14ac:dyDescent="0.3">
      <c r="A793" t="s">
        <v>1143</v>
      </c>
      <c r="B793" t="s">
        <v>162</v>
      </c>
      <c r="C793" t="s">
        <v>56</v>
      </c>
      <c r="D793">
        <v>46</v>
      </c>
      <c r="E793" t="s">
        <v>72</v>
      </c>
      <c r="F793" t="s">
        <v>20</v>
      </c>
      <c r="G793" t="s">
        <v>46</v>
      </c>
      <c r="H793">
        <v>6794</v>
      </c>
      <c r="I793">
        <v>4988</v>
      </c>
      <c r="J793">
        <v>1806</v>
      </c>
      <c r="K793" t="s">
        <v>88</v>
      </c>
      <c r="L793" t="s">
        <v>23</v>
      </c>
      <c r="M793">
        <v>11</v>
      </c>
      <c r="N793" t="s">
        <v>69</v>
      </c>
      <c r="O793" s="6">
        <f t="shared" ca="1" si="12"/>
        <v>45987</v>
      </c>
      <c r="P793">
        <v>4.5999999999999996</v>
      </c>
    </row>
    <row r="794" spans="1:16" x14ac:dyDescent="0.3">
      <c r="A794" t="s">
        <v>1144</v>
      </c>
      <c r="B794" t="s">
        <v>42</v>
      </c>
      <c r="C794" t="s">
        <v>27</v>
      </c>
      <c r="D794">
        <v>39</v>
      </c>
      <c r="E794" t="s">
        <v>72</v>
      </c>
      <c r="F794" t="s">
        <v>52</v>
      </c>
      <c r="G794" t="s">
        <v>92</v>
      </c>
      <c r="H794">
        <v>4323</v>
      </c>
      <c r="I794">
        <v>3725</v>
      </c>
      <c r="J794">
        <v>598</v>
      </c>
      <c r="K794" t="s">
        <v>68</v>
      </c>
      <c r="L794" t="s">
        <v>32</v>
      </c>
      <c r="M794">
        <v>13</v>
      </c>
      <c r="N794" t="s">
        <v>118</v>
      </c>
      <c r="O794" s="6">
        <f t="shared" ca="1" si="12"/>
        <v>45944</v>
      </c>
      <c r="P794">
        <v>3.6</v>
      </c>
    </row>
    <row r="795" spans="1:16" x14ac:dyDescent="0.3">
      <c r="A795" t="s">
        <v>1145</v>
      </c>
      <c r="B795" t="s">
        <v>718</v>
      </c>
      <c r="C795" t="s">
        <v>129</v>
      </c>
      <c r="D795">
        <v>57</v>
      </c>
      <c r="E795" t="s">
        <v>78</v>
      </c>
      <c r="F795" t="s">
        <v>91</v>
      </c>
      <c r="G795" t="s">
        <v>104</v>
      </c>
      <c r="H795">
        <v>3677</v>
      </c>
      <c r="I795">
        <v>2884</v>
      </c>
      <c r="J795">
        <v>793</v>
      </c>
      <c r="K795" t="s">
        <v>22</v>
      </c>
      <c r="L795" t="s">
        <v>47</v>
      </c>
      <c r="M795">
        <v>13</v>
      </c>
      <c r="N795" t="s">
        <v>33</v>
      </c>
      <c r="O795" s="6">
        <f t="shared" ca="1" si="12"/>
        <v>45856</v>
      </c>
      <c r="P795">
        <v>4.3</v>
      </c>
    </row>
    <row r="796" spans="1:16" x14ac:dyDescent="0.3">
      <c r="A796" t="s">
        <v>1146</v>
      </c>
      <c r="B796" t="s">
        <v>544</v>
      </c>
      <c r="C796" t="s">
        <v>51</v>
      </c>
      <c r="D796">
        <v>27</v>
      </c>
      <c r="E796" t="s">
        <v>78</v>
      </c>
      <c r="F796" t="s">
        <v>64</v>
      </c>
      <c r="G796" t="s">
        <v>73</v>
      </c>
      <c r="H796">
        <v>6955</v>
      </c>
      <c r="I796">
        <v>6066</v>
      </c>
      <c r="J796">
        <v>889</v>
      </c>
      <c r="K796" t="s">
        <v>88</v>
      </c>
      <c r="L796" t="s">
        <v>32</v>
      </c>
      <c r="M796">
        <v>0</v>
      </c>
      <c r="N796" t="s">
        <v>40</v>
      </c>
      <c r="O796" s="6">
        <f t="shared" ca="1" si="12"/>
        <v>45893</v>
      </c>
      <c r="P796">
        <v>2.2000000000000002</v>
      </c>
    </row>
    <row r="797" spans="1:16" x14ac:dyDescent="0.3">
      <c r="A797" t="s">
        <v>1147</v>
      </c>
      <c r="B797" t="s">
        <v>113</v>
      </c>
      <c r="C797" t="s">
        <v>77</v>
      </c>
      <c r="D797">
        <v>53</v>
      </c>
      <c r="E797" t="s">
        <v>57</v>
      </c>
      <c r="F797" t="s">
        <v>67</v>
      </c>
      <c r="G797" t="s">
        <v>73</v>
      </c>
      <c r="H797">
        <v>4485</v>
      </c>
      <c r="I797">
        <v>1717</v>
      </c>
      <c r="J797">
        <v>2768</v>
      </c>
      <c r="K797" t="s">
        <v>59</v>
      </c>
      <c r="L797" t="s">
        <v>32</v>
      </c>
      <c r="M797">
        <v>4</v>
      </c>
      <c r="N797" t="s">
        <v>24</v>
      </c>
      <c r="O797" s="6">
        <f t="shared" ca="1" si="12"/>
        <v>45974</v>
      </c>
      <c r="P797">
        <v>4.8</v>
      </c>
    </row>
    <row r="798" spans="1:16" x14ac:dyDescent="0.3">
      <c r="A798" t="s">
        <v>1148</v>
      </c>
      <c r="B798" t="s">
        <v>559</v>
      </c>
      <c r="C798" t="s">
        <v>18</v>
      </c>
      <c r="D798">
        <v>65</v>
      </c>
      <c r="E798" t="s">
        <v>44</v>
      </c>
      <c r="F798" t="s">
        <v>20</v>
      </c>
      <c r="G798" t="s">
        <v>73</v>
      </c>
      <c r="H798">
        <v>9802</v>
      </c>
      <c r="I798">
        <v>6855</v>
      </c>
      <c r="J798">
        <v>2947</v>
      </c>
      <c r="K798" t="s">
        <v>88</v>
      </c>
      <c r="L798" t="s">
        <v>47</v>
      </c>
      <c r="M798">
        <v>13</v>
      </c>
      <c r="N798" t="s">
        <v>69</v>
      </c>
      <c r="O798" s="6">
        <f t="shared" ca="1" si="12"/>
        <v>45963</v>
      </c>
      <c r="P798">
        <v>4.4000000000000004</v>
      </c>
    </row>
    <row r="799" spans="1:16" x14ac:dyDescent="0.3">
      <c r="A799" t="s">
        <v>1149</v>
      </c>
      <c r="B799" t="s">
        <v>198</v>
      </c>
      <c r="C799" t="s">
        <v>56</v>
      </c>
      <c r="D799">
        <v>44</v>
      </c>
      <c r="E799" t="s">
        <v>28</v>
      </c>
      <c r="F799" t="s">
        <v>98</v>
      </c>
      <c r="G799" t="s">
        <v>21</v>
      </c>
      <c r="H799">
        <v>1875</v>
      </c>
      <c r="I799">
        <v>1176</v>
      </c>
      <c r="J799">
        <v>699</v>
      </c>
      <c r="K799" t="s">
        <v>22</v>
      </c>
      <c r="L799" t="s">
        <v>23</v>
      </c>
      <c r="M799">
        <v>11</v>
      </c>
      <c r="N799" t="s">
        <v>74</v>
      </c>
      <c r="O799" s="6">
        <f t="shared" ca="1" si="12"/>
        <v>45848</v>
      </c>
      <c r="P799">
        <v>3.5</v>
      </c>
    </row>
    <row r="800" spans="1:16" x14ac:dyDescent="0.3">
      <c r="A800" t="s">
        <v>1150</v>
      </c>
      <c r="B800" t="s">
        <v>668</v>
      </c>
      <c r="C800" t="s">
        <v>51</v>
      </c>
      <c r="D800">
        <v>51</v>
      </c>
      <c r="E800" t="s">
        <v>72</v>
      </c>
      <c r="F800" t="s">
        <v>98</v>
      </c>
      <c r="G800" t="s">
        <v>79</v>
      </c>
      <c r="H800">
        <v>3755</v>
      </c>
      <c r="I800">
        <v>1983</v>
      </c>
      <c r="J800">
        <v>1772</v>
      </c>
      <c r="K800" t="s">
        <v>31</v>
      </c>
      <c r="L800" t="s">
        <v>47</v>
      </c>
      <c r="M800">
        <v>11</v>
      </c>
      <c r="N800" t="s">
        <v>48</v>
      </c>
      <c r="O800" s="6">
        <f t="shared" ca="1" si="12"/>
        <v>45682</v>
      </c>
      <c r="P800">
        <v>3.8</v>
      </c>
    </row>
    <row r="801" spans="1:16" x14ac:dyDescent="0.3">
      <c r="A801" t="s">
        <v>1151</v>
      </c>
      <c r="B801" t="s">
        <v>225</v>
      </c>
      <c r="C801" t="s">
        <v>43</v>
      </c>
      <c r="D801">
        <v>25</v>
      </c>
      <c r="E801" t="s">
        <v>82</v>
      </c>
      <c r="F801" t="s">
        <v>20</v>
      </c>
      <c r="G801" t="s">
        <v>73</v>
      </c>
      <c r="H801">
        <v>6520</v>
      </c>
      <c r="I801">
        <v>6240</v>
      </c>
      <c r="J801">
        <v>280</v>
      </c>
      <c r="K801" t="s">
        <v>88</v>
      </c>
      <c r="L801" t="s">
        <v>47</v>
      </c>
      <c r="M801">
        <v>14</v>
      </c>
      <c r="N801" t="s">
        <v>74</v>
      </c>
      <c r="O801" s="6">
        <f t="shared" ca="1" si="12"/>
        <v>45963</v>
      </c>
      <c r="P801">
        <v>3</v>
      </c>
    </row>
    <row r="802" spans="1:16" x14ac:dyDescent="0.3">
      <c r="A802" t="s">
        <v>1152</v>
      </c>
      <c r="B802" t="s">
        <v>336</v>
      </c>
      <c r="C802" t="s">
        <v>51</v>
      </c>
      <c r="D802">
        <v>55</v>
      </c>
      <c r="E802" t="s">
        <v>87</v>
      </c>
      <c r="F802" t="s">
        <v>52</v>
      </c>
      <c r="G802" t="s">
        <v>21</v>
      </c>
      <c r="H802">
        <v>4633</v>
      </c>
      <c r="I802">
        <v>1980</v>
      </c>
      <c r="J802">
        <v>2653</v>
      </c>
      <c r="K802" t="s">
        <v>68</v>
      </c>
      <c r="L802" t="s">
        <v>32</v>
      </c>
      <c r="M802">
        <v>1</v>
      </c>
      <c r="N802" t="s">
        <v>74</v>
      </c>
      <c r="O802" s="6">
        <f t="shared" ca="1" si="12"/>
        <v>45748</v>
      </c>
      <c r="P802">
        <v>3.8</v>
      </c>
    </row>
    <row r="803" spans="1:16" x14ac:dyDescent="0.3">
      <c r="A803" t="s">
        <v>1153</v>
      </c>
      <c r="B803" t="s">
        <v>17</v>
      </c>
      <c r="C803" t="s">
        <v>129</v>
      </c>
      <c r="D803">
        <v>57</v>
      </c>
      <c r="E803" t="s">
        <v>19</v>
      </c>
      <c r="F803" t="s">
        <v>20</v>
      </c>
      <c r="G803" t="s">
        <v>21</v>
      </c>
      <c r="H803">
        <v>6358</v>
      </c>
      <c r="I803">
        <v>5107</v>
      </c>
      <c r="J803">
        <v>1251</v>
      </c>
      <c r="K803" t="s">
        <v>22</v>
      </c>
      <c r="L803" t="s">
        <v>47</v>
      </c>
      <c r="M803">
        <v>0</v>
      </c>
      <c r="N803" t="s">
        <v>40</v>
      </c>
      <c r="O803" s="6">
        <f t="shared" ca="1" si="12"/>
        <v>45714</v>
      </c>
      <c r="P803">
        <v>1.3</v>
      </c>
    </row>
    <row r="804" spans="1:16" x14ac:dyDescent="0.3">
      <c r="A804" t="s">
        <v>1154</v>
      </c>
      <c r="B804" t="s">
        <v>1155</v>
      </c>
      <c r="C804" t="s">
        <v>43</v>
      </c>
      <c r="D804">
        <v>55</v>
      </c>
      <c r="E804" t="s">
        <v>78</v>
      </c>
      <c r="F804" t="s">
        <v>64</v>
      </c>
      <c r="G804" t="s">
        <v>46</v>
      </c>
      <c r="H804">
        <v>3965</v>
      </c>
      <c r="I804">
        <v>2534</v>
      </c>
      <c r="J804">
        <v>1431</v>
      </c>
      <c r="K804" t="s">
        <v>31</v>
      </c>
      <c r="L804" t="s">
        <v>32</v>
      </c>
      <c r="M804">
        <v>9</v>
      </c>
      <c r="N804" t="s">
        <v>116</v>
      </c>
      <c r="O804" s="6">
        <f t="shared" ca="1" si="12"/>
        <v>45990</v>
      </c>
      <c r="P804">
        <v>3.5</v>
      </c>
    </row>
    <row r="805" spans="1:16" x14ac:dyDescent="0.3">
      <c r="A805" t="s">
        <v>1156</v>
      </c>
      <c r="B805" t="s">
        <v>566</v>
      </c>
      <c r="C805" t="s">
        <v>51</v>
      </c>
      <c r="D805">
        <v>52</v>
      </c>
      <c r="E805" t="s">
        <v>57</v>
      </c>
      <c r="F805" t="s">
        <v>29</v>
      </c>
      <c r="G805" t="s">
        <v>58</v>
      </c>
      <c r="H805">
        <v>7869</v>
      </c>
      <c r="I805">
        <v>5465</v>
      </c>
      <c r="J805">
        <v>2404</v>
      </c>
      <c r="K805" t="s">
        <v>22</v>
      </c>
      <c r="L805" t="s">
        <v>32</v>
      </c>
      <c r="M805">
        <v>12</v>
      </c>
      <c r="N805" t="s">
        <v>53</v>
      </c>
      <c r="O805" s="6">
        <f t="shared" ca="1" si="12"/>
        <v>45724</v>
      </c>
      <c r="P805">
        <v>4.2</v>
      </c>
    </row>
    <row r="806" spans="1:16" x14ac:dyDescent="0.3">
      <c r="A806" t="s">
        <v>1157</v>
      </c>
      <c r="B806" t="s">
        <v>388</v>
      </c>
      <c r="C806" t="s">
        <v>62</v>
      </c>
      <c r="D806">
        <v>30</v>
      </c>
      <c r="E806" t="s">
        <v>72</v>
      </c>
      <c r="F806" t="s">
        <v>52</v>
      </c>
      <c r="G806" t="s">
        <v>126</v>
      </c>
      <c r="H806">
        <v>7893</v>
      </c>
      <c r="I806">
        <v>5432</v>
      </c>
      <c r="J806">
        <v>2461</v>
      </c>
      <c r="K806" t="s">
        <v>31</v>
      </c>
      <c r="L806" t="s">
        <v>32</v>
      </c>
      <c r="M806">
        <v>6</v>
      </c>
      <c r="N806" t="s">
        <v>116</v>
      </c>
      <c r="O806" s="6">
        <f t="shared" ca="1" si="12"/>
        <v>45699</v>
      </c>
      <c r="P806">
        <v>5</v>
      </c>
    </row>
    <row r="807" spans="1:16" x14ac:dyDescent="0.3">
      <c r="A807" t="s">
        <v>1158</v>
      </c>
      <c r="B807" t="s">
        <v>440</v>
      </c>
      <c r="C807" t="s">
        <v>27</v>
      </c>
      <c r="D807">
        <v>37</v>
      </c>
      <c r="E807" t="s">
        <v>72</v>
      </c>
      <c r="F807" t="s">
        <v>64</v>
      </c>
      <c r="G807" t="s">
        <v>126</v>
      </c>
      <c r="H807">
        <v>5845</v>
      </c>
      <c r="I807">
        <v>3777</v>
      </c>
      <c r="J807">
        <v>2068</v>
      </c>
      <c r="K807" t="s">
        <v>59</v>
      </c>
      <c r="L807" t="s">
        <v>47</v>
      </c>
      <c r="M807">
        <v>5</v>
      </c>
      <c r="N807" t="s">
        <v>48</v>
      </c>
      <c r="O807" s="6">
        <f t="shared" ca="1" si="12"/>
        <v>45696</v>
      </c>
      <c r="P807">
        <v>3.6</v>
      </c>
    </row>
    <row r="808" spans="1:16" x14ac:dyDescent="0.3">
      <c r="A808" t="s">
        <v>1159</v>
      </c>
      <c r="B808" t="s">
        <v>97</v>
      </c>
      <c r="C808" t="s">
        <v>77</v>
      </c>
      <c r="D808">
        <v>61</v>
      </c>
      <c r="E808" t="s">
        <v>72</v>
      </c>
      <c r="F808" t="s">
        <v>52</v>
      </c>
      <c r="G808" t="s">
        <v>58</v>
      </c>
      <c r="H808">
        <v>8009</v>
      </c>
      <c r="I808">
        <v>5117</v>
      </c>
      <c r="J808">
        <v>2892</v>
      </c>
      <c r="K808" t="s">
        <v>88</v>
      </c>
      <c r="L808" t="s">
        <v>32</v>
      </c>
      <c r="M808">
        <v>9</v>
      </c>
      <c r="N808" t="s">
        <v>118</v>
      </c>
      <c r="O808" s="6">
        <f t="shared" ca="1" si="12"/>
        <v>45940</v>
      </c>
      <c r="P808">
        <v>3.4</v>
      </c>
    </row>
    <row r="809" spans="1:16" x14ac:dyDescent="0.3">
      <c r="A809" t="s">
        <v>1160</v>
      </c>
      <c r="B809" t="s">
        <v>296</v>
      </c>
      <c r="C809" t="s">
        <v>103</v>
      </c>
      <c r="D809">
        <v>45</v>
      </c>
      <c r="E809" t="s">
        <v>28</v>
      </c>
      <c r="F809" t="s">
        <v>67</v>
      </c>
      <c r="G809" t="s">
        <v>30</v>
      </c>
      <c r="H809">
        <v>2441</v>
      </c>
      <c r="I809">
        <v>1135</v>
      </c>
      <c r="J809">
        <v>1306</v>
      </c>
      <c r="K809" t="s">
        <v>22</v>
      </c>
      <c r="L809" t="s">
        <v>47</v>
      </c>
      <c r="M809">
        <v>2</v>
      </c>
      <c r="N809" t="s">
        <v>74</v>
      </c>
      <c r="O809" s="6">
        <f t="shared" ca="1" si="12"/>
        <v>45921</v>
      </c>
      <c r="P809">
        <v>3</v>
      </c>
    </row>
    <row r="810" spans="1:16" x14ac:dyDescent="0.3">
      <c r="A810" t="s">
        <v>1161</v>
      </c>
      <c r="B810" t="s">
        <v>227</v>
      </c>
      <c r="C810" t="s">
        <v>77</v>
      </c>
      <c r="D810">
        <v>44</v>
      </c>
      <c r="E810" t="s">
        <v>57</v>
      </c>
      <c r="F810" t="s">
        <v>45</v>
      </c>
      <c r="G810" t="s">
        <v>126</v>
      </c>
      <c r="H810">
        <v>3669</v>
      </c>
      <c r="I810">
        <v>2349</v>
      </c>
      <c r="J810">
        <v>1320</v>
      </c>
      <c r="K810" t="s">
        <v>22</v>
      </c>
      <c r="L810" t="s">
        <v>32</v>
      </c>
      <c r="M810">
        <v>7</v>
      </c>
      <c r="N810" t="s">
        <v>33</v>
      </c>
      <c r="O810" s="6">
        <f t="shared" ca="1" si="12"/>
        <v>45669</v>
      </c>
      <c r="P810">
        <v>3.6</v>
      </c>
    </row>
    <row r="811" spans="1:16" x14ac:dyDescent="0.3">
      <c r="A811" t="s">
        <v>1162</v>
      </c>
      <c r="B811" t="s">
        <v>361</v>
      </c>
      <c r="C811" t="s">
        <v>27</v>
      </c>
      <c r="D811">
        <v>40</v>
      </c>
      <c r="E811" t="s">
        <v>44</v>
      </c>
      <c r="F811" t="s">
        <v>91</v>
      </c>
      <c r="G811" t="s">
        <v>21</v>
      </c>
      <c r="H811">
        <v>6462</v>
      </c>
      <c r="I811">
        <v>4833</v>
      </c>
      <c r="J811">
        <v>1629</v>
      </c>
      <c r="K811" t="s">
        <v>68</v>
      </c>
      <c r="L811" t="s">
        <v>32</v>
      </c>
      <c r="M811">
        <v>14</v>
      </c>
      <c r="N811" t="s">
        <v>116</v>
      </c>
      <c r="O811" s="6">
        <f t="shared" ca="1" si="12"/>
        <v>45723</v>
      </c>
      <c r="P811">
        <v>3.1</v>
      </c>
    </row>
    <row r="812" spans="1:16" x14ac:dyDescent="0.3">
      <c r="A812" t="s">
        <v>1163</v>
      </c>
      <c r="B812" t="s">
        <v>274</v>
      </c>
      <c r="C812" t="s">
        <v>36</v>
      </c>
      <c r="D812">
        <v>31</v>
      </c>
      <c r="E812" t="s">
        <v>57</v>
      </c>
      <c r="F812" t="s">
        <v>64</v>
      </c>
      <c r="G812" t="s">
        <v>126</v>
      </c>
      <c r="H812">
        <v>6303</v>
      </c>
      <c r="I812">
        <v>3327</v>
      </c>
      <c r="J812">
        <v>2976</v>
      </c>
      <c r="K812" t="s">
        <v>31</v>
      </c>
      <c r="L812" t="s">
        <v>23</v>
      </c>
      <c r="M812">
        <v>4</v>
      </c>
      <c r="N812" t="s">
        <v>40</v>
      </c>
      <c r="O812" s="6">
        <f t="shared" ca="1" si="12"/>
        <v>45752</v>
      </c>
      <c r="P812">
        <v>1.6</v>
      </c>
    </row>
    <row r="813" spans="1:16" x14ac:dyDescent="0.3">
      <c r="A813" t="s">
        <v>1164</v>
      </c>
      <c r="B813" t="s">
        <v>559</v>
      </c>
      <c r="C813" t="s">
        <v>51</v>
      </c>
      <c r="D813">
        <v>29</v>
      </c>
      <c r="E813" t="s">
        <v>72</v>
      </c>
      <c r="F813" t="s">
        <v>136</v>
      </c>
      <c r="G813" t="s">
        <v>92</v>
      </c>
      <c r="H813">
        <v>7178</v>
      </c>
      <c r="I813">
        <v>6342</v>
      </c>
      <c r="J813">
        <v>836</v>
      </c>
      <c r="K813" t="s">
        <v>68</v>
      </c>
      <c r="L813" t="s">
        <v>47</v>
      </c>
      <c r="M813">
        <v>3</v>
      </c>
      <c r="N813" t="s">
        <v>48</v>
      </c>
      <c r="O813" s="6">
        <f t="shared" ca="1" si="12"/>
        <v>45984</v>
      </c>
      <c r="P813">
        <v>4.4000000000000004</v>
      </c>
    </row>
    <row r="814" spans="1:16" x14ac:dyDescent="0.3">
      <c r="A814" t="s">
        <v>1165</v>
      </c>
      <c r="B814" t="s">
        <v>1118</v>
      </c>
      <c r="C814" t="s">
        <v>43</v>
      </c>
      <c r="D814">
        <v>36</v>
      </c>
      <c r="E814" t="s">
        <v>44</v>
      </c>
      <c r="F814" t="s">
        <v>64</v>
      </c>
      <c r="G814" t="s">
        <v>104</v>
      </c>
      <c r="H814">
        <v>3996</v>
      </c>
      <c r="I814">
        <v>1999</v>
      </c>
      <c r="J814">
        <v>1997</v>
      </c>
      <c r="K814" t="s">
        <v>68</v>
      </c>
      <c r="L814" t="s">
        <v>23</v>
      </c>
      <c r="M814">
        <v>3</v>
      </c>
      <c r="N814" t="s">
        <v>40</v>
      </c>
      <c r="O814" s="6">
        <f t="shared" ca="1" si="12"/>
        <v>45899</v>
      </c>
      <c r="P814">
        <v>2.7</v>
      </c>
    </row>
    <row r="815" spans="1:16" x14ac:dyDescent="0.3">
      <c r="A815" t="s">
        <v>1166</v>
      </c>
      <c r="B815" t="s">
        <v>572</v>
      </c>
      <c r="C815" t="s">
        <v>27</v>
      </c>
      <c r="D815">
        <v>35</v>
      </c>
      <c r="E815" t="s">
        <v>72</v>
      </c>
      <c r="F815" t="s">
        <v>98</v>
      </c>
      <c r="G815" t="s">
        <v>39</v>
      </c>
      <c r="H815">
        <v>5310</v>
      </c>
      <c r="I815">
        <v>3830</v>
      </c>
      <c r="J815">
        <v>1480</v>
      </c>
      <c r="K815" t="s">
        <v>59</v>
      </c>
      <c r="L815" t="s">
        <v>47</v>
      </c>
      <c r="M815">
        <v>11</v>
      </c>
      <c r="N815" t="s">
        <v>53</v>
      </c>
      <c r="O815" s="6">
        <f t="shared" ca="1" si="12"/>
        <v>45863</v>
      </c>
      <c r="P815">
        <v>4.2</v>
      </c>
    </row>
    <row r="816" spans="1:16" x14ac:dyDescent="0.3">
      <c r="A816" t="s">
        <v>1167</v>
      </c>
      <c r="B816" t="s">
        <v>261</v>
      </c>
      <c r="C816" t="s">
        <v>51</v>
      </c>
      <c r="D816">
        <v>24</v>
      </c>
      <c r="E816" t="s">
        <v>87</v>
      </c>
      <c r="F816" t="s">
        <v>45</v>
      </c>
      <c r="G816" t="s">
        <v>92</v>
      </c>
      <c r="H816">
        <v>4780</v>
      </c>
      <c r="I816">
        <v>4537</v>
      </c>
      <c r="J816">
        <v>243</v>
      </c>
      <c r="K816" t="s">
        <v>31</v>
      </c>
      <c r="L816" t="s">
        <v>23</v>
      </c>
      <c r="M816">
        <v>3</v>
      </c>
      <c r="N816" t="s">
        <v>40</v>
      </c>
      <c r="O816" s="6">
        <f t="shared" ca="1" si="12"/>
        <v>45952</v>
      </c>
      <c r="P816">
        <v>2.2999999999999998</v>
      </c>
    </row>
    <row r="817" spans="1:16" x14ac:dyDescent="0.3">
      <c r="A817" t="s">
        <v>1168</v>
      </c>
      <c r="B817" t="s">
        <v>216</v>
      </c>
      <c r="C817" t="s">
        <v>56</v>
      </c>
      <c r="D817">
        <v>53</v>
      </c>
      <c r="E817" t="s">
        <v>82</v>
      </c>
      <c r="F817" t="s">
        <v>98</v>
      </c>
      <c r="G817" t="s">
        <v>73</v>
      </c>
      <c r="H817">
        <v>3337</v>
      </c>
      <c r="I817">
        <v>613</v>
      </c>
      <c r="J817">
        <v>2724</v>
      </c>
      <c r="K817" t="s">
        <v>31</v>
      </c>
      <c r="L817" t="s">
        <v>23</v>
      </c>
      <c r="M817">
        <v>14</v>
      </c>
      <c r="N817" t="s">
        <v>24</v>
      </c>
      <c r="O817" s="6">
        <f t="shared" ca="1" si="12"/>
        <v>46007</v>
      </c>
      <c r="P817">
        <v>3.7</v>
      </c>
    </row>
    <row r="818" spans="1:16" x14ac:dyDescent="0.3">
      <c r="A818" t="s">
        <v>1169</v>
      </c>
      <c r="B818" t="s">
        <v>131</v>
      </c>
      <c r="C818" t="s">
        <v>27</v>
      </c>
      <c r="D818">
        <v>64</v>
      </c>
      <c r="E818" t="s">
        <v>44</v>
      </c>
      <c r="F818" t="s">
        <v>136</v>
      </c>
      <c r="G818" t="s">
        <v>79</v>
      </c>
      <c r="H818">
        <v>5065</v>
      </c>
      <c r="I818">
        <v>4175</v>
      </c>
      <c r="J818">
        <v>890</v>
      </c>
      <c r="K818" t="s">
        <v>59</v>
      </c>
      <c r="L818" t="s">
        <v>23</v>
      </c>
      <c r="M818">
        <v>15</v>
      </c>
      <c r="N818" t="s">
        <v>74</v>
      </c>
      <c r="O818" s="6">
        <f t="shared" ca="1" si="12"/>
        <v>46006</v>
      </c>
      <c r="P818">
        <v>3.8</v>
      </c>
    </row>
    <row r="819" spans="1:16" x14ac:dyDescent="0.3">
      <c r="A819" t="s">
        <v>1170</v>
      </c>
      <c r="B819" t="s">
        <v>211</v>
      </c>
      <c r="C819" t="s">
        <v>129</v>
      </c>
      <c r="D819">
        <v>53</v>
      </c>
      <c r="E819" t="s">
        <v>57</v>
      </c>
      <c r="F819" t="s">
        <v>136</v>
      </c>
      <c r="G819" t="s">
        <v>73</v>
      </c>
      <c r="H819">
        <v>6311</v>
      </c>
      <c r="I819">
        <v>4559</v>
      </c>
      <c r="J819">
        <v>1752</v>
      </c>
      <c r="K819" t="s">
        <v>59</v>
      </c>
      <c r="L819" t="s">
        <v>32</v>
      </c>
      <c r="M819">
        <v>2</v>
      </c>
      <c r="N819" t="s">
        <v>95</v>
      </c>
      <c r="O819" s="6">
        <f t="shared" ca="1" si="12"/>
        <v>45678</v>
      </c>
      <c r="P819">
        <v>4.9000000000000004</v>
      </c>
    </row>
    <row r="820" spans="1:16" x14ac:dyDescent="0.3">
      <c r="A820" t="s">
        <v>1171</v>
      </c>
      <c r="B820" t="s">
        <v>636</v>
      </c>
      <c r="C820" t="s">
        <v>77</v>
      </c>
      <c r="D820">
        <v>39</v>
      </c>
      <c r="E820" t="s">
        <v>72</v>
      </c>
      <c r="F820" t="s">
        <v>91</v>
      </c>
      <c r="G820" t="s">
        <v>39</v>
      </c>
      <c r="H820">
        <v>3740</v>
      </c>
      <c r="I820">
        <v>2668</v>
      </c>
      <c r="J820">
        <v>1072</v>
      </c>
      <c r="K820" t="s">
        <v>59</v>
      </c>
      <c r="L820" t="s">
        <v>23</v>
      </c>
      <c r="M820">
        <v>11</v>
      </c>
      <c r="N820" t="s">
        <v>118</v>
      </c>
      <c r="O820" s="6">
        <f t="shared" ca="1" si="12"/>
        <v>45791</v>
      </c>
      <c r="P820">
        <v>3</v>
      </c>
    </row>
    <row r="821" spans="1:16" x14ac:dyDescent="0.3">
      <c r="A821" t="s">
        <v>1172</v>
      </c>
      <c r="B821" t="s">
        <v>633</v>
      </c>
      <c r="C821" t="s">
        <v>27</v>
      </c>
      <c r="D821">
        <v>23</v>
      </c>
      <c r="E821" t="s">
        <v>63</v>
      </c>
      <c r="F821" t="s">
        <v>67</v>
      </c>
      <c r="G821" t="s">
        <v>104</v>
      </c>
      <c r="H821">
        <v>2628</v>
      </c>
      <c r="I821">
        <v>971</v>
      </c>
      <c r="J821">
        <v>1657</v>
      </c>
      <c r="K821" t="s">
        <v>68</v>
      </c>
      <c r="L821" t="s">
        <v>23</v>
      </c>
      <c r="M821">
        <v>8</v>
      </c>
      <c r="N821" t="s">
        <v>95</v>
      </c>
      <c r="O821" s="6">
        <f t="shared" ca="1" si="12"/>
        <v>45890</v>
      </c>
      <c r="P821">
        <v>3.7</v>
      </c>
    </row>
    <row r="822" spans="1:16" x14ac:dyDescent="0.3">
      <c r="A822" t="s">
        <v>1173</v>
      </c>
      <c r="B822" t="s">
        <v>17</v>
      </c>
      <c r="C822" t="s">
        <v>43</v>
      </c>
      <c r="D822">
        <v>32</v>
      </c>
      <c r="E822" t="s">
        <v>37</v>
      </c>
      <c r="F822" t="s">
        <v>38</v>
      </c>
      <c r="G822" t="s">
        <v>46</v>
      </c>
      <c r="H822">
        <v>3294</v>
      </c>
      <c r="I822">
        <v>1330</v>
      </c>
      <c r="J822">
        <v>1964</v>
      </c>
      <c r="K822" t="s">
        <v>59</v>
      </c>
      <c r="L822" t="s">
        <v>23</v>
      </c>
      <c r="M822">
        <v>2</v>
      </c>
      <c r="N822" t="s">
        <v>74</v>
      </c>
      <c r="O822" s="6">
        <f t="shared" ca="1" si="12"/>
        <v>45802</v>
      </c>
      <c r="P822">
        <v>3.7</v>
      </c>
    </row>
    <row r="823" spans="1:16" x14ac:dyDescent="0.3">
      <c r="A823" t="s">
        <v>1174</v>
      </c>
      <c r="B823" t="s">
        <v>440</v>
      </c>
      <c r="C823" t="s">
        <v>56</v>
      </c>
      <c r="D823">
        <v>21</v>
      </c>
      <c r="E823" t="s">
        <v>78</v>
      </c>
      <c r="F823" t="s">
        <v>45</v>
      </c>
      <c r="G823" t="s">
        <v>30</v>
      </c>
      <c r="H823">
        <v>6174</v>
      </c>
      <c r="I823">
        <v>4355</v>
      </c>
      <c r="J823">
        <v>1819</v>
      </c>
      <c r="K823" t="s">
        <v>31</v>
      </c>
      <c r="L823" t="s">
        <v>23</v>
      </c>
      <c r="M823">
        <v>6</v>
      </c>
      <c r="N823" t="s">
        <v>48</v>
      </c>
      <c r="O823" s="6">
        <f t="shared" ca="1" si="12"/>
        <v>45857</v>
      </c>
      <c r="P823">
        <v>3.9</v>
      </c>
    </row>
    <row r="824" spans="1:16" x14ac:dyDescent="0.3">
      <c r="A824" t="s">
        <v>1175</v>
      </c>
      <c r="B824" t="s">
        <v>323</v>
      </c>
      <c r="C824" t="s">
        <v>56</v>
      </c>
      <c r="D824">
        <v>63</v>
      </c>
      <c r="E824" t="s">
        <v>63</v>
      </c>
      <c r="F824" t="s">
        <v>20</v>
      </c>
      <c r="G824" t="s">
        <v>126</v>
      </c>
      <c r="H824">
        <v>5374</v>
      </c>
      <c r="I824">
        <v>3397</v>
      </c>
      <c r="J824">
        <v>1977</v>
      </c>
      <c r="K824" t="s">
        <v>59</v>
      </c>
      <c r="L824" t="s">
        <v>47</v>
      </c>
      <c r="M824">
        <v>15</v>
      </c>
      <c r="N824" t="s">
        <v>33</v>
      </c>
      <c r="O824" s="6">
        <f t="shared" ca="1" si="12"/>
        <v>45828</v>
      </c>
      <c r="P824">
        <v>3.9</v>
      </c>
    </row>
    <row r="825" spans="1:16" x14ac:dyDescent="0.3">
      <c r="A825" t="s">
        <v>1176</v>
      </c>
      <c r="B825" t="s">
        <v>278</v>
      </c>
      <c r="C825" t="s">
        <v>129</v>
      </c>
      <c r="D825">
        <v>46</v>
      </c>
      <c r="E825" t="s">
        <v>37</v>
      </c>
      <c r="F825" t="s">
        <v>38</v>
      </c>
      <c r="G825" t="s">
        <v>46</v>
      </c>
      <c r="H825">
        <v>4741</v>
      </c>
      <c r="I825">
        <v>1813</v>
      </c>
      <c r="J825">
        <v>2928</v>
      </c>
      <c r="K825" t="s">
        <v>88</v>
      </c>
      <c r="L825" t="s">
        <v>32</v>
      </c>
      <c r="M825">
        <v>8</v>
      </c>
      <c r="N825" t="s">
        <v>116</v>
      </c>
      <c r="O825" s="6">
        <f t="shared" ca="1" si="12"/>
        <v>45664</v>
      </c>
      <c r="P825">
        <v>4.5</v>
      </c>
    </row>
    <row r="826" spans="1:16" x14ac:dyDescent="0.3">
      <c r="A826" t="s">
        <v>1177</v>
      </c>
      <c r="B826" t="s">
        <v>332</v>
      </c>
      <c r="C826" t="s">
        <v>56</v>
      </c>
      <c r="D826">
        <v>64</v>
      </c>
      <c r="E826" t="s">
        <v>78</v>
      </c>
      <c r="F826" t="s">
        <v>38</v>
      </c>
      <c r="G826" t="s">
        <v>73</v>
      </c>
      <c r="H826">
        <v>6403</v>
      </c>
      <c r="I826">
        <v>4611</v>
      </c>
      <c r="J826">
        <v>1792</v>
      </c>
      <c r="K826" t="s">
        <v>59</v>
      </c>
      <c r="L826" t="s">
        <v>23</v>
      </c>
      <c r="M826">
        <v>2</v>
      </c>
      <c r="N826" t="s">
        <v>24</v>
      </c>
      <c r="O826" s="6">
        <f t="shared" ca="1" si="12"/>
        <v>45820</v>
      </c>
      <c r="P826">
        <v>3.4</v>
      </c>
    </row>
    <row r="827" spans="1:16" x14ac:dyDescent="0.3">
      <c r="A827" t="s">
        <v>1178</v>
      </c>
      <c r="B827" t="s">
        <v>257</v>
      </c>
      <c r="C827" t="s">
        <v>36</v>
      </c>
      <c r="D827">
        <v>64</v>
      </c>
      <c r="E827" t="s">
        <v>19</v>
      </c>
      <c r="F827" t="s">
        <v>136</v>
      </c>
      <c r="G827" t="s">
        <v>58</v>
      </c>
      <c r="H827">
        <v>6664</v>
      </c>
      <c r="I827">
        <v>4019</v>
      </c>
      <c r="J827">
        <v>2645</v>
      </c>
      <c r="K827" t="s">
        <v>68</v>
      </c>
      <c r="L827" t="s">
        <v>47</v>
      </c>
      <c r="M827">
        <v>7</v>
      </c>
      <c r="N827" t="s">
        <v>69</v>
      </c>
      <c r="O827" s="6">
        <f t="shared" ca="1" si="12"/>
        <v>45697</v>
      </c>
      <c r="P827">
        <v>4.4000000000000004</v>
      </c>
    </row>
    <row r="828" spans="1:16" x14ac:dyDescent="0.3">
      <c r="A828" t="s">
        <v>1179</v>
      </c>
      <c r="B828" t="s">
        <v>457</v>
      </c>
      <c r="C828" t="s">
        <v>103</v>
      </c>
      <c r="D828">
        <v>36</v>
      </c>
      <c r="E828" t="s">
        <v>44</v>
      </c>
      <c r="F828" t="s">
        <v>20</v>
      </c>
      <c r="G828" t="s">
        <v>92</v>
      </c>
      <c r="H828">
        <v>3251</v>
      </c>
      <c r="I828">
        <v>2030</v>
      </c>
      <c r="J828">
        <v>1221</v>
      </c>
      <c r="K828" t="s">
        <v>59</v>
      </c>
      <c r="L828" t="s">
        <v>47</v>
      </c>
      <c r="M828">
        <v>2</v>
      </c>
      <c r="N828" t="s">
        <v>116</v>
      </c>
      <c r="O828" s="6">
        <f t="shared" ca="1" si="12"/>
        <v>45967</v>
      </c>
      <c r="P828">
        <v>4.3</v>
      </c>
    </row>
    <row r="829" spans="1:16" x14ac:dyDescent="0.3">
      <c r="A829" t="s">
        <v>1180</v>
      </c>
      <c r="B829" t="s">
        <v>354</v>
      </c>
      <c r="C829" t="s">
        <v>56</v>
      </c>
      <c r="D829">
        <v>27</v>
      </c>
      <c r="E829" t="s">
        <v>82</v>
      </c>
      <c r="F829" t="s">
        <v>67</v>
      </c>
      <c r="G829" t="s">
        <v>126</v>
      </c>
      <c r="H829">
        <v>4666</v>
      </c>
      <c r="I829">
        <v>2045</v>
      </c>
      <c r="J829">
        <v>2621</v>
      </c>
      <c r="K829" t="s">
        <v>59</v>
      </c>
      <c r="L829" t="s">
        <v>23</v>
      </c>
      <c r="M829">
        <v>3</v>
      </c>
      <c r="N829" t="s">
        <v>33</v>
      </c>
      <c r="O829" s="6">
        <f t="shared" ca="1" si="12"/>
        <v>46004</v>
      </c>
      <c r="P829">
        <v>3.5</v>
      </c>
    </row>
    <row r="830" spans="1:16" x14ac:dyDescent="0.3">
      <c r="A830" t="s">
        <v>1181</v>
      </c>
      <c r="B830" t="s">
        <v>283</v>
      </c>
      <c r="C830" t="s">
        <v>18</v>
      </c>
      <c r="D830">
        <v>33</v>
      </c>
      <c r="E830" t="s">
        <v>78</v>
      </c>
      <c r="F830" t="s">
        <v>64</v>
      </c>
      <c r="G830" t="s">
        <v>46</v>
      </c>
      <c r="H830">
        <v>6567</v>
      </c>
      <c r="I830">
        <v>5550</v>
      </c>
      <c r="J830">
        <v>1017</v>
      </c>
      <c r="K830" t="s">
        <v>31</v>
      </c>
      <c r="L830" t="s">
        <v>32</v>
      </c>
      <c r="M830">
        <v>1</v>
      </c>
      <c r="N830" t="s">
        <v>48</v>
      </c>
      <c r="O830" s="6">
        <f t="shared" ca="1" si="12"/>
        <v>45851</v>
      </c>
      <c r="P830">
        <v>3.1</v>
      </c>
    </row>
    <row r="831" spans="1:16" x14ac:dyDescent="0.3">
      <c r="A831" t="s">
        <v>1182</v>
      </c>
      <c r="B831" t="s">
        <v>396</v>
      </c>
      <c r="C831" t="s">
        <v>62</v>
      </c>
      <c r="D831">
        <v>35</v>
      </c>
      <c r="E831" t="s">
        <v>57</v>
      </c>
      <c r="F831" t="s">
        <v>64</v>
      </c>
      <c r="G831" t="s">
        <v>104</v>
      </c>
      <c r="H831">
        <v>3290</v>
      </c>
      <c r="I831">
        <v>1002</v>
      </c>
      <c r="J831">
        <v>2288</v>
      </c>
      <c r="K831" t="s">
        <v>68</v>
      </c>
      <c r="L831" t="s">
        <v>32</v>
      </c>
      <c r="M831">
        <v>1</v>
      </c>
      <c r="N831" t="s">
        <v>116</v>
      </c>
      <c r="O831" s="6">
        <f t="shared" ca="1" si="12"/>
        <v>45699</v>
      </c>
      <c r="P831">
        <v>4.7</v>
      </c>
    </row>
    <row r="832" spans="1:16" x14ac:dyDescent="0.3">
      <c r="A832" t="s">
        <v>1183</v>
      </c>
      <c r="B832" t="s">
        <v>589</v>
      </c>
      <c r="C832" t="s">
        <v>43</v>
      </c>
      <c r="D832">
        <v>47</v>
      </c>
      <c r="E832" t="s">
        <v>19</v>
      </c>
      <c r="F832" t="s">
        <v>38</v>
      </c>
      <c r="G832" t="s">
        <v>46</v>
      </c>
      <c r="H832">
        <v>2355</v>
      </c>
      <c r="I832">
        <v>1988</v>
      </c>
      <c r="J832">
        <v>367</v>
      </c>
      <c r="K832" t="s">
        <v>68</v>
      </c>
      <c r="L832" t="s">
        <v>32</v>
      </c>
      <c r="M832">
        <v>11</v>
      </c>
      <c r="N832" t="s">
        <v>95</v>
      </c>
      <c r="O832" s="6">
        <f t="shared" ca="1" si="12"/>
        <v>45754</v>
      </c>
      <c r="P832">
        <v>4.9000000000000004</v>
      </c>
    </row>
    <row r="833" spans="1:16" x14ac:dyDescent="0.3">
      <c r="A833" t="s">
        <v>1184</v>
      </c>
      <c r="B833" t="s">
        <v>357</v>
      </c>
      <c r="C833" t="s">
        <v>51</v>
      </c>
      <c r="D833">
        <v>27</v>
      </c>
      <c r="E833" t="s">
        <v>37</v>
      </c>
      <c r="F833" t="s">
        <v>20</v>
      </c>
      <c r="G833" t="s">
        <v>39</v>
      </c>
      <c r="H833">
        <v>6213</v>
      </c>
      <c r="I833">
        <v>4524</v>
      </c>
      <c r="J833">
        <v>1689</v>
      </c>
      <c r="K833" t="s">
        <v>22</v>
      </c>
      <c r="L833" t="s">
        <v>23</v>
      </c>
      <c r="M833">
        <v>2</v>
      </c>
      <c r="N833" t="s">
        <v>53</v>
      </c>
      <c r="O833" s="6">
        <f t="shared" ca="1" si="12"/>
        <v>45876</v>
      </c>
      <c r="P833">
        <v>4.3</v>
      </c>
    </row>
    <row r="834" spans="1:16" x14ac:dyDescent="0.3">
      <c r="A834" t="s">
        <v>1185</v>
      </c>
      <c r="B834" t="s">
        <v>187</v>
      </c>
      <c r="C834" t="s">
        <v>129</v>
      </c>
      <c r="D834">
        <v>42</v>
      </c>
      <c r="E834" t="s">
        <v>57</v>
      </c>
      <c r="F834" t="s">
        <v>38</v>
      </c>
      <c r="G834" t="s">
        <v>79</v>
      </c>
      <c r="H834">
        <v>7508</v>
      </c>
      <c r="I834">
        <v>4832</v>
      </c>
      <c r="J834">
        <v>2676</v>
      </c>
      <c r="K834" t="s">
        <v>31</v>
      </c>
      <c r="L834" t="s">
        <v>47</v>
      </c>
      <c r="M834">
        <v>11</v>
      </c>
      <c r="N834" t="s">
        <v>116</v>
      </c>
      <c r="O834" s="6">
        <f t="shared" ca="1" si="12"/>
        <v>45930</v>
      </c>
      <c r="P834">
        <v>4.0999999999999996</v>
      </c>
    </row>
    <row r="835" spans="1:16" x14ac:dyDescent="0.3">
      <c r="A835" t="s">
        <v>1186</v>
      </c>
      <c r="B835" t="s">
        <v>42</v>
      </c>
      <c r="C835" t="s">
        <v>77</v>
      </c>
      <c r="D835">
        <v>29</v>
      </c>
      <c r="E835" t="s">
        <v>44</v>
      </c>
      <c r="F835" t="s">
        <v>98</v>
      </c>
      <c r="G835" t="s">
        <v>46</v>
      </c>
      <c r="H835">
        <v>8185</v>
      </c>
      <c r="I835">
        <v>5305</v>
      </c>
      <c r="J835">
        <v>2880</v>
      </c>
      <c r="K835" t="s">
        <v>22</v>
      </c>
      <c r="L835" t="s">
        <v>32</v>
      </c>
      <c r="M835">
        <v>4</v>
      </c>
      <c r="N835" t="s">
        <v>69</v>
      </c>
      <c r="O835" s="6">
        <f t="shared" ref="O835:O898" ca="1" si="13">RANDBETWEEN(DATE(2025,1,1),DATE(2025,12,31))</f>
        <v>45701</v>
      </c>
      <c r="P835">
        <v>3.7</v>
      </c>
    </row>
    <row r="836" spans="1:16" x14ac:dyDescent="0.3">
      <c r="A836" t="s">
        <v>1187</v>
      </c>
      <c r="B836" t="s">
        <v>455</v>
      </c>
      <c r="C836" t="s">
        <v>43</v>
      </c>
      <c r="D836">
        <v>40</v>
      </c>
      <c r="E836" t="s">
        <v>63</v>
      </c>
      <c r="F836" t="s">
        <v>52</v>
      </c>
      <c r="G836" t="s">
        <v>92</v>
      </c>
      <c r="H836">
        <v>7233</v>
      </c>
      <c r="I836">
        <v>6404</v>
      </c>
      <c r="J836">
        <v>829</v>
      </c>
      <c r="K836" t="s">
        <v>68</v>
      </c>
      <c r="L836" t="s">
        <v>32</v>
      </c>
      <c r="M836">
        <v>4</v>
      </c>
      <c r="N836" t="s">
        <v>48</v>
      </c>
      <c r="O836" s="6">
        <f t="shared" ca="1" si="13"/>
        <v>45995</v>
      </c>
      <c r="P836">
        <v>3.4</v>
      </c>
    </row>
    <row r="837" spans="1:16" x14ac:dyDescent="0.3">
      <c r="A837" t="s">
        <v>1188</v>
      </c>
      <c r="B837" t="s">
        <v>270</v>
      </c>
      <c r="C837" t="s">
        <v>43</v>
      </c>
      <c r="D837">
        <v>49</v>
      </c>
      <c r="E837" t="s">
        <v>87</v>
      </c>
      <c r="F837" t="s">
        <v>64</v>
      </c>
      <c r="G837" t="s">
        <v>21</v>
      </c>
      <c r="H837">
        <v>6371</v>
      </c>
      <c r="I837">
        <v>4455</v>
      </c>
      <c r="J837">
        <v>1916</v>
      </c>
      <c r="K837" t="s">
        <v>31</v>
      </c>
      <c r="L837" t="s">
        <v>32</v>
      </c>
      <c r="M837">
        <v>9</v>
      </c>
      <c r="N837" t="s">
        <v>24</v>
      </c>
      <c r="O837" s="6">
        <f t="shared" ca="1" si="13"/>
        <v>45994</v>
      </c>
      <c r="P837">
        <v>5</v>
      </c>
    </row>
    <row r="838" spans="1:16" x14ac:dyDescent="0.3">
      <c r="A838" t="s">
        <v>1189</v>
      </c>
      <c r="B838" t="s">
        <v>484</v>
      </c>
      <c r="C838" t="s">
        <v>129</v>
      </c>
      <c r="D838">
        <v>39</v>
      </c>
      <c r="E838" t="s">
        <v>28</v>
      </c>
      <c r="F838" t="s">
        <v>67</v>
      </c>
      <c r="G838" t="s">
        <v>46</v>
      </c>
      <c r="H838">
        <v>7162</v>
      </c>
      <c r="I838">
        <v>6183</v>
      </c>
      <c r="J838">
        <v>979</v>
      </c>
      <c r="K838" t="s">
        <v>31</v>
      </c>
      <c r="L838" t="s">
        <v>47</v>
      </c>
      <c r="M838">
        <v>7</v>
      </c>
      <c r="N838" t="s">
        <v>69</v>
      </c>
      <c r="O838" s="6">
        <f t="shared" ca="1" si="13"/>
        <v>45755</v>
      </c>
      <c r="P838">
        <v>3.7</v>
      </c>
    </row>
    <row r="839" spans="1:16" x14ac:dyDescent="0.3">
      <c r="A839" t="s">
        <v>1190</v>
      </c>
      <c r="B839" t="s">
        <v>285</v>
      </c>
      <c r="C839" t="s">
        <v>129</v>
      </c>
      <c r="D839">
        <v>49</v>
      </c>
      <c r="E839" t="s">
        <v>82</v>
      </c>
      <c r="F839" t="s">
        <v>64</v>
      </c>
      <c r="G839" t="s">
        <v>92</v>
      </c>
      <c r="H839">
        <v>8682</v>
      </c>
      <c r="I839">
        <v>6884</v>
      </c>
      <c r="J839">
        <v>1798</v>
      </c>
      <c r="K839" t="s">
        <v>22</v>
      </c>
      <c r="L839" t="s">
        <v>47</v>
      </c>
      <c r="M839">
        <v>5</v>
      </c>
      <c r="N839" t="s">
        <v>33</v>
      </c>
      <c r="O839" s="6">
        <f t="shared" ca="1" si="13"/>
        <v>45827</v>
      </c>
      <c r="P839">
        <v>3.6</v>
      </c>
    </row>
    <row r="840" spans="1:16" x14ac:dyDescent="0.3">
      <c r="A840" t="s">
        <v>1191</v>
      </c>
      <c r="B840" t="s">
        <v>145</v>
      </c>
      <c r="C840" t="s">
        <v>62</v>
      </c>
      <c r="D840">
        <v>58</v>
      </c>
      <c r="E840" t="s">
        <v>28</v>
      </c>
      <c r="F840" t="s">
        <v>29</v>
      </c>
      <c r="G840" t="s">
        <v>104</v>
      </c>
      <c r="H840">
        <v>6977</v>
      </c>
      <c r="I840">
        <v>4627</v>
      </c>
      <c r="J840">
        <v>2350</v>
      </c>
      <c r="K840" t="s">
        <v>68</v>
      </c>
      <c r="L840" t="s">
        <v>23</v>
      </c>
      <c r="M840">
        <v>14</v>
      </c>
      <c r="N840" t="s">
        <v>33</v>
      </c>
      <c r="O840" s="6">
        <f t="shared" ca="1" si="13"/>
        <v>45973</v>
      </c>
      <c r="P840">
        <v>3.6</v>
      </c>
    </row>
    <row r="841" spans="1:16" x14ac:dyDescent="0.3">
      <c r="A841" t="s">
        <v>1192</v>
      </c>
      <c r="B841" t="s">
        <v>352</v>
      </c>
      <c r="C841" t="s">
        <v>129</v>
      </c>
      <c r="D841">
        <v>35</v>
      </c>
      <c r="E841" t="s">
        <v>28</v>
      </c>
      <c r="F841" t="s">
        <v>29</v>
      </c>
      <c r="G841" t="s">
        <v>30</v>
      </c>
      <c r="H841">
        <v>3250</v>
      </c>
      <c r="I841">
        <v>2890</v>
      </c>
      <c r="J841">
        <v>360</v>
      </c>
      <c r="K841" t="s">
        <v>68</v>
      </c>
      <c r="L841" t="s">
        <v>47</v>
      </c>
      <c r="M841">
        <v>15</v>
      </c>
      <c r="N841" t="s">
        <v>116</v>
      </c>
      <c r="O841" s="6">
        <f t="shared" ca="1" si="13"/>
        <v>45839</v>
      </c>
      <c r="P841">
        <v>4.3</v>
      </c>
    </row>
    <row r="842" spans="1:16" x14ac:dyDescent="0.3">
      <c r="A842" t="s">
        <v>1193</v>
      </c>
      <c r="B842" t="s">
        <v>306</v>
      </c>
      <c r="C842" t="s">
        <v>62</v>
      </c>
      <c r="D842">
        <v>34</v>
      </c>
      <c r="E842" t="s">
        <v>82</v>
      </c>
      <c r="F842" t="s">
        <v>98</v>
      </c>
      <c r="G842" t="s">
        <v>46</v>
      </c>
      <c r="H842">
        <v>7436</v>
      </c>
      <c r="I842">
        <v>5813</v>
      </c>
      <c r="J842">
        <v>1623</v>
      </c>
      <c r="K842" t="s">
        <v>31</v>
      </c>
      <c r="L842" t="s">
        <v>47</v>
      </c>
      <c r="M842">
        <v>6</v>
      </c>
      <c r="N842" t="s">
        <v>95</v>
      </c>
      <c r="O842" s="6">
        <f t="shared" ca="1" si="13"/>
        <v>45744</v>
      </c>
      <c r="P842">
        <v>3.1</v>
      </c>
    </row>
    <row r="843" spans="1:16" x14ac:dyDescent="0.3">
      <c r="A843" t="s">
        <v>1194</v>
      </c>
      <c r="B843" t="s">
        <v>484</v>
      </c>
      <c r="C843" t="s">
        <v>129</v>
      </c>
      <c r="D843">
        <v>47</v>
      </c>
      <c r="E843" t="s">
        <v>44</v>
      </c>
      <c r="F843" t="s">
        <v>45</v>
      </c>
      <c r="G843" t="s">
        <v>58</v>
      </c>
      <c r="H843">
        <v>3732</v>
      </c>
      <c r="I843">
        <v>969</v>
      </c>
      <c r="J843">
        <v>2763</v>
      </c>
      <c r="K843" t="s">
        <v>68</v>
      </c>
      <c r="L843" t="s">
        <v>23</v>
      </c>
      <c r="M843">
        <v>14</v>
      </c>
      <c r="N843" t="s">
        <v>95</v>
      </c>
      <c r="O843" s="6">
        <f t="shared" ca="1" si="13"/>
        <v>45708</v>
      </c>
      <c r="P843">
        <v>4.2</v>
      </c>
    </row>
    <row r="844" spans="1:16" x14ac:dyDescent="0.3">
      <c r="A844" t="s">
        <v>1195</v>
      </c>
      <c r="B844" t="s">
        <v>853</v>
      </c>
      <c r="C844" t="s">
        <v>36</v>
      </c>
      <c r="D844">
        <v>55</v>
      </c>
      <c r="E844" t="s">
        <v>44</v>
      </c>
      <c r="F844" t="s">
        <v>98</v>
      </c>
      <c r="G844" t="s">
        <v>73</v>
      </c>
      <c r="H844">
        <v>7110</v>
      </c>
      <c r="I844">
        <v>5856</v>
      </c>
      <c r="J844">
        <v>1254</v>
      </c>
      <c r="K844" t="s">
        <v>31</v>
      </c>
      <c r="L844" t="s">
        <v>47</v>
      </c>
      <c r="M844">
        <v>5</v>
      </c>
      <c r="N844" t="s">
        <v>40</v>
      </c>
      <c r="O844" s="6">
        <f t="shared" ca="1" si="13"/>
        <v>46014</v>
      </c>
      <c r="P844">
        <v>1.3</v>
      </c>
    </row>
    <row r="845" spans="1:16" x14ac:dyDescent="0.3">
      <c r="A845" t="s">
        <v>1196</v>
      </c>
      <c r="B845" t="s">
        <v>168</v>
      </c>
      <c r="C845" t="s">
        <v>56</v>
      </c>
      <c r="D845">
        <v>35</v>
      </c>
      <c r="E845" t="s">
        <v>57</v>
      </c>
      <c r="F845" t="s">
        <v>45</v>
      </c>
      <c r="G845" t="s">
        <v>30</v>
      </c>
      <c r="H845">
        <v>8043</v>
      </c>
      <c r="I845">
        <v>5264</v>
      </c>
      <c r="J845">
        <v>2779</v>
      </c>
      <c r="K845" t="s">
        <v>88</v>
      </c>
      <c r="L845" t="s">
        <v>47</v>
      </c>
      <c r="M845">
        <v>13</v>
      </c>
      <c r="N845" t="s">
        <v>48</v>
      </c>
      <c r="O845" s="6">
        <f t="shared" ca="1" si="13"/>
        <v>46013</v>
      </c>
      <c r="P845">
        <v>3.7</v>
      </c>
    </row>
    <row r="846" spans="1:16" x14ac:dyDescent="0.3">
      <c r="A846" t="s">
        <v>1197</v>
      </c>
      <c r="B846" t="s">
        <v>596</v>
      </c>
      <c r="C846" t="s">
        <v>103</v>
      </c>
      <c r="D846">
        <v>44</v>
      </c>
      <c r="E846" t="s">
        <v>78</v>
      </c>
      <c r="F846" t="s">
        <v>91</v>
      </c>
      <c r="G846" t="s">
        <v>21</v>
      </c>
      <c r="H846">
        <v>5505</v>
      </c>
      <c r="I846">
        <v>4562</v>
      </c>
      <c r="J846">
        <v>943</v>
      </c>
      <c r="K846" t="s">
        <v>31</v>
      </c>
      <c r="L846" t="s">
        <v>23</v>
      </c>
      <c r="M846">
        <v>14</v>
      </c>
      <c r="N846" t="s">
        <v>193</v>
      </c>
      <c r="O846" s="6">
        <f t="shared" ca="1" si="13"/>
        <v>45861</v>
      </c>
      <c r="P846">
        <v>3.9</v>
      </c>
    </row>
    <row r="847" spans="1:16" x14ac:dyDescent="0.3">
      <c r="A847" t="s">
        <v>1198</v>
      </c>
      <c r="B847" t="s">
        <v>619</v>
      </c>
      <c r="C847" t="s">
        <v>129</v>
      </c>
      <c r="D847">
        <v>62</v>
      </c>
      <c r="E847" t="s">
        <v>72</v>
      </c>
      <c r="F847" t="s">
        <v>136</v>
      </c>
      <c r="G847" t="s">
        <v>39</v>
      </c>
      <c r="H847">
        <v>2761</v>
      </c>
      <c r="I847">
        <v>1834</v>
      </c>
      <c r="J847">
        <v>927</v>
      </c>
      <c r="K847" t="s">
        <v>22</v>
      </c>
      <c r="L847" t="s">
        <v>47</v>
      </c>
      <c r="M847">
        <v>11</v>
      </c>
      <c r="N847" t="s">
        <v>118</v>
      </c>
      <c r="O847" s="6">
        <f t="shared" ca="1" si="13"/>
        <v>45815</v>
      </c>
      <c r="P847">
        <v>5</v>
      </c>
    </row>
    <row r="848" spans="1:16" x14ac:dyDescent="0.3">
      <c r="A848" t="s">
        <v>1199</v>
      </c>
      <c r="B848" t="s">
        <v>225</v>
      </c>
      <c r="C848" t="s">
        <v>103</v>
      </c>
      <c r="D848">
        <v>36</v>
      </c>
      <c r="E848" t="s">
        <v>63</v>
      </c>
      <c r="F848" t="s">
        <v>64</v>
      </c>
      <c r="G848" t="s">
        <v>21</v>
      </c>
      <c r="H848">
        <v>8790</v>
      </c>
      <c r="I848">
        <v>6433</v>
      </c>
      <c r="J848">
        <v>2357</v>
      </c>
      <c r="K848" t="s">
        <v>22</v>
      </c>
      <c r="L848" t="s">
        <v>32</v>
      </c>
      <c r="M848">
        <v>13</v>
      </c>
      <c r="N848" t="s">
        <v>24</v>
      </c>
      <c r="O848" s="6">
        <f t="shared" ca="1" si="13"/>
        <v>46005</v>
      </c>
      <c r="P848">
        <v>3</v>
      </c>
    </row>
    <row r="849" spans="1:16" x14ac:dyDescent="0.3">
      <c r="A849" t="s">
        <v>1200</v>
      </c>
      <c r="B849" t="s">
        <v>428</v>
      </c>
      <c r="C849" t="s">
        <v>36</v>
      </c>
      <c r="D849">
        <v>28</v>
      </c>
      <c r="E849" t="s">
        <v>28</v>
      </c>
      <c r="F849" t="s">
        <v>136</v>
      </c>
      <c r="G849" t="s">
        <v>126</v>
      </c>
      <c r="H849">
        <v>3076</v>
      </c>
      <c r="I849">
        <v>2534</v>
      </c>
      <c r="J849">
        <v>542</v>
      </c>
      <c r="K849" t="s">
        <v>22</v>
      </c>
      <c r="L849" t="s">
        <v>23</v>
      </c>
      <c r="M849">
        <v>11</v>
      </c>
      <c r="N849" t="s">
        <v>118</v>
      </c>
      <c r="O849" s="6">
        <f t="shared" ca="1" si="13"/>
        <v>45832</v>
      </c>
      <c r="P849">
        <v>4.9000000000000004</v>
      </c>
    </row>
    <row r="850" spans="1:16" x14ac:dyDescent="0.3">
      <c r="A850" t="s">
        <v>1201</v>
      </c>
      <c r="B850" t="s">
        <v>850</v>
      </c>
      <c r="C850" t="s">
        <v>43</v>
      </c>
      <c r="D850">
        <v>26</v>
      </c>
      <c r="E850" t="s">
        <v>19</v>
      </c>
      <c r="F850" t="s">
        <v>20</v>
      </c>
      <c r="G850" t="s">
        <v>104</v>
      </c>
      <c r="H850">
        <v>9228</v>
      </c>
      <c r="I850">
        <v>6723</v>
      </c>
      <c r="J850">
        <v>2505</v>
      </c>
      <c r="K850" t="s">
        <v>68</v>
      </c>
      <c r="L850" t="s">
        <v>23</v>
      </c>
      <c r="M850">
        <v>1</v>
      </c>
      <c r="N850" t="s">
        <v>40</v>
      </c>
      <c r="O850" s="6">
        <f t="shared" ca="1" si="13"/>
        <v>45965</v>
      </c>
      <c r="P850">
        <v>2.1</v>
      </c>
    </row>
    <row r="851" spans="1:16" x14ac:dyDescent="0.3">
      <c r="A851" t="s">
        <v>1202</v>
      </c>
      <c r="B851" t="s">
        <v>482</v>
      </c>
      <c r="C851" t="s">
        <v>62</v>
      </c>
      <c r="D851">
        <v>24</v>
      </c>
      <c r="E851" t="s">
        <v>82</v>
      </c>
      <c r="F851" t="s">
        <v>45</v>
      </c>
      <c r="G851" t="s">
        <v>92</v>
      </c>
      <c r="H851">
        <v>1794</v>
      </c>
      <c r="I851">
        <v>1508</v>
      </c>
      <c r="J851">
        <v>286</v>
      </c>
      <c r="K851" t="s">
        <v>22</v>
      </c>
      <c r="L851" t="s">
        <v>32</v>
      </c>
      <c r="M851">
        <v>2</v>
      </c>
      <c r="N851" t="s">
        <v>74</v>
      </c>
      <c r="O851" s="6">
        <f t="shared" ca="1" si="13"/>
        <v>45969</v>
      </c>
      <c r="P851">
        <v>4</v>
      </c>
    </row>
    <row r="852" spans="1:16" x14ac:dyDescent="0.3">
      <c r="A852" t="s">
        <v>1203</v>
      </c>
      <c r="B852" t="s">
        <v>430</v>
      </c>
      <c r="C852" t="s">
        <v>103</v>
      </c>
      <c r="D852">
        <v>30</v>
      </c>
      <c r="E852" t="s">
        <v>28</v>
      </c>
      <c r="F852" t="s">
        <v>52</v>
      </c>
      <c r="G852" t="s">
        <v>46</v>
      </c>
      <c r="H852">
        <v>4305</v>
      </c>
      <c r="I852">
        <v>2356</v>
      </c>
      <c r="J852">
        <v>1949</v>
      </c>
      <c r="K852" t="s">
        <v>88</v>
      </c>
      <c r="L852" t="s">
        <v>47</v>
      </c>
      <c r="M852">
        <v>6</v>
      </c>
      <c r="N852" t="s">
        <v>116</v>
      </c>
      <c r="O852" s="6">
        <f t="shared" ca="1" si="13"/>
        <v>45710</v>
      </c>
      <c r="P852">
        <v>3.5</v>
      </c>
    </row>
    <row r="853" spans="1:16" x14ac:dyDescent="0.3">
      <c r="A853" t="s">
        <v>1204</v>
      </c>
      <c r="B853" t="s">
        <v>203</v>
      </c>
      <c r="C853" t="s">
        <v>129</v>
      </c>
      <c r="D853">
        <v>28</v>
      </c>
      <c r="E853" t="s">
        <v>19</v>
      </c>
      <c r="F853" t="s">
        <v>98</v>
      </c>
      <c r="G853" t="s">
        <v>39</v>
      </c>
      <c r="H853">
        <v>3939</v>
      </c>
      <c r="I853">
        <v>3427</v>
      </c>
      <c r="J853">
        <v>512</v>
      </c>
      <c r="K853" t="s">
        <v>22</v>
      </c>
      <c r="L853" t="s">
        <v>47</v>
      </c>
      <c r="M853">
        <v>2</v>
      </c>
      <c r="N853" t="s">
        <v>95</v>
      </c>
      <c r="O853" s="6">
        <f t="shared" ca="1" si="13"/>
        <v>45948</v>
      </c>
      <c r="P853">
        <v>4.8</v>
      </c>
    </row>
    <row r="854" spans="1:16" x14ac:dyDescent="0.3">
      <c r="A854" t="s">
        <v>1205</v>
      </c>
      <c r="B854" t="s">
        <v>301</v>
      </c>
      <c r="C854" t="s">
        <v>129</v>
      </c>
      <c r="D854">
        <v>48</v>
      </c>
      <c r="E854" t="s">
        <v>82</v>
      </c>
      <c r="F854" t="s">
        <v>38</v>
      </c>
      <c r="G854" t="s">
        <v>79</v>
      </c>
      <c r="H854">
        <v>4967</v>
      </c>
      <c r="I854">
        <v>1985</v>
      </c>
      <c r="J854">
        <v>2982</v>
      </c>
      <c r="K854" t="s">
        <v>68</v>
      </c>
      <c r="L854" t="s">
        <v>23</v>
      </c>
      <c r="M854">
        <v>15</v>
      </c>
      <c r="N854" t="s">
        <v>116</v>
      </c>
      <c r="O854" s="6">
        <f t="shared" ca="1" si="13"/>
        <v>45918</v>
      </c>
      <c r="P854">
        <v>3.3</v>
      </c>
    </row>
    <row r="855" spans="1:16" x14ac:dyDescent="0.3">
      <c r="A855" t="s">
        <v>1206</v>
      </c>
      <c r="B855" t="s">
        <v>493</v>
      </c>
      <c r="C855" t="s">
        <v>77</v>
      </c>
      <c r="D855">
        <v>38</v>
      </c>
      <c r="E855" t="s">
        <v>63</v>
      </c>
      <c r="F855" t="s">
        <v>38</v>
      </c>
      <c r="G855" t="s">
        <v>39</v>
      </c>
      <c r="H855">
        <v>6839</v>
      </c>
      <c r="I855">
        <v>6327</v>
      </c>
      <c r="J855">
        <v>512</v>
      </c>
      <c r="K855" t="s">
        <v>59</v>
      </c>
      <c r="L855" t="s">
        <v>47</v>
      </c>
      <c r="M855">
        <v>14</v>
      </c>
      <c r="N855" t="s">
        <v>193</v>
      </c>
      <c r="O855" s="6">
        <f t="shared" ca="1" si="13"/>
        <v>45816</v>
      </c>
      <c r="P855">
        <v>4.2</v>
      </c>
    </row>
    <row r="856" spans="1:16" x14ac:dyDescent="0.3">
      <c r="A856" t="s">
        <v>1207</v>
      </c>
      <c r="B856" t="s">
        <v>364</v>
      </c>
      <c r="C856" t="s">
        <v>103</v>
      </c>
      <c r="D856">
        <v>49</v>
      </c>
      <c r="E856" t="s">
        <v>63</v>
      </c>
      <c r="F856" t="s">
        <v>98</v>
      </c>
      <c r="G856" t="s">
        <v>21</v>
      </c>
      <c r="H856">
        <v>7183</v>
      </c>
      <c r="I856">
        <v>5233</v>
      </c>
      <c r="J856">
        <v>1950</v>
      </c>
      <c r="K856" t="s">
        <v>22</v>
      </c>
      <c r="L856" t="s">
        <v>47</v>
      </c>
      <c r="M856">
        <v>2</v>
      </c>
      <c r="N856" t="s">
        <v>40</v>
      </c>
      <c r="O856" s="6">
        <f t="shared" ca="1" si="13"/>
        <v>45762</v>
      </c>
      <c r="P856">
        <v>2.7</v>
      </c>
    </row>
    <row r="857" spans="1:16" x14ac:dyDescent="0.3">
      <c r="A857" t="s">
        <v>1208</v>
      </c>
      <c r="B857" t="s">
        <v>364</v>
      </c>
      <c r="C857" t="s">
        <v>129</v>
      </c>
      <c r="D857">
        <v>45</v>
      </c>
      <c r="E857" t="s">
        <v>57</v>
      </c>
      <c r="F857" t="s">
        <v>38</v>
      </c>
      <c r="G857" t="s">
        <v>104</v>
      </c>
      <c r="H857">
        <v>6143</v>
      </c>
      <c r="I857">
        <v>3972</v>
      </c>
      <c r="J857">
        <v>2171</v>
      </c>
      <c r="K857" t="s">
        <v>68</v>
      </c>
      <c r="L857" t="s">
        <v>23</v>
      </c>
      <c r="M857">
        <v>7</v>
      </c>
      <c r="N857" t="s">
        <v>118</v>
      </c>
      <c r="O857" s="6">
        <f t="shared" ca="1" si="13"/>
        <v>45768</v>
      </c>
      <c r="P857">
        <v>3.2</v>
      </c>
    </row>
    <row r="858" spans="1:16" x14ac:dyDescent="0.3">
      <c r="A858" t="s">
        <v>1209</v>
      </c>
      <c r="B858" t="s">
        <v>480</v>
      </c>
      <c r="C858" t="s">
        <v>62</v>
      </c>
      <c r="D858">
        <v>45</v>
      </c>
      <c r="E858" t="s">
        <v>37</v>
      </c>
      <c r="F858" t="s">
        <v>29</v>
      </c>
      <c r="G858" t="s">
        <v>104</v>
      </c>
      <c r="H858">
        <v>7299</v>
      </c>
      <c r="I858">
        <v>4913</v>
      </c>
      <c r="J858">
        <v>2386</v>
      </c>
      <c r="K858" t="s">
        <v>22</v>
      </c>
      <c r="L858" t="s">
        <v>47</v>
      </c>
      <c r="M858">
        <v>9</v>
      </c>
      <c r="N858" t="s">
        <v>33</v>
      </c>
      <c r="O858" s="6">
        <f t="shared" ca="1" si="13"/>
        <v>45930</v>
      </c>
      <c r="P858">
        <v>3.4</v>
      </c>
    </row>
    <row r="859" spans="1:16" x14ac:dyDescent="0.3">
      <c r="A859" t="s">
        <v>1210</v>
      </c>
      <c r="B859" t="s">
        <v>318</v>
      </c>
      <c r="C859" t="s">
        <v>103</v>
      </c>
      <c r="D859">
        <v>54</v>
      </c>
      <c r="E859" t="s">
        <v>44</v>
      </c>
      <c r="F859" t="s">
        <v>52</v>
      </c>
      <c r="G859" t="s">
        <v>21</v>
      </c>
      <c r="H859">
        <v>4107</v>
      </c>
      <c r="I859">
        <v>2426</v>
      </c>
      <c r="J859">
        <v>1681</v>
      </c>
      <c r="K859" t="s">
        <v>31</v>
      </c>
      <c r="L859" t="s">
        <v>23</v>
      </c>
      <c r="M859">
        <v>14</v>
      </c>
      <c r="N859" t="s">
        <v>24</v>
      </c>
      <c r="O859" s="6">
        <f t="shared" ca="1" si="13"/>
        <v>45713</v>
      </c>
      <c r="P859">
        <v>5</v>
      </c>
    </row>
    <row r="860" spans="1:16" x14ac:dyDescent="0.3">
      <c r="A860" t="s">
        <v>1211</v>
      </c>
      <c r="B860" t="s">
        <v>482</v>
      </c>
      <c r="C860" t="s">
        <v>77</v>
      </c>
      <c r="D860">
        <v>24</v>
      </c>
      <c r="E860" t="s">
        <v>57</v>
      </c>
      <c r="F860" t="s">
        <v>38</v>
      </c>
      <c r="G860" t="s">
        <v>126</v>
      </c>
      <c r="H860">
        <v>4999</v>
      </c>
      <c r="I860">
        <v>2914</v>
      </c>
      <c r="J860">
        <v>2085</v>
      </c>
      <c r="K860" t="s">
        <v>59</v>
      </c>
      <c r="L860" t="s">
        <v>47</v>
      </c>
      <c r="M860">
        <v>14</v>
      </c>
      <c r="N860" t="s">
        <v>74</v>
      </c>
      <c r="O860" s="6">
        <f t="shared" ca="1" si="13"/>
        <v>45978</v>
      </c>
      <c r="P860">
        <v>4.0999999999999996</v>
      </c>
    </row>
    <row r="861" spans="1:16" x14ac:dyDescent="0.3">
      <c r="A861" t="s">
        <v>1212</v>
      </c>
      <c r="B861" t="s">
        <v>168</v>
      </c>
      <c r="C861" t="s">
        <v>62</v>
      </c>
      <c r="D861">
        <v>24</v>
      </c>
      <c r="E861" t="s">
        <v>78</v>
      </c>
      <c r="F861" t="s">
        <v>98</v>
      </c>
      <c r="G861" t="s">
        <v>126</v>
      </c>
      <c r="H861">
        <v>3899</v>
      </c>
      <c r="I861">
        <v>3592</v>
      </c>
      <c r="J861">
        <v>307</v>
      </c>
      <c r="K861" t="s">
        <v>22</v>
      </c>
      <c r="L861" t="s">
        <v>32</v>
      </c>
      <c r="M861">
        <v>7</v>
      </c>
      <c r="N861" t="s">
        <v>95</v>
      </c>
      <c r="O861" s="6">
        <f t="shared" ca="1" si="13"/>
        <v>45866</v>
      </c>
      <c r="P861">
        <v>3.4</v>
      </c>
    </row>
    <row r="862" spans="1:16" x14ac:dyDescent="0.3">
      <c r="A862" t="s">
        <v>1213</v>
      </c>
      <c r="B862" t="s">
        <v>767</v>
      </c>
      <c r="C862" t="s">
        <v>56</v>
      </c>
      <c r="D862">
        <v>59</v>
      </c>
      <c r="E862" t="s">
        <v>78</v>
      </c>
      <c r="F862" t="s">
        <v>136</v>
      </c>
      <c r="G862" t="s">
        <v>126</v>
      </c>
      <c r="H862">
        <v>4270</v>
      </c>
      <c r="I862">
        <v>3492</v>
      </c>
      <c r="J862">
        <v>778</v>
      </c>
      <c r="K862" t="s">
        <v>88</v>
      </c>
      <c r="L862" t="s">
        <v>32</v>
      </c>
      <c r="M862">
        <v>2</v>
      </c>
      <c r="N862" t="s">
        <v>24</v>
      </c>
      <c r="O862" s="6">
        <f t="shared" ca="1" si="13"/>
        <v>45895</v>
      </c>
      <c r="P862">
        <v>3.3</v>
      </c>
    </row>
    <row r="863" spans="1:16" x14ac:dyDescent="0.3">
      <c r="A863" t="s">
        <v>1214</v>
      </c>
      <c r="B863" t="s">
        <v>480</v>
      </c>
      <c r="C863" t="s">
        <v>129</v>
      </c>
      <c r="D863">
        <v>51</v>
      </c>
      <c r="E863" t="s">
        <v>78</v>
      </c>
      <c r="F863" t="s">
        <v>29</v>
      </c>
      <c r="G863" t="s">
        <v>39</v>
      </c>
      <c r="H863">
        <v>6236</v>
      </c>
      <c r="I863">
        <v>4351</v>
      </c>
      <c r="J863">
        <v>1885</v>
      </c>
      <c r="K863" t="s">
        <v>22</v>
      </c>
      <c r="L863" t="s">
        <v>32</v>
      </c>
      <c r="M863">
        <v>8</v>
      </c>
      <c r="N863" t="s">
        <v>24</v>
      </c>
      <c r="O863" s="6">
        <f t="shared" ca="1" si="13"/>
        <v>45766</v>
      </c>
      <c r="P863">
        <v>4.5999999999999996</v>
      </c>
    </row>
    <row r="864" spans="1:16" x14ac:dyDescent="0.3">
      <c r="A864" t="s">
        <v>1215</v>
      </c>
      <c r="B864" t="s">
        <v>516</v>
      </c>
      <c r="C864" t="s">
        <v>36</v>
      </c>
      <c r="D864">
        <v>59</v>
      </c>
      <c r="E864" t="s">
        <v>78</v>
      </c>
      <c r="F864" t="s">
        <v>29</v>
      </c>
      <c r="G864" t="s">
        <v>126</v>
      </c>
      <c r="H864">
        <v>2412</v>
      </c>
      <c r="I864">
        <v>589</v>
      </c>
      <c r="J864">
        <v>1823</v>
      </c>
      <c r="K864" t="s">
        <v>68</v>
      </c>
      <c r="L864" t="s">
        <v>32</v>
      </c>
      <c r="M864">
        <v>11</v>
      </c>
      <c r="N864" t="s">
        <v>69</v>
      </c>
      <c r="O864" s="6">
        <f t="shared" ca="1" si="13"/>
        <v>45836</v>
      </c>
      <c r="P864">
        <v>4.5</v>
      </c>
    </row>
    <row r="865" spans="1:16" x14ac:dyDescent="0.3">
      <c r="A865" t="s">
        <v>1216</v>
      </c>
      <c r="B865" t="s">
        <v>359</v>
      </c>
      <c r="C865" t="s">
        <v>18</v>
      </c>
      <c r="D865">
        <v>35</v>
      </c>
      <c r="E865" t="s">
        <v>37</v>
      </c>
      <c r="F865" t="s">
        <v>20</v>
      </c>
      <c r="G865" t="s">
        <v>39</v>
      </c>
      <c r="H865">
        <v>3589</v>
      </c>
      <c r="I865">
        <v>1253</v>
      </c>
      <c r="J865">
        <v>2336</v>
      </c>
      <c r="K865" t="s">
        <v>31</v>
      </c>
      <c r="L865" t="s">
        <v>47</v>
      </c>
      <c r="M865">
        <v>3</v>
      </c>
      <c r="N865" t="s">
        <v>33</v>
      </c>
      <c r="O865" s="6">
        <f t="shared" ca="1" si="13"/>
        <v>45931</v>
      </c>
      <c r="P865">
        <v>3.8</v>
      </c>
    </row>
    <row r="866" spans="1:16" x14ac:dyDescent="0.3">
      <c r="A866" t="s">
        <v>1217</v>
      </c>
      <c r="B866" t="s">
        <v>200</v>
      </c>
      <c r="C866" t="s">
        <v>103</v>
      </c>
      <c r="D866">
        <v>32</v>
      </c>
      <c r="E866" t="s">
        <v>82</v>
      </c>
      <c r="F866" t="s">
        <v>67</v>
      </c>
      <c r="G866" t="s">
        <v>21</v>
      </c>
      <c r="H866">
        <v>8290</v>
      </c>
      <c r="I866">
        <v>6172</v>
      </c>
      <c r="J866">
        <v>2118</v>
      </c>
      <c r="K866" t="s">
        <v>59</v>
      </c>
      <c r="L866" t="s">
        <v>47</v>
      </c>
      <c r="M866">
        <v>11</v>
      </c>
      <c r="N866" t="s">
        <v>48</v>
      </c>
      <c r="O866" s="6">
        <f t="shared" ca="1" si="13"/>
        <v>45770</v>
      </c>
      <c r="P866">
        <v>3.8</v>
      </c>
    </row>
    <row r="867" spans="1:16" x14ac:dyDescent="0.3">
      <c r="A867" t="s">
        <v>1218</v>
      </c>
      <c r="B867" t="s">
        <v>1219</v>
      </c>
      <c r="C867" t="s">
        <v>43</v>
      </c>
      <c r="D867">
        <v>62</v>
      </c>
      <c r="E867" t="s">
        <v>37</v>
      </c>
      <c r="F867" t="s">
        <v>52</v>
      </c>
      <c r="G867" t="s">
        <v>39</v>
      </c>
      <c r="H867">
        <v>2015</v>
      </c>
      <c r="I867">
        <v>1388</v>
      </c>
      <c r="J867">
        <v>627</v>
      </c>
      <c r="K867" t="s">
        <v>59</v>
      </c>
      <c r="L867" t="s">
        <v>23</v>
      </c>
      <c r="M867">
        <v>10</v>
      </c>
      <c r="N867" t="s">
        <v>95</v>
      </c>
      <c r="O867" s="6">
        <f t="shared" ca="1" si="13"/>
        <v>45931</v>
      </c>
      <c r="P867">
        <v>4.5</v>
      </c>
    </row>
    <row r="868" spans="1:16" x14ac:dyDescent="0.3">
      <c r="A868" t="s">
        <v>1220</v>
      </c>
      <c r="B868" t="s">
        <v>489</v>
      </c>
      <c r="C868" t="s">
        <v>27</v>
      </c>
      <c r="D868">
        <v>27</v>
      </c>
      <c r="E868" t="s">
        <v>87</v>
      </c>
      <c r="F868" t="s">
        <v>52</v>
      </c>
      <c r="G868" t="s">
        <v>79</v>
      </c>
      <c r="H868">
        <v>2055</v>
      </c>
      <c r="I868">
        <v>589</v>
      </c>
      <c r="J868">
        <v>1466</v>
      </c>
      <c r="K868" t="s">
        <v>68</v>
      </c>
      <c r="L868" t="s">
        <v>47</v>
      </c>
      <c r="M868">
        <v>4</v>
      </c>
      <c r="N868" t="s">
        <v>24</v>
      </c>
      <c r="O868" s="6">
        <f t="shared" ca="1" si="13"/>
        <v>45702</v>
      </c>
      <c r="P868">
        <v>3.8</v>
      </c>
    </row>
    <row r="869" spans="1:16" x14ac:dyDescent="0.3">
      <c r="A869" t="s">
        <v>1221</v>
      </c>
      <c r="B869" t="s">
        <v>464</v>
      </c>
      <c r="C869" t="s">
        <v>51</v>
      </c>
      <c r="D869">
        <v>23</v>
      </c>
      <c r="E869" t="s">
        <v>44</v>
      </c>
      <c r="F869" t="s">
        <v>91</v>
      </c>
      <c r="G869" t="s">
        <v>46</v>
      </c>
      <c r="H869">
        <v>2381</v>
      </c>
      <c r="I869">
        <v>893</v>
      </c>
      <c r="J869">
        <v>1488</v>
      </c>
      <c r="K869" t="s">
        <v>68</v>
      </c>
      <c r="L869" t="s">
        <v>32</v>
      </c>
      <c r="M869">
        <v>5</v>
      </c>
      <c r="N869" t="s">
        <v>24</v>
      </c>
      <c r="O869" s="6">
        <f t="shared" ca="1" si="13"/>
        <v>45758</v>
      </c>
      <c r="P869">
        <v>4.2</v>
      </c>
    </row>
    <row r="870" spans="1:16" x14ac:dyDescent="0.3">
      <c r="A870" t="s">
        <v>1222</v>
      </c>
      <c r="B870" t="s">
        <v>471</v>
      </c>
      <c r="C870" t="s">
        <v>62</v>
      </c>
      <c r="D870">
        <v>41</v>
      </c>
      <c r="E870" t="s">
        <v>37</v>
      </c>
      <c r="F870" t="s">
        <v>38</v>
      </c>
      <c r="G870" t="s">
        <v>126</v>
      </c>
      <c r="H870">
        <v>9219</v>
      </c>
      <c r="I870">
        <v>6256</v>
      </c>
      <c r="J870">
        <v>2963</v>
      </c>
      <c r="K870" t="s">
        <v>31</v>
      </c>
      <c r="L870" t="s">
        <v>23</v>
      </c>
      <c r="M870">
        <v>7</v>
      </c>
      <c r="N870" t="s">
        <v>74</v>
      </c>
      <c r="O870" s="6">
        <f t="shared" ca="1" si="13"/>
        <v>45863</v>
      </c>
      <c r="P870">
        <v>3.6</v>
      </c>
    </row>
    <row r="871" spans="1:16" x14ac:dyDescent="0.3">
      <c r="A871" t="s">
        <v>1223</v>
      </c>
      <c r="B871" t="s">
        <v>516</v>
      </c>
      <c r="C871" t="s">
        <v>51</v>
      </c>
      <c r="D871">
        <v>45</v>
      </c>
      <c r="E871" t="s">
        <v>63</v>
      </c>
      <c r="F871" t="s">
        <v>67</v>
      </c>
      <c r="G871" t="s">
        <v>46</v>
      </c>
      <c r="H871">
        <v>3736</v>
      </c>
      <c r="I871">
        <v>2876</v>
      </c>
      <c r="J871">
        <v>860</v>
      </c>
      <c r="K871" t="s">
        <v>22</v>
      </c>
      <c r="L871" t="s">
        <v>23</v>
      </c>
      <c r="M871">
        <v>8</v>
      </c>
      <c r="N871" t="s">
        <v>53</v>
      </c>
      <c r="O871" s="6">
        <f t="shared" ca="1" si="13"/>
        <v>46003</v>
      </c>
      <c r="P871">
        <v>3.7</v>
      </c>
    </row>
    <row r="872" spans="1:16" x14ac:dyDescent="0.3">
      <c r="A872" t="s">
        <v>1224</v>
      </c>
      <c r="B872" t="s">
        <v>1072</v>
      </c>
      <c r="C872" t="s">
        <v>62</v>
      </c>
      <c r="D872">
        <v>64</v>
      </c>
      <c r="E872" t="s">
        <v>78</v>
      </c>
      <c r="F872" t="s">
        <v>20</v>
      </c>
      <c r="G872" t="s">
        <v>92</v>
      </c>
      <c r="H872">
        <v>7422</v>
      </c>
      <c r="I872">
        <v>4729</v>
      </c>
      <c r="J872">
        <v>2693</v>
      </c>
      <c r="K872" t="s">
        <v>59</v>
      </c>
      <c r="L872" t="s">
        <v>47</v>
      </c>
      <c r="M872">
        <v>15</v>
      </c>
      <c r="N872" t="s">
        <v>95</v>
      </c>
      <c r="O872" s="6">
        <f t="shared" ca="1" si="13"/>
        <v>45984</v>
      </c>
      <c r="P872">
        <v>3.2</v>
      </c>
    </row>
    <row r="873" spans="1:16" x14ac:dyDescent="0.3">
      <c r="A873" t="s">
        <v>1225</v>
      </c>
      <c r="B873" t="s">
        <v>948</v>
      </c>
      <c r="C873" t="s">
        <v>43</v>
      </c>
      <c r="D873">
        <v>60</v>
      </c>
      <c r="E873" t="s">
        <v>37</v>
      </c>
      <c r="F873" t="s">
        <v>136</v>
      </c>
      <c r="G873" t="s">
        <v>73</v>
      </c>
      <c r="H873">
        <v>3513</v>
      </c>
      <c r="I873">
        <v>2458</v>
      </c>
      <c r="J873">
        <v>1055</v>
      </c>
      <c r="K873" t="s">
        <v>59</v>
      </c>
      <c r="L873" t="s">
        <v>32</v>
      </c>
      <c r="M873">
        <v>4</v>
      </c>
      <c r="N873" t="s">
        <v>40</v>
      </c>
      <c r="O873" s="6">
        <f t="shared" ca="1" si="13"/>
        <v>45692</v>
      </c>
      <c r="P873">
        <v>2.8</v>
      </c>
    </row>
    <row r="874" spans="1:16" x14ac:dyDescent="0.3">
      <c r="A874" t="s">
        <v>1226</v>
      </c>
      <c r="B874" t="s">
        <v>220</v>
      </c>
      <c r="C874" t="s">
        <v>56</v>
      </c>
      <c r="D874">
        <v>27</v>
      </c>
      <c r="E874" t="s">
        <v>28</v>
      </c>
      <c r="F874" t="s">
        <v>20</v>
      </c>
      <c r="G874" t="s">
        <v>39</v>
      </c>
      <c r="H874">
        <v>5539</v>
      </c>
      <c r="I874">
        <v>4982</v>
      </c>
      <c r="J874">
        <v>557</v>
      </c>
      <c r="K874" t="s">
        <v>68</v>
      </c>
      <c r="L874" t="s">
        <v>47</v>
      </c>
      <c r="M874">
        <v>8</v>
      </c>
      <c r="N874" t="s">
        <v>95</v>
      </c>
      <c r="O874" s="6">
        <f t="shared" ca="1" si="13"/>
        <v>45737</v>
      </c>
      <c r="P874">
        <v>4.9000000000000004</v>
      </c>
    </row>
    <row r="875" spans="1:16" x14ac:dyDescent="0.3">
      <c r="A875" t="s">
        <v>1227</v>
      </c>
      <c r="B875" t="s">
        <v>234</v>
      </c>
      <c r="C875" t="s">
        <v>18</v>
      </c>
      <c r="D875">
        <v>57</v>
      </c>
      <c r="E875" t="s">
        <v>57</v>
      </c>
      <c r="F875" t="s">
        <v>38</v>
      </c>
      <c r="G875" t="s">
        <v>21</v>
      </c>
      <c r="H875">
        <v>2015</v>
      </c>
      <c r="I875">
        <v>1082</v>
      </c>
      <c r="J875">
        <v>933</v>
      </c>
      <c r="K875" t="s">
        <v>68</v>
      </c>
      <c r="L875" t="s">
        <v>32</v>
      </c>
      <c r="M875">
        <v>8</v>
      </c>
      <c r="N875" t="s">
        <v>116</v>
      </c>
      <c r="O875" s="6">
        <f t="shared" ca="1" si="13"/>
        <v>45847</v>
      </c>
      <c r="P875">
        <v>4.5</v>
      </c>
    </row>
    <row r="876" spans="1:16" x14ac:dyDescent="0.3">
      <c r="A876" t="s">
        <v>1228</v>
      </c>
      <c r="B876" t="s">
        <v>718</v>
      </c>
      <c r="C876" t="s">
        <v>129</v>
      </c>
      <c r="D876">
        <v>28</v>
      </c>
      <c r="E876" t="s">
        <v>44</v>
      </c>
      <c r="F876" t="s">
        <v>91</v>
      </c>
      <c r="G876" t="s">
        <v>46</v>
      </c>
      <c r="H876">
        <v>4851</v>
      </c>
      <c r="I876">
        <v>3477</v>
      </c>
      <c r="J876">
        <v>1374</v>
      </c>
      <c r="K876" t="s">
        <v>59</v>
      </c>
      <c r="L876" t="s">
        <v>23</v>
      </c>
      <c r="M876">
        <v>14</v>
      </c>
      <c r="N876" t="s">
        <v>118</v>
      </c>
      <c r="O876" s="6">
        <f t="shared" ca="1" si="13"/>
        <v>45965</v>
      </c>
      <c r="P876">
        <v>3.6</v>
      </c>
    </row>
    <row r="877" spans="1:16" x14ac:dyDescent="0.3">
      <c r="A877" t="s">
        <v>1229</v>
      </c>
      <c r="B877" t="s">
        <v>135</v>
      </c>
      <c r="C877" t="s">
        <v>27</v>
      </c>
      <c r="D877">
        <v>60</v>
      </c>
      <c r="E877" t="s">
        <v>57</v>
      </c>
      <c r="F877" t="s">
        <v>38</v>
      </c>
      <c r="G877" t="s">
        <v>21</v>
      </c>
      <c r="H877">
        <v>7980</v>
      </c>
      <c r="I877">
        <v>6088</v>
      </c>
      <c r="J877">
        <v>1892</v>
      </c>
      <c r="K877" t="s">
        <v>22</v>
      </c>
      <c r="L877" t="s">
        <v>32</v>
      </c>
      <c r="M877">
        <v>5</v>
      </c>
      <c r="N877" t="s">
        <v>24</v>
      </c>
      <c r="O877" s="6">
        <f t="shared" ca="1" si="13"/>
        <v>45756</v>
      </c>
      <c r="P877">
        <v>4.0999999999999996</v>
      </c>
    </row>
    <row r="878" spans="1:16" x14ac:dyDescent="0.3">
      <c r="A878" t="s">
        <v>1230</v>
      </c>
      <c r="B878" t="s">
        <v>596</v>
      </c>
      <c r="C878" t="s">
        <v>27</v>
      </c>
      <c r="D878">
        <v>21</v>
      </c>
      <c r="E878" t="s">
        <v>78</v>
      </c>
      <c r="F878" t="s">
        <v>98</v>
      </c>
      <c r="G878" t="s">
        <v>39</v>
      </c>
      <c r="H878">
        <v>4426</v>
      </c>
      <c r="I878">
        <v>3578</v>
      </c>
      <c r="J878">
        <v>848</v>
      </c>
      <c r="K878" t="s">
        <v>88</v>
      </c>
      <c r="L878" t="s">
        <v>47</v>
      </c>
      <c r="M878">
        <v>14</v>
      </c>
      <c r="N878" t="s">
        <v>53</v>
      </c>
      <c r="O878" s="6">
        <f t="shared" ca="1" si="13"/>
        <v>45667</v>
      </c>
      <c r="P878">
        <v>3.8</v>
      </c>
    </row>
    <row r="879" spans="1:16" x14ac:dyDescent="0.3">
      <c r="A879" t="s">
        <v>1231</v>
      </c>
      <c r="B879" t="s">
        <v>718</v>
      </c>
      <c r="C879" t="s">
        <v>77</v>
      </c>
      <c r="D879">
        <v>43</v>
      </c>
      <c r="E879" t="s">
        <v>63</v>
      </c>
      <c r="F879" t="s">
        <v>91</v>
      </c>
      <c r="G879" t="s">
        <v>92</v>
      </c>
      <c r="H879">
        <v>4954</v>
      </c>
      <c r="I879">
        <v>4308</v>
      </c>
      <c r="J879">
        <v>646</v>
      </c>
      <c r="K879" t="s">
        <v>88</v>
      </c>
      <c r="L879" t="s">
        <v>32</v>
      </c>
      <c r="M879">
        <v>12</v>
      </c>
      <c r="N879" t="s">
        <v>53</v>
      </c>
      <c r="O879" s="6">
        <f t="shared" ca="1" si="13"/>
        <v>45671</v>
      </c>
      <c r="P879">
        <v>4.7</v>
      </c>
    </row>
    <row r="880" spans="1:16" x14ac:dyDescent="0.3">
      <c r="A880" t="s">
        <v>1232</v>
      </c>
      <c r="B880" t="s">
        <v>691</v>
      </c>
      <c r="C880" t="s">
        <v>43</v>
      </c>
      <c r="D880">
        <v>25</v>
      </c>
      <c r="E880" t="s">
        <v>57</v>
      </c>
      <c r="F880" t="s">
        <v>38</v>
      </c>
      <c r="G880" t="s">
        <v>79</v>
      </c>
      <c r="H880">
        <v>5553</v>
      </c>
      <c r="I880">
        <v>4483</v>
      </c>
      <c r="J880">
        <v>1070</v>
      </c>
      <c r="K880" t="s">
        <v>88</v>
      </c>
      <c r="L880" t="s">
        <v>32</v>
      </c>
      <c r="M880">
        <v>8</v>
      </c>
      <c r="N880" t="s">
        <v>53</v>
      </c>
      <c r="O880" s="6">
        <f t="shared" ca="1" si="13"/>
        <v>45901</v>
      </c>
      <c r="P880">
        <v>4</v>
      </c>
    </row>
    <row r="881" spans="1:16" x14ac:dyDescent="0.3">
      <c r="A881" t="s">
        <v>1233</v>
      </c>
      <c r="B881" t="s">
        <v>1234</v>
      </c>
      <c r="C881" t="s">
        <v>129</v>
      </c>
      <c r="D881">
        <v>51</v>
      </c>
      <c r="E881" t="s">
        <v>78</v>
      </c>
      <c r="F881" t="s">
        <v>52</v>
      </c>
      <c r="G881" t="s">
        <v>58</v>
      </c>
      <c r="H881">
        <v>5482</v>
      </c>
      <c r="I881">
        <v>5154</v>
      </c>
      <c r="J881">
        <v>328</v>
      </c>
      <c r="K881" t="s">
        <v>68</v>
      </c>
      <c r="L881" t="s">
        <v>23</v>
      </c>
      <c r="M881">
        <v>3</v>
      </c>
      <c r="N881" t="s">
        <v>40</v>
      </c>
      <c r="O881" s="6">
        <f t="shared" ca="1" si="13"/>
        <v>46003</v>
      </c>
      <c r="P881">
        <v>1.9</v>
      </c>
    </row>
    <row r="882" spans="1:16" x14ac:dyDescent="0.3">
      <c r="A882" t="s">
        <v>1235</v>
      </c>
      <c r="B882" t="s">
        <v>603</v>
      </c>
      <c r="C882" t="s">
        <v>62</v>
      </c>
      <c r="D882">
        <v>24</v>
      </c>
      <c r="E882" t="s">
        <v>19</v>
      </c>
      <c r="F882" t="s">
        <v>136</v>
      </c>
      <c r="G882" t="s">
        <v>73</v>
      </c>
      <c r="H882">
        <v>3942</v>
      </c>
      <c r="I882">
        <v>2710</v>
      </c>
      <c r="J882">
        <v>1232</v>
      </c>
      <c r="K882" t="s">
        <v>68</v>
      </c>
      <c r="L882" t="s">
        <v>47</v>
      </c>
      <c r="M882">
        <v>2</v>
      </c>
      <c r="N882" t="s">
        <v>193</v>
      </c>
      <c r="O882" s="6">
        <f t="shared" ca="1" si="13"/>
        <v>45805</v>
      </c>
      <c r="P882">
        <v>4.7</v>
      </c>
    </row>
    <row r="883" spans="1:16" x14ac:dyDescent="0.3">
      <c r="A883" t="s">
        <v>1236</v>
      </c>
      <c r="B883" t="s">
        <v>42</v>
      </c>
      <c r="C883" t="s">
        <v>18</v>
      </c>
      <c r="D883">
        <v>49</v>
      </c>
      <c r="E883" t="s">
        <v>37</v>
      </c>
      <c r="F883" t="s">
        <v>29</v>
      </c>
      <c r="G883" t="s">
        <v>30</v>
      </c>
      <c r="H883">
        <v>7247</v>
      </c>
      <c r="I883">
        <v>5985</v>
      </c>
      <c r="J883">
        <v>1262</v>
      </c>
      <c r="K883" t="s">
        <v>68</v>
      </c>
      <c r="L883" t="s">
        <v>32</v>
      </c>
      <c r="M883">
        <v>1</v>
      </c>
      <c r="N883" t="s">
        <v>53</v>
      </c>
      <c r="O883" s="6">
        <f t="shared" ca="1" si="13"/>
        <v>45855</v>
      </c>
      <c r="P883">
        <v>3.9</v>
      </c>
    </row>
    <row r="884" spans="1:16" x14ac:dyDescent="0.3">
      <c r="A884" t="s">
        <v>1237</v>
      </c>
      <c r="B884" t="s">
        <v>489</v>
      </c>
      <c r="C884" t="s">
        <v>62</v>
      </c>
      <c r="D884">
        <v>43</v>
      </c>
      <c r="E884" t="s">
        <v>37</v>
      </c>
      <c r="F884" t="s">
        <v>91</v>
      </c>
      <c r="G884" t="s">
        <v>104</v>
      </c>
      <c r="H884">
        <v>5744</v>
      </c>
      <c r="I884">
        <v>4886</v>
      </c>
      <c r="J884">
        <v>858</v>
      </c>
      <c r="K884" t="s">
        <v>31</v>
      </c>
      <c r="L884" t="s">
        <v>23</v>
      </c>
      <c r="M884">
        <v>3</v>
      </c>
      <c r="N884" t="s">
        <v>40</v>
      </c>
      <c r="O884" s="6">
        <f t="shared" ca="1" si="13"/>
        <v>45674</v>
      </c>
      <c r="P884">
        <v>2.8</v>
      </c>
    </row>
    <row r="885" spans="1:16" x14ac:dyDescent="0.3">
      <c r="A885" t="s">
        <v>1238</v>
      </c>
      <c r="B885" t="s">
        <v>316</v>
      </c>
      <c r="C885" t="s">
        <v>36</v>
      </c>
      <c r="D885">
        <v>56</v>
      </c>
      <c r="E885" t="s">
        <v>44</v>
      </c>
      <c r="F885" t="s">
        <v>52</v>
      </c>
      <c r="G885" t="s">
        <v>21</v>
      </c>
      <c r="H885">
        <v>9355</v>
      </c>
      <c r="I885">
        <v>6420</v>
      </c>
      <c r="J885">
        <v>2935</v>
      </c>
      <c r="K885" t="s">
        <v>68</v>
      </c>
      <c r="L885" t="s">
        <v>23</v>
      </c>
      <c r="M885">
        <v>3</v>
      </c>
      <c r="N885" t="s">
        <v>95</v>
      </c>
      <c r="O885" s="6">
        <f t="shared" ca="1" si="13"/>
        <v>45935</v>
      </c>
      <c r="P885">
        <v>3.4</v>
      </c>
    </row>
    <row r="886" spans="1:16" x14ac:dyDescent="0.3">
      <c r="A886" t="s">
        <v>1239</v>
      </c>
      <c r="B886" t="s">
        <v>1240</v>
      </c>
      <c r="C886" t="s">
        <v>56</v>
      </c>
      <c r="D886">
        <v>30</v>
      </c>
      <c r="E886" t="s">
        <v>63</v>
      </c>
      <c r="F886" t="s">
        <v>38</v>
      </c>
      <c r="G886" t="s">
        <v>21</v>
      </c>
      <c r="H886">
        <v>9948</v>
      </c>
      <c r="I886">
        <v>6988</v>
      </c>
      <c r="J886">
        <v>2960</v>
      </c>
      <c r="K886" t="s">
        <v>59</v>
      </c>
      <c r="L886" t="s">
        <v>47</v>
      </c>
      <c r="M886">
        <v>9</v>
      </c>
      <c r="N886" t="s">
        <v>24</v>
      </c>
      <c r="O886" s="6">
        <f t="shared" ca="1" si="13"/>
        <v>45818</v>
      </c>
      <c r="P886">
        <v>3.6</v>
      </c>
    </row>
    <row r="887" spans="1:16" x14ac:dyDescent="0.3">
      <c r="A887" t="s">
        <v>1241</v>
      </c>
      <c r="B887" t="s">
        <v>718</v>
      </c>
      <c r="C887" t="s">
        <v>51</v>
      </c>
      <c r="D887">
        <v>27</v>
      </c>
      <c r="E887" t="s">
        <v>28</v>
      </c>
      <c r="F887" t="s">
        <v>52</v>
      </c>
      <c r="G887" t="s">
        <v>30</v>
      </c>
      <c r="H887">
        <v>6378</v>
      </c>
      <c r="I887">
        <v>3942</v>
      </c>
      <c r="J887">
        <v>2436</v>
      </c>
      <c r="K887" t="s">
        <v>68</v>
      </c>
      <c r="L887" t="s">
        <v>32</v>
      </c>
      <c r="M887">
        <v>10</v>
      </c>
      <c r="N887" t="s">
        <v>48</v>
      </c>
      <c r="O887" s="6">
        <f t="shared" ca="1" si="13"/>
        <v>45759</v>
      </c>
      <c r="P887">
        <v>4.0999999999999996</v>
      </c>
    </row>
    <row r="888" spans="1:16" x14ac:dyDescent="0.3">
      <c r="A888" t="s">
        <v>1242</v>
      </c>
      <c r="B888" t="s">
        <v>26</v>
      </c>
      <c r="C888" t="s">
        <v>51</v>
      </c>
      <c r="D888">
        <v>21</v>
      </c>
      <c r="E888" t="s">
        <v>57</v>
      </c>
      <c r="F888" t="s">
        <v>38</v>
      </c>
      <c r="G888" t="s">
        <v>46</v>
      </c>
      <c r="H888">
        <v>4430</v>
      </c>
      <c r="I888">
        <v>2973</v>
      </c>
      <c r="J888">
        <v>1457</v>
      </c>
      <c r="K888" t="s">
        <v>88</v>
      </c>
      <c r="L888" t="s">
        <v>32</v>
      </c>
      <c r="M888">
        <v>14</v>
      </c>
      <c r="N888" t="s">
        <v>53</v>
      </c>
      <c r="O888" s="6">
        <f t="shared" ca="1" si="13"/>
        <v>45786</v>
      </c>
      <c r="P888">
        <v>3.7</v>
      </c>
    </row>
    <row r="889" spans="1:16" x14ac:dyDescent="0.3">
      <c r="A889" t="s">
        <v>1243</v>
      </c>
      <c r="B889" t="s">
        <v>276</v>
      </c>
      <c r="C889" t="s">
        <v>103</v>
      </c>
      <c r="D889">
        <v>43</v>
      </c>
      <c r="E889" t="s">
        <v>57</v>
      </c>
      <c r="F889" t="s">
        <v>29</v>
      </c>
      <c r="G889" t="s">
        <v>73</v>
      </c>
      <c r="H889">
        <v>6360</v>
      </c>
      <c r="I889">
        <v>4785</v>
      </c>
      <c r="J889">
        <v>1575</v>
      </c>
      <c r="K889" t="s">
        <v>68</v>
      </c>
      <c r="L889" t="s">
        <v>32</v>
      </c>
      <c r="M889">
        <v>3</v>
      </c>
      <c r="N889" t="s">
        <v>69</v>
      </c>
      <c r="O889" s="6">
        <f t="shared" ca="1" si="13"/>
        <v>45857</v>
      </c>
      <c r="P889">
        <v>3.9</v>
      </c>
    </row>
    <row r="890" spans="1:16" x14ac:dyDescent="0.3">
      <c r="A890" t="s">
        <v>1244</v>
      </c>
      <c r="B890" t="s">
        <v>84</v>
      </c>
      <c r="C890" t="s">
        <v>51</v>
      </c>
      <c r="D890">
        <v>31</v>
      </c>
      <c r="E890" t="s">
        <v>82</v>
      </c>
      <c r="F890" t="s">
        <v>64</v>
      </c>
      <c r="G890" t="s">
        <v>73</v>
      </c>
      <c r="H890">
        <v>5735</v>
      </c>
      <c r="I890">
        <v>2834</v>
      </c>
      <c r="J890">
        <v>2901</v>
      </c>
      <c r="K890" t="s">
        <v>31</v>
      </c>
      <c r="L890" t="s">
        <v>23</v>
      </c>
      <c r="M890">
        <v>7</v>
      </c>
      <c r="N890" t="s">
        <v>116</v>
      </c>
      <c r="O890" s="6">
        <f t="shared" ca="1" si="13"/>
        <v>45928</v>
      </c>
      <c r="P890">
        <v>3.3</v>
      </c>
    </row>
    <row r="891" spans="1:16" x14ac:dyDescent="0.3">
      <c r="A891" t="s">
        <v>1245</v>
      </c>
      <c r="B891" t="s">
        <v>1009</v>
      </c>
      <c r="C891" t="s">
        <v>77</v>
      </c>
      <c r="D891">
        <v>26</v>
      </c>
      <c r="E891" t="s">
        <v>28</v>
      </c>
      <c r="F891" t="s">
        <v>67</v>
      </c>
      <c r="G891" t="s">
        <v>73</v>
      </c>
      <c r="H891">
        <v>3582</v>
      </c>
      <c r="I891">
        <v>1349</v>
      </c>
      <c r="J891">
        <v>2233</v>
      </c>
      <c r="K891" t="s">
        <v>88</v>
      </c>
      <c r="L891" t="s">
        <v>47</v>
      </c>
      <c r="M891">
        <v>10</v>
      </c>
      <c r="N891" t="s">
        <v>74</v>
      </c>
      <c r="O891" s="6">
        <f t="shared" ca="1" si="13"/>
        <v>45714</v>
      </c>
      <c r="P891">
        <v>4.8</v>
      </c>
    </row>
    <row r="892" spans="1:16" x14ac:dyDescent="0.3">
      <c r="A892" t="s">
        <v>1246</v>
      </c>
      <c r="B892" t="s">
        <v>1063</v>
      </c>
      <c r="C892" t="s">
        <v>36</v>
      </c>
      <c r="D892">
        <v>63</v>
      </c>
      <c r="E892" t="s">
        <v>72</v>
      </c>
      <c r="F892" t="s">
        <v>64</v>
      </c>
      <c r="G892" t="s">
        <v>30</v>
      </c>
      <c r="H892">
        <v>4387</v>
      </c>
      <c r="I892">
        <v>2325</v>
      </c>
      <c r="J892">
        <v>2062</v>
      </c>
      <c r="K892" t="s">
        <v>22</v>
      </c>
      <c r="L892" t="s">
        <v>47</v>
      </c>
      <c r="M892">
        <v>2</v>
      </c>
      <c r="N892" t="s">
        <v>33</v>
      </c>
      <c r="O892" s="6">
        <f t="shared" ca="1" si="13"/>
        <v>45702</v>
      </c>
      <c r="P892">
        <v>3.8</v>
      </c>
    </row>
    <row r="893" spans="1:16" x14ac:dyDescent="0.3">
      <c r="A893" t="s">
        <v>1247</v>
      </c>
      <c r="B893" t="s">
        <v>375</v>
      </c>
      <c r="C893" t="s">
        <v>56</v>
      </c>
      <c r="D893">
        <v>47</v>
      </c>
      <c r="E893" t="s">
        <v>37</v>
      </c>
      <c r="F893" t="s">
        <v>136</v>
      </c>
      <c r="G893" t="s">
        <v>58</v>
      </c>
      <c r="H893">
        <v>8024</v>
      </c>
      <c r="I893">
        <v>6907</v>
      </c>
      <c r="J893">
        <v>1117</v>
      </c>
      <c r="K893" t="s">
        <v>88</v>
      </c>
      <c r="L893" t="s">
        <v>32</v>
      </c>
      <c r="M893">
        <v>5</v>
      </c>
      <c r="N893" t="s">
        <v>116</v>
      </c>
      <c r="O893" s="6">
        <f t="shared" ca="1" si="13"/>
        <v>45986</v>
      </c>
      <c r="P893">
        <v>4.3</v>
      </c>
    </row>
    <row r="894" spans="1:16" x14ac:dyDescent="0.3">
      <c r="A894" t="s">
        <v>1248</v>
      </c>
      <c r="B894" t="s">
        <v>388</v>
      </c>
      <c r="C894" t="s">
        <v>103</v>
      </c>
      <c r="D894">
        <v>23</v>
      </c>
      <c r="E894" t="s">
        <v>28</v>
      </c>
      <c r="F894" t="s">
        <v>136</v>
      </c>
      <c r="G894" t="s">
        <v>126</v>
      </c>
      <c r="H894">
        <v>8708</v>
      </c>
      <c r="I894">
        <v>6975</v>
      </c>
      <c r="J894">
        <v>1733</v>
      </c>
      <c r="K894" t="s">
        <v>68</v>
      </c>
      <c r="L894" t="s">
        <v>23</v>
      </c>
      <c r="M894">
        <v>9</v>
      </c>
      <c r="N894" t="s">
        <v>118</v>
      </c>
      <c r="O894" s="6">
        <f t="shared" ca="1" si="13"/>
        <v>45867</v>
      </c>
      <c r="P894">
        <v>4.9000000000000004</v>
      </c>
    </row>
    <row r="895" spans="1:16" x14ac:dyDescent="0.3">
      <c r="A895" t="s">
        <v>1249</v>
      </c>
      <c r="B895" t="s">
        <v>145</v>
      </c>
      <c r="C895" t="s">
        <v>103</v>
      </c>
      <c r="D895">
        <v>36</v>
      </c>
      <c r="E895" t="s">
        <v>82</v>
      </c>
      <c r="F895" t="s">
        <v>64</v>
      </c>
      <c r="G895" t="s">
        <v>30</v>
      </c>
      <c r="H895">
        <v>8387</v>
      </c>
      <c r="I895">
        <v>5548</v>
      </c>
      <c r="J895">
        <v>2839</v>
      </c>
      <c r="K895" t="s">
        <v>59</v>
      </c>
      <c r="L895" t="s">
        <v>23</v>
      </c>
      <c r="M895">
        <v>1</v>
      </c>
      <c r="N895" t="s">
        <v>118</v>
      </c>
      <c r="O895" s="6">
        <f t="shared" ca="1" si="13"/>
        <v>45859</v>
      </c>
      <c r="P895">
        <v>3.8</v>
      </c>
    </row>
    <row r="896" spans="1:16" x14ac:dyDescent="0.3">
      <c r="A896" t="s">
        <v>1250</v>
      </c>
      <c r="B896" t="s">
        <v>172</v>
      </c>
      <c r="C896" t="s">
        <v>129</v>
      </c>
      <c r="D896">
        <v>46</v>
      </c>
      <c r="E896" t="s">
        <v>57</v>
      </c>
      <c r="F896" t="s">
        <v>29</v>
      </c>
      <c r="G896" t="s">
        <v>126</v>
      </c>
      <c r="H896">
        <v>5229</v>
      </c>
      <c r="I896">
        <v>4083</v>
      </c>
      <c r="J896">
        <v>1146</v>
      </c>
      <c r="K896" t="s">
        <v>22</v>
      </c>
      <c r="L896" t="s">
        <v>47</v>
      </c>
      <c r="M896">
        <v>13</v>
      </c>
      <c r="N896" t="s">
        <v>193</v>
      </c>
      <c r="O896" s="6">
        <f t="shared" ca="1" si="13"/>
        <v>45877</v>
      </c>
      <c r="P896">
        <v>4.3</v>
      </c>
    </row>
    <row r="897" spans="1:16" x14ac:dyDescent="0.3">
      <c r="A897" t="s">
        <v>1251</v>
      </c>
      <c r="B897" t="s">
        <v>514</v>
      </c>
      <c r="C897" t="s">
        <v>103</v>
      </c>
      <c r="D897">
        <v>61</v>
      </c>
      <c r="E897" t="s">
        <v>72</v>
      </c>
      <c r="F897" t="s">
        <v>29</v>
      </c>
      <c r="G897" t="s">
        <v>126</v>
      </c>
      <c r="H897">
        <v>4175</v>
      </c>
      <c r="I897">
        <v>3141</v>
      </c>
      <c r="J897">
        <v>1034</v>
      </c>
      <c r="K897" t="s">
        <v>31</v>
      </c>
      <c r="L897" t="s">
        <v>23</v>
      </c>
      <c r="M897">
        <v>1</v>
      </c>
      <c r="N897" t="s">
        <v>48</v>
      </c>
      <c r="O897" s="6">
        <f t="shared" ca="1" si="13"/>
        <v>45790</v>
      </c>
      <c r="P897">
        <v>4.2</v>
      </c>
    </row>
    <row r="898" spans="1:16" x14ac:dyDescent="0.3">
      <c r="A898" t="s">
        <v>1252</v>
      </c>
      <c r="B898" t="s">
        <v>516</v>
      </c>
      <c r="C898" t="s">
        <v>51</v>
      </c>
      <c r="D898">
        <v>55</v>
      </c>
      <c r="E898" t="s">
        <v>87</v>
      </c>
      <c r="F898" t="s">
        <v>67</v>
      </c>
      <c r="G898" t="s">
        <v>73</v>
      </c>
      <c r="H898">
        <v>1441</v>
      </c>
      <c r="I898">
        <v>707</v>
      </c>
      <c r="J898">
        <v>734</v>
      </c>
      <c r="K898" t="s">
        <v>68</v>
      </c>
      <c r="L898" t="s">
        <v>23</v>
      </c>
      <c r="M898">
        <v>5</v>
      </c>
      <c r="N898" t="s">
        <v>40</v>
      </c>
      <c r="O898" s="6">
        <f t="shared" ca="1" si="13"/>
        <v>45685</v>
      </c>
      <c r="P898">
        <v>1.3</v>
      </c>
    </row>
    <row r="899" spans="1:16" x14ac:dyDescent="0.3">
      <c r="A899" t="s">
        <v>1253</v>
      </c>
      <c r="B899" t="s">
        <v>899</v>
      </c>
      <c r="C899" t="s">
        <v>62</v>
      </c>
      <c r="D899">
        <v>40</v>
      </c>
      <c r="E899" t="s">
        <v>19</v>
      </c>
      <c r="F899" t="s">
        <v>29</v>
      </c>
      <c r="G899" t="s">
        <v>30</v>
      </c>
      <c r="H899">
        <v>8197</v>
      </c>
      <c r="I899">
        <v>6449</v>
      </c>
      <c r="J899">
        <v>1748</v>
      </c>
      <c r="K899" t="s">
        <v>22</v>
      </c>
      <c r="L899" t="s">
        <v>47</v>
      </c>
      <c r="M899">
        <v>11</v>
      </c>
      <c r="N899" t="s">
        <v>24</v>
      </c>
      <c r="O899" s="6">
        <f t="shared" ref="O899:O962" ca="1" si="14">RANDBETWEEN(DATE(2025,1,1),DATE(2025,12,31))</f>
        <v>45990</v>
      </c>
      <c r="P899">
        <v>4.2</v>
      </c>
    </row>
    <row r="900" spans="1:16" x14ac:dyDescent="0.3">
      <c r="A900" t="s">
        <v>1254</v>
      </c>
      <c r="B900" t="s">
        <v>450</v>
      </c>
      <c r="C900" t="s">
        <v>36</v>
      </c>
      <c r="D900">
        <v>61</v>
      </c>
      <c r="E900" t="s">
        <v>44</v>
      </c>
      <c r="F900" t="s">
        <v>98</v>
      </c>
      <c r="G900" t="s">
        <v>21</v>
      </c>
      <c r="H900">
        <v>6901</v>
      </c>
      <c r="I900">
        <v>4261</v>
      </c>
      <c r="J900">
        <v>2640</v>
      </c>
      <c r="K900" t="s">
        <v>59</v>
      </c>
      <c r="L900" t="s">
        <v>32</v>
      </c>
      <c r="M900">
        <v>3</v>
      </c>
      <c r="N900" t="s">
        <v>116</v>
      </c>
      <c r="O900" s="6">
        <f t="shared" ca="1" si="14"/>
        <v>45904</v>
      </c>
      <c r="P900">
        <v>5</v>
      </c>
    </row>
    <row r="901" spans="1:16" x14ac:dyDescent="0.3">
      <c r="A901" t="s">
        <v>1255</v>
      </c>
      <c r="B901" t="s">
        <v>893</v>
      </c>
      <c r="C901" t="s">
        <v>56</v>
      </c>
      <c r="D901">
        <v>44</v>
      </c>
      <c r="E901" t="s">
        <v>19</v>
      </c>
      <c r="F901" t="s">
        <v>64</v>
      </c>
      <c r="G901" t="s">
        <v>21</v>
      </c>
      <c r="H901">
        <v>4811</v>
      </c>
      <c r="I901">
        <v>4522</v>
      </c>
      <c r="J901">
        <v>289</v>
      </c>
      <c r="K901" t="s">
        <v>88</v>
      </c>
      <c r="L901" t="s">
        <v>23</v>
      </c>
      <c r="M901">
        <v>8</v>
      </c>
      <c r="N901" t="s">
        <v>53</v>
      </c>
      <c r="O901" s="6">
        <f t="shared" ca="1" si="14"/>
        <v>45814</v>
      </c>
      <c r="P901">
        <v>4.2</v>
      </c>
    </row>
    <row r="902" spans="1:16" x14ac:dyDescent="0.3">
      <c r="A902" t="s">
        <v>1256</v>
      </c>
      <c r="B902" t="s">
        <v>601</v>
      </c>
      <c r="C902" t="s">
        <v>43</v>
      </c>
      <c r="D902">
        <v>61</v>
      </c>
      <c r="E902" t="s">
        <v>63</v>
      </c>
      <c r="F902" t="s">
        <v>20</v>
      </c>
      <c r="G902" t="s">
        <v>126</v>
      </c>
      <c r="H902">
        <v>3188</v>
      </c>
      <c r="I902">
        <v>2947</v>
      </c>
      <c r="J902">
        <v>241</v>
      </c>
      <c r="K902" t="s">
        <v>31</v>
      </c>
      <c r="L902" t="s">
        <v>23</v>
      </c>
      <c r="M902">
        <v>5</v>
      </c>
      <c r="N902" t="s">
        <v>40</v>
      </c>
      <c r="O902" s="6">
        <f t="shared" ca="1" si="14"/>
        <v>45882</v>
      </c>
      <c r="P902">
        <v>2.5</v>
      </c>
    </row>
    <row r="903" spans="1:16" x14ac:dyDescent="0.3">
      <c r="A903" t="s">
        <v>1257</v>
      </c>
      <c r="B903" t="s">
        <v>378</v>
      </c>
      <c r="C903" t="s">
        <v>43</v>
      </c>
      <c r="D903">
        <v>43</v>
      </c>
      <c r="E903" t="s">
        <v>63</v>
      </c>
      <c r="F903" t="s">
        <v>67</v>
      </c>
      <c r="G903" t="s">
        <v>79</v>
      </c>
      <c r="H903">
        <v>5196</v>
      </c>
      <c r="I903">
        <v>4976</v>
      </c>
      <c r="J903">
        <v>220</v>
      </c>
      <c r="K903" t="s">
        <v>59</v>
      </c>
      <c r="L903" t="s">
        <v>32</v>
      </c>
      <c r="M903">
        <v>12</v>
      </c>
      <c r="N903" t="s">
        <v>116</v>
      </c>
      <c r="O903" s="6">
        <f t="shared" ca="1" si="14"/>
        <v>45694</v>
      </c>
      <c r="P903">
        <v>4.9000000000000004</v>
      </c>
    </row>
    <row r="904" spans="1:16" x14ac:dyDescent="0.3">
      <c r="A904" t="s">
        <v>1258</v>
      </c>
      <c r="B904" t="s">
        <v>21</v>
      </c>
      <c r="C904" t="s">
        <v>27</v>
      </c>
      <c r="D904">
        <v>22</v>
      </c>
      <c r="E904" t="s">
        <v>82</v>
      </c>
      <c r="F904" t="s">
        <v>29</v>
      </c>
      <c r="G904" t="s">
        <v>126</v>
      </c>
      <c r="H904">
        <v>3965</v>
      </c>
      <c r="I904">
        <v>2271</v>
      </c>
      <c r="J904">
        <v>1694</v>
      </c>
      <c r="K904" t="s">
        <v>59</v>
      </c>
      <c r="L904" t="s">
        <v>47</v>
      </c>
      <c r="M904">
        <v>4</v>
      </c>
      <c r="N904" t="s">
        <v>24</v>
      </c>
      <c r="O904" s="6">
        <f t="shared" ca="1" si="14"/>
        <v>45938</v>
      </c>
      <c r="P904">
        <v>3.7</v>
      </c>
    </row>
    <row r="905" spans="1:16" x14ac:dyDescent="0.3">
      <c r="A905" t="s">
        <v>1259</v>
      </c>
      <c r="B905" t="s">
        <v>1104</v>
      </c>
      <c r="C905" t="s">
        <v>129</v>
      </c>
      <c r="D905">
        <v>38</v>
      </c>
      <c r="E905" t="s">
        <v>72</v>
      </c>
      <c r="F905" t="s">
        <v>91</v>
      </c>
      <c r="G905" t="s">
        <v>30</v>
      </c>
      <c r="H905">
        <v>2880</v>
      </c>
      <c r="I905">
        <v>1253</v>
      </c>
      <c r="J905">
        <v>1627</v>
      </c>
      <c r="K905" t="s">
        <v>88</v>
      </c>
      <c r="L905" t="s">
        <v>32</v>
      </c>
      <c r="M905">
        <v>11</v>
      </c>
      <c r="N905" t="s">
        <v>116</v>
      </c>
      <c r="O905" s="6">
        <f t="shared" ca="1" si="14"/>
        <v>45766</v>
      </c>
      <c r="P905">
        <v>3.5</v>
      </c>
    </row>
    <row r="906" spans="1:16" x14ac:dyDescent="0.3">
      <c r="A906" t="s">
        <v>1260</v>
      </c>
      <c r="B906" t="s">
        <v>800</v>
      </c>
      <c r="C906" t="s">
        <v>103</v>
      </c>
      <c r="D906">
        <v>33</v>
      </c>
      <c r="E906" t="s">
        <v>72</v>
      </c>
      <c r="F906" t="s">
        <v>20</v>
      </c>
      <c r="G906" t="s">
        <v>30</v>
      </c>
      <c r="H906">
        <v>7479</v>
      </c>
      <c r="I906">
        <v>6128</v>
      </c>
      <c r="J906">
        <v>1351</v>
      </c>
      <c r="K906" t="s">
        <v>31</v>
      </c>
      <c r="L906" t="s">
        <v>32</v>
      </c>
      <c r="M906">
        <v>0</v>
      </c>
      <c r="N906" t="s">
        <v>40</v>
      </c>
      <c r="O906" s="6">
        <f t="shared" ca="1" si="14"/>
        <v>45678</v>
      </c>
      <c r="P906">
        <v>2.1</v>
      </c>
    </row>
    <row r="907" spans="1:16" x14ac:dyDescent="0.3">
      <c r="A907" t="s">
        <v>1261</v>
      </c>
      <c r="B907" t="s">
        <v>489</v>
      </c>
      <c r="C907" t="s">
        <v>62</v>
      </c>
      <c r="D907">
        <v>52</v>
      </c>
      <c r="E907" t="s">
        <v>37</v>
      </c>
      <c r="F907" t="s">
        <v>91</v>
      </c>
      <c r="G907" t="s">
        <v>73</v>
      </c>
      <c r="H907">
        <v>6697</v>
      </c>
      <c r="I907">
        <v>5385</v>
      </c>
      <c r="J907">
        <v>1312</v>
      </c>
      <c r="K907" t="s">
        <v>88</v>
      </c>
      <c r="L907" t="s">
        <v>23</v>
      </c>
      <c r="M907">
        <v>10</v>
      </c>
      <c r="N907" t="s">
        <v>53</v>
      </c>
      <c r="O907" s="6">
        <f t="shared" ca="1" si="14"/>
        <v>45945</v>
      </c>
      <c r="P907">
        <v>3.9</v>
      </c>
    </row>
    <row r="908" spans="1:16" x14ac:dyDescent="0.3">
      <c r="A908" t="s">
        <v>1262</v>
      </c>
      <c r="B908" t="s">
        <v>354</v>
      </c>
      <c r="C908" t="s">
        <v>51</v>
      </c>
      <c r="D908">
        <v>43</v>
      </c>
      <c r="E908" t="s">
        <v>57</v>
      </c>
      <c r="F908" t="s">
        <v>98</v>
      </c>
      <c r="G908" t="s">
        <v>104</v>
      </c>
      <c r="H908">
        <v>2208</v>
      </c>
      <c r="I908">
        <v>1870</v>
      </c>
      <c r="J908">
        <v>338</v>
      </c>
      <c r="K908" t="s">
        <v>88</v>
      </c>
      <c r="L908" t="s">
        <v>23</v>
      </c>
      <c r="M908">
        <v>2</v>
      </c>
      <c r="N908" t="s">
        <v>40</v>
      </c>
      <c r="O908" s="6">
        <f t="shared" ca="1" si="14"/>
        <v>45720</v>
      </c>
      <c r="P908">
        <v>1.2</v>
      </c>
    </row>
    <row r="909" spans="1:16" x14ac:dyDescent="0.3">
      <c r="A909" t="s">
        <v>1263</v>
      </c>
      <c r="B909" t="s">
        <v>123</v>
      </c>
      <c r="C909" t="s">
        <v>27</v>
      </c>
      <c r="D909">
        <v>43</v>
      </c>
      <c r="E909" t="s">
        <v>37</v>
      </c>
      <c r="F909" t="s">
        <v>136</v>
      </c>
      <c r="G909" t="s">
        <v>21</v>
      </c>
      <c r="H909">
        <v>3494</v>
      </c>
      <c r="I909">
        <v>1973</v>
      </c>
      <c r="J909">
        <v>1521</v>
      </c>
      <c r="K909" t="s">
        <v>22</v>
      </c>
      <c r="L909" t="s">
        <v>47</v>
      </c>
      <c r="M909">
        <v>3</v>
      </c>
      <c r="N909" t="s">
        <v>95</v>
      </c>
      <c r="O909" s="6">
        <f t="shared" ca="1" si="14"/>
        <v>45807</v>
      </c>
      <c r="P909">
        <v>3.7</v>
      </c>
    </row>
    <row r="910" spans="1:16" x14ac:dyDescent="0.3">
      <c r="A910" t="s">
        <v>1264</v>
      </c>
      <c r="B910" t="s">
        <v>495</v>
      </c>
      <c r="C910" t="s">
        <v>43</v>
      </c>
      <c r="D910">
        <v>44</v>
      </c>
      <c r="E910" t="s">
        <v>78</v>
      </c>
      <c r="F910" t="s">
        <v>38</v>
      </c>
      <c r="G910" t="s">
        <v>21</v>
      </c>
      <c r="H910">
        <v>2082</v>
      </c>
      <c r="I910">
        <v>578</v>
      </c>
      <c r="J910">
        <v>1504</v>
      </c>
      <c r="K910" t="s">
        <v>88</v>
      </c>
      <c r="L910" t="s">
        <v>32</v>
      </c>
      <c r="M910">
        <v>12</v>
      </c>
      <c r="N910" t="s">
        <v>95</v>
      </c>
      <c r="O910" s="6">
        <f t="shared" ca="1" si="14"/>
        <v>45694</v>
      </c>
      <c r="P910">
        <v>4.5</v>
      </c>
    </row>
    <row r="911" spans="1:16" x14ac:dyDescent="0.3">
      <c r="A911" t="s">
        <v>1265</v>
      </c>
      <c r="B911" t="s">
        <v>514</v>
      </c>
      <c r="C911" t="s">
        <v>43</v>
      </c>
      <c r="D911">
        <v>35</v>
      </c>
      <c r="E911" t="s">
        <v>82</v>
      </c>
      <c r="F911" t="s">
        <v>98</v>
      </c>
      <c r="G911" t="s">
        <v>73</v>
      </c>
      <c r="H911">
        <v>5487</v>
      </c>
      <c r="I911">
        <v>2823</v>
      </c>
      <c r="J911">
        <v>2664</v>
      </c>
      <c r="K911" t="s">
        <v>68</v>
      </c>
      <c r="L911" t="s">
        <v>47</v>
      </c>
      <c r="M911">
        <v>4</v>
      </c>
      <c r="N911" t="s">
        <v>53</v>
      </c>
      <c r="O911" s="6">
        <f t="shared" ca="1" si="14"/>
        <v>45749</v>
      </c>
      <c r="P911">
        <v>4.8</v>
      </c>
    </row>
    <row r="912" spans="1:16" x14ac:dyDescent="0.3">
      <c r="A912" t="s">
        <v>1266</v>
      </c>
      <c r="B912" t="s">
        <v>647</v>
      </c>
      <c r="C912" t="s">
        <v>77</v>
      </c>
      <c r="D912">
        <v>57</v>
      </c>
      <c r="E912" t="s">
        <v>37</v>
      </c>
      <c r="F912" t="s">
        <v>64</v>
      </c>
      <c r="G912" t="s">
        <v>58</v>
      </c>
      <c r="H912">
        <v>4133</v>
      </c>
      <c r="I912">
        <v>3122</v>
      </c>
      <c r="J912">
        <v>1011</v>
      </c>
      <c r="K912" t="s">
        <v>22</v>
      </c>
      <c r="L912" t="s">
        <v>47</v>
      </c>
      <c r="M912">
        <v>13</v>
      </c>
      <c r="N912" t="s">
        <v>69</v>
      </c>
      <c r="O912" s="6">
        <f t="shared" ca="1" si="14"/>
        <v>45898</v>
      </c>
      <c r="P912">
        <v>4.3</v>
      </c>
    </row>
    <row r="913" spans="1:16" x14ac:dyDescent="0.3">
      <c r="A913" t="s">
        <v>1267</v>
      </c>
      <c r="B913" t="s">
        <v>572</v>
      </c>
      <c r="C913" t="s">
        <v>77</v>
      </c>
      <c r="D913">
        <v>28</v>
      </c>
      <c r="E913" t="s">
        <v>63</v>
      </c>
      <c r="F913" t="s">
        <v>20</v>
      </c>
      <c r="G913" t="s">
        <v>79</v>
      </c>
      <c r="H913">
        <v>5798</v>
      </c>
      <c r="I913">
        <v>3177</v>
      </c>
      <c r="J913">
        <v>2621</v>
      </c>
      <c r="K913" t="s">
        <v>22</v>
      </c>
      <c r="L913" t="s">
        <v>32</v>
      </c>
      <c r="M913">
        <v>10</v>
      </c>
      <c r="N913" t="s">
        <v>24</v>
      </c>
      <c r="O913" s="6">
        <f t="shared" ca="1" si="14"/>
        <v>45976</v>
      </c>
      <c r="P913">
        <v>4.0999999999999996</v>
      </c>
    </row>
    <row r="914" spans="1:16" x14ac:dyDescent="0.3">
      <c r="A914" t="s">
        <v>1268</v>
      </c>
      <c r="B914" t="s">
        <v>540</v>
      </c>
      <c r="C914" t="s">
        <v>56</v>
      </c>
      <c r="D914">
        <v>39</v>
      </c>
      <c r="E914" t="s">
        <v>78</v>
      </c>
      <c r="F914" t="s">
        <v>64</v>
      </c>
      <c r="G914" t="s">
        <v>46</v>
      </c>
      <c r="H914">
        <v>7230</v>
      </c>
      <c r="I914">
        <v>4870</v>
      </c>
      <c r="J914">
        <v>2360</v>
      </c>
      <c r="K914" t="s">
        <v>88</v>
      </c>
      <c r="L914" t="s">
        <v>32</v>
      </c>
      <c r="M914">
        <v>11</v>
      </c>
      <c r="N914" t="s">
        <v>24</v>
      </c>
      <c r="O914" s="6">
        <f t="shared" ca="1" si="14"/>
        <v>46022</v>
      </c>
      <c r="P914">
        <v>4.7</v>
      </c>
    </row>
    <row r="915" spans="1:16" x14ac:dyDescent="0.3">
      <c r="A915" t="s">
        <v>1269</v>
      </c>
      <c r="B915" t="s">
        <v>189</v>
      </c>
      <c r="C915" t="s">
        <v>103</v>
      </c>
      <c r="D915">
        <v>40</v>
      </c>
      <c r="E915" t="s">
        <v>72</v>
      </c>
      <c r="F915" t="s">
        <v>38</v>
      </c>
      <c r="G915" t="s">
        <v>58</v>
      </c>
      <c r="H915">
        <v>4305</v>
      </c>
      <c r="I915">
        <v>3779</v>
      </c>
      <c r="J915">
        <v>526</v>
      </c>
      <c r="K915" t="s">
        <v>22</v>
      </c>
      <c r="L915" t="s">
        <v>32</v>
      </c>
      <c r="M915">
        <v>6</v>
      </c>
      <c r="N915" t="s">
        <v>69</v>
      </c>
      <c r="O915" s="6">
        <f t="shared" ca="1" si="14"/>
        <v>45762</v>
      </c>
      <c r="P915">
        <v>4.7</v>
      </c>
    </row>
    <row r="916" spans="1:16" x14ac:dyDescent="0.3">
      <c r="A916" t="s">
        <v>1270</v>
      </c>
      <c r="B916" t="s">
        <v>55</v>
      </c>
      <c r="C916" t="s">
        <v>56</v>
      </c>
      <c r="D916">
        <v>52</v>
      </c>
      <c r="E916" t="s">
        <v>87</v>
      </c>
      <c r="F916" t="s">
        <v>38</v>
      </c>
      <c r="G916" t="s">
        <v>79</v>
      </c>
      <c r="H916">
        <v>1660</v>
      </c>
      <c r="I916">
        <v>1341</v>
      </c>
      <c r="J916">
        <v>319</v>
      </c>
      <c r="K916" t="s">
        <v>22</v>
      </c>
      <c r="L916" t="s">
        <v>23</v>
      </c>
      <c r="M916">
        <v>14</v>
      </c>
      <c r="N916" t="s">
        <v>24</v>
      </c>
      <c r="O916" s="6">
        <f t="shared" ca="1" si="14"/>
        <v>45724</v>
      </c>
      <c r="P916">
        <v>3.3</v>
      </c>
    </row>
    <row r="917" spans="1:16" x14ac:dyDescent="0.3">
      <c r="A917" t="s">
        <v>1271</v>
      </c>
      <c r="B917" t="s">
        <v>868</v>
      </c>
      <c r="C917" t="s">
        <v>103</v>
      </c>
      <c r="D917">
        <v>35</v>
      </c>
      <c r="E917" t="s">
        <v>78</v>
      </c>
      <c r="F917" t="s">
        <v>98</v>
      </c>
      <c r="G917" t="s">
        <v>30</v>
      </c>
      <c r="H917">
        <v>8141</v>
      </c>
      <c r="I917">
        <v>6431</v>
      </c>
      <c r="J917">
        <v>1710</v>
      </c>
      <c r="K917" t="s">
        <v>22</v>
      </c>
      <c r="L917" t="s">
        <v>47</v>
      </c>
      <c r="M917">
        <v>9</v>
      </c>
      <c r="N917" t="s">
        <v>24</v>
      </c>
      <c r="O917" s="6">
        <f t="shared" ca="1" si="14"/>
        <v>45678</v>
      </c>
      <c r="P917">
        <v>3.7</v>
      </c>
    </row>
    <row r="918" spans="1:16" x14ac:dyDescent="0.3">
      <c r="A918" t="s">
        <v>1272</v>
      </c>
      <c r="B918" t="s">
        <v>1273</v>
      </c>
      <c r="C918" t="s">
        <v>36</v>
      </c>
      <c r="D918">
        <v>28</v>
      </c>
      <c r="E918" t="s">
        <v>28</v>
      </c>
      <c r="F918" t="s">
        <v>45</v>
      </c>
      <c r="G918" t="s">
        <v>21</v>
      </c>
      <c r="H918">
        <v>4208</v>
      </c>
      <c r="I918">
        <v>2660</v>
      </c>
      <c r="J918">
        <v>1548</v>
      </c>
      <c r="K918" t="s">
        <v>59</v>
      </c>
      <c r="L918" t="s">
        <v>32</v>
      </c>
      <c r="M918">
        <v>13</v>
      </c>
      <c r="N918" t="s">
        <v>48</v>
      </c>
      <c r="O918" s="6">
        <f t="shared" ca="1" si="14"/>
        <v>45881</v>
      </c>
      <c r="P918">
        <v>4.7</v>
      </c>
    </row>
    <row r="919" spans="1:16" x14ac:dyDescent="0.3">
      <c r="A919" t="s">
        <v>1274</v>
      </c>
      <c r="B919" t="s">
        <v>683</v>
      </c>
      <c r="C919" t="s">
        <v>56</v>
      </c>
      <c r="D919">
        <v>28</v>
      </c>
      <c r="E919" t="s">
        <v>78</v>
      </c>
      <c r="F919" t="s">
        <v>38</v>
      </c>
      <c r="G919" t="s">
        <v>126</v>
      </c>
      <c r="H919">
        <v>9260</v>
      </c>
      <c r="I919">
        <v>6668</v>
      </c>
      <c r="J919">
        <v>2592</v>
      </c>
      <c r="K919" t="s">
        <v>88</v>
      </c>
      <c r="L919" t="s">
        <v>23</v>
      </c>
      <c r="M919">
        <v>3</v>
      </c>
      <c r="N919" t="s">
        <v>40</v>
      </c>
      <c r="O919" s="6">
        <f t="shared" ca="1" si="14"/>
        <v>45857</v>
      </c>
      <c r="P919">
        <v>1.4</v>
      </c>
    </row>
    <row r="920" spans="1:16" x14ac:dyDescent="0.3">
      <c r="A920" t="s">
        <v>1275</v>
      </c>
      <c r="B920" t="s">
        <v>850</v>
      </c>
      <c r="C920" t="s">
        <v>27</v>
      </c>
      <c r="D920">
        <v>36</v>
      </c>
      <c r="E920" t="s">
        <v>44</v>
      </c>
      <c r="F920" t="s">
        <v>91</v>
      </c>
      <c r="G920" t="s">
        <v>104</v>
      </c>
      <c r="H920">
        <v>4316</v>
      </c>
      <c r="I920">
        <v>2798</v>
      </c>
      <c r="J920">
        <v>1518</v>
      </c>
      <c r="K920" t="s">
        <v>68</v>
      </c>
      <c r="L920" t="s">
        <v>32</v>
      </c>
      <c r="M920">
        <v>8</v>
      </c>
      <c r="N920" t="s">
        <v>33</v>
      </c>
      <c r="O920" s="6">
        <f t="shared" ca="1" si="14"/>
        <v>45863</v>
      </c>
      <c r="P920">
        <v>4.9000000000000004</v>
      </c>
    </row>
    <row r="921" spans="1:16" x14ac:dyDescent="0.3">
      <c r="A921" t="s">
        <v>1276</v>
      </c>
      <c r="B921" t="s">
        <v>396</v>
      </c>
      <c r="C921" t="s">
        <v>77</v>
      </c>
      <c r="D921">
        <v>43</v>
      </c>
      <c r="E921" t="s">
        <v>82</v>
      </c>
      <c r="F921" t="s">
        <v>52</v>
      </c>
      <c r="G921" t="s">
        <v>30</v>
      </c>
      <c r="H921">
        <v>6712</v>
      </c>
      <c r="I921">
        <v>6193</v>
      </c>
      <c r="J921">
        <v>519</v>
      </c>
      <c r="K921" t="s">
        <v>22</v>
      </c>
      <c r="L921" t="s">
        <v>23</v>
      </c>
      <c r="M921">
        <v>8</v>
      </c>
      <c r="N921" t="s">
        <v>24</v>
      </c>
      <c r="O921" s="6">
        <f t="shared" ca="1" si="14"/>
        <v>45734</v>
      </c>
      <c r="P921">
        <v>4.8</v>
      </c>
    </row>
    <row r="922" spans="1:16" x14ac:dyDescent="0.3">
      <c r="A922" t="s">
        <v>1277</v>
      </c>
      <c r="B922" t="s">
        <v>444</v>
      </c>
      <c r="C922" t="s">
        <v>103</v>
      </c>
      <c r="D922">
        <v>33</v>
      </c>
      <c r="E922" t="s">
        <v>63</v>
      </c>
      <c r="F922" t="s">
        <v>98</v>
      </c>
      <c r="G922" t="s">
        <v>58</v>
      </c>
      <c r="H922">
        <v>4827</v>
      </c>
      <c r="I922">
        <v>2209</v>
      </c>
      <c r="J922">
        <v>2618</v>
      </c>
      <c r="K922" t="s">
        <v>88</v>
      </c>
      <c r="L922" t="s">
        <v>23</v>
      </c>
      <c r="M922">
        <v>9</v>
      </c>
      <c r="N922" t="s">
        <v>95</v>
      </c>
      <c r="O922" s="6">
        <f t="shared" ca="1" si="14"/>
        <v>45810</v>
      </c>
      <c r="P922">
        <v>3.6</v>
      </c>
    </row>
    <row r="923" spans="1:16" x14ac:dyDescent="0.3">
      <c r="A923" t="s">
        <v>1278</v>
      </c>
      <c r="B923" t="s">
        <v>164</v>
      </c>
      <c r="C923" t="s">
        <v>27</v>
      </c>
      <c r="D923">
        <v>27</v>
      </c>
      <c r="E923" t="s">
        <v>78</v>
      </c>
      <c r="F923" t="s">
        <v>52</v>
      </c>
      <c r="G923" t="s">
        <v>58</v>
      </c>
      <c r="H923">
        <v>5711</v>
      </c>
      <c r="I923">
        <v>3658</v>
      </c>
      <c r="J923">
        <v>2053</v>
      </c>
      <c r="K923" t="s">
        <v>88</v>
      </c>
      <c r="L923" t="s">
        <v>47</v>
      </c>
      <c r="M923">
        <v>4</v>
      </c>
      <c r="N923" t="s">
        <v>40</v>
      </c>
      <c r="O923" s="6">
        <f t="shared" ca="1" si="14"/>
        <v>45995</v>
      </c>
      <c r="P923">
        <v>1.6</v>
      </c>
    </row>
    <row r="924" spans="1:16" x14ac:dyDescent="0.3">
      <c r="A924" t="s">
        <v>1279</v>
      </c>
      <c r="B924" t="s">
        <v>334</v>
      </c>
      <c r="C924" t="s">
        <v>18</v>
      </c>
      <c r="D924">
        <v>48</v>
      </c>
      <c r="E924" t="s">
        <v>78</v>
      </c>
      <c r="F924" t="s">
        <v>45</v>
      </c>
      <c r="G924" t="s">
        <v>79</v>
      </c>
      <c r="H924">
        <v>6429</v>
      </c>
      <c r="I924">
        <v>5811</v>
      </c>
      <c r="J924">
        <v>618</v>
      </c>
      <c r="K924" t="s">
        <v>59</v>
      </c>
      <c r="L924" t="s">
        <v>32</v>
      </c>
      <c r="M924">
        <v>15</v>
      </c>
      <c r="N924" t="s">
        <v>53</v>
      </c>
      <c r="O924" s="6">
        <f t="shared" ca="1" si="14"/>
        <v>45922</v>
      </c>
      <c r="P924">
        <v>4.8</v>
      </c>
    </row>
    <row r="925" spans="1:16" x14ac:dyDescent="0.3">
      <c r="A925" t="s">
        <v>1280</v>
      </c>
      <c r="B925" t="s">
        <v>969</v>
      </c>
      <c r="C925" t="s">
        <v>56</v>
      </c>
      <c r="D925">
        <v>32</v>
      </c>
      <c r="E925" t="s">
        <v>72</v>
      </c>
      <c r="F925" t="s">
        <v>136</v>
      </c>
      <c r="G925" t="s">
        <v>104</v>
      </c>
      <c r="H925">
        <v>8296</v>
      </c>
      <c r="I925">
        <v>5922</v>
      </c>
      <c r="J925">
        <v>2374</v>
      </c>
      <c r="K925" t="s">
        <v>22</v>
      </c>
      <c r="L925" t="s">
        <v>47</v>
      </c>
      <c r="M925">
        <v>5</v>
      </c>
      <c r="N925" t="s">
        <v>53</v>
      </c>
      <c r="O925" s="6">
        <f t="shared" ca="1" si="14"/>
        <v>46012</v>
      </c>
      <c r="P925">
        <v>3.4</v>
      </c>
    </row>
    <row r="926" spans="1:16" x14ac:dyDescent="0.3">
      <c r="A926" t="s">
        <v>1281</v>
      </c>
      <c r="B926" t="s">
        <v>426</v>
      </c>
      <c r="C926" t="s">
        <v>62</v>
      </c>
      <c r="D926">
        <v>30</v>
      </c>
      <c r="E926" t="s">
        <v>37</v>
      </c>
      <c r="F926" t="s">
        <v>29</v>
      </c>
      <c r="G926" t="s">
        <v>73</v>
      </c>
      <c r="H926">
        <v>6226</v>
      </c>
      <c r="I926">
        <v>4660</v>
      </c>
      <c r="J926">
        <v>1566</v>
      </c>
      <c r="K926" t="s">
        <v>22</v>
      </c>
      <c r="L926" t="s">
        <v>23</v>
      </c>
      <c r="M926">
        <v>5</v>
      </c>
      <c r="N926" t="s">
        <v>95</v>
      </c>
      <c r="O926" s="6">
        <f t="shared" ca="1" si="14"/>
        <v>45677</v>
      </c>
      <c r="P926">
        <v>3.9</v>
      </c>
    </row>
    <row r="927" spans="1:16" x14ac:dyDescent="0.3">
      <c r="A927" t="s">
        <v>1282</v>
      </c>
      <c r="B927" t="s">
        <v>172</v>
      </c>
      <c r="C927" t="s">
        <v>103</v>
      </c>
      <c r="D927">
        <v>33</v>
      </c>
      <c r="E927" t="s">
        <v>72</v>
      </c>
      <c r="F927" t="s">
        <v>52</v>
      </c>
      <c r="G927" t="s">
        <v>73</v>
      </c>
      <c r="H927">
        <v>4580</v>
      </c>
      <c r="I927">
        <v>1947</v>
      </c>
      <c r="J927">
        <v>2633</v>
      </c>
      <c r="K927" t="s">
        <v>88</v>
      </c>
      <c r="L927" t="s">
        <v>32</v>
      </c>
      <c r="M927">
        <v>10</v>
      </c>
      <c r="N927" t="s">
        <v>69</v>
      </c>
      <c r="O927" s="6">
        <f t="shared" ca="1" si="14"/>
        <v>45690</v>
      </c>
      <c r="P927">
        <v>3.5</v>
      </c>
    </row>
    <row r="928" spans="1:16" x14ac:dyDescent="0.3">
      <c r="A928" t="s">
        <v>1283</v>
      </c>
      <c r="B928" t="s">
        <v>102</v>
      </c>
      <c r="C928" t="s">
        <v>36</v>
      </c>
      <c r="D928">
        <v>62</v>
      </c>
      <c r="E928" t="s">
        <v>19</v>
      </c>
      <c r="F928" t="s">
        <v>98</v>
      </c>
      <c r="G928" t="s">
        <v>30</v>
      </c>
      <c r="H928">
        <v>1860</v>
      </c>
      <c r="I928">
        <v>1443</v>
      </c>
      <c r="J928">
        <v>417</v>
      </c>
      <c r="K928" t="s">
        <v>59</v>
      </c>
      <c r="L928" t="s">
        <v>32</v>
      </c>
      <c r="M928">
        <v>4</v>
      </c>
      <c r="N928" t="s">
        <v>40</v>
      </c>
      <c r="O928" s="6">
        <f t="shared" ca="1" si="14"/>
        <v>45674</v>
      </c>
      <c r="P928">
        <v>2.2000000000000002</v>
      </c>
    </row>
    <row r="929" spans="1:16" x14ac:dyDescent="0.3">
      <c r="A929" t="s">
        <v>1284</v>
      </c>
      <c r="B929" t="s">
        <v>336</v>
      </c>
      <c r="C929" t="s">
        <v>77</v>
      </c>
      <c r="D929">
        <v>38</v>
      </c>
      <c r="E929" t="s">
        <v>19</v>
      </c>
      <c r="F929" t="s">
        <v>67</v>
      </c>
      <c r="G929" t="s">
        <v>73</v>
      </c>
      <c r="H929">
        <v>5519</v>
      </c>
      <c r="I929">
        <v>3710</v>
      </c>
      <c r="J929">
        <v>1809</v>
      </c>
      <c r="K929" t="s">
        <v>59</v>
      </c>
      <c r="L929" t="s">
        <v>23</v>
      </c>
      <c r="M929">
        <v>12</v>
      </c>
      <c r="N929" t="s">
        <v>116</v>
      </c>
      <c r="O929" s="6">
        <f t="shared" ca="1" si="14"/>
        <v>45822</v>
      </c>
      <c r="P929">
        <v>5</v>
      </c>
    </row>
    <row r="930" spans="1:16" x14ac:dyDescent="0.3">
      <c r="A930" t="s">
        <v>1285</v>
      </c>
      <c r="B930" t="s">
        <v>153</v>
      </c>
      <c r="C930" t="s">
        <v>62</v>
      </c>
      <c r="D930">
        <v>43</v>
      </c>
      <c r="E930" t="s">
        <v>72</v>
      </c>
      <c r="F930" t="s">
        <v>67</v>
      </c>
      <c r="G930" t="s">
        <v>39</v>
      </c>
      <c r="H930">
        <v>6723</v>
      </c>
      <c r="I930">
        <v>6511</v>
      </c>
      <c r="J930">
        <v>212</v>
      </c>
      <c r="K930" t="s">
        <v>68</v>
      </c>
      <c r="L930" t="s">
        <v>23</v>
      </c>
      <c r="M930">
        <v>9</v>
      </c>
      <c r="N930" t="s">
        <v>118</v>
      </c>
      <c r="O930" s="6">
        <f t="shared" ca="1" si="14"/>
        <v>45989</v>
      </c>
      <c r="P930">
        <v>4.5999999999999996</v>
      </c>
    </row>
    <row r="931" spans="1:16" x14ac:dyDescent="0.3">
      <c r="A931" t="s">
        <v>1286</v>
      </c>
      <c r="B931" t="s">
        <v>728</v>
      </c>
      <c r="C931" t="s">
        <v>43</v>
      </c>
      <c r="D931">
        <v>64</v>
      </c>
      <c r="E931" t="s">
        <v>87</v>
      </c>
      <c r="F931" t="s">
        <v>20</v>
      </c>
      <c r="G931" t="s">
        <v>126</v>
      </c>
      <c r="H931">
        <v>5285</v>
      </c>
      <c r="I931">
        <v>3221</v>
      </c>
      <c r="J931">
        <v>2064</v>
      </c>
      <c r="K931" t="s">
        <v>68</v>
      </c>
      <c r="L931" t="s">
        <v>32</v>
      </c>
      <c r="M931">
        <v>1</v>
      </c>
      <c r="N931" t="s">
        <v>69</v>
      </c>
      <c r="O931" s="6">
        <f t="shared" ca="1" si="14"/>
        <v>45886</v>
      </c>
      <c r="P931">
        <v>4.9000000000000004</v>
      </c>
    </row>
    <row r="932" spans="1:16" x14ac:dyDescent="0.3">
      <c r="A932" t="s">
        <v>1287</v>
      </c>
      <c r="B932" t="s">
        <v>1240</v>
      </c>
      <c r="C932" t="s">
        <v>18</v>
      </c>
      <c r="D932">
        <v>25</v>
      </c>
      <c r="E932" t="s">
        <v>78</v>
      </c>
      <c r="F932" t="s">
        <v>136</v>
      </c>
      <c r="G932" t="s">
        <v>79</v>
      </c>
      <c r="H932">
        <v>5524</v>
      </c>
      <c r="I932">
        <v>3384</v>
      </c>
      <c r="J932">
        <v>2140</v>
      </c>
      <c r="K932" t="s">
        <v>22</v>
      </c>
      <c r="L932" t="s">
        <v>32</v>
      </c>
      <c r="M932">
        <v>8</v>
      </c>
      <c r="N932" t="s">
        <v>33</v>
      </c>
      <c r="O932" s="6">
        <f t="shared" ca="1" si="14"/>
        <v>45898</v>
      </c>
      <c r="P932">
        <v>4</v>
      </c>
    </row>
    <row r="933" spans="1:16" x14ac:dyDescent="0.3">
      <c r="A933" t="s">
        <v>1288</v>
      </c>
      <c r="B933" t="s">
        <v>76</v>
      </c>
      <c r="C933" t="s">
        <v>36</v>
      </c>
      <c r="D933">
        <v>57</v>
      </c>
      <c r="E933" t="s">
        <v>72</v>
      </c>
      <c r="F933" t="s">
        <v>52</v>
      </c>
      <c r="G933" t="s">
        <v>92</v>
      </c>
      <c r="H933">
        <v>5506</v>
      </c>
      <c r="I933">
        <v>4621</v>
      </c>
      <c r="J933">
        <v>885</v>
      </c>
      <c r="K933" t="s">
        <v>68</v>
      </c>
      <c r="L933" t="s">
        <v>23</v>
      </c>
      <c r="M933">
        <v>13</v>
      </c>
      <c r="N933" t="s">
        <v>53</v>
      </c>
      <c r="O933" s="6">
        <f t="shared" ca="1" si="14"/>
        <v>45945</v>
      </c>
      <c r="P933">
        <v>3.2</v>
      </c>
    </row>
    <row r="934" spans="1:16" x14ac:dyDescent="0.3">
      <c r="A934" t="s">
        <v>1289</v>
      </c>
      <c r="B934" t="s">
        <v>814</v>
      </c>
      <c r="C934" t="s">
        <v>56</v>
      </c>
      <c r="D934">
        <v>43</v>
      </c>
      <c r="E934" t="s">
        <v>82</v>
      </c>
      <c r="F934" t="s">
        <v>45</v>
      </c>
      <c r="G934" t="s">
        <v>104</v>
      </c>
      <c r="H934">
        <v>4268</v>
      </c>
      <c r="I934">
        <v>2576</v>
      </c>
      <c r="J934">
        <v>1692</v>
      </c>
      <c r="K934" t="s">
        <v>68</v>
      </c>
      <c r="L934" t="s">
        <v>23</v>
      </c>
      <c r="M934">
        <v>14</v>
      </c>
      <c r="N934" t="s">
        <v>95</v>
      </c>
      <c r="O934" s="6">
        <f t="shared" ca="1" si="14"/>
        <v>45683</v>
      </c>
      <c r="P934">
        <v>4.2</v>
      </c>
    </row>
    <row r="935" spans="1:16" x14ac:dyDescent="0.3">
      <c r="A935" t="s">
        <v>1290</v>
      </c>
      <c r="B935" t="s">
        <v>1291</v>
      </c>
      <c r="C935" t="s">
        <v>51</v>
      </c>
      <c r="D935">
        <v>51</v>
      </c>
      <c r="E935" t="s">
        <v>87</v>
      </c>
      <c r="F935" t="s">
        <v>45</v>
      </c>
      <c r="G935" t="s">
        <v>92</v>
      </c>
      <c r="H935">
        <v>9285</v>
      </c>
      <c r="I935">
        <v>6465</v>
      </c>
      <c r="J935">
        <v>2820</v>
      </c>
      <c r="K935" t="s">
        <v>59</v>
      </c>
      <c r="L935" t="s">
        <v>32</v>
      </c>
      <c r="M935">
        <v>7</v>
      </c>
      <c r="N935" t="s">
        <v>33</v>
      </c>
      <c r="O935" s="6">
        <f t="shared" ca="1" si="14"/>
        <v>46021</v>
      </c>
      <c r="P935">
        <v>3.7</v>
      </c>
    </row>
    <row r="936" spans="1:16" x14ac:dyDescent="0.3">
      <c r="A936" t="s">
        <v>1292</v>
      </c>
      <c r="B936" t="s">
        <v>459</v>
      </c>
      <c r="C936" t="s">
        <v>36</v>
      </c>
      <c r="D936">
        <v>36</v>
      </c>
      <c r="E936" t="s">
        <v>44</v>
      </c>
      <c r="F936" t="s">
        <v>64</v>
      </c>
      <c r="G936" t="s">
        <v>58</v>
      </c>
      <c r="H936">
        <v>2755</v>
      </c>
      <c r="I936">
        <v>2190</v>
      </c>
      <c r="J936">
        <v>565</v>
      </c>
      <c r="K936" t="s">
        <v>31</v>
      </c>
      <c r="L936" t="s">
        <v>23</v>
      </c>
      <c r="M936">
        <v>7</v>
      </c>
      <c r="N936" t="s">
        <v>53</v>
      </c>
      <c r="O936" s="6">
        <f t="shared" ca="1" si="14"/>
        <v>45770</v>
      </c>
      <c r="P936">
        <v>4.8</v>
      </c>
    </row>
    <row r="937" spans="1:16" x14ac:dyDescent="0.3">
      <c r="A937" t="s">
        <v>1293</v>
      </c>
      <c r="B937" t="s">
        <v>412</v>
      </c>
      <c r="C937" t="s">
        <v>27</v>
      </c>
      <c r="D937">
        <v>32</v>
      </c>
      <c r="E937" t="s">
        <v>72</v>
      </c>
      <c r="F937" t="s">
        <v>38</v>
      </c>
      <c r="G937" t="s">
        <v>58</v>
      </c>
      <c r="H937">
        <v>6316</v>
      </c>
      <c r="I937">
        <v>3703</v>
      </c>
      <c r="J937">
        <v>2613</v>
      </c>
      <c r="K937" t="s">
        <v>22</v>
      </c>
      <c r="L937" t="s">
        <v>23</v>
      </c>
      <c r="M937">
        <v>5</v>
      </c>
      <c r="N937" t="s">
        <v>116</v>
      </c>
      <c r="O937" s="6">
        <f t="shared" ca="1" si="14"/>
        <v>45994</v>
      </c>
      <c r="P937">
        <v>3.3</v>
      </c>
    </row>
    <row r="938" spans="1:16" x14ac:dyDescent="0.3">
      <c r="A938" t="s">
        <v>1294</v>
      </c>
      <c r="B938" t="s">
        <v>359</v>
      </c>
      <c r="C938" t="s">
        <v>43</v>
      </c>
      <c r="D938">
        <v>60</v>
      </c>
      <c r="E938" t="s">
        <v>87</v>
      </c>
      <c r="F938" t="s">
        <v>64</v>
      </c>
      <c r="G938" t="s">
        <v>104</v>
      </c>
      <c r="H938">
        <v>6763</v>
      </c>
      <c r="I938">
        <v>5142</v>
      </c>
      <c r="J938">
        <v>1621</v>
      </c>
      <c r="K938" t="s">
        <v>59</v>
      </c>
      <c r="L938" t="s">
        <v>47</v>
      </c>
      <c r="M938">
        <v>1</v>
      </c>
      <c r="N938" t="s">
        <v>69</v>
      </c>
      <c r="O938" s="6">
        <f t="shared" ca="1" si="14"/>
        <v>46017</v>
      </c>
      <c r="P938">
        <v>3.9</v>
      </c>
    </row>
    <row r="939" spans="1:16" x14ac:dyDescent="0.3">
      <c r="A939" t="s">
        <v>1295</v>
      </c>
      <c r="B939" t="s">
        <v>718</v>
      </c>
      <c r="C939" t="s">
        <v>129</v>
      </c>
      <c r="D939">
        <v>54</v>
      </c>
      <c r="E939" t="s">
        <v>72</v>
      </c>
      <c r="F939" t="s">
        <v>67</v>
      </c>
      <c r="G939" t="s">
        <v>92</v>
      </c>
      <c r="H939">
        <v>6808</v>
      </c>
      <c r="I939">
        <v>5942</v>
      </c>
      <c r="J939">
        <v>866</v>
      </c>
      <c r="K939" t="s">
        <v>22</v>
      </c>
      <c r="L939" t="s">
        <v>47</v>
      </c>
      <c r="M939">
        <v>5</v>
      </c>
      <c r="N939" t="s">
        <v>53</v>
      </c>
      <c r="O939" s="6">
        <f t="shared" ca="1" si="14"/>
        <v>45942</v>
      </c>
      <c r="P939">
        <v>4.9000000000000004</v>
      </c>
    </row>
    <row r="940" spans="1:16" x14ac:dyDescent="0.3">
      <c r="A940" t="s">
        <v>1296</v>
      </c>
      <c r="B940" t="s">
        <v>549</v>
      </c>
      <c r="C940" t="s">
        <v>62</v>
      </c>
      <c r="D940">
        <v>39</v>
      </c>
      <c r="E940" t="s">
        <v>44</v>
      </c>
      <c r="F940" t="s">
        <v>98</v>
      </c>
      <c r="G940" t="s">
        <v>46</v>
      </c>
      <c r="H940">
        <v>5952</v>
      </c>
      <c r="I940">
        <v>4500</v>
      </c>
      <c r="J940">
        <v>1452</v>
      </c>
      <c r="K940" t="s">
        <v>68</v>
      </c>
      <c r="L940" t="s">
        <v>47</v>
      </c>
      <c r="M940">
        <v>6</v>
      </c>
      <c r="N940" t="s">
        <v>24</v>
      </c>
      <c r="O940" s="6">
        <f t="shared" ca="1" si="14"/>
        <v>45722</v>
      </c>
      <c r="P940">
        <v>3</v>
      </c>
    </row>
    <row r="941" spans="1:16" x14ac:dyDescent="0.3">
      <c r="A941" t="s">
        <v>1297</v>
      </c>
      <c r="B941" t="s">
        <v>296</v>
      </c>
      <c r="C941" t="s">
        <v>18</v>
      </c>
      <c r="D941">
        <v>53</v>
      </c>
      <c r="E941" t="s">
        <v>82</v>
      </c>
      <c r="F941" t="s">
        <v>20</v>
      </c>
      <c r="G941" t="s">
        <v>21</v>
      </c>
      <c r="H941">
        <v>7650</v>
      </c>
      <c r="I941">
        <v>6342</v>
      </c>
      <c r="J941">
        <v>1308</v>
      </c>
      <c r="K941" t="s">
        <v>31</v>
      </c>
      <c r="L941" t="s">
        <v>32</v>
      </c>
      <c r="M941">
        <v>12</v>
      </c>
      <c r="N941" t="s">
        <v>33</v>
      </c>
      <c r="O941" s="6">
        <f t="shared" ca="1" si="14"/>
        <v>45744</v>
      </c>
      <c r="P941">
        <v>3.1</v>
      </c>
    </row>
    <row r="942" spans="1:16" x14ac:dyDescent="0.3">
      <c r="A942" t="s">
        <v>1298</v>
      </c>
      <c r="B942" t="s">
        <v>656</v>
      </c>
      <c r="C942" t="s">
        <v>62</v>
      </c>
      <c r="D942">
        <v>23</v>
      </c>
      <c r="E942" t="s">
        <v>63</v>
      </c>
      <c r="F942" t="s">
        <v>38</v>
      </c>
      <c r="G942" t="s">
        <v>30</v>
      </c>
      <c r="H942">
        <v>8867</v>
      </c>
      <c r="I942">
        <v>6058</v>
      </c>
      <c r="J942">
        <v>2809</v>
      </c>
      <c r="K942" t="s">
        <v>68</v>
      </c>
      <c r="L942" t="s">
        <v>23</v>
      </c>
      <c r="M942">
        <v>7</v>
      </c>
      <c r="N942" t="s">
        <v>53</v>
      </c>
      <c r="O942" s="6">
        <f t="shared" ca="1" si="14"/>
        <v>45678</v>
      </c>
      <c r="P942">
        <v>4.4000000000000004</v>
      </c>
    </row>
    <row r="943" spans="1:16" x14ac:dyDescent="0.3">
      <c r="A943" t="s">
        <v>1299</v>
      </c>
      <c r="B943" t="s">
        <v>205</v>
      </c>
      <c r="C943" t="s">
        <v>129</v>
      </c>
      <c r="D943">
        <v>57</v>
      </c>
      <c r="E943" t="s">
        <v>37</v>
      </c>
      <c r="F943" t="s">
        <v>38</v>
      </c>
      <c r="G943" t="s">
        <v>79</v>
      </c>
      <c r="H943">
        <v>4638</v>
      </c>
      <c r="I943">
        <v>1640</v>
      </c>
      <c r="J943">
        <v>2998</v>
      </c>
      <c r="K943" t="s">
        <v>31</v>
      </c>
      <c r="L943" t="s">
        <v>47</v>
      </c>
      <c r="M943">
        <v>5</v>
      </c>
      <c r="N943" t="s">
        <v>193</v>
      </c>
      <c r="O943" s="6">
        <f t="shared" ca="1" si="14"/>
        <v>45977</v>
      </c>
      <c r="P943">
        <v>4.7</v>
      </c>
    </row>
    <row r="944" spans="1:16" x14ac:dyDescent="0.3">
      <c r="A944" t="s">
        <v>1300</v>
      </c>
      <c r="B944" t="s">
        <v>908</v>
      </c>
      <c r="C944" t="s">
        <v>18</v>
      </c>
      <c r="D944">
        <v>26</v>
      </c>
      <c r="E944" t="s">
        <v>72</v>
      </c>
      <c r="F944" t="s">
        <v>67</v>
      </c>
      <c r="G944" t="s">
        <v>104</v>
      </c>
      <c r="H944">
        <v>5922</v>
      </c>
      <c r="I944">
        <v>4971</v>
      </c>
      <c r="J944">
        <v>951</v>
      </c>
      <c r="K944" t="s">
        <v>59</v>
      </c>
      <c r="L944" t="s">
        <v>32</v>
      </c>
      <c r="M944">
        <v>15</v>
      </c>
      <c r="N944" t="s">
        <v>48</v>
      </c>
      <c r="O944" s="6">
        <f t="shared" ca="1" si="14"/>
        <v>45679</v>
      </c>
      <c r="P944">
        <v>5</v>
      </c>
    </row>
    <row r="945" spans="1:16" x14ac:dyDescent="0.3">
      <c r="A945" t="s">
        <v>1301</v>
      </c>
      <c r="B945" t="s">
        <v>872</v>
      </c>
      <c r="C945" t="s">
        <v>43</v>
      </c>
      <c r="D945">
        <v>53</v>
      </c>
      <c r="E945" t="s">
        <v>57</v>
      </c>
      <c r="F945" t="s">
        <v>91</v>
      </c>
      <c r="G945" t="s">
        <v>58</v>
      </c>
      <c r="H945">
        <v>6113</v>
      </c>
      <c r="I945">
        <v>4003</v>
      </c>
      <c r="J945">
        <v>2110</v>
      </c>
      <c r="K945" t="s">
        <v>31</v>
      </c>
      <c r="L945" t="s">
        <v>23</v>
      </c>
      <c r="M945">
        <v>7</v>
      </c>
      <c r="N945" t="s">
        <v>69</v>
      </c>
      <c r="O945" s="6">
        <f t="shared" ca="1" si="14"/>
        <v>45959</v>
      </c>
      <c r="P945">
        <v>4.7</v>
      </c>
    </row>
    <row r="946" spans="1:16" x14ac:dyDescent="0.3">
      <c r="A946" t="s">
        <v>1302</v>
      </c>
      <c r="B946" t="s">
        <v>828</v>
      </c>
      <c r="C946" t="s">
        <v>103</v>
      </c>
      <c r="D946">
        <v>26</v>
      </c>
      <c r="E946" t="s">
        <v>78</v>
      </c>
      <c r="F946" t="s">
        <v>67</v>
      </c>
      <c r="G946" t="s">
        <v>39</v>
      </c>
      <c r="H946">
        <v>8137</v>
      </c>
      <c r="I946">
        <v>6944</v>
      </c>
      <c r="J946">
        <v>1193</v>
      </c>
      <c r="K946" t="s">
        <v>31</v>
      </c>
      <c r="L946" t="s">
        <v>47</v>
      </c>
      <c r="M946">
        <v>6</v>
      </c>
      <c r="N946" t="s">
        <v>193</v>
      </c>
      <c r="O946" s="6">
        <f t="shared" ca="1" si="14"/>
        <v>45935</v>
      </c>
      <c r="P946">
        <v>3.1</v>
      </c>
    </row>
    <row r="947" spans="1:16" x14ac:dyDescent="0.3">
      <c r="A947" t="s">
        <v>1303</v>
      </c>
      <c r="B947" t="s">
        <v>760</v>
      </c>
      <c r="C947" t="s">
        <v>18</v>
      </c>
      <c r="D947">
        <v>24</v>
      </c>
      <c r="E947" t="s">
        <v>37</v>
      </c>
      <c r="F947" t="s">
        <v>20</v>
      </c>
      <c r="G947" t="s">
        <v>73</v>
      </c>
      <c r="H947">
        <v>6213</v>
      </c>
      <c r="I947">
        <v>5989</v>
      </c>
      <c r="J947">
        <v>224</v>
      </c>
      <c r="K947" t="s">
        <v>22</v>
      </c>
      <c r="L947" t="s">
        <v>32</v>
      </c>
      <c r="M947">
        <v>13</v>
      </c>
      <c r="N947" t="s">
        <v>74</v>
      </c>
      <c r="O947" s="6">
        <f t="shared" ca="1" si="14"/>
        <v>46017</v>
      </c>
      <c r="P947">
        <v>3.8</v>
      </c>
    </row>
    <row r="948" spans="1:16" x14ac:dyDescent="0.3">
      <c r="A948" t="s">
        <v>1304</v>
      </c>
      <c r="B948" t="s">
        <v>438</v>
      </c>
      <c r="C948" t="s">
        <v>18</v>
      </c>
      <c r="D948">
        <v>62</v>
      </c>
      <c r="E948" t="s">
        <v>87</v>
      </c>
      <c r="F948" t="s">
        <v>38</v>
      </c>
      <c r="G948" t="s">
        <v>79</v>
      </c>
      <c r="H948">
        <v>2687</v>
      </c>
      <c r="I948">
        <v>1297</v>
      </c>
      <c r="J948">
        <v>1390</v>
      </c>
      <c r="K948" t="s">
        <v>22</v>
      </c>
      <c r="L948" t="s">
        <v>23</v>
      </c>
      <c r="M948">
        <v>12</v>
      </c>
      <c r="N948" t="s">
        <v>95</v>
      </c>
      <c r="O948" s="6">
        <f t="shared" ca="1" si="14"/>
        <v>45835</v>
      </c>
      <c r="P948">
        <v>3.5</v>
      </c>
    </row>
    <row r="949" spans="1:16" x14ac:dyDescent="0.3">
      <c r="A949" t="s">
        <v>1305</v>
      </c>
      <c r="B949" t="s">
        <v>220</v>
      </c>
      <c r="C949" t="s">
        <v>27</v>
      </c>
      <c r="D949">
        <v>24</v>
      </c>
      <c r="E949" t="s">
        <v>19</v>
      </c>
      <c r="F949" t="s">
        <v>29</v>
      </c>
      <c r="G949" t="s">
        <v>126</v>
      </c>
      <c r="H949">
        <v>7332</v>
      </c>
      <c r="I949">
        <v>5104</v>
      </c>
      <c r="J949">
        <v>2228</v>
      </c>
      <c r="K949" t="s">
        <v>68</v>
      </c>
      <c r="L949" t="s">
        <v>32</v>
      </c>
      <c r="M949">
        <v>15</v>
      </c>
      <c r="N949" t="s">
        <v>193</v>
      </c>
      <c r="O949" s="6">
        <f t="shared" ca="1" si="14"/>
        <v>45840</v>
      </c>
      <c r="P949">
        <v>4.4000000000000004</v>
      </c>
    </row>
    <row r="950" spans="1:16" x14ac:dyDescent="0.3">
      <c r="A950" t="s">
        <v>1306</v>
      </c>
      <c r="B950" t="s">
        <v>828</v>
      </c>
      <c r="C950" t="s">
        <v>56</v>
      </c>
      <c r="D950">
        <v>60</v>
      </c>
      <c r="E950" t="s">
        <v>19</v>
      </c>
      <c r="F950" t="s">
        <v>98</v>
      </c>
      <c r="G950" t="s">
        <v>21</v>
      </c>
      <c r="H950">
        <v>1326</v>
      </c>
      <c r="I950">
        <v>500</v>
      </c>
      <c r="J950">
        <v>826</v>
      </c>
      <c r="K950" t="s">
        <v>59</v>
      </c>
      <c r="L950" t="s">
        <v>23</v>
      </c>
      <c r="M950">
        <v>2</v>
      </c>
      <c r="N950" t="s">
        <v>74</v>
      </c>
      <c r="O950" s="6">
        <f t="shared" ca="1" si="14"/>
        <v>45842</v>
      </c>
      <c r="P950">
        <v>3.2</v>
      </c>
    </row>
    <row r="951" spans="1:16" x14ac:dyDescent="0.3">
      <c r="A951" t="s">
        <v>1307</v>
      </c>
      <c r="B951" t="s">
        <v>334</v>
      </c>
      <c r="C951" t="s">
        <v>56</v>
      </c>
      <c r="D951">
        <v>22</v>
      </c>
      <c r="E951" t="s">
        <v>82</v>
      </c>
      <c r="F951" t="s">
        <v>91</v>
      </c>
      <c r="G951" t="s">
        <v>73</v>
      </c>
      <c r="H951">
        <v>1653</v>
      </c>
      <c r="I951">
        <v>955</v>
      </c>
      <c r="J951">
        <v>698</v>
      </c>
      <c r="K951" t="s">
        <v>31</v>
      </c>
      <c r="L951" t="s">
        <v>47</v>
      </c>
      <c r="M951">
        <v>8</v>
      </c>
      <c r="N951" t="s">
        <v>193</v>
      </c>
      <c r="O951" s="6">
        <f t="shared" ca="1" si="14"/>
        <v>45946</v>
      </c>
      <c r="P951">
        <v>4.5999999999999996</v>
      </c>
    </row>
    <row r="952" spans="1:16" x14ac:dyDescent="0.3">
      <c r="A952" t="s">
        <v>1308</v>
      </c>
      <c r="B952" t="s">
        <v>166</v>
      </c>
      <c r="C952" t="s">
        <v>51</v>
      </c>
      <c r="D952">
        <v>64</v>
      </c>
      <c r="E952" t="s">
        <v>63</v>
      </c>
      <c r="F952" t="s">
        <v>67</v>
      </c>
      <c r="G952" t="s">
        <v>21</v>
      </c>
      <c r="H952">
        <v>4840</v>
      </c>
      <c r="I952">
        <v>4041</v>
      </c>
      <c r="J952">
        <v>799</v>
      </c>
      <c r="K952" t="s">
        <v>59</v>
      </c>
      <c r="L952" t="s">
        <v>32</v>
      </c>
      <c r="M952">
        <v>3</v>
      </c>
      <c r="N952" t="s">
        <v>193</v>
      </c>
      <c r="O952" s="6">
        <f t="shared" ca="1" si="14"/>
        <v>45787</v>
      </c>
      <c r="P952">
        <v>4.3</v>
      </c>
    </row>
    <row r="953" spans="1:16" x14ac:dyDescent="0.3">
      <c r="A953" t="s">
        <v>1309</v>
      </c>
      <c r="B953" t="s">
        <v>84</v>
      </c>
      <c r="C953" t="s">
        <v>27</v>
      </c>
      <c r="D953">
        <v>33</v>
      </c>
      <c r="E953" t="s">
        <v>63</v>
      </c>
      <c r="F953" t="s">
        <v>91</v>
      </c>
      <c r="G953" t="s">
        <v>39</v>
      </c>
      <c r="H953">
        <v>5805</v>
      </c>
      <c r="I953">
        <v>2871</v>
      </c>
      <c r="J953">
        <v>2934</v>
      </c>
      <c r="K953" t="s">
        <v>68</v>
      </c>
      <c r="L953" t="s">
        <v>23</v>
      </c>
      <c r="M953">
        <v>10</v>
      </c>
      <c r="N953" t="s">
        <v>69</v>
      </c>
      <c r="O953" s="6">
        <f t="shared" ca="1" si="14"/>
        <v>45660</v>
      </c>
      <c r="P953">
        <v>4.0999999999999996</v>
      </c>
    </row>
    <row r="954" spans="1:16" x14ac:dyDescent="0.3">
      <c r="A954" t="s">
        <v>1310</v>
      </c>
      <c r="B954" t="s">
        <v>428</v>
      </c>
      <c r="C954" t="s">
        <v>77</v>
      </c>
      <c r="D954">
        <v>50</v>
      </c>
      <c r="E954" t="s">
        <v>37</v>
      </c>
      <c r="F954" t="s">
        <v>64</v>
      </c>
      <c r="G954" t="s">
        <v>126</v>
      </c>
      <c r="H954">
        <v>2089</v>
      </c>
      <c r="I954">
        <v>729</v>
      </c>
      <c r="J954">
        <v>1360</v>
      </c>
      <c r="K954" t="s">
        <v>31</v>
      </c>
      <c r="L954" t="s">
        <v>32</v>
      </c>
      <c r="M954">
        <v>10</v>
      </c>
      <c r="N954" t="s">
        <v>48</v>
      </c>
      <c r="O954" s="6">
        <f t="shared" ca="1" si="14"/>
        <v>45885</v>
      </c>
      <c r="P954">
        <v>3</v>
      </c>
    </row>
    <row r="955" spans="1:16" x14ac:dyDescent="0.3">
      <c r="A955" t="s">
        <v>1311</v>
      </c>
      <c r="B955" t="s">
        <v>278</v>
      </c>
      <c r="C955" t="s">
        <v>51</v>
      </c>
      <c r="D955">
        <v>49</v>
      </c>
      <c r="E955" t="s">
        <v>28</v>
      </c>
      <c r="F955" t="s">
        <v>38</v>
      </c>
      <c r="G955" t="s">
        <v>126</v>
      </c>
      <c r="H955">
        <v>6410</v>
      </c>
      <c r="I955">
        <v>4333</v>
      </c>
      <c r="J955">
        <v>2077</v>
      </c>
      <c r="K955" t="s">
        <v>31</v>
      </c>
      <c r="L955" t="s">
        <v>32</v>
      </c>
      <c r="M955">
        <v>3</v>
      </c>
      <c r="N955" t="s">
        <v>95</v>
      </c>
      <c r="O955" s="6">
        <f t="shared" ca="1" si="14"/>
        <v>45728</v>
      </c>
      <c r="P955">
        <v>4</v>
      </c>
    </row>
    <row r="956" spans="1:16" x14ac:dyDescent="0.3">
      <c r="A956" t="s">
        <v>1312</v>
      </c>
      <c r="B956" t="s">
        <v>586</v>
      </c>
      <c r="C956" t="s">
        <v>27</v>
      </c>
      <c r="D956">
        <v>45</v>
      </c>
      <c r="E956" t="s">
        <v>82</v>
      </c>
      <c r="F956" t="s">
        <v>98</v>
      </c>
      <c r="G956" t="s">
        <v>126</v>
      </c>
      <c r="H956">
        <v>6693</v>
      </c>
      <c r="I956">
        <v>5873</v>
      </c>
      <c r="J956">
        <v>820</v>
      </c>
      <c r="K956" t="s">
        <v>88</v>
      </c>
      <c r="L956" t="s">
        <v>32</v>
      </c>
      <c r="M956">
        <v>12</v>
      </c>
      <c r="N956" t="s">
        <v>118</v>
      </c>
      <c r="O956" s="6">
        <f t="shared" ca="1" si="14"/>
        <v>45925</v>
      </c>
      <c r="P956">
        <v>4.5</v>
      </c>
    </row>
    <row r="957" spans="1:16" x14ac:dyDescent="0.3">
      <c r="A957" t="s">
        <v>1313</v>
      </c>
      <c r="B957" t="s">
        <v>403</v>
      </c>
      <c r="C957" t="s">
        <v>18</v>
      </c>
      <c r="D957">
        <v>46</v>
      </c>
      <c r="E957" t="s">
        <v>87</v>
      </c>
      <c r="F957" t="s">
        <v>91</v>
      </c>
      <c r="G957" t="s">
        <v>73</v>
      </c>
      <c r="H957">
        <v>7045</v>
      </c>
      <c r="I957">
        <v>4364</v>
      </c>
      <c r="J957">
        <v>2681</v>
      </c>
      <c r="K957" t="s">
        <v>31</v>
      </c>
      <c r="L957" t="s">
        <v>23</v>
      </c>
      <c r="M957">
        <v>10</v>
      </c>
      <c r="N957" t="s">
        <v>74</v>
      </c>
      <c r="O957" s="6">
        <f t="shared" ca="1" si="14"/>
        <v>45898</v>
      </c>
      <c r="P957">
        <v>3.6</v>
      </c>
    </row>
    <row r="958" spans="1:16" x14ac:dyDescent="0.3">
      <c r="A958" t="s">
        <v>1314</v>
      </c>
      <c r="B958" t="s">
        <v>859</v>
      </c>
      <c r="C958" t="s">
        <v>43</v>
      </c>
      <c r="D958">
        <v>58</v>
      </c>
      <c r="E958" t="s">
        <v>44</v>
      </c>
      <c r="F958" t="s">
        <v>38</v>
      </c>
      <c r="G958" t="s">
        <v>79</v>
      </c>
      <c r="H958">
        <v>7411</v>
      </c>
      <c r="I958">
        <v>5558</v>
      </c>
      <c r="J958">
        <v>1853</v>
      </c>
      <c r="K958" t="s">
        <v>22</v>
      </c>
      <c r="L958" t="s">
        <v>32</v>
      </c>
      <c r="M958">
        <v>1</v>
      </c>
      <c r="N958" t="s">
        <v>193</v>
      </c>
      <c r="O958" s="6">
        <f t="shared" ca="1" si="14"/>
        <v>45843</v>
      </c>
      <c r="P958">
        <v>3.8</v>
      </c>
    </row>
    <row r="959" spans="1:16" x14ac:dyDescent="0.3">
      <c r="A959" t="s">
        <v>1315</v>
      </c>
      <c r="B959" t="s">
        <v>203</v>
      </c>
      <c r="C959" t="s">
        <v>56</v>
      </c>
      <c r="D959">
        <v>41</v>
      </c>
      <c r="E959" t="s">
        <v>19</v>
      </c>
      <c r="F959" t="s">
        <v>52</v>
      </c>
      <c r="G959" t="s">
        <v>21</v>
      </c>
      <c r="H959">
        <v>3698</v>
      </c>
      <c r="I959">
        <v>1925</v>
      </c>
      <c r="J959">
        <v>1773</v>
      </c>
      <c r="K959" t="s">
        <v>31</v>
      </c>
      <c r="L959" t="s">
        <v>32</v>
      </c>
      <c r="M959">
        <v>7</v>
      </c>
      <c r="N959" t="s">
        <v>53</v>
      </c>
      <c r="O959" s="6">
        <f t="shared" ca="1" si="14"/>
        <v>45955</v>
      </c>
      <c r="P959">
        <v>4.5999999999999996</v>
      </c>
    </row>
    <row r="960" spans="1:16" x14ac:dyDescent="0.3">
      <c r="A960" t="s">
        <v>1316</v>
      </c>
      <c r="B960" t="s">
        <v>323</v>
      </c>
      <c r="C960" t="s">
        <v>36</v>
      </c>
      <c r="D960">
        <v>25</v>
      </c>
      <c r="E960" t="s">
        <v>63</v>
      </c>
      <c r="F960" t="s">
        <v>38</v>
      </c>
      <c r="G960" t="s">
        <v>79</v>
      </c>
      <c r="H960">
        <v>5991</v>
      </c>
      <c r="I960">
        <v>5671</v>
      </c>
      <c r="J960">
        <v>320</v>
      </c>
      <c r="K960" t="s">
        <v>88</v>
      </c>
      <c r="L960" t="s">
        <v>32</v>
      </c>
      <c r="M960">
        <v>2</v>
      </c>
      <c r="N960" t="s">
        <v>40</v>
      </c>
      <c r="O960" s="6">
        <f t="shared" ca="1" si="14"/>
        <v>45943</v>
      </c>
      <c r="P960">
        <v>2.5</v>
      </c>
    </row>
    <row r="961" spans="1:16" x14ac:dyDescent="0.3">
      <c r="A961" t="s">
        <v>1317</v>
      </c>
      <c r="B961" t="s">
        <v>856</v>
      </c>
      <c r="C961" t="s">
        <v>51</v>
      </c>
      <c r="D961">
        <v>56</v>
      </c>
      <c r="E961" t="s">
        <v>19</v>
      </c>
      <c r="F961" t="s">
        <v>52</v>
      </c>
      <c r="G961" t="s">
        <v>39</v>
      </c>
      <c r="H961">
        <v>6515</v>
      </c>
      <c r="I961">
        <v>4523</v>
      </c>
      <c r="J961">
        <v>1992</v>
      </c>
      <c r="K961" t="s">
        <v>88</v>
      </c>
      <c r="L961" t="s">
        <v>23</v>
      </c>
      <c r="M961">
        <v>4</v>
      </c>
      <c r="N961" t="s">
        <v>33</v>
      </c>
      <c r="O961" s="6">
        <f t="shared" ca="1" si="14"/>
        <v>45899</v>
      </c>
      <c r="P961">
        <v>3.7</v>
      </c>
    </row>
    <row r="962" spans="1:16" x14ac:dyDescent="0.3">
      <c r="A962" t="s">
        <v>1318</v>
      </c>
      <c r="B962" t="s">
        <v>1291</v>
      </c>
      <c r="C962" t="s">
        <v>62</v>
      </c>
      <c r="D962">
        <v>26</v>
      </c>
      <c r="E962" t="s">
        <v>44</v>
      </c>
      <c r="F962" t="s">
        <v>136</v>
      </c>
      <c r="G962" t="s">
        <v>21</v>
      </c>
      <c r="H962">
        <v>2503</v>
      </c>
      <c r="I962">
        <v>2167</v>
      </c>
      <c r="J962">
        <v>336</v>
      </c>
      <c r="K962" t="s">
        <v>88</v>
      </c>
      <c r="L962" t="s">
        <v>47</v>
      </c>
      <c r="M962">
        <v>15</v>
      </c>
      <c r="N962" t="s">
        <v>24</v>
      </c>
      <c r="O962" s="6">
        <f t="shared" ca="1" si="14"/>
        <v>45676</v>
      </c>
      <c r="P962">
        <v>4.4000000000000004</v>
      </c>
    </row>
    <row r="963" spans="1:16" x14ac:dyDescent="0.3">
      <c r="A963" t="s">
        <v>1319</v>
      </c>
      <c r="B963" t="s">
        <v>359</v>
      </c>
      <c r="C963" t="s">
        <v>77</v>
      </c>
      <c r="D963">
        <v>42</v>
      </c>
      <c r="E963" t="s">
        <v>78</v>
      </c>
      <c r="F963" t="s">
        <v>29</v>
      </c>
      <c r="G963" t="s">
        <v>104</v>
      </c>
      <c r="H963">
        <v>3106</v>
      </c>
      <c r="I963">
        <v>2057</v>
      </c>
      <c r="J963">
        <v>1049</v>
      </c>
      <c r="K963" t="s">
        <v>68</v>
      </c>
      <c r="L963" t="s">
        <v>32</v>
      </c>
      <c r="M963">
        <v>8</v>
      </c>
      <c r="N963" t="s">
        <v>74</v>
      </c>
      <c r="O963" s="6">
        <f t="shared" ref="O963:O1001" ca="1" si="15">RANDBETWEEN(DATE(2025,1,1),DATE(2025,12,31))</f>
        <v>45905</v>
      </c>
      <c r="P963">
        <v>4</v>
      </c>
    </row>
    <row r="964" spans="1:16" x14ac:dyDescent="0.3">
      <c r="A964" t="s">
        <v>1320</v>
      </c>
      <c r="B964" t="s">
        <v>647</v>
      </c>
      <c r="C964" t="s">
        <v>27</v>
      </c>
      <c r="D964">
        <v>29</v>
      </c>
      <c r="E964" t="s">
        <v>87</v>
      </c>
      <c r="F964" t="s">
        <v>91</v>
      </c>
      <c r="G964" t="s">
        <v>73</v>
      </c>
      <c r="H964">
        <v>7363</v>
      </c>
      <c r="I964">
        <v>5623</v>
      </c>
      <c r="J964">
        <v>1740</v>
      </c>
      <c r="K964" t="s">
        <v>59</v>
      </c>
      <c r="L964" t="s">
        <v>47</v>
      </c>
      <c r="M964">
        <v>4</v>
      </c>
      <c r="N964" t="s">
        <v>40</v>
      </c>
      <c r="O964" s="6">
        <f t="shared" ca="1" si="15"/>
        <v>45884</v>
      </c>
      <c r="P964">
        <v>2.2999999999999998</v>
      </c>
    </row>
    <row r="965" spans="1:16" x14ac:dyDescent="0.3">
      <c r="A965" t="s">
        <v>1321</v>
      </c>
      <c r="B965" t="s">
        <v>1155</v>
      </c>
      <c r="C965" t="s">
        <v>77</v>
      </c>
      <c r="D965">
        <v>28</v>
      </c>
      <c r="E965" t="s">
        <v>63</v>
      </c>
      <c r="F965" t="s">
        <v>52</v>
      </c>
      <c r="G965" t="s">
        <v>46</v>
      </c>
      <c r="H965">
        <v>7841</v>
      </c>
      <c r="I965">
        <v>5427</v>
      </c>
      <c r="J965">
        <v>2414</v>
      </c>
      <c r="K965" t="s">
        <v>88</v>
      </c>
      <c r="L965" t="s">
        <v>32</v>
      </c>
      <c r="M965">
        <v>4</v>
      </c>
      <c r="N965" t="s">
        <v>116</v>
      </c>
      <c r="O965" s="6">
        <f t="shared" ca="1" si="15"/>
        <v>45755</v>
      </c>
      <c r="P965">
        <v>3.9</v>
      </c>
    </row>
    <row r="966" spans="1:16" x14ac:dyDescent="0.3">
      <c r="A966" t="s">
        <v>1322</v>
      </c>
      <c r="B966" t="s">
        <v>1323</v>
      </c>
      <c r="C966" t="s">
        <v>129</v>
      </c>
      <c r="D966">
        <v>39</v>
      </c>
      <c r="E966" t="s">
        <v>87</v>
      </c>
      <c r="F966" t="s">
        <v>29</v>
      </c>
      <c r="G966" t="s">
        <v>79</v>
      </c>
      <c r="H966">
        <v>4797</v>
      </c>
      <c r="I966">
        <v>2477</v>
      </c>
      <c r="J966">
        <v>2320</v>
      </c>
      <c r="K966" t="s">
        <v>88</v>
      </c>
      <c r="L966" t="s">
        <v>32</v>
      </c>
      <c r="M966">
        <v>4</v>
      </c>
      <c r="N966" t="s">
        <v>40</v>
      </c>
      <c r="O966" s="6">
        <f t="shared" ca="1" si="15"/>
        <v>45706</v>
      </c>
      <c r="P966">
        <v>1.2</v>
      </c>
    </row>
    <row r="967" spans="1:16" x14ac:dyDescent="0.3">
      <c r="A967" t="s">
        <v>1324</v>
      </c>
      <c r="B967" t="s">
        <v>21</v>
      </c>
      <c r="C967" t="s">
        <v>27</v>
      </c>
      <c r="D967">
        <v>65</v>
      </c>
      <c r="E967" t="s">
        <v>87</v>
      </c>
      <c r="F967" t="s">
        <v>67</v>
      </c>
      <c r="G967" t="s">
        <v>104</v>
      </c>
      <c r="H967">
        <v>5529</v>
      </c>
      <c r="I967">
        <v>2654</v>
      </c>
      <c r="J967">
        <v>2875</v>
      </c>
      <c r="K967" t="s">
        <v>59</v>
      </c>
      <c r="L967" t="s">
        <v>47</v>
      </c>
      <c r="M967">
        <v>6</v>
      </c>
      <c r="N967" t="s">
        <v>48</v>
      </c>
      <c r="O967" s="6">
        <f t="shared" ca="1" si="15"/>
        <v>45918</v>
      </c>
      <c r="P967">
        <v>3.3</v>
      </c>
    </row>
    <row r="968" spans="1:16" x14ac:dyDescent="0.3">
      <c r="A968" t="s">
        <v>1325</v>
      </c>
      <c r="B968" t="s">
        <v>740</v>
      </c>
      <c r="C968" t="s">
        <v>36</v>
      </c>
      <c r="D968">
        <v>29</v>
      </c>
      <c r="E968" t="s">
        <v>19</v>
      </c>
      <c r="F968" t="s">
        <v>29</v>
      </c>
      <c r="G968" t="s">
        <v>58</v>
      </c>
      <c r="H968">
        <v>9621</v>
      </c>
      <c r="I968">
        <v>6704</v>
      </c>
      <c r="J968">
        <v>2917</v>
      </c>
      <c r="K968" t="s">
        <v>88</v>
      </c>
      <c r="L968" t="s">
        <v>32</v>
      </c>
      <c r="M968">
        <v>0</v>
      </c>
      <c r="N968" t="s">
        <v>40</v>
      </c>
      <c r="O968" s="6">
        <f t="shared" ca="1" si="15"/>
        <v>45957</v>
      </c>
      <c r="P968">
        <v>1.5</v>
      </c>
    </row>
    <row r="969" spans="1:16" x14ac:dyDescent="0.3">
      <c r="A969" t="s">
        <v>1326</v>
      </c>
      <c r="B969" t="s">
        <v>90</v>
      </c>
      <c r="C969" t="s">
        <v>51</v>
      </c>
      <c r="D969">
        <v>60</v>
      </c>
      <c r="E969" t="s">
        <v>28</v>
      </c>
      <c r="F969" t="s">
        <v>38</v>
      </c>
      <c r="G969" t="s">
        <v>21</v>
      </c>
      <c r="H969">
        <v>6559</v>
      </c>
      <c r="I969">
        <v>3909</v>
      </c>
      <c r="J969">
        <v>2650</v>
      </c>
      <c r="K969" t="s">
        <v>88</v>
      </c>
      <c r="L969" t="s">
        <v>47</v>
      </c>
      <c r="M969">
        <v>15</v>
      </c>
      <c r="N969" t="s">
        <v>53</v>
      </c>
      <c r="O969" s="6">
        <f t="shared" ca="1" si="15"/>
        <v>45961</v>
      </c>
      <c r="P969">
        <v>4.7</v>
      </c>
    </row>
    <row r="970" spans="1:16" x14ac:dyDescent="0.3">
      <c r="A970" t="s">
        <v>1327</v>
      </c>
      <c r="B970" t="s">
        <v>403</v>
      </c>
      <c r="C970" t="s">
        <v>36</v>
      </c>
      <c r="D970">
        <v>27</v>
      </c>
      <c r="E970" t="s">
        <v>28</v>
      </c>
      <c r="F970" t="s">
        <v>91</v>
      </c>
      <c r="G970" t="s">
        <v>92</v>
      </c>
      <c r="H970">
        <v>5208</v>
      </c>
      <c r="I970">
        <v>2345</v>
      </c>
      <c r="J970">
        <v>2863</v>
      </c>
      <c r="K970" t="s">
        <v>22</v>
      </c>
      <c r="L970" t="s">
        <v>47</v>
      </c>
      <c r="M970">
        <v>8</v>
      </c>
      <c r="N970" t="s">
        <v>116</v>
      </c>
      <c r="O970" s="6">
        <f t="shared" ca="1" si="15"/>
        <v>45950</v>
      </c>
      <c r="P970">
        <v>4.5</v>
      </c>
    </row>
    <row r="971" spans="1:16" x14ac:dyDescent="0.3">
      <c r="A971" t="s">
        <v>1328</v>
      </c>
      <c r="B971" t="s">
        <v>291</v>
      </c>
      <c r="C971" t="s">
        <v>62</v>
      </c>
      <c r="D971">
        <v>55</v>
      </c>
      <c r="E971" t="s">
        <v>44</v>
      </c>
      <c r="F971" t="s">
        <v>64</v>
      </c>
      <c r="G971" t="s">
        <v>46</v>
      </c>
      <c r="H971">
        <v>7200</v>
      </c>
      <c r="I971">
        <v>5026</v>
      </c>
      <c r="J971">
        <v>2174</v>
      </c>
      <c r="K971" t="s">
        <v>59</v>
      </c>
      <c r="L971" t="s">
        <v>47</v>
      </c>
      <c r="M971">
        <v>13</v>
      </c>
      <c r="N971" t="s">
        <v>48</v>
      </c>
      <c r="O971" s="6">
        <f t="shared" ca="1" si="15"/>
        <v>46020</v>
      </c>
      <c r="P971">
        <v>3.2</v>
      </c>
    </row>
    <row r="972" spans="1:16" x14ac:dyDescent="0.3">
      <c r="A972" t="s">
        <v>1329</v>
      </c>
      <c r="B972" t="s">
        <v>519</v>
      </c>
      <c r="C972" t="s">
        <v>103</v>
      </c>
      <c r="D972">
        <v>56</v>
      </c>
      <c r="E972" t="s">
        <v>78</v>
      </c>
      <c r="F972" t="s">
        <v>98</v>
      </c>
      <c r="G972" t="s">
        <v>104</v>
      </c>
      <c r="H972">
        <v>4187</v>
      </c>
      <c r="I972">
        <v>1466</v>
      </c>
      <c r="J972">
        <v>2721</v>
      </c>
      <c r="K972" t="s">
        <v>59</v>
      </c>
      <c r="L972" t="s">
        <v>23</v>
      </c>
      <c r="M972">
        <v>2</v>
      </c>
      <c r="N972" t="s">
        <v>40</v>
      </c>
      <c r="O972" s="6">
        <f t="shared" ca="1" si="15"/>
        <v>45948</v>
      </c>
      <c r="P972">
        <v>1.3</v>
      </c>
    </row>
    <row r="973" spans="1:16" x14ac:dyDescent="0.3">
      <c r="A973" t="s">
        <v>1330</v>
      </c>
      <c r="B973" t="s">
        <v>66</v>
      </c>
      <c r="C973" t="s">
        <v>36</v>
      </c>
      <c r="D973">
        <v>36</v>
      </c>
      <c r="E973" t="s">
        <v>19</v>
      </c>
      <c r="F973" t="s">
        <v>98</v>
      </c>
      <c r="G973" t="s">
        <v>79</v>
      </c>
      <c r="H973">
        <v>1712</v>
      </c>
      <c r="I973">
        <v>582</v>
      </c>
      <c r="J973">
        <v>1130</v>
      </c>
      <c r="K973" t="s">
        <v>22</v>
      </c>
      <c r="L973" t="s">
        <v>32</v>
      </c>
      <c r="M973">
        <v>13</v>
      </c>
      <c r="N973" t="s">
        <v>74</v>
      </c>
      <c r="O973" s="6">
        <f t="shared" ca="1" si="15"/>
        <v>45821</v>
      </c>
      <c r="P973">
        <v>3.8</v>
      </c>
    </row>
    <row r="974" spans="1:16" x14ac:dyDescent="0.3">
      <c r="A974" t="s">
        <v>1331</v>
      </c>
      <c r="B974" t="s">
        <v>999</v>
      </c>
      <c r="C974" t="s">
        <v>62</v>
      </c>
      <c r="D974">
        <v>24</v>
      </c>
      <c r="E974" t="s">
        <v>87</v>
      </c>
      <c r="F974" t="s">
        <v>136</v>
      </c>
      <c r="G974" t="s">
        <v>126</v>
      </c>
      <c r="H974">
        <v>5031</v>
      </c>
      <c r="I974">
        <v>4092</v>
      </c>
      <c r="J974">
        <v>939</v>
      </c>
      <c r="K974" t="s">
        <v>59</v>
      </c>
      <c r="L974" t="s">
        <v>32</v>
      </c>
      <c r="M974">
        <v>6</v>
      </c>
      <c r="N974" t="s">
        <v>95</v>
      </c>
      <c r="O974" s="6">
        <f t="shared" ca="1" si="15"/>
        <v>45677</v>
      </c>
      <c r="P974">
        <v>3.7</v>
      </c>
    </row>
    <row r="975" spans="1:16" x14ac:dyDescent="0.3">
      <c r="A975" t="s">
        <v>1332</v>
      </c>
      <c r="B975" t="s">
        <v>489</v>
      </c>
      <c r="C975" t="s">
        <v>51</v>
      </c>
      <c r="D975">
        <v>46</v>
      </c>
      <c r="E975" t="s">
        <v>63</v>
      </c>
      <c r="F975" t="s">
        <v>98</v>
      </c>
      <c r="G975" t="s">
        <v>21</v>
      </c>
      <c r="H975">
        <v>2349</v>
      </c>
      <c r="I975">
        <v>1125</v>
      </c>
      <c r="J975">
        <v>1224</v>
      </c>
      <c r="K975" t="s">
        <v>68</v>
      </c>
      <c r="L975" t="s">
        <v>32</v>
      </c>
      <c r="M975">
        <v>1</v>
      </c>
      <c r="N975" t="s">
        <v>40</v>
      </c>
      <c r="O975" s="6">
        <f t="shared" ca="1" si="15"/>
        <v>45858</v>
      </c>
      <c r="P975">
        <v>2.8</v>
      </c>
    </row>
    <row r="976" spans="1:16" x14ac:dyDescent="0.3">
      <c r="A976" t="s">
        <v>1333</v>
      </c>
      <c r="B976" t="s">
        <v>564</v>
      </c>
      <c r="C976" t="s">
        <v>18</v>
      </c>
      <c r="D976">
        <v>44</v>
      </c>
      <c r="E976" t="s">
        <v>82</v>
      </c>
      <c r="F976" t="s">
        <v>45</v>
      </c>
      <c r="G976" t="s">
        <v>30</v>
      </c>
      <c r="H976">
        <v>6110</v>
      </c>
      <c r="I976">
        <v>4815</v>
      </c>
      <c r="J976">
        <v>1295</v>
      </c>
      <c r="K976" t="s">
        <v>22</v>
      </c>
      <c r="L976" t="s">
        <v>32</v>
      </c>
      <c r="M976">
        <v>9</v>
      </c>
      <c r="N976" t="s">
        <v>74</v>
      </c>
      <c r="O976" s="6">
        <f t="shared" ca="1" si="15"/>
        <v>45768</v>
      </c>
      <c r="P976">
        <v>4.5999999999999996</v>
      </c>
    </row>
    <row r="977" spans="1:16" x14ac:dyDescent="0.3">
      <c r="A977" t="s">
        <v>1334</v>
      </c>
      <c r="B977" t="s">
        <v>493</v>
      </c>
      <c r="C977" t="s">
        <v>103</v>
      </c>
      <c r="D977">
        <v>60</v>
      </c>
      <c r="E977" t="s">
        <v>63</v>
      </c>
      <c r="F977" t="s">
        <v>45</v>
      </c>
      <c r="G977" t="s">
        <v>21</v>
      </c>
      <c r="H977">
        <v>2928</v>
      </c>
      <c r="I977">
        <v>2167</v>
      </c>
      <c r="J977">
        <v>761</v>
      </c>
      <c r="K977" t="s">
        <v>31</v>
      </c>
      <c r="L977" t="s">
        <v>23</v>
      </c>
      <c r="M977">
        <v>9</v>
      </c>
      <c r="N977" t="s">
        <v>33</v>
      </c>
      <c r="O977" s="6">
        <f t="shared" ca="1" si="15"/>
        <v>45850</v>
      </c>
      <c r="P977">
        <v>3.4</v>
      </c>
    </row>
    <row r="978" spans="1:16" x14ac:dyDescent="0.3">
      <c r="A978" t="s">
        <v>1335</v>
      </c>
      <c r="B978" t="s">
        <v>334</v>
      </c>
      <c r="C978" t="s">
        <v>43</v>
      </c>
      <c r="D978">
        <v>30</v>
      </c>
      <c r="E978" t="s">
        <v>28</v>
      </c>
      <c r="F978" t="s">
        <v>52</v>
      </c>
      <c r="G978" t="s">
        <v>104</v>
      </c>
      <c r="H978">
        <v>7882</v>
      </c>
      <c r="I978">
        <v>5824</v>
      </c>
      <c r="J978">
        <v>2058</v>
      </c>
      <c r="K978" t="s">
        <v>22</v>
      </c>
      <c r="L978" t="s">
        <v>23</v>
      </c>
      <c r="M978">
        <v>0</v>
      </c>
      <c r="N978" t="s">
        <v>40</v>
      </c>
      <c r="O978" s="6">
        <f t="shared" ca="1" si="15"/>
        <v>45805</v>
      </c>
      <c r="P978">
        <v>1.2</v>
      </c>
    </row>
    <row r="979" spans="1:16" x14ac:dyDescent="0.3">
      <c r="A979" t="s">
        <v>1336</v>
      </c>
      <c r="B979" t="s">
        <v>1337</v>
      </c>
      <c r="C979" t="s">
        <v>51</v>
      </c>
      <c r="D979">
        <v>45</v>
      </c>
      <c r="E979" t="s">
        <v>72</v>
      </c>
      <c r="F979" t="s">
        <v>98</v>
      </c>
      <c r="G979" t="s">
        <v>46</v>
      </c>
      <c r="H979">
        <v>5483</v>
      </c>
      <c r="I979">
        <v>2786</v>
      </c>
      <c r="J979">
        <v>2697</v>
      </c>
      <c r="K979" t="s">
        <v>88</v>
      </c>
      <c r="L979" t="s">
        <v>32</v>
      </c>
      <c r="M979">
        <v>1</v>
      </c>
      <c r="N979" t="s">
        <v>48</v>
      </c>
      <c r="O979" s="6">
        <f t="shared" ca="1" si="15"/>
        <v>45763</v>
      </c>
      <c r="P979">
        <v>4.3</v>
      </c>
    </row>
    <row r="980" spans="1:16" x14ac:dyDescent="0.3">
      <c r="A980" t="s">
        <v>1338</v>
      </c>
      <c r="B980" t="s">
        <v>200</v>
      </c>
      <c r="C980" t="s">
        <v>62</v>
      </c>
      <c r="D980">
        <v>45</v>
      </c>
      <c r="E980" t="s">
        <v>78</v>
      </c>
      <c r="F980" t="s">
        <v>64</v>
      </c>
      <c r="G980" t="s">
        <v>92</v>
      </c>
      <c r="H980">
        <v>3833</v>
      </c>
      <c r="I980">
        <v>928</v>
      </c>
      <c r="J980">
        <v>2905</v>
      </c>
      <c r="K980" t="s">
        <v>31</v>
      </c>
      <c r="L980" t="s">
        <v>32</v>
      </c>
      <c r="M980">
        <v>9</v>
      </c>
      <c r="N980" t="s">
        <v>95</v>
      </c>
      <c r="O980" s="6">
        <f t="shared" ca="1" si="15"/>
        <v>45897</v>
      </c>
      <c r="P980">
        <v>3.1</v>
      </c>
    </row>
    <row r="981" spans="1:16" x14ac:dyDescent="0.3">
      <c r="A981" t="s">
        <v>1339</v>
      </c>
      <c r="B981" t="s">
        <v>740</v>
      </c>
      <c r="C981" t="s">
        <v>18</v>
      </c>
      <c r="D981">
        <v>58</v>
      </c>
      <c r="E981" t="s">
        <v>19</v>
      </c>
      <c r="F981" t="s">
        <v>136</v>
      </c>
      <c r="G981" t="s">
        <v>58</v>
      </c>
      <c r="H981">
        <v>9190</v>
      </c>
      <c r="I981">
        <v>6445</v>
      </c>
      <c r="J981">
        <v>2745</v>
      </c>
      <c r="K981" t="s">
        <v>31</v>
      </c>
      <c r="L981" t="s">
        <v>47</v>
      </c>
      <c r="M981">
        <v>7</v>
      </c>
      <c r="N981" t="s">
        <v>24</v>
      </c>
      <c r="O981" s="6">
        <f t="shared" ca="1" si="15"/>
        <v>45686</v>
      </c>
      <c r="P981">
        <v>4.8</v>
      </c>
    </row>
    <row r="982" spans="1:16" x14ac:dyDescent="0.3">
      <c r="A982" t="s">
        <v>1340</v>
      </c>
      <c r="B982" t="s">
        <v>172</v>
      </c>
      <c r="C982" t="s">
        <v>18</v>
      </c>
      <c r="D982">
        <v>55</v>
      </c>
      <c r="E982" t="s">
        <v>63</v>
      </c>
      <c r="F982" t="s">
        <v>64</v>
      </c>
      <c r="G982" t="s">
        <v>79</v>
      </c>
      <c r="H982">
        <v>8918</v>
      </c>
      <c r="I982">
        <v>6391</v>
      </c>
      <c r="J982">
        <v>2527</v>
      </c>
      <c r="K982" t="s">
        <v>88</v>
      </c>
      <c r="L982" t="s">
        <v>23</v>
      </c>
      <c r="M982">
        <v>5</v>
      </c>
      <c r="N982" t="s">
        <v>193</v>
      </c>
      <c r="O982" s="6">
        <f t="shared" ca="1" si="15"/>
        <v>45896</v>
      </c>
      <c r="P982">
        <v>4</v>
      </c>
    </row>
    <row r="983" spans="1:16" x14ac:dyDescent="0.3">
      <c r="A983" t="s">
        <v>1341</v>
      </c>
      <c r="B983" t="s">
        <v>728</v>
      </c>
      <c r="C983" t="s">
        <v>36</v>
      </c>
      <c r="D983">
        <v>38</v>
      </c>
      <c r="E983" t="s">
        <v>72</v>
      </c>
      <c r="F983" t="s">
        <v>98</v>
      </c>
      <c r="G983" t="s">
        <v>30</v>
      </c>
      <c r="H983">
        <v>9241</v>
      </c>
      <c r="I983">
        <v>6818</v>
      </c>
      <c r="J983">
        <v>2423</v>
      </c>
      <c r="K983" t="s">
        <v>31</v>
      </c>
      <c r="L983" t="s">
        <v>32</v>
      </c>
      <c r="M983">
        <v>10</v>
      </c>
      <c r="N983" t="s">
        <v>48</v>
      </c>
      <c r="O983" s="6">
        <f t="shared" ca="1" si="15"/>
        <v>45739</v>
      </c>
      <c r="P983">
        <v>3.5</v>
      </c>
    </row>
    <row r="984" spans="1:16" x14ac:dyDescent="0.3">
      <c r="A984" t="s">
        <v>1342</v>
      </c>
      <c r="B984" t="s">
        <v>992</v>
      </c>
      <c r="C984" t="s">
        <v>18</v>
      </c>
      <c r="D984">
        <v>63</v>
      </c>
      <c r="E984" t="s">
        <v>72</v>
      </c>
      <c r="F984" t="s">
        <v>67</v>
      </c>
      <c r="G984" t="s">
        <v>46</v>
      </c>
      <c r="H984">
        <v>2975</v>
      </c>
      <c r="I984">
        <v>1518</v>
      </c>
      <c r="J984">
        <v>1457</v>
      </c>
      <c r="K984" t="s">
        <v>88</v>
      </c>
      <c r="L984" t="s">
        <v>23</v>
      </c>
      <c r="M984">
        <v>6</v>
      </c>
      <c r="N984" t="s">
        <v>116</v>
      </c>
      <c r="O984" s="6">
        <f t="shared" ca="1" si="15"/>
        <v>45723</v>
      </c>
      <c r="P984">
        <v>3.5</v>
      </c>
    </row>
    <row r="985" spans="1:16" x14ac:dyDescent="0.3">
      <c r="A985" t="s">
        <v>1343</v>
      </c>
      <c r="B985" t="s">
        <v>549</v>
      </c>
      <c r="C985" t="s">
        <v>56</v>
      </c>
      <c r="D985">
        <v>21</v>
      </c>
      <c r="E985" t="s">
        <v>63</v>
      </c>
      <c r="F985" t="s">
        <v>136</v>
      </c>
      <c r="G985" t="s">
        <v>58</v>
      </c>
      <c r="H985">
        <v>7245</v>
      </c>
      <c r="I985">
        <v>4433</v>
      </c>
      <c r="J985">
        <v>2812</v>
      </c>
      <c r="K985" t="s">
        <v>31</v>
      </c>
      <c r="L985" t="s">
        <v>23</v>
      </c>
      <c r="M985">
        <v>4</v>
      </c>
      <c r="N985" t="s">
        <v>48</v>
      </c>
      <c r="O985" s="6">
        <f t="shared" ca="1" si="15"/>
        <v>45980</v>
      </c>
      <c r="P985">
        <v>3.6</v>
      </c>
    </row>
    <row r="986" spans="1:16" x14ac:dyDescent="0.3">
      <c r="A986" t="s">
        <v>1344</v>
      </c>
      <c r="B986" t="s">
        <v>656</v>
      </c>
      <c r="C986" t="s">
        <v>51</v>
      </c>
      <c r="D986">
        <v>56</v>
      </c>
      <c r="E986" t="s">
        <v>57</v>
      </c>
      <c r="F986" t="s">
        <v>98</v>
      </c>
      <c r="G986" t="s">
        <v>104</v>
      </c>
      <c r="H986">
        <v>3228</v>
      </c>
      <c r="I986">
        <v>1972</v>
      </c>
      <c r="J986">
        <v>1256</v>
      </c>
      <c r="K986" t="s">
        <v>59</v>
      </c>
      <c r="L986" t="s">
        <v>32</v>
      </c>
      <c r="M986">
        <v>5</v>
      </c>
      <c r="N986" t="s">
        <v>116</v>
      </c>
      <c r="O986" s="6">
        <f t="shared" ca="1" si="15"/>
        <v>45834</v>
      </c>
      <c r="P986">
        <v>3.9</v>
      </c>
    </row>
    <row r="987" spans="1:16" x14ac:dyDescent="0.3">
      <c r="A987" t="s">
        <v>1345</v>
      </c>
      <c r="B987" t="s">
        <v>246</v>
      </c>
      <c r="C987" t="s">
        <v>129</v>
      </c>
      <c r="D987">
        <v>30</v>
      </c>
      <c r="E987" t="s">
        <v>44</v>
      </c>
      <c r="F987" t="s">
        <v>136</v>
      </c>
      <c r="G987" t="s">
        <v>30</v>
      </c>
      <c r="H987">
        <v>4318</v>
      </c>
      <c r="I987">
        <v>1437</v>
      </c>
      <c r="J987">
        <v>2881</v>
      </c>
      <c r="K987" t="s">
        <v>31</v>
      </c>
      <c r="L987" t="s">
        <v>32</v>
      </c>
      <c r="M987">
        <v>11</v>
      </c>
      <c r="N987" t="s">
        <v>74</v>
      </c>
      <c r="O987" s="6">
        <f t="shared" ca="1" si="15"/>
        <v>45742</v>
      </c>
      <c r="P987">
        <v>4.5999999999999996</v>
      </c>
    </row>
    <row r="988" spans="1:16" x14ac:dyDescent="0.3">
      <c r="A988" t="s">
        <v>1346</v>
      </c>
      <c r="B988" t="s">
        <v>180</v>
      </c>
      <c r="C988" t="s">
        <v>27</v>
      </c>
      <c r="D988">
        <v>35</v>
      </c>
      <c r="E988" t="s">
        <v>28</v>
      </c>
      <c r="F988" t="s">
        <v>45</v>
      </c>
      <c r="G988" t="s">
        <v>39</v>
      </c>
      <c r="H988">
        <v>3610</v>
      </c>
      <c r="I988">
        <v>632</v>
      </c>
      <c r="J988">
        <v>2978</v>
      </c>
      <c r="K988" t="s">
        <v>22</v>
      </c>
      <c r="L988" t="s">
        <v>47</v>
      </c>
      <c r="M988">
        <v>14</v>
      </c>
      <c r="N988" t="s">
        <v>95</v>
      </c>
      <c r="O988" s="6">
        <f t="shared" ca="1" si="15"/>
        <v>45961</v>
      </c>
      <c r="P988">
        <v>4.4000000000000004</v>
      </c>
    </row>
    <row r="989" spans="1:16" x14ac:dyDescent="0.3">
      <c r="A989" t="s">
        <v>1347</v>
      </c>
      <c r="B989" t="s">
        <v>537</v>
      </c>
      <c r="C989" t="s">
        <v>43</v>
      </c>
      <c r="D989">
        <v>27</v>
      </c>
      <c r="E989" t="s">
        <v>87</v>
      </c>
      <c r="F989" t="s">
        <v>29</v>
      </c>
      <c r="G989" t="s">
        <v>104</v>
      </c>
      <c r="H989">
        <v>3720</v>
      </c>
      <c r="I989">
        <v>1427</v>
      </c>
      <c r="J989">
        <v>2293</v>
      </c>
      <c r="K989" t="s">
        <v>68</v>
      </c>
      <c r="L989" t="s">
        <v>23</v>
      </c>
      <c r="M989">
        <v>4</v>
      </c>
      <c r="N989" t="s">
        <v>95</v>
      </c>
      <c r="O989" s="6">
        <f t="shared" ca="1" si="15"/>
        <v>45968</v>
      </c>
      <c r="P989">
        <v>4.0999999999999996</v>
      </c>
    </row>
    <row r="990" spans="1:16" x14ac:dyDescent="0.3">
      <c r="A990" t="s">
        <v>1348</v>
      </c>
      <c r="B990" t="s">
        <v>440</v>
      </c>
      <c r="C990" t="s">
        <v>103</v>
      </c>
      <c r="D990">
        <v>39</v>
      </c>
      <c r="E990" t="s">
        <v>78</v>
      </c>
      <c r="F990" t="s">
        <v>136</v>
      </c>
      <c r="G990" t="s">
        <v>58</v>
      </c>
      <c r="H990">
        <v>7147</v>
      </c>
      <c r="I990">
        <v>5472</v>
      </c>
      <c r="J990">
        <v>1675</v>
      </c>
      <c r="K990" t="s">
        <v>68</v>
      </c>
      <c r="L990" t="s">
        <v>32</v>
      </c>
      <c r="M990">
        <v>7</v>
      </c>
      <c r="N990" t="s">
        <v>95</v>
      </c>
      <c r="O990" s="6">
        <f t="shared" ca="1" si="15"/>
        <v>45996</v>
      </c>
      <c r="P990">
        <v>4.2</v>
      </c>
    </row>
    <row r="991" spans="1:16" x14ac:dyDescent="0.3">
      <c r="A991" t="s">
        <v>1349</v>
      </c>
      <c r="B991" t="s">
        <v>21</v>
      </c>
      <c r="C991" t="s">
        <v>129</v>
      </c>
      <c r="D991">
        <v>44</v>
      </c>
      <c r="E991" t="s">
        <v>28</v>
      </c>
      <c r="F991" t="s">
        <v>45</v>
      </c>
      <c r="G991" t="s">
        <v>126</v>
      </c>
      <c r="H991">
        <v>5647</v>
      </c>
      <c r="I991">
        <v>5343</v>
      </c>
      <c r="J991">
        <v>304</v>
      </c>
      <c r="K991" t="s">
        <v>31</v>
      </c>
      <c r="L991" t="s">
        <v>32</v>
      </c>
      <c r="M991">
        <v>4</v>
      </c>
      <c r="N991" t="s">
        <v>95</v>
      </c>
      <c r="O991" s="6">
        <f t="shared" ca="1" si="15"/>
        <v>45996</v>
      </c>
      <c r="P991">
        <v>4.5</v>
      </c>
    </row>
    <row r="992" spans="1:16" x14ac:dyDescent="0.3">
      <c r="A992" t="s">
        <v>1350</v>
      </c>
      <c r="B992" t="s">
        <v>318</v>
      </c>
      <c r="C992" t="s">
        <v>43</v>
      </c>
      <c r="D992">
        <v>34</v>
      </c>
      <c r="E992" t="s">
        <v>37</v>
      </c>
      <c r="F992" t="s">
        <v>67</v>
      </c>
      <c r="G992" t="s">
        <v>46</v>
      </c>
      <c r="H992">
        <v>6696</v>
      </c>
      <c r="I992">
        <v>5882</v>
      </c>
      <c r="J992">
        <v>814</v>
      </c>
      <c r="K992" t="s">
        <v>59</v>
      </c>
      <c r="L992" t="s">
        <v>23</v>
      </c>
      <c r="M992">
        <v>11</v>
      </c>
      <c r="N992" t="s">
        <v>53</v>
      </c>
      <c r="O992" s="6">
        <f t="shared" ca="1" si="15"/>
        <v>45858</v>
      </c>
      <c r="P992">
        <v>3.3</v>
      </c>
    </row>
    <row r="993" spans="1:16" x14ac:dyDescent="0.3">
      <c r="A993" t="s">
        <v>1351</v>
      </c>
      <c r="B993" t="s">
        <v>359</v>
      </c>
      <c r="C993" t="s">
        <v>51</v>
      </c>
      <c r="D993">
        <v>61</v>
      </c>
      <c r="E993" t="s">
        <v>82</v>
      </c>
      <c r="F993" t="s">
        <v>64</v>
      </c>
      <c r="G993" t="s">
        <v>92</v>
      </c>
      <c r="H993">
        <v>7201</v>
      </c>
      <c r="I993">
        <v>6505</v>
      </c>
      <c r="J993">
        <v>696</v>
      </c>
      <c r="K993" t="s">
        <v>88</v>
      </c>
      <c r="L993" t="s">
        <v>32</v>
      </c>
      <c r="M993">
        <v>9</v>
      </c>
      <c r="N993" t="s">
        <v>24</v>
      </c>
      <c r="O993" s="6">
        <f t="shared" ca="1" si="15"/>
        <v>45961</v>
      </c>
      <c r="P993">
        <v>3.6</v>
      </c>
    </row>
    <row r="994" spans="1:16" x14ac:dyDescent="0.3">
      <c r="A994" t="s">
        <v>1352</v>
      </c>
      <c r="B994" t="s">
        <v>621</v>
      </c>
      <c r="C994" t="s">
        <v>56</v>
      </c>
      <c r="D994">
        <v>41</v>
      </c>
      <c r="E994" t="s">
        <v>72</v>
      </c>
      <c r="F994" t="s">
        <v>52</v>
      </c>
      <c r="G994" t="s">
        <v>79</v>
      </c>
      <c r="H994">
        <v>4099</v>
      </c>
      <c r="I994">
        <v>2900</v>
      </c>
      <c r="J994">
        <v>1199</v>
      </c>
      <c r="K994" t="s">
        <v>88</v>
      </c>
      <c r="L994" t="s">
        <v>47</v>
      </c>
      <c r="M994">
        <v>13</v>
      </c>
      <c r="N994" t="s">
        <v>95</v>
      </c>
      <c r="O994" s="6">
        <f t="shared" ca="1" si="15"/>
        <v>45721</v>
      </c>
      <c r="P994">
        <v>3.4</v>
      </c>
    </row>
    <row r="995" spans="1:16" x14ac:dyDescent="0.3">
      <c r="A995" t="s">
        <v>1353</v>
      </c>
      <c r="B995" t="s">
        <v>630</v>
      </c>
      <c r="C995" t="s">
        <v>77</v>
      </c>
      <c r="D995">
        <v>65</v>
      </c>
      <c r="E995" t="s">
        <v>19</v>
      </c>
      <c r="F995" t="s">
        <v>91</v>
      </c>
      <c r="G995" t="s">
        <v>73</v>
      </c>
      <c r="H995">
        <v>3990</v>
      </c>
      <c r="I995">
        <v>3464</v>
      </c>
      <c r="J995">
        <v>526</v>
      </c>
      <c r="K995" t="s">
        <v>88</v>
      </c>
      <c r="L995" t="s">
        <v>47</v>
      </c>
      <c r="M995">
        <v>9</v>
      </c>
      <c r="N995" t="s">
        <v>53</v>
      </c>
      <c r="O995" s="6">
        <f t="shared" ca="1" si="15"/>
        <v>45777</v>
      </c>
      <c r="P995">
        <v>3.7</v>
      </c>
    </row>
    <row r="996" spans="1:16" x14ac:dyDescent="0.3">
      <c r="A996" t="s">
        <v>1354</v>
      </c>
      <c r="B996" t="s">
        <v>537</v>
      </c>
      <c r="C996" t="s">
        <v>56</v>
      </c>
      <c r="D996">
        <v>47</v>
      </c>
      <c r="E996" t="s">
        <v>19</v>
      </c>
      <c r="F996" t="s">
        <v>67</v>
      </c>
      <c r="G996" t="s">
        <v>126</v>
      </c>
      <c r="H996">
        <v>6107</v>
      </c>
      <c r="I996">
        <v>4904</v>
      </c>
      <c r="J996">
        <v>1203</v>
      </c>
      <c r="K996" t="s">
        <v>59</v>
      </c>
      <c r="L996" t="s">
        <v>32</v>
      </c>
      <c r="M996">
        <v>7</v>
      </c>
      <c r="N996" t="s">
        <v>118</v>
      </c>
      <c r="O996" s="6">
        <f t="shared" ca="1" si="15"/>
        <v>45921</v>
      </c>
      <c r="P996">
        <v>3.7</v>
      </c>
    </row>
    <row r="997" spans="1:16" x14ac:dyDescent="0.3">
      <c r="A997" t="s">
        <v>1355</v>
      </c>
      <c r="B997" t="s">
        <v>205</v>
      </c>
      <c r="C997" t="s">
        <v>18</v>
      </c>
      <c r="D997">
        <v>42</v>
      </c>
      <c r="E997" t="s">
        <v>57</v>
      </c>
      <c r="F997" t="s">
        <v>98</v>
      </c>
      <c r="G997" t="s">
        <v>21</v>
      </c>
      <c r="H997">
        <v>5770</v>
      </c>
      <c r="I997">
        <v>3846</v>
      </c>
      <c r="J997">
        <v>1924</v>
      </c>
      <c r="K997" t="s">
        <v>59</v>
      </c>
      <c r="L997" t="s">
        <v>47</v>
      </c>
      <c r="M997">
        <v>3</v>
      </c>
      <c r="N997" t="s">
        <v>118</v>
      </c>
      <c r="O997" s="6">
        <f t="shared" ca="1" si="15"/>
        <v>46019</v>
      </c>
      <c r="P997">
        <v>3.6</v>
      </c>
    </row>
    <row r="998" spans="1:16" x14ac:dyDescent="0.3">
      <c r="A998" t="s">
        <v>1356</v>
      </c>
      <c r="B998" t="s">
        <v>461</v>
      </c>
      <c r="C998" t="s">
        <v>56</v>
      </c>
      <c r="D998">
        <v>21</v>
      </c>
      <c r="E998" t="s">
        <v>78</v>
      </c>
      <c r="F998" t="s">
        <v>98</v>
      </c>
      <c r="G998" t="s">
        <v>73</v>
      </c>
      <c r="H998">
        <v>5128</v>
      </c>
      <c r="I998">
        <v>2657</v>
      </c>
      <c r="J998">
        <v>2471</v>
      </c>
      <c r="K998" t="s">
        <v>22</v>
      </c>
      <c r="L998" t="s">
        <v>47</v>
      </c>
      <c r="M998">
        <v>8</v>
      </c>
      <c r="N998" t="s">
        <v>53</v>
      </c>
      <c r="O998" s="6">
        <f t="shared" ca="1" si="15"/>
        <v>45950</v>
      </c>
      <c r="P998">
        <v>4.9000000000000004</v>
      </c>
    </row>
    <row r="999" spans="1:16" x14ac:dyDescent="0.3">
      <c r="A999" t="s">
        <v>1357</v>
      </c>
      <c r="B999" t="s">
        <v>133</v>
      </c>
      <c r="C999" t="s">
        <v>129</v>
      </c>
      <c r="D999">
        <v>25</v>
      </c>
      <c r="E999" t="s">
        <v>78</v>
      </c>
      <c r="F999" t="s">
        <v>29</v>
      </c>
      <c r="G999" t="s">
        <v>92</v>
      </c>
      <c r="H999">
        <v>5608</v>
      </c>
      <c r="I999">
        <v>3679</v>
      </c>
      <c r="J999">
        <v>1929</v>
      </c>
      <c r="K999" t="s">
        <v>68</v>
      </c>
      <c r="L999" t="s">
        <v>32</v>
      </c>
      <c r="M999">
        <v>7</v>
      </c>
      <c r="N999" t="s">
        <v>74</v>
      </c>
      <c r="O999" s="6">
        <f t="shared" ca="1" si="15"/>
        <v>45796</v>
      </c>
      <c r="P999">
        <v>3.3</v>
      </c>
    </row>
    <row r="1000" spans="1:16" x14ac:dyDescent="0.3">
      <c r="A1000" t="s">
        <v>1358</v>
      </c>
      <c r="B1000" t="s">
        <v>264</v>
      </c>
      <c r="C1000" t="s">
        <v>43</v>
      </c>
      <c r="D1000">
        <v>58</v>
      </c>
      <c r="E1000" t="s">
        <v>44</v>
      </c>
      <c r="F1000" t="s">
        <v>67</v>
      </c>
      <c r="G1000" t="s">
        <v>21</v>
      </c>
      <c r="H1000">
        <v>6801</v>
      </c>
      <c r="I1000">
        <v>6416</v>
      </c>
      <c r="J1000">
        <v>385</v>
      </c>
      <c r="K1000" t="s">
        <v>88</v>
      </c>
      <c r="L1000" t="s">
        <v>23</v>
      </c>
      <c r="M1000">
        <v>15</v>
      </c>
      <c r="N1000" t="s">
        <v>95</v>
      </c>
      <c r="O1000" s="6">
        <f t="shared" ca="1" si="15"/>
        <v>45867</v>
      </c>
      <c r="P1000">
        <v>4.3</v>
      </c>
    </row>
    <row r="1001" spans="1:16" x14ac:dyDescent="0.3">
      <c r="A1001" t="s">
        <v>1359</v>
      </c>
      <c r="B1001" t="s">
        <v>598</v>
      </c>
      <c r="C1001" t="s">
        <v>103</v>
      </c>
      <c r="D1001">
        <v>39</v>
      </c>
      <c r="E1001" t="s">
        <v>63</v>
      </c>
      <c r="F1001" t="s">
        <v>20</v>
      </c>
      <c r="G1001" t="s">
        <v>126</v>
      </c>
      <c r="H1001">
        <v>9042</v>
      </c>
      <c r="I1001">
        <v>6428</v>
      </c>
      <c r="J1001">
        <v>2614</v>
      </c>
      <c r="K1001" t="s">
        <v>59</v>
      </c>
      <c r="L1001" t="s">
        <v>47</v>
      </c>
      <c r="M1001">
        <v>4</v>
      </c>
      <c r="N1001" t="s">
        <v>40</v>
      </c>
      <c r="O1001" s="6">
        <f t="shared" ca="1" si="15"/>
        <v>45913</v>
      </c>
      <c r="P100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33E7F-FC9D-4516-B7B9-07BFC8985D50}">
  <dimension ref="A3:D301"/>
  <sheetViews>
    <sheetView showGridLines="0" topLeftCell="A286" zoomScale="115" zoomScaleNormal="115" workbookViewId="0">
      <selection activeCell="A290" sqref="A290:B301"/>
    </sheetView>
  </sheetViews>
  <sheetFormatPr defaultRowHeight="14.4" x14ac:dyDescent="0.3"/>
  <cols>
    <col min="1" max="1" width="12.5546875" bestFit="1" customWidth="1"/>
    <col min="2" max="2" width="15.33203125" bestFit="1" customWidth="1"/>
    <col min="3" max="3" width="12.109375" bestFit="1" customWidth="1"/>
    <col min="4" max="31" width="6.44140625" bestFit="1" customWidth="1"/>
    <col min="32" max="57" width="6.6640625" bestFit="1" customWidth="1"/>
    <col min="58" max="85" width="7.109375" bestFit="1" customWidth="1"/>
    <col min="86" max="113" width="6.6640625" bestFit="1" customWidth="1"/>
    <col min="114" max="142" width="7.44140625" bestFit="1" customWidth="1"/>
    <col min="143" max="172" width="6.5546875" bestFit="1" customWidth="1"/>
    <col min="173" max="202" width="5.88671875" bestFit="1" customWidth="1"/>
    <col min="203" max="231" width="7" bestFit="1" customWidth="1"/>
    <col min="232" max="257" width="6.77734375" bestFit="1" customWidth="1"/>
    <col min="258" max="287" width="6.5546875" bestFit="1" customWidth="1"/>
    <col min="288" max="316" width="7.109375" bestFit="1" customWidth="1"/>
    <col min="317" max="346" width="6.77734375" bestFit="1" customWidth="1"/>
    <col min="347" max="347" width="10.77734375" bestFit="1" customWidth="1"/>
  </cols>
  <sheetData>
    <row r="3" spans="1:3" x14ac:dyDescent="0.3">
      <c r="A3" s="4" t="s">
        <v>1361</v>
      </c>
      <c r="B3" t="s">
        <v>1360</v>
      </c>
    </row>
    <row r="4" spans="1:3" x14ac:dyDescent="0.3">
      <c r="A4" s="5" t="s">
        <v>1363</v>
      </c>
      <c r="B4" s="3">
        <v>84</v>
      </c>
    </row>
    <row r="5" spans="1:3" x14ac:dyDescent="0.3">
      <c r="A5" s="5" t="s">
        <v>1364</v>
      </c>
      <c r="B5" s="3">
        <v>83</v>
      </c>
    </row>
    <row r="6" spans="1:3" x14ac:dyDescent="0.3">
      <c r="A6" s="5" t="s">
        <v>1365</v>
      </c>
      <c r="B6" s="3">
        <v>81</v>
      </c>
    </row>
    <row r="7" spans="1:3" x14ac:dyDescent="0.3">
      <c r="A7" s="5" t="s">
        <v>1366</v>
      </c>
      <c r="B7" s="3">
        <v>88</v>
      </c>
    </row>
    <row r="8" spans="1:3" x14ac:dyDescent="0.3">
      <c r="A8" s="5" t="s">
        <v>1367</v>
      </c>
      <c r="B8" s="3">
        <v>82</v>
      </c>
    </row>
    <row r="9" spans="1:3" x14ac:dyDescent="0.3">
      <c r="A9" s="5" t="s">
        <v>1368</v>
      </c>
      <c r="B9" s="3">
        <v>79</v>
      </c>
    </row>
    <row r="10" spans="1:3" x14ac:dyDescent="0.3">
      <c r="A10" s="5" t="s">
        <v>1369</v>
      </c>
      <c r="B10" s="3">
        <v>98</v>
      </c>
    </row>
    <row r="11" spans="1:3" x14ac:dyDescent="0.3">
      <c r="A11" s="5" t="s">
        <v>1370</v>
      </c>
      <c r="B11" s="3">
        <v>94</v>
      </c>
    </row>
    <row r="12" spans="1:3" x14ac:dyDescent="0.3">
      <c r="A12" s="5" t="s">
        <v>1371</v>
      </c>
      <c r="B12" s="3">
        <v>63</v>
      </c>
    </row>
    <row r="13" spans="1:3" x14ac:dyDescent="0.3">
      <c r="A13" s="5" t="s">
        <v>1372</v>
      </c>
      <c r="B13" s="3">
        <v>82</v>
      </c>
    </row>
    <row r="14" spans="1:3" x14ac:dyDescent="0.3">
      <c r="A14" s="5" t="s">
        <v>1373</v>
      </c>
      <c r="B14" s="3">
        <v>88</v>
      </c>
    </row>
    <row r="15" spans="1:3" x14ac:dyDescent="0.3">
      <c r="A15" s="5" t="s">
        <v>1374</v>
      </c>
      <c r="B15" s="3">
        <v>78</v>
      </c>
    </row>
    <row r="16" spans="1:3" x14ac:dyDescent="0.3">
      <c r="A16" s="5" t="s">
        <v>1362</v>
      </c>
      <c r="B16" s="3">
        <v>1000</v>
      </c>
      <c r="C16">
        <f>GETPIVOTDATA("Customer ID",$A$3)</f>
        <v>1000</v>
      </c>
    </row>
    <row r="20" spans="1:2" x14ac:dyDescent="0.3">
      <c r="A20" s="4" t="s">
        <v>1361</v>
      </c>
      <c r="B20" t="s">
        <v>1375</v>
      </c>
    </row>
    <row r="21" spans="1:2" x14ac:dyDescent="0.3">
      <c r="A21" s="5" t="s">
        <v>1363</v>
      </c>
      <c r="B21" s="3">
        <v>460178</v>
      </c>
    </row>
    <row r="22" spans="1:2" x14ac:dyDescent="0.3">
      <c r="A22" s="5" t="s">
        <v>1364</v>
      </c>
      <c r="B22" s="3">
        <v>466349</v>
      </c>
    </row>
    <row r="23" spans="1:2" x14ac:dyDescent="0.3">
      <c r="A23" s="5" t="s">
        <v>1365</v>
      </c>
      <c r="B23" s="3">
        <v>440498</v>
      </c>
    </row>
    <row r="24" spans="1:2" x14ac:dyDescent="0.3">
      <c r="A24" s="5" t="s">
        <v>1366</v>
      </c>
      <c r="B24" s="3">
        <v>496239</v>
      </c>
    </row>
    <row r="25" spans="1:2" x14ac:dyDescent="0.3">
      <c r="A25" s="5" t="s">
        <v>1367</v>
      </c>
      <c r="B25" s="3">
        <v>418469</v>
      </c>
    </row>
    <row r="26" spans="1:2" x14ac:dyDescent="0.3">
      <c r="A26" s="5" t="s">
        <v>1368</v>
      </c>
      <c r="B26" s="3">
        <v>420227</v>
      </c>
    </row>
    <row r="27" spans="1:2" x14ac:dyDescent="0.3">
      <c r="A27" s="5" t="s">
        <v>1369</v>
      </c>
      <c r="B27" s="3">
        <v>530064</v>
      </c>
    </row>
    <row r="28" spans="1:2" x14ac:dyDescent="0.3">
      <c r="A28" s="5" t="s">
        <v>1370</v>
      </c>
      <c r="B28" s="3">
        <v>496181</v>
      </c>
    </row>
    <row r="29" spans="1:2" x14ac:dyDescent="0.3">
      <c r="A29" s="5" t="s">
        <v>1371</v>
      </c>
      <c r="B29" s="3">
        <v>337715</v>
      </c>
    </row>
    <row r="30" spans="1:2" x14ac:dyDescent="0.3">
      <c r="A30" s="5" t="s">
        <v>1372</v>
      </c>
      <c r="B30" s="3">
        <v>428134</v>
      </c>
    </row>
    <row r="31" spans="1:2" x14ac:dyDescent="0.3">
      <c r="A31" s="5" t="s">
        <v>1373</v>
      </c>
      <c r="B31" s="3">
        <v>451812</v>
      </c>
    </row>
    <row r="32" spans="1:2" x14ac:dyDescent="0.3">
      <c r="A32" s="5" t="s">
        <v>1374</v>
      </c>
      <c r="B32" s="3">
        <v>437301</v>
      </c>
    </row>
    <row r="33" spans="1:3" x14ac:dyDescent="0.3">
      <c r="A33" s="5" t="s">
        <v>1362</v>
      </c>
      <c r="B33" s="3">
        <v>5383167</v>
      </c>
      <c r="C33" s="7">
        <f>GETPIVOTDATA("Fees",$A$20)</f>
        <v>5383167</v>
      </c>
    </row>
    <row r="36" spans="1:3" x14ac:dyDescent="0.3">
      <c r="B36" s="4" t="s">
        <v>1361</v>
      </c>
      <c r="C36" s="8" t="s">
        <v>1376</v>
      </c>
    </row>
    <row r="37" spans="1:3" x14ac:dyDescent="0.3">
      <c r="B37" s="5" t="s">
        <v>1363</v>
      </c>
      <c r="C37" s="9">
        <v>3.6833333333333336</v>
      </c>
    </row>
    <row r="38" spans="1:3" x14ac:dyDescent="0.3">
      <c r="B38" s="5" t="s">
        <v>1364</v>
      </c>
      <c r="C38" s="9">
        <v>3.7469879518072298</v>
      </c>
    </row>
    <row r="39" spans="1:3" x14ac:dyDescent="0.3">
      <c r="B39" s="5" t="s">
        <v>1365</v>
      </c>
      <c r="C39" s="9">
        <v>3.7148148148148143</v>
      </c>
    </row>
    <row r="40" spans="1:3" x14ac:dyDescent="0.3">
      <c r="B40" s="5" t="s">
        <v>1366</v>
      </c>
      <c r="C40" s="9">
        <v>3.538636363636364</v>
      </c>
    </row>
    <row r="41" spans="1:3" x14ac:dyDescent="0.3">
      <c r="B41" s="5" t="s">
        <v>1367</v>
      </c>
      <c r="C41" s="9">
        <v>3.8329268292682892</v>
      </c>
    </row>
    <row r="42" spans="1:3" x14ac:dyDescent="0.3">
      <c r="B42" s="5" t="s">
        <v>1368</v>
      </c>
      <c r="C42" s="9">
        <v>3.8025316455696201</v>
      </c>
    </row>
    <row r="43" spans="1:3" x14ac:dyDescent="0.3">
      <c r="B43" s="5" t="s">
        <v>1369</v>
      </c>
      <c r="C43" s="9">
        <v>3.6765306122448993</v>
      </c>
    </row>
    <row r="44" spans="1:3" x14ac:dyDescent="0.3">
      <c r="B44" s="5" t="s">
        <v>1370</v>
      </c>
      <c r="C44" s="9">
        <v>3.7074468085106389</v>
      </c>
    </row>
    <row r="45" spans="1:3" x14ac:dyDescent="0.3">
      <c r="B45" s="5" t="s">
        <v>1371</v>
      </c>
      <c r="C45" s="9">
        <v>3.8698412698412694</v>
      </c>
    </row>
    <row r="46" spans="1:3" x14ac:dyDescent="0.3">
      <c r="B46" s="5" t="s">
        <v>1372</v>
      </c>
      <c r="C46" s="9">
        <v>3.6219512195121952</v>
      </c>
    </row>
    <row r="47" spans="1:3" x14ac:dyDescent="0.3">
      <c r="B47" s="5" t="s">
        <v>1373</v>
      </c>
      <c r="C47" s="9">
        <v>3.669318181818181</v>
      </c>
    </row>
    <row r="48" spans="1:3" x14ac:dyDescent="0.3">
      <c r="B48" s="5" t="s">
        <v>1374</v>
      </c>
      <c r="C48" s="9">
        <v>3.7269230769230774</v>
      </c>
    </row>
    <row r="49" spans="2:4" x14ac:dyDescent="0.3">
      <c r="B49" s="5" t="s">
        <v>1362</v>
      </c>
      <c r="C49" s="9">
        <v>3.7106000000000012</v>
      </c>
      <c r="D49" s="10">
        <f>GETPIVOTDATA("Rating Out of 5",$B$36)</f>
        <v>3.7106000000000012</v>
      </c>
    </row>
    <row r="52" spans="2:4" x14ac:dyDescent="0.3">
      <c r="B52" s="4" t="s">
        <v>1361</v>
      </c>
      <c r="C52" s="8" t="s">
        <v>1377</v>
      </c>
    </row>
    <row r="53" spans="2:4" x14ac:dyDescent="0.3">
      <c r="B53" s="5" t="s">
        <v>1363</v>
      </c>
      <c r="C53" s="8">
        <v>84</v>
      </c>
    </row>
    <row r="54" spans="2:4" x14ac:dyDescent="0.3">
      <c r="B54" s="5" t="s">
        <v>1364</v>
      </c>
      <c r="C54" s="8">
        <v>83</v>
      </c>
    </row>
    <row r="55" spans="2:4" x14ac:dyDescent="0.3">
      <c r="B55" s="5" t="s">
        <v>1365</v>
      </c>
      <c r="C55" s="8">
        <v>81</v>
      </c>
    </row>
    <row r="56" spans="2:4" x14ac:dyDescent="0.3">
      <c r="B56" s="5" t="s">
        <v>1366</v>
      </c>
      <c r="C56" s="8">
        <v>88</v>
      </c>
    </row>
    <row r="57" spans="2:4" x14ac:dyDescent="0.3">
      <c r="B57" s="5" t="s">
        <v>1367</v>
      </c>
      <c r="C57" s="8">
        <v>82</v>
      </c>
    </row>
    <row r="58" spans="2:4" x14ac:dyDescent="0.3">
      <c r="B58" s="5" t="s">
        <v>1368</v>
      </c>
      <c r="C58" s="8">
        <v>79</v>
      </c>
    </row>
    <row r="59" spans="2:4" x14ac:dyDescent="0.3">
      <c r="B59" s="5" t="s">
        <v>1369</v>
      </c>
      <c r="C59" s="8">
        <v>98</v>
      </c>
    </row>
    <row r="60" spans="2:4" x14ac:dyDescent="0.3">
      <c r="B60" s="5" t="s">
        <v>1370</v>
      </c>
      <c r="C60" s="8">
        <v>94</v>
      </c>
    </row>
    <row r="61" spans="2:4" x14ac:dyDescent="0.3">
      <c r="B61" s="5" t="s">
        <v>1371</v>
      </c>
      <c r="C61" s="8">
        <v>63</v>
      </c>
    </row>
    <row r="62" spans="2:4" x14ac:dyDescent="0.3">
      <c r="B62" s="5" t="s">
        <v>1372</v>
      </c>
      <c r="C62" s="8">
        <v>82</v>
      </c>
    </row>
    <row r="63" spans="2:4" x14ac:dyDescent="0.3">
      <c r="B63" s="5" t="s">
        <v>1373</v>
      </c>
      <c r="C63" s="8">
        <v>88</v>
      </c>
    </row>
    <row r="64" spans="2:4" x14ac:dyDescent="0.3">
      <c r="B64" s="5" t="s">
        <v>1374</v>
      </c>
      <c r="C64" s="8">
        <v>78</v>
      </c>
    </row>
    <row r="65" spans="2:4" x14ac:dyDescent="0.3">
      <c r="B65" s="5" t="s">
        <v>1362</v>
      </c>
      <c r="C65" s="8">
        <v>1000</v>
      </c>
      <c r="D65" s="10"/>
    </row>
    <row r="68" spans="2:4" x14ac:dyDescent="0.3">
      <c r="B68" s="4" t="s">
        <v>1361</v>
      </c>
      <c r="C68" s="8" t="s">
        <v>1377</v>
      </c>
    </row>
    <row r="69" spans="2:4" x14ac:dyDescent="0.3">
      <c r="B69" s="5" t="s">
        <v>36</v>
      </c>
      <c r="C69" s="8">
        <v>92</v>
      </c>
    </row>
    <row r="70" spans="2:4" x14ac:dyDescent="0.3">
      <c r="B70" s="5" t="s">
        <v>43</v>
      </c>
      <c r="C70" s="8">
        <v>103</v>
      </c>
    </row>
    <row r="71" spans="2:4" x14ac:dyDescent="0.3">
      <c r="B71" s="5" t="s">
        <v>51</v>
      </c>
      <c r="C71" s="8">
        <v>98</v>
      </c>
    </row>
    <row r="72" spans="2:4" x14ac:dyDescent="0.3">
      <c r="B72" s="5" t="s">
        <v>27</v>
      </c>
      <c r="C72" s="8">
        <v>104</v>
      </c>
    </row>
    <row r="73" spans="2:4" x14ac:dyDescent="0.3">
      <c r="B73" s="5" t="s">
        <v>18</v>
      </c>
      <c r="C73" s="8">
        <v>90</v>
      </c>
    </row>
    <row r="74" spans="2:4" x14ac:dyDescent="0.3">
      <c r="B74" s="5" t="s">
        <v>103</v>
      </c>
      <c r="C74" s="8">
        <v>103</v>
      </c>
    </row>
    <row r="75" spans="2:4" x14ac:dyDescent="0.3">
      <c r="B75" s="5" t="s">
        <v>56</v>
      </c>
      <c r="C75" s="8">
        <v>108</v>
      </c>
    </row>
    <row r="76" spans="2:4" x14ac:dyDescent="0.3">
      <c r="B76" s="5" t="s">
        <v>129</v>
      </c>
      <c r="C76" s="8">
        <v>99</v>
      </c>
    </row>
    <row r="77" spans="2:4" x14ac:dyDescent="0.3">
      <c r="B77" s="5" t="s">
        <v>77</v>
      </c>
      <c r="C77" s="8">
        <v>101</v>
      </c>
    </row>
    <row r="78" spans="2:4" x14ac:dyDescent="0.3">
      <c r="B78" s="5" t="s">
        <v>62</v>
      </c>
      <c r="C78" s="8">
        <v>102</v>
      </c>
    </row>
    <row r="79" spans="2:4" x14ac:dyDescent="0.3">
      <c r="B79" s="5" t="s">
        <v>1362</v>
      </c>
      <c r="C79" s="8">
        <v>1000</v>
      </c>
    </row>
    <row r="84" spans="2:3" x14ac:dyDescent="0.3">
      <c r="B84" s="4" t="s">
        <v>1361</v>
      </c>
      <c r="C84" s="8" t="s">
        <v>1378</v>
      </c>
    </row>
    <row r="85" spans="2:3" x14ac:dyDescent="0.3">
      <c r="B85" s="5" t="s">
        <v>32</v>
      </c>
      <c r="C85" s="11">
        <v>0.33800000000000002</v>
      </c>
    </row>
    <row r="86" spans="2:3" x14ac:dyDescent="0.3">
      <c r="B86" s="5" t="s">
        <v>23</v>
      </c>
      <c r="C86" s="11">
        <v>0.33300000000000002</v>
      </c>
    </row>
    <row r="87" spans="2:3" x14ac:dyDescent="0.3">
      <c r="B87" s="5" t="s">
        <v>47</v>
      </c>
      <c r="C87" s="11">
        <v>0.32900000000000001</v>
      </c>
    </row>
    <row r="88" spans="2:3" x14ac:dyDescent="0.3">
      <c r="B88" s="5" t="s">
        <v>1362</v>
      </c>
      <c r="C88" s="11">
        <v>1</v>
      </c>
    </row>
    <row r="93" spans="2:3" x14ac:dyDescent="0.3">
      <c r="B93" s="4" t="s">
        <v>1361</v>
      </c>
      <c r="C93" s="8" t="s">
        <v>1379</v>
      </c>
    </row>
    <row r="94" spans="2:3" x14ac:dyDescent="0.3">
      <c r="B94" s="5" t="s">
        <v>87</v>
      </c>
      <c r="C94" s="8">
        <v>89</v>
      </c>
    </row>
    <row r="95" spans="2:3" x14ac:dyDescent="0.3">
      <c r="B95" s="5" t="s">
        <v>78</v>
      </c>
      <c r="C95" s="8">
        <v>116</v>
      </c>
    </row>
    <row r="96" spans="2:3" x14ac:dyDescent="0.3">
      <c r="B96" s="5" t="s">
        <v>44</v>
      </c>
      <c r="C96" s="8">
        <v>106</v>
      </c>
    </row>
    <row r="97" spans="1:3" x14ac:dyDescent="0.3">
      <c r="B97" s="5" t="s">
        <v>82</v>
      </c>
      <c r="C97" s="8">
        <v>94</v>
      </c>
    </row>
    <row r="98" spans="1:3" x14ac:dyDescent="0.3">
      <c r="B98" s="5" t="s">
        <v>63</v>
      </c>
      <c r="C98" s="8">
        <v>104</v>
      </c>
    </row>
    <row r="99" spans="1:3" x14ac:dyDescent="0.3">
      <c r="B99" s="5" t="s">
        <v>19</v>
      </c>
      <c r="C99" s="8">
        <v>108</v>
      </c>
    </row>
    <row r="100" spans="1:3" x14ac:dyDescent="0.3">
      <c r="B100" s="5" t="s">
        <v>72</v>
      </c>
      <c r="C100" s="8">
        <v>101</v>
      </c>
    </row>
    <row r="101" spans="1:3" x14ac:dyDescent="0.3">
      <c r="B101" s="5" t="s">
        <v>37</v>
      </c>
      <c r="C101" s="8">
        <v>98</v>
      </c>
    </row>
    <row r="102" spans="1:3" x14ac:dyDescent="0.3">
      <c r="B102" s="5" t="s">
        <v>57</v>
      </c>
      <c r="C102" s="8">
        <v>91</v>
      </c>
    </row>
    <row r="103" spans="1:3" x14ac:dyDescent="0.3">
      <c r="B103" s="5" t="s">
        <v>28</v>
      </c>
      <c r="C103" s="8">
        <v>93</v>
      </c>
    </row>
    <row r="104" spans="1:3" x14ac:dyDescent="0.3">
      <c r="B104" s="5" t="s">
        <v>1362</v>
      </c>
      <c r="C104" s="8">
        <v>1000</v>
      </c>
    </row>
    <row r="108" spans="1:3" x14ac:dyDescent="0.3">
      <c r="A108" s="4" t="s">
        <v>1361</v>
      </c>
      <c r="B108" s="8" t="s">
        <v>1380</v>
      </c>
    </row>
    <row r="109" spans="1:3" x14ac:dyDescent="0.3">
      <c r="A109" s="5" t="s">
        <v>1363</v>
      </c>
      <c r="B109" s="8">
        <v>6.8214285714285712</v>
      </c>
    </row>
    <row r="110" spans="1:3" x14ac:dyDescent="0.3">
      <c r="A110" s="5" t="s">
        <v>1364</v>
      </c>
      <c r="B110" s="8">
        <v>7.1807228915662646</v>
      </c>
      <c r="C110" s="8">
        <f>GETPIVOTDATA("Days to Complete",$A$108)</f>
        <v>7.19</v>
      </c>
    </row>
    <row r="111" spans="1:3" x14ac:dyDescent="0.3">
      <c r="A111" s="5" t="s">
        <v>1365</v>
      </c>
      <c r="B111" s="8">
        <v>7.0864197530864201</v>
      </c>
    </row>
    <row r="112" spans="1:3" x14ac:dyDescent="0.3">
      <c r="A112" s="5" t="s">
        <v>1366</v>
      </c>
      <c r="B112" s="8">
        <v>7.125</v>
      </c>
    </row>
    <row r="113" spans="1:2" x14ac:dyDescent="0.3">
      <c r="A113" s="5" t="s">
        <v>1367</v>
      </c>
      <c r="B113" s="8">
        <v>7.1585365853658534</v>
      </c>
    </row>
    <row r="114" spans="1:2" x14ac:dyDescent="0.3">
      <c r="A114" s="5" t="s">
        <v>1368</v>
      </c>
      <c r="B114" s="8">
        <v>7.6708860759493671</v>
      </c>
    </row>
    <row r="115" spans="1:2" x14ac:dyDescent="0.3">
      <c r="A115" s="5" t="s">
        <v>1369</v>
      </c>
      <c r="B115" s="8">
        <v>7.7551020408163263</v>
      </c>
    </row>
    <row r="116" spans="1:2" x14ac:dyDescent="0.3">
      <c r="A116" s="5" t="s">
        <v>1370</v>
      </c>
      <c r="B116" s="8">
        <v>7.2340425531914896</v>
      </c>
    </row>
    <row r="117" spans="1:2" x14ac:dyDescent="0.3">
      <c r="A117" s="5" t="s">
        <v>1371</v>
      </c>
      <c r="B117" s="8">
        <v>7.1111111111111107</v>
      </c>
    </row>
    <row r="118" spans="1:2" x14ac:dyDescent="0.3">
      <c r="A118" s="5" t="s">
        <v>1372</v>
      </c>
      <c r="B118" s="8">
        <v>6.4146341463414638</v>
      </c>
    </row>
    <row r="119" spans="1:2" x14ac:dyDescent="0.3">
      <c r="A119" s="5" t="s">
        <v>1373</v>
      </c>
      <c r="B119" s="8">
        <v>7.8409090909090908</v>
      </c>
    </row>
    <row r="120" spans="1:2" x14ac:dyDescent="0.3">
      <c r="A120" s="5" t="s">
        <v>1374</v>
      </c>
      <c r="B120" s="8">
        <v>6.7051282051282053</v>
      </c>
    </row>
    <row r="121" spans="1:2" x14ac:dyDescent="0.3">
      <c r="A121" s="5" t="s">
        <v>1362</v>
      </c>
      <c r="B121" s="8">
        <v>7.19</v>
      </c>
    </row>
    <row r="127" spans="1:2" x14ac:dyDescent="0.3">
      <c r="A127" s="4" t="s">
        <v>1361</v>
      </c>
      <c r="B127" s="8" t="s">
        <v>1381</v>
      </c>
    </row>
    <row r="128" spans="1:2" x14ac:dyDescent="0.3">
      <c r="A128" s="5" t="s">
        <v>1363</v>
      </c>
      <c r="B128" s="8">
        <v>15</v>
      </c>
    </row>
    <row r="129" spans="1:3" x14ac:dyDescent="0.3">
      <c r="A129" s="5" t="s">
        <v>1364</v>
      </c>
      <c r="B129" s="8">
        <v>15</v>
      </c>
      <c r="C129" s="8"/>
    </row>
    <row r="130" spans="1:3" x14ac:dyDescent="0.3">
      <c r="A130" s="5" t="s">
        <v>1365</v>
      </c>
      <c r="B130" s="8">
        <v>15</v>
      </c>
    </row>
    <row r="131" spans="1:3" x14ac:dyDescent="0.3">
      <c r="A131" s="5" t="s">
        <v>1366</v>
      </c>
      <c r="B131" s="8">
        <v>15</v>
      </c>
    </row>
    <row r="132" spans="1:3" x14ac:dyDescent="0.3">
      <c r="A132" s="5" t="s">
        <v>1367</v>
      </c>
      <c r="B132" s="8">
        <v>15</v>
      </c>
    </row>
    <row r="133" spans="1:3" x14ac:dyDescent="0.3">
      <c r="A133" s="5" t="s">
        <v>1368</v>
      </c>
      <c r="B133" s="8">
        <v>15</v>
      </c>
    </row>
    <row r="134" spans="1:3" x14ac:dyDescent="0.3">
      <c r="A134" s="5" t="s">
        <v>1369</v>
      </c>
      <c r="B134" s="8">
        <v>15</v>
      </c>
    </row>
    <row r="135" spans="1:3" x14ac:dyDescent="0.3">
      <c r="A135" s="5" t="s">
        <v>1370</v>
      </c>
      <c r="B135" s="8">
        <v>15</v>
      </c>
    </row>
    <row r="136" spans="1:3" x14ac:dyDescent="0.3">
      <c r="A136" s="5" t="s">
        <v>1371</v>
      </c>
      <c r="B136" s="8">
        <v>15</v>
      </c>
    </row>
    <row r="137" spans="1:3" x14ac:dyDescent="0.3">
      <c r="A137" s="5" t="s">
        <v>1372</v>
      </c>
      <c r="B137" s="8">
        <v>15</v>
      </c>
    </row>
    <row r="138" spans="1:3" x14ac:dyDescent="0.3">
      <c r="A138" s="5" t="s">
        <v>1373</v>
      </c>
      <c r="B138" s="8">
        <v>15</v>
      </c>
    </row>
    <row r="139" spans="1:3" x14ac:dyDescent="0.3">
      <c r="A139" s="5" t="s">
        <v>1374</v>
      </c>
      <c r="B139" s="8">
        <v>15</v>
      </c>
    </row>
    <row r="140" spans="1:3" x14ac:dyDescent="0.3">
      <c r="A140" s="5" t="s">
        <v>1362</v>
      </c>
      <c r="B140" s="8">
        <v>15</v>
      </c>
      <c r="C140">
        <f>GETPIVOTDATA("Days to Complete",$A$127)</f>
        <v>15</v>
      </c>
    </row>
    <row r="145" spans="2:3" x14ac:dyDescent="0.3">
      <c r="B145" s="4" t="s">
        <v>1361</v>
      </c>
      <c r="C145" s="8" t="s">
        <v>1377</v>
      </c>
    </row>
    <row r="146" spans="2:3" x14ac:dyDescent="0.3">
      <c r="B146" s="5" t="s">
        <v>21</v>
      </c>
      <c r="C146" s="8">
        <v>106</v>
      </c>
    </row>
    <row r="147" spans="2:3" x14ac:dyDescent="0.3">
      <c r="B147" s="5" t="s">
        <v>104</v>
      </c>
      <c r="C147" s="8">
        <v>99</v>
      </c>
    </row>
    <row r="148" spans="2:3" x14ac:dyDescent="0.3">
      <c r="B148" s="5" t="s">
        <v>79</v>
      </c>
      <c r="C148" s="8">
        <v>88</v>
      </c>
    </row>
    <row r="149" spans="2:3" x14ac:dyDescent="0.3">
      <c r="B149" s="5" t="s">
        <v>126</v>
      </c>
      <c r="C149" s="8">
        <v>116</v>
      </c>
    </row>
    <row r="150" spans="2:3" x14ac:dyDescent="0.3">
      <c r="B150" s="5" t="s">
        <v>92</v>
      </c>
      <c r="C150" s="8">
        <v>104</v>
      </c>
    </row>
    <row r="151" spans="2:3" x14ac:dyDescent="0.3">
      <c r="B151" s="5" t="s">
        <v>58</v>
      </c>
      <c r="C151" s="8">
        <v>103</v>
      </c>
    </row>
    <row r="152" spans="2:3" x14ac:dyDescent="0.3">
      <c r="B152" s="5" t="s">
        <v>46</v>
      </c>
      <c r="C152" s="8">
        <v>94</v>
      </c>
    </row>
    <row r="153" spans="2:3" x14ac:dyDescent="0.3">
      <c r="B153" s="5" t="s">
        <v>73</v>
      </c>
      <c r="C153" s="8">
        <v>112</v>
      </c>
    </row>
    <row r="154" spans="2:3" x14ac:dyDescent="0.3">
      <c r="B154" s="5" t="s">
        <v>39</v>
      </c>
      <c r="C154" s="8">
        <v>99</v>
      </c>
    </row>
    <row r="155" spans="2:3" x14ac:dyDescent="0.3">
      <c r="B155" s="5" t="s">
        <v>30</v>
      </c>
      <c r="C155" s="8">
        <v>79</v>
      </c>
    </row>
    <row r="156" spans="2:3" x14ac:dyDescent="0.3">
      <c r="B156" s="5" t="s">
        <v>1362</v>
      </c>
      <c r="C156" s="8">
        <v>1000</v>
      </c>
    </row>
    <row r="162" spans="2:3" x14ac:dyDescent="0.3">
      <c r="B162" s="4" t="s">
        <v>1361</v>
      </c>
      <c r="C162" s="8" t="s">
        <v>1382</v>
      </c>
    </row>
    <row r="163" spans="2:3" x14ac:dyDescent="0.3">
      <c r="B163" s="5" t="s">
        <v>21</v>
      </c>
      <c r="C163" s="8">
        <v>175368</v>
      </c>
    </row>
    <row r="164" spans="2:3" x14ac:dyDescent="0.3">
      <c r="B164" s="5" t="s">
        <v>104</v>
      </c>
      <c r="C164" s="8">
        <v>166560</v>
      </c>
    </row>
    <row r="165" spans="2:3" x14ac:dyDescent="0.3">
      <c r="B165" s="5" t="s">
        <v>79</v>
      </c>
      <c r="C165" s="8">
        <v>139773</v>
      </c>
    </row>
    <row r="166" spans="2:3" x14ac:dyDescent="0.3">
      <c r="B166" s="5" t="s">
        <v>126</v>
      </c>
      <c r="C166" s="8">
        <v>195890</v>
      </c>
    </row>
    <row r="167" spans="2:3" x14ac:dyDescent="0.3">
      <c r="B167" s="5" t="s">
        <v>92</v>
      </c>
      <c r="C167" s="8">
        <v>164167</v>
      </c>
    </row>
    <row r="168" spans="2:3" x14ac:dyDescent="0.3">
      <c r="B168" s="5" t="s">
        <v>58</v>
      </c>
      <c r="C168" s="8">
        <v>183431</v>
      </c>
    </row>
    <row r="169" spans="2:3" x14ac:dyDescent="0.3">
      <c r="B169" s="5" t="s">
        <v>46</v>
      </c>
      <c r="C169" s="8">
        <v>148528</v>
      </c>
    </row>
    <row r="170" spans="2:3" x14ac:dyDescent="0.3">
      <c r="B170" s="5" t="s">
        <v>73</v>
      </c>
      <c r="C170" s="8">
        <v>185980</v>
      </c>
    </row>
    <row r="171" spans="2:3" x14ac:dyDescent="0.3">
      <c r="B171" s="5" t="s">
        <v>39</v>
      </c>
      <c r="C171" s="8">
        <v>153355</v>
      </c>
    </row>
    <row r="172" spans="2:3" x14ac:dyDescent="0.3">
      <c r="B172" s="5" t="s">
        <v>30</v>
      </c>
      <c r="C172" s="8">
        <v>136482</v>
      </c>
    </row>
    <row r="173" spans="2:3" x14ac:dyDescent="0.3">
      <c r="B173" s="5" t="s">
        <v>1362</v>
      </c>
      <c r="C173" s="8">
        <v>1649534</v>
      </c>
    </row>
    <row r="181" spans="1:2" x14ac:dyDescent="0.3">
      <c r="A181" s="4" t="s">
        <v>1361</v>
      </c>
      <c r="B181" s="8" t="s">
        <v>1375</v>
      </c>
    </row>
    <row r="182" spans="1:2" x14ac:dyDescent="0.3">
      <c r="A182" s="5" t="s">
        <v>21</v>
      </c>
      <c r="B182" s="8">
        <v>560518</v>
      </c>
    </row>
    <row r="183" spans="1:2" x14ac:dyDescent="0.3">
      <c r="A183" s="5" t="s">
        <v>104</v>
      </c>
      <c r="B183" s="8">
        <v>533971</v>
      </c>
    </row>
    <row r="184" spans="1:2" x14ac:dyDescent="0.3">
      <c r="A184" s="5" t="s">
        <v>79</v>
      </c>
      <c r="B184" s="8">
        <v>465749</v>
      </c>
    </row>
    <row r="185" spans="1:2" x14ac:dyDescent="0.3">
      <c r="A185" s="5" t="s">
        <v>126</v>
      </c>
      <c r="B185" s="8">
        <v>640750</v>
      </c>
    </row>
    <row r="186" spans="1:2" x14ac:dyDescent="0.3">
      <c r="A186" s="5" t="s">
        <v>92</v>
      </c>
      <c r="B186" s="8">
        <v>533428</v>
      </c>
    </row>
    <row r="187" spans="1:2" x14ac:dyDescent="0.3">
      <c r="A187" s="5" t="s">
        <v>58</v>
      </c>
      <c r="B187" s="8">
        <v>560182</v>
      </c>
    </row>
    <row r="188" spans="1:2" x14ac:dyDescent="0.3">
      <c r="A188" s="5" t="s">
        <v>46</v>
      </c>
      <c r="B188" s="8">
        <v>483041</v>
      </c>
    </row>
    <row r="189" spans="1:2" x14ac:dyDescent="0.3">
      <c r="A189" s="5" t="s">
        <v>73</v>
      </c>
      <c r="B189" s="8">
        <v>618592</v>
      </c>
    </row>
    <row r="190" spans="1:2" x14ac:dyDescent="0.3">
      <c r="A190" s="5" t="s">
        <v>39</v>
      </c>
      <c r="B190" s="8">
        <v>528778</v>
      </c>
    </row>
    <row r="191" spans="1:2" x14ac:dyDescent="0.3">
      <c r="A191" s="5" t="s">
        <v>30</v>
      </c>
      <c r="B191" s="8">
        <v>458158</v>
      </c>
    </row>
    <row r="192" spans="1:2" x14ac:dyDescent="0.3">
      <c r="A192" s="5" t="s">
        <v>1362</v>
      </c>
      <c r="B192" s="8">
        <v>5383167</v>
      </c>
    </row>
    <row r="196" spans="1:2" x14ac:dyDescent="0.3">
      <c r="A196" s="4" t="s">
        <v>1361</v>
      </c>
      <c r="B196" s="8" t="s">
        <v>1382</v>
      </c>
    </row>
    <row r="197" spans="1:2" x14ac:dyDescent="0.3">
      <c r="A197" s="5" t="s">
        <v>1363</v>
      </c>
      <c r="B197" s="8">
        <v>134927</v>
      </c>
    </row>
    <row r="198" spans="1:2" x14ac:dyDescent="0.3">
      <c r="A198" s="5" t="s">
        <v>1364</v>
      </c>
      <c r="B198" s="8">
        <v>133041</v>
      </c>
    </row>
    <row r="199" spans="1:2" x14ac:dyDescent="0.3">
      <c r="A199" s="5" t="s">
        <v>1365</v>
      </c>
      <c r="B199" s="8">
        <v>141475</v>
      </c>
    </row>
    <row r="200" spans="1:2" x14ac:dyDescent="0.3">
      <c r="A200" s="5" t="s">
        <v>1366</v>
      </c>
      <c r="B200" s="8">
        <v>147137</v>
      </c>
    </row>
    <row r="201" spans="1:2" x14ac:dyDescent="0.3">
      <c r="A201" s="5" t="s">
        <v>1367</v>
      </c>
      <c r="B201" s="8">
        <v>121963</v>
      </c>
    </row>
    <row r="202" spans="1:2" x14ac:dyDescent="0.3">
      <c r="A202" s="5" t="s">
        <v>1368</v>
      </c>
      <c r="B202" s="8">
        <v>130549</v>
      </c>
    </row>
    <row r="203" spans="1:2" x14ac:dyDescent="0.3">
      <c r="A203" s="5" t="s">
        <v>1369</v>
      </c>
      <c r="B203" s="8">
        <v>160543</v>
      </c>
    </row>
    <row r="204" spans="1:2" x14ac:dyDescent="0.3">
      <c r="A204" s="5" t="s">
        <v>1370</v>
      </c>
      <c r="B204" s="8">
        <v>153854</v>
      </c>
    </row>
    <row r="205" spans="1:2" x14ac:dyDescent="0.3">
      <c r="A205" s="5" t="s">
        <v>1371</v>
      </c>
      <c r="B205" s="8">
        <v>103161</v>
      </c>
    </row>
    <row r="206" spans="1:2" x14ac:dyDescent="0.3">
      <c r="A206" s="5" t="s">
        <v>1372</v>
      </c>
      <c r="B206" s="8">
        <v>136354</v>
      </c>
    </row>
    <row r="207" spans="1:2" x14ac:dyDescent="0.3">
      <c r="A207" s="5" t="s">
        <v>1373</v>
      </c>
      <c r="B207" s="8">
        <v>155449</v>
      </c>
    </row>
    <row r="208" spans="1:2" x14ac:dyDescent="0.3">
      <c r="A208" s="5" t="s">
        <v>1374</v>
      </c>
      <c r="B208" s="8">
        <v>131081</v>
      </c>
    </row>
    <row r="209" spans="1:3" x14ac:dyDescent="0.3">
      <c r="A209" s="5" t="s">
        <v>1362</v>
      </c>
      <c r="B209" s="8">
        <v>1649534</v>
      </c>
      <c r="C209" s="7">
        <f>GETPIVOTDATA("Profit",$A$196)</f>
        <v>1649534</v>
      </c>
    </row>
    <row r="212" spans="1:3" x14ac:dyDescent="0.3">
      <c r="A212" s="4" t="s">
        <v>1361</v>
      </c>
      <c r="B212" s="8" t="s">
        <v>1383</v>
      </c>
    </row>
    <row r="213" spans="1:3" x14ac:dyDescent="0.3">
      <c r="A213" s="5" t="s">
        <v>1363</v>
      </c>
      <c r="B213" s="8">
        <v>2978</v>
      </c>
    </row>
    <row r="214" spans="1:3" x14ac:dyDescent="0.3">
      <c r="A214" s="5" t="s">
        <v>1364</v>
      </c>
      <c r="B214" s="8">
        <v>2967</v>
      </c>
    </row>
    <row r="215" spans="1:3" x14ac:dyDescent="0.3">
      <c r="A215" s="5" t="s">
        <v>1365</v>
      </c>
      <c r="B215" s="8">
        <v>2998</v>
      </c>
    </row>
    <row r="216" spans="1:3" x14ac:dyDescent="0.3">
      <c r="A216" s="5" t="s">
        <v>1366</v>
      </c>
      <c r="B216" s="8">
        <v>2985</v>
      </c>
    </row>
    <row r="217" spans="1:3" x14ac:dyDescent="0.3">
      <c r="A217" s="5" t="s">
        <v>1367</v>
      </c>
      <c r="B217" s="8">
        <v>2998</v>
      </c>
    </row>
    <row r="218" spans="1:3" x14ac:dyDescent="0.3">
      <c r="A218" s="5" t="s">
        <v>1368</v>
      </c>
      <c r="B218" s="8">
        <v>2983</v>
      </c>
    </row>
    <row r="219" spans="1:3" x14ac:dyDescent="0.3">
      <c r="A219" s="5" t="s">
        <v>1369</v>
      </c>
      <c r="B219" s="8">
        <v>2964</v>
      </c>
    </row>
    <row r="220" spans="1:3" x14ac:dyDescent="0.3">
      <c r="A220" s="5" t="s">
        <v>1370</v>
      </c>
      <c r="B220" s="8">
        <v>2990</v>
      </c>
    </row>
    <row r="221" spans="1:3" x14ac:dyDescent="0.3">
      <c r="A221" s="5" t="s">
        <v>1371</v>
      </c>
      <c r="B221" s="8">
        <v>2985</v>
      </c>
    </row>
    <row r="222" spans="1:3" x14ac:dyDescent="0.3">
      <c r="A222" s="5" t="s">
        <v>1372</v>
      </c>
      <c r="B222" s="8">
        <v>2978</v>
      </c>
    </row>
    <row r="223" spans="1:3" x14ac:dyDescent="0.3">
      <c r="A223" s="5" t="s">
        <v>1373</v>
      </c>
      <c r="B223" s="8">
        <v>2993</v>
      </c>
    </row>
    <row r="224" spans="1:3" x14ac:dyDescent="0.3">
      <c r="A224" s="5" t="s">
        <v>1374</v>
      </c>
      <c r="B224" s="8">
        <v>2992</v>
      </c>
    </row>
    <row r="225" spans="1:3" x14ac:dyDescent="0.3">
      <c r="A225" s="5" t="s">
        <v>1362</v>
      </c>
      <c r="B225" s="8">
        <v>2998</v>
      </c>
      <c r="C225" s="7">
        <f>GETPIVOTDATA("Profit",$A$212)</f>
        <v>2998</v>
      </c>
    </row>
    <row r="229" spans="1:3" x14ac:dyDescent="0.3">
      <c r="A229" s="4" t="s">
        <v>1361</v>
      </c>
      <c r="B229" s="8" t="s">
        <v>1384</v>
      </c>
    </row>
    <row r="230" spans="1:3" x14ac:dyDescent="0.3">
      <c r="A230" s="5" t="s">
        <v>1363</v>
      </c>
      <c r="B230" s="8">
        <v>1606.2738095238096</v>
      </c>
    </row>
    <row r="231" spans="1:3" x14ac:dyDescent="0.3">
      <c r="A231" s="5" t="s">
        <v>1364</v>
      </c>
      <c r="B231" s="8">
        <v>1602.9036144578313</v>
      </c>
    </row>
    <row r="232" spans="1:3" x14ac:dyDescent="0.3">
      <c r="A232" s="5" t="s">
        <v>1365</v>
      </c>
      <c r="B232" s="8">
        <v>1746.6049382716049</v>
      </c>
    </row>
    <row r="233" spans="1:3" x14ac:dyDescent="0.3">
      <c r="A233" s="5" t="s">
        <v>1366</v>
      </c>
      <c r="B233" s="8">
        <v>1672.0113636363637</v>
      </c>
    </row>
    <row r="234" spans="1:3" x14ac:dyDescent="0.3">
      <c r="A234" s="5" t="s">
        <v>1367</v>
      </c>
      <c r="B234" s="8">
        <v>1487.3536585365853</v>
      </c>
    </row>
    <row r="235" spans="1:3" x14ac:dyDescent="0.3">
      <c r="A235" s="5" t="s">
        <v>1368</v>
      </c>
      <c r="B235" s="8">
        <v>1652.5189873417721</v>
      </c>
    </row>
    <row r="236" spans="1:3" x14ac:dyDescent="0.3">
      <c r="A236" s="5" t="s">
        <v>1369</v>
      </c>
      <c r="B236" s="8">
        <v>1638.1938775510205</v>
      </c>
    </row>
    <row r="237" spans="1:3" x14ac:dyDescent="0.3">
      <c r="A237" s="5" t="s">
        <v>1370</v>
      </c>
      <c r="B237" s="8">
        <v>1636.7446808510638</v>
      </c>
    </row>
    <row r="238" spans="1:3" x14ac:dyDescent="0.3">
      <c r="A238" s="5" t="s">
        <v>1371</v>
      </c>
      <c r="B238" s="8">
        <v>1637.4761904761904</v>
      </c>
    </row>
    <row r="239" spans="1:3" x14ac:dyDescent="0.3">
      <c r="A239" s="5" t="s">
        <v>1372</v>
      </c>
      <c r="B239" s="8">
        <v>1662.8536585365853</v>
      </c>
    </row>
    <row r="240" spans="1:3" x14ac:dyDescent="0.3">
      <c r="A240" s="5" t="s">
        <v>1373</v>
      </c>
      <c r="B240" s="8">
        <v>1766.465909090909</v>
      </c>
    </row>
    <row r="241" spans="1:3" x14ac:dyDescent="0.3">
      <c r="A241" s="5" t="s">
        <v>1374</v>
      </c>
      <c r="B241" s="8">
        <v>1680.5256410256411</v>
      </c>
    </row>
    <row r="242" spans="1:3" x14ac:dyDescent="0.3">
      <c r="A242" s="5" t="s">
        <v>1362</v>
      </c>
      <c r="B242" s="8">
        <v>1649.5340000000001</v>
      </c>
      <c r="C242" s="7">
        <f>GETPIVOTDATA("Profit",$A$229)</f>
        <v>1649.5340000000001</v>
      </c>
    </row>
    <row r="247" spans="1:3" x14ac:dyDescent="0.3">
      <c r="A247" s="4" t="s">
        <v>1361</v>
      </c>
      <c r="B247" s="8" t="s">
        <v>1382</v>
      </c>
    </row>
    <row r="248" spans="1:3" x14ac:dyDescent="0.3">
      <c r="A248" s="5" t="s">
        <v>87</v>
      </c>
      <c r="B248" s="8">
        <v>156692</v>
      </c>
    </row>
    <row r="249" spans="1:3" x14ac:dyDescent="0.3">
      <c r="A249" s="5" t="s">
        <v>78</v>
      </c>
      <c r="B249" s="8">
        <v>195048</v>
      </c>
    </row>
    <row r="250" spans="1:3" x14ac:dyDescent="0.3">
      <c r="A250" s="5" t="s">
        <v>44</v>
      </c>
      <c r="B250" s="8">
        <v>182659</v>
      </c>
    </row>
    <row r="251" spans="1:3" x14ac:dyDescent="0.3">
      <c r="A251" s="5" t="s">
        <v>82</v>
      </c>
      <c r="B251" s="8">
        <v>153512</v>
      </c>
    </row>
    <row r="252" spans="1:3" x14ac:dyDescent="0.3">
      <c r="A252" s="5" t="s">
        <v>63</v>
      </c>
      <c r="B252" s="8">
        <v>172255</v>
      </c>
    </row>
    <row r="253" spans="1:3" x14ac:dyDescent="0.3">
      <c r="A253" s="5" t="s">
        <v>19</v>
      </c>
      <c r="B253" s="8">
        <v>165771</v>
      </c>
    </row>
    <row r="254" spans="1:3" x14ac:dyDescent="0.3">
      <c r="A254" s="5" t="s">
        <v>72</v>
      </c>
      <c r="B254" s="8">
        <v>155334</v>
      </c>
    </row>
    <row r="255" spans="1:3" x14ac:dyDescent="0.3">
      <c r="A255" s="5" t="s">
        <v>37</v>
      </c>
      <c r="B255" s="8">
        <v>152893</v>
      </c>
    </row>
    <row r="256" spans="1:3" x14ac:dyDescent="0.3">
      <c r="A256" s="5" t="s">
        <v>57</v>
      </c>
      <c r="B256" s="8">
        <v>157701</v>
      </c>
    </row>
    <row r="257" spans="1:3" x14ac:dyDescent="0.3">
      <c r="A257" s="5" t="s">
        <v>28</v>
      </c>
      <c r="B257" s="8">
        <v>157669</v>
      </c>
    </row>
    <row r="258" spans="1:3" x14ac:dyDescent="0.3">
      <c r="A258" s="5" t="s">
        <v>1362</v>
      </c>
      <c r="B258" s="8">
        <v>1649534</v>
      </c>
    </row>
    <row r="260" spans="1:3" x14ac:dyDescent="0.3">
      <c r="C260" s="7"/>
    </row>
    <row r="262" spans="1:3" x14ac:dyDescent="0.3">
      <c r="A262" s="4" t="s">
        <v>1361</v>
      </c>
      <c r="B262" s="8" t="s">
        <v>1382</v>
      </c>
    </row>
    <row r="263" spans="1:3" x14ac:dyDescent="0.3">
      <c r="A263" s="5" t="s">
        <v>36</v>
      </c>
      <c r="B263" s="7">
        <v>153441</v>
      </c>
    </row>
    <row r="264" spans="1:3" x14ac:dyDescent="0.3">
      <c r="A264" s="5" t="s">
        <v>43</v>
      </c>
      <c r="B264" s="7">
        <v>167125</v>
      </c>
    </row>
    <row r="265" spans="1:3" x14ac:dyDescent="0.3">
      <c r="A265" s="5" t="s">
        <v>51</v>
      </c>
      <c r="B265" s="7">
        <v>162739</v>
      </c>
    </row>
    <row r="266" spans="1:3" x14ac:dyDescent="0.3">
      <c r="A266" s="5" t="s">
        <v>27</v>
      </c>
      <c r="B266" s="7">
        <v>175987</v>
      </c>
    </row>
    <row r="267" spans="1:3" x14ac:dyDescent="0.3">
      <c r="A267" s="5" t="s">
        <v>18</v>
      </c>
      <c r="B267" s="7">
        <v>156229</v>
      </c>
    </row>
    <row r="268" spans="1:3" x14ac:dyDescent="0.3">
      <c r="A268" s="5" t="s">
        <v>103</v>
      </c>
      <c r="B268" s="7">
        <v>168812</v>
      </c>
    </row>
    <row r="269" spans="1:3" x14ac:dyDescent="0.3">
      <c r="A269" s="5" t="s">
        <v>56</v>
      </c>
      <c r="B269" s="7">
        <v>172927</v>
      </c>
    </row>
    <row r="270" spans="1:3" x14ac:dyDescent="0.3">
      <c r="A270" s="5" t="s">
        <v>129</v>
      </c>
      <c r="B270" s="7">
        <v>163345</v>
      </c>
    </row>
    <row r="271" spans="1:3" x14ac:dyDescent="0.3">
      <c r="A271" s="5" t="s">
        <v>77</v>
      </c>
      <c r="B271" s="7">
        <v>165953</v>
      </c>
    </row>
    <row r="272" spans="1:3" x14ac:dyDescent="0.3">
      <c r="A272" s="5" t="s">
        <v>62</v>
      </c>
      <c r="B272" s="7">
        <v>162976</v>
      </c>
    </row>
    <row r="273" spans="1:2" x14ac:dyDescent="0.3">
      <c r="A273" s="5" t="s">
        <v>1362</v>
      </c>
      <c r="B273" s="7">
        <v>1649534</v>
      </c>
    </row>
    <row r="276" spans="1:2" x14ac:dyDescent="0.3">
      <c r="A276" s="4" t="s">
        <v>1361</v>
      </c>
      <c r="B276" s="8" t="s">
        <v>1382</v>
      </c>
    </row>
    <row r="277" spans="1:2" x14ac:dyDescent="0.3">
      <c r="A277" s="5" t="s">
        <v>36</v>
      </c>
      <c r="B277" s="7">
        <v>153441</v>
      </c>
    </row>
    <row r="278" spans="1:2" x14ac:dyDescent="0.3">
      <c r="A278" s="5" t="s">
        <v>43</v>
      </c>
      <c r="B278" s="7">
        <v>167125</v>
      </c>
    </row>
    <row r="279" spans="1:2" x14ac:dyDescent="0.3">
      <c r="A279" s="5" t="s">
        <v>51</v>
      </c>
      <c r="B279" s="7">
        <v>162739</v>
      </c>
    </row>
    <row r="280" spans="1:2" x14ac:dyDescent="0.3">
      <c r="A280" s="5" t="s">
        <v>27</v>
      </c>
      <c r="B280" s="7">
        <v>175987</v>
      </c>
    </row>
    <row r="281" spans="1:2" x14ac:dyDescent="0.3">
      <c r="A281" s="5" t="s">
        <v>18</v>
      </c>
      <c r="B281" s="7">
        <v>156229</v>
      </c>
    </row>
    <row r="282" spans="1:2" x14ac:dyDescent="0.3">
      <c r="A282" s="5" t="s">
        <v>103</v>
      </c>
      <c r="B282" s="7">
        <v>168812</v>
      </c>
    </row>
    <row r="283" spans="1:2" x14ac:dyDescent="0.3">
      <c r="A283" s="5" t="s">
        <v>56</v>
      </c>
      <c r="B283" s="7">
        <v>172927</v>
      </c>
    </row>
    <row r="284" spans="1:2" x14ac:dyDescent="0.3">
      <c r="A284" s="5" t="s">
        <v>129</v>
      </c>
      <c r="B284" s="7">
        <v>163345</v>
      </c>
    </row>
    <row r="285" spans="1:2" x14ac:dyDescent="0.3">
      <c r="A285" s="5" t="s">
        <v>77</v>
      </c>
      <c r="B285" s="7">
        <v>165953</v>
      </c>
    </row>
    <row r="286" spans="1:2" x14ac:dyDescent="0.3">
      <c r="A286" s="5" t="s">
        <v>62</v>
      </c>
      <c r="B286" s="7">
        <v>162976</v>
      </c>
    </row>
    <row r="287" spans="1:2" x14ac:dyDescent="0.3">
      <c r="A287" s="5" t="s">
        <v>1362</v>
      </c>
      <c r="B287" s="7">
        <v>1649534</v>
      </c>
    </row>
    <row r="290" spans="1:2" x14ac:dyDescent="0.3">
      <c r="A290" s="4" t="s">
        <v>1361</v>
      </c>
      <c r="B290" s="8" t="s">
        <v>1382</v>
      </c>
    </row>
    <row r="291" spans="1:2" x14ac:dyDescent="0.3">
      <c r="A291" s="5" t="s">
        <v>21</v>
      </c>
      <c r="B291" s="7">
        <v>175368</v>
      </c>
    </row>
    <row r="292" spans="1:2" x14ac:dyDescent="0.3">
      <c r="A292" s="5" t="s">
        <v>104</v>
      </c>
      <c r="B292" s="7">
        <v>166560</v>
      </c>
    </row>
    <row r="293" spans="1:2" x14ac:dyDescent="0.3">
      <c r="A293" s="5" t="s">
        <v>79</v>
      </c>
      <c r="B293" s="7">
        <v>139773</v>
      </c>
    </row>
    <row r="294" spans="1:2" x14ac:dyDescent="0.3">
      <c r="A294" s="5" t="s">
        <v>126</v>
      </c>
      <c r="B294" s="7">
        <v>195890</v>
      </c>
    </row>
    <row r="295" spans="1:2" x14ac:dyDescent="0.3">
      <c r="A295" s="5" t="s">
        <v>92</v>
      </c>
      <c r="B295" s="7">
        <v>164167</v>
      </c>
    </row>
    <row r="296" spans="1:2" x14ac:dyDescent="0.3">
      <c r="A296" s="5" t="s">
        <v>58</v>
      </c>
      <c r="B296" s="7">
        <v>183431</v>
      </c>
    </row>
    <row r="297" spans="1:2" x14ac:dyDescent="0.3">
      <c r="A297" s="5" t="s">
        <v>46</v>
      </c>
      <c r="B297" s="7">
        <v>148528</v>
      </c>
    </row>
    <row r="298" spans="1:2" x14ac:dyDescent="0.3">
      <c r="A298" s="5" t="s">
        <v>73</v>
      </c>
      <c r="B298" s="7">
        <v>185980</v>
      </c>
    </row>
    <row r="299" spans="1:2" x14ac:dyDescent="0.3">
      <c r="A299" s="5" t="s">
        <v>39</v>
      </c>
      <c r="B299" s="7">
        <v>153355</v>
      </c>
    </row>
    <row r="300" spans="1:2" x14ac:dyDescent="0.3">
      <c r="A300" s="5" t="s">
        <v>30</v>
      </c>
      <c r="B300" s="7">
        <v>136482</v>
      </c>
    </row>
    <row r="301" spans="1:2" x14ac:dyDescent="0.3">
      <c r="A301" s="5" t="s">
        <v>1362</v>
      </c>
      <c r="B301" s="7">
        <v>1649534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458B-3AF9-4504-A255-DE2D2B8BA360}">
  <dimension ref="V10"/>
  <sheetViews>
    <sheetView zoomScale="60" zoomScaleNormal="60" workbookViewId="0"/>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0B1F-8ECB-454D-A599-1740E5985C7E}">
  <dimension ref="V10"/>
  <sheetViews>
    <sheetView zoomScale="60" zoomScaleNormal="60" workbookViewId="0"/>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78A8-6539-4C32-80FD-DAD46DB0BEA7}">
  <dimension ref="V10"/>
  <sheetViews>
    <sheetView tabSelected="1" zoomScale="60" zoomScaleNormal="60" workbookViewId="0">
      <selection activeCell="AC30" sqref="AC30"/>
    </sheetView>
  </sheetViews>
  <sheetFormatPr defaultRowHeight="14.4" x14ac:dyDescent="0.3"/>
  <cols>
    <col min="10" max="10" width="9" customWidth="1"/>
  </cols>
  <sheetData>
    <row r="10" spans="22:22" x14ac:dyDescent="0.3">
      <c r="V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Electric Service Data</vt:lpstr>
      <vt:lpstr>Table</vt:lpstr>
      <vt:lpstr>Overview </vt:lpstr>
      <vt:lpstr>Employee</vt:lpstr>
      <vt:lpstr>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cp:lastPrinted>2026-05-24T14:13:51Z</cp:lastPrinted>
  <dcterms:created xsi:type="dcterms:W3CDTF">2026-05-24T10:36:34Z</dcterms:created>
  <dcterms:modified xsi:type="dcterms:W3CDTF">2026-05-24T14:14:51Z</dcterms:modified>
</cp:coreProperties>
</file>